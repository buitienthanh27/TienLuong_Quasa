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20" yWindow="180" windowWidth="15600" windowHeight="11460" tabRatio="922" firstSheet="1" activeTab="12"/>
  </bookViews>
  <sheets>
    <sheet name="Chấm công KT" sheetId="8" state="hidden" r:id="rId1"/>
    <sheet name="BTH mủ tạp" sheetId="128" r:id="rId2"/>
    <sheet name="BTH mủ Sỉum" sheetId="169" state="hidden" r:id="rId3"/>
    <sheet name="TONGHOPCONGDOI" sheetId="9" state="hidden" r:id="rId4"/>
    <sheet name="TRẠM 1" sheetId="99" r:id="rId5"/>
    <sheet name="TRẠM 2" sheetId="101" r:id="rId6"/>
    <sheet name="CNKT " sheetId="151" r:id="rId7"/>
    <sheet name="Lương bảo vệ " sheetId="135" r:id="rId8"/>
    <sheet name="lương gián tiếp" sheetId="136" state="hidden" r:id="rId9"/>
    <sheet name="LƯƠNG CN TRỰC TIẾP " sheetId="132" r:id="rId10"/>
    <sheet name="Tỉ lệ hoàn thành " sheetId="153" state="hidden" r:id="rId11"/>
    <sheet name="Phân toán  " sheetId="154" r:id="rId12"/>
    <sheet name="Phân toán   (2)" sheetId="177" r:id="rId13"/>
    <sheet name="BTH CVK" sheetId="157" state="hidden" r:id="rId14"/>
    <sheet name="TT CVK" sheetId="158" state="hidden" r:id="rId15"/>
    <sheet name="PLcon (2)" sheetId="170" state="hidden" r:id="rId16"/>
    <sheet name="DSN Thuê" sheetId="167" state="hidden" r:id="rId17"/>
    <sheet name="tiền TB " sheetId="159" state="hidden" r:id="rId18"/>
    <sheet name="Thanh toán XX" sheetId="137" state="hidden" r:id="rId19"/>
    <sheet name="PC xăng xe T4" sheetId="138" state="hidden" r:id="rId20"/>
    <sheet name="PLcon NT" sheetId="59" state="hidden" r:id="rId21"/>
    <sheet name="Phân Toán CVK" sheetId="79" state="hidden" r:id="rId22"/>
    <sheet name="Bảng BV  " sheetId="161" state="hidden" r:id="rId23"/>
    <sheet name="Bảng ĐP - BV  " sheetId="162" state="hidden" r:id="rId24"/>
    <sheet name="Bảng CC vn " sheetId="163" state="hidden" r:id="rId25"/>
    <sheet name="Sheet2" sheetId="174" state="hidden" r:id="rId26"/>
    <sheet name="Sheet3" sheetId="175" state="hidden" r:id="rId27"/>
    <sheet name="Sheet4" sheetId="176" state="hidden" r:id="rId28"/>
  </sheets>
  <externalReferences>
    <externalReference r:id="rId29"/>
    <externalReference r:id="rId30"/>
    <externalReference r:id="rId31"/>
  </externalReferences>
  <definedNames>
    <definedName name="_xlnm._FilterDatabase" localSheetId="2" hidden="1">'BTH mủ Sỉum'!#REF!</definedName>
    <definedName name="_xlnm._FilterDatabase" localSheetId="1" hidden="1">'BTH mủ tạp'!$B$2:$AK$204</definedName>
    <definedName name="_xlnm._FilterDatabase" localSheetId="6" hidden="1">'CNKT '!$A$6:$G$7</definedName>
    <definedName name="_xlnm._FilterDatabase" localSheetId="0" hidden="1">'Chấm công KT'!$B$1:$AU$163</definedName>
    <definedName name="_xlnm._FilterDatabase" localSheetId="3" hidden="1">TONGHOPCONGDOI!$A$10:$AT$162</definedName>
    <definedName name="_xlnm._FilterDatabase" localSheetId="4" hidden="1">'TRẠM 1'!$A$16:$AH$98</definedName>
    <definedName name="_xlnm._FilterDatabase" localSheetId="5" hidden="1">'TRẠM 2'!$A$17:$AH$80</definedName>
    <definedName name="_xlnm.Print_Area" localSheetId="2">'BTH mủ Sỉum'!#REF!</definedName>
    <definedName name="_xlnm.Print_Area" localSheetId="1">'BTH mủ tạp'!$A$2:$AM$217</definedName>
    <definedName name="_xlnm.Print_Area" localSheetId="6">'CNKT '!$A$3:$AB$178</definedName>
    <definedName name="_xlnm.Print_Area" localSheetId="3">TONGHOPCONGDOI!$A$1:$AE$173</definedName>
    <definedName name="_xlnm.Print_Area" localSheetId="4">'TRẠM 1'!$A$1:$Z$196</definedName>
    <definedName name="_xlnm.Print_Titles" localSheetId="22">'Bảng BV  '!$10:$11</definedName>
    <definedName name="_xlnm.Print_Titles" localSheetId="23">'Bảng ĐP - BV  '!$10:$11</definedName>
    <definedName name="_xlnm.Print_Titles" localSheetId="2">'BTH mủ Sỉum'!#REF!</definedName>
    <definedName name="_xlnm.Print_Titles" localSheetId="1">'BTH mủ tạp'!$13:$14</definedName>
    <definedName name="_xlnm.Print_Titles" localSheetId="6">'CNKT '!$12:$14</definedName>
    <definedName name="_xlnm.Print_Titles" localSheetId="0">'Chấm công KT'!$10:$11</definedName>
    <definedName name="_xlnm.Print_Titles" localSheetId="9">'LƯƠNG CN TRỰC TIẾP '!$11:$12</definedName>
    <definedName name="_xlnm.Print_Titles" localSheetId="19">'PC xăng xe T4'!$11:$12</definedName>
    <definedName name="_xlnm.Print_Titles" localSheetId="11">'Phân toán  '!$12:$12</definedName>
    <definedName name="_xlnm.Print_Titles" localSheetId="12">'Phân toán   (2)'!$12:$12</definedName>
    <definedName name="_xlnm.Print_Titles" localSheetId="21">'Phân Toán CVK'!$12:$12</definedName>
    <definedName name="_xlnm.Print_Titles" localSheetId="17">'tiền TB '!$10:$10</definedName>
    <definedName name="_xlnm.Print_Titles" localSheetId="3">TONGHOPCONGDOI!$6:$8</definedName>
    <definedName name="_xlnm.Print_Titles" localSheetId="18">'Thanh toán XX'!$12:$13</definedName>
    <definedName name="_xlnm.Print_Titles" localSheetId="4">'TRẠM 1'!$13:$15</definedName>
    <definedName name="_xlnm.Print_Titles" localSheetId="5">'TRẠM 2'!$14:$16</definedName>
  </definedNames>
  <calcPr calcId="144525"/>
</workbook>
</file>

<file path=xl/calcChain.xml><?xml version="1.0" encoding="utf-8"?>
<calcChain xmlns="http://schemas.openxmlformats.org/spreadsheetml/2006/main">
  <c r="R174" i="128" l="1"/>
  <c r="L35" i="177"/>
  <c r="H34" i="177"/>
  <c r="G34" i="177"/>
  <c r="H31" i="177"/>
  <c r="D31" i="177"/>
  <c r="G31" i="177" s="1"/>
  <c r="H29" i="177"/>
  <c r="G29" i="177"/>
  <c r="D29" i="177"/>
  <c r="E20" i="177"/>
  <c r="F19" i="177"/>
  <c r="G19" i="177" s="1"/>
  <c r="E19" i="177"/>
  <c r="H19" i="177" s="1"/>
  <c r="F18" i="177"/>
  <c r="E18" i="177"/>
  <c r="H18" i="177" s="1"/>
  <c r="G17" i="177"/>
  <c r="F17" i="177"/>
  <c r="H17" i="177" s="1"/>
  <c r="E17" i="177"/>
  <c r="D17" i="177"/>
  <c r="F16" i="177"/>
  <c r="E16" i="177"/>
  <c r="G16" i="177" s="1"/>
  <c r="D16" i="177"/>
  <c r="J11" i="177"/>
  <c r="F20" i="177" s="1"/>
  <c r="D15" i="177" l="1"/>
  <c r="G15" i="177"/>
  <c r="G20" i="177"/>
  <c r="E15" i="177"/>
  <c r="H16" i="177"/>
  <c r="H15" i="177" s="1"/>
  <c r="F22" i="177"/>
  <c r="F23" i="177"/>
  <c r="F24" i="177"/>
  <c r="F25" i="177"/>
  <c r="F26" i="177"/>
  <c r="F27" i="177"/>
  <c r="G18" i="154"/>
  <c r="F18" i="154"/>
  <c r="F16" i="154"/>
  <c r="F17" i="154"/>
  <c r="AK17" i="128"/>
  <c r="AK18" i="128"/>
  <c r="AR15" i="128" l="1"/>
  <c r="F13" i="101" l="1"/>
  <c r="F12" i="99"/>
  <c r="D18" i="154" l="1"/>
  <c r="D17" i="154"/>
  <c r="D16" i="154"/>
  <c r="D15" i="154" l="1"/>
  <c r="G160" i="132"/>
  <c r="L160" i="132"/>
  <c r="H162" i="132"/>
  <c r="H163" i="132"/>
  <c r="E165" i="132"/>
  <c r="E169" i="132"/>
  <c r="E173" i="132"/>
  <c r="D164" i="132"/>
  <c r="D168" i="132"/>
  <c r="D172" i="132"/>
  <c r="C14" i="135"/>
  <c r="E162" i="132" s="1"/>
  <c r="C15" i="135"/>
  <c r="E163" i="132" s="1"/>
  <c r="C16" i="135"/>
  <c r="E164" i="132" s="1"/>
  <c r="C17" i="135"/>
  <c r="C18" i="135"/>
  <c r="E166" i="132" s="1"/>
  <c r="C19" i="135"/>
  <c r="E167" i="132" s="1"/>
  <c r="C20" i="135"/>
  <c r="E168" i="132" s="1"/>
  <c r="C21" i="135"/>
  <c r="C22" i="135"/>
  <c r="E170" i="132" s="1"/>
  <c r="C23" i="135"/>
  <c r="E171" i="132" s="1"/>
  <c r="C24" i="135"/>
  <c r="E172" i="132" s="1"/>
  <c r="C25" i="135"/>
  <c r="C13" i="135"/>
  <c r="E161" i="132" s="1"/>
  <c r="F14" i="135"/>
  <c r="F15" i="135"/>
  <c r="F16" i="135"/>
  <c r="F17" i="135"/>
  <c r="F18" i="135"/>
  <c r="F19" i="135"/>
  <c r="F20" i="135"/>
  <c r="F21" i="135"/>
  <c r="F22" i="135"/>
  <c r="F23" i="135"/>
  <c r="F24" i="135"/>
  <c r="F25" i="135"/>
  <c r="F13" i="135"/>
  <c r="F26" i="135" s="1"/>
  <c r="E17" i="135"/>
  <c r="G17" i="135" s="1"/>
  <c r="F165" i="132" s="1"/>
  <c r="E21" i="135"/>
  <c r="G21" i="135" s="1"/>
  <c r="F169" i="132" s="1"/>
  <c r="E25" i="135"/>
  <c r="G25" i="135" s="1"/>
  <c r="F173" i="132" s="1"/>
  <c r="B15" i="135"/>
  <c r="D12" i="167" s="1"/>
  <c r="B16" i="135"/>
  <c r="B17" i="135"/>
  <c r="D165" i="132" s="1"/>
  <c r="B18" i="135"/>
  <c r="D166" i="132" s="1"/>
  <c r="B19" i="135"/>
  <c r="D167" i="132" s="1"/>
  <c r="B20" i="135"/>
  <c r="B21" i="135"/>
  <c r="D169" i="132" s="1"/>
  <c r="B22" i="135"/>
  <c r="D170" i="132" s="1"/>
  <c r="B23" i="135"/>
  <c r="D171" i="132" s="1"/>
  <c r="B24" i="135"/>
  <c r="B25" i="135"/>
  <c r="D173" i="132" s="1"/>
  <c r="AI15" i="161"/>
  <c r="E15" i="135" s="1"/>
  <c r="G15" i="135" s="1"/>
  <c r="AI16" i="161"/>
  <c r="E16" i="135" s="1"/>
  <c r="H16" i="135" s="1"/>
  <c r="H164" i="132" s="1"/>
  <c r="AI17" i="161"/>
  <c r="AI18" i="161"/>
  <c r="E18" i="135" s="1"/>
  <c r="H18" i="135" s="1"/>
  <c r="H166" i="132" s="1"/>
  <c r="AI19" i="161"/>
  <c r="E19" i="135" s="1"/>
  <c r="AI20" i="161"/>
  <c r="E20" i="135" s="1"/>
  <c r="AI21" i="161"/>
  <c r="AI22" i="161"/>
  <c r="E22" i="135" s="1"/>
  <c r="H22" i="135" s="1"/>
  <c r="H170" i="132" s="1"/>
  <c r="AI23" i="161"/>
  <c r="E23" i="135" s="1"/>
  <c r="AI24" i="161"/>
  <c r="E24" i="135" s="1"/>
  <c r="AI25" i="161"/>
  <c r="H24" i="135" l="1"/>
  <c r="H172" i="132" s="1"/>
  <c r="G24" i="135"/>
  <c r="H20" i="135"/>
  <c r="H168" i="132" s="1"/>
  <c r="G20" i="135"/>
  <c r="F168" i="132" s="1"/>
  <c r="I15" i="135"/>
  <c r="F163" i="132"/>
  <c r="G23" i="135"/>
  <c r="H23" i="135"/>
  <c r="H171" i="132" s="1"/>
  <c r="H19" i="135"/>
  <c r="H167" i="132" s="1"/>
  <c r="G19" i="135"/>
  <c r="F167" i="132" s="1"/>
  <c r="I167" i="132" s="1"/>
  <c r="K167" i="132" s="1"/>
  <c r="M167" i="132" s="1"/>
  <c r="D163" i="132"/>
  <c r="I163" i="132"/>
  <c r="G22" i="135"/>
  <c r="F170" i="132" s="1"/>
  <c r="I170" i="132" s="1"/>
  <c r="K170" i="132" s="1"/>
  <c r="M170" i="132" s="1"/>
  <c r="G16" i="135"/>
  <c r="G18" i="135"/>
  <c r="F166" i="132" s="1"/>
  <c r="I166" i="132" s="1"/>
  <c r="K166" i="132" s="1"/>
  <c r="M166" i="132" s="1"/>
  <c r="I22" i="135"/>
  <c r="K22" i="135" s="1"/>
  <c r="I18" i="135"/>
  <c r="K18" i="135" s="1"/>
  <c r="H25" i="135"/>
  <c r="H21" i="135"/>
  <c r="H17" i="135"/>
  <c r="I168" i="132" l="1"/>
  <c r="K168" i="132" s="1"/>
  <c r="M168" i="132" s="1"/>
  <c r="I23" i="135"/>
  <c r="K23" i="135" s="1"/>
  <c r="F171" i="132"/>
  <c r="I171" i="132" s="1"/>
  <c r="K171" i="132" s="1"/>
  <c r="M171" i="132" s="1"/>
  <c r="I20" i="135"/>
  <c r="K20" i="135" s="1"/>
  <c r="I24" i="135"/>
  <c r="K24" i="135" s="1"/>
  <c r="F172" i="132"/>
  <c r="I16" i="135"/>
  <c r="K16" i="135" s="1"/>
  <c r="F164" i="132"/>
  <c r="I164" i="132" s="1"/>
  <c r="K164" i="132" s="1"/>
  <c r="M164" i="132" s="1"/>
  <c r="H26" i="135"/>
  <c r="H165" i="132"/>
  <c r="I165" i="132" s="1"/>
  <c r="K165" i="132" s="1"/>
  <c r="M165" i="132" s="1"/>
  <c r="I21" i="135"/>
  <c r="K21" i="135" s="1"/>
  <c r="H169" i="132"/>
  <c r="I169" i="132" s="1"/>
  <c r="K169" i="132" s="1"/>
  <c r="M169" i="132" s="1"/>
  <c r="I25" i="135"/>
  <c r="K25" i="135" s="1"/>
  <c r="H173" i="132"/>
  <c r="I173" i="132" s="1"/>
  <c r="K173" i="132" s="1"/>
  <c r="M173" i="132" s="1"/>
  <c r="I19" i="135"/>
  <c r="K19" i="135" s="1"/>
  <c r="F12" i="167"/>
  <c r="J15" i="135"/>
  <c r="I172" i="132"/>
  <c r="K172" i="132" s="1"/>
  <c r="M172" i="132" s="1"/>
  <c r="I17" i="135"/>
  <c r="K17" i="135" s="1"/>
  <c r="E12" i="99"/>
  <c r="K15" i="135" l="1"/>
  <c r="G12" i="167"/>
  <c r="J26" i="135"/>
  <c r="C13" i="158"/>
  <c r="E13" i="158" s="1"/>
  <c r="C14" i="158"/>
  <c r="E14" i="158" s="1"/>
  <c r="C15" i="158"/>
  <c r="E15" i="158" s="1"/>
  <c r="C16" i="158"/>
  <c r="E16" i="158" s="1"/>
  <c r="C17" i="157"/>
  <c r="E15" i="157"/>
  <c r="L189" i="151"/>
  <c r="L187" i="151"/>
  <c r="U97" i="151"/>
  <c r="V97" i="151"/>
  <c r="Y97" i="151"/>
  <c r="T15" i="151"/>
  <c r="U15" i="151"/>
  <c r="V15" i="151"/>
  <c r="Y15" i="151"/>
  <c r="S88" i="151"/>
  <c r="S87" i="151"/>
  <c r="S86" i="151"/>
  <c r="S85" i="151"/>
  <c r="S84" i="151"/>
  <c r="S83" i="151"/>
  <c r="S82" i="151"/>
  <c r="S80" i="151"/>
  <c r="S79" i="151"/>
  <c r="S78" i="151"/>
  <c r="S77" i="151"/>
  <c r="S76" i="151"/>
  <c r="S74" i="151"/>
  <c r="S73" i="151"/>
  <c r="S72" i="151"/>
  <c r="S71" i="151"/>
  <c r="S70" i="151"/>
  <c r="S69" i="151"/>
  <c r="S68" i="151"/>
  <c r="S67" i="151"/>
  <c r="S66" i="151"/>
  <c r="S65" i="151"/>
  <c r="S64" i="151"/>
  <c r="S63" i="151"/>
  <c r="S62" i="151"/>
  <c r="S61" i="151"/>
  <c r="S60" i="151"/>
  <c r="S59" i="151"/>
  <c r="S58" i="151"/>
  <c r="S57" i="151"/>
  <c r="S56" i="151"/>
  <c r="S55" i="151"/>
  <c r="S54" i="151"/>
  <c r="S52" i="151"/>
  <c r="S51" i="151"/>
  <c r="S50" i="151"/>
  <c r="S49" i="151"/>
  <c r="S48" i="151"/>
  <c r="S47" i="151"/>
  <c r="S46" i="151"/>
  <c r="S45" i="151"/>
  <c r="S44" i="151"/>
  <c r="S43" i="151"/>
  <c r="S42" i="151"/>
  <c r="S41" i="151"/>
  <c r="S40" i="151"/>
  <c r="S39" i="151"/>
  <c r="S38" i="151"/>
  <c r="S36" i="151"/>
  <c r="S35" i="151"/>
  <c r="S34" i="151"/>
  <c r="S33" i="151"/>
  <c r="S32" i="151"/>
  <c r="S31" i="151"/>
  <c r="S30" i="151"/>
  <c r="S29" i="151"/>
  <c r="S28" i="151"/>
  <c r="S27" i="151"/>
  <c r="S26" i="151"/>
  <c r="S25" i="151"/>
  <c r="S24" i="151"/>
  <c r="S23" i="151"/>
  <c r="S22" i="151"/>
  <c r="S21" i="151"/>
  <c r="S19" i="151"/>
  <c r="S18" i="151"/>
  <c r="S17" i="151"/>
  <c r="S16" i="151"/>
  <c r="S99" i="151"/>
  <c r="S100" i="151"/>
  <c r="S101" i="151"/>
  <c r="S102" i="151"/>
  <c r="S103" i="151"/>
  <c r="S104" i="151"/>
  <c r="S105" i="151"/>
  <c r="S106" i="151"/>
  <c r="S107" i="151"/>
  <c r="S108" i="151"/>
  <c r="S109" i="151"/>
  <c r="S110" i="151"/>
  <c r="S111" i="151"/>
  <c r="S112" i="151"/>
  <c r="S113" i="151"/>
  <c r="S114" i="151"/>
  <c r="S115" i="151"/>
  <c r="S116" i="151"/>
  <c r="S117" i="151"/>
  <c r="S118" i="151"/>
  <c r="S119" i="151"/>
  <c r="S120" i="151"/>
  <c r="S121" i="151"/>
  <c r="S122" i="151"/>
  <c r="S123" i="151"/>
  <c r="S124" i="151"/>
  <c r="S125" i="151"/>
  <c r="S126" i="151"/>
  <c r="S127" i="151"/>
  <c r="S128" i="151"/>
  <c r="S129" i="151"/>
  <c r="S130" i="151"/>
  <c r="S131" i="151"/>
  <c r="S132" i="151"/>
  <c r="S133" i="151"/>
  <c r="S134" i="151"/>
  <c r="S135" i="151"/>
  <c r="S136" i="151"/>
  <c r="S137" i="151"/>
  <c r="S138" i="151"/>
  <c r="S139" i="151"/>
  <c r="S140" i="151"/>
  <c r="S141" i="151"/>
  <c r="S142" i="151"/>
  <c r="S143" i="151"/>
  <c r="S144" i="151"/>
  <c r="S145" i="151"/>
  <c r="S146" i="151"/>
  <c r="S147" i="151"/>
  <c r="S148" i="151"/>
  <c r="S149" i="151"/>
  <c r="S150" i="151"/>
  <c r="S151" i="151"/>
  <c r="S152" i="151"/>
  <c r="S153" i="151"/>
  <c r="S154" i="151"/>
  <c r="S155" i="151"/>
  <c r="S15" i="151" l="1"/>
  <c r="E39" i="176"/>
  <c r="G38" i="176"/>
  <c r="D38" i="176"/>
  <c r="C38" i="176"/>
  <c r="B38" i="176"/>
  <c r="G37" i="176"/>
  <c r="D37" i="176"/>
  <c r="C37" i="176"/>
  <c r="B37" i="176"/>
  <c r="G36" i="176"/>
  <c r="D36" i="176"/>
  <c r="C36" i="176"/>
  <c r="B36" i="176"/>
  <c r="G35" i="176"/>
  <c r="D35" i="176"/>
  <c r="C35" i="176"/>
  <c r="B35" i="176"/>
  <c r="G34" i="176"/>
  <c r="D34" i="176"/>
  <c r="C34" i="176"/>
  <c r="B34" i="176"/>
  <c r="G33" i="176"/>
  <c r="D33" i="176"/>
  <c r="C33" i="176"/>
  <c r="B33" i="176"/>
  <c r="G32" i="176"/>
  <c r="D32" i="176"/>
  <c r="C32" i="176"/>
  <c r="B32" i="176"/>
  <c r="G31" i="176"/>
  <c r="D31" i="176"/>
  <c r="C31" i="176"/>
  <c r="B31" i="176"/>
  <c r="G30" i="176"/>
  <c r="D30" i="176"/>
  <c r="C30" i="176"/>
  <c r="B30" i="176"/>
  <c r="G29" i="176"/>
  <c r="D29" i="176"/>
  <c r="C29" i="176"/>
  <c r="B29" i="176"/>
  <c r="G28" i="176"/>
  <c r="D28" i="176"/>
  <c r="C28" i="176"/>
  <c r="B28" i="176"/>
  <c r="G27" i="176"/>
  <c r="D27" i="176"/>
  <c r="C27" i="176"/>
  <c r="B27" i="176"/>
  <c r="G26" i="176"/>
  <c r="D26" i="176"/>
  <c r="C26" i="176"/>
  <c r="B26" i="176"/>
  <c r="G25" i="176"/>
  <c r="D25" i="176"/>
  <c r="C25" i="176"/>
  <c r="B25" i="176"/>
  <c r="G24" i="176"/>
  <c r="D24" i="176"/>
  <c r="C24" i="176"/>
  <c r="B24" i="176"/>
  <c r="G23" i="176"/>
  <c r="D23" i="176"/>
  <c r="C23" i="176"/>
  <c r="B23" i="176"/>
  <c r="G22" i="176"/>
  <c r="D22" i="176"/>
  <c r="C22" i="176"/>
  <c r="B22" i="176"/>
  <c r="G21" i="176"/>
  <c r="D21" i="176"/>
  <c r="C21" i="176"/>
  <c r="B21" i="176"/>
  <c r="G20" i="176"/>
  <c r="D20" i="176"/>
  <c r="C20" i="176"/>
  <c r="B20" i="176"/>
  <c r="G19" i="176"/>
  <c r="D19" i="176"/>
  <c r="C19" i="176"/>
  <c r="B19" i="176"/>
  <c r="G18" i="176"/>
  <c r="D18" i="176"/>
  <c r="C18" i="176"/>
  <c r="B18" i="176"/>
  <c r="G17" i="176"/>
  <c r="D17" i="176"/>
  <c r="C17" i="176"/>
  <c r="G16" i="176"/>
  <c r="D16" i="176"/>
  <c r="C16" i="176"/>
  <c r="G15" i="176"/>
  <c r="D15" i="176"/>
  <c r="C15" i="176"/>
  <c r="B15" i="176"/>
  <c r="G14" i="176"/>
  <c r="D14" i="176"/>
  <c r="C14" i="176"/>
  <c r="B14" i="176"/>
  <c r="Z6" i="176"/>
  <c r="AA6" i="176" s="1"/>
  <c r="AB6" i="176" s="1"/>
  <c r="E13" i="175"/>
  <c r="E14" i="175" s="1"/>
  <c r="N21" i="174"/>
  <c r="M21" i="174"/>
  <c r="L21" i="174"/>
  <c r="K21" i="174"/>
  <c r="E21" i="174"/>
  <c r="D21" i="174"/>
  <c r="C21" i="174"/>
  <c r="B21" i="174"/>
  <c r="O19" i="174"/>
  <c r="O21" i="174" s="1"/>
  <c r="I19" i="174"/>
  <c r="I21" i="174" s="1"/>
  <c r="H19" i="174"/>
  <c r="H21" i="174" s="1"/>
  <c r="G19" i="174"/>
  <c r="G21" i="174" s="1"/>
  <c r="F19" i="174"/>
  <c r="F21" i="174" s="1"/>
  <c r="F18" i="174"/>
  <c r="AI21" i="163"/>
  <c r="AI20" i="163"/>
  <c r="AI18" i="163"/>
  <c r="AI17" i="163"/>
  <c r="AI15" i="163"/>
  <c r="AI14" i="163"/>
  <c r="AI13" i="163"/>
  <c r="AK10" i="163"/>
  <c r="AI16" i="162"/>
  <c r="AI15" i="162" s="1"/>
  <c r="AI14" i="162"/>
  <c r="D15" i="136" s="1"/>
  <c r="AI13" i="162"/>
  <c r="D14" i="136" s="1"/>
  <c r="AK14" i="161"/>
  <c r="AI14" i="161"/>
  <c r="AI13" i="161"/>
  <c r="AK10" i="161"/>
  <c r="H20" i="79"/>
  <c r="G20" i="79"/>
  <c r="G19" i="79"/>
  <c r="G25" i="79" s="1"/>
  <c r="F11" i="79"/>
  <c r="K84" i="59"/>
  <c r="K83" i="59"/>
  <c r="G83" i="59"/>
  <c r="C83" i="59"/>
  <c r="R79" i="59"/>
  <c r="K76" i="59"/>
  <c r="G76" i="59"/>
  <c r="G84" i="59" s="1"/>
  <c r="C76" i="59"/>
  <c r="C84" i="59" s="1"/>
  <c r="Q73" i="59"/>
  <c r="O69" i="59"/>
  <c r="K69" i="59"/>
  <c r="K70" i="59" s="1"/>
  <c r="G69" i="59"/>
  <c r="C69" i="59"/>
  <c r="P68" i="59"/>
  <c r="P67" i="59"/>
  <c r="P66" i="59"/>
  <c r="R65" i="59"/>
  <c r="P65" i="59"/>
  <c r="P64" i="59"/>
  <c r="P63" i="59"/>
  <c r="O62" i="59"/>
  <c r="O70" i="59" s="1"/>
  <c r="K62" i="59"/>
  <c r="G62" i="59"/>
  <c r="G70" i="59" s="1"/>
  <c r="C62" i="59"/>
  <c r="C70" i="59" s="1"/>
  <c r="P61" i="59"/>
  <c r="P60" i="59"/>
  <c r="Q59" i="59"/>
  <c r="P59" i="59"/>
  <c r="P58" i="59"/>
  <c r="P57" i="59"/>
  <c r="K56" i="59"/>
  <c r="O55" i="59"/>
  <c r="K55" i="59"/>
  <c r="G55" i="59"/>
  <c r="C55" i="59"/>
  <c r="P54" i="59"/>
  <c r="P53" i="59"/>
  <c r="P52" i="59"/>
  <c r="R51" i="59"/>
  <c r="P51" i="59"/>
  <c r="P50" i="59"/>
  <c r="P49" i="59"/>
  <c r="O48" i="59"/>
  <c r="K48" i="59"/>
  <c r="G48" i="59"/>
  <c r="C48" i="59"/>
  <c r="C56" i="59" s="1"/>
  <c r="P47" i="59"/>
  <c r="P46" i="59"/>
  <c r="Q45" i="59"/>
  <c r="P45" i="59"/>
  <c r="P44" i="59"/>
  <c r="U42" i="59"/>
  <c r="C42" i="59"/>
  <c r="K41" i="59"/>
  <c r="G41" i="59"/>
  <c r="C41" i="59"/>
  <c r="R37" i="59"/>
  <c r="K34" i="59"/>
  <c r="K42" i="59" s="1"/>
  <c r="G34" i="59"/>
  <c r="G42" i="59" s="1"/>
  <c r="C34" i="59"/>
  <c r="Q31" i="59"/>
  <c r="P29" i="59"/>
  <c r="O27" i="59"/>
  <c r="K27" i="59"/>
  <c r="G27" i="59"/>
  <c r="C27" i="59"/>
  <c r="P26" i="59"/>
  <c r="P25" i="59"/>
  <c r="P24" i="59"/>
  <c r="R23" i="59"/>
  <c r="P23" i="59"/>
  <c r="P22" i="59"/>
  <c r="P21" i="59"/>
  <c r="O20" i="59"/>
  <c r="K20" i="59"/>
  <c r="K28" i="59" s="1"/>
  <c r="G20" i="59"/>
  <c r="G28" i="59" s="1"/>
  <c r="C20" i="59"/>
  <c r="C28" i="59" s="1"/>
  <c r="P19" i="59"/>
  <c r="P18" i="59"/>
  <c r="Q17" i="59"/>
  <c r="P17" i="59"/>
  <c r="P16" i="59"/>
  <c r="P15" i="59"/>
  <c r="O13" i="59"/>
  <c r="K13" i="59"/>
  <c r="K14" i="59" s="1"/>
  <c r="G13" i="59"/>
  <c r="C13" i="59"/>
  <c r="P12" i="59"/>
  <c r="P11" i="59"/>
  <c r="P10" i="59"/>
  <c r="R9" i="59"/>
  <c r="P9" i="59"/>
  <c r="P8" i="59"/>
  <c r="P7" i="59"/>
  <c r="O6" i="59"/>
  <c r="O14" i="59" s="1"/>
  <c r="K6" i="59"/>
  <c r="G6" i="59"/>
  <c r="G14" i="59" s="1"/>
  <c r="C6" i="59"/>
  <c r="C14" i="59" s="1"/>
  <c r="P5" i="59"/>
  <c r="P4" i="59"/>
  <c r="Q3" i="59"/>
  <c r="P3" i="59"/>
  <c r="AP26" i="138"/>
  <c r="AO26" i="138"/>
  <c r="AN26" i="138"/>
  <c r="AL23" i="138"/>
  <c r="AI22" i="138"/>
  <c r="AH22" i="138"/>
  <c r="AG22" i="138"/>
  <c r="AF22" i="138"/>
  <c r="AE22" i="138"/>
  <c r="AD22" i="138"/>
  <c r="AC22" i="138"/>
  <c r="AB22" i="138"/>
  <c r="AA22" i="138"/>
  <c r="Z22" i="138"/>
  <c r="Y22" i="138"/>
  <c r="X22" i="138"/>
  <c r="W22" i="138"/>
  <c r="V22" i="138"/>
  <c r="U22" i="138"/>
  <c r="T22" i="138"/>
  <c r="S22" i="138"/>
  <c r="R22" i="138"/>
  <c r="Q22" i="138"/>
  <c r="P22" i="138"/>
  <c r="O22" i="138"/>
  <c r="N22" i="138"/>
  <c r="M22" i="138"/>
  <c r="L22" i="138"/>
  <c r="K22" i="138"/>
  <c r="J22" i="138"/>
  <c r="I22" i="138"/>
  <c r="H22" i="138"/>
  <c r="G22" i="138"/>
  <c r="F22" i="138"/>
  <c r="E22" i="138"/>
  <c r="AJ21" i="138"/>
  <c r="D22" i="137" s="1"/>
  <c r="F22" i="137" s="1"/>
  <c r="AJ20" i="138"/>
  <c r="D21" i="137" s="1"/>
  <c r="F21" i="137" s="1"/>
  <c r="AJ19" i="138"/>
  <c r="D20" i="137" s="1"/>
  <c r="AJ18" i="138"/>
  <c r="AJ17" i="138"/>
  <c r="D18" i="137" s="1"/>
  <c r="F18" i="137" s="1"/>
  <c r="AJ16" i="138"/>
  <c r="D17" i="137" s="1"/>
  <c r="F17" i="137" s="1"/>
  <c r="AJ15" i="138"/>
  <c r="D16" i="137" s="1"/>
  <c r="F16" i="137" s="1"/>
  <c r="AJ14" i="138"/>
  <c r="AJ13" i="138"/>
  <c r="C22" i="137"/>
  <c r="B22" i="137"/>
  <c r="C21" i="137"/>
  <c r="B21" i="137"/>
  <c r="F20" i="137"/>
  <c r="C20" i="137"/>
  <c r="B20" i="137"/>
  <c r="D19" i="137"/>
  <c r="F19" i="137" s="1"/>
  <c r="C19" i="137"/>
  <c r="B19" i="137"/>
  <c r="C18" i="137"/>
  <c r="B18" i="137"/>
  <c r="C17" i="137"/>
  <c r="B17" i="137"/>
  <c r="C16" i="137"/>
  <c r="B16" i="137"/>
  <c r="D15" i="137"/>
  <c r="F15" i="137" s="1"/>
  <c r="C15" i="137"/>
  <c r="B15" i="137"/>
  <c r="C14" i="137"/>
  <c r="B14" i="137"/>
  <c r="Y6" i="137"/>
  <c r="Z6" i="137" s="1"/>
  <c r="AA6" i="137" s="1"/>
  <c r="F21" i="159"/>
  <c r="D14" i="79" s="1"/>
  <c r="E21" i="159"/>
  <c r="I16" i="167"/>
  <c r="L15" i="167"/>
  <c r="L14" i="167"/>
  <c r="K14" i="167"/>
  <c r="I14" i="167"/>
  <c r="L2622" i="170"/>
  <c r="K2611" i="170"/>
  <c r="E2611" i="170"/>
  <c r="C2605" i="170"/>
  <c r="H2599" i="170"/>
  <c r="B2599" i="170"/>
  <c r="C2600" i="170" s="1"/>
  <c r="E2600" i="170" s="1"/>
  <c r="K2595" i="170"/>
  <c r="E2595" i="170"/>
  <c r="H2583" i="170"/>
  <c r="B2583" i="170"/>
  <c r="E2582" i="170" s="1"/>
  <c r="K2579" i="170"/>
  <c r="E2579" i="170"/>
  <c r="H2567" i="170"/>
  <c r="I2571" i="170" s="1"/>
  <c r="B2567" i="170"/>
  <c r="H2565" i="170"/>
  <c r="K2563" i="170"/>
  <c r="E2563" i="170"/>
  <c r="H2551" i="170"/>
  <c r="I2556" i="170" s="1"/>
  <c r="B2551" i="170"/>
  <c r="C2554" i="170" s="1"/>
  <c r="E2550" i="170"/>
  <c r="K2546" i="170"/>
  <c r="E2546" i="170"/>
  <c r="H2534" i="170"/>
  <c r="I2541" i="170" s="1"/>
  <c r="B2534" i="170"/>
  <c r="K2530" i="170"/>
  <c r="E2530" i="170"/>
  <c r="C2523" i="170"/>
  <c r="H2518" i="170"/>
  <c r="B2518" i="170"/>
  <c r="K2514" i="170"/>
  <c r="E2514" i="170"/>
  <c r="I2504" i="170"/>
  <c r="K2504" i="170" s="1"/>
  <c r="H2502" i="170"/>
  <c r="I2508" i="170" s="1"/>
  <c r="B2502" i="170"/>
  <c r="C2509" i="170" s="1"/>
  <c r="E2501" i="170"/>
  <c r="K2498" i="170"/>
  <c r="E2498" i="170"/>
  <c r="C2490" i="170"/>
  <c r="H2486" i="170"/>
  <c r="I2489" i="170" s="1"/>
  <c r="B2486" i="170"/>
  <c r="C2491" i="170" s="1"/>
  <c r="K2482" i="170"/>
  <c r="E2482" i="170"/>
  <c r="I2478" i="170"/>
  <c r="K2478" i="170" s="1"/>
  <c r="I2473" i="170"/>
  <c r="H2470" i="170"/>
  <c r="I2479" i="170" s="1"/>
  <c r="K2479" i="170" s="1"/>
  <c r="B2470" i="170"/>
  <c r="K2466" i="170"/>
  <c r="E2466" i="170"/>
  <c r="H2454" i="170"/>
  <c r="B2454" i="170"/>
  <c r="C2456" i="170" s="1"/>
  <c r="E2456" i="170" s="1"/>
  <c r="K2450" i="170"/>
  <c r="E2450" i="170"/>
  <c r="H2438" i="170"/>
  <c r="B2438" i="170"/>
  <c r="C2441" i="170" s="1"/>
  <c r="K2434" i="170"/>
  <c r="E2434" i="170"/>
  <c r="I2427" i="170"/>
  <c r="I2426" i="170"/>
  <c r="H2422" i="170"/>
  <c r="I2428" i="170" s="1"/>
  <c r="B2422" i="170"/>
  <c r="K2418" i="170"/>
  <c r="E2418" i="170"/>
  <c r="H2406" i="170"/>
  <c r="B2406" i="170"/>
  <c r="C2415" i="170" s="1"/>
  <c r="E2415" i="170" s="1"/>
  <c r="K2402" i="170"/>
  <c r="E2402" i="170"/>
  <c r="H2390" i="170"/>
  <c r="I2393" i="170" s="1"/>
  <c r="B2390" i="170"/>
  <c r="K2386" i="170"/>
  <c r="E2386" i="170"/>
  <c r="C2377" i="170"/>
  <c r="C2376" i="170"/>
  <c r="E2376" i="170" s="1"/>
  <c r="H2374" i="170"/>
  <c r="I2382" i="170" s="1"/>
  <c r="K2382" i="170" s="1"/>
  <c r="B2374" i="170"/>
  <c r="C2379" i="170" s="1"/>
  <c r="E2373" i="170"/>
  <c r="K2370" i="170"/>
  <c r="E2370" i="170"/>
  <c r="H2358" i="170"/>
  <c r="I2364" i="170" s="1"/>
  <c r="B2358" i="170"/>
  <c r="K2354" i="170"/>
  <c r="E2354" i="170"/>
  <c r="I2345" i="170"/>
  <c r="H2342" i="170"/>
  <c r="B2342" i="170"/>
  <c r="C2350" i="170" s="1"/>
  <c r="E2350" i="170" s="1"/>
  <c r="K2338" i="170"/>
  <c r="E2338" i="170"/>
  <c r="C2330" i="170"/>
  <c r="C2327" i="170"/>
  <c r="H2326" i="170"/>
  <c r="B2326" i="170"/>
  <c r="C2334" i="170" s="1"/>
  <c r="E2334" i="170" s="1"/>
  <c r="K2322" i="170"/>
  <c r="E2322" i="170"/>
  <c r="H2310" i="170"/>
  <c r="B2310" i="170"/>
  <c r="C2319" i="170" s="1"/>
  <c r="E2319" i="170" s="1"/>
  <c r="K2306" i="170"/>
  <c r="E2306" i="170"/>
  <c r="H2294" i="170"/>
  <c r="B2294" i="170"/>
  <c r="K2290" i="170"/>
  <c r="E2290" i="170"/>
  <c r="H2278" i="170"/>
  <c r="I2283" i="170" s="1"/>
  <c r="B2278" i="170"/>
  <c r="K2274" i="170"/>
  <c r="E2274" i="170"/>
  <c r="H2262" i="170"/>
  <c r="I2266" i="170" s="1"/>
  <c r="B2262" i="170"/>
  <c r="C2269" i="170" s="1"/>
  <c r="K2258" i="170"/>
  <c r="E2258" i="170"/>
  <c r="I2255" i="170"/>
  <c r="K2255" i="170" s="1"/>
  <c r="H2246" i="170"/>
  <c r="B2246" i="170"/>
  <c r="C2253" i="170" s="1"/>
  <c r="K2242" i="170"/>
  <c r="E2242" i="170"/>
  <c r="I2236" i="170"/>
  <c r="C2231" i="170"/>
  <c r="H2230" i="170"/>
  <c r="B2230" i="170"/>
  <c r="C2239" i="170" s="1"/>
  <c r="E2239" i="170" s="1"/>
  <c r="E2229" i="170"/>
  <c r="K2226" i="170"/>
  <c r="E2226" i="170"/>
  <c r="C2216" i="170"/>
  <c r="E2216" i="170" s="1"/>
  <c r="H2214" i="170"/>
  <c r="I2216" i="170" s="1"/>
  <c r="K2216" i="170" s="1"/>
  <c r="B2214" i="170"/>
  <c r="C2218" i="170" s="1"/>
  <c r="K2210" i="170"/>
  <c r="E2210" i="170"/>
  <c r="I2207" i="170"/>
  <c r="K2207" i="170" s="1"/>
  <c r="H2198" i="170"/>
  <c r="B2198" i="170"/>
  <c r="K2194" i="170"/>
  <c r="E2194" i="170"/>
  <c r="I2184" i="170"/>
  <c r="K2184" i="170" s="1"/>
  <c r="H2182" i="170"/>
  <c r="I2190" i="170" s="1"/>
  <c r="K2190" i="170" s="1"/>
  <c r="B2182" i="170"/>
  <c r="C2188" i="170" s="1"/>
  <c r="K2178" i="170"/>
  <c r="E2178" i="170"/>
  <c r="I2170" i="170"/>
  <c r="I2169" i="170"/>
  <c r="I2167" i="170"/>
  <c r="H2166" i="170"/>
  <c r="I2173" i="170" s="1"/>
  <c r="B2166" i="170"/>
  <c r="K2165" i="170"/>
  <c r="K2162" i="170"/>
  <c r="E2162" i="170"/>
  <c r="I2154" i="170"/>
  <c r="H2150" i="170"/>
  <c r="I2157" i="170" s="1"/>
  <c r="B2150" i="170"/>
  <c r="K2146" i="170"/>
  <c r="E2146" i="170"/>
  <c r="I2141" i="170"/>
  <c r="H2134" i="170"/>
  <c r="I2140" i="170" s="1"/>
  <c r="B2134" i="170"/>
  <c r="C2135" i="170" s="1"/>
  <c r="K2130" i="170"/>
  <c r="E2130" i="170"/>
  <c r="I2126" i="170"/>
  <c r="K2126" i="170" s="1"/>
  <c r="I2121" i="170"/>
  <c r="H2118" i="170"/>
  <c r="I2119" i="170" s="1"/>
  <c r="B2118" i="170"/>
  <c r="C2121" i="170" s="1"/>
  <c r="K2114" i="170"/>
  <c r="E2114" i="170"/>
  <c r="H2102" i="170"/>
  <c r="B2102" i="170"/>
  <c r="K2098" i="170"/>
  <c r="E2098" i="170"/>
  <c r="C2090" i="170"/>
  <c r="H2086" i="170"/>
  <c r="I2092" i="170" s="1"/>
  <c r="B2086" i="170"/>
  <c r="C2094" i="170" s="1"/>
  <c r="E2094" i="170" s="1"/>
  <c r="E2085" i="170"/>
  <c r="K2082" i="170"/>
  <c r="E2082" i="170"/>
  <c r="C2079" i="170"/>
  <c r="E2079" i="170" s="1"/>
  <c r="C2076" i="170"/>
  <c r="H2070" i="170"/>
  <c r="I2072" i="170" s="1"/>
  <c r="K2072" i="170" s="1"/>
  <c r="B2070" i="170"/>
  <c r="C2075" i="170" s="1"/>
  <c r="E2069" i="170"/>
  <c r="K2066" i="170"/>
  <c r="E2066" i="170"/>
  <c r="C2056" i="170"/>
  <c r="E2056" i="170" s="1"/>
  <c r="H2054" i="170"/>
  <c r="I2063" i="170" s="1"/>
  <c r="K2063" i="170" s="1"/>
  <c r="B2054" i="170"/>
  <c r="C2059" i="170" s="1"/>
  <c r="M2052" i="170"/>
  <c r="K2049" i="170"/>
  <c r="E2049" i="170"/>
  <c r="I2041" i="170"/>
  <c r="I2038" i="170"/>
  <c r="K2038" i="170" s="1"/>
  <c r="H2036" i="170"/>
  <c r="I2045" i="170" s="1"/>
  <c r="K2045" i="170" s="1"/>
  <c r="K2032" i="170"/>
  <c r="E2032" i="170"/>
  <c r="K2015" i="170"/>
  <c r="E2015" i="170"/>
  <c r="K1998" i="170"/>
  <c r="E1998" i="170"/>
  <c r="K1981" i="170"/>
  <c r="E1981" i="170"/>
  <c r="K1964" i="170"/>
  <c r="E1964" i="170"/>
  <c r="K1947" i="170"/>
  <c r="E1947" i="170"/>
  <c r="K1930" i="170"/>
  <c r="E1930" i="170"/>
  <c r="K1913" i="170"/>
  <c r="E1913" i="170"/>
  <c r="K1896" i="170"/>
  <c r="E1896" i="170"/>
  <c r="K1879" i="170"/>
  <c r="E1879" i="170"/>
  <c r="K1862" i="170"/>
  <c r="E1862" i="170"/>
  <c r="K1845" i="170"/>
  <c r="E1845" i="170"/>
  <c r="K1828" i="170"/>
  <c r="E1828" i="170"/>
  <c r="K1811" i="170"/>
  <c r="E1811" i="170"/>
  <c r="K1794" i="170"/>
  <c r="E1794" i="170"/>
  <c r="K1777" i="170"/>
  <c r="E1777" i="170"/>
  <c r="K1760" i="170"/>
  <c r="E1760" i="170"/>
  <c r="K1743" i="170"/>
  <c r="E1743" i="170"/>
  <c r="K1726" i="170"/>
  <c r="E1726" i="170"/>
  <c r="K1709" i="170"/>
  <c r="E1709" i="170"/>
  <c r="K1692" i="170"/>
  <c r="E1692" i="170"/>
  <c r="K1675" i="170"/>
  <c r="E1675" i="170"/>
  <c r="K1658" i="170"/>
  <c r="E1658" i="170"/>
  <c r="K1641" i="170"/>
  <c r="E1641" i="170"/>
  <c r="K1624" i="170"/>
  <c r="E1624" i="170"/>
  <c r="K1607" i="170"/>
  <c r="E1607" i="170"/>
  <c r="K1590" i="170"/>
  <c r="E1590" i="170"/>
  <c r="K1573" i="170"/>
  <c r="E1573" i="170"/>
  <c r="K1556" i="170"/>
  <c r="E1556" i="170"/>
  <c r="K1539" i="170"/>
  <c r="E1539" i="170"/>
  <c r="K1522" i="170"/>
  <c r="E1522" i="170"/>
  <c r="K1505" i="170"/>
  <c r="E1505" i="170"/>
  <c r="K1485" i="170"/>
  <c r="E1485" i="170"/>
  <c r="C1481" i="170"/>
  <c r="E1481" i="170" s="1"/>
  <c r="H1473" i="170"/>
  <c r="I1480" i="170" s="1"/>
  <c r="B1473" i="170"/>
  <c r="C1479" i="170" s="1"/>
  <c r="K1472" i="170"/>
  <c r="K1468" i="170"/>
  <c r="E1468" i="170"/>
  <c r="K1465" i="170"/>
  <c r="E1465" i="170"/>
  <c r="H1455" i="170"/>
  <c r="I1464" i="170" s="1"/>
  <c r="K1464" i="170" s="1"/>
  <c r="B1455" i="170"/>
  <c r="C1464" i="170" s="1"/>
  <c r="E1464" i="170" s="1"/>
  <c r="K1450" i="170"/>
  <c r="E1450" i="170"/>
  <c r="C1445" i="170"/>
  <c r="E1445" i="170" s="1"/>
  <c r="C1441" i="170"/>
  <c r="C1439" i="170"/>
  <c r="E1439" i="170" s="1"/>
  <c r="H1437" i="170"/>
  <c r="B1437" i="170"/>
  <c r="C1446" i="170" s="1"/>
  <c r="E1446" i="170" s="1"/>
  <c r="E1436" i="170"/>
  <c r="K1433" i="170"/>
  <c r="E1433" i="170"/>
  <c r="C1422" i="170"/>
  <c r="E1422" i="170" s="1"/>
  <c r="H1420" i="170"/>
  <c r="I1429" i="170" s="1"/>
  <c r="K1429" i="170" s="1"/>
  <c r="B1420" i="170"/>
  <c r="C1425" i="170" s="1"/>
  <c r="K1416" i="170"/>
  <c r="E1416" i="170"/>
  <c r="C1405" i="170"/>
  <c r="E1405" i="170" s="1"/>
  <c r="H1403" i="170"/>
  <c r="I1409" i="170" s="1"/>
  <c r="B1403" i="170"/>
  <c r="C1409" i="170" s="1"/>
  <c r="K1399" i="170"/>
  <c r="E1399" i="170"/>
  <c r="I1388" i="170"/>
  <c r="K1388" i="170" s="1"/>
  <c r="C1387" i="170"/>
  <c r="H1386" i="170"/>
  <c r="I1392" i="170" s="1"/>
  <c r="B1386" i="170"/>
  <c r="C1393" i="170" s="1"/>
  <c r="K1385" i="170"/>
  <c r="K1382" i="170"/>
  <c r="E1382" i="170"/>
  <c r="H1369" i="170"/>
  <c r="I1373" i="170" s="1"/>
  <c r="B1369" i="170"/>
  <c r="C1375" i="170" s="1"/>
  <c r="K1365" i="170"/>
  <c r="E1365" i="170"/>
  <c r="H1352" i="170"/>
  <c r="I1356" i="170" s="1"/>
  <c r="B1352" i="170"/>
  <c r="K1348" i="170"/>
  <c r="E1348" i="170"/>
  <c r="I1340" i="170"/>
  <c r="H1335" i="170"/>
  <c r="I1341" i="170" s="1"/>
  <c r="B1335" i="170"/>
  <c r="K1331" i="170"/>
  <c r="E1331" i="170"/>
  <c r="I1327" i="170"/>
  <c r="K1327" i="170" s="1"/>
  <c r="I1319" i="170"/>
  <c r="C1319" i="170"/>
  <c r="H1318" i="170"/>
  <c r="I1326" i="170" s="1"/>
  <c r="K1326" i="170" s="1"/>
  <c r="B1318" i="170"/>
  <c r="C1325" i="170" s="1"/>
  <c r="K1317" i="170"/>
  <c r="K1314" i="170"/>
  <c r="E1314" i="170"/>
  <c r="H1301" i="170"/>
  <c r="I1305" i="170" s="1"/>
  <c r="B1301" i="170"/>
  <c r="E1300" i="170" s="1"/>
  <c r="K1297" i="170"/>
  <c r="E1297" i="170"/>
  <c r="H1284" i="170"/>
  <c r="I1292" i="170" s="1"/>
  <c r="K1292" i="170" s="1"/>
  <c r="B1284" i="170"/>
  <c r="K1280" i="170"/>
  <c r="E1280" i="170"/>
  <c r="I1275" i="170"/>
  <c r="K1275" i="170" s="1"/>
  <c r="I1274" i="170"/>
  <c r="C1269" i="170"/>
  <c r="E1269" i="170" s="1"/>
  <c r="I1268" i="170"/>
  <c r="H1267" i="170"/>
  <c r="I1273" i="170" s="1"/>
  <c r="B1267" i="170"/>
  <c r="C1274" i="170" s="1"/>
  <c r="K1266" i="170"/>
  <c r="K1263" i="170"/>
  <c r="E1263" i="170"/>
  <c r="C1254" i="170"/>
  <c r="C1251" i="170"/>
  <c r="H1250" i="170"/>
  <c r="I1256" i="170" s="1"/>
  <c r="B1250" i="170"/>
  <c r="C1257" i="170" s="1"/>
  <c r="K1246" i="170"/>
  <c r="E1246" i="170"/>
  <c r="C1237" i="170"/>
  <c r="C1234" i="170"/>
  <c r="H1233" i="170"/>
  <c r="I1237" i="170" s="1"/>
  <c r="B1233" i="170"/>
  <c r="C1240" i="170" s="1"/>
  <c r="E1232" i="170"/>
  <c r="K1229" i="170"/>
  <c r="E1229" i="170"/>
  <c r="H1216" i="170"/>
  <c r="I1224" i="170" s="1"/>
  <c r="K1224" i="170" s="1"/>
  <c r="B1216" i="170"/>
  <c r="C1219" i="170" s="1"/>
  <c r="K1212" i="170"/>
  <c r="E1212" i="170"/>
  <c r="I1204" i="170"/>
  <c r="C1201" i="170"/>
  <c r="E1201" i="170" s="1"/>
  <c r="H1199" i="170"/>
  <c r="I1205" i="170" s="1"/>
  <c r="B1199" i="170"/>
  <c r="C1206" i="170" s="1"/>
  <c r="K1198" i="170"/>
  <c r="K1195" i="170"/>
  <c r="E1195" i="170"/>
  <c r="C1186" i="170"/>
  <c r="H1182" i="170"/>
  <c r="I1188" i="170" s="1"/>
  <c r="B1182" i="170"/>
  <c r="C1189" i="170" s="1"/>
  <c r="K1178" i="170"/>
  <c r="E1178" i="170"/>
  <c r="C1173" i="170"/>
  <c r="E1173" i="170" s="1"/>
  <c r="C1166" i="170"/>
  <c r="H1165" i="170"/>
  <c r="B1165" i="170"/>
  <c r="C1172" i="170" s="1"/>
  <c r="E1164" i="170"/>
  <c r="K1161" i="170"/>
  <c r="E1161" i="170"/>
  <c r="C1151" i="170"/>
  <c r="H1148" i="170"/>
  <c r="I1156" i="170" s="1"/>
  <c r="K1156" i="170" s="1"/>
  <c r="B1148" i="170"/>
  <c r="K1144" i="170"/>
  <c r="E1144" i="170"/>
  <c r="C1136" i="170"/>
  <c r="H1131" i="170"/>
  <c r="I1137" i="170" s="1"/>
  <c r="B1131" i="170"/>
  <c r="C1138" i="170" s="1"/>
  <c r="K1127" i="170"/>
  <c r="E1127" i="170"/>
  <c r="I1116" i="170"/>
  <c r="K1116" i="170" s="1"/>
  <c r="I1115" i="170"/>
  <c r="H1114" i="170"/>
  <c r="I1120" i="170" s="1"/>
  <c r="B1114" i="170"/>
  <c r="C1121" i="170" s="1"/>
  <c r="K1113" i="170"/>
  <c r="K1110" i="170"/>
  <c r="E1110" i="170"/>
  <c r="H1097" i="170"/>
  <c r="I1101" i="170" s="1"/>
  <c r="B1097" i="170"/>
  <c r="C1104" i="170" s="1"/>
  <c r="K1093" i="170"/>
  <c r="E1093" i="170"/>
  <c r="H1080" i="170"/>
  <c r="I1084" i="170" s="1"/>
  <c r="B1080" i="170"/>
  <c r="K1076" i="170"/>
  <c r="E1076" i="170"/>
  <c r="H1063" i="170"/>
  <c r="I1069" i="170" s="1"/>
  <c r="B1063" i="170"/>
  <c r="C1070" i="170" s="1"/>
  <c r="K1059" i="170"/>
  <c r="E1059" i="170"/>
  <c r="M1059" i="170" s="1"/>
  <c r="I1055" i="170"/>
  <c r="K1055" i="170" s="1"/>
  <c r="I1051" i="170"/>
  <c r="H1046" i="170"/>
  <c r="I1052" i="170" s="1"/>
  <c r="B1046" i="170"/>
  <c r="C1053" i="170" s="1"/>
  <c r="K1045" i="170"/>
  <c r="K1042" i="170"/>
  <c r="E1042" i="170"/>
  <c r="I1032" i="170"/>
  <c r="H1029" i="170"/>
  <c r="I1035" i="170" s="1"/>
  <c r="B1029" i="170"/>
  <c r="C1037" i="170" s="1"/>
  <c r="E1037" i="170" s="1"/>
  <c r="K1025" i="170"/>
  <c r="E1025" i="170"/>
  <c r="H1012" i="170"/>
  <c r="I1018" i="170" s="1"/>
  <c r="B1012" i="170"/>
  <c r="E1011" i="170" s="1"/>
  <c r="K1008" i="170"/>
  <c r="E1008" i="170"/>
  <c r="C1003" i="170"/>
  <c r="E1003" i="170" s="1"/>
  <c r="I996" i="170"/>
  <c r="H995" i="170"/>
  <c r="I1001" i="170" s="1"/>
  <c r="B995" i="170"/>
  <c r="C1002" i="170" s="1"/>
  <c r="K994" i="170"/>
  <c r="M991" i="170"/>
  <c r="K991" i="170"/>
  <c r="E991" i="170"/>
  <c r="H978" i="170"/>
  <c r="I981" i="170" s="1"/>
  <c r="B978" i="170"/>
  <c r="C985" i="170" s="1"/>
  <c r="K974" i="170"/>
  <c r="E974" i="170"/>
  <c r="C969" i="170"/>
  <c r="E969" i="170" s="1"/>
  <c r="H961" i="170"/>
  <c r="B961" i="170"/>
  <c r="C967" i="170" s="1"/>
  <c r="K957" i="170"/>
  <c r="E957" i="170"/>
  <c r="C946" i="170"/>
  <c r="E946" i="170" s="1"/>
  <c r="I945" i="170"/>
  <c r="H944" i="170"/>
  <c r="I946" i="170" s="1"/>
  <c r="K946" i="170" s="1"/>
  <c r="B944" i="170"/>
  <c r="E943" i="170" s="1"/>
  <c r="K943" i="170"/>
  <c r="K940" i="170"/>
  <c r="E940" i="170"/>
  <c r="H927" i="170"/>
  <c r="B927" i="170"/>
  <c r="C929" i="170" s="1"/>
  <c r="E929" i="170" s="1"/>
  <c r="K923" i="170"/>
  <c r="E923" i="170"/>
  <c r="H910" i="170"/>
  <c r="I916" i="170" s="1"/>
  <c r="B910" i="170"/>
  <c r="K906" i="170"/>
  <c r="E906" i="170"/>
  <c r="I895" i="170"/>
  <c r="K895" i="170" s="1"/>
  <c r="H893" i="170"/>
  <c r="I899" i="170" s="1"/>
  <c r="B893" i="170"/>
  <c r="C900" i="170" s="1"/>
  <c r="K889" i="170"/>
  <c r="E889" i="170"/>
  <c r="I878" i="170"/>
  <c r="K878" i="170" s="1"/>
  <c r="C877" i="170"/>
  <c r="H876" i="170"/>
  <c r="I882" i="170" s="1"/>
  <c r="B876" i="170"/>
  <c r="C883" i="170" s="1"/>
  <c r="E875" i="170"/>
  <c r="K872" i="170"/>
  <c r="E872" i="170"/>
  <c r="H859" i="170"/>
  <c r="I868" i="170" s="1"/>
  <c r="K868" i="170" s="1"/>
  <c r="B859" i="170"/>
  <c r="C864" i="170" s="1"/>
  <c r="K855" i="170"/>
  <c r="E855" i="170"/>
  <c r="H842" i="170"/>
  <c r="I848" i="170" s="1"/>
  <c r="B842" i="170"/>
  <c r="K838" i="170"/>
  <c r="E838" i="170"/>
  <c r="C829" i="170"/>
  <c r="H825" i="170"/>
  <c r="I831" i="170" s="1"/>
  <c r="B825" i="170"/>
  <c r="C832" i="170" s="1"/>
  <c r="K822" i="170"/>
  <c r="E822" i="170"/>
  <c r="I814" i="170"/>
  <c r="I811" i="170"/>
  <c r="K811" i="170" s="1"/>
  <c r="H809" i="170"/>
  <c r="I815" i="170" s="1"/>
  <c r="B809" i="170"/>
  <c r="C816" i="170" s="1"/>
  <c r="K808" i="170"/>
  <c r="K805" i="170"/>
  <c r="E805" i="170"/>
  <c r="H792" i="170"/>
  <c r="B792" i="170"/>
  <c r="C799" i="170" s="1"/>
  <c r="K788" i="170"/>
  <c r="E788" i="170"/>
  <c r="I784" i="170"/>
  <c r="K784" i="170" s="1"/>
  <c r="I783" i="170"/>
  <c r="K783" i="170" s="1"/>
  <c r="I776" i="170"/>
  <c r="H775" i="170"/>
  <c r="I781" i="170" s="1"/>
  <c r="B775" i="170"/>
  <c r="C782" i="170" s="1"/>
  <c r="K771" i="170"/>
  <c r="E771" i="170"/>
  <c r="I766" i="170"/>
  <c r="K766" i="170" s="1"/>
  <c r="I761" i="170"/>
  <c r="H758" i="170"/>
  <c r="I764" i="170" s="1"/>
  <c r="B758" i="170"/>
  <c r="K754" i="170"/>
  <c r="E754" i="170"/>
  <c r="I749" i="170"/>
  <c r="K749" i="170" s="1"/>
  <c r="C743" i="170"/>
  <c r="E743" i="170" s="1"/>
  <c r="H741" i="170"/>
  <c r="I747" i="170" s="1"/>
  <c r="B741" i="170"/>
  <c r="C746" i="170" s="1"/>
  <c r="K734" i="170"/>
  <c r="E734" i="170"/>
  <c r="I725" i="170"/>
  <c r="I724" i="170"/>
  <c r="K724" i="170" s="1"/>
  <c r="H722" i="170"/>
  <c r="I730" i="170" s="1"/>
  <c r="K730" i="170" s="1"/>
  <c r="B722" i="170"/>
  <c r="C730" i="170" s="1"/>
  <c r="E730" i="170" s="1"/>
  <c r="E718" i="170"/>
  <c r="B707" i="170"/>
  <c r="C715" i="170" s="1"/>
  <c r="E715" i="170" s="1"/>
  <c r="K703" i="170"/>
  <c r="E703" i="170"/>
  <c r="H690" i="170"/>
  <c r="I694" i="170" s="1"/>
  <c r="K686" i="170"/>
  <c r="E686" i="170"/>
  <c r="K669" i="170"/>
  <c r="E669" i="170"/>
  <c r="M669" i="170" s="1"/>
  <c r="M652" i="170"/>
  <c r="K652" i="170"/>
  <c r="E652" i="170"/>
  <c r="L651" i="170"/>
  <c r="M634" i="170"/>
  <c r="K634" i="170"/>
  <c r="E634" i="170"/>
  <c r="K617" i="170"/>
  <c r="E617" i="170"/>
  <c r="M617" i="170" s="1"/>
  <c r="K600" i="170"/>
  <c r="E600" i="170"/>
  <c r="M600" i="170" s="1"/>
  <c r="K583" i="170"/>
  <c r="M583" i="170" s="1"/>
  <c r="E583" i="170"/>
  <c r="K566" i="170"/>
  <c r="E566" i="170"/>
  <c r="M566" i="170" s="1"/>
  <c r="K549" i="170"/>
  <c r="M549" i="170" s="1"/>
  <c r="E549" i="170"/>
  <c r="K533" i="170"/>
  <c r="E533" i="170"/>
  <c r="M533" i="170" s="1"/>
  <c r="L532" i="170"/>
  <c r="K516" i="170"/>
  <c r="M516" i="170" s="1"/>
  <c r="E516" i="170"/>
  <c r="K499" i="170"/>
  <c r="E499" i="170"/>
  <c r="M499" i="170" s="1"/>
  <c r="K481" i="170"/>
  <c r="M481" i="170" s="1"/>
  <c r="E481" i="170"/>
  <c r="K463" i="170"/>
  <c r="M463" i="170" s="1"/>
  <c r="E463" i="170"/>
  <c r="K447" i="170"/>
  <c r="E447" i="170"/>
  <c r="M447" i="170" s="1"/>
  <c r="M430" i="170"/>
  <c r="K430" i="170"/>
  <c r="E430" i="170"/>
  <c r="K413" i="170"/>
  <c r="E413" i="170"/>
  <c r="M413" i="170" s="1"/>
  <c r="K395" i="170"/>
  <c r="M395" i="170" s="1"/>
  <c r="E395" i="170"/>
  <c r="K378" i="170"/>
  <c r="E378" i="170"/>
  <c r="M377" i="170"/>
  <c r="K361" i="170"/>
  <c r="E361" i="170"/>
  <c r="M361" i="170" s="1"/>
  <c r="K343" i="170"/>
  <c r="E343" i="170"/>
  <c r="K325" i="170"/>
  <c r="E325" i="170"/>
  <c r="M325" i="170" s="1"/>
  <c r="K308" i="170"/>
  <c r="E308" i="170"/>
  <c r="M308" i="170" s="1"/>
  <c r="K291" i="170"/>
  <c r="M291" i="170" s="1"/>
  <c r="E291" i="170"/>
  <c r="K274" i="170"/>
  <c r="E274" i="170"/>
  <c r="M274" i="170" s="1"/>
  <c r="M257" i="170"/>
  <c r="K257" i="170"/>
  <c r="E257" i="170"/>
  <c r="K240" i="170"/>
  <c r="M240" i="170" s="1"/>
  <c r="E240" i="170"/>
  <c r="K222" i="170"/>
  <c r="E222" i="170"/>
  <c r="M222" i="170" s="1"/>
  <c r="M205" i="170"/>
  <c r="K205" i="170"/>
  <c r="E205" i="170"/>
  <c r="K188" i="170"/>
  <c r="E188" i="170"/>
  <c r="M188" i="170" s="1"/>
  <c r="K171" i="170"/>
  <c r="E171" i="170"/>
  <c r="M171" i="170" s="1"/>
  <c r="M154" i="170"/>
  <c r="K154" i="170"/>
  <c r="E154" i="170"/>
  <c r="K137" i="170"/>
  <c r="E137" i="170"/>
  <c r="M137" i="170" s="1"/>
  <c r="K120" i="170"/>
  <c r="E120" i="170"/>
  <c r="M120" i="170" s="1"/>
  <c r="M103" i="170"/>
  <c r="K103" i="170"/>
  <c r="E103" i="170"/>
  <c r="K86" i="170"/>
  <c r="M86" i="170" s="1"/>
  <c r="E86" i="170"/>
  <c r="K69" i="170"/>
  <c r="E69" i="170"/>
  <c r="M69" i="170" s="1"/>
  <c r="K52" i="170"/>
  <c r="E52" i="170"/>
  <c r="K35" i="170"/>
  <c r="E35" i="170"/>
  <c r="G21" i="170"/>
  <c r="K18" i="170"/>
  <c r="E18" i="170"/>
  <c r="M18" i="170" s="1"/>
  <c r="G4" i="170"/>
  <c r="B2" i="170"/>
  <c r="J19" i="158"/>
  <c r="C12" i="158"/>
  <c r="X5" i="158"/>
  <c r="Y5" i="158" s="1"/>
  <c r="Z5" i="158" s="1"/>
  <c r="E16" i="157"/>
  <c r="E14" i="157"/>
  <c r="H13" i="157"/>
  <c r="E13" i="157"/>
  <c r="M12" i="157"/>
  <c r="H12" i="157"/>
  <c r="H14" i="157" s="1"/>
  <c r="E12" i="157"/>
  <c r="L35" i="154"/>
  <c r="E19" i="154"/>
  <c r="J11" i="154"/>
  <c r="N17" i="153"/>
  <c r="F17" i="153"/>
  <c r="N16" i="153"/>
  <c r="F16" i="153"/>
  <c r="N14" i="153"/>
  <c r="N13" i="153"/>
  <c r="K12" i="153"/>
  <c r="F12" i="153"/>
  <c r="O10" i="153"/>
  <c r="L174" i="132"/>
  <c r="L180" i="132" s="1"/>
  <c r="H174" i="132"/>
  <c r="H180" i="132" s="1"/>
  <c r="G174" i="132"/>
  <c r="G180" i="132" s="1"/>
  <c r="L179" i="132"/>
  <c r="G179" i="132"/>
  <c r="L95" i="132"/>
  <c r="J95" i="132"/>
  <c r="B54" i="132"/>
  <c r="L13" i="132"/>
  <c r="J13" i="132"/>
  <c r="G17" i="136"/>
  <c r="H17" i="136" s="1"/>
  <c r="D17" i="136"/>
  <c r="D16" i="136" s="1"/>
  <c r="B17" i="136"/>
  <c r="D13" i="167" s="1"/>
  <c r="E16" i="136"/>
  <c r="E15" i="136"/>
  <c r="E13" i="136" s="1"/>
  <c r="E18" i="136" s="1"/>
  <c r="B15" i="136"/>
  <c r="E14" i="136"/>
  <c r="B14" i="136"/>
  <c r="D10" i="167" s="1"/>
  <c r="Z5" i="136"/>
  <c r="AA5" i="136" s="1"/>
  <c r="AB5" i="136" s="1"/>
  <c r="E14" i="135"/>
  <c r="G14" i="135" s="1"/>
  <c r="B14" i="135"/>
  <c r="D162" i="132" s="1"/>
  <c r="E13" i="135"/>
  <c r="G13" i="135" s="1"/>
  <c r="B13" i="135"/>
  <c r="AD5" i="135"/>
  <c r="AE5" i="135" s="1"/>
  <c r="AC5" i="135"/>
  <c r="W214" i="151"/>
  <c r="W213" i="151"/>
  <c r="W212" i="151"/>
  <c r="F206" i="151"/>
  <c r="L194" i="151"/>
  <c r="L193" i="151"/>
  <c r="L192" i="151"/>
  <c r="L191" i="151"/>
  <c r="L190" i="151"/>
  <c r="L188" i="151"/>
  <c r="T180" i="151"/>
  <c r="C180" i="151"/>
  <c r="V163" i="151"/>
  <c r="AC162" i="151"/>
  <c r="T162" i="151"/>
  <c r="C162" i="151"/>
  <c r="AC161" i="151"/>
  <c r="W161" i="151"/>
  <c r="C161" i="151"/>
  <c r="AC160" i="151"/>
  <c r="W160" i="151"/>
  <c r="C160" i="151"/>
  <c r="B2036" i="170" s="1"/>
  <c r="AC159" i="151"/>
  <c r="AC158" i="151"/>
  <c r="AC157" i="151"/>
  <c r="AC156" i="151"/>
  <c r="AC155" i="151"/>
  <c r="AC154" i="151"/>
  <c r="AC153" i="151"/>
  <c r="AC152" i="151"/>
  <c r="AC151" i="151"/>
  <c r="AC150" i="151"/>
  <c r="AC149" i="151"/>
  <c r="AC148" i="151"/>
  <c r="AC147" i="151"/>
  <c r="AC146" i="151"/>
  <c r="AC145" i="151"/>
  <c r="AC144" i="151"/>
  <c r="AC143" i="151"/>
  <c r="AC142" i="151"/>
  <c r="AC141" i="151"/>
  <c r="AC140" i="151"/>
  <c r="AC139" i="151"/>
  <c r="AC138" i="151"/>
  <c r="AC137" i="151"/>
  <c r="AC136" i="151"/>
  <c r="AC135" i="151"/>
  <c r="AC134" i="151"/>
  <c r="AC133" i="151"/>
  <c r="AC132" i="151"/>
  <c r="AC131" i="151"/>
  <c r="AC130" i="151"/>
  <c r="AC129" i="151"/>
  <c r="AC128" i="151"/>
  <c r="AC127" i="151"/>
  <c r="AC126" i="151"/>
  <c r="AC125" i="151"/>
  <c r="AC124" i="151"/>
  <c r="AC123" i="151"/>
  <c r="AC122" i="151"/>
  <c r="AC121" i="151"/>
  <c r="AC120" i="151"/>
  <c r="AC119" i="151"/>
  <c r="AC118" i="151"/>
  <c r="AC117" i="151"/>
  <c r="AC116" i="151"/>
  <c r="AC115" i="151"/>
  <c r="AC114" i="151"/>
  <c r="AC113" i="151"/>
  <c r="AC112" i="151"/>
  <c r="AC111" i="151"/>
  <c r="AC110" i="151"/>
  <c r="AC109" i="151"/>
  <c r="AC108" i="151"/>
  <c r="AC107" i="151"/>
  <c r="AC106" i="151"/>
  <c r="AC105" i="151"/>
  <c r="AC104" i="151"/>
  <c r="AC103" i="151"/>
  <c r="AC102" i="151"/>
  <c r="AC101" i="151"/>
  <c r="AC100" i="151"/>
  <c r="AC99" i="151"/>
  <c r="AC98" i="151"/>
  <c r="S98" i="151"/>
  <c r="AC97" i="151"/>
  <c r="AA97" i="151"/>
  <c r="C96" i="151"/>
  <c r="H96" i="151" s="1"/>
  <c r="B81" i="151"/>
  <c r="B56" i="151"/>
  <c r="AH24" i="151"/>
  <c r="AA15" i="151"/>
  <c r="AA163" i="151" s="1"/>
  <c r="Y163" i="151"/>
  <c r="U163" i="151"/>
  <c r="D29" i="154" s="1"/>
  <c r="AK8" i="151"/>
  <c r="AG8" i="151"/>
  <c r="X8" i="151"/>
  <c r="AK7" i="151"/>
  <c r="AG7" i="151"/>
  <c r="W147" i="101"/>
  <c r="W146" i="101"/>
  <c r="W145" i="101"/>
  <c r="Y83" i="101"/>
  <c r="V82" i="101"/>
  <c r="U82" i="101"/>
  <c r="U83" i="101" s="1"/>
  <c r="T82" i="101"/>
  <c r="T83" i="101" s="1"/>
  <c r="C82" i="101"/>
  <c r="C80" i="101"/>
  <c r="F80" i="101" s="1"/>
  <c r="C79" i="101"/>
  <c r="S74" i="101"/>
  <c r="B74" i="101"/>
  <c r="S73" i="101"/>
  <c r="B73" i="101"/>
  <c r="S72" i="101"/>
  <c r="B72" i="101"/>
  <c r="S71" i="101"/>
  <c r="B71" i="101"/>
  <c r="S70" i="101"/>
  <c r="C70" i="101"/>
  <c r="B70" i="101"/>
  <c r="S69" i="101"/>
  <c r="S68" i="101"/>
  <c r="S67" i="101"/>
  <c r="S66" i="101"/>
  <c r="B66" i="101"/>
  <c r="S65" i="101"/>
  <c r="B65" i="101"/>
  <c r="S64" i="101"/>
  <c r="B64" i="101"/>
  <c r="S63" i="101"/>
  <c r="B63" i="101"/>
  <c r="S62" i="101"/>
  <c r="B62" i="101"/>
  <c r="S61" i="101"/>
  <c r="S60" i="101"/>
  <c r="S59" i="101"/>
  <c r="B59" i="101"/>
  <c r="S58" i="101"/>
  <c r="B58" i="101"/>
  <c r="S57" i="101"/>
  <c r="S56" i="101"/>
  <c r="B56" i="101"/>
  <c r="S55" i="101"/>
  <c r="S54" i="101"/>
  <c r="B54" i="101"/>
  <c r="S53" i="101"/>
  <c r="S52" i="101"/>
  <c r="B52" i="101"/>
  <c r="S51" i="101"/>
  <c r="S50" i="101"/>
  <c r="B50" i="101"/>
  <c r="S49" i="101"/>
  <c r="S48" i="101"/>
  <c r="B48" i="101"/>
  <c r="S47" i="101"/>
  <c r="B47" i="101"/>
  <c r="S46" i="101"/>
  <c r="B46" i="101"/>
  <c r="S45" i="101"/>
  <c r="B45" i="101"/>
  <c r="S44" i="101"/>
  <c r="B44" i="101"/>
  <c r="S43" i="101"/>
  <c r="B43" i="101"/>
  <c r="S42" i="101"/>
  <c r="S41" i="101"/>
  <c r="S40" i="101"/>
  <c r="B40" i="101"/>
  <c r="S39" i="101"/>
  <c r="S38" i="101"/>
  <c r="S37" i="101"/>
  <c r="B37" i="101"/>
  <c r="S36" i="101"/>
  <c r="S35" i="101"/>
  <c r="B35" i="101"/>
  <c r="S34" i="101"/>
  <c r="S33" i="101"/>
  <c r="S32" i="101"/>
  <c r="B32" i="101"/>
  <c r="S31" i="101"/>
  <c r="B31" i="101"/>
  <c r="S30" i="101"/>
  <c r="B30" i="101"/>
  <c r="S29" i="101"/>
  <c r="B29" i="101"/>
  <c r="S28" i="101"/>
  <c r="S27" i="101"/>
  <c r="B27" i="101"/>
  <c r="S26" i="101"/>
  <c r="S25" i="101"/>
  <c r="B25" i="101"/>
  <c r="S24" i="101"/>
  <c r="B24" i="101"/>
  <c r="S23" i="101"/>
  <c r="S22" i="101"/>
  <c r="B22" i="101"/>
  <c r="S21" i="101"/>
  <c r="S20" i="101"/>
  <c r="S19" i="101"/>
  <c r="B19" i="101"/>
  <c r="S18" i="101"/>
  <c r="B18" i="101"/>
  <c r="S17" i="101"/>
  <c r="E13" i="101"/>
  <c r="W196" i="99"/>
  <c r="W195" i="99"/>
  <c r="W194" i="99"/>
  <c r="J180" i="99"/>
  <c r="J177" i="99"/>
  <c r="F177" i="99"/>
  <c r="J176" i="99"/>
  <c r="F176" i="99"/>
  <c r="J175" i="99"/>
  <c r="F175" i="99"/>
  <c r="F173" i="99"/>
  <c r="J172" i="99"/>
  <c r="J171" i="99"/>
  <c r="J170" i="99"/>
  <c r="J169" i="99"/>
  <c r="J168" i="99"/>
  <c r="J167" i="99"/>
  <c r="J166" i="99"/>
  <c r="J165" i="99"/>
  <c r="O153" i="99"/>
  <c r="C153" i="99"/>
  <c r="AC104" i="99"/>
  <c r="AC112" i="99" s="1"/>
  <c r="Y97" i="99"/>
  <c r="C96" i="99"/>
  <c r="B93" i="99"/>
  <c r="B92" i="99"/>
  <c r="B91" i="99"/>
  <c r="B90" i="99"/>
  <c r="B89" i="99"/>
  <c r="S88" i="99"/>
  <c r="S87" i="99"/>
  <c r="S86" i="99"/>
  <c r="S85" i="99"/>
  <c r="S84" i="99"/>
  <c r="S83" i="99"/>
  <c r="S82" i="99"/>
  <c r="S80" i="99"/>
  <c r="S79" i="99"/>
  <c r="S78" i="99"/>
  <c r="S77" i="99"/>
  <c r="S76" i="99"/>
  <c r="S74" i="99"/>
  <c r="S73" i="99"/>
  <c r="S72" i="99"/>
  <c r="S71" i="99"/>
  <c r="S70" i="99"/>
  <c r="S69" i="99"/>
  <c r="S68" i="99"/>
  <c r="S67" i="99"/>
  <c r="S66" i="99"/>
  <c r="S65" i="99"/>
  <c r="S64" i="99"/>
  <c r="S63" i="99"/>
  <c r="S62" i="99"/>
  <c r="S61" i="99"/>
  <c r="S60" i="99"/>
  <c r="S59" i="99"/>
  <c r="S58" i="99"/>
  <c r="S57" i="99"/>
  <c r="S56" i="99"/>
  <c r="B56" i="99"/>
  <c r="S55" i="99"/>
  <c r="S54" i="99"/>
  <c r="S52" i="99"/>
  <c r="S51" i="99"/>
  <c r="S50" i="99"/>
  <c r="S49" i="99"/>
  <c r="S48" i="99"/>
  <c r="S47" i="99"/>
  <c r="S46" i="99"/>
  <c r="S45" i="99"/>
  <c r="S44" i="99"/>
  <c r="S43" i="99"/>
  <c r="S42" i="99"/>
  <c r="S41" i="99"/>
  <c r="S40" i="99"/>
  <c r="S39" i="99"/>
  <c r="S38" i="99"/>
  <c r="S36" i="99"/>
  <c r="S35" i="99"/>
  <c r="S34" i="99"/>
  <c r="S33" i="99"/>
  <c r="S32" i="99"/>
  <c r="S31" i="99"/>
  <c r="S30" i="99"/>
  <c r="S29" i="99"/>
  <c r="S28" i="99"/>
  <c r="S27" i="99"/>
  <c r="S26" i="99"/>
  <c r="S25" i="99"/>
  <c r="S24" i="99"/>
  <c r="S23" i="99"/>
  <c r="S22" i="99"/>
  <c r="S21" i="99"/>
  <c r="S19" i="99"/>
  <c r="S18" i="99"/>
  <c r="S17" i="99"/>
  <c r="S16" i="99"/>
  <c r="W96" i="99"/>
  <c r="AO167" i="9"/>
  <c r="AI165" i="9"/>
  <c r="AK164" i="9"/>
  <c r="AK165" i="9" s="1"/>
  <c r="AJ164" i="9"/>
  <c r="AJ165" i="9" s="1"/>
  <c r="AI164" i="9"/>
  <c r="AH164" i="9"/>
  <c r="AH165" i="9" s="1"/>
  <c r="I162" i="9"/>
  <c r="G162" i="9"/>
  <c r="AG159" i="9"/>
  <c r="AF158" i="9"/>
  <c r="Q157" i="9"/>
  <c r="AC157" i="9" s="1"/>
  <c r="AC156" i="9"/>
  <c r="Q156" i="9"/>
  <c r="Q155" i="9"/>
  <c r="Q154" i="9"/>
  <c r="AC154" i="9" s="1"/>
  <c r="C154" i="9"/>
  <c r="T153" i="9"/>
  <c r="Q153" i="9"/>
  <c r="AC153" i="9" s="1"/>
  <c r="C153" i="9"/>
  <c r="C77" i="101" s="1"/>
  <c r="T152" i="9"/>
  <c r="Q152" i="9"/>
  <c r="AC152" i="9" s="1"/>
  <c r="C152" i="9"/>
  <c r="C76" i="101" s="1"/>
  <c r="T151" i="9"/>
  <c r="Q151" i="9"/>
  <c r="AC151" i="9" s="1"/>
  <c r="C151" i="9"/>
  <c r="C156" i="151" s="1"/>
  <c r="T150" i="9"/>
  <c r="F150" i="9"/>
  <c r="Q150" i="9" s="1"/>
  <c r="AC150" i="9" s="1"/>
  <c r="E150" i="9"/>
  <c r="C150" i="9"/>
  <c r="C155" i="151" s="1"/>
  <c r="T149" i="9"/>
  <c r="F149" i="9"/>
  <c r="Q149" i="9" s="1"/>
  <c r="AC149" i="9" s="1"/>
  <c r="E149" i="9"/>
  <c r="C149" i="9"/>
  <c r="T148" i="9"/>
  <c r="F148" i="9"/>
  <c r="Q148" i="9" s="1"/>
  <c r="AC148" i="9" s="1"/>
  <c r="E148" i="9"/>
  <c r="C148" i="9"/>
  <c r="C153" i="151" s="1"/>
  <c r="T147" i="9"/>
  <c r="F147" i="9"/>
  <c r="Q147" i="9" s="1"/>
  <c r="AC147" i="9" s="1"/>
  <c r="E147" i="9"/>
  <c r="C147" i="9"/>
  <c r="C152" i="151" s="1"/>
  <c r="T146" i="9"/>
  <c r="F146" i="9"/>
  <c r="Q146" i="9" s="1"/>
  <c r="AC146" i="9" s="1"/>
  <c r="E146" i="9"/>
  <c r="C146" i="9"/>
  <c r="C151" i="151" s="1"/>
  <c r="B146" i="9"/>
  <c r="T145" i="9"/>
  <c r="F145" i="9"/>
  <c r="E145" i="9"/>
  <c r="Q145" i="9" s="1"/>
  <c r="AC145" i="9" s="1"/>
  <c r="C145" i="9"/>
  <c r="T144" i="9"/>
  <c r="F144" i="9"/>
  <c r="E144" i="9"/>
  <c r="Q144" i="9" s="1"/>
  <c r="AC144" i="9" s="1"/>
  <c r="C144" i="9"/>
  <c r="T143" i="9"/>
  <c r="F143" i="9"/>
  <c r="Q143" i="9" s="1"/>
  <c r="AC143" i="9" s="1"/>
  <c r="E143" i="9"/>
  <c r="C143" i="9"/>
  <c r="T142" i="9"/>
  <c r="Q142" i="9"/>
  <c r="AC142" i="9" s="1"/>
  <c r="F142" i="9"/>
  <c r="E142" i="9"/>
  <c r="C142" i="9"/>
  <c r="T141" i="9"/>
  <c r="F141" i="9"/>
  <c r="E141" i="9"/>
  <c r="Q141" i="9" s="1"/>
  <c r="AC141" i="9" s="1"/>
  <c r="C141" i="9"/>
  <c r="T140" i="9"/>
  <c r="F140" i="9"/>
  <c r="E140" i="9"/>
  <c r="Q140" i="9" s="1"/>
  <c r="AC140" i="9" s="1"/>
  <c r="C140" i="9"/>
  <c r="T139" i="9"/>
  <c r="F139" i="9"/>
  <c r="E139" i="9"/>
  <c r="Q139" i="9" s="1"/>
  <c r="AC139" i="9" s="1"/>
  <c r="C139" i="9"/>
  <c r="T138" i="9"/>
  <c r="F138" i="9"/>
  <c r="E138" i="9"/>
  <c r="Q138" i="9" s="1"/>
  <c r="AC138" i="9" s="1"/>
  <c r="C138" i="9"/>
  <c r="T137" i="9"/>
  <c r="F137" i="9"/>
  <c r="E137" i="9"/>
  <c r="Q137" i="9" s="1"/>
  <c r="AC137" i="9" s="1"/>
  <c r="C137" i="9"/>
  <c r="AG136" i="9"/>
  <c r="T136" i="9"/>
  <c r="F136" i="9"/>
  <c r="E136" i="9"/>
  <c r="C136" i="9"/>
  <c r="C60" i="101" s="1"/>
  <c r="T135" i="9"/>
  <c r="Q135" i="9"/>
  <c r="AC135" i="9" s="1"/>
  <c r="F135" i="9"/>
  <c r="E135" i="9"/>
  <c r="C135" i="9"/>
  <c r="C140" i="151" s="1"/>
  <c r="T134" i="9"/>
  <c r="F134" i="9"/>
  <c r="E134" i="9"/>
  <c r="C134" i="9"/>
  <c r="C139" i="151" s="1"/>
  <c r="T133" i="9"/>
  <c r="F133" i="9"/>
  <c r="E133" i="9"/>
  <c r="Q133" i="9" s="1"/>
  <c r="AC133" i="9" s="1"/>
  <c r="C133" i="9"/>
  <c r="C138" i="151" s="1"/>
  <c r="H138" i="151" s="1"/>
  <c r="T132" i="9"/>
  <c r="F132" i="9"/>
  <c r="E132" i="9"/>
  <c r="Q132" i="9" s="1"/>
  <c r="AC132" i="9" s="1"/>
  <c r="C132" i="9"/>
  <c r="C137" i="151" s="1"/>
  <c r="T131" i="9"/>
  <c r="F131" i="9"/>
  <c r="E131" i="9"/>
  <c r="C131" i="9"/>
  <c r="C136" i="151" s="1"/>
  <c r="T130" i="9"/>
  <c r="F130" i="9"/>
  <c r="E130" i="9"/>
  <c r="Q130" i="9" s="1"/>
  <c r="AC130" i="9" s="1"/>
  <c r="C130" i="9"/>
  <c r="C135" i="151" s="1"/>
  <c r="H135" i="151" s="1"/>
  <c r="T129" i="9"/>
  <c r="F129" i="9"/>
  <c r="E129" i="9"/>
  <c r="C129" i="9"/>
  <c r="C134" i="151" s="1"/>
  <c r="T128" i="9"/>
  <c r="F128" i="9"/>
  <c r="E128" i="9"/>
  <c r="Q128" i="9" s="1"/>
  <c r="AC128" i="9" s="1"/>
  <c r="C128" i="9"/>
  <c r="C133" i="151" s="1"/>
  <c r="T127" i="9"/>
  <c r="F127" i="9"/>
  <c r="E127" i="9"/>
  <c r="C127" i="9"/>
  <c r="C132" i="151" s="1"/>
  <c r="T126" i="9"/>
  <c r="F126" i="9"/>
  <c r="E126" i="9"/>
  <c r="Q126" i="9" s="1"/>
  <c r="AC126" i="9" s="1"/>
  <c r="C126" i="9"/>
  <c r="T125" i="9"/>
  <c r="F125" i="9"/>
  <c r="E125" i="9"/>
  <c r="C125" i="9"/>
  <c r="C130" i="151" s="1"/>
  <c r="T124" i="9"/>
  <c r="F124" i="9"/>
  <c r="E124" i="9"/>
  <c r="Q124" i="9" s="1"/>
  <c r="AC124" i="9" s="1"/>
  <c r="C124" i="9"/>
  <c r="T123" i="9"/>
  <c r="F123" i="9"/>
  <c r="E123" i="9"/>
  <c r="Q123" i="9" s="1"/>
  <c r="AC123" i="9" s="1"/>
  <c r="C123" i="9"/>
  <c r="T122" i="9"/>
  <c r="F122" i="9"/>
  <c r="E122" i="9"/>
  <c r="Q122" i="9" s="1"/>
  <c r="AC122" i="9" s="1"/>
  <c r="C122" i="9"/>
  <c r="T121" i="9"/>
  <c r="F121" i="9"/>
  <c r="E121" i="9"/>
  <c r="Q121" i="9" s="1"/>
  <c r="AC121" i="9" s="1"/>
  <c r="C121" i="9"/>
  <c r="T120" i="9"/>
  <c r="F120" i="9"/>
  <c r="E120" i="9"/>
  <c r="Q120" i="9" s="1"/>
  <c r="AC120" i="9" s="1"/>
  <c r="C120" i="9"/>
  <c r="T119" i="9"/>
  <c r="F119" i="9"/>
  <c r="E119" i="9"/>
  <c r="Q119" i="9" s="1"/>
  <c r="AC119" i="9" s="1"/>
  <c r="C119" i="9"/>
  <c r="T118" i="9"/>
  <c r="F118" i="9"/>
  <c r="E118" i="9"/>
  <c r="Q118" i="9" s="1"/>
  <c r="AC118" i="9" s="1"/>
  <c r="C118" i="9"/>
  <c r="T117" i="9"/>
  <c r="F117" i="9"/>
  <c r="E117" i="9"/>
  <c r="Q117" i="9" s="1"/>
  <c r="AC117" i="9" s="1"/>
  <c r="C117" i="9"/>
  <c r="T116" i="9"/>
  <c r="F116" i="9"/>
  <c r="E116" i="9"/>
  <c r="Q116" i="9" s="1"/>
  <c r="AC116" i="9" s="1"/>
  <c r="C116" i="9"/>
  <c r="T115" i="9"/>
  <c r="F115" i="9"/>
  <c r="E115" i="9"/>
  <c r="Q115" i="9" s="1"/>
  <c r="AC115" i="9" s="1"/>
  <c r="C115" i="9"/>
  <c r="T114" i="9"/>
  <c r="F114" i="9"/>
  <c r="E114" i="9"/>
  <c r="Q114" i="9" s="1"/>
  <c r="AC114" i="9" s="1"/>
  <c r="C114" i="9"/>
  <c r="T113" i="9"/>
  <c r="F113" i="9"/>
  <c r="E113" i="9"/>
  <c r="Q113" i="9" s="1"/>
  <c r="AC113" i="9" s="1"/>
  <c r="C113" i="9"/>
  <c r="T112" i="9"/>
  <c r="F112" i="9"/>
  <c r="E112" i="9"/>
  <c r="Q112" i="9" s="1"/>
  <c r="AC112" i="9" s="1"/>
  <c r="C112" i="9"/>
  <c r="T111" i="9"/>
  <c r="F111" i="9"/>
  <c r="E111" i="9"/>
  <c r="Q111" i="9" s="1"/>
  <c r="AC111" i="9" s="1"/>
  <c r="C111" i="9"/>
  <c r="T110" i="9"/>
  <c r="F110" i="9"/>
  <c r="E110" i="9"/>
  <c r="Q110" i="9" s="1"/>
  <c r="AC110" i="9" s="1"/>
  <c r="C110" i="9"/>
  <c r="T109" i="9"/>
  <c r="F109" i="9"/>
  <c r="E109" i="9"/>
  <c r="Q109" i="9" s="1"/>
  <c r="AC109" i="9" s="1"/>
  <c r="C109" i="9"/>
  <c r="T108" i="9"/>
  <c r="F108" i="9"/>
  <c r="E108" i="9"/>
  <c r="Q108" i="9" s="1"/>
  <c r="AC108" i="9" s="1"/>
  <c r="C108" i="9"/>
  <c r="T107" i="9"/>
  <c r="F107" i="9"/>
  <c r="E107" i="9"/>
  <c r="Q107" i="9" s="1"/>
  <c r="AC107" i="9" s="1"/>
  <c r="C107" i="9"/>
  <c r="T106" i="9"/>
  <c r="F106" i="9"/>
  <c r="E106" i="9"/>
  <c r="Q106" i="9" s="1"/>
  <c r="AC106" i="9" s="1"/>
  <c r="C106" i="9"/>
  <c r="T105" i="9"/>
  <c r="F105" i="9"/>
  <c r="E105" i="9"/>
  <c r="Q105" i="9" s="1"/>
  <c r="AC105" i="9" s="1"/>
  <c r="C105" i="9"/>
  <c r="T104" i="9"/>
  <c r="F104" i="9"/>
  <c r="E104" i="9"/>
  <c r="Q104" i="9" s="1"/>
  <c r="AC104" i="9" s="1"/>
  <c r="C104" i="9"/>
  <c r="T103" i="9"/>
  <c r="F103" i="9"/>
  <c r="E103" i="9"/>
  <c r="Q103" i="9" s="1"/>
  <c r="AC103" i="9" s="1"/>
  <c r="C103" i="9"/>
  <c r="T102" i="9"/>
  <c r="F102" i="9"/>
  <c r="E102" i="9"/>
  <c r="Q102" i="9" s="1"/>
  <c r="AC102" i="9" s="1"/>
  <c r="C102" i="9"/>
  <c r="T101" i="9"/>
  <c r="F101" i="9"/>
  <c r="E101" i="9"/>
  <c r="Q101" i="9" s="1"/>
  <c r="AC101" i="9" s="1"/>
  <c r="C101" i="9"/>
  <c r="T100" i="9"/>
  <c r="F100" i="9"/>
  <c r="E100" i="9"/>
  <c r="Q100" i="9" s="1"/>
  <c r="AC100" i="9" s="1"/>
  <c r="C100" i="9"/>
  <c r="T99" i="9"/>
  <c r="F99" i="9"/>
  <c r="E99" i="9"/>
  <c r="Q99" i="9" s="1"/>
  <c r="AC99" i="9" s="1"/>
  <c r="C99" i="9"/>
  <c r="AG98" i="9"/>
  <c r="T98" i="9"/>
  <c r="F98" i="9"/>
  <c r="E98" i="9"/>
  <c r="Q98" i="9" s="1"/>
  <c r="AC98" i="9" s="1"/>
  <c r="C98" i="9"/>
  <c r="T97" i="9"/>
  <c r="F97" i="9"/>
  <c r="E97" i="9"/>
  <c r="C97" i="9"/>
  <c r="T96" i="9"/>
  <c r="F96" i="9"/>
  <c r="E96" i="9"/>
  <c r="C96" i="9"/>
  <c r="T95" i="9"/>
  <c r="F95" i="9"/>
  <c r="E95" i="9"/>
  <c r="C95" i="9"/>
  <c r="T94" i="9"/>
  <c r="F94" i="9"/>
  <c r="E94" i="9"/>
  <c r="C94" i="9"/>
  <c r="T93" i="9"/>
  <c r="F93" i="9"/>
  <c r="F92" i="9" s="1"/>
  <c r="E93" i="9"/>
  <c r="C93" i="9"/>
  <c r="AE92" i="9"/>
  <c r="AB92" i="9"/>
  <c r="AA92" i="9"/>
  <c r="Z92" i="9"/>
  <c r="Y92" i="9"/>
  <c r="S92" i="9"/>
  <c r="P92" i="9"/>
  <c r="O92" i="9"/>
  <c r="N92" i="9"/>
  <c r="M92" i="9"/>
  <c r="L92" i="9"/>
  <c r="K92" i="9"/>
  <c r="J92" i="9"/>
  <c r="I92" i="9"/>
  <c r="H92" i="9"/>
  <c r="G92" i="9"/>
  <c r="U91" i="9"/>
  <c r="M91" i="9"/>
  <c r="Q91" i="9" s="1"/>
  <c r="AC91" i="9" s="1"/>
  <c r="AC90" i="9"/>
  <c r="Q90" i="9"/>
  <c r="C90" i="9"/>
  <c r="AC89" i="9"/>
  <c r="Q89" i="9"/>
  <c r="C89" i="9"/>
  <c r="Q88" i="9"/>
  <c r="AC88" i="9" s="1"/>
  <c r="C88" i="9"/>
  <c r="Q87" i="9"/>
  <c r="AC87" i="9" s="1"/>
  <c r="C87" i="9"/>
  <c r="T86" i="9"/>
  <c r="Q86" i="9"/>
  <c r="AC86" i="9" s="1"/>
  <c r="C86" i="9"/>
  <c r="T85" i="9"/>
  <c r="Q85" i="9"/>
  <c r="AC85" i="9" s="1"/>
  <c r="C85" i="9"/>
  <c r="T84" i="9"/>
  <c r="Q84" i="9"/>
  <c r="AC84" i="9" s="1"/>
  <c r="C84" i="9"/>
  <c r="T83" i="9"/>
  <c r="F83" i="9"/>
  <c r="E83" i="9"/>
  <c r="Q83" i="9" s="1"/>
  <c r="AC83" i="9" s="1"/>
  <c r="C83" i="9"/>
  <c r="T82" i="9"/>
  <c r="F82" i="9"/>
  <c r="E82" i="9"/>
  <c r="C82" i="9"/>
  <c r="T81" i="9"/>
  <c r="F81" i="9"/>
  <c r="Q81" i="9" s="1"/>
  <c r="AC81" i="9" s="1"/>
  <c r="E81" i="9"/>
  <c r="C81" i="9"/>
  <c r="T80" i="9"/>
  <c r="F80" i="9"/>
  <c r="E80" i="9"/>
  <c r="C80" i="9"/>
  <c r="T79" i="9"/>
  <c r="F79" i="9"/>
  <c r="E79" i="9"/>
  <c r="C79" i="9"/>
  <c r="B79" i="9"/>
  <c r="T78" i="9"/>
  <c r="F78" i="9"/>
  <c r="E78" i="9"/>
  <c r="Q78" i="9" s="1"/>
  <c r="AC78" i="9" s="1"/>
  <c r="C78" i="9"/>
  <c r="T77" i="9"/>
  <c r="F77" i="9"/>
  <c r="E77" i="9"/>
  <c r="Q77" i="9" s="1"/>
  <c r="AC77" i="9" s="1"/>
  <c r="C77" i="9"/>
  <c r="T76" i="9"/>
  <c r="F76" i="9"/>
  <c r="E76" i="9"/>
  <c r="C76" i="9"/>
  <c r="B76" i="9"/>
  <c r="T75" i="9"/>
  <c r="F75" i="9"/>
  <c r="E75" i="9"/>
  <c r="Q75" i="9" s="1"/>
  <c r="AC75" i="9" s="1"/>
  <c r="C75" i="9"/>
  <c r="B75" i="9"/>
  <c r="T74" i="9"/>
  <c r="F74" i="9"/>
  <c r="E74" i="9"/>
  <c r="C74" i="9"/>
  <c r="T73" i="9"/>
  <c r="F73" i="9"/>
  <c r="Q73" i="9" s="1"/>
  <c r="AC73" i="9" s="1"/>
  <c r="E73" i="9"/>
  <c r="C73" i="9"/>
  <c r="T72" i="9"/>
  <c r="F72" i="9"/>
  <c r="E72" i="9"/>
  <c r="Q72" i="9" s="1"/>
  <c r="AC72" i="9" s="1"/>
  <c r="C72" i="9"/>
  <c r="T71" i="9"/>
  <c r="F71" i="9"/>
  <c r="E71" i="9"/>
  <c r="Q71" i="9" s="1"/>
  <c r="AC71" i="9" s="1"/>
  <c r="C71" i="9"/>
  <c r="T70" i="9"/>
  <c r="F70" i="9"/>
  <c r="E70" i="9"/>
  <c r="C70" i="9"/>
  <c r="T69" i="9"/>
  <c r="F69" i="9"/>
  <c r="Q69" i="9" s="1"/>
  <c r="AC69" i="9" s="1"/>
  <c r="E69" i="9"/>
  <c r="C69" i="9"/>
  <c r="T68" i="9"/>
  <c r="Q68" i="9"/>
  <c r="AC68" i="9" s="1"/>
  <c r="F68" i="9"/>
  <c r="E68" i="9"/>
  <c r="C68" i="9"/>
  <c r="T67" i="9"/>
  <c r="F67" i="9"/>
  <c r="E67" i="9"/>
  <c r="C67" i="9"/>
  <c r="T66" i="9"/>
  <c r="F66" i="9"/>
  <c r="E66" i="9"/>
  <c r="C66" i="9"/>
  <c r="T65" i="9"/>
  <c r="F65" i="9"/>
  <c r="E65" i="9"/>
  <c r="Q65" i="9" s="1"/>
  <c r="AC65" i="9" s="1"/>
  <c r="C65" i="9"/>
  <c r="B65" i="9"/>
  <c r="T64" i="9"/>
  <c r="F64" i="9"/>
  <c r="E64" i="9"/>
  <c r="Q64" i="9" s="1"/>
  <c r="AC64" i="9" s="1"/>
  <c r="C64" i="9"/>
  <c r="T63" i="9"/>
  <c r="F63" i="9"/>
  <c r="E63" i="9"/>
  <c r="C63" i="9"/>
  <c r="T62" i="9"/>
  <c r="Q62" i="9"/>
  <c r="AC62" i="9" s="1"/>
  <c r="F62" i="9"/>
  <c r="E62" i="9"/>
  <c r="C62" i="9"/>
  <c r="T61" i="9"/>
  <c r="F61" i="9"/>
  <c r="E61" i="9"/>
  <c r="Q61" i="9" s="1"/>
  <c r="AC61" i="9" s="1"/>
  <c r="C61" i="9"/>
  <c r="T60" i="9"/>
  <c r="F60" i="9"/>
  <c r="E60" i="9"/>
  <c r="Q60" i="9" s="1"/>
  <c r="AC60" i="9" s="1"/>
  <c r="C60" i="9"/>
  <c r="T59" i="9"/>
  <c r="F59" i="9"/>
  <c r="E59" i="9"/>
  <c r="C59" i="9"/>
  <c r="T58" i="9"/>
  <c r="Q58" i="9"/>
  <c r="AC58" i="9" s="1"/>
  <c r="F58" i="9"/>
  <c r="E58" i="9"/>
  <c r="C58" i="9"/>
  <c r="T57" i="9"/>
  <c r="F57" i="9"/>
  <c r="E57" i="9"/>
  <c r="C57" i="9"/>
  <c r="T56" i="9"/>
  <c r="F56" i="9"/>
  <c r="E56" i="9"/>
  <c r="C56" i="9"/>
  <c r="T55" i="9"/>
  <c r="F55" i="9"/>
  <c r="E55" i="9"/>
  <c r="C55" i="9"/>
  <c r="T54" i="9"/>
  <c r="F54" i="9"/>
  <c r="Q54" i="9" s="1"/>
  <c r="AC54" i="9" s="1"/>
  <c r="E54" i="9"/>
  <c r="C54" i="9"/>
  <c r="T53" i="9"/>
  <c r="F53" i="9"/>
  <c r="E53" i="9"/>
  <c r="C53" i="9"/>
  <c r="T52" i="9"/>
  <c r="F52" i="9"/>
  <c r="E52" i="9"/>
  <c r="C52" i="9"/>
  <c r="T51" i="9"/>
  <c r="F51" i="9"/>
  <c r="E51" i="9"/>
  <c r="C51" i="9"/>
  <c r="B51" i="9"/>
  <c r="T50" i="9"/>
  <c r="F50" i="9"/>
  <c r="E50" i="9"/>
  <c r="C50" i="9"/>
  <c r="T49" i="9"/>
  <c r="F49" i="9"/>
  <c r="E49" i="9"/>
  <c r="C49" i="9"/>
  <c r="T48" i="9"/>
  <c r="F48" i="9"/>
  <c r="E48" i="9"/>
  <c r="C48" i="9"/>
  <c r="T47" i="9"/>
  <c r="F47" i="9"/>
  <c r="E47" i="9"/>
  <c r="Q47" i="9" s="1"/>
  <c r="AC47" i="9" s="1"/>
  <c r="C47" i="9"/>
  <c r="T46" i="9"/>
  <c r="F46" i="9"/>
  <c r="E46" i="9"/>
  <c r="C46" i="9"/>
  <c r="T45" i="9"/>
  <c r="F45" i="9"/>
  <c r="E45" i="9"/>
  <c r="C45" i="9"/>
  <c r="T44" i="9"/>
  <c r="Q44" i="9"/>
  <c r="AC44" i="9" s="1"/>
  <c r="F44" i="9"/>
  <c r="E44" i="9"/>
  <c r="C44" i="9"/>
  <c r="T43" i="9"/>
  <c r="F43" i="9"/>
  <c r="Q43" i="9" s="1"/>
  <c r="AC43" i="9" s="1"/>
  <c r="E43" i="9"/>
  <c r="C43" i="9"/>
  <c r="T42" i="9"/>
  <c r="F42" i="9"/>
  <c r="E42" i="9"/>
  <c r="Q42" i="9" s="1"/>
  <c r="AC42" i="9" s="1"/>
  <c r="C42" i="9"/>
  <c r="T41" i="9"/>
  <c r="F41" i="9"/>
  <c r="E41" i="9"/>
  <c r="Q41" i="9" s="1"/>
  <c r="AC41" i="9" s="1"/>
  <c r="C41" i="9"/>
  <c r="T40" i="9"/>
  <c r="F40" i="9"/>
  <c r="E40" i="9"/>
  <c r="Q40" i="9" s="1"/>
  <c r="AC40" i="9" s="1"/>
  <c r="C40" i="9"/>
  <c r="T39" i="9"/>
  <c r="F39" i="9"/>
  <c r="Q39" i="9" s="1"/>
  <c r="AC39" i="9" s="1"/>
  <c r="E39" i="9"/>
  <c r="C39" i="9"/>
  <c r="T38" i="9"/>
  <c r="F38" i="9"/>
  <c r="E38" i="9"/>
  <c r="C38" i="9"/>
  <c r="T37" i="9"/>
  <c r="F37" i="9"/>
  <c r="E37" i="9"/>
  <c r="C37" i="9"/>
  <c r="T36" i="9"/>
  <c r="F36" i="9"/>
  <c r="E36" i="9"/>
  <c r="C36" i="9"/>
  <c r="T35" i="9"/>
  <c r="F35" i="9"/>
  <c r="Q35" i="9" s="1"/>
  <c r="AC35" i="9" s="1"/>
  <c r="E35" i="9"/>
  <c r="C35" i="9"/>
  <c r="T34" i="9"/>
  <c r="F34" i="9"/>
  <c r="E34" i="9"/>
  <c r="C34" i="9"/>
  <c r="T33" i="9"/>
  <c r="F33" i="9"/>
  <c r="E33" i="9"/>
  <c r="C33" i="9"/>
  <c r="T32" i="9"/>
  <c r="F32" i="9"/>
  <c r="E32" i="9"/>
  <c r="C32" i="9"/>
  <c r="T31" i="9"/>
  <c r="Q31" i="9"/>
  <c r="AC31" i="9" s="1"/>
  <c r="F31" i="9"/>
  <c r="E31" i="9"/>
  <c r="C31" i="9"/>
  <c r="T30" i="9"/>
  <c r="F30" i="9"/>
  <c r="E30" i="9"/>
  <c r="Q30" i="9" s="1"/>
  <c r="AC30" i="9" s="1"/>
  <c r="C30" i="9"/>
  <c r="T29" i="9"/>
  <c r="F29" i="9"/>
  <c r="E29" i="9"/>
  <c r="C29" i="9"/>
  <c r="T28" i="9"/>
  <c r="F28" i="9"/>
  <c r="Q28" i="9" s="1"/>
  <c r="AC28" i="9" s="1"/>
  <c r="E28" i="9"/>
  <c r="C28" i="9"/>
  <c r="T27" i="9"/>
  <c r="F27" i="9"/>
  <c r="E27" i="9"/>
  <c r="C27" i="9"/>
  <c r="T26" i="9"/>
  <c r="F26" i="9"/>
  <c r="E26" i="9"/>
  <c r="C26" i="9"/>
  <c r="T25" i="9"/>
  <c r="F25" i="9"/>
  <c r="E25" i="9"/>
  <c r="C25" i="9"/>
  <c r="T24" i="9"/>
  <c r="F24" i="9"/>
  <c r="E24" i="9"/>
  <c r="Q24" i="9" s="1"/>
  <c r="AC24" i="9" s="1"/>
  <c r="C24" i="9"/>
  <c r="T23" i="9"/>
  <c r="F23" i="9"/>
  <c r="Q23" i="9" s="1"/>
  <c r="AC23" i="9" s="1"/>
  <c r="E23" i="9"/>
  <c r="C23" i="9"/>
  <c r="T22" i="9"/>
  <c r="Q22" i="9"/>
  <c r="AC22" i="9" s="1"/>
  <c r="F22" i="9"/>
  <c r="E22" i="9"/>
  <c r="C22" i="9"/>
  <c r="T21" i="9"/>
  <c r="F21" i="9"/>
  <c r="E21" i="9"/>
  <c r="Q21" i="9" s="1"/>
  <c r="AC21" i="9" s="1"/>
  <c r="C21" i="9"/>
  <c r="T20" i="9"/>
  <c r="F20" i="9"/>
  <c r="E20" i="9"/>
  <c r="C20" i="9"/>
  <c r="T19" i="9"/>
  <c r="F19" i="9"/>
  <c r="Q19" i="9" s="1"/>
  <c r="AC19" i="9" s="1"/>
  <c r="E19" i="9"/>
  <c r="C19" i="9"/>
  <c r="T18" i="9"/>
  <c r="F18" i="9"/>
  <c r="E18" i="9"/>
  <c r="C18" i="9"/>
  <c r="T17" i="9"/>
  <c r="F17" i="9"/>
  <c r="E17" i="9"/>
  <c r="Q17" i="9" s="1"/>
  <c r="AC17" i="9" s="1"/>
  <c r="C17" i="9"/>
  <c r="T16" i="9"/>
  <c r="F16" i="9"/>
  <c r="Q16" i="9" s="1"/>
  <c r="AC16" i="9" s="1"/>
  <c r="E16" i="9"/>
  <c r="C16" i="9"/>
  <c r="T15" i="9"/>
  <c r="F15" i="9"/>
  <c r="E15" i="9"/>
  <c r="C15" i="9"/>
  <c r="T14" i="9"/>
  <c r="F14" i="9"/>
  <c r="E14" i="9"/>
  <c r="C14" i="9"/>
  <c r="T13" i="9"/>
  <c r="F13" i="9"/>
  <c r="E13" i="9"/>
  <c r="C13" i="9"/>
  <c r="C18" i="151" s="1"/>
  <c r="T12" i="9"/>
  <c r="F12" i="9"/>
  <c r="F10" i="9" s="1"/>
  <c r="F9" i="9" s="1"/>
  <c r="F158" i="9" s="1"/>
  <c r="E12" i="9"/>
  <c r="C12" i="9"/>
  <c r="B12" i="9"/>
  <c r="T11" i="9"/>
  <c r="F11" i="9"/>
  <c r="E11" i="9"/>
  <c r="C11" i="9"/>
  <c r="AB10" i="9"/>
  <c r="AB9" i="9" s="1"/>
  <c r="AB158" i="9" s="1"/>
  <c r="Y10" i="9"/>
  <c r="Y9" i="9" s="1"/>
  <c r="Y158" i="9" s="1"/>
  <c r="X10" i="9"/>
  <c r="P10" i="9"/>
  <c r="P9" i="9" s="1"/>
  <c r="P158" i="9" s="1"/>
  <c r="Q163" i="9" s="1"/>
  <c r="O10" i="9"/>
  <c r="O9" i="9" s="1"/>
  <c r="O158" i="9" s="1"/>
  <c r="N10" i="9"/>
  <c r="N9" i="9" s="1"/>
  <c r="N158" i="9" s="1"/>
  <c r="M10" i="9"/>
  <c r="L10" i="9"/>
  <c r="L9" i="9" s="1"/>
  <c r="L158" i="9" s="1"/>
  <c r="K10" i="9"/>
  <c r="K9" i="9" s="1"/>
  <c r="K158" i="9" s="1"/>
  <c r="J10" i="9"/>
  <c r="J9" i="9" s="1"/>
  <c r="J158" i="9" s="1"/>
  <c r="I10" i="9"/>
  <c r="I9" i="9" s="1"/>
  <c r="I158" i="9" s="1"/>
  <c r="H10" i="9"/>
  <c r="G10" i="9"/>
  <c r="G9" i="9" s="1"/>
  <c r="G158" i="9" s="1"/>
  <c r="M9" i="9"/>
  <c r="M158" i="9" s="1"/>
  <c r="H9" i="9"/>
  <c r="H158" i="9" s="1"/>
  <c r="K4" i="9"/>
  <c r="J4" i="9"/>
  <c r="N3" i="9"/>
  <c r="AH20" i="169"/>
  <c r="AN19" i="169"/>
  <c r="AF19" i="169"/>
  <c r="AE19" i="169"/>
  <c r="AD19" i="169"/>
  <c r="AC19" i="169"/>
  <c r="AB19" i="169"/>
  <c r="AA19" i="169"/>
  <c r="Z19" i="169"/>
  <c r="Y19" i="169"/>
  <c r="X19" i="169"/>
  <c r="W19" i="169"/>
  <c r="V19" i="169"/>
  <c r="U19" i="169"/>
  <c r="T19" i="169"/>
  <c r="S19" i="169"/>
  <c r="R19" i="169"/>
  <c r="Q19" i="169"/>
  <c r="P19" i="169"/>
  <c r="O19" i="169"/>
  <c r="N19" i="169"/>
  <c r="M19" i="169"/>
  <c r="L19" i="169"/>
  <c r="K19" i="169"/>
  <c r="J19" i="169"/>
  <c r="I19" i="169"/>
  <c r="H19" i="169"/>
  <c r="G19" i="169"/>
  <c r="F19" i="169"/>
  <c r="E19" i="169"/>
  <c r="D19" i="169"/>
  <c r="C19" i="169"/>
  <c r="AJ18" i="169"/>
  <c r="J79" i="101" s="1"/>
  <c r="J160" i="151" s="1"/>
  <c r="AH18" i="169"/>
  <c r="I79" i="101" s="1"/>
  <c r="AK17" i="169"/>
  <c r="AH17" i="169"/>
  <c r="AF17" i="169"/>
  <c r="AE17" i="169"/>
  <c r="AD17" i="169"/>
  <c r="AC17" i="169"/>
  <c r="AB17" i="169"/>
  <c r="AA17" i="169"/>
  <c r="Z17" i="169"/>
  <c r="Y17" i="169"/>
  <c r="X17" i="169"/>
  <c r="W17" i="169"/>
  <c r="V17" i="169"/>
  <c r="U17" i="169"/>
  <c r="T17" i="169"/>
  <c r="S17" i="169"/>
  <c r="R17" i="169"/>
  <c r="Q17" i="169"/>
  <c r="P17" i="169"/>
  <c r="O17" i="169"/>
  <c r="N17" i="169"/>
  <c r="M17" i="169"/>
  <c r="L17" i="169"/>
  <c r="K17" i="169"/>
  <c r="J17" i="169"/>
  <c r="I17" i="169"/>
  <c r="H17" i="169"/>
  <c r="G17" i="169"/>
  <c r="F17" i="169"/>
  <c r="E17" i="169"/>
  <c r="D17" i="169"/>
  <c r="C17" i="169"/>
  <c r="AH16" i="169"/>
  <c r="AH15" i="169" s="1"/>
  <c r="AF15" i="169"/>
  <c r="AE15" i="169"/>
  <c r="AD15" i="169"/>
  <c r="AC15" i="169"/>
  <c r="AB15" i="169"/>
  <c r="AA15" i="169"/>
  <c r="Z15" i="169"/>
  <c r="Y15" i="169"/>
  <c r="X15" i="169"/>
  <c r="W15" i="169"/>
  <c r="V15" i="169"/>
  <c r="U15" i="169"/>
  <c r="T15" i="169"/>
  <c r="S15" i="169"/>
  <c r="R15" i="169"/>
  <c r="Q15" i="169"/>
  <c r="P15" i="169"/>
  <c r="O15" i="169"/>
  <c r="N15" i="169"/>
  <c r="M15" i="169"/>
  <c r="L15" i="169"/>
  <c r="K15" i="169"/>
  <c r="J15" i="169"/>
  <c r="I15" i="169"/>
  <c r="H15" i="169"/>
  <c r="G15" i="169"/>
  <c r="F15" i="169"/>
  <c r="E15" i="169"/>
  <c r="D15" i="169"/>
  <c r="C15" i="169"/>
  <c r="AH14" i="169"/>
  <c r="AK13" i="169"/>
  <c r="AK21" i="169" s="1"/>
  <c r="AF13" i="169"/>
  <c r="AE13" i="169"/>
  <c r="AE21" i="169" s="1"/>
  <c r="AD13" i="169"/>
  <c r="AC13" i="169"/>
  <c r="AB13" i="169"/>
  <c r="AA13" i="169"/>
  <c r="Z13" i="169"/>
  <c r="Y13" i="169"/>
  <c r="X13" i="169"/>
  <c r="W13" i="169"/>
  <c r="V13" i="169"/>
  <c r="U13" i="169"/>
  <c r="T13" i="169"/>
  <c r="S13" i="169"/>
  <c r="R13" i="169"/>
  <c r="Q13" i="169"/>
  <c r="P13" i="169"/>
  <c r="O13" i="169"/>
  <c r="N13" i="169"/>
  <c r="M13" i="169"/>
  <c r="L13" i="169"/>
  <c r="K13" i="169"/>
  <c r="J13" i="169"/>
  <c r="I13" i="169"/>
  <c r="H13" i="169"/>
  <c r="G13" i="169"/>
  <c r="F13" i="169"/>
  <c r="E13" i="169"/>
  <c r="D13" i="169"/>
  <c r="C13" i="169"/>
  <c r="P170" i="128"/>
  <c r="P169" i="128" s="1"/>
  <c r="K170" i="128"/>
  <c r="K169" i="128" s="1"/>
  <c r="D170" i="128"/>
  <c r="D169" i="128" s="1"/>
  <c r="P168" i="128"/>
  <c r="K168" i="128"/>
  <c r="D168" i="128"/>
  <c r="D167" i="128"/>
  <c r="D166" i="128"/>
  <c r="D165" i="128"/>
  <c r="AO161" i="128"/>
  <c r="AO163" i="128" s="1"/>
  <c r="AK160" i="128"/>
  <c r="AI160" i="128"/>
  <c r="C160" i="128"/>
  <c r="AI159" i="128"/>
  <c r="AK159" i="128" s="1"/>
  <c r="C159" i="128"/>
  <c r="AK158" i="128"/>
  <c r="AI158" i="128"/>
  <c r="C158" i="128"/>
  <c r="AI157" i="128"/>
  <c r="AK157" i="128" s="1"/>
  <c r="C157" i="128"/>
  <c r="AI156" i="128"/>
  <c r="AK156" i="128" s="1"/>
  <c r="C156" i="128"/>
  <c r="AK155" i="128"/>
  <c r="AI155" i="128"/>
  <c r="C155" i="128"/>
  <c r="AI154" i="128"/>
  <c r="AK154" i="128" s="1"/>
  <c r="C154" i="128"/>
  <c r="AI153" i="128"/>
  <c r="AK153" i="128" s="1"/>
  <c r="C153" i="128"/>
  <c r="AK152" i="128"/>
  <c r="AI152" i="128"/>
  <c r="C152" i="128"/>
  <c r="AI151" i="128"/>
  <c r="AK151" i="128" s="1"/>
  <c r="C151" i="128"/>
  <c r="AK150" i="128"/>
  <c r="AI150" i="128"/>
  <c r="C150" i="128"/>
  <c r="AI149" i="128"/>
  <c r="AK149" i="128" s="1"/>
  <c r="C149" i="128"/>
  <c r="AI148" i="128"/>
  <c r="AK148" i="128" s="1"/>
  <c r="C148" i="128"/>
  <c r="AK147" i="128"/>
  <c r="AI147" i="128"/>
  <c r="C147" i="128"/>
  <c r="AI146" i="128"/>
  <c r="AK146" i="128" s="1"/>
  <c r="C146" i="128"/>
  <c r="AI145" i="128"/>
  <c r="AK145" i="128" s="1"/>
  <c r="C145" i="128"/>
  <c r="AK144" i="128"/>
  <c r="AI144" i="128"/>
  <c r="C144" i="128"/>
  <c r="AI143" i="128"/>
  <c r="AK143" i="128" s="1"/>
  <c r="C143" i="128"/>
  <c r="AK142" i="128"/>
  <c r="AI142" i="128"/>
  <c r="C142" i="128"/>
  <c r="AI141" i="128"/>
  <c r="AK141" i="128" s="1"/>
  <c r="C141" i="128"/>
  <c r="AI140" i="128"/>
  <c r="AK140" i="128" s="1"/>
  <c r="C140" i="128"/>
  <c r="AK139" i="128"/>
  <c r="AI139" i="128"/>
  <c r="C139" i="128"/>
  <c r="AI138" i="128"/>
  <c r="AK138" i="128" s="1"/>
  <c r="C138" i="128"/>
  <c r="AI137" i="128"/>
  <c r="AK137" i="128" s="1"/>
  <c r="C137" i="128"/>
  <c r="AK136" i="128"/>
  <c r="AI136" i="128"/>
  <c r="C136" i="128"/>
  <c r="AI135" i="128"/>
  <c r="AK135" i="128" s="1"/>
  <c r="C135" i="128"/>
  <c r="AK134" i="128"/>
  <c r="AI134" i="128"/>
  <c r="C134" i="128"/>
  <c r="AI133" i="128"/>
  <c r="AK133" i="128" s="1"/>
  <c r="C133" i="128"/>
  <c r="AI132" i="128"/>
  <c r="AK132" i="128" s="1"/>
  <c r="C132" i="128"/>
  <c r="AK131" i="128"/>
  <c r="AI131" i="128"/>
  <c r="C131" i="128"/>
  <c r="AI130" i="128"/>
  <c r="AK130" i="128" s="1"/>
  <c r="C130" i="128"/>
  <c r="AI129" i="128"/>
  <c r="AK129" i="128" s="1"/>
  <c r="C129" i="128"/>
  <c r="AK128" i="128"/>
  <c r="AI128" i="128"/>
  <c r="C128" i="128"/>
  <c r="AI127" i="128"/>
  <c r="AK127" i="128" s="1"/>
  <c r="C127" i="128"/>
  <c r="AK126" i="128"/>
  <c r="AI126" i="128"/>
  <c r="C126" i="128"/>
  <c r="AI125" i="128"/>
  <c r="AK125" i="128" s="1"/>
  <c r="C125" i="128"/>
  <c r="AI124" i="128"/>
  <c r="AK124" i="128" s="1"/>
  <c r="C124" i="128"/>
  <c r="AK123" i="128"/>
  <c r="AI123" i="128"/>
  <c r="C123" i="128"/>
  <c r="AI122" i="128"/>
  <c r="AK122" i="128" s="1"/>
  <c r="C122" i="128"/>
  <c r="AI121" i="128"/>
  <c r="AK121" i="128" s="1"/>
  <c r="C121" i="128"/>
  <c r="AK120" i="128"/>
  <c r="AI120" i="128"/>
  <c r="C120" i="128"/>
  <c r="AI119" i="128"/>
  <c r="AK119" i="128" s="1"/>
  <c r="C119" i="128"/>
  <c r="AK118" i="128"/>
  <c r="AI118" i="128"/>
  <c r="C118" i="128"/>
  <c r="AI117" i="128"/>
  <c r="AK117" i="128" s="1"/>
  <c r="C117" i="128"/>
  <c r="AI116" i="128"/>
  <c r="AK116" i="128" s="1"/>
  <c r="C116" i="128"/>
  <c r="AK115" i="128"/>
  <c r="AI115" i="128"/>
  <c r="C115" i="128"/>
  <c r="AI114" i="128"/>
  <c r="AK114" i="128" s="1"/>
  <c r="C114" i="128"/>
  <c r="AI113" i="128"/>
  <c r="AK113" i="128" s="1"/>
  <c r="C113" i="128"/>
  <c r="AK112" i="128"/>
  <c r="AI112" i="128"/>
  <c r="C112" i="128"/>
  <c r="AI111" i="128"/>
  <c r="AK111" i="128" s="1"/>
  <c r="C111" i="128"/>
  <c r="AK110" i="128"/>
  <c r="AI110" i="128"/>
  <c r="C110" i="128"/>
  <c r="AI109" i="128"/>
  <c r="AK109" i="128" s="1"/>
  <c r="C109" i="128"/>
  <c r="AI108" i="128"/>
  <c r="AK108" i="128" s="1"/>
  <c r="C108" i="128"/>
  <c r="AK107" i="128"/>
  <c r="AI107" i="128"/>
  <c r="C107" i="128"/>
  <c r="AI106" i="128"/>
  <c r="AK106" i="128" s="1"/>
  <c r="C106" i="128"/>
  <c r="AI105" i="128"/>
  <c r="AK105" i="128" s="1"/>
  <c r="C105" i="128"/>
  <c r="AK104" i="128"/>
  <c r="AI104" i="128"/>
  <c r="C104" i="128"/>
  <c r="AI103" i="128"/>
  <c r="AK103" i="128" s="1"/>
  <c r="C103" i="128"/>
  <c r="AK102" i="128"/>
  <c r="AI102" i="128"/>
  <c r="C102" i="128"/>
  <c r="AI101" i="128"/>
  <c r="AK101" i="128" s="1"/>
  <c r="C101" i="128"/>
  <c r="AI100" i="128"/>
  <c r="AI98" i="128" s="1"/>
  <c r="C100" i="128"/>
  <c r="AK99" i="128"/>
  <c r="AI99" i="128"/>
  <c r="C99" i="128"/>
  <c r="AH98" i="128"/>
  <c r="AG98" i="128"/>
  <c r="AF98" i="128"/>
  <c r="AE98" i="128"/>
  <c r="AD98" i="128"/>
  <c r="AC98" i="128"/>
  <c r="AB98" i="128"/>
  <c r="AA98" i="128"/>
  <c r="Z98" i="128"/>
  <c r="Y98" i="128"/>
  <c r="X98" i="128"/>
  <c r="W98" i="128"/>
  <c r="V98" i="128"/>
  <c r="U98" i="128"/>
  <c r="T98" i="128"/>
  <c r="S98" i="128"/>
  <c r="R98" i="128"/>
  <c r="Q98" i="128"/>
  <c r="P98" i="128"/>
  <c r="O98" i="128"/>
  <c r="N98" i="128"/>
  <c r="M98" i="128"/>
  <c r="L98" i="128"/>
  <c r="K98" i="128"/>
  <c r="J98" i="128"/>
  <c r="I98" i="128"/>
  <c r="H98" i="128"/>
  <c r="G98" i="128"/>
  <c r="F98" i="128"/>
  <c r="E98" i="128"/>
  <c r="D98" i="128"/>
  <c r="AI96" i="128"/>
  <c r="AK96" i="128" s="1"/>
  <c r="C96" i="128"/>
  <c r="AI95" i="128"/>
  <c r="AK95" i="128" s="1"/>
  <c r="C95" i="128"/>
  <c r="AI94" i="128"/>
  <c r="AK94" i="128" s="1"/>
  <c r="C94" i="128"/>
  <c r="AI93" i="128"/>
  <c r="AK93" i="128" s="1"/>
  <c r="C93" i="128"/>
  <c r="AK92" i="128"/>
  <c r="AI92" i="128"/>
  <c r="C92" i="128"/>
  <c r="AI91" i="128"/>
  <c r="AK91" i="128" s="1"/>
  <c r="C91" i="128"/>
  <c r="AI90" i="128"/>
  <c r="AK90" i="128" s="1"/>
  <c r="C90" i="128"/>
  <c r="AK89" i="128"/>
  <c r="AI89" i="128"/>
  <c r="C89" i="128"/>
  <c r="AI88" i="128"/>
  <c r="AK88" i="128" s="1"/>
  <c r="C88" i="128"/>
  <c r="AI87" i="128"/>
  <c r="AK87" i="128" s="1"/>
  <c r="C87" i="128"/>
  <c r="AK86" i="128"/>
  <c r="AI86" i="128"/>
  <c r="C86" i="128"/>
  <c r="AI85" i="128"/>
  <c r="AK85" i="128" s="1"/>
  <c r="C85" i="128"/>
  <c r="AK84" i="128"/>
  <c r="AI84" i="128"/>
  <c r="C84" i="128"/>
  <c r="AI83" i="128"/>
  <c r="AK83" i="128" s="1"/>
  <c r="C83" i="128"/>
  <c r="AI82" i="128"/>
  <c r="AK82" i="128" s="1"/>
  <c r="C82" i="128"/>
  <c r="AK81" i="128"/>
  <c r="AI81" i="128"/>
  <c r="C81" i="128"/>
  <c r="AI80" i="128"/>
  <c r="AK80" i="128" s="1"/>
  <c r="C80" i="128"/>
  <c r="AI79" i="128"/>
  <c r="AK79" i="128" s="1"/>
  <c r="C79" i="128"/>
  <c r="AK78" i="128"/>
  <c r="AI78" i="128"/>
  <c r="C78" i="128"/>
  <c r="AI77" i="128"/>
  <c r="AK77" i="128" s="1"/>
  <c r="C77" i="128"/>
  <c r="AK76" i="128"/>
  <c r="AI76" i="128"/>
  <c r="C76" i="128"/>
  <c r="AI75" i="128"/>
  <c r="AK75" i="128" s="1"/>
  <c r="C75" i="128"/>
  <c r="AI74" i="128"/>
  <c r="AK74" i="128" s="1"/>
  <c r="C74" i="128"/>
  <c r="AK73" i="128"/>
  <c r="AI73" i="128"/>
  <c r="C73" i="128"/>
  <c r="AI72" i="128"/>
  <c r="AK72" i="128" s="1"/>
  <c r="C72" i="128"/>
  <c r="AI71" i="128"/>
  <c r="AK71" i="128" s="1"/>
  <c r="C71" i="128"/>
  <c r="AK70" i="128"/>
  <c r="AI70" i="128"/>
  <c r="C70" i="128"/>
  <c r="AI69" i="128"/>
  <c r="AK69" i="128" s="1"/>
  <c r="C69" i="128"/>
  <c r="AK68" i="128"/>
  <c r="AI68" i="128"/>
  <c r="C68" i="128"/>
  <c r="AI67" i="128"/>
  <c r="AK67" i="128" s="1"/>
  <c r="C67" i="128"/>
  <c r="AI66" i="128"/>
  <c r="AK66" i="128" s="1"/>
  <c r="C66" i="128"/>
  <c r="AK65" i="128"/>
  <c r="AI65" i="128"/>
  <c r="C65" i="128"/>
  <c r="AI64" i="128"/>
  <c r="K167" i="128" s="1"/>
  <c r="C64" i="128"/>
  <c r="AI63" i="128"/>
  <c r="AK63" i="128" s="1"/>
  <c r="C63" i="128"/>
  <c r="AK62" i="128"/>
  <c r="AI62" i="128"/>
  <c r="C62" i="128"/>
  <c r="AI61" i="128"/>
  <c r="AK61" i="128" s="1"/>
  <c r="C61" i="128"/>
  <c r="AK60" i="128"/>
  <c r="AI60" i="128"/>
  <c r="C60" i="128"/>
  <c r="AI59" i="128"/>
  <c r="AK59" i="128" s="1"/>
  <c r="C59" i="128"/>
  <c r="AI58" i="128"/>
  <c r="AK58" i="128" s="1"/>
  <c r="C58" i="128"/>
  <c r="AK57" i="128"/>
  <c r="AI57" i="128"/>
  <c r="C57" i="128"/>
  <c r="AI56" i="128"/>
  <c r="AK56" i="128" s="1"/>
  <c r="C56" i="128"/>
  <c r="AI55" i="128"/>
  <c r="AK55" i="128" s="1"/>
  <c r="C55" i="128"/>
  <c r="AK54" i="128"/>
  <c r="AI54" i="128"/>
  <c r="C54" i="128"/>
  <c r="AI53" i="128"/>
  <c r="AK53" i="128" s="1"/>
  <c r="C53" i="128"/>
  <c r="AK52" i="128"/>
  <c r="AI52" i="128"/>
  <c r="C52" i="128"/>
  <c r="AI51" i="128"/>
  <c r="AK51" i="128" s="1"/>
  <c r="C51" i="128"/>
  <c r="AI50" i="128"/>
  <c r="AK50" i="128" s="1"/>
  <c r="C50" i="128"/>
  <c r="AK49" i="128"/>
  <c r="AI49" i="128"/>
  <c r="C49" i="128"/>
  <c r="AI48" i="128"/>
  <c r="AK48" i="128" s="1"/>
  <c r="C48" i="128"/>
  <c r="AI47" i="128"/>
  <c r="AK47" i="128" s="1"/>
  <c r="C47" i="128"/>
  <c r="AK46" i="128"/>
  <c r="AI46" i="128"/>
  <c r="C46" i="128"/>
  <c r="AI45" i="128"/>
  <c r="AK45" i="128" s="1"/>
  <c r="C45" i="128"/>
  <c r="AK44" i="128"/>
  <c r="AI44" i="128"/>
  <c r="C44" i="128"/>
  <c r="AI43" i="128"/>
  <c r="AK43" i="128" s="1"/>
  <c r="C43" i="128"/>
  <c r="AI42" i="128"/>
  <c r="AK42" i="128" s="1"/>
  <c r="C42" i="128"/>
  <c r="AK41" i="128"/>
  <c r="AI41" i="128"/>
  <c r="C41" i="128"/>
  <c r="AI40" i="128"/>
  <c r="AK40" i="128" s="1"/>
  <c r="C40" i="128"/>
  <c r="AI39" i="128"/>
  <c r="AK39" i="128" s="1"/>
  <c r="C39" i="128"/>
  <c r="AK38" i="128"/>
  <c r="AI38" i="128"/>
  <c r="C38" i="128"/>
  <c r="AI37" i="128"/>
  <c r="AK37" i="128" s="1"/>
  <c r="C37" i="128"/>
  <c r="AK36" i="128"/>
  <c r="AI36" i="128"/>
  <c r="C36" i="128"/>
  <c r="AI35" i="128"/>
  <c r="AK35" i="128" s="1"/>
  <c r="C35" i="128"/>
  <c r="AI34" i="128"/>
  <c r="AK34" i="128" s="1"/>
  <c r="C34" i="128"/>
  <c r="AK33" i="128"/>
  <c r="AI33" i="128"/>
  <c r="C33" i="128"/>
  <c r="AI32" i="128"/>
  <c r="AK32" i="128" s="1"/>
  <c r="C32" i="128"/>
  <c r="AI31" i="128"/>
  <c r="AK31" i="128" s="1"/>
  <c r="C31" i="128"/>
  <c r="AK30" i="128"/>
  <c r="AI30" i="128"/>
  <c r="C30" i="128"/>
  <c r="AI29" i="128"/>
  <c r="AK29" i="128" s="1"/>
  <c r="C29" i="128"/>
  <c r="AK28" i="128"/>
  <c r="AI28" i="128"/>
  <c r="C28" i="128"/>
  <c r="AI27" i="128"/>
  <c r="AK27" i="128" s="1"/>
  <c r="C27" i="128"/>
  <c r="AI26" i="128"/>
  <c r="AK26" i="128" s="1"/>
  <c r="C26" i="128"/>
  <c r="AK25" i="128"/>
  <c r="AI25" i="128"/>
  <c r="C25" i="128"/>
  <c r="AI24" i="128"/>
  <c r="AK24" i="128" s="1"/>
  <c r="C24" i="128"/>
  <c r="AI23" i="128"/>
  <c r="K165" i="128" s="1"/>
  <c r="C23" i="128"/>
  <c r="AK22" i="128"/>
  <c r="AI22" i="128"/>
  <c r="C22" i="128"/>
  <c r="AI21" i="128"/>
  <c r="AK21" i="128" s="1"/>
  <c r="C21" i="128"/>
  <c r="AK20" i="128"/>
  <c r="AI20" i="128"/>
  <c r="C20" i="128"/>
  <c r="AI19" i="128"/>
  <c r="C19" i="128"/>
  <c r="AI18" i="128"/>
  <c r="C18" i="128"/>
  <c r="AI17" i="128"/>
  <c r="C17" i="128"/>
  <c r="AH16" i="128"/>
  <c r="AG16" i="128"/>
  <c r="AG161" i="128" s="1"/>
  <c r="AF16" i="128"/>
  <c r="AE16" i="128"/>
  <c r="AE161" i="128" s="1"/>
  <c r="AD16" i="128"/>
  <c r="AC16" i="128"/>
  <c r="AC161" i="128" s="1"/>
  <c r="AB16" i="128"/>
  <c r="AA16" i="128"/>
  <c r="AA161" i="128" s="1"/>
  <c r="Z16" i="128"/>
  <c r="Y16" i="128"/>
  <c r="Y161" i="128" s="1"/>
  <c r="X16" i="128"/>
  <c r="W16" i="128"/>
  <c r="W161" i="128" s="1"/>
  <c r="V16" i="128"/>
  <c r="U16" i="128"/>
  <c r="U161" i="128" s="1"/>
  <c r="T16" i="128"/>
  <c r="S16" i="128"/>
  <c r="S161" i="128" s="1"/>
  <c r="R16" i="128"/>
  <c r="Q16" i="128"/>
  <c r="Q161" i="128" s="1"/>
  <c r="P16" i="128"/>
  <c r="O16" i="128"/>
  <c r="O161" i="128" s="1"/>
  <c r="N16" i="128"/>
  <c r="M16" i="128"/>
  <c r="M161" i="128" s="1"/>
  <c r="L16" i="128"/>
  <c r="K16" i="128"/>
  <c r="K161" i="128" s="1"/>
  <c r="J16" i="128"/>
  <c r="I16" i="128"/>
  <c r="I161" i="128" s="1"/>
  <c r="H16" i="128"/>
  <c r="G16" i="128"/>
  <c r="G161" i="128" s="1"/>
  <c r="F16" i="128"/>
  <c r="E16" i="128"/>
  <c r="E161" i="128" s="1"/>
  <c r="D16" i="128"/>
  <c r="AX157" i="8"/>
  <c r="AT155" i="8"/>
  <c r="AO155" i="8"/>
  <c r="AN155" i="8"/>
  <c r="AM155" i="8"/>
  <c r="AL155" i="8"/>
  <c r="AK155" i="8"/>
  <c r="AJ155" i="8"/>
  <c r="AT154" i="8"/>
  <c r="AO154" i="8"/>
  <c r="AN154" i="8"/>
  <c r="AM154" i="8"/>
  <c r="AL154" i="8"/>
  <c r="AK154" i="8"/>
  <c r="W153" i="9" s="1"/>
  <c r="AJ154" i="8"/>
  <c r="AP154" i="8" s="1"/>
  <c r="AT153" i="8"/>
  <c r="AO153" i="8"/>
  <c r="AN153" i="8"/>
  <c r="AM153" i="8"/>
  <c r="AL153" i="8"/>
  <c r="AK153" i="8"/>
  <c r="AJ153" i="8"/>
  <c r="AT152" i="8"/>
  <c r="AO152" i="8"/>
  <c r="AN152" i="8"/>
  <c r="AM152" i="8"/>
  <c r="AL152" i="8"/>
  <c r="X151" i="9" s="1"/>
  <c r="AK152" i="8"/>
  <c r="W151" i="9" s="1"/>
  <c r="AJ152" i="8"/>
  <c r="AT151" i="8"/>
  <c r="AO151" i="8"/>
  <c r="AN151" i="8"/>
  <c r="AM151" i="8"/>
  <c r="AL151" i="8"/>
  <c r="AK151" i="8"/>
  <c r="AJ151" i="8"/>
  <c r="V150" i="9" s="1"/>
  <c r="D151" i="8"/>
  <c r="B150" i="9" s="1"/>
  <c r="AS150" i="8"/>
  <c r="AO150" i="8"/>
  <c r="AN150" i="8"/>
  <c r="AM150" i="8"/>
  <c r="AL150" i="8"/>
  <c r="AK150" i="8"/>
  <c r="AJ150" i="8"/>
  <c r="V149" i="9" s="1"/>
  <c r="D150" i="8"/>
  <c r="AS149" i="8"/>
  <c r="AO149" i="8"/>
  <c r="AN149" i="8"/>
  <c r="AM149" i="8"/>
  <c r="AL149" i="8"/>
  <c r="AK149" i="8"/>
  <c r="AJ149" i="8"/>
  <c r="V148" i="9" s="1"/>
  <c r="M153" i="151" s="1"/>
  <c r="D149" i="8"/>
  <c r="AS148" i="8"/>
  <c r="AO148" i="8"/>
  <c r="AN148" i="8"/>
  <c r="AM148" i="8"/>
  <c r="AL148" i="8"/>
  <c r="AK148" i="8"/>
  <c r="AJ148" i="8"/>
  <c r="V147" i="9" s="1"/>
  <c r="M152" i="151" s="1"/>
  <c r="D148" i="8"/>
  <c r="AS147" i="8"/>
  <c r="AO147" i="8"/>
  <c r="AN147" i="8"/>
  <c r="AM147" i="8"/>
  <c r="AL147" i="8"/>
  <c r="AK147" i="8"/>
  <c r="AJ147" i="8"/>
  <c r="V146" i="9" s="1"/>
  <c r="AS146" i="8"/>
  <c r="AT146" i="8" s="1"/>
  <c r="AO146" i="8"/>
  <c r="AN146" i="8"/>
  <c r="AM146" i="8"/>
  <c r="AL146" i="8"/>
  <c r="AK146" i="8"/>
  <c r="AJ146" i="8"/>
  <c r="D146" i="8"/>
  <c r="B145" i="9" s="1"/>
  <c r="AS145" i="8"/>
  <c r="AO145" i="8"/>
  <c r="AN145" i="8"/>
  <c r="AM145" i="8"/>
  <c r="AL145" i="8"/>
  <c r="AP145" i="8" s="1"/>
  <c r="AK145" i="8"/>
  <c r="AJ145" i="8"/>
  <c r="V144" i="9" s="1"/>
  <c r="D145" i="8"/>
  <c r="AS144" i="8"/>
  <c r="AO144" i="8"/>
  <c r="AN144" i="8"/>
  <c r="AM144" i="8"/>
  <c r="AL144" i="8"/>
  <c r="AK144" i="8"/>
  <c r="W143" i="9" s="1"/>
  <c r="AJ144" i="8"/>
  <c r="V143" i="9" s="1"/>
  <c r="D144" i="8"/>
  <c r="B146" i="132" s="1"/>
  <c r="AS143" i="8"/>
  <c r="AO143" i="8"/>
  <c r="AN143" i="8"/>
  <c r="AM143" i="8"/>
  <c r="AL143" i="8"/>
  <c r="AK143" i="8"/>
  <c r="AJ143" i="8"/>
  <c r="D143" i="8"/>
  <c r="B145" i="132" s="1"/>
  <c r="AS142" i="8"/>
  <c r="AO142" i="8"/>
  <c r="AN142" i="8"/>
  <c r="AM142" i="8"/>
  <c r="AL142" i="8"/>
  <c r="AK142" i="8"/>
  <c r="AJ142" i="8"/>
  <c r="D142" i="8"/>
  <c r="B141" i="9" s="1"/>
  <c r="AS141" i="8"/>
  <c r="AO141" i="8"/>
  <c r="AN141" i="8"/>
  <c r="AM141" i="8"/>
  <c r="AL141" i="8"/>
  <c r="AP141" i="8" s="1"/>
  <c r="AK141" i="8"/>
  <c r="AJ141" i="8"/>
  <c r="V140" i="9" s="1"/>
  <c r="D141" i="8"/>
  <c r="B143" i="132" s="1"/>
  <c r="AS140" i="8"/>
  <c r="AO140" i="8"/>
  <c r="AN140" i="8"/>
  <c r="AM140" i="8"/>
  <c r="AL140" i="8"/>
  <c r="X139" i="9" s="1"/>
  <c r="AK140" i="8"/>
  <c r="W139" i="9" s="1"/>
  <c r="AJ140" i="8"/>
  <c r="D140" i="8"/>
  <c r="B139" i="9" s="1"/>
  <c r="AS139" i="8"/>
  <c r="AO139" i="8"/>
  <c r="AN139" i="8"/>
  <c r="AM139" i="8"/>
  <c r="AL139" i="8"/>
  <c r="AK139" i="8"/>
  <c r="W138" i="9" s="1"/>
  <c r="AJ139" i="8"/>
  <c r="D139" i="8"/>
  <c r="AS138" i="8"/>
  <c r="AO138" i="8"/>
  <c r="AN138" i="8"/>
  <c r="AM138" i="8"/>
  <c r="AL138" i="8"/>
  <c r="AK138" i="8"/>
  <c r="AJ138" i="8"/>
  <c r="D138" i="8"/>
  <c r="AS137" i="8"/>
  <c r="AO137" i="8"/>
  <c r="AN137" i="8"/>
  <c r="AM137" i="8"/>
  <c r="AL137" i="8"/>
  <c r="X136" i="9" s="1"/>
  <c r="O60" i="101" s="1"/>
  <c r="AK137" i="8"/>
  <c r="AJ137" i="8"/>
  <c r="V136" i="9" s="1"/>
  <c r="D137" i="8"/>
  <c r="AS136" i="8"/>
  <c r="AO136" i="8"/>
  <c r="AN136" i="8"/>
  <c r="AM136" i="8"/>
  <c r="AL136" i="8"/>
  <c r="X135" i="9" s="1"/>
  <c r="AK136" i="8"/>
  <c r="AJ136" i="8"/>
  <c r="V135" i="9" s="1"/>
  <c r="D136" i="8"/>
  <c r="B135" i="9" s="1"/>
  <c r="AS135" i="8"/>
  <c r="AO135" i="8"/>
  <c r="AN135" i="8"/>
  <c r="AM135" i="8"/>
  <c r="AL135" i="8"/>
  <c r="X134" i="9" s="1"/>
  <c r="AK135" i="8"/>
  <c r="AJ135" i="8"/>
  <c r="V134" i="9" s="1"/>
  <c r="D135" i="8"/>
  <c r="AS134" i="8"/>
  <c r="AO134" i="8"/>
  <c r="AN134" i="8"/>
  <c r="AM134" i="8"/>
  <c r="AL134" i="8"/>
  <c r="X133" i="9" s="1"/>
  <c r="AK134" i="8"/>
  <c r="AJ134" i="8"/>
  <c r="V133" i="9" s="1"/>
  <c r="D134" i="8"/>
  <c r="B133" i="9" s="1"/>
  <c r="AS133" i="8"/>
  <c r="AO133" i="8"/>
  <c r="AN133" i="8"/>
  <c r="AM133" i="8"/>
  <c r="AL133" i="8"/>
  <c r="X132" i="9" s="1"/>
  <c r="AK133" i="8"/>
  <c r="AJ133" i="8"/>
  <c r="V132" i="9" s="1"/>
  <c r="M137" i="151" s="1"/>
  <c r="D133" i="8"/>
  <c r="B135" i="132" s="1"/>
  <c r="AS132" i="8"/>
  <c r="AO132" i="8"/>
  <c r="AN132" i="8"/>
  <c r="AM132" i="8"/>
  <c r="AL132" i="8"/>
  <c r="X131" i="9" s="1"/>
  <c r="AK132" i="8"/>
  <c r="AJ132" i="8"/>
  <c r="V131" i="9" s="1"/>
  <c r="D132" i="8"/>
  <c r="B131" i="9" s="1"/>
  <c r="AS131" i="8"/>
  <c r="AO131" i="8"/>
  <c r="AN131" i="8"/>
  <c r="AM131" i="8"/>
  <c r="AL131" i="8"/>
  <c r="X130" i="9" s="1"/>
  <c r="AK131" i="8"/>
  <c r="AJ131" i="8"/>
  <c r="V130" i="9" s="1"/>
  <c r="D131" i="8"/>
  <c r="B130" i="9" s="1"/>
  <c r="AS130" i="8"/>
  <c r="AO130" i="8"/>
  <c r="AN130" i="8"/>
  <c r="AM130" i="8"/>
  <c r="AL130" i="8"/>
  <c r="X129" i="9" s="1"/>
  <c r="AK130" i="8"/>
  <c r="AJ130" i="8"/>
  <c r="V129" i="9" s="1"/>
  <c r="D130" i="8"/>
  <c r="B134" i="151" s="1"/>
  <c r="AS129" i="8"/>
  <c r="AO129" i="8"/>
  <c r="AN129" i="8"/>
  <c r="AM129" i="8"/>
  <c r="AL129" i="8"/>
  <c r="X128" i="9" s="1"/>
  <c r="AK129" i="8"/>
  <c r="AJ129" i="8"/>
  <c r="V128" i="9" s="1"/>
  <c r="D129" i="8"/>
  <c r="AS128" i="8"/>
  <c r="AO128" i="8"/>
  <c r="AN128" i="8"/>
  <c r="AM128" i="8"/>
  <c r="AL128" i="8"/>
  <c r="X127" i="9" s="1"/>
  <c r="AK128" i="8"/>
  <c r="AJ128" i="8"/>
  <c r="V127" i="9" s="1"/>
  <c r="D128" i="8"/>
  <c r="B127" i="9" s="1"/>
  <c r="AS127" i="8"/>
  <c r="AO127" i="8"/>
  <c r="AN127" i="8"/>
  <c r="AM127" i="8"/>
  <c r="AL127" i="8"/>
  <c r="X126" i="9" s="1"/>
  <c r="AK127" i="8"/>
  <c r="AJ127" i="8"/>
  <c r="V126" i="9" s="1"/>
  <c r="D127" i="8"/>
  <c r="AS126" i="8"/>
  <c r="AO126" i="8"/>
  <c r="AN126" i="8"/>
  <c r="AM126" i="8"/>
  <c r="AL126" i="8"/>
  <c r="X125" i="9" s="1"/>
  <c r="AK126" i="8"/>
  <c r="AJ126" i="8"/>
  <c r="V125" i="9" s="1"/>
  <c r="D126" i="8"/>
  <c r="B125" i="9" s="1"/>
  <c r="AS125" i="8"/>
  <c r="AO125" i="8"/>
  <c r="AN125" i="8"/>
  <c r="AM125" i="8"/>
  <c r="AL125" i="8"/>
  <c r="AP125" i="8" s="1"/>
  <c r="AK125" i="8"/>
  <c r="AJ125" i="8"/>
  <c r="D125" i="8"/>
  <c r="AS124" i="8"/>
  <c r="AO124" i="8"/>
  <c r="AN124" i="8"/>
  <c r="AM124" i="8"/>
  <c r="AL124" i="8"/>
  <c r="AK124" i="8"/>
  <c r="AJ124" i="8"/>
  <c r="D124" i="8"/>
  <c r="AS123" i="8"/>
  <c r="AO123" i="8"/>
  <c r="AN123" i="8"/>
  <c r="AM123" i="8"/>
  <c r="AL123" i="8"/>
  <c r="AK123" i="8"/>
  <c r="AJ123" i="8"/>
  <c r="D123" i="8"/>
  <c r="AS122" i="8"/>
  <c r="AO122" i="8"/>
  <c r="AN122" i="8"/>
  <c r="AM122" i="8"/>
  <c r="AL122" i="8"/>
  <c r="AK122" i="8"/>
  <c r="AJ122" i="8"/>
  <c r="D122" i="8"/>
  <c r="B121" i="9" s="1"/>
  <c r="AS121" i="8"/>
  <c r="AO121" i="8"/>
  <c r="AN121" i="8"/>
  <c r="AM121" i="8"/>
  <c r="AL121" i="8"/>
  <c r="AP121" i="8" s="1"/>
  <c r="AK121" i="8"/>
  <c r="AJ121" i="8"/>
  <c r="D121" i="8"/>
  <c r="B120" i="9" s="1"/>
  <c r="AS120" i="8"/>
  <c r="AO120" i="8"/>
  <c r="AN120" i="8"/>
  <c r="AM120" i="8"/>
  <c r="AL120" i="8"/>
  <c r="AK120" i="8"/>
  <c r="AJ120" i="8"/>
  <c r="D120" i="8"/>
  <c r="B124" i="151" s="1"/>
  <c r="AS119" i="8"/>
  <c r="AO119" i="8"/>
  <c r="AN119" i="8"/>
  <c r="AM119" i="8"/>
  <c r="AL119" i="8"/>
  <c r="AK119" i="8"/>
  <c r="AJ119" i="8"/>
  <c r="D119" i="8"/>
  <c r="AS118" i="8"/>
  <c r="AO118" i="8"/>
  <c r="AN118" i="8"/>
  <c r="AM118" i="8"/>
  <c r="AL118" i="8"/>
  <c r="AK118" i="8"/>
  <c r="AJ118" i="8"/>
  <c r="D118" i="8"/>
  <c r="B122" i="151" s="1"/>
  <c r="AS117" i="8"/>
  <c r="AO117" i="8"/>
  <c r="AN117" i="8"/>
  <c r="AM117" i="8"/>
  <c r="AL117" i="8"/>
  <c r="AP117" i="8" s="1"/>
  <c r="AK117" i="8"/>
  <c r="AJ117" i="8"/>
  <c r="D117" i="8"/>
  <c r="AS116" i="8"/>
  <c r="AO116" i="8"/>
  <c r="AN116" i="8"/>
  <c r="AM116" i="8"/>
  <c r="AL116" i="8"/>
  <c r="AK116" i="8"/>
  <c r="AJ116" i="8"/>
  <c r="D116" i="8"/>
  <c r="B115" i="9" s="1"/>
  <c r="AS115" i="8"/>
  <c r="AO115" i="8"/>
  <c r="AN115" i="8"/>
  <c r="AM115" i="8"/>
  <c r="AL115" i="8"/>
  <c r="AK115" i="8"/>
  <c r="AJ115" i="8"/>
  <c r="D115" i="8"/>
  <c r="B119" i="151" s="1"/>
  <c r="AS114" i="8"/>
  <c r="AO114" i="8"/>
  <c r="AN114" i="8"/>
  <c r="AM114" i="8"/>
  <c r="AL114" i="8"/>
  <c r="AK114" i="8"/>
  <c r="AJ114" i="8"/>
  <c r="D114" i="8"/>
  <c r="B113" i="9" s="1"/>
  <c r="AS113" i="8"/>
  <c r="AO113" i="8"/>
  <c r="AN113" i="8"/>
  <c r="AM113" i="8"/>
  <c r="AL113" i="8"/>
  <c r="AP113" i="8" s="1"/>
  <c r="AK113" i="8"/>
  <c r="AJ113" i="8"/>
  <c r="D113" i="8"/>
  <c r="AS112" i="8"/>
  <c r="AO112" i="8"/>
  <c r="AN112" i="8"/>
  <c r="AM112" i="8"/>
  <c r="AL112" i="8"/>
  <c r="AK112" i="8"/>
  <c r="AJ112" i="8"/>
  <c r="D112" i="8"/>
  <c r="B114" i="132" s="1"/>
  <c r="AS111" i="8"/>
  <c r="AO111" i="8"/>
  <c r="AN111" i="8"/>
  <c r="AM111" i="8"/>
  <c r="AL111" i="8"/>
  <c r="AK111" i="8"/>
  <c r="AJ111" i="8"/>
  <c r="D111" i="8"/>
  <c r="B110" i="9" s="1"/>
  <c r="AS110" i="8"/>
  <c r="AO110" i="8"/>
  <c r="AN110" i="8"/>
  <c r="AM110" i="8"/>
  <c r="AL110" i="8"/>
  <c r="AK110" i="8"/>
  <c r="AJ110" i="8"/>
  <c r="D110" i="8"/>
  <c r="AS109" i="8"/>
  <c r="AO109" i="8"/>
  <c r="AN109" i="8"/>
  <c r="AM109" i="8"/>
  <c r="AL109" i="8"/>
  <c r="AK109" i="8"/>
  <c r="AJ109" i="8"/>
  <c r="D109" i="8"/>
  <c r="AS108" i="8"/>
  <c r="AO108" i="8"/>
  <c r="AN108" i="8"/>
  <c r="AM108" i="8"/>
  <c r="AL108" i="8"/>
  <c r="AK108" i="8"/>
  <c r="AJ108" i="8"/>
  <c r="D108" i="8"/>
  <c r="B112" i="151" s="1"/>
  <c r="AS107" i="8"/>
  <c r="AO107" i="8"/>
  <c r="AN107" i="8"/>
  <c r="AM107" i="8"/>
  <c r="AL107" i="8"/>
  <c r="AK107" i="8"/>
  <c r="AJ107" i="8"/>
  <c r="D107" i="8"/>
  <c r="AS106" i="8"/>
  <c r="AO106" i="8"/>
  <c r="AN106" i="8"/>
  <c r="AM106" i="8"/>
  <c r="AL106" i="8"/>
  <c r="AK106" i="8"/>
  <c r="AJ106" i="8"/>
  <c r="D106" i="8"/>
  <c r="B105" i="9" s="1"/>
  <c r="AS105" i="8"/>
  <c r="AO105" i="8"/>
  <c r="AN105" i="8"/>
  <c r="AM105" i="8"/>
  <c r="AL105" i="8"/>
  <c r="AK105" i="8"/>
  <c r="AJ105" i="8"/>
  <c r="D105" i="8"/>
  <c r="AS104" i="8"/>
  <c r="AO104" i="8"/>
  <c r="AN104" i="8"/>
  <c r="AM104" i="8"/>
  <c r="AL104" i="8"/>
  <c r="AK104" i="8"/>
  <c r="AJ104" i="8"/>
  <c r="D104" i="8"/>
  <c r="B108" i="151" s="1"/>
  <c r="AS103" i="8"/>
  <c r="AO103" i="8"/>
  <c r="AN103" i="8"/>
  <c r="AM103" i="8"/>
  <c r="AL103" i="8"/>
  <c r="AP103" i="8" s="1"/>
  <c r="AK103" i="8"/>
  <c r="AJ103" i="8"/>
  <c r="D103" i="8"/>
  <c r="AS102" i="8"/>
  <c r="AO102" i="8"/>
  <c r="AN102" i="8"/>
  <c r="AM102" i="8"/>
  <c r="AL102" i="8"/>
  <c r="AK102" i="8"/>
  <c r="AJ102" i="8"/>
  <c r="D102" i="8"/>
  <c r="B104" i="132" s="1"/>
  <c r="AS101" i="8"/>
  <c r="AO101" i="8"/>
  <c r="AN101" i="8"/>
  <c r="AM101" i="8"/>
  <c r="AL101" i="8"/>
  <c r="AK101" i="8"/>
  <c r="AJ101" i="8"/>
  <c r="D101" i="8"/>
  <c r="AS100" i="8"/>
  <c r="AO100" i="8"/>
  <c r="AN100" i="8"/>
  <c r="AM100" i="8"/>
  <c r="AL100" i="8"/>
  <c r="AK100" i="8"/>
  <c r="AJ100" i="8"/>
  <c r="D100" i="8"/>
  <c r="AS99" i="8"/>
  <c r="AO99" i="8"/>
  <c r="AN99" i="8"/>
  <c r="AM99" i="8"/>
  <c r="AL99" i="8"/>
  <c r="X98" i="9" s="1"/>
  <c r="AK99" i="8"/>
  <c r="AJ99" i="8"/>
  <c r="V98" i="9" s="1"/>
  <c r="D99" i="8"/>
  <c r="B103" i="151" s="1"/>
  <c r="AS98" i="8"/>
  <c r="AO98" i="8"/>
  <c r="AN98" i="8"/>
  <c r="AM98" i="8"/>
  <c r="AL98" i="8"/>
  <c r="AK98" i="8"/>
  <c r="AJ98" i="8"/>
  <c r="V97" i="9" s="1"/>
  <c r="D98" i="8"/>
  <c r="B100" i="132" s="1"/>
  <c r="AS97" i="8"/>
  <c r="AO97" i="8"/>
  <c r="AN97" i="8"/>
  <c r="AM97" i="8"/>
  <c r="AL97" i="8"/>
  <c r="AK97" i="8"/>
  <c r="AJ97" i="8"/>
  <c r="V96" i="9" s="1"/>
  <c r="D97" i="8"/>
  <c r="AS96" i="8"/>
  <c r="AO96" i="8"/>
  <c r="AN96" i="8"/>
  <c r="AM96" i="8"/>
  <c r="AL96" i="8"/>
  <c r="AK96" i="8"/>
  <c r="AJ96" i="8"/>
  <c r="V95" i="9" s="1"/>
  <c r="D96" i="8"/>
  <c r="B100" i="151" s="1"/>
  <c r="AS95" i="8"/>
  <c r="AO95" i="8"/>
  <c r="AN95" i="8"/>
  <c r="AM95" i="8"/>
  <c r="AL95" i="8"/>
  <c r="AK95" i="8"/>
  <c r="AJ95" i="8"/>
  <c r="V94" i="9" s="1"/>
  <c r="D95" i="8"/>
  <c r="AS94" i="8"/>
  <c r="AO94" i="8"/>
  <c r="AN94" i="8"/>
  <c r="AN93" i="8" s="1"/>
  <c r="AM94" i="8"/>
  <c r="AL94" i="8"/>
  <c r="AK94" i="8"/>
  <c r="AJ94" i="8"/>
  <c r="V93" i="9" s="1"/>
  <c r="D94" i="8"/>
  <c r="B93" i="9" s="1"/>
  <c r="AS93" i="8"/>
  <c r="AI93" i="8"/>
  <c r="AH93" i="8"/>
  <c r="AG93" i="8"/>
  <c r="AF93" i="8"/>
  <c r="AE93" i="8"/>
  <c r="AD93" i="8"/>
  <c r="AC93" i="8"/>
  <c r="AB93" i="8"/>
  <c r="AA93" i="8"/>
  <c r="Z93" i="8"/>
  <c r="Y93" i="8"/>
  <c r="X93" i="8"/>
  <c r="W93" i="8"/>
  <c r="V93" i="8"/>
  <c r="U93" i="8"/>
  <c r="T93" i="8"/>
  <c r="S93" i="8"/>
  <c r="R93" i="8"/>
  <c r="Q93" i="8"/>
  <c r="P93" i="8"/>
  <c r="O93" i="8"/>
  <c r="N93" i="8"/>
  <c r="M93" i="8"/>
  <c r="L93" i="8"/>
  <c r="K93" i="8"/>
  <c r="J93" i="8"/>
  <c r="I93" i="8"/>
  <c r="H93" i="8"/>
  <c r="G93" i="8"/>
  <c r="F93" i="8"/>
  <c r="E93" i="8"/>
  <c r="AO92" i="8"/>
  <c r="AN92" i="8"/>
  <c r="AM92" i="8"/>
  <c r="AL92" i="8"/>
  <c r="AK92" i="8"/>
  <c r="AK12" i="8" s="1"/>
  <c r="AJ92" i="8"/>
  <c r="AT91" i="8"/>
  <c r="AO91" i="8"/>
  <c r="AA89" i="9" s="1"/>
  <c r="AN91" i="8"/>
  <c r="Z89" i="9" s="1"/>
  <c r="AM91" i="8"/>
  <c r="AL91" i="8"/>
  <c r="AK91" i="8"/>
  <c r="AJ91" i="8"/>
  <c r="AT90" i="8"/>
  <c r="AO90" i="8"/>
  <c r="AN90" i="8"/>
  <c r="AM90" i="8"/>
  <c r="AL90" i="8"/>
  <c r="AK90" i="8"/>
  <c r="AJ90" i="8"/>
  <c r="AO89" i="8"/>
  <c r="AA87" i="9" s="1"/>
  <c r="AN89" i="8"/>
  <c r="Z87" i="9" s="1"/>
  <c r="AM89" i="8"/>
  <c r="AL89" i="8"/>
  <c r="AK89" i="8"/>
  <c r="AJ89" i="8"/>
  <c r="AT88" i="8"/>
  <c r="AO88" i="8"/>
  <c r="AN88" i="8"/>
  <c r="Z86" i="9" s="1"/>
  <c r="AM88" i="8"/>
  <c r="AL88" i="8"/>
  <c r="AK88" i="8"/>
  <c r="W86" i="9" s="1"/>
  <c r="AJ88" i="8"/>
  <c r="V86" i="9" s="1"/>
  <c r="AT87" i="8"/>
  <c r="AO87" i="8"/>
  <c r="AN87" i="8"/>
  <c r="AM87" i="8"/>
  <c r="AL87" i="8"/>
  <c r="AK87" i="8"/>
  <c r="AJ87" i="8"/>
  <c r="AT86" i="8"/>
  <c r="AO86" i="8"/>
  <c r="AN86" i="8"/>
  <c r="Z84" i="9" s="1"/>
  <c r="AM86" i="8"/>
  <c r="AL86" i="8"/>
  <c r="AK86" i="8"/>
  <c r="AJ86" i="8"/>
  <c r="AS85" i="8"/>
  <c r="AT85" i="8" s="1"/>
  <c r="AO85" i="8"/>
  <c r="AN85" i="8"/>
  <c r="AM85" i="8"/>
  <c r="AL85" i="8"/>
  <c r="AK85" i="8"/>
  <c r="W83" i="9" s="1"/>
  <c r="AJ85" i="8"/>
  <c r="D85" i="8"/>
  <c r="AS84" i="8"/>
  <c r="AO84" i="8"/>
  <c r="AA82" i="9" s="1"/>
  <c r="AN84" i="8"/>
  <c r="AM84" i="8"/>
  <c r="AL84" i="8"/>
  <c r="AK84" i="8"/>
  <c r="AJ84" i="8"/>
  <c r="V82" i="9" s="1"/>
  <c r="D84" i="8"/>
  <c r="AS83" i="8"/>
  <c r="AO83" i="8"/>
  <c r="AN83" i="8"/>
  <c r="AM83" i="8"/>
  <c r="AL83" i="8"/>
  <c r="AK83" i="8"/>
  <c r="AJ83" i="8"/>
  <c r="V81" i="9" s="1"/>
  <c r="D83" i="8"/>
  <c r="B84" i="132" s="1"/>
  <c r="AS82" i="8"/>
  <c r="AO82" i="8"/>
  <c r="AN82" i="8"/>
  <c r="AM82" i="8"/>
  <c r="AL82" i="8"/>
  <c r="AK82" i="8"/>
  <c r="W80" i="9" s="1"/>
  <c r="AJ82" i="8"/>
  <c r="D82" i="8"/>
  <c r="AS81" i="8"/>
  <c r="AO81" i="8"/>
  <c r="AA79" i="9" s="1"/>
  <c r="AN81" i="8"/>
  <c r="Z79" i="9" s="1"/>
  <c r="AM81" i="8"/>
  <c r="AL81" i="8"/>
  <c r="AK81" i="8"/>
  <c r="AJ81" i="8"/>
  <c r="V79" i="9" s="1"/>
  <c r="AS80" i="8"/>
  <c r="AT80" i="8" s="1"/>
  <c r="AO80" i="8"/>
  <c r="AN80" i="8"/>
  <c r="AM80" i="8"/>
  <c r="AL80" i="8"/>
  <c r="AK80" i="8"/>
  <c r="AJ80" i="8"/>
  <c r="D80" i="8"/>
  <c r="AS79" i="8"/>
  <c r="AO79" i="8"/>
  <c r="AN79" i="8"/>
  <c r="AM79" i="8"/>
  <c r="AL79" i="8"/>
  <c r="AK79" i="8"/>
  <c r="AJ79" i="8"/>
  <c r="D79" i="8"/>
  <c r="AS78" i="8"/>
  <c r="AO78" i="8"/>
  <c r="AA76" i="9" s="1"/>
  <c r="AN78" i="8"/>
  <c r="Z76" i="9" s="1"/>
  <c r="AM78" i="8"/>
  <c r="AL78" i="8"/>
  <c r="AK78" i="8"/>
  <c r="AJ78" i="8"/>
  <c r="V76" i="9" s="1"/>
  <c r="AS77" i="8"/>
  <c r="AT77" i="8" s="1"/>
  <c r="AO77" i="8"/>
  <c r="AN77" i="8"/>
  <c r="AM77" i="8"/>
  <c r="AL77" i="8"/>
  <c r="AK77" i="8"/>
  <c r="AJ77" i="8"/>
  <c r="V75" i="9" s="1"/>
  <c r="AS76" i="8"/>
  <c r="AT76" i="8" s="1"/>
  <c r="AO76" i="8"/>
  <c r="AA74" i="9" s="1"/>
  <c r="AN76" i="8"/>
  <c r="Z74" i="9" s="1"/>
  <c r="AM76" i="8"/>
  <c r="AL76" i="8"/>
  <c r="AK76" i="8"/>
  <c r="AJ76" i="8"/>
  <c r="V74" i="9" s="1"/>
  <c r="D76" i="8"/>
  <c r="B79" i="99" s="1"/>
  <c r="AS75" i="8"/>
  <c r="AO75" i="8"/>
  <c r="AA73" i="9" s="1"/>
  <c r="AN75" i="8"/>
  <c r="AM75" i="8"/>
  <c r="AL75" i="8"/>
  <c r="AK75" i="8"/>
  <c r="AP75" i="8" s="1"/>
  <c r="AJ75" i="8"/>
  <c r="V73" i="9" s="1"/>
  <c r="D75" i="8"/>
  <c r="B78" i="151" s="1"/>
  <c r="AS74" i="8"/>
  <c r="AO74" i="8"/>
  <c r="AN74" i="8"/>
  <c r="AM74" i="8"/>
  <c r="AL74" i="8"/>
  <c r="AK74" i="8"/>
  <c r="AJ74" i="8"/>
  <c r="D74" i="8"/>
  <c r="B72" i="9" s="1"/>
  <c r="AS73" i="8"/>
  <c r="AT73" i="8" s="1"/>
  <c r="AO73" i="8"/>
  <c r="AN73" i="8"/>
  <c r="AM73" i="8"/>
  <c r="AL73" i="8"/>
  <c r="AK73" i="8"/>
  <c r="W71" i="9" s="1"/>
  <c r="AJ73" i="8"/>
  <c r="D73" i="8"/>
  <c r="B74" i="132" s="1"/>
  <c r="AS72" i="8"/>
  <c r="AO72" i="8"/>
  <c r="AA70" i="9" s="1"/>
  <c r="AN72" i="8"/>
  <c r="Z70" i="9" s="1"/>
  <c r="AM72" i="8"/>
  <c r="AL72" i="8"/>
  <c r="AK72" i="8"/>
  <c r="AJ72" i="8"/>
  <c r="V70" i="9" s="1"/>
  <c r="D72" i="8"/>
  <c r="B70" i="9" s="1"/>
  <c r="AS71" i="8"/>
  <c r="AO71" i="8"/>
  <c r="AA69" i="9" s="1"/>
  <c r="AN71" i="8"/>
  <c r="AM71" i="8"/>
  <c r="AL71" i="8"/>
  <c r="AK71" i="8"/>
  <c r="AJ71" i="8"/>
  <c r="D71" i="8"/>
  <c r="B74" i="99" s="1"/>
  <c r="AS70" i="8"/>
  <c r="AO70" i="8"/>
  <c r="AN70" i="8"/>
  <c r="AM70" i="8"/>
  <c r="AL70" i="8"/>
  <c r="AK70" i="8"/>
  <c r="W68" i="9" s="1"/>
  <c r="AJ70" i="8"/>
  <c r="V68" i="9" s="1"/>
  <c r="D70" i="8"/>
  <c r="B68" i="9" s="1"/>
  <c r="AS69" i="8"/>
  <c r="AO69" i="8"/>
  <c r="AN69" i="8"/>
  <c r="Z67" i="9" s="1"/>
  <c r="AM69" i="8"/>
  <c r="AL69" i="8"/>
  <c r="AK69" i="8"/>
  <c r="W67" i="9" s="1"/>
  <c r="AJ69" i="8"/>
  <c r="D69" i="8"/>
  <c r="AS68" i="8"/>
  <c r="AO68" i="8"/>
  <c r="AA66" i="9" s="1"/>
  <c r="AN68" i="8"/>
  <c r="Z66" i="9" s="1"/>
  <c r="AM68" i="8"/>
  <c r="AL68" i="8"/>
  <c r="AK68" i="8"/>
  <c r="AJ68" i="8"/>
  <c r="V66" i="9" s="1"/>
  <c r="D68" i="8"/>
  <c r="B66" i="9" s="1"/>
  <c r="AS67" i="8"/>
  <c r="AO67" i="8"/>
  <c r="AA65" i="9" s="1"/>
  <c r="AN67" i="8"/>
  <c r="AM67" i="8"/>
  <c r="AL67" i="8"/>
  <c r="AK67" i="8"/>
  <c r="AJ67" i="8"/>
  <c r="V65" i="9" s="1"/>
  <c r="AS66" i="8"/>
  <c r="AT66" i="8" s="1"/>
  <c r="AO66" i="8"/>
  <c r="AN66" i="8"/>
  <c r="AM66" i="8"/>
  <c r="AL66" i="8"/>
  <c r="AK66" i="8"/>
  <c r="AJ66" i="8"/>
  <c r="D66" i="8"/>
  <c r="B64" i="9" s="1"/>
  <c r="AS65" i="8"/>
  <c r="AO65" i="8"/>
  <c r="AA63" i="9" s="1"/>
  <c r="AN65" i="8"/>
  <c r="Z63" i="9" s="1"/>
  <c r="AM65" i="8"/>
  <c r="AL65" i="8"/>
  <c r="AK65" i="8"/>
  <c r="AJ65" i="8"/>
  <c r="V63" i="9" s="1"/>
  <c r="D65" i="8"/>
  <c r="B68" i="99" s="1"/>
  <c r="AS64" i="8"/>
  <c r="AO64" i="8"/>
  <c r="AN64" i="8"/>
  <c r="AM64" i="8"/>
  <c r="AL64" i="8"/>
  <c r="AK64" i="8"/>
  <c r="AJ64" i="8"/>
  <c r="AP64" i="8" s="1"/>
  <c r="D64" i="8"/>
  <c r="B65" i="132" s="1"/>
  <c r="AS63" i="8"/>
  <c r="AO63" i="8"/>
  <c r="AN63" i="8"/>
  <c r="AM63" i="8"/>
  <c r="AL63" i="8"/>
  <c r="AK63" i="8"/>
  <c r="W61" i="9" s="1"/>
  <c r="AJ63" i="8"/>
  <c r="V61" i="9" s="1"/>
  <c r="D63" i="8"/>
  <c r="B61" i="9" s="1"/>
  <c r="AS62" i="8"/>
  <c r="AO62" i="8"/>
  <c r="AN62" i="8"/>
  <c r="AM62" i="8"/>
  <c r="AL62" i="8"/>
  <c r="AK62" i="8"/>
  <c r="AJ62" i="8"/>
  <c r="D62" i="8"/>
  <c r="B60" i="9" s="1"/>
  <c r="AS61" i="8"/>
  <c r="AO61" i="8"/>
  <c r="AA59" i="9" s="1"/>
  <c r="AN61" i="8"/>
  <c r="Z59" i="9" s="1"/>
  <c r="AM61" i="8"/>
  <c r="AL61" i="8"/>
  <c r="AK61" i="8"/>
  <c r="AJ61" i="8"/>
  <c r="D61" i="8"/>
  <c r="B62" i="132" s="1"/>
  <c r="AS60" i="8"/>
  <c r="AO60" i="8"/>
  <c r="AA58" i="9" s="1"/>
  <c r="AN60" i="8"/>
  <c r="AM60" i="8"/>
  <c r="AL60" i="8"/>
  <c r="AK60" i="8"/>
  <c r="AJ60" i="8"/>
  <c r="D60" i="8"/>
  <c r="AS59" i="8"/>
  <c r="AO59" i="8"/>
  <c r="AN59" i="8"/>
  <c r="AM59" i="8"/>
  <c r="AL59" i="8"/>
  <c r="AK59" i="8"/>
  <c r="AJ59" i="8"/>
  <c r="V57" i="9" s="1"/>
  <c r="D59" i="8"/>
  <c r="B57" i="9" s="1"/>
  <c r="AS58" i="8"/>
  <c r="AO58" i="8"/>
  <c r="AN58" i="8"/>
  <c r="AM58" i="8"/>
  <c r="AL58" i="8"/>
  <c r="AK58" i="8"/>
  <c r="AJ58" i="8"/>
  <c r="D58" i="8"/>
  <c r="AS57" i="8"/>
  <c r="AO57" i="8"/>
  <c r="AA55" i="9" s="1"/>
  <c r="AN57" i="8"/>
  <c r="Z55" i="9" s="1"/>
  <c r="AM57" i="8"/>
  <c r="AL57" i="8"/>
  <c r="AK57" i="8"/>
  <c r="AJ57" i="8"/>
  <c r="V55" i="9" s="1"/>
  <c r="D57" i="8"/>
  <c r="AS56" i="8"/>
  <c r="AO56" i="8"/>
  <c r="AA54" i="9" s="1"/>
  <c r="AN56" i="8"/>
  <c r="AM56" i="8"/>
  <c r="AL56" i="8"/>
  <c r="AK56" i="8"/>
  <c r="AJ56" i="8"/>
  <c r="D56" i="8"/>
  <c r="AS55" i="8"/>
  <c r="AO55" i="8"/>
  <c r="AN55" i="8"/>
  <c r="AM55" i="8"/>
  <c r="AL55" i="8"/>
  <c r="AK55" i="8"/>
  <c r="AJ55" i="8"/>
  <c r="AP55" i="8" s="1"/>
  <c r="D55" i="8"/>
  <c r="B53" i="9" s="1"/>
  <c r="AS54" i="8"/>
  <c r="AO54" i="8"/>
  <c r="AN54" i="8"/>
  <c r="Z52" i="9" s="1"/>
  <c r="AM54" i="8"/>
  <c r="AL54" i="8"/>
  <c r="AK54" i="8"/>
  <c r="W52" i="9" s="1"/>
  <c r="AJ54" i="8"/>
  <c r="D54" i="8"/>
  <c r="AS53" i="8"/>
  <c r="AO53" i="8"/>
  <c r="AA51" i="9" s="1"/>
  <c r="AN53" i="8"/>
  <c r="Z51" i="9" s="1"/>
  <c r="AM53" i="8"/>
  <c r="AL53" i="8"/>
  <c r="AK53" i="8"/>
  <c r="AJ53" i="8"/>
  <c r="V51" i="9" s="1"/>
  <c r="AS52" i="8"/>
  <c r="AT52" i="8" s="1"/>
  <c r="AO52" i="8"/>
  <c r="AN52" i="8"/>
  <c r="AM52" i="8"/>
  <c r="AL52" i="8"/>
  <c r="AK52" i="8"/>
  <c r="AJ52" i="8"/>
  <c r="D52" i="8"/>
  <c r="AS51" i="8"/>
  <c r="AO51" i="8"/>
  <c r="AN51" i="8"/>
  <c r="Z49" i="9" s="1"/>
  <c r="AM51" i="8"/>
  <c r="AL51" i="8"/>
  <c r="AK51" i="8"/>
  <c r="W49" i="9" s="1"/>
  <c r="AJ51" i="8"/>
  <c r="D51" i="8"/>
  <c r="B52" i="132" s="1"/>
  <c r="AS50" i="8"/>
  <c r="AO50" i="8"/>
  <c r="AA48" i="9" s="1"/>
  <c r="AN50" i="8"/>
  <c r="Z48" i="9" s="1"/>
  <c r="AM50" i="8"/>
  <c r="AL50" i="8"/>
  <c r="AK50" i="8"/>
  <c r="AJ50" i="8"/>
  <c r="V48" i="9" s="1"/>
  <c r="D50" i="8"/>
  <c r="B53" i="151" s="1"/>
  <c r="AS49" i="8"/>
  <c r="AO49" i="8"/>
  <c r="AA47" i="9" s="1"/>
  <c r="AN49" i="8"/>
  <c r="AM49" i="8"/>
  <c r="AL49" i="8"/>
  <c r="AK49" i="8"/>
  <c r="AJ49" i="8"/>
  <c r="D49" i="8"/>
  <c r="B52" i="151" s="1"/>
  <c r="AS48" i="8"/>
  <c r="AO48" i="8"/>
  <c r="AN48" i="8"/>
  <c r="AM48" i="8"/>
  <c r="AL48" i="8"/>
  <c r="AK48" i="8"/>
  <c r="AJ48" i="8"/>
  <c r="D48" i="8"/>
  <c r="B51" i="99" s="1"/>
  <c r="AS47" i="8"/>
  <c r="AO47" i="8"/>
  <c r="AN47" i="8"/>
  <c r="AM47" i="8"/>
  <c r="AL47" i="8"/>
  <c r="AK47" i="8"/>
  <c r="W45" i="9" s="1"/>
  <c r="AJ47" i="8"/>
  <c r="D47" i="8"/>
  <c r="B45" i="9" s="1"/>
  <c r="AS46" i="8"/>
  <c r="AO46" i="8"/>
  <c r="AA44" i="9" s="1"/>
  <c r="AN46" i="8"/>
  <c r="Z44" i="9" s="1"/>
  <c r="AM46" i="8"/>
  <c r="AL46" i="8"/>
  <c r="AK46" i="8"/>
  <c r="AJ46" i="8"/>
  <c r="V44" i="9" s="1"/>
  <c r="D46" i="8"/>
  <c r="AS45" i="8"/>
  <c r="AO45" i="8"/>
  <c r="AN45" i="8"/>
  <c r="AM45" i="8"/>
  <c r="AL45" i="8"/>
  <c r="AK45" i="8"/>
  <c r="AJ45" i="8"/>
  <c r="D45" i="8"/>
  <c r="B48" i="151" s="1"/>
  <c r="AS44" i="8"/>
  <c r="AO44" i="8"/>
  <c r="AN44" i="8"/>
  <c r="AM44" i="8"/>
  <c r="AL44" i="8"/>
  <c r="AK44" i="8"/>
  <c r="W42" i="9" s="1"/>
  <c r="AJ44" i="8"/>
  <c r="V42" i="9" s="1"/>
  <c r="D44" i="8"/>
  <c r="B47" i="99" s="1"/>
  <c r="AS43" i="8"/>
  <c r="AO43" i="8"/>
  <c r="AN43" i="8"/>
  <c r="AM43" i="8"/>
  <c r="AL43" i="8"/>
  <c r="AK43" i="8"/>
  <c r="AJ43" i="8"/>
  <c r="D43" i="8"/>
  <c r="B41" i="9" s="1"/>
  <c r="AS42" i="8"/>
  <c r="AO42" i="8"/>
  <c r="AA40" i="9" s="1"/>
  <c r="AN42" i="8"/>
  <c r="Z40" i="9" s="1"/>
  <c r="AM42" i="8"/>
  <c r="AL42" i="8"/>
  <c r="AK42" i="8"/>
  <c r="AJ42" i="8"/>
  <c r="V40" i="9" s="1"/>
  <c r="D42" i="8"/>
  <c r="B40" i="9" s="1"/>
  <c r="AS41" i="8"/>
  <c r="AO41" i="8"/>
  <c r="AA39" i="9" s="1"/>
  <c r="AN41" i="8"/>
  <c r="AM41" i="8"/>
  <c r="AL41" i="8"/>
  <c r="AK41" i="8"/>
  <c r="AJ41" i="8"/>
  <c r="V39" i="9" s="1"/>
  <c r="D41" i="8"/>
  <c r="B42" i="132" s="1"/>
  <c r="AS40" i="8"/>
  <c r="AO40" i="8"/>
  <c r="AN40" i="8"/>
  <c r="AM40" i="8"/>
  <c r="AL40" i="8"/>
  <c r="AK40" i="8"/>
  <c r="AJ40" i="8"/>
  <c r="V38" i="9" s="1"/>
  <c r="D40" i="8"/>
  <c r="B43" i="99" s="1"/>
  <c r="AS39" i="8"/>
  <c r="AO39" i="8"/>
  <c r="AN39" i="8"/>
  <c r="AM39" i="8"/>
  <c r="AL39" i="8"/>
  <c r="AK39" i="8"/>
  <c r="AJ39" i="8"/>
  <c r="D39" i="8"/>
  <c r="B37" i="9" s="1"/>
  <c r="AS38" i="8"/>
  <c r="AO38" i="8"/>
  <c r="AA36" i="9" s="1"/>
  <c r="AN38" i="8"/>
  <c r="Z36" i="9" s="1"/>
  <c r="AM38" i="8"/>
  <c r="AL38" i="8"/>
  <c r="AK38" i="8"/>
  <c r="AJ38" i="8"/>
  <c r="V36" i="9" s="1"/>
  <c r="D38" i="8"/>
  <c r="AS37" i="8"/>
  <c r="AO37" i="8"/>
  <c r="AA35" i="9" s="1"/>
  <c r="AN37" i="8"/>
  <c r="AM37" i="8"/>
  <c r="AL37" i="8"/>
  <c r="AK37" i="8"/>
  <c r="AJ37" i="8"/>
  <c r="D37" i="8"/>
  <c r="B40" i="99" s="1"/>
  <c r="AS36" i="8"/>
  <c r="AO36" i="8"/>
  <c r="AN36" i="8"/>
  <c r="AM36" i="8"/>
  <c r="AL36" i="8"/>
  <c r="AK36" i="8"/>
  <c r="AJ36" i="8"/>
  <c r="D36" i="8"/>
  <c r="AS35" i="8"/>
  <c r="AO35" i="8"/>
  <c r="AN35" i="8"/>
  <c r="Z33" i="9" s="1"/>
  <c r="AM35" i="8"/>
  <c r="AL35" i="8"/>
  <c r="AK35" i="8"/>
  <c r="W33" i="9" s="1"/>
  <c r="AJ35" i="8"/>
  <c r="D35" i="8"/>
  <c r="B38" i="99" s="1"/>
  <c r="AS34" i="8"/>
  <c r="AO34" i="8"/>
  <c r="AA32" i="9" s="1"/>
  <c r="AN34" i="8"/>
  <c r="Z32" i="9" s="1"/>
  <c r="AM34" i="8"/>
  <c r="AL34" i="8"/>
  <c r="AK34" i="8"/>
  <c r="AJ34" i="8"/>
  <c r="V32" i="9" s="1"/>
  <c r="D34" i="8"/>
  <c r="B32" i="9" s="1"/>
  <c r="AS33" i="8"/>
  <c r="AO33" i="8"/>
  <c r="AA31" i="9" s="1"/>
  <c r="AN33" i="8"/>
  <c r="AM33" i="8"/>
  <c r="AL33" i="8"/>
  <c r="AK33" i="8"/>
  <c r="AJ33" i="8"/>
  <c r="D33" i="8"/>
  <c r="B34" i="132" s="1"/>
  <c r="AS32" i="8"/>
  <c r="AO32" i="8"/>
  <c r="AN32" i="8"/>
  <c r="AM32" i="8"/>
  <c r="AL32" i="8"/>
  <c r="AK32" i="8"/>
  <c r="AJ32" i="8"/>
  <c r="D32" i="8"/>
  <c r="B35" i="99" s="1"/>
  <c r="AS31" i="8"/>
  <c r="AO31" i="8"/>
  <c r="AN31" i="8"/>
  <c r="AM31" i="8"/>
  <c r="AL31" i="8"/>
  <c r="AK31" i="8"/>
  <c r="W29" i="9" s="1"/>
  <c r="AJ31" i="8"/>
  <c r="D31" i="8"/>
  <c r="B34" i="99" s="1"/>
  <c r="AS30" i="8"/>
  <c r="AO30" i="8"/>
  <c r="AA28" i="9" s="1"/>
  <c r="AN30" i="8"/>
  <c r="AM30" i="8"/>
  <c r="AL30" i="8"/>
  <c r="AK30" i="8"/>
  <c r="AJ30" i="8"/>
  <c r="D30" i="8"/>
  <c r="AS29" i="8"/>
  <c r="AO29" i="8"/>
  <c r="AN29" i="8"/>
  <c r="AM29" i="8"/>
  <c r="AL29" i="8"/>
  <c r="AK29" i="8"/>
  <c r="AJ29" i="8"/>
  <c r="D29" i="8"/>
  <c r="B27" i="9" s="1"/>
  <c r="AS28" i="8"/>
  <c r="AO28" i="8"/>
  <c r="AN28" i="8"/>
  <c r="Z26" i="9" s="1"/>
  <c r="AM28" i="8"/>
  <c r="AL28" i="8"/>
  <c r="AK28" i="8"/>
  <c r="W26" i="9" s="1"/>
  <c r="AJ28" i="8"/>
  <c r="D28" i="8"/>
  <c r="B31" i="151" s="1"/>
  <c r="AS27" i="8"/>
  <c r="AO27" i="8"/>
  <c r="AA25" i="9" s="1"/>
  <c r="AN27" i="8"/>
  <c r="Z25" i="9" s="1"/>
  <c r="AM27" i="8"/>
  <c r="AL27" i="8"/>
  <c r="AK27" i="8"/>
  <c r="AJ27" i="8"/>
  <c r="V25" i="9" s="1"/>
  <c r="D27" i="8"/>
  <c r="B25" i="9" s="1"/>
  <c r="AS26" i="8"/>
  <c r="AO26" i="8"/>
  <c r="AA24" i="9" s="1"/>
  <c r="AN26" i="8"/>
  <c r="AM26" i="8"/>
  <c r="AL26" i="8"/>
  <c r="AK26" i="8"/>
  <c r="AJ26" i="8"/>
  <c r="D26" i="8"/>
  <c r="B27" i="132" s="1"/>
  <c r="AS25" i="8"/>
  <c r="AO25" i="8"/>
  <c r="AN25" i="8"/>
  <c r="AM25" i="8"/>
  <c r="AL25" i="8"/>
  <c r="AK25" i="8"/>
  <c r="AJ25" i="8"/>
  <c r="D25" i="8"/>
  <c r="B28" i="99" s="1"/>
  <c r="AS24" i="8"/>
  <c r="AO24" i="8"/>
  <c r="AA22" i="9" s="1"/>
  <c r="AN24" i="8"/>
  <c r="Z22" i="9" s="1"/>
  <c r="AM24" i="8"/>
  <c r="AL24" i="8"/>
  <c r="AK24" i="8"/>
  <c r="AJ24" i="8"/>
  <c r="V22" i="9" s="1"/>
  <c r="D24" i="8"/>
  <c r="B27" i="151" s="1"/>
  <c r="AS23" i="8"/>
  <c r="AO23" i="8"/>
  <c r="AN23" i="8"/>
  <c r="AM23" i="8"/>
  <c r="AL23" i="8"/>
  <c r="AK23" i="8"/>
  <c r="W21" i="9" s="1"/>
  <c r="AJ23" i="8"/>
  <c r="V21" i="9" s="1"/>
  <c r="D23" i="8"/>
  <c r="B24" i="132" s="1"/>
  <c r="AS22" i="8"/>
  <c r="AO22" i="8"/>
  <c r="AA20" i="9" s="1"/>
  <c r="AN22" i="8"/>
  <c r="Z20" i="9" s="1"/>
  <c r="AM22" i="8"/>
  <c r="AL22" i="8"/>
  <c r="AK22" i="8"/>
  <c r="AJ22" i="8"/>
  <c r="V20" i="9" s="1"/>
  <c r="D22" i="8"/>
  <c r="AS21" i="8"/>
  <c r="AO21" i="8"/>
  <c r="AA19" i="9" s="1"/>
  <c r="AN21" i="8"/>
  <c r="AM21" i="8"/>
  <c r="AL21" i="8"/>
  <c r="AK21" i="8"/>
  <c r="AJ21" i="8"/>
  <c r="D21" i="8"/>
  <c r="B24" i="99" s="1"/>
  <c r="AS20" i="8"/>
  <c r="AO20" i="8"/>
  <c r="AN20" i="8"/>
  <c r="AM20" i="8"/>
  <c r="AL20" i="8"/>
  <c r="AK20" i="8"/>
  <c r="AJ20" i="8"/>
  <c r="D20" i="8"/>
  <c r="AS19" i="8"/>
  <c r="AO19" i="8"/>
  <c r="AA17" i="9" s="1"/>
  <c r="AN19" i="8"/>
  <c r="Z17" i="9" s="1"/>
  <c r="AM19" i="8"/>
  <c r="AL19" i="8"/>
  <c r="AK19" i="8"/>
  <c r="AJ19" i="8"/>
  <c r="V17" i="9" s="1"/>
  <c r="D19" i="8"/>
  <c r="AS18" i="8"/>
  <c r="AO18" i="8"/>
  <c r="AA16" i="9" s="1"/>
  <c r="AN18" i="8"/>
  <c r="AM18" i="8"/>
  <c r="AL18" i="8"/>
  <c r="AK18" i="8"/>
  <c r="AJ18" i="8"/>
  <c r="V16" i="9" s="1"/>
  <c r="D18" i="8"/>
  <c r="B16" i="9" s="1"/>
  <c r="AS17" i="8"/>
  <c r="AO17" i="8"/>
  <c r="AN17" i="8"/>
  <c r="AM17" i="8"/>
  <c r="AL17" i="8"/>
  <c r="AK17" i="8"/>
  <c r="AJ17" i="8"/>
  <c r="V15" i="9" s="1"/>
  <c r="D17" i="8"/>
  <c r="B20" i="99" s="1"/>
  <c r="AS16" i="8"/>
  <c r="AO16" i="8"/>
  <c r="AN16" i="8"/>
  <c r="AM16" i="8"/>
  <c r="AL16" i="8"/>
  <c r="AK16" i="8"/>
  <c r="AJ16" i="8"/>
  <c r="D16" i="8"/>
  <c r="B14" i="9" s="1"/>
  <c r="AS15" i="8"/>
  <c r="AO15" i="8"/>
  <c r="AA13" i="9" s="1"/>
  <c r="AN15" i="8"/>
  <c r="Z13" i="9" s="1"/>
  <c r="AM15" i="8"/>
  <c r="AL15" i="8"/>
  <c r="AK15" i="8"/>
  <c r="AJ15" i="8"/>
  <c r="V13" i="9" s="1"/>
  <c r="M18" i="151" s="1"/>
  <c r="D15" i="8"/>
  <c r="B18" i="99" s="1"/>
  <c r="AS14" i="8"/>
  <c r="AO14" i="8"/>
  <c r="AA12" i="9" s="1"/>
  <c r="AN14" i="8"/>
  <c r="AM14" i="8"/>
  <c r="AL14" i="8"/>
  <c r="AK14" i="8"/>
  <c r="AJ14" i="8"/>
  <c r="AS13" i="8"/>
  <c r="AT13" i="8" s="1"/>
  <c r="AO13" i="8"/>
  <c r="AN13" i="8"/>
  <c r="AM13" i="8"/>
  <c r="AL13" i="8"/>
  <c r="AK13" i="8"/>
  <c r="AJ13" i="8"/>
  <c r="D13" i="8"/>
  <c r="B14" i="132" s="1"/>
  <c r="AS12" i="8"/>
  <c r="AI12" i="8"/>
  <c r="AH12" i="8"/>
  <c r="AG12" i="8"/>
  <c r="AG156" i="8" s="1"/>
  <c r="AF12" i="8"/>
  <c r="AE12" i="8"/>
  <c r="AD12" i="8"/>
  <c r="AC12" i="8"/>
  <c r="AC156" i="8" s="1"/>
  <c r="AB12" i="8"/>
  <c r="AA12" i="8"/>
  <c r="Z12" i="8"/>
  <c r="Y12" i="8"/>
  <c r="Y156" i="8" s="1"/>
  <c r="X12" i="8"/>
  <c r="W12" i="8"/>
  <c r="V12" i="8"/>
  <c r="U12" i="8"/>
  <c r="U156" i="8" s="1"/>
  <c r="T12" i="8"/>
  <c r="S12" i="8"/>
  <c r="R12" i="8"/>
  <c r="Q12" i="8"/>
  <c r="Q156" i="8" s="1"/>
  <c r="P12" i="8"/>
  <c r="O12" i="8"/>
  <c r="N12" i="8"/>
  <c r="M12" i="8"/>
  <c r="M156" i="8" s="1"/>
  <c r="L12" i="8"/>
  <c r="K12" i="8"/>
  <c r="J12" i="8"/>
  <c r="I12" i="8"/>
  <c r="I156" i="8" s="1"/>
  <c r="H12" i="8"/>
  <c r="G12" i="8"/>
  <c r="F12" i="8"/>
  <c r="E12" i="8"/>
  <c r="E156" i="8" s="1"/>
  <c r="AT18" i="8" l="1"/>
  <c r="AT21" i="8"/>
  <c r="AT51" i="8"/>
  <c r="AT84" i="8"/>
  <c r="F22" i="154"/>
  <c r="F19" i="154"/>
  <c r="F20" i="154"/>
  <c r="AJ93" i="8"/>
  <c r="AK93" i="8"/>
  <c r="AK156" i="8" s="1"/>
  <c r="AO93" i="8"/>
  <c r="G156" i="8"/>
  <c r="K156" i="8"/>
  <c r="O156" i="8"/>
  <c r="S156" i="8"/>
  <c r="W156" i="8"/>
  <c r="AA156" i="8"/>
  <c r="AE156" i="8"/>
  <c r="AI156" i="8"/>
  <c r="X153" i="9"/>
  <c r="H156" i="8"/>
  <c r="L156" i="8"/>
  <c r="P156" i="8"/>
  <c r="T156" i="8"/>
  <c r="X156" i="8"/>
  <c r="AB156" i="8"/>
  <c r="AF156" i="8"/>
  <c r="AM93" i="8"/>
  <c r="AL12" i="8"/>
  <c r="AP91" i="8"/>
  <c r="AP86" i="8"/>
  <c r="AN12" i="8"/>
  <c r="AN156" i="8" s="1"/>
  <c r="AP152" i="8"/>
  <c r="AD83" i="9"/>
  <c r="D164" i="128"/>
  <c r="D171" i="128" s="1"/>
  <c r="AD12" i="9"/>
  <c r="AD35" i="9"/>
  <c r="AD47" i="9"/>
  <c r="W50" i="9"/>
  <c r="N55" i="151" s="1"/>
  <c r="AP14" i="8"/>
  <c r="AP47" i="8"/>
  <c r="AP51" i="8"/>
  <c r="AP59" i="8"/>
  <c r="AP67" i="8"/>
  <c r="AP74" i="8"/>
  <c r="AP80" i="8"/>
  <c r="AP85" i="8"/>
  <c r="AP89" i="8"/>
  <c r="AP90" i="8"/>
  <c r="AP155" i="8"/>
  <c r="D161" i="128"/>
  <c r="H161" i="128"/>
  <c r="L161" i="128"/>
  <c r="P161" i="128"/>
  <c r="T161" i="128"/>
  <c r="X161" i="128"/>
  <c r="AB161" i="128"/>
  <c r="AF161" i="128"/>
  <c r="AK100" i="128"/>
  <c r="AJ16" i="169"/>
  <c r="AJ15" i="169" s="1"/>
  <c r="AJ17" i="169"/>
  <c r="Q13" i="9"/>
  <c r="AC13" i="9" s="1"/>
  <c r="Q15" i="9"/>
  <c r="AC15" i="9" s="1"/>
  <c r="AD24" i="9"/>
  <c r="Q32" i="9"/>
  <c r="AC32" i="9" s="1"/>
  <c r="Q34" i="9"/>
  <c r="AC34" i="9" s="1"/>
  <c r="Q36" i="9"/>
  <c r="AC36" i="9" s="1"/>
  <c r="Q38" i="9"/>
  <c r="AC38" i="9" s="1"/>
  <c r="Q46" i="9"/>
  <c r="AC46" i="9" s="1"/>
  <c r="AD71" i="9"/>
  <c r="W72" i="9"/>
  <c r="AL93" i="8"/>
  <c r="AL156" i="8" s="1"/>
  <c r="AS161" i="8" s="1"/>
  <c r="AM12" i="8"/>
  <c r="AM156" i="8" s="1"/>
  <c r="AP26" i="8"/>
  <c r="AP31" i="8"/>
  <c r="AP39" i="8"/>
  <c r="AP43" i="8"/>
  <c r="AP52" i="8"/>
  <c r="F156" i="8"/>
  <c r="J156" i="8"/>
  <c r="N156" i="8"/>
  <c r="R156" i="8"/>
  <c r="V156" i="8"/>
  <c r="Z156" i="8"/>
  <c r="AD156" i="8"/>
  <c r="AH156" i="8"/>
  <c r="AJ12" i="8"/>
  <c r="AJ156" i="8" s="1"/>
  <c r="AP21" i="8"/>
  <c r="AP25" i="8"/>
  <c r="AP29" i="8"/>
  <c r="AP33" i="8"/>
  <c r="AP37" i="8"/>
  <c r="AP41" i="8"/>
  <c r="AP45" i="8"/>
  <c r="AP49" i="8"/>
  <c r="AP58" i="8"/>
  <c r="AP62" i="8"/>
  <c r="AP66" i="8"/>
  <c r="AP79" i="8"/>
  <c r="AP83" i="8"/>
  <c r="AP100" i="8"/>
  <c r="AP101" i="8"/>
  <c r="AP104" i="8"/>
  <c r="AP105" i="8"/>
  <c r="AP106" i="8"/>
  <c r="AP107" i="8"/>
  <c r="AP108" i="8"/>
  <c r="AP109" i="8"/>
  <c r="AP111" i="8"/>
  <c r="AP112" i="8"/>
  <c r="AP114" i="8"/>
  <c r="AP115" i="8"/>
  <c r="AP116" i="8"/>
  <c r="AP118" i="8"/>
  <c r="AP119" i="8"/>
  <c r="AP120" i="8"/>
  <c r="AP122" i="8"/>
  <c r="AP123" i="8"/>
  <c r="AP124" i="8"/>
  <c r="AP138" i="8"/>
  <c r="AP139" i="8"/>
  <c r="AP142" i="8"/>
  <c r="AP143" i="8"/>
  <c r="AP146" i="8"/>
  <c r="AP149" i="8"/>
  <c r="AD19" i="9"/>
  <c r="AD28" i="9"/>
  <c r="AD43" i="9"/>
  <c r="Z60" i="9"/>
  <c r="W75" i="9"/>
  <c r="AP30" i="8"/>
  <c r="AP35" i="8"/>
  <c r="AO12" i="8"/>
  <c r="AP16" i="8"/>
  <c r="AP20" i="8"/>
  <c r="AP24" i="8"/>
  <c r="AP28" i="8"/>
  <c r="AP32" i="8"/>
  <c r="AP36" i="8"/>
  <c r="AP40" i="8"/>
  <c r="AP44" i="8"/>
  <c r="AP48" i="8"/>
  <c r="AP69" i="8"/>
  <c r="AP71" i="8"/>
  <c r="AP73" i="8"/>
  <c r="AP78" i="8"/>
  <c r="AP82" i="8"/>
  <c r="AP87" i="8"/>
  <c r="AP92" i="8"/>
  <c r="AP98" i="8"/>
  <c r="AP102" i="8"/>
  <c r="AP110" i="8"/>
  <c r="AP150" i="8"/>
  <c r="AP153" i="8"/>
  <c r="F161" i="128"/>
  <c r="J161" i="128"/>
  <c r="N161" i="128"/>
  <c r="R161" i="128"/>
  <c r="V161" i="128"/>
  <c r="Z161" i="128"/>
  <c r="AD161" i="128"/>
  <c r="AH161" i="128"/>
  <c r="K166" i="128"/>
  <c r="K164" i="128" s="1"/>
  <c r="K171" i="128" s="1"/>
  <c r="AK64" i="128"/>
  <c r="P167" i="128" s="1"/>
  <c r="AF21" i="169"/>
  <c r="T10" i="9"/>
  <c r="Q18" i="9"/>
  <c r="AC18" i="9" s="1"/>
  <c r="Q20" i="9"/>
  <c r="AC20" i="9" s="1"/>
  <c r="Q25" i="9"/>
  <c r="AC25" i="9" s="1"/>
  <c r="Q27" i="9"/>
  <c r="AC27" i="9" s="1"/>
  <c r="AD31" i="9"/>
  <c r="Q59" i="9"/>
  <c r="AC59" i="9" s="1"/>
  <c r="Q48" i="9"/>
  <c r="AC48" i="9" s="1"/>
  <c r="Q50" i="9"/>
  <c r="AC50" i="9" s="1"/>
  <c r="AD54" i="9"/>
  <c r="Z56" i="9"/>
  <c r="Q61" i="151" s="1"/>
  <c r="Q67" i="9"/>
  <c r="AC67" i="9" s="1"/>
  <c r="T92" i="9"/>
  <c r="Q125" i="9"/>
  <c r="AC125" i="9" s="1"/>
  <c r="Q127" i="9"/>
  <c r="Q129" i="9"/>
  <c r="AC129" i="9" s="1"/>
  <c r="Q131" i="9"/>
  <c r="AC131" i="9" s="1"/>
  <c r="Q134" i="9"/>
  <c r="AC134" i="9" s="1"/>
  <c r="C59" i="101"/>
  <c r="C75" i="101"/>
  <c r="N75" i="101" s="1"/>
  <c r="M35" i="170"/>
  <c r="I728" i="170"/>
  <c r="I750" i="170"/>
  <c r="K750" i="170" s="1"/>
  <c r="I767" i="170"/>
  <c r="K767" i="170" s="1"/>
  <c r="I780" i="170"/>
  <c r="I818" i="170"/>
  <c r="K818" i="170" s="1"/>
  <c r="I843" i="170"/>
  <c r="J847" i="170" s="1"/>
  <c r="K847" i="170" s="1"/>
  <c r="C934" i="170"/>
  <c r="C949" i="170"/>
  <c r="C979" i="170"/>
  <c r="C1013" i="170"/>
  <c r="D1017" i="170" s="1"/>
  <c r="M1025" i="170"/>
  <c r="I1030" i="170"/>
  <c r="C1068" i="170"/>
  <c r="I1119" i="170"/>
  <c r="C1174" i="170"/>
  <c r="E1174" i="170" s="1"/>
  <c r="I1206" i="170"/>
  <c r="C1241" i="170"/>
  <c r="E1241" i="170" s="1"/>
  <c r="C1258" i="170"/>
  <c r="E1258" i="170" s="1"/>
  <c r="I1270" i="170"/>
  <c r="I1321" i="170"/>
  <c r="I1336" i="170"/>
  <c r="C1394" i="170"/>
  <c r="E1394" i="170" s="1"/>
  <c r="K1402" i="170"/>
  <c r="C1408" i="170"/>
  <c r="K1419" i="170"/>
  <c r="I1426" i="170"/>
  <c r="C1443" i="170"/>
  <c r="K1454" i="170"/>
  <c r="I1460" i="170"/>
  <c r="I2042" i="170"/>
  <c r="E2053" i="170"/>
  <c r="I2058" i="170"/>
  <c r="C2095" i="170"/>
  <c r="E2095" i="170" s="1"/>
  <c r="I2151" i="170"/>
  <c r="J2155" i="170" s="1"/>
  <c r="K2155" i="170" s="1"/>
  <c r="I2172" i="170"/>
  <c r="C2237" i="170"/>
  <c r="E2261" i="170"/>
  <c r="C2316" i="170"/>
  <c r="I2362" i="170"/>
  <c r="I2430" i="170"/>
  <c r="K2430" i="170" s="1"/>
  <c r="C2510" i="170"/>
  <c r="E2510" i="170" s="1"/>
  <c r="I2569" i="170"/>
  <c r="K2569" i="170" s="1"/>
  <c r="O28" i="59"/>
  <c r="P27" i="59"/>
  <c r="G56" i="59"/>
  <c r="Q51" i="9"/>
  <c r="AC51" i="9" s="1"/>
  <c r="Q53" i="9"/>
  <c r="AC53" i="9" s="1"/>
  <c r="Q55" i="9"/>
  <c r="AC55" i="9" s="1"/>
  <c r="Q57" i="9"/>
  <c r="AC57" i="9" s="1"/>
  <c r="AD64" i="9"/>
  <c r="AD77" i="9"/>
  <c r="W78" i="9"/>
  <c r="Q79" i="9"/>
  <c r="AC79" i="9" s="1"/>
  <c r="Q80" i="9"/>
  <c r="Q136" i="9"/>
  <c r="AC136" i="9" s="1"/>
  <c r="S83" i="101"/>
  <c r="C71" i="101"/>
  <c r="H71" i="101" s="1"/>
  <c r="C74" i="101"/>
  <c r="I14" i="135"/>
  <c r="K14" i="135" s="1"/>
  <c r="F162" i="132"/>
  <c r="I162" i="132" s="1"/>
  <c r="K162" i="132" s="1"/>
  <c r="M343" i="170"/>
  <c r="I729" i="170"/>
  <c r="I759" i="170"/>
  <c r="C776" i="170"/>
  <c r="C783" i="170"/>
  <c r="E783" i="170" s="1"/>
  <c r="I810" i="170"/>
  <c r="J814" i="170" s="1"/>
  <c r="K814" i="170" s="1"/>
  <c r="L822" i="170"/>
  <c r="C826" i="170"/>
  <c r="C884" i="170"/>
  <c r="E884" i="170" s="1"/>
  <c r="I950" i="170"/>
  <c r="E977" i="170"/>
  <c r="C1015" i="170"/>
  <c r="K1028" i="170"/>
  <c r="I1031" i="170"/>
  <c r="K1031" i="170" s="1"/>
  <c r="C1048" i="170"/>
  <c r="E1048" i="170" s="1"/>
  <c r="I1122" i="170"/>
  <c r="K1122" i="170" s="1"/>
  <c r="C1183" i="170"/>
  <c r="I1200" i="170"/>
  <c r="J1204" i="170" s="1"/>
  <c r="K1204" i="170" s="1"/>
  <c r="C1242" i="170"/>
  <c r="E1242" i="170" s="1"/>
  <c r="I1272" i="170"/>
  <c r="K1334" i="170"/>
  <c r="I1338" i="170"/>
  <c r="K1338" i="170" s="1"/>
  <c r="C1395" i="170"/>
  <c r="E1395" i="170" s="1"/>
  <c r="I1461" i="170"/>
  <c r="C1476" i="170"/>
  <c r="M1505" i="170"/>
  <c r="C2087" i="170"/>
  <c r="C2120" i="170"/>
  <c r="E2120" i="170" s="1"/>
  <c r="I2139" i="170"/>
  <c r="K2149" i="170"/>
  <c r="I2153" i="170"/>
  <c r="C2343" i="170"/>
  <c r="C2462" i="170"/>
  <c r="E2462" i="170" s="1"/>
  <c r="C2487" i="170"/>
  <c r="D2491" i="170" s="1"/>
  <c r="E2491" i="170" s="1"/>
  <c r="C2503" i="170"/>
  <c r="C2511" i="170"/>
  <c r="E2511" i="170" s="1"/>
  <c r="R82" i="59"/>
  <c r="P13" i="59"/>
  <c r="P20" i="59"/>
  <c r="P69" i="59"/>
  <c r="J19" i="174"/>
  <c r="J21" i="174" s="1"/>
  <c r="C54" i="101"/>
  <c r="C56" i="101"/>
  <c r="O56" i="101" s="1"/>
  <c r="D161" i="132"/>
  <c r="J163" i="132"/>
  <c r="C986" i="170"/>
  <c r="E986" i="170" s="1"/>
  <c r="C1019" i="170"/>
  <c r="AI12" i="161"/>
  <c r="AA62" i="9"/>
  <c r="R67" i="151" s="1"/>
  <c r="Q82" i="9"/>
  <c r="AC82" i="9" s="1"/>
  <c r="Q93" i="9"/>
  <c r="Q94" i="9"/>
  <c r="AC94" i="9" s="1"/>
  <c r="Q95" i="9"/>
  <c r="AC95" i="9" s="1"/>
  <c r="Q96" i="9"/>
  <c r="Q97" i="9"/>
  <c r="AC97" i="9" s="1"/>
  <c r="C51" i="101"/>
  <c r="O51" i="101" s="1"/>
  <c r="C53" i="101"/>
  <c r="O53" i="101" s="1"/>
  <c r="I13" i="135"/>
  <c r="F161" i="132"/>
  <c r="F160" i="132" s="1"/>
  <c r="C779" i="170"/>
  <c r="C833" i="170"/>
  <c r="E833" i="170" s="1"/>
  <c r="I915" i="170"/>
  <c r="C987" i="170"/>
  <c r="E987" i="170" s="1"/>
  <c r="I1036" i="170"/>
  <c r="C1190" i="170"/>
  <c r="E1190" i="170" s="1"/>
  <c r="I1343" i="170"/>
  <c r="K1343" i="170" s="1"/>
  <c r="I1459" i="170"/>
  <c r="I2156" i="170"/>
  <c r="I2287" i="170"/>
  <c r="K2287" i="170" s="1"/>
  <c r="C2494" i="170"/>
  <c r="E2494" i="170" s="1"/>
  <c r="I2543" i="170"/>
  <c r="K2543" i="170" s="1"/>
  <c r="I2567" i="170"/>
  <c r="Q82" i="59"/>
  <c r="G39" i="176"/>
  <c r="M51" i="101"/>
  <c r="M60" i="101"/>
  <c r="K51" i="101"/>
  <c r="M70" i="101"/>
  <c r="D13" i="136"/>
  <c r="D18" i="136" s="1"/>
  <c r="AI12" i="162"/>
  <c r="D177" i="132"/>
  <c r="F177" i="132" s="1"/>
  <c r="I177" i="132" s="1"/>
  <c r="E26" i="135"/>
  <c r="G13" i="167"/>
  <c r="AJ22" i="138"/>
  <c r="AK22" i="138" s="1"/>
  <c r="AT147" i="8"/>
  <c r="AT99" i="8"/>
  <c r="AT31" i="8"/>
  <c r="AP17" i="8"/>
  <c r="AT19" i="8"/>
  <c r="Z18" i="9"/>
  <c r="W27" i="9"/>
  <c r="Z29" i="9"/>
  <c r="W30" i="9"/>
  <c r="N35" i="151" s="1"/>
  <c r="Z41" i="9"/>
  <c r="Q46" i="99" s="1"/>
  <c r="AP13" i="8"/>
  <c r="AP18" i="8"/>
  <c r="AP22" i="8"/>
  <c r="AP34" i="8"/>
  <c r="AP38" i="8"/>
  <c r="AP42" i="8"/>
  <c r="AT45" i="8"/>
  <c r="AP46" i="8"/>
  <c r="AP50" i="8"/>
  <c r="AP57" i="8"/>
  <c r="Z11" i="9"/>
  <c r="Q16" i="151" s="1"/>
  <c r="AP15" i="8"/>
  <c r="AP19" i="8"/>
  <c r="AP23" i="8"/>
  <c r="AP27" i="8"/>
  <c r="AP53" i="8"/>
  <c r="V58" i="9"/>
  <c r="M63" i="99" s="1"/>
  <c r="AP60" i="8"/>
  <c r="AP61" i="8"/>
  <c r="V59" i="9"/>
  <c r="Z14" i="9"/>
  <c r="W15" i="9"/>
  <c r="W23" i="9"/>
  <c r="N28" i="151" s="1"/>
  <c r="W34" i="9"/>
  <c r="N39" i="99" s="1"/>
  <c r="Z37" i="9"/>
  <c r="Q42" i="151" s="1"/>
  <c r="W38" i="9"/>
  <c r="N43" i="99" s="1"/>
  <c r="W53" i="9"/>
  <c r="N58" i="99" s="1"/>
  <c r="W57" i="9"/>
  <c r="N62" i="151" s="1"/>
  <c r="AP54" i="8"/>
  <c r="AP56" i="8"/>
  <c r="AT57" i="8"/>
  <c r="Z45" i="9"/>
  <c r="W46" i="9"/>
  <c r="N51" i="151" s="1"/>
  <c r="AP70" i="8"/>
  <c r="AP94" i="8"/>
  <c r="AT113" i="8"/>
  <c r="AT117" i="8"/>
  <c r="AT121" i="8"/>
  <c r="AT125" i="8"/>
  <c r="AP126" i="8"/>
  <c r="AT129" i="8"/>
  <c r="AP130" i="8"/>
  <c r="AT133" i="8"/>
  <c r="AP134" i="8"/>
  <c r="AT137" i="8"/>
  <c r="AT141" i="8"/>
  <c r="AT145" i="8"/>
  <c r="AP147" i="8"/>
  <c r="AP151" i="8"/>
  <c r="AK19" i="128"/>
  <c r="AK23" i="128"/>
  <c r="R151" i="9"/>
  <c r="U151" i="9" s="1"/>
  <c r="R153" i="9"/>
  <c r="U153" i="9" s="1"/>
  <c r="W11" i="9"/>
  <c r="N16" i="151" s="1"/>
  <c r="Q12" i="9"/>
  <c r="AC12" i="9" s="1"/>
  <c r="V12" i="9"/>
  <c r="M17" i="99" s="1"/>
  <c r="Q14" i="9"/>
  <c r="AC14" i="9" s="1"/>
  <c r="AD14" i="9"/>
  <c r="C21" i="151"/>
  <c r="C21" i="99"/>
  <c r="Z16" i="9"/>
  <c r="R16" i="9"/>
  <c r="U16" i="9" s="1"/>
  <c r="W16" i="9"/>
  <c r="N21" i="99" s="1"/>
  <c r="W18" i="9"/>
  <c r="V19" i="9"/>
  <c r="M24" i="99" s="1"/>
  <c r="C26" i="151"/>
  <c r="N26" i="151" s="1"/>
  <c r="C26" i="99"/>
  <c r="AA21" i="9"/>
  <c r="R26" i="151" s="1"/>
  <c r="R21" i="9"/>
  <c r="U21" i="9" s="1"/>
  <c r="Z21" i="9"/>
  <c r="Q26" i="151" s="1"/>
  <c r="C31" i="151"/>
  <c r="C31" i="99"/>
  <c r="V26" i="9"/>
  <c r="M31" i="99" s="1"/>
  <c r="AA26" i="9"/>
  <c r="V27" i="9"/>
  <c r="AD27" i="9"/>
  <c r="V28" i="9"/>
  <c r="R29" i="9"/>
  <c r="U29" i="9" s="1"/>
  <c r="C38" i="151"/>
  <c r="C38" i="99"/>
  <c r="V33" i="9"/>
  <c r="AA33" i="9"/>
  <c r="V34" i="9"/>
  <c r="AD34" i="9"/>
  <c r="V35" i="9"/>
  <c r="M40" i="99" s="1"/>
  <c r="Q37" i="9"/>
  <c r="AC37" i="9" s="1"/>
  <c r="AD37" i="9"/>
  <c r="C44" i="151"/>
  <c r="C44" i="99"/>
  <c r="Z39" i="9"/>
  <c r="R39" i="9"/>
  <c r="U39" i="9" s="1"/>
  <c r="W39" i="9"/>
  <c r="N44" i="99" s="1"/>
  <c r="W41" i="9"/>
  <c r="N46" i="99" s="1"/>
  <c r="C47" i="151"/>
  <c r="M47" i="151" s="1"/>
  <c r="C47" i="99"/>
  <c r="AA42" i="9"/>
  <c r="R42" i="9"/>
  <c r="U42" i="9" s="1"/>
  <c r="Z42" i="9"/>
  <c r="Q47" i="151" s="1"/>
  <c r="AA43" i="9"/>
  <c r="R48" i="99" s="1"/>
  <c r="R45" i="9"/>
  <c r="U45" i="9" s="1"/>
  <c r="C54" i="151"/>
  <c r="C54" i="99"/>
  <c r="V49" i="9"/>
  <c r="M54" i="99" s="1"/>
  <c r="AA49" i="9"/>
  <c r="R54" i="151" s="1"/>
  <c r="V50" i="9"/>
  <c r="M55" i="99" s="1"/>
  <c r="AD50" i="9"/>
  <c r="C57" i="151"/>
  <c r="C57" i="99"/>
  <c r="V52" i="9"/>
  <c r="M57" i="99" s="1"/>
  <c r="AA52" i="9"/>
  <c r="V53" i="9"/>
  <c r="M58" i="99" s="1"/>
  <c r="AD53" i="9"/>
  <c r="V54" i="9"/>
  <c r="M59" i="151" s="1"/>
  <c r="Q56" i="9"/>
  <c r="AC56" i="9" s="1"/>
  <c r="AD56" i="9"/>
  <c r="C63" i="151"/>
  <c r="C63" i="99"/>
  <c r="Z58" i="9"/>
  <c r="Q63" i="151" s="1"/>
  <c r="R58" i="9"/>
  <c r="U58" i="9" s="1"/>
  <c r="W58" i="9"/>
  <c r="N63" i="151" s="1"/>
  <c r="W60" i="9"/>
  <c r="N65" i="151" s="1"/>
  <c r="C66" i="151"/>
  <c r="N66" i="151" s="1"/>
  <c r="C66" i="99"/>
  <c r="O66" i="99" s="1"/>
  <c r="AA61" i="9"/>
  <c r="R66" i="151" s="1"/>
  <c r="R61" i="9"/>
  <c r="U61" i="9" s="1"/>
  <c r="Z61" i="9"/>
  <c r="Q66" i="151" s="1"/>
  <c r="W64" i="9"/>
  <c r="Z65" i="9"/>
  <c r="Q70" i="151" s="1"/>
  <c r="C72" i="151"/>
  <c r="K72" i="151" s="1"/>
  <c r="C72" i="99"/>
  <c r="AA67" i="9"/>
  <c r="R72" i="151" s="1"/>
  <c r="V67" i="9"/>
  <c r="M72" i="151" s="1"/>
  <c r="C73" i="151"/>
  <c r="C73" i="99"/>
  <c r="H73" i="99" s="1"/>
  <c r="Z68" i="9"/>
  <c r="Q73" i="151" s="1"/>
  <c r="AA68" i="9"/>
  <c r="R68" i="9"/>
  <c r="U68" i="9" s="1"/>
  <c r="V69" i="9"/>
  <c r="M74" i="99" s="1"/>
  <c r="Q70" i="9"/>
  <c r="AC70" i="9" s="1"/>
  <c r="Z71" i="9"/>
  <c r="Q76" i="99" s="1"/>
  <c r="V72" i="9"/>
  <c r="M77" i="151" s="1"/>
  <c r="Z73" i="9"/>
  <c r="W77" i="9"/>
  <c r="N82" i="99" s="1"/>
  <c r="AD78" i="9"/>
  <c r="C85" i="99"/>
  <c r="C85" i="151"/>
  <c r="AA80" i="9"/>
  <c r="R85" i="151" s="1"/>
  <c r="Z80" i="9"/>
  <c r="V80" i="9"/>
  <c r="C88" i="151"/>
  <c r="N88" i="151" s="1"/>
  <c r="C88" i="99"/>
  <c r="AA83" i="9"/>
  <c r="R88" i="151" s="1"/>
  <c r="Z83" i="9"/>
  <c r="Q88" i="151" s="1"/>
  <c r="V83" i="9"/>
  <c r="AD87" i="9"/>
  <c r="AD99" i="9"/>
  <c r="AD100" i="9"/>
  <c r="AD101" i="9"/>
  <c r="AD102" i="9"/>
  <c r="AD103" i="9"/>
  <c r="AD104" i="9"/>
  <c r="AD105" i="9"/>
  <c r="AD106" i="9"/>
  <c r="AD107" i="9"/>
  <c r="AD108" i="9"/>
  <c r="AD109" i="9"/>
  <c r="AD110" i="9"/>
  <c r="AD111" i="9"/>
  <c r="AD112" i="9"/>
  <c r="AD113" i="9"/>
  <c r="AD114" i="9"/>
  <c r="AD115" i="9"/>
  <c r="AD116" i="9"/>
  <c r="AD117" i="9"/>
  <c r="AD118" i="9"/>
  <c r="AD119" i="9"/>
  <c r="AD120" i="9"/>
  <c r="AD121" i="9"/>
  <c r="AD122" i="9"/>
  <c r="AD123" i="9"/>
  <c r="X124" i="9"/>
  <c r="O129" i="151" s="1"/>
  <c r="W141" i="9"/>
  <c r="W145" i="9"/>
  <c r="AP63" i="8"/>
  <c r="AP84" i="8"/>
  <c r="AP95" i="8"/>
  <c r="AP99" i="8"/>
  <c r="AP127" i="8"/>
  <c r="AP131" i="8"/>
  <c r="AP135" i="8"/>
  <c r="AP148" i="8"/>
  <c r="AI16" i="128"/>
  <c r="E17" i="154"/>
  <c r="R11" i="9"/>
  <c r="C17" i="151"/>
  <c r="C17" i="99"/>
  <c r="Z12" i="9"/>
  <c r="Q17" i="99" s="1"/>
  <c r="R12" i="9"/>
  <c r="U12" i="9" s="1"/>
  <c r="W12" i="9"/>
  <c r="N17" i="99" s="1"/>
  <c r="W14" i="9"/>
  <c r="C20" i="151"/>
  <c r="C20" i="99"/>
  <c r="AA15" i="9"/>
  <c r="R15" i="9"/>
  <c r="U15" i="9" s="1"/>
  <c r="Z15" i="9"/>
  <c r="Q20" i="99" s="1"/>
  <c r="R18" i="9"/>
  <c r="U18" i="9" s="1"/>
  <c r="C24" i="151"/>
  <c r="C24" i="99"/>
  <c r="Z19" i="9"/>
  <c r="Q24" i="99" s="1"/>
  <c r="R19" i="9"/>
  <c r="U19" i="9" s="1"/>
  <c r="W19" i="9"/>
  <c r="N24" i="99" s="1"/>
  <c r="V23" i="9"/>
  <c r="M28" i="99" s="1"/>
  <c r="AD23" i="9"/>
  <c r="V24" i="9"/>
  <c r="M29" i="151" s="1"/>
  <c r="Q26" i="9"/>
  <c r="AD26" i="9"/>
  <c r="C33" i="151"/>
  <c r="C33" i="99"/>
  <c r="Z28" i="9"/>
  <c r="R28" i="9"/>
  <c r="U28" i="9" s="1"/>
  <c r="W28" i="9"/>
  <c r="N33" i="99" s="1"/>
  <c r="C34" i="99"/>
  <c r="C34" i="151"/>
  <c r="V29" i="9"/>
  <c r="M34" i="99" s="1"/>
  <c r="AA29" i="9"/>
  <c r="R34" i="99" s="1"/>
  <c r="V30" i="9"/>
  <c r="AD30" i="9"/>
  <c r="V31" i="9"/>
  <c r="Q33" i="9"/>
  <c r="AC33" i="9" s="1"/>
  <c r="AD33" i="9"/>
  <c r="C40" i="151"/>
  <c r="C40" i="99"/>
  <c r="Z35" i="9"/>
  <c r="Q40" i="99" s="1"/>
  <c r="R35" i="9"/>
  <c r="U35" i="9" s="1"/>
  <c r="W35" i="9"/>
  <c r="N40" i="99" s="1"/>
  <c r="W37" i="9"/>
  <c r="C43" i="151"/>
  <c r="C43" i="99"/>
  <c r="AA38" i="9"/>
  <c r="R43" i="99" s="1"/>
  <c r="R38" i="9"/>
  <c r="U38" i="9" s="1"/>
  <c r="Z38" i="9"/>
  <c r="Q43" i="99" s="1"/>
  <c r="R41" i="9"/>
  <c r="U41" i="9" s="1"/>
  <c r="C50" i="151"/>
  <c r="O50" i="151" s="1"/>
  <c r="C50" i="99"/>
  <c r="V45" i="9"/>
  <c r="M50" i="99" s="1"/>
  <c r="AA45" i="9"/>
  <c r="V46" i="9"/>
  <c r="M51" i="151" s="1"/>
  <c r="AD46" i="9"/>
  <c r="V47" i="9"/>
  <c r="M52" i="99" s="1"/>
  <c r="Q49" i="9"/>
  <c r="AC49" i="9" s="1"/>
  <c r="AD49" i="9"/>
  <c r="Q52" i="9"/>
  <c r="AC52" i="9" s="1"/>
  <c r="AD52" i="9"/>
  <c r="C59" i="151"/>
  <c r="C59" i="99"/>
  <c r="Z54" i="9"/>
  <c r="Q59" i="151" s="1"/>
  <c r="R54" i="9"/>
  <c r="U54" i="9" s="1"/>
  <c r="W54" i="9"/>
  <c r="N59" i="151" s="1"/>
  <c r="W56" i="9"/>
  <c r="N61" i="151" s="1"/>
  <c r="C62" i="151"/>
  <c r="C62" i="99"/>
  <c r="AA57" i="9"/>
  <c r="R62" i="99" s="1"/>
  <c r="R57" i="9"/>
  <c r="U57" i="9" s="1"/>
  <c r="Z57" i="9"/>
  <c r="Q62" i="151" s="1"/>
  <c r="R60" i="9"/>
  <c r="U60" i="9" s="1"/>
  <c r="V62" i="9"/>
  <c r="M67" i="99" s="1"/>
  <c r="Q63" i="9"/>
  <c r="Z64" i="9"/>
  <c r="Q69" i="151" s="1"/>
  <c r="AD68" i="9"/>
  <c r="R71" i="9"/>
  <c r="U71" i="9" s="1"/>
  <c r="C80" i="151"/>
  <c r="C80" i="99"/>
  <c r="H80" i="99" s="1"/>
  <c r="Z75" i="9"/>
  <c r="Q80" i="99" s="1"/>
  <c r="AA75" i="9"/>
  <c r="R80" i="99" s="1"/>
  <c r="R75" i="9"/>
  <c r="Q76" i="9"/>
  <c r="AC76" i="9" s="1"/>
  <c r="Z77" i="9"/>
  <c r="Q82" i="151" s="1"/>
  <c r="V78" i="9"/>
  <c r="AA90" i="9"/>
  <c r="R95" i="151" s="1"/>
  <c r="AC93" i="9"/>
  <c r="W142" i="9"/>
  <c r="N147" i="151" s="1"/>
  <c r="AT67" i="8"/>
  <c r="AP68" i="8"/>
  <c r="AP72" i="8"/>
  <c r="AP81" i="8"/>
  <c r="AP88" i="8"/>
  <c r="AP96" i="8"/>
  <c r="AP128" i="8"/>
  <c r="AP132" i="8"/>
  <c r="AP136" i="8"/>
  <c r="AP140" i="8"/>
  <c r="AP144" i="8"/>
  <c r="S91" i="9"/>
  <c r="S10" i="9" s="1"/>
  <c r="S9" i="9" s="1"/>
  <c r="S158" i="9" s="1"/>
  <c r="AJ14" i="169"/>
  <c r="AH13" i="169"/>
  <c r="C16" i="151"/>
  <c r="C16" i="99"/>
  <c r="V11" i="9"/>
  <c r="AA11" i="9"/>
  <c r="R14" i="9"/>
  <c r="U14" i="9" s="1"/>
  <c r="C23" i="151"/>
  <c r="C23" i="99"/>
  <c r="H23" i="99" s="1"/>
  <c r="V18" i="9"/>
  <c r="M23" i="99" s="1"/>
  <c r="AA18" i="9"/>
  <c r="R23" i="151" s="1"/>
  <c r="AD21" i="9"/>
  <c r="C29" i="151"/>
  <c r="C29" i="99"/>
  <c r="Z24" i="9"/>
  <c r="R24" i="9"/>
  <c r="U24" i="9" s="1"/>
  <c r="W24" i="9"/>
  <c r="N29" i="151" s="1"/>
  <c r="C32" i="151"/>
  <c r="C32" i="99"/>
  <c r="AA27" i="9"/>
  <c r="R32" i="151" s="1"/>
  <c r="R27" i="9"/>
  <c r="U27" i="9" s="1"/>
  <c r="Z27" i="9"/>
  <c r="Q29" i="9"/>
  <c r="AC29" i="9" s="1"/>
  <c r="AD29" i="9"/>
  <c r="C36" i="151"/>
  <c r="C36" i="99"/>
  <c r="Z31" i="9"/>
  <c r="Q36" i="99" s="1"/>
  <c r="R31" i="9"/>
  <c r="U31" i="9" s="1"/>
  <c r="W31" i="9"/>
  <c r="N36" i="151" s="1"/>
  <c r="C39" i="151"/>
  <c r="C39" i="99"/>
  <c r="AA34" i="9"/>
  <c r="R34" i="9"/>
  <c r="U34" i="9" s="1"/>
  <c r="Z34" i="9"/>
  <c r="R37" i="9"/>
  <c r="U37" i="9" s="1"/>
  <c r="C46" i="151"/>
  <c r="C46" i="99"/>
  <c r="V41" i="9"/>
  <c r="M46" i="151" s="1"/>
  <c r="AA41" i="9"/>
  <c r="R46" i="151" s="1"/>
  <c r="AD42" i="9"/>
  <c r="V43" i="9"/>
  <c r="Q45" i="9"/>
  <c r="AC45" i="9" s="1"/>
  <c r="AD45" i="9"/>
  <c r="C52" i="151"/>
  <c r="R52" i="151" s="1"/>
  <c r="C52" i="99"/>
  <c r="Z47" i="9"/>
  <c r="Q52" i="99" s="1"/>
  <c r="R47" i="9"/>
  <c r="U47" i="9" s="1"/>
  <c r="W47" i="9"/>
  <c r="N52" i="151" s="1"/>
  <c r="C55" i="151"/>
  <c r="C55" i="99"/>
  <c r="AA50" i="9"/>
  <c r="R50" i="9"/>
  <c r="U50" i="9" s="1"/>
  <c r="Z50" i="9"/>
  <c r="Q55" i="151" s="1"/>
  <c r="C58" i="151"/>
  <c r="C58" i="99"/>
  <c r="AA53" i="9"/>
  <c r="R58" i="99" s="1"/>
  <c r="R53" i="9"/>
  <c r="U53" i="9" s="1"/>
  <c r="Z53" i="9"/>
  <c r="Q58" i="99" s="1"/>
  <c r="R56" i="9"/>
  <c r="U56" i="9" s="1"/>
  <c r="C65" i="151"/>
  <c r="C65" i="99"/>
  <c r="V60" i="9"/>
  <c r="AA60" i="9"/>
  <c r="R65" i="151" s="1"/>
  <c r="AD61" i="9"/>
  <c r="R64" i="9"/>
  <c r="U64" i="9" s="1"/>
  <c r="Q66" i="9"/>
  <c r="Z69" i="9"/>
  <c r="C76" i="151"/>
  <c r="N76" i="151" s="1"/>
  <c r="C76" i="99"/>
  <c r="AA71" i="9"/>
  <c r="V71" i="9"/>
  <c r="M76" i="99" s="1"/>
  <c r="C77" i="151"/>
  <c r="C77" i="99"/>
  <c r="Z72" i="9"/>
  <c r="AA72" i="9"/>
  <c r="R77" i="99" s="1"/>
  <c r="R72" i="9"/>
  <c r="U72" i="9" s="1"/>
  <c r="Q74" i="9"/>
  <c r="AC74" i="9" s="1"/>
  <c r="AD75" i="9"/>
  <c r="R77" i="9"/>
  <c r="U77" i="9" s="1"/>
  <c r="AD80" i="9"/>
  <c r="Z82" i="9"/>
  <c r="Q87" i="151" s="1"/>
  <c r="Z85" i="9"/>
  <c r="Q90" i="99" s="1"/>
  <c r="AD89" i="9"/>
  <c r="AP65" i="8"/>
  <c r="AT75" i="8"/>
  <c r="AP76" i="8"/>
  <c r="AP77" i="8"/>
  <c r="AP97" i="8"/>
  <c r="M22" i="101"/>
  <c r="AP129" i="8"/>
  <c r="AP133" i="8"/>
  <c r="AP137" i="8"/>
  <c r="AD136" i="9"/>
  <c r="AD149" i="9"/>
  <c r="AD148" i="9"/>
  <c r="AD147" i="9"/>
  <c r="AD146" i="9"/>
  <c r="AD98" i="9"/>
  <c r="AD150" i="9"/>
  <c r="AD134" i="9"/>
  <c r="AD132" i="9"/>
  <c r="AD130" i="9"/>
  <c r="AD128" i="9"/>
  <c r="AD126" i="9"/>
  <c r="AD97" i="9"/>
  <c r="AD96" i="9"/>
  <c r="AD95" i="9"/>
  <c r="AD94" i="9"/>
  <c r="AD93" i="9"/>
  <c r="AD86" i="9"/>
  <c r="R86" i="9"/>
  <c r="U86" i="9" s="1"/>
  <c r="R89" i="9"/>
  <c r="U89" i="9" s="1"/>
  <c r="R87" i="9"/>
  <c r="U87" i="9" s="1"/>
  <c r="AD154" i="9"/>
  <c r="AD135" i="9"/>
  <c r="AD133" i="9"/>
  <c r="AD131" i="9"/>
  <c r="AD129" i="9"/>
  <c r="AD127" i="9"/>
  <c r="AD125" i="9"/>
  <c r="AI7" i="151"/>
  <c r="AB10" i="101"/>
  <c r="AK98" i="128"/>
  <c r="AJ20" i="169"/>
  <c r="AJ19" i="169" s="1"/>
  <c r="AH19" i="169"/>
  <c r="Q11" i="9"/>
  <c r="E10" i="9"/>
  <c r="AD11" i="9"/>
  <c r="C19" i="151"/>
  <c r="C19" i="99"/>
  <c r="V14" i="9"/>
  <c r="M19" i="99" s="1"/>
  <c r="AA14" i="9"/>
  <c r="AD15" i="9"/>
  <c r="AD16" i="9"/>
  <c r="AD18" i="9"/>
  <c r="C28" i="151"/>
  <c r="C28" i="99"/>
  <c r="AA23" i="9"/>
  <c r="R28" i="151" s="1"/>
  <c r="R23" i="9"/>
  <c r="U23" i="9" s="1"/>
  <c r="Z23" i="9"/>
  <c r="Q28" i="151" s="1"/>
  <c r="R26" i="9"/>
  <c r="U26" i="9" s="1"/>
  <c r="C35" i="151"/>
  <c r="C35" i="99"/>
  <c r="AA30" i="9"/>
  <c r="R30" i="9"/>
  <c r="U30" i="9" s="1"/>
  <c r="Z30" i="9"/>
  <c r="R33" i="9"/>
  <c r="U33" i="9" s="1"/>
  <c r="C42" i="151"/>
  <c r="C42" i="99"/>
  <c r="V37" i="9"/>
  <c r="M42" i="151" s="1"/>
  <c r="AA37" i="9"/>
  <c r="R42" i="151" s="1"/>
  <c r="AD38" i="9"/>
  <c r="AD39" i="9"/>
  <c r="AD41" i="9"/>
  <c r="C48" i="151"/>
  <c r="C48" i="99"/>
  <c r="Z43" i="9"/>
  <c r="Q48" i="99" s="1"/>
  <c r="R43" i="9"/>
  <c r="W43" i="9"/>
  <c r="N48" i="151" s="1"/>
  <c r="C51" i="151"/>
  <c r="C51" i="99"/>
  <c r="AA46" i="9"/>
  <c r="R46" i="9"/>
  <c r="U46" i="9" s="1"/>
  <c r="Z46" i="9"/>
  <c r="Q51" i="151" s="1"/>
  <c r="R49" i="9"/>
  <c r="U49" i="9" s="1"/>
  <c r="R52" i="9"/>
  <c r="G57" i="99" s="1"/>
  <c r="C61" i="151"/>
  <c r="C61" i="99"/>
  <c r="V56" i="9"/>
  <c r="AA56" i="9"/>
  <c r="R61" i="99" s="1"/>
  <c r="AD57" i="9"/>
  <c r="AD58" i="9"/>
  <c r="AD60" i="9"/>
  <c r="C67" i="151"/>
  <c r="C67" i="99"/>
  <c r="AD62" i="9"/>
  <c r="W62" i="9"/>
  <c r="N67" i="99" s="1"/>
  <c r="R62" i="9"/>
  <c r="U62" i="9" s="1"/>
  <c r="Z62" i="9"/>
  <c r="Q67" i="99" s="1"/>
  <c r="C69" i="151"/>
  <c r="C69" i="99"/>
  <c r="AA64" i="9"/>
  <c r="V64" i="9"/>
  <c r="M69" i="151" s="1"/>
  <c r="R67" i="9"/>
  <c r="U67" i="9" s="1"/>
  <c r="AD67" i="9"/>
  <c r="AD72" i="9"/>
  <c r="C82" i="151"/>
  <c r="C82" i="99"/>
  <c r="AA77" i="9"/>
  <c r="R82" i="151" s="1"/>
  <c r="V77" i="9"/>
  <c r="M82" i="151" s="1"/>
  <c r="C83" i="151"/>
  <c r="C83" i="99"/>
  <c r="Z78" i="9"/>
  <c r="AA78" i="9"/>
  <c r="R78" i="9"/>
  <c r="U78" i="9" s="1"/>
  <c r="R80" i="9"/>
  <c r="U80" i="9" s="1"/>
  <c r="AA81" i="9"/>
  <c r="R83" i="9"/>
  <c r="U83" i="9" s="1"/>
  <c r="AD84" i="9"/>
  <c r="AA88" i="9"/>
  <c r="X93" i="9"/>
  <c r="O17" i="101" s="1"/>
  <c r="X94" i="9"/>
  <c r="X95" i="9"/>
  <c r="X96" i="9"/>
  <c r="X97" i="9"/>
  <c r="R137" i="9"/>
  <c r="U137" i="9" s="1"/>
  <c r="R138" i="9"/>
  <c r="U138" i="9" s="1"/>
  <c r="I160" i="151"/>
  <c r="I83" i="101"/>
  <c r="O18" i="151"/>
  <c r="D16" i="132"/>
  <c r="R13" i="9"/>
  <c r="U13" i="9" s="1"/>
  <c r="W13" i="9"/>
  <c r="N18" i="151" s="1"/>
  <c r="AD13" i="9"/>
  <c r="C22" i="151"/>
  <c r="M22" i="151" s="1"/>
  <c r="C22" i="99"/>
  <c r="R17" i="9"/>
  <c r="W17" i="9"/>
  <c r="AD17" i="9"/>
  <c r="C25" i="151"/>
  <c r="C25" i="99"/>
  <c r="R20" i="9"/>
  <c r="U20" i="9" s="1"/>
  <c r="W20" i="9"/>
  <c r="N25" i="151" s="1"/>
  <c r="AD20" i="9"/>
  <c r="C27" i="151"/>
  <c r="C27" i="99"/>
  <c r="R22" i="9"/>
  <c r="U22" i="9" s="1"/>
  <c r="W22" i="9"/>
  <c r="AD22" i="9"/>
  <c r="C30" i="151"/>
  <c r="C30" i="99"/>
  <c r="R25" i="9"/>
  <c r="U25" i="9" s="1"/>
  <c r="W25" i="9"/>
  <c r="N30" i="151" s="1"/>
  <c r="AD25" i="9"/>
  <c r="C37" i="151"/>
  <c r="M37" i="151" s="1"/>
  <c r="C37" i="99"/>
  <c r="R32" i="9"/>
  <c r="U32" i="9" s="1"/>
  <c r="W32" i="9"/>
  <c r="AD32" i="9"/>
  <c r="C41" i="151"/>
  <c r="C41" i="99"/>
  <c r="R36" i="9"/>
  <c r="U36" i="9" s="1"/>
  <c r="W36" i="9"/>
  <c r="AD36" i="9"/>
  <c r="C45" i="151"/>
  <c r="C45" i="99"/>
  <c r="R40" i="9"/>
  <c r="U40" i="9" s="1"/>
  <c r="W40" i="9"/>
  <c r="AD40" i="9"/>
  <c r="C49" i="151"/>
  <c r="C49" i="99"/>
  <c r="Q49" i="99" s="1"/>
  <c r="R44" i="9"/>
  <c r="U44" i="9" s="1"/>
  <c r="W44" i="9"/>
  <c r="N49" i="99" s="1"/>
  <c r="AD44" i="9"/>
  <c r="C53" i="151"/>
  <c r="C53" i="99"/>
  <c r="R48" i="9"/>
  <c r="U48" i="9" s="1"/>
  <c r="W48" i="9"/>
  <c r="AD48" i="9"/>
  <c r="C56" i="151"/>
  <c r="M56" i="151" s="1"/>
  <c r="C56" i="99"/>
  <c r="R51" i="9"/>
  <c r="U51" i="9" s="1"/>
  <c r="W51" i="9"/>
  <c r="AD51" i="9"/>
  <c r="C60" i="151"/>
  <c r="C60" i="99"/>
  <c r="R55" i="9"/>
  <c r="U55" i="9" s="1"/>
  <c r="W55" i="9"/>
  <c r="N60" i="99" s="1"/>
  <c r="AD55" i="9"/>
  <c r="C64" i="151"/>
  <c r="C64" i="99"/>
  <c r="R59" i="9"/>
  <c r="U59" i="9" s="1"/>
  <c r="W59" i="9"/>
  <c r="N64" i="99" s="1"/>
  <c r="AD59" i="9"/>
  <c r="C68" i="151"/>
  <c r="C68" i="99"/>
  <c r="R63" i="9"/>
  <c r="U63" i="9" s="1"/>
  <c r="W63" i="9"/>
  <c r="N68" i="151" s="1"/>
  <c r="AD63" i="9"/>
  <c r="C71" i="151"/>
  <c r="Q71" i="151" s="1"/>
  <c r="C71" i="99"/>
  <c r="R66" i="9"/>
  <c r="U66" i="9" s="1"/>
  <c r="W66" i="9"/>
  <c r="AD66" i="9"/>
  <c r="C75" i="151"/>
  <c r="C75" i="99"/>
  <c r="R70" i="9"/>
  <c r="U70" i="9" s="1"/>
  <c r="W70" i="9"/>
  <c r="N75" i="99" s="1"/>
  <c r="AD70" i="9"/>
  <c r="C79" i="151"/>
  <c r="C79" i="99"/>
  <c r="R74" i="9"/>
  <c r="U74" i="9" s="1"/>
  <c r="W74" i="9"/>
  <c r="N79" i="99" s="1"/>
  <c r="AD74" i="9"/>
  <c r="C81" i="151"/>
  <c r="M81" i="151" s="1"/>
  <c r="C81" i="99"/>
  <c r="R81" i="99" s="1"/>
  <c r="R76" i="9"/>
  <c r="U76" i="9" s="1"/>
  <c r="W76" i="9"/>
  <c r="AD76" i="9"/>
  <c r="C84" i="151"/>
  <c r="C84" i="99"/>
  <c r="R79" i="9"/>
  <c r="U79" i="9" s="1"/>
  <c r="W79" i="9"/>
  <c r="AD79" i="9"/>
  <c r="R84" i="9"/>
  <c r="U84" i="9" s="1"/>
  <c r="W84" i="9"/>
  <c r="C91" i="99"/>
  <c r="H91" i="99" s="1"/>
  <c r="C91" i="151"/>
  <c r="AA86" i="9"/>
  <c r="R91" i="151" s="1"/>
  <c r="W87" i="9"/>
  <c r="W89" i="9"/>
  <c r="N94" i="99" s="1"/>
  <c r="E92" i="9"/>
  <c r="AF97" i="9" s="1"/>
  <c r="C103" i="151"/>
  <c r="C22" i="101"/>
  <c r="R98" i="9"/>
  <c r="U98" i="9" s="1"/>
  <c r="W98" i="9"/>
  <c r="V99" i="9"/>
  <c r="V100" i="9"/>
  <c r="V101" i="9"/>
  <c r="M25" i="101" s="1"/>
  <c r="V102" i="9"/>
  <c r="V103" i="9"/>
  <c r="M108" i="151" s="1"/>
  <c r="V104" i="9"/>
  <c r="V105" i="9"/>
  <c r="V106" i="9"/>
  <c r="M111" i="151" s="1"/>
  <c r="V107" i="9"/>
  <c r="M112" i="151" s="1"/>
  <c r="V108" i="9"/>
  <c r="M32" i="101" s="1"/>
  <c r="V109" i="9"/>
  <c r="M114" i="151" s="1"/>
  <c r="V110" i="9"/>
  <c r="M115" i="151" s="1"/>
  <c r="V111" i="9"/>
  <c r="V112" i="9"/>
  <c r="V113" i="9"/>
  <c r="V114" i="9"/>
  <c r="M119" i="151" s="1"/>
  <c r="V115" i="9"/>
  <c r="V116" i="9"/>
  <c r="V117" i="9"/>
  <c r="M122" i="151" s="1"/>
  <c r="V118" i="9"/>
  <c r="M123" i="151" s="1"/>
  <c r="V119" i="9"/>
  <c r="V120" i="9"/>
  <c r="M44" i="101" s="1"/>
  <c r="V121" i="9"/>
  <c r="V122" i="9"/>
  <c r="M46" i="101" s="1"/>
  <c r="V123" i="9"/>
  <c r="M128" i="151" s="1"/>
  <c r="X137" i="9"/>
  <c r="O142" i="151" s="1"/>
  <c r="C144" i="151"/>
  <c r="C63" i="101"/>
  <c r="AD139" i="9"/>
  <c r="V139" i="9"/>
  <c r="C145" i="151"/>
  <c r="C64" i="101"/>
  <c r="X140" i="9"/>
  <c r="R140" i="9"/>
  <c r="AD140" i="9"/>
  <c r="V142" i="9"/>
  <c r="M147" i="151" s="1"/>
  <c r="C149" i="151"/>
  <c r="H1917" i="170" s="1"/>
  <c r="X144" i="9"/>
  <c r="O68" i="101" s="1"/>
  <c r="C68" i="101"/>
  <c r="M68" i="101" s="1"/>
  <c r="R144" i="9"/>
  <c r="U144" i="9" s="1"/>
  <c r="AD144" i="9"/>
  <c r="R153" i="151"/>
  <c r="Q153" i="151"/>
  <c r="AD153" i="9"/>
  <c r="R71" i="101"/>
  <c r="C90" i="151"/>
  <c r="C90" i="99"/>
  <c r="H90" i="99" s="1"/>
  <c r="AA85" i="9"/>
  <c r="R90" i="99" s="1"/>
  <c r="C93" i="151"/>
  <c r="C93" i="99"/>
  <c r="V88" i="9"/>
  <c r="C95" i="151"/>
  <c r="E95" i="151" s="1"/>
  <c r="F95" i="151" s="1"/>
  <c r="C95" i="99"/>
  <c r="V90" i="9"/>
  <c r="C104" i="151"/>
  <c r="C23" i="101"/>
  <c r="R99" i="9"/>
  <c r="U99" i="9" s="1"/>
  <c r="W99" i="9"/>
  <c r="N23" i="101" s="1"/>
  <c r="C105" i="151"/>
  <c r="C24" i="101"/>
  <c r="R100" i="9"/>
  <c r="W100" i="9"/>
  <c r="N105" i="151" s="1"/>
  <c r="C106" i="151"/>
  <c r="C25" i="101"/>
  <c r="R101" i="9"/>
  <c r="U101" i="9" s="1"/>
  <c r="W101" i="9"/>
  <c r="N25" i="101" s="1"/>
  <c r="C107" i="151"/>
  <c r="C26" i="101"/>
  <c r="R102" i="9"/>
  <c r="U102" i="9" s="1"/>
  <c r="W102" i="9"/>
  <c r="N26" i="101" s="1"/>
  <c r="C108" i="151"/>
  <c r="C27" i="101"/>
  <c r="R103" i="9"/>
  <c r="U103" i="9" s="1"/>
  <c r="W103" i="9"/>
  <c r="N108" i="151" s="1"/>
  <c r="C109" i="151"/>
  <c r="H109" i="151" s="1"/>
  <c r="C28" i="101"/>
  <c r="R104" i="9"/>
  <c r="U104" i="9" s="1"/>
  <c r="W104" i="9"/>
  <c r="N109" i="151" s="1"/>
  <c r="C110" i="151"/>
  <c r="C29" i="101"/>
  <c r="R105" i="9"/>
  <c r="U105" i="9" s="1"/>
  <c r="W105" i="9"/>
  <c r="N110" i="151" s="1"/>
  <c r="C111" i="151"/>
  <c r="H111" i="151" s="1"/>
  <c r="C30" i="101"/>
  <c r="R106" i="9"/>
  <c r="W106" i="9"/>
  <c r="N111" i="151" s="1"/>
  <c r="C112" i="151"/>
  <c r="C31" i="101"/>
  <c r="R107" i="9"/>
  <c r="W107" i="9"/>
  <c r="N112" i="151" s="1"/>
  <c r="C113" i="151"/>
  <c r="C32" i="101"/>
  <c r="R108" i="9"/>
  <c r="U108" i="9" s="1"/>
  <c r="W108" i="9"/>
  <c r="N113" i="151" s="1"/>
  <c r="C114" i="151"/>
  <c r="C33" i="101"/>
  <c r="R109" i="9"/>
  <c r="U109" i="9" s="1"/>
  <c r="W109" i="9"/>
  <c r="N114" i="151" s="1"/>
  <c r="C115" i="151"/>
  <c r="H115" i="151" s="1"/>
  <c r="C34" i="101"/>
  <c r="R110" i="9"/>
  <c r="W110" i="9"/>
  <c r="N115" i="151" s="1"/>
  <c r="C116" i="151"/>
  <c r="C35" i="101"/>
  <c r="R111" i="9"/>
  <c r="U111" i="9" s="1"/>
  <c r="W111" i="9"/>
  <c r="N116" i="151" s="1"/>
  <c r="C117" i="151"/>
  <c r="C36" i="101"/>
  <c r="R112" i="9"/>
  <c r="U112" i="9" s="1"/>
  <c r="W112" i="9"/>
  <c r="N117" i="151" s="1"/>
  <c r="C118" i="151"/>
  <c r="H118" i="151" s="1"/>
  <c r="C37" i="101"/>
  <c r="R113" i="9"/>
  <c r="W113" i="9"/>
  <c r="N118" i="151" s="1"/>
  <c r="C119" i="151"/>
  <c r="C38" i="101"/>
  <c r="R114" i="9"/>
  <c r="W114" i="9"/>
  <c r="N119" i="151" s="1"/>
  <c r="C120" i="151"/>
  <c r="C39" i="101"/>
  <c r="R115" i="9"/>
  <c r="U115" i="9" s="1"/>
  <c r="W115" i="9"/>
  <c r="N120" i="151" s="1"/>
  <c r="C121" i="151"/>
  <c r="C40" i="101"/>
  <c r="R116" i="9"/>
  <c r="U116" i="9" s="1"/>
  <c r="W116" i="9"/>
  <c r="N40" i="101" s="1"/>
  <c r="C122" i="151"/>
  <c r="C41" i="101"/>
  <c r="R117" i="9"/>
  <c r="U117" i="9" s="1"/>
  <c r="W117" i="9"/>
  <c r="N122" i="151" s="1"/>
  <c r="C123" i="151"/>
  <c r="H123" i="151" s="1"/>
  <c r="C42" i="101"/>
  <c r="R118" i="9"/>
  <c r="W118" i="9"/>
  <c r="N123" i="151" s="1"/>
  <c r="C124" i="151"/>
  <c r="C43" i="101"/>
  <c r="R119" i="9"/>
  <c r="U119" i="9" s="1"/>
  <c r="W119" i="9"/>
  <c r="N124" i="151" s="1"/>
  <c r="C125" i="151"/>
  <c r="C44" i="101"/>
  <c r="R120" i="9"/>
  <c r="U120" i="9" s="1"/>
  <c r="W120" i="9"/>
  <c r="N125" i="151" s="1"/>
  <c r="C126" i="151"/>
  <c r="H126" i="151" s="1"/>
  <c r="C45" i="101"/>
  <c r="R121" i="9"/>
  <c r="W121" i="9"/>
  <c r="N126" i="151" s="1"/>
  <c r="C127" i="151"/>
  <c r="C46" i="101"/>
  <c r="R122" i="9"/>
  <c r="U122" i="9" s="1"/>
  <c r="W122" i="9"/>
  <c r="N127" i="151" s="1"/>
  <c r="C128" i="151"/>
  <c r="C47" i="101"/>
  <c r="R123" i="9"/>
  <c r="U123" i="9" s="1"/>
  <c r="W123" i="9"/>
  <c r="N128" i="151" s="1"/>
  <c r="C129" i="151"/>
  <c r="H129" i="151" s="1"/>
  <c r="W124" i="9"/>
  <c r="N129" i="151" s="1"/>
  <c r="R124" i="9"/>
  <c r="C48" i="101"/>
  <c r="W126" i="9"/>
  <c r="K133" i="151"/>
  <c r="R137" i="151"/>
  <c r="K139" i="151"/>
  <c r="R60" i="101"/>
  <c r="H60" i="101"/>
  <c r="Q60" i="101"/>
  <c r="P60" i="101"/>
  <c r="K60" i="101"/>
  <c r="F60" i="101"/>
  <c r="C143" i="151"/>
  <c r="AD138" i="9"/>
  <c r="V138" i="9"/>
  <c r="C62" i="101"/>
  <c r="C146" i="151"/>
  <c r="X141" i="9"/>
  <c r="C65" i="101"/>
  <c r="R141" i="9"/>
  <c r="AD141" i="9"/>
  <c r="C150" i="151"/>
  <c r="C69" i="101"/>
  <c r="X145" i="9"/>
  <c r="O150" i="151" s="1"/>
  <c r="R145" i="9"/>
  <c r="U145" i="9" s="1"/>
  <c r="AD145" i="9"/>
  <c r="C159" i="151"/>
  <c r="C78" i="101"/>
  <c r="X154" i="9"/>
  <c r="R154" i="9"/>
  <c r="U154" i="9" s="1"/>
  <c r="W154" i="9"/>
  <c r="N159" i="151" s="1"/>
  <c r="C86" i="151"/>
  <c r="C86" i="99"/>
  <c r="R81" i="9"/>
  <c r="U81" i="9" s="1"/>
  <c r="W81" i="9"/>
  <c r="AD81" i="9"/>
  <c r="C89" i="151"/>
  <c r="C89" i="99"/>
  <c r="H89" i="99" s="1"/>
  <c r="L89" i="99" s="1"/>
  <c r="AA84" i="9"/>
  <c r="R89" i="99" s="1"/>
  <c r="V85" i="9"/>
  <c r="M90" i="99" s="1"/>
  <c r="W88" i="9"/>
  <c r="AD88" i="9"/>
  <c r="W90" i="9"/>
  <c r="AD90" i="9"/>
  <c r="X99" i="9"/>
  <c r="O104" i="151" s="1"/>
  <c r="X100" i="9"/>
  <c r="X101" i="9"/>
  <c r="O25" i="101" s="1"/>
  <c r="X102" i="9"/>
  <c r="O26" i="101" s="1"/>
  <c r="X103" i="9"/>
  <c r="O108" i="151" s="1"/>
  <c r="X104" i="9"/>
  <c r="O109" i="151" s="1"/>
  <c r="X105" i="9"/>
  <c r="O29" i="101" s="1"/>
  <c r="X106" i="9"/>
  <c r="O111" i="151" s="1"/>
  <c r="X107" i="9"/>
  <c r="O112" i="151" s="1"/>
  <c r="X108" i="9"/>
  <c r="O113" i="151" s="1"/>
  <c r="X109" i="9"/>
  <c r="O33" i="101" s="1"/>
  <c r="X110" i="9"/>
  <c r="X111" i="9"/>
  <c r="O116" i="151" s="1"/>
  <c r="X112" i="9"/>
  <c r="O117" i="151" s="1"/>
  <c r="X113" i="9"/>
  <c r="O118" i="151" s="1"/>
  <c r="X114" i="9"/>
  <c r="X115" i="9"/>
  <c r="O120" i="151" s="1"/>
  <c r="X116" i="9"/>
  <c r="O121" i="151" s="1"/>
  <c r="X117" i="9"/>
  <c r="O41" i="101" s="1"/>
  <c r="X118" i="9"/>
  <c r="X119" i="9"/>
  <c r="O124" i="151" s="1"/>
  <c r="X120" i="9"/>
  <c r="X121" i="9"/>
  <c r="O45" i="101" s="1"/>
  <c r="X122" i="9"/>
  <c r="X123" i="9"/>
  <c r="O128" i="151" s="1"/>
  <c r="AD124" i="9"/>
  <c r="C142" i="151"/>
  <c r="AD137" i="9"/>
  <c r="V137" i="9"/>
  <c r="C61" i="101"/>
  <c r="C147" i="151"/>
  <c r="X142" i="9"/>
  <c r="C66" i="101"/>
  <c r="R142" i="9"/>
  <c r="U142" i="9" s="1"/>
  <c r="AD142" i="9"/>
  <c r="C70" i="151"/>
  <c r="C70" i="99"/>
  <c r="R65" i="9"/>
  <c r="U65" i="9" s="1"/>
  <c r="W65" i="9"/>
  <c r="AD65" i="9"/>
  <c r="C74" i="151"/>
  <c r="C74" i="99"/>
  <c r="R69" i="9"/>
  <c r="U69" i="9" s="1"/>
  <c r="W69" i="9"/>
  <c r="AD69" i="9"/>
  <c r="C78" i="151"/>
  <c r="C78" i="99"/>
  <c r="R73" i="9"/>
  <c r="U73" i="9" s="1"/>
  <c r="W73" i="9"/>
  <c r="AD73" i="9"/>
  <c r="Z81" i="9"/>
  <c r="C87" i="151"/>
  <c r="C87" i="99"/>
  <c r="R82" i="9"/>
  <c r="U82" i="9" s="1"/>
  <c r="W82" i="9"/>
  <c r="AD82" i="9"/>
  <c r="V84" i="9"/>
  <c r="M89" i="99" s="1"/>
  <c r="R85" i="9"/>
  <c r="U85" i="9" s="1"/>
  <c r="W85" i="9"/>
  <c r="N90" i="99" s="1"/>
  <c r="AD85" i="9"/>
  <c r="C92" i="151"/>
  <c r="C92" i="99"/>
  <c r="V87" i="9"/>
  <c r="M92" i="99" s="1"/>
  <c r="R88" i="9"/>
  <c r="U88" i="9" s="1"/>
  <c r="Z88" i="9"/>
  <c r="C94" i="151"/>
  <c r="E94" i="151" s="1"/>
  <c r="F94" i="151" s="1"/>
  <c r="C94" i="99"/>
  <c r="Q94" i="99" s="1"/>
  <c r="V89" i="9"/>
  <c r="M94" i="99" s="1"/>
  <c r="R90" i="9"/>
  <c r="U90" i="9" s="1"/>
  <c r="Z90" i="9"/>
  <c r="Q95" i="151" s="1"/>
  <c r="O80" i="101"/>
  <c r="W80" i="101" s="1"/>
  <c r="X80" i="101" s="1"/>
  <c r="C98" i="151"/>
  <c r="R77" i="101"/>
  <c r="C17" i="101"/>
  <c r="Q70" i="101"/>
  <c r="Q53" i="101"/>
  <c r="R93" i="9"/>
  <c r="W93" i="9"/>
  <c r="N17" i="101" s="1"/>
  <c r="C99" i="151"/>
  <c r="C18" i="101"/>
  <c r="R94" i="9"/>
  <c r="U94" i="9" s="1"/>
  <c r="W94" i="9"/>
  <c r="C100" i="151"/>
  <c r="C19" i="101"/>
  <c r="R95" i="9"/>
  <c r="U95" i="9" s="1"/>
  <c r="W95" i="9"/>
  <c r="C101" i="151"/>
  <c r="C20" i="101"/>
  <c r="M20" i="101" s="1"/>
  <c r="R96" i="9"/>
  <c r="U96" i="9" s="1"/>
  <c r="W96" i="9"/>
  <c r="C102" i="151"/>
  <c r="C21" i="101"/>
  <c r="M21" i="101" s="1"/>
  <c r="R97" i="9"/>
  <c r="U97" i="9" s="1"/>
  <c r="W97" i="9"/>
  <c r="N102" i="151" s="1"/>
  <c r="V124" i="9"/>
  <c r="B1798" i="170"/>
  <c r="D132" i="132"/>
  <c r="R134" i="151"/>
  <c r="Q134" i="151"/>
  <c r="F134" i="151"/>
  <c r="P134" i="151"/>
  <c r="K134" i="151"/>
  <c r="K136" i="151"/>
  <c r="H136" i="151"/>
  <c r="P136" i="151"/>
  <c r="F136" i="151"/>
  <c r="W137" i="9"/>
  <c r="X138" i="9"/>
  <c r="R139" i="9"/>
  <c r="U139" i="9" s="1"/>
  <c r="W140" i="9"/>
  <c r="V141" i="9"/>
  <c r="M65" i="101" s="1"/>
  <c r="C148" i="151"/>
  <c r="C67" i="101"/>
  <c r="X143" i="9"/>
  <c r="O148" i="151" s="1"/>
  <c r="R143" i="9"/>
  <c r="U143" i="9" s="1"/>
  <c r="AD143" i="9"/>
  <c r="W144" i="9"/>
  <c r="N68" i="101" s="1"/>
  <c r="V145" i="9"/>
  <c r="Q76" i="101"/>
  <c r="P76" i="101"/>
  <c r="F76" i="101"/>
  <c r="H76" i="101"/>
  <c r="R76" i="101"/>
  <c r="V154" i="9"/>
  <c r="M159" i="151" s="1"/>
  <c r="C18" i="99"/>
  <c r="R18" i="99" s="1"/>
  <c r="P56" i="101"/>
  <c r="K56" i="101"/>
  <c r="F56" i="101"/>
  <c r="R56" i="101"/>
  <c r="X149" i="9"/>
  <c r="C157" i="151"/>
  <c r="X152" i="9"/>
  <c r="O76" i="101" s="1"/>
  <c r="W152" i="9"/>
  <c r="N76" i="101" s="1"/>
  <c r="R152" i="9"/>
  <c r="U152" i="9" s="1"/>
  <c r="V152" i="9"/>
  <c r="M76" i="101" s="1"/>
  <c r="Q51" i="101"/>
  <c r="P51" i="101"/>
  <c r="R51" i="101"/>
  <c r="P53" i="101"/>
  <c r="K53" i="101"/>
  <c r="F53" i="101"/>
  <c r="R53" i="101"/>
  <c r="R70" i="101"/>
  <c r="P70" i="101"/>
  <c r="K70" i="101"/>
  <c r="F70" i="101"/>
  <c r="H56" i="101"/>
  <c r="O77" i="101"/>
  <c r="AD152" i="9"/>
  <c r="F160" i="151"/>
  <c r="AC155" i="9"/>
  <c r="H51" i="101"/>
  <c r="H53" i="101"/>
  <c r="K54" i="101"/>
  <c r="Q56" i="101"/>
  <c r="H70" i="101"/>
  <c r="K71" i="101"/>
  <c r="F71" i="101"/>
  <c r="Q71" i="101"/>
  <c r="P71" i="101"/>
  <c r="R75" i="101"/>
  <c r="H75" i="101"/>
  <c r="Q75" i="101"/>
  <c r="F75" i="101"/>
  <c r="P75" i="101"/>
  <c r="O75" i="101"/>
  <c r="H151" i="151"/>
  <c r="R146" i="9"/>
  <c r="G151" i="151" s="1"/>
  <c r="W146" i="9"/>
  <c r="N70" i="101" s="1"/>
  <c r="B1951" i="170"/>
  <c r="C1952" i="170" s="1"/>
  <c r="D1956" i="170" s="1"/>
  <c r="K152" i="151"/>
  <c r="D150" i="132"/>
  <c r="R152" i="151"/>
  <c r="F152" i="151"/>
  <c r="Q152" i="151"/>
  <c r="R147" i="9"/>
  <c r="W147" i="9"/>
  <c r="N152" i="151" s="1"/>
  <c r="R148" i="9"/>
  <c r="U148" i="9" s="1"/>
  <c r="W148" i="9"/>
  <c r="N153" i="151" s="1"/>
  <c r="R149" i="9"/>
  <c r="W149" i="9"/>
  <c r="N73" i="101" s="1"/>
  <c r="H1968" i="170"/>
  <c r="I1969" i="170" s="1"/>
  <c r="J1973" i="170" s="1"/>
  <c r="Q155" i="151"/>
  <c r="R150" i="9"/>
  <c r="U150" i="9" s="1"/>
  <c r="W150" i="9"/>
  <c r="H156" i="151"/>
  <c r="F96" i="99"/>
  <c r="C50" i="101"/>
  <c r="M50" i="101" s="1"/>
  <c r="C55" i="101"/>
  <c r="C58" i="101"/>
  <c r="C73" i="101"/>
  <c r="H77" i="101"/>
  <c r="E82" i="101"/>
  <c r="F82" i="101" s="1"/>
  <c r="C131" i="151"/>
  <c r="C141" i="151"/>
  <c r="P152" i="151"/>
  <c r="C154" i="151"/>
  <c r="C158" i="151"/>
  <c r="H161" i="132"/>
  <c r="F130" i="151"/>
  <c r="P130" i="151"/>
  <c r="R125" i="9"/>
  <c r="W125" i="9"/>
  <c r="R126" i="9"/>
  <c r="U126" i="9" s="1"/>
  <c r="R127" i="9"/>
  <c r="U127" i="9" s="1"/>
  <c r="W127" i="9"/>
  <c r="H133" i="151"/>
  <c r="D131" i="132"/>
  <c r="P133" i="151"/>
  <c r="R128" i="9"/>
  <c r="U128" i="9" s="1"/>
  <c r="W128" i="9"/>
  <c r="N133" i="151" s="1"/>
  <c r="R129" i="9"/>
  <c r="G134" i="151" s="1"/>
  <c r="W129" i="9"/>
  <c r="N53" i="101" s="1"/>
  <c r="R130" i="9"/>
  <c r="W130" i="9"/>
  <c r="N135" i="151" s="1"/>
  <c r="R131" i="9"/>
  <c r="U131" i="9" s="1"/>
  <c r="W131" i="9"/>
  <c r="N136" i="151" s="1"/>
  <c r="H1815" i="170"/>
  <c r="P137" i="151"/>
  <c r="F137" i="151"/>
  <c r="D135" i="132"/>
  <c r="K137" i="151"/>
  <c r="R132" i="9"/>
  <c r="U132" i="9" s="1"/>
  <c r="W132" i="9"/>
  <c r="N137" i="151" s="1"/>
  <c r="R133" i="9"/>
  <c r="U133" i="9" s="1"/>
  <c r="W133" i="9"/>
  <c r="H139" i="151"/>
  <c r="D137" i="132"/>
  <c r="F139" i="151"/>
  <c r="R134" i="9"/>
  <c r="U134" i="9" s="1"/>
  <c r="W134" i="9"/>
  <c r="N139" i="151" s="1"/>
  <c r="B1849" i="170"/>
  <c r="D138" i="132"/>
  <c r="K140" i="151"/>
  <c r="R140" i="151"/>
  <c r="R135" i="9"/>
  <c r="U135" i="9" s="1"/>
  <c r="W135" i="9"/>
  <c r="R136" i="9"/>
  <c r="U136" i="9" s="1"/>
  <c r="W136" i="9"/>
  <c r="N60" i="101" s="1"/>
  <c r="X146" i="9"/>
  <c r="O70" i="101" s="1"/>
  <c r="X147" i="9"/>
  <c r="O71" i="101" s="1"/>
  <c r="X148" i="9"/>
  <c r="O153" i="151" s="1"/>
  <c r="X150" i="9"/>
  <c r="O155" i="151" s="1"/>
  <c r="V151" i="9"/>
  <c r="M75" i="101" s="1"/>
  <c r="AD151" i="9"/>
  <c r="V153" i="9"/>
  <c r="M77" i="101" s="1"/>
  <c r="J173" i="99"/>
  <c r="T173" i="99" s="1"/>
  <c r="C49" i="101"/>
  <c r="M49" i="101" s="1"/>
  <c r="C52" i="101"/>
  <c r="C57" i="101"/>
  <c r="M57" i="101" s="1"/>
  <c r="C72" i="101"/>
  <c r="N72" i="101" s="1"/>
  <c r="H130" i="151"/>
  <c r="P139" i="151"/>
  <c r="P140" i="151"/>
  <c r="R151" i="151"/>
  <c r="K130" i="151"/>
  <c r="Q140" i="151"/>
  <c r="Q77" i="101"/>
  <c r="G77" i="101"/>
  <c r="P77" i="101"/>
  <c r="F77" i="101"/>
  <c r="F133" i="151"/>
  <c r="Q137" i="151"/>
  <c r="F140" i="151"/>
  <c r="R155" i="151"/>
  <c r="W162" i="151"/>
  <c r="T97" i="151"/>
  <c r="D11" i="167"/>
  <c r="D176" i="132"/>
  <c r="D175" i="132"/>
  <c r="G38" i="170"/>
  <c r="A38" i="170"/>
  <c r="M52" i="170"/>
  <c r="F13" i="167"/>
  <c r="E17" i="157"/>
  <c r="I691" i="170"/>
  <c r="J695" i="170" s="1"/>
  <c r="I696" i="170"/>
  <c r="C709" i="170"/>
  <c r="E709" i="170" s="1"/>
  <c r="I726" i="170"/>
  <c r="I763" i="170"/>
  <c r="I777" i="170"/>
  <c r="K777" i="170" s="1"/>
  <c r="C781" i="170"/>
  <c r="C784" i="170"/>
  <c r="E784" i="170" s="1"/>
  <c r="C800" i="170"/>
  <c r="E800" i="170" s="1"/>
  <c r="C815" i="170"/>
  <c r="I817" i="170"/>
  <c r="K817" i="170" s="1"/>
  <c r="K824" i="170"/>
  <c r="I826" i="170"/>
  <c r="I830" i="170"/>
  <c r="I833" i="170"/>
  <c r="K833" i="170" s="1"/>
  <c r="K841" i="170"/>
  <c r="I845" i="170"/>
  <c r="I851" i="170"/>
  <c r="K851" i="170" s="1"/>
  <c r="E858" i="170"/>
  <c r="C861" i="170"/>
  <c r="E861" i="170" s="1"/>
  <c r="C880" i="170"/>
  <c r="C885" i="170"/>
  <c r="E885" i="170" s="1"/>
  <c r="C894" i="170"/>
  <c r="C897" i="170"/>
  <c r="C901" i="170"/>
  <c r="E901" i="170" s="1"/>
  <c r="I902" i="170"/>
  <c r="K902" i="170" s="1"/>
  <c r="I911" i="170"/>
  <c r="I918" i="170"/>
  <c r="K918" i="170" s="1"/>
  <c r="C947" i="170"/>
  <c r="I951" i="170"/>
  <c r="C982" i="170"/>
  <c r="E994" i="170"/>
  <c r="C1001" i="170"/>
  <c r="K1011" i="170"/>
  <c r="I1013" i="170"/>
  <c r="I1015" i="170"/>
  <c r="I1019" i="170"/>
  <c r="I1021" i="170"/>
  <c r="K1021" i="170" s="1"/>
  <c r="I1034" i="170"/>
  <c r="I1037" i="170"/>
  <c r="K1037" i="170" s="1"/>
  <c r="I1049" i="170"/>
  <c r="I1053" i="170"/>
  <c r="K1062" i="170"/>
  <c r="C1065" i="170"/>
  <c r="E1065" i="170" s="1"/>
  <c r="I1070" i="170"/>
  <c r="C1105" i="170"/>
  <c r="E1105" i="170" s="1"/>
  <c r="I1117" i="170"/>
  <c r="I1121" i="170"/>
  <c r="I1123" i="170"/>
  <c r="K1123" i="170" s="1"/>
  <c r="I1132" i="170"/>
  <c r="J1136" i="170" s="1"/>
  <c r="K1136" i="170" s="1"/>
  <c r="I1136" i="170"/>
  <c r="C1169" i="170"/>
  <c r="K1181" i="170"/>
  <c r="I1183" i="170"/>
  <c r="J1187" i="170" s="1"/>
  <c r="I1187" i="170"/>
  <c r="I1190" i="170"/>
  <c r="K1190" i="170" s="1"/>
  <c r="I1202" i="170"/>
  <c r="I1207" i="170"/>
  <c r="K1207" i="170" s="1"/>
  <c r="K1249" i="170"/>
  <c r="I1251" i="170"/>
  <c r="I1255" i="170"/>
  <c r="I1258" i="170"/>
  <c r="K1258" i="170" s="1"/>
  <c r="C1302" i="170"/>
  <c r="I1324" i="170"/>
  <c r="I1320" i="170"/>
  <c r="K1320" i="170" s="1"/>
  <c r="I1323" i="170"/>
  <c r="C1342" i="170"/>
  <c r="C1340" i="170"/>
  <c r="C1337" i="170"/>
  <c r="E1337" i="170" s="1"/>
  <c r="C1390" i="170"/>
  <c r="I692" i="170"/>
  <c r="K692" i="170" s="1"/>
  <c r="I697" i="170"/>
  <c r="C710" i="170"/>
  <c r="C724" i="170"/>
  <c r="E724" i="170" s="1"/>
  <c r="I727" i="170"/>
  <c r="I765" i="170"/>
  <c r="I778" i="170"/>
  <c r="I782" i="170"/>
  <c r="C793" i="170"/>
  <c r="D797" i="170" s="1"/>
  <c r="C801" i="170"/>
  <c r="E801" i="170" s="1"/>
  <c r="C810" i="170"/>
  <c r="I812" i="170"/>
  <c r="I816" i="170"/>
  <c r="C818" i="170"/>
  <c r="E818" i="170" s="1"/>
  <c r="I827" i="170"/>
  <c r="K827" i="170" s="1"/>
  <c r="C831" i="170"/>
  <c r="C834" i="170"/>
  <c r="E834" i="170" s="1"/>
  <c r="I847" i="170"/>
  <c r="C882" i="170"/>
  <c r="K892" i="170"/>
  <c r="I894" i="170"/>
  <c r="J898" i="170" s="1"/>
  <c r="K898" i="170" s="1"/>
  <c r="I898" i="170"/>
  <c r="I901" i="170"/>
  <c r="K901" i="170" s="1"/>
  <c r="K909" i="170"/>
  <c r="I913" i="170"/>
  <c r="I919" i="170"/>
  <c r="K919" i="170" s="1"/>
  <c r="E926" i="170"/>
  <c r="I947" i="170"/>
  <c r="I952" i="170"/>
  <c r="K952" i="170" s="1"/>
  <c r="C984" i="170"/>
  <c r="C996" i="170"/>
  <c r="I1002" i="170"/>
  <c r="I1014" i="170"/>
  <c r="K1014" i="170" s="1"/>
  <c r="C1016" i="170"/>
  <c r="C1020" i="170"/>
  <c r="E1020" i="170" s="1"/>
  <c r="C1030" i="170"/>
  <c r="C1032" i="170"/>
  <c r="C1035" i="170"/>
  <c r="I1038" i="170"/>
  <c r="K1038" i="170" s="1"/>
  <c r="I1047" i="170"/>
  <c r="C1051" i="170"/>
  <c r="I1054" i="170"/>
  <c r="K1054" i="170" s="1"/>
  <c r="I1066" i="170"/>
  <c r="I1071" i="170"/>
  <c r="K1071" i="170" s="1"/>
  <c r="E1096" i="170"/>
  <c r="C1098" i="170"/>
  <c r="C1106" i="170"/>
  <c r="E1106" i="170" s="1"/>
  <c r="C1115" i="170"/>
  <c r="C1118" i="170"/>
  <c r="C1122" i="170"/>
  <c r="E1122" i="170" s="1"/>
  <c r="K1130" i="170"/>
  <c r="C1133" i="170"/>
  <c r="E1133" i="170" s="1"/>
  <c r="I1138" i="170"/>
  <c r="C1171" i="170"/>
  <c r="I1184" i="170"/>
  <c r="K1184" i="170" s="1"/>
  <c r="C1188" i="170"/>
  <c r="C1191" i="170"/>
  <c r="E1191" i="170" s="1"/>
  <c r="C1204" i="170"/>
  <c r="I1208" i="170"/>
  <c r="K1208" i="170" s="1"/>
  <c r="C1239" i="170"/>
  <c r="I1252" i="170"/>
  <c r="K1252" i="170" s="1"/>
  <c r="C1256" i="170"/>
  <c r="C1259" i="170"/>
  <c r="E1259" i="170" s="1"/>
  <c r="C1272" i="170"/>
  <c r="I1276" i="170"/>
  <c r="K1276" i="170" s="1"/>
  <c r="I1325" i="170"/>
  <c r="C1370" i="170"/>
  <c r="C1392" i="170"/>
  <c r="I1407" i="170"/>
  <c r="I1410" i="170"/>
  <c r="I1406" i="170"/>
  <c r="I1412" i="170"/>
  <c r="K1412" i="170" s="1"/>
  <c r="I1408" i="170"/>
  <c r="I1404" i="170"/>
  <c r="I1411" i="170"/>
  <c r="K1411" i="170" s="1"/>
  <c r="I693" i="170"/>
  <c r="I700" i="170"/>
  <c r="K700" i="170" s="1"/>
  <c r="C712" i="170"/>
  <c r="E712" i="170" s="1"/>
  <c r="C796" i="170"/>
  <c r="C813" i="170"/>
  <c r="C817" i="170"/>
  <c r="E817" i="170" s="1"/>
  <c r="I828" i="170"/>
  <c r="I832" i="170"/>
  <c r="I849" i="170"/>
  <c r="C899" i="170"/>
  <c r="C902" i="170"/>
  <c r="E902" i="170" s="1"/>
  <c r="M1452" i="170"/>
  <c r="I1017" i="170"/>
  <c r="I1072" i="170"/>
  <c r="K1072" i="170" s="1"/>
  <c r="C1101" i="170"/>
  <c r="I1134" i="170"/>
  <c r="I1139" i="170"/>
  <c r="K1139" i="170" s="1"/>
  <c r="I1185" i="170"/>
  <c r="I1189" i="170"/>
  <c r="I1191" i="170"/>
  <c r="K1191" i="170" s="1"/>
  <c r="I1253" i="170"/>
  <c r="I1257" i="170"/>
  <c r="I1259" i="170"/>
  <c r="K1259" i="170" s="1"/>
  <c r="C1308" i="170"/>
  <c r="C1307" i="170"/>
  <c r="C1310" i="170"/>
  <c r="E1310" i="170" s="1"/>
  <c r="C1305" i="170"/>
  <c r="C1309" i="170"/>
  <c r="E1309" i="170" s="1"/>
  <c r="E1368" i="170"/>
  <c r="I695" i="170"/>
  <c r="C714" i="170"/>
  <c r="C798" i="170"/>
  <c r="I834" i="170"/>
  <c r="K834" i="170" s="1"/>
  <c r="I850" i="170"/>
  <c r="K850" i="170" s="1"/>
  <c r="I896" i="170"/>
  <c r="I900" i="170"/>
  <c r="I917" i="170"/>
  <c r="C999" i="170"/>
  <c r="C1004" i="170"/>
  <c r="E1004" i="170" s="1"/>
  <c r="I1020" i="170"/>
  <c r="K1020" i="170" s="1"/>
  <c r="C1033" i="170"/>
  <c r="C1049" i="170"/>
  <c r="I1064" i="170"/>
  <c r="I1068" i="170"/>
  <c r="C1103" i="170"/>
  <c r="C1120" i="170"/>
  <c r="C1123" i="170"/>
  <c r="E1123" i="170" s="1"/>
  <c r="I1140" i="170"/>
  <c r="K1140" i="170" s="1"/>
  <c r="C1376" i="170"/>
  <c r="C1373" i="170"/>
  <c r="C1377" i="170"/>
  <c r="E1377" i="170" s="1"/>
  <c r="C1378" i="170"/>
  <c r="E1378" i="170" s="1"/>
  <c r="I1423" i="170"/>
  <c r="C1456" i="170"/>
  <c r="D1460" i="170" s="1"/>
  <c r="E1460" i="170" s="1"/>
  <c r="I1477" i="170"/>
  <c r="K1477" i="170" s="1"/>
  <c r="I2074" i="170"/>
  <c r="C2157" i="170"/>
  <c r="C2154" i="170"/>
  <c r="E2149" i="170"/>
  <c r="C2158" i="170"/>
  <c r="E2158" i="170" s="1"/>
  <c r="C2173" i="170"/>
  <c r="C2170" i="170"/>
  <c r="E2165" i="170"/>
  <c r="C2174" i="170"/>
  <c r="E2174" i="170" s="1"/>
  <c r="E2197" i="170"/>
  <c r="C2205" i="170"/>
  <c r="C2200" i="170"/>
  <c r="E2200" i="170" s="1"/>
  <c r="C2203" i="170"/>
  <c r="I2319" i="170"/>
  <c r="K2319" i="170" s="1"/>
  <c r="I2313" i="170"/>
  <c r="I2317" i="170"/>
  <c r="I2312" i="170"/>
  <c r="K2312" i="170" s="1"/>
  <c r="K2309" i="170"/>
  <c r="C2367" i="170"/>
  <c r="E2367" i="170" s="1"/>
  <c r="C2359" i="170"/>
  <c r="E2357" i="170"/>
  <c r="C2362" i="170"/>
  <c r="C2365" i="170"/>
  <c r="C2395" i="170"/>
  <c r="C2393" i="170"/>
  <c r="C2397" i="170"/>
  <c r="C2427" i="170"/>
  <c r="C2431" i="170"/>
  <c r="E2431" i="170" s="1"/>
  <c r="C2426" i="170"/>
  <c r="C2429" i="170"/>
  <c r="C2423" i="170"/>
  <c r="D2427" i="170" s="1"/>
  <c r="E2427" i="170" s="1"/>
  <c r="C2428" i="170"/>
  <c r="I2463" i="170"/>
  <c r="K2463" i="170" s="1"/>
  <c r="I2455" i="170"/>
  <c r="K2453" i="170"/>
  <c r="C2477" i="170"/>
  <c r="C2479" i="170"/>
  <c r="E2479" i="170" s="1"/>
  <c r="C2476" i="170"/>
  <c r="C2478" i="170"/>
  <c r="E2478" i="170" s="1"/>
  <c r="C2474" i="170"/>
  <c r="C2540" i="170"/>
  <c r="E2533" i="170"/>
  <c r="C2571" i="170"/>
  <c r="C2573" i="170"/>
  <c r="C2575" i="170"/>
  <c r="E2575" i="170" s="1"/>
  <c r="I2601" i="170"/>
  <c r="I2603" i="170"/>
  <c r="C1322" i="170"/>
  <c r="C1326" i="170"/>
  <c r="E1326" i="170" s="1"/>
  <c r="I1342" i="170"/>
  <c r="I1389" i="170"/>
  <c r="I1393" i="170"/>
  <c r="I1395" i="170"/>
  <c r="K1395" i="170" s="1"/>
  <c r="I1421" i="170"/>
  <c r="I1425" i="170"/>
  <c r="C1440" i="170"/>
  <c r="C1444" i="170"/>
  <c r="C1457" i="170"/>
  <c r="E1457" i="170" s="1"/>
  <c r="C1460" i="170"/>
  <c r="I1462" i="170"/>
  <c r="I1475" i="170"/>
  <c r="K1475" i="170" s="1"/>
  <c r="I1478" i="170"/>
  <c r="C2057" i="170"/>
  <c r="C2072" i="170"/>
  <c r="E2072" i="170" s="1"/>
  <c r="C2091" i="170"/>
  <c r="C2093" i="170"/>
  <c r="C2092" i="170"/>
  <c r="K2117" i="170"/>
  <c r="I2127" i="170"/>
  <c r="K2127" i="170" s="1"/>
  <c r="I2136" i="170"/>
  <c r="K2136" i="170" s="1"/>
  <c r="I2204" i="170"/>
  <c r="I2206" i="170"/>
  <c r="K2206" i="170" s="1"/>
  <c r="I2200" i="170"/>
  <c r="K2200" i="170" s="1"/>
  <c r="C2206" i="170"/>
  <c r="E2206" i="170" s="1"/>
  <c r="I2238" i="170"/>
  <c r="K2238" i="170" s="1"/>
  <c r="I2232" i="170"/>
  <c r="K2232" i="170" s="1"/>
  <c r="C2267" i="170"/>
  <c r="I2311" i="170"/>
  <c r="J2315" i="170" s="1"/>
  <c r="I2335" i="170"/>
  <c r="K2335" i="170" s="1"/>
  <c r="I2327" i="170"/>
  <c r="K2325" i="170"/>
  <c r="I2329" i="170"/>
  <c r="I2333" i="170"/>
  <c r="I2396" i="170"/>
  <c r="I2399" i="170"/>
  <c r="K2399" i="170" s="1"/>
  <c r="I2391" i="170"/>
  <c r="J2395" i="170" s="1"/>
  <c r="I2398" i="170"/>
  <c r="K2398" i="170" s="1"/>
  <c r="K2389" i="170"/>
  <c r="I2397" i="170"/>
  <c r="C2430" i="170"/>
  <c r="E2430" i="170" s="1"/>
  <c r="I2476" i="170"/>
  <c r="I2471" i="170"/>
  <c r="K2469" i="170"/>
  <c r="I2472" i="170"/>
  <c r="K2472" i="170" s="1"/>
  <c r="I2477" i="170"/>
  <c r="C2556" i="170"/>
  <c r="C2552" i="170"/>
  <c r="C2555" i="170"/>
  <c r="C2551" i="170"/>
  <c r="C2574" i="170"/>
  <c r="C1458" i="170"/>
  <c r="C1463" i="170"/>
  <c r="E1463" i="170" s="1"/>
  <c r="I1479" i="170"/>
  <c r="I1481" i="170"/>
  <c r="K1481" i="170" s="1"/>
  <c r="C2127" i="170"/>
  <c r="E2127" i="170" s="1"/>
  <c r="C2123" i="170"/>
  <c r="C2139" i="170"/>
  <c r="C2138" i="170"/>
  <c r="C2137" i="170"/>
  <c r="C2151" i="170"/>
  <c r="D2155" i="170" s="1"/>
  <c r="E2155" i="170" s="1"/>
  <c r="C2156" i="170"/>
  <c r="C2159" i="170"/>
  <c r="E2159" i="170" s="1"/>
  <c r="C2167" i="170"/>
  <c r="C2172" i="170"/>
  <c r="C2175" i="170"/>
  <c r="E2175" i="170" s="1"/>
  <c r="C2199" i="170"/>
  <c r="I2303" i="170"/>
  <c r="K2303" i="170" s="1"/>
  <c r="I2301" i="170"/>
  <c r="I2297" i="170"/>
  <c r="K2293" i="170"/>
  <c r="C2347" i="170"/>
  <c r="C2351" i="170"/>
  <c r="E2351" i="170" s="1"/>
  <c r="C2346" i="170"/>
  <c r="C2392" i="170"/>
  <c r="E2392" i="170" s="1"/>
  <c r="I2415" i="170"/>
  <c r="K2415" i="170" s="1"/>
  <c r="I2407" i="170"/>
  <c r="J2411" i="170" s="1"/>
  <c r="K2411" i="170" s="1"/>
  <c r="I2413" i="170"/>
  <c r="K2405" i="170"/>
  <c r="I2457" i="170"/>
  <c r="C2471" i="170"/>
  <c r="D2475" i="170" s="1"/>
  <c r="I2495" i="170"/>
  <c r="K2495" i="170" s="1"/>
  <c r="I2488" i="170"/>
  <c r="K2488" i="170" s="1"/>
  <c r="I2492" i="170"/>
  <c r="I2487" i="170"/>
  <c r="J2491" i="170" s="1"/>
  <c r="K2485" i="170"/>
  <c r="C2536" i="170"/>
  <c r="E2536" i="170" s="1"/>
  <c r="I2555" i="170"/>
  <c r="I2559" i="170"/>
  <c r="K2559" i="170" s="1"/>
  <c r="I2560" i="170"/>
  <c r="K2560" i="170" s="1"/>
  <c r="I2557" i="170"/>
  <c r="C2576" i="170"/>
  <c r="E2576" i="170" s="1"/>
  <c r="C2592" i="170"/>
  <c r="E2592" i="170" s="1"/>
  <c r="C2585" i="170"/>
  <c r="E2585" i="170" s="1"/>
  <c r="I2602" i="170"/>
  <c r="S82" i="59"/>
  <c r="Q85" i="59"/>
  <c r="C1324" i="170"/>
  <c r="C1327" i="170"/>
  <c r="E1327" i="170" s="1"/>
  <c r="I1344" i="170"/>
  <c r="K1344" i="170" s="1"/>
  <c r="I1387" i="170"/>
  <c r="I1391" i="170"/>
  <c r="I1394" i="170"/>
  <c r="K1394" i="170" s="1"/>
  <c r="I1422" i="170"/>
  <c r="K1422" i="170" s="1"/>
  <c r="I1427" i="170"/>
  <c r="C1438" i="170"/>
  <c r="D1442" i="170" s="1"/>
  <c r="E1442" i="170" s="1"/>
  <c r="C1442" i="170"/>
  <c r="I1458" i="170"/>
  <c r="C1461" i="170"/>
  <c r="I1476" i="170"/>
  <c r="C2061" i="170"/>
  <c r="C2077" i="170"/>
  <c r="C2074" i="170"/>
  <c r="C2071" i="170"/>
  <c r="D2075" i="170" s="1"/>
  <c r="E2075" i="170" s="1"/>
  <c r="C2073" i="170"/>
  <c r="C2078" i="170"/>
  <c r="E2078" i="170" s="1"/>
  <c r="C2126" i="170"/>
  <c r="E2126" i="170" s="1"/>
  <c r="I2143" i="170"/>
  <c r="K2143" i="170" s="1"/>
  <c r="I2135" i="170"/>
  <c r="K2133" i="170"/>
  <c r="I2137" i="170"/>
  <c r="I2188" i="170"/>
  <c r="I2191" i="170"/>
  <c r="K2191" i="170" s="1"/>
  <c r="C2201" i="170"/>
  <c r="I2215" i="170"/>
  <c r="J2219" i="170" s="1"/>
  <c r="K2219" i="170" s="1"/>
  <c r="I2217" i="170"/>
  <c r="I2220" i="170"/>
  <c r="I2235" i="170"/>
  <c r="C2264" i="170"/>
  <c r="E2264" i="170" s="1"/>
  <c r="I2286" i="170"/>
  <c r="K2286" i="170" s="1"/>
  <c r="I2295" i="170"/>
  <c r="J2299" i="170" s="1"/>
  <c r="C2317" i="170"/>
  <c r="C2318" i="170"/>
  <c r="E2318" i="170" s="1"/>
  <c r="C2311" i="170"/>
  <c r="D2315" i="170" s="1"/>
  <c r="C2314" i="170"/>
  <c r="I2328" i="170"/>
  <c r="K2328" i="170" s="1"/>
  <c r="I2349" i="170"/>
  <c r="I2343" i="170"/>
  <c r="J2347" i="170" s="1"/>
  <c r="K2341" i="170"/>
  <c r="I2348" i="170"/>
  <c r="I2344" i="170"/>
  <c r="K2344" i="170" s="1"/>
  <c r="C2348" i="170"/>
  <c r="C2364" i="170"/>
  <c r="I2409" i="170"/>
  <c r="E2421" i="170"/>
  <c r="I2446" i="170"/>
  <c r="K2446" i="170" s="1"/>
  <c r="I2445" i="170"/>
  <c r="C2459" i="170"/>
  <c r="C2457" i="170"/>
  <c r="I2461" i="170"/>
  <c r="I2493" i="170"/>
  <c r="I2542" i="170"/>
  <c r="K2542" i="170" s="1"/>
  <c r="I2552" i="170"/>
  <c r="I2558" i="170"/>
  <c r="C2569" i="170"/>
  <c r="E2569" i="170" s="1"/>
  <c r="I2043" i="170"/>
  <c r="I2251" i="170"/>
  <c r="I2254" i="170"/>
  <c r="K2254" i="170" s="1"/>
  <c r="C2333" i="170"/>
  <c r="C2332" i="170"/>
  <c r="C2335" i="170"/>
  <c r="E2335" i="170" s="1"/>
  <c r="C2507" i="170"/>
  <c r="C2508" i="170"/>
  <c r="C2506" i="170"/>
  <c r="C2520" i="170"/>
  <c r="E2520" i="170" s="1"/>
  <c r="E2517" i="170"/>
  <c r="C2525" i="170"/>
  <c r="C2604" i="170"/>
  <c r="C2606" i="170"/>
  <c r="E2606" i="170" s="1"/>
  <c r="P48" i="59"/>
  <c r="P28" i="59"/>
  <c r="P14" i="59"/>
  <c r="P70" i="59"/>
  <c r="AL14" i="161"/>
  <c r="AM14" i="161" s="1"/>
  <c r="P6" i="59"/>
  <c r="O56" i="59"/>
  <c r="P56" i="59" s="1"/>
  <c r="P55" i="59"/>
  <c r="P62" i="59"/>
  <c r="D14" i="137"/>
  <c r="C2234" i="170"/>
  <c r="I2267" i="170"/>
  <c r="I2381" i="170"/>
  <c r="C2492" i="170"/>
  <c r="C2495" i="170"/>
  <c r="E2495" i="170" s="1"/>
  <c r="I2511" i="170"/>
  <c r="K2511" i="170" s="1"/>
  <c r="B99" i="9"/>
  <c r="AT47" i="8"/>
  <c r="AT29" i="8"/>
  <c r="AT35" i="8"/>
  <c r="AT39" i="8"/>
  <c r="AT49" i="8"/>
  <c r="AT68" i="8"/>
  <c r="AT71" i="8"/>
  <c r="AT78" i="8"/>
  <c r="AT79" i="8"/>
  <c r="R33" i="99"/>
  <c r="N67" i="101"/>
  <c r="AT37" i="8"/>
  <c r="AT69" i="8"/>
  <c r="B71" i="9"/>
  <c r="N31" i="99"/>
  <c r="AT81" i="8"/>
  <c r="AT100" i="8"/>
  <c r="AT104" i="8"/>
  <c r="Q72" i="99"/>
  <c r="AT15" i="8"/>
  <c r="AT25" i="8"/>
  <c r="AT148" i="8"/>
  <c r="B47" i="9"/>
  <c r="Q23" i="99"/>
  <c r="B62" i="99"/>
  <c r="M41" i="151"/>
  <c r="AT23" i="8"/>
  <c r="B48" i="99"/>
  <c r="AT17" i="8"/>
  <c r="AT33" i="8"/>
  <c r="AT41" i="8"/>
  <c r="AT27" i="8"/>
  <c r="AT43" i="8"/>
  <c r="AT46" i="8"/>
  <c r="AT48" i="8"/>
  <c r="AT50" i="8"/>
  <c r="AT56" i="8"/>
  <c r="AT70" i="8"/>
  <c r="AT72" i="8"/>
  <c r="AT74" i="8"/>
  <c r="AT94" i="8"/>
  <c r="AT115" i="8"/>
  <c r="AT119" i="8"/>
  <c r="AT122" i="8"/>
  <c r="AT123" i="8"/>
  <c r="AT126" i="8"/>
  <c r="AT127" i="8"/>
  <c r="AT131" i="8"/>
  <c r="AT134" i="8"/>
  <c r="AT135" i="8"/>
  <c r="AT139" i="8"/>
  <c r="AT143" i="8"/>
  <c r="AT150" i="8"/>
  <c r="B39" i="9"/>
  <c r="B63" i="9"/>
  <c r="B81" i="9"/>
  <c r="B83" i="9"/>
  <c r="B27" i="99"/>
  <c r="M43" i="99"/>
  <c r="M45" i="99"/>
  <c r="M81" i="99"/>
  <c r="B86" i="99"/>
  <c r="M87" i="99"/>
  <c r="M26" i="101"/>
  <c r="B86" i="151"/>
  <c r="B132" i="132"/>
  <c r="AT26" i="8"/>
  <c r="AT55" i="8"/>
  <c r="AT109" i="8"/>
  <c r="AT149" i="8"/>
  <c r="B23" i="9"/>
  <c r="B31" i="9"/>
  <c r="B55" i="9"/>
  <c r="B97" i="9"/>
  <c r="B109" i="9"/>
  <c r="B31" i="99"/>
  <c r="M71" i="101"/>
  <c r="B116" i="151"/>
  <c r="B76" i="132"/>
  <c r="L79" i="101"/>
  <c r="L195" i="151"/>
  <c r="X195" i="151" s="1"/>
  <c r="W79" i="101"/>
  <c r="W82" i="101"/>
  <c r="X82" i="101" s="1"/>
  <c r="AA82" i="101" s="1"/>
  <c r="F23" i="154"/>
  <c r="B55" i="132"/>
  <c r="B52" i="9"/>
  <c r="B57" i="151"/>
  <c r="B58" i="9"/>
  <c r="B63" i="151"/>
  <c r="B61" i="132"/>
  <c r="B87" i="151"/>
  <c r="B82" i="9"/>
  <c r="B85" i="132"/>
  <c r="B105" i="132"/>
  <c r="B102" i="9"/>
  <c r="B111" i="151"/>
  <c r="B106" i="9"/>
  <c r="B109" i="132"/>
  <c r="B111" i="132"/>
  <c r="B113" i="151"/>
  <c r="B115" i="132"/>
  <c r="B117" i="151"/>
  <c r="B121" i="151"/>
  <c r="B119" i="132"/>
  <c r="B127" i="132"/>
  <c r="B129" i="151"/>
  <c r="B131" i="132"/>
  <c r="B133" i="151"/>
  <c r="B141" i="132"/>
  <c r="B143" i="151"/>
  <c r="Q31" i="99"/>
  <c r="R84" i="151"/>
  <c r="B23" i="151"/>
  <c r="B23" i="99"/>
  <c r="B23" i="132"/>
  <c r="B25" i="151"/>
  <c r="B20" i="9"/>
  <c r="B31" i="132"/>
  <c r="B33" i="151"/>
  <c r="B30" i="9"/>
  <c r="B35" i="151"/>
  <c r="B33" i="132"/>
  <c r="B39" i="151"/>
  <c r="B34" i="9"/>
  <c r="B37" i="132"/>
  <c r="B41" i="99"/>
  <c r="B36" i="9"/>
  <c r="B39" i="132"/>
  <c r="B41" i="151"/>
  <c r="B41" i="132"/>
  <c r="B38" i="9"/>
  <c r="B43" i="151"/>
  <c r="B42" i="9"/>
  <c r="B45" i="132"/>
  <c r="B49" i="99"/>
  <c r="B44" i="9"/>
  <c r="B47" i="132"/>
  <c r="B49" i="151"/>
  <c r="B51" i="151"/>
  <c r="B46" i="9"/>
  <c r="B49" i="132"/>
  <c r="B48" i="9"/>
  <c r="B51" i="132"/>
  <c r="B55" i="151"/>
  <c r="B55" i="99"/>
  <c r="B50" i="9"/>
  <c r="B53" i="132"/>
  <c r="B70" i="132"/>
  <c r="B72" i="99"/>
  <c r="B72" i="151"/>
  <c r="B78" i="9"/>
  <c r="B81" i="132"/>
  <c r="Q25" i="151"/>
  <c r="M84" i="151"/>
  <c r="M17" i="101"/>
  <c r="O135" i="151"/>
  <c r="O54" i="101"/>
  <c r="AT54" i="8"/>
  <c r="AT58" i="8"/>
  <c r="AT60" i="8"/>
  <c r="AT62" i="8"/>
  <c r="AT64" i="8"/>
  <c r="AT82" i="8"/>
  <c r="AT93" i="8"/>
  <c r="AT95" i="8"/>
  <c r="AT97" i="8"/>
  <c r="AT101" i="8"/>
  <c r="AT103" i="8"/>
  <c r="AT105" i="8"/>
  <c r="AT107" i="8"/>
  <c r="AT111" i="8"/>
  <c r="B11" i="9"/>
  <c r="B13" i="9"/>
  <c r="B15" i="9"/>
  <c r="B17" i="9"/>
  <c r="B22" i="9"/>
  <c r="B29" i="9"/>
  <c r="B69" i="9"/>
  <c r="B100" i="9"/>
  <c r="B111" i="9"/>
  <c r="B116" i="9"/>
  <c r="B132" i="9"/>
  <c r="B26" i="99"/>
  <c r="R31" i="99"/>
  <c r="R37" i="99"/>
  <c r="N48" i="99"/>
  <c r="B61" i="99"/>
  <c r="B64" i="99"/>
  <c r="B71" i="99"/>
  <c r="B76" i="99"/>
  <c r="B83" i="99"/>
  <c r="B85" i="99"/>
  <c r="N39" i="101"/>
  <c r="B16" i="151"/>
  <c r="B36" i="151"/>
  <c r="B38" i="151"/>
  <c r="B61" i="151"/>
  <c r="B64" i="151"/>
  <c r="B74" i="151"/>
  <c r="B76" i="151"/>
  <c r="M88" i="151"/>
  <c r="M100" i="151"/>
  <c r="B106" i="151"/>
  <c r="B147" i="151"/>
  <c r="B25" i="132"/>
  <c r="B32" i="132"/>
  <c r="B43" i="132"/>
  <c r="B72" i="132"/>
  <c r="B98" i="132"/>
  <c r="B106" i="132"/>
  <c r="B129" i="132"/>
  <c r="B99" i="132"/>
  <c r="B96" i="9"/>
  <c r="B101" i="151"/>
  <c r="B117" i="132"/>
  <c r="B114" i="9"/>
  <c r="B123" i="151"/>
  <c r="B118" i="9"/>
  <c r="B121" i="132"/>
  <c r="B139" i="132"/>
  <c r="B141" i="151"/>
  <c r="B140" i="9"/>
  <c r="B145" i="151"/>
  <c r="B147" i="132"/>
  <c r="B144" i="9"/>
  <c r="M155" i="151"/>
  <c r="B32" i="151"/>
  <c r="B30" i="132"/>
  <c r="B42" i="99"/>
  <c r="B40" i="132"/>
  <c r="B42" i="151"/>
  <c r="B48" i="132"/>
  <c r="B50" i="99"/>
  <c r="B50" i="151"/>
  <c r="B79" i="151"/>
  <c r="B74" i="9"/>
  <c r="B77" i="132"/>
  <c r="B80" i="132"/>
  <c r="B82" i="151"/>
  <c r="M21" i="99"/>
  <c r="N47" i="101"/>
  <c r="M134" i="151"/>
  <c r="C1801" i="170" s="1"/>
  <c r="M53" i="101"/>
  <c r="M140" i="151"/>
  <c r="M67" i="101"/>
  <c r="M148" i="151"/>
  <c r="N158" i="151"/>
  <c r="N77" i="101"/>
  <c r="B104" i="9"/>
  <c r="B16" i="99"/>
  <c r="B67" i="99"/>
  <c r="B85" i="151"/>
  <c r="B21" i="132"/>
  <c r="B57" i="132"/>
  <c r="AT12" i="8"/>
  <c r="AT53" i="8"/>
  <c r="AT59" i="8"/>
  <c r="AT61" i="8"/>
  <c r="AT63" i="8"/>
  <c r="AT65" i="8"/>
  <c r="AT83" i="8"/>
  <c r="AT96" i="8"/>
  <c r="AT98" i="8"/>
  <c r="AT102" i="8"/>
  <c r="AT106" i="8"/>
  <c r="AT108" i="8"/>
  <c r="AT110" i="8"/>
  <c r="AT112" i="8"/>
  <c r="AT114" i="8"/>
  <c r="AT116" i="8"/>
  <c r="AT118" i="8"/>
  <c r="AT120" i="8"/>
  <c r="AT124" i="8"/>
  <c r="AT128" i="8"/>
  <c r="AT130" i="8"/>
  <c r="AT132" i="8"/>
  <c r="AT136" i="8"/>
  <c r="AT138" i="8"/>
  <c r="AT140" i="8"/>
  <c r="AT142" i="8"/>
  <c r="AT144" i="8"/>
  <c r="B18" i="9"/>
  <c r="B33" i="9"/>
  <c r="B49" i="9"/>
  <c r="B73" i="9"/>
  <c r="B95" i="9"/>
  <c r="B103" i="9"/>
  <c r="B108" i="9"/>
  <c r="B119" i="9"/>
  <c r="B124" i="9"/>
  <c r="B129" i="9"/>
  <c r="B143" i="9"/>
  <c r="B149" i="9"/>
  <c r="R21" i="99"/>
  <c r="B32" i="99"/>
  <c r="B33" i="99"/>
  <c r="B36" i="99"/>
  <c r="B39" i="99"/>
  <c r="B44" i="99"/>
  <c r="B45" i="99"/>
  <c r="B52" i="99"/>
  <c r="B54" i="99"/>
  <c r="B57" i="99"/>
  <c r="B63" i="99"/>
  <c r="R74" i="99"/>
  <c r="B82" i="99"/>
  <c r="R87" i="99"/>
  <c r="B26" i="151"/>
  <c r="B34" i="151"/>
  <c r="B44" i="151"/>
  <c r="B45" i="151"/>
  <c r="B54" i="151"/>
  <c r="B71" i="151"/>
  <c r="B83" i="151"/>
  <c r="B107" i="151"/>
  <c r="B137" i="151"/>
  <c r="B148" i="151"/>
  <c r="B29" i="132"/>
  <c r="B36" i="132"/>
  <c r="B46" i="132"/>
  <c r="B101" i="132"/>
  <c r="B110" i="132"/>
  <c r="B59" i="99"/>
  <c r="B54" i="9"/>
  <c r="B59" i="151"/>
  <c r="B56" i="9"/>
  <c r="B59" i="132"/>
  <c r="B62" i="9"/>
  <c r="B67" i="151"/>
  <c r="B80" i="9"/>
  <c r="B83" i="132"/>
  <c r="B97" i="132"/>
  <c r="B99" i="151"/>
  <c r="B109" i="151"/>
  <c r="B107" i="132"/>
  <c r="B127" i="151"/>
  <c r="B122" i="9"/>
  <c r="B125" i="132"/>
  <c r="B126" i="9"/>
  <c r="B131" i="151"/>
  <c r="B134" i="9"/>
  <c r="B139" i="151"/>
  <c r="B137" i="132"/>
  <c r="N41" i="151"/>
  <c r="B18" i="151"/>
  <c r="B16" i="132"/>
  <c r="B18" i="132"/>
  <c r="B20" i="151"/>
  <c r="B24" i="151"/>
  <c r="B22" i="132"/>
  <c r="B26" i="132"/>
  <c r="B28" i="151"/>
  <c r="B38" i="132"/>
  <c r="B40" i="151"/>
  <c r="B44" i="132"/>
  <c r="B46" i="151"/>
  <c r="B58" i="132"/>
  <c r="B60" i="151"/>
  <c r="B60" i="99"/>
  <c r="B66" i="99"/>
  <c r="B64" i="132"/>
  <c r="B66" i="151"/>
  <c r="B68" i="151"/>
  <c r="B66" i="132"/>
  <c r="B102" i="132"/>
  <c r="B104" i="151"/>
  <c r="B112" i="132"/>
  <c r="B114" i="151"/>
  <c r="B118" i="151"/>
  <c r="B116" i="132"/>
  <c r="B118" i="132"/>
  <c r="B120" i="151"/>
  <c r="B124" i="132"/>
  <c r="B126" i="151"/>
  <c r="B126" i="132"/>
  <c r="B128" i="151"/>
  <c r="B130" i="151"/>
  <c r="B128" i="132"/>
  <c r="B134" i="132"/>
  <c r="B136" i="151"/>
  <c r="B138" i="132"/>
  <c r="B140" i="151"/>
  <c r="B140" i="132"/>
  <c r="B137" i="9"/>
  <c r="B142" i="151"/>
  <c r="B146" i="151"/>
  <c r="B144" i="132"/>
  <c r="B148" i="9"/>
  <c r="B153" i="151"/>
  <c r="B151" i="132"/>
  <c r="R92" i="99"/>
  <c r="R92" i="151"/>
  <c r="M106" i="151"/>
  <c r="N121" i="151"/>
  <c r="B136" i="9"/>
  <c r="N54" i="99"/>
  <c r="AT14" i="8"/>
  <c r="AT16" i="8"/>
  <c r="AT20" i="8"/>
  <c r="AT22" i="8"/>
  <c r="AT24" i="8"/>
  <c r="AT28" i="8"/>
  <c r="AT30" i="8"/>
  <c r="AT32" i="8"/>
  <c r="AT34" i="8"/>
  <c r="AT36" i="8"/>
  <c r="AT38" i="8"/>
  <c r="AT40" i="8"/>
  <c r="AT42" i="8"/>
  <c r="AT44" i="8"/>
  <c r="B19" i="9"/>
  <c r="B21" i="9"/>
  <c r="B24" i="9"/>
  <c r="B26" i="9"/>
  <c r="B28" i="9"/>
  <c r="B35" i="9"/>
  <c r="B43" i="9"/>
  <c r="B59" i="9"/>
  <c r="B67" i="9"/>
  <c r="B77" i="9"/>
  <c r="B94" i="9"/>
  <c r="B98" i="9"/>
  <c r="B101" i="9"/>
  <c r="B107" i="9"/>
  <c r="B112" i="9"/>
  <c r="B117" i="9"/>
  <c r="B123" i="9"/>
  <c r="B128" i="9"/>
  <c r="B138" i="9"/>
  <c r="B142" i="9"/>
  <c r="B147" i="9"/>
  <c r="M18" i="99"/>
  <c r="Q21" i="99"/>
  <c r="M22" i="99"/>
  <c r="B25" i="99"/>
  <c r="B29" i="99"/>
  <c r="M33" i="99"/>
  <c r="B46" i="99"/>
  <c r="Q47" i="99"/>
  <c r="N50" i="99"/>
  <c r="B53" i="99"/>
  <c r="B78" i="99"/>
  <c r="Q79" i="99"/>
  <c r="B87" i="99"/>
  <c r="M29" i="101"/>
  <c r="M56" i="101"/>
  <c r="N63" i="101"/>
  <c r="B29" i="151"/>
  <c r="B47" i="151"/>
  <c r="R81" i="151"/>
  <c r="B102" i="151"/>
  <c r="B149" i="151"/>
  <c r="B69" i="132"/>
  <c r="B122" i="132"/>
  <c r="N71" i="101"/>
  <c r="R62" i="151"/>
  <c r="O131" i="151"/>
  <c r="AI16" i="163"/>
  <c r="AI19" i="163"/>
  <c r="AI12" i="163"/>
  <c r="E12" i="158"/>
  <c r="E17" i="158" s="1"/>
  <c r="D17" i="79" s="1"/>
  <c r="C17" i="158"/>
  <c r="F15" i="153"/>
  <c r="J178" i="132"/>
  <c r="G16" i="136"/>
  <c r="G34" i="154" s="1"/>
  <c r="H16" i="136"/>
  <c r="I17" i="136"/>
  <c r="T163" i="151"/>
  <c r="N194" i="151" s="1"/>
  <c r="Q30" i="151"/>
  <c r="B1781" i="170"/>
  <c r="D130" i="132"/>
  <c r="P132" i="151"/>
  <c r="K132" i="151"/>
  <c r="Q132" i="151"/>
  <c r="M132" i="151"/>
  <c r="R132" i="151"/>
  <c r="J2603" i="170"/>
  <c r="J2602" i="170"/>
  <c r="J2601" i="170"/>
  <c r="J2590" i="170"/>
  <c r="J2589" i="170"/>
  <c r="J2588" i="170"/>
  <c r="J2587" i="170"/>
  <c r="J2586" i="170"/>
  <c r="D2574" i="170"/>
  <c r="D2573" i="170"/>
  <c r="D2541" i="170"/>
  <c r="J2524" i="170"/>
  <c r="J2522" i="170"/>
  <c r="J2508" i="170"/>
  <c r="D2506" i="170"/>
  <c r="E2506" i="170" s="1"/>
  <c r="D2492" i="170"/>
  <c r="E2492" i="170" s="1"/>
  <c r="J2489" i="170"/>
  <c r="K2489" i="170" s="1"/>
  <c r="J2477" i="170"/>
  <c r="J2473" i="170"/>
  <c r="K2473" i="170" s="1"/>
  <c r="J2461" i="170"/>
  <c r="D2457" i="170"/>
  <c r="D2445" i="170"/>
  <c r="J2442" i="170"/>
  <c r="J2428" i="170"/>
  <c r="K2428" i="170" s="1"/>
  <c r="D2426" i="170"/>
  <c r="J2413" i="170"/>
  <c r="D2409" i="170"/>
  <c r="D2397" i="170"/>
  <c r="E2397" i="170" s="1"/>
  <c r="D2393" i="170"/>
  <c r="D2381" i="170"/>
  <c r="J2378" i="170"/>
  <c r="J2364" i="170"/>
  <c r="K2364" i="170" s="1"/>
  <c r="D2362" i="170"/>
  <c r="D2348" i="170"/>
  <c r="J2345" i="170"/>
  <c r="K2345" i="170" s="1"/>
  <c r="J2333" i="170"/>
  <c r="J2329" i="170"/>
  <c r="J2317" i="170"/>
  <c r="K2317" i="170" s="1"/>
  <c r="J2313" i="170"/>
  <c r="J2301" i="170"/>
  <c r="K2301" i="170" s="1"/>
  <c r="D2297" i="170"/>
  <c r="J2284" i="170"/>
  <c r="J2282" i="170"/>
  <c r="J2268" i="170"/>
  <c r="J2266" i="170"/>
  <c r="K2266" i="170" s="1"/>
  <c r="J2252" i="170"/>
  <c r="J2250" i="170"/>
  <c r="J2236" i="170"/>
  <c r="K2236" i="170" s="1"/>
  <c r="D2234" i="170"/>
  <c r="E2234" i="170" s="1"/>
  <c r="D2220" i="170"/>
  <c r="J2605" i="170"/>
  <c r="J2604" i="170"/>
  <c r="D2571" i="170"/>
  <c r="D2570" i="170"/>
  <c r="D2558" i="170"/>
  <c r="D2557" i="170"/>
  <c r="J2555" i="170"/>
  <c r="J2554" i="170"/>
  <c r="J2537" i="170"/>
  <c r="D2524" i="170"/>
  <c r="D2522" i="170"/>
  <c r="D2508" i="170"/>
  <c r="E2508" i="170" s="1"/>
  <c r="J2505" i="170"/>
  <c r="J2493" i="170"/>
  <c r="K2493" i="170" s="1"/>
  <c r="D2489" i="170"/>
  <c r="D2477" i="170"/>
  <c r="E2477" i="170" s="1"/>
  <c r="D2473" i="170"/>
  <c r="D2461" i="170"/>
  <c r="J2458" i="170"/>
  <c r="J2444" i="170"/>
  <c r="D2442" i="170"/>
  <c r="D2428" i="170"/>
  <c r="E2428" i="170" s="1"/>
  <c r="J2425" i="170"/>
  <c r="D2413" i="170"/>
  <c r="J2410" i="170"/>
  <c r="J2396" i="170"/>
  <c r="K2396" i="170" s="1"/>
  <c r="J2394" i="170"/>
  <c r="J2380" i="170"/>
  <c r="D2378" i="170"/>
  <c r="D2364" i="170"/>
  <c r="E2364" i="170" s="1"/>
  <c r="J2361" i="170"/>
  <c r="J2349" i="170"/>
  <c r="K2349" i="170" s="1"/>
  <c r="D2345" i="170"/>
  <c r="D2333" i="170"/>
  <c r="E2333" i="170" s="1"/>
  <c r="D2329" i="170"/>
  <c r="D2317" i="170"/>
  <c r="E2317" i="170" s="1"/>
  <c r="D2313" i="170"/>
  <c r="D2301" i="170"/>
  <c r="J2298" i="170"/>
  <c r="D2284" i="170"/>
  <c r="D2282" i="170"/>
  <c r="D2268" i="170"/>
  <c r="D2266" i="170"/>
  <c r="D2252" i="170"/>
  <c r="D2250" i="170"/>
  <c r="D2236" i="170"/>
  <c r="J2233" i="170"/>
  <c r="J2221" i="170"/>
  <c r="D2217" i="170"/>
  <c r="D2604" i="170"/>
  <c r="D2602" i="170"/>
  <c r="J2574" i="170"/>
  <c r="J2558" i="170"/>
  <c r="D2554" i="170"/>
  <c r="E2554" i="170" s="1"/>
  <c r="J2541" i="170"/>
  <c r="D2540" i="170"/>
  <c r="E2540" i="170" s="1"/>
  <c r="D2538" i="170"/>
  <c r="J2521" i="170"/>
  <c r="D2509" i="170"/>
  <c r="E2509" i="170" s="1"/>
  <c r="D2505" i="170"/>
  <c r="J2490" i="170"/>
  <c r="J2460" i="170"/>
  <c r="J2445" i="170"/>
  <c r="K2445" i="170" s="1"/>
  <c r="D2441" i="170"/>
  <c r="J2409" i="170"/>
  <c r="K2409" i="170" s="1"/>
  <c r="J2381" i="170"/>
  <c r="D2377" i="170"/>
  <c r="E2377" i="170" s="1"/>
  <c r="J2365" i="170"/>
  <c r="J2362" i="170"/>
  <c r="K2362" i="170" s="1"/>
  <c r="J2346" i="170"/>
  <c r="D2332" i="170"/>
  <c r="E2332" i="170" s="1"/>
  <c r="D2330" i="170"/>
  <c r="J2297" i="170"/>
  <c r="K2297" i="170" s="1"/>
  <c r="D2285" i="170"/>
  <c r="J2265" i="170"/>
  <c r="D2249" i="170"/>
  <c r="J2237" i="170"/>
  <c r="D2233" i="170"/>
  <c r="D2218" i="170"/>
  <c r="D2205" i="170"/>
  <c r="D2201" i="170"/>
  <c r="E2201" i="170" s="1"/>
  <c r="D2189" i="170"/>
  <c r="D2185" i="170"/>
  <c r="J2172" i="170"/>
  <c r="K2172" i="170" s="1"/>
  <c r="J2170" i="170"/>
  <c r="K2170" i="170" s="1"/>
  <c r="J2156" i="170"/>
  <c r="K2156" i="170" s="1"/>
  <c r="J2154" i="170"/>
  <c r="K2154" i="170" s="1"/>
  <c r="J2140" i="170"/>
  <c r="K2140" i="170" s="1"/>
  <c r="D2138" i="170"/>
  <c r="E2138" i="170" s="1"/>
  <c r="D2124" i="170"/>
  <c r="D2603" i="170"/>
  <c r="D2601" i="170"/>
  <c r="J2573" i="170"/>
  <c r="J2557" i="170"/>
  <c r="D2555" i="170"/>
  <c r="J2525" i="170"/>
  <c r="D2493" i="170"/>
  <c r="D2476" i="170"/>
  <c r="E2476" i="170" s="1"/>
  <c r="D2474" i="170"/>
  <c r="E2474" i="170" s="1"/>
  <c r="D2458" i="170"/>
  <c r="J2429" i="170"/>
  <c r="J2426" i="170"/>
  <c r="K2426" i="170" s="1"/>
  <c r="D2412" i="170"/>
  <c r="D2396" i="170"/>
  <c r="D2394" i="170"/>
  <c r="D2349" i="170"/>
  <c r="J2316" i="170"/>
  <c r="J2314" i="170"/>
  <c r="D2300" i="170"/>
  <c r="D2281" i="170"/>
  <c r="J2269" i="170"/>
  <c r="D2253" i="170"/>
  <c r="J2220" i="170"/>
  <c r="K2220" i="170" s="1"/>
  <c r="J2217" i="170"/>
  <c r="D2204" i="170"/>
  <c r="D2202" i="170"/>
  <c r="D2188" i="170"/>
  <c r="E2188" i="170" s="1"/>
  <c r="D2186" i="170"/>
  <c r="J2173" i="170"/>
  <c r="K2173" i="170" s="1"/>
  <c r="J2169" i="170"/>
  <c r="K2169" i="170" s="1"/>
  <c r="J2157" i="170"/>
  <c r="K2157" i="170" s="1"/>
  <c r="J2153" i="170"/>
  <c r="K2153" i="170" s="1"/>
  <c r="J2141" i="170"/>
  <c r="K2141" i="170" s="1"/>
  <c r="D2137" i="170"/>
  <c r="D2125" i="170"/>
  <c r="J2122" i="170"/>
  <c r="J2108" i="170"/>
  <c r="J2106" i="170"/>
  <c r="D2092" i="170"/>
  <c r="J2089" i="170"/>
  <c r="D2076" i="170"/>
  <c r="E2076" i="170" s="1"/>
  <c r="D2074" i="170"/>
  <c r="J2060" i="170"/>
  <c r="J2058" i="170"/>
  <c r="K2058" i="170" s="1"/>
  <c r="D2040" i="170"/>
  <c r="D2039" i="170"/>
  <c r="J2026" i="170"/>
  <c r="J2025" i="170"/>
  <c r="D2009" i="170"/>
  <c r="D2006" i="170"/>
  <c r="J1992" i="170"/>
  <c r="J1989" i="170"/>
  <c r="D1974" i="170"/>
  <c r="D1971" i="170"/>
  <c r="D1957" i="170"/>
  <c r="D2590" i="170"/>
  <c r="D2586" i="170"/>
  <c r="J2540" i="170"/>
  <c r="D2537" i="170"/>
  <c r="D2525" i="170"/>
  <c r="E2525" i="170" s="1"/>
  <c r="J2474" i="170"/>
  <c r="D2429" i="170"/>
  <c r="E2429" i="170" s="1"/>
  <c r="D2425" i="170"/>
  <c r="J2393" i="170"/>
  <c r="K2393" i="170" s="1"/>
  <c r="D2380" i="170"/>
  <c r="D2365" i="170"/>
  <c r="D2363" i="170"/>
  <c r="D2361" i="170"/>
  <c r="D2314" i="170"/>
  <c r="E2314" i="170" s="1"/>
  <c r="J2201" i="170"/>
  <c r="J2189" i="170"/>
  <c r="J2138" i="170"/>
  <c r="D2109" i="170"/>
  <c r="J2090" i="170"/>
  <c r="D2073" i="170"/>
  <c r="E2073" i="170" s="1"/>
  <c r="D2058" i="170"/>
  <c r="D2057" i="170"/>
  <c r="J2042" i="170"/>
  <c r="D2025" i="170"/>
  <c r="J2023" i="170"/>
  <c r="J2008" i="170"/>
  <c r="D2005" i="170"/>
  <c r="J1991" i="170"/>
  <c r="D1988" i="170"/>
  <c r="J1972" i="170"/>
  <c r="D1954" i="170"/>
  <c r="D1941" i="170"/>
  <c r="D1938" i="170"/>
  <c r="J1924" i="170"/>
  <c r="J1921" i="170"/>
  <c r="D1920" i="170"/>
  <c r="D1906" i="170"/>
  <c r="D1903" i="170"/>
  <c r="D1887" i="170"/>
  <c r="D1873" i="170"/>
  <c r="D1870" i="170"/>
  <c r="D1856" i="170"/>
  <c r="D1853" i="170"/>
  <c r="D1838" i="170"/>
  <c r="D1835" i="170"/>
  <c r="D1821" i="170"/>
  <c r="D1819" i="170"/>
  <c r="J1805" i="170"/>
  <c r="J1802" i="170"/>
  <c r="D1787" i="170"/>
  <c r="D1784" i="170"/>
  <c r="D1770" i="170"/>
  <c r="D1767" i="170"/>
  <c r="J1751" i="170"/>
  <c r="D1736" i="170"/>
  <c r="D1733" i="170"/>
  <c r="D1720" i="170"/>
  <c r="D1717" i="170"/>
  <c r="D1702" i="170"/>
  <c r="D1699" i="170"/>
  <c r="D1685" i="170"/>
  <c r="D1683" i="170"/>
  <c r="J1669" i="170"/>
  <c r="J1666" i="170"/>
  <c r="D1665" i="170"/>
  <c r="J1651" i="170"/>
  <c r="J1648" i="170"/>
  <c r="J1634" i="170"/>
  <c r="D1632" i="170"/>
  <c r="D1618" i="170"/>
  <c r="D1615" i="170"/>
  <c r="J1600" i="170"/>
  <c r="D1598" i="170"/>
  <c r="J1584" i="170"/>
  <c r="D1583" i="170"/>
  <c r="D1580" i="170"/>
  <c r="J1566" i="170"/>
  <c r="J1563" i="170"/>
  <c r="D1550" i="170"/>
  <c r="D1547" i="170"/>
  <c r="D2587" i="170"/>
  <c r="D2521" i="170"/>
  <c r="D2460" i="170"/>
  <c r="J2377" i="170"/>
  <c r="J2332" i="170"/>
  <c r="J2285" i="170"/>
  <c r="D2237" i="170"/>
  <c r="J2234" i="170"/>
  <c r="J2188" i="170"/>
  <c r="J2186" i="170"/>
  <c r="D2157" i="170"/>
  <c r="E2157" i="170" s="1"/>
  <c r="D2154" i="170"/>
  <c r="D2153" i="170"/>
  <c r="J2137" i="170"/>
  <c r="J2121" i="170"/>
  <c r="K2121" i="170" s="1"/>
  <c r="D2106" i="170"/>
  <c r="D2105" i="170"/>
  <c r="D2093" i="170"/>
  <c r="D2089" i="170"/>
  <c r="J2077" i="170"/>
  <c r="J2076" i="170"/>
  <c r="J2061" i="170"/>
  <c r="D2043" i="170"/>
  <c r="J2041" i="170"/>
  <c r="K2041" i="170" s="1"/>
  <c r="J2022" i="170"/>
  <c r="J2009" i="170"/>
  <c r="J2005" i="170"/>
  <c r="D1992" i="170"/>
  <c r="J1988" i="170"/>
  <c r="J1974" i="170"/>
  <c r="J1957" i="170"/>
  <c r="J1954" i="170"/>
  <c r="J1938" i="170"/>
  <c r="D1923" i="170"/>
  <c r="J1906" i="170"/>
  <c r="J1903" i="170"/>
  <c r="J1889" i="170"/>
  <c r="J1887" i="170"/>
  <c r="J1873" i="170"/>
  <c r="J1870" i="170"/>
  <c r="J1856" i="170"/>
  <c r="J1853" i="170"/>
  <c r="J1838" i="170"/>
  <c r="J1835" i="170"/>
  <c r="J1821" i="170"/>
  <c r="J1819" i="170"/>
  <c r="D1804" i="170"/>
  <c r="D1801" i="170"/>
  <c r="J1787" i="170"/>
  <c r="J1784" i="170"/>
  <c r="J1770" i="170"/>
  <c r="J1767" i="170"/>
  <c r="D1754" i="170"/>
  <c r="D1750" i="170"/>
  <c r="J1736" i="170"/>
  <c r="J1733" i="170"/>
  <c r="J1720" i="170"/>
  <c r="J1717" i="170"/>
  <c r="J1702" i="170"/>
  <c r="J1699" i="170"/>
  <c r="J1685" i="170"/>
  <c r="J1683" i="170"/>
  <c r="D1668" i="170"/>
  <c r="J1665" i="170"/>
  <c r="D1652" i="170"/>
  <c r="D1649" i="170"/>
  <c r="D1635" i="170"/>
  <c r="J1632" i="170"/>
  <c r="J1618" i="170"/>
  <c r="J1615" i="170"/>
  <c r="J1598" i="170"/>
  <c r="J1583" i="170"/>
  <c r="J1580" i="170"/>
  <c r="D1567" i="170"/>
  <c r="D1564" i="170"/>
  <c r="J1550" i="170"/>
  <c r="J1547" i="170"/>
  <c r="J1533" i="170"/>
  <c r="D1529" i="170"/>
  <c r="J1515" i="170"/>
  <c r="J1513" i="170"/>
  <c r="D1498" i="170"/>
  <c r="D1496" i="170"/>
  <c r="D1479" i="170"/>
  <c r="E1479" i="170" s="1"/>
  <c r="D1478" i="170"/>
  <c r="D1477" i="170"/>
  <c r="D1476" i="170"/>
  <c r="J1462" i="170"/>
  <c r="K1462" i="170" s="1"/>
  <c r="J1460" i="170"/>
  <c r="K1460" i="170" s="1"/>
  <c r="J1459" i="170"/>
  <c r="K1459" i="170" s="1"/>
  <c r="D1443" i="170"/>
  <c r="D1440" i="170"/>
  <c r="E1440" i="170" s="1"/>
  <c r="J1427" i="170"/>
  <c r="K1427" i="170" s="1"/>
  <c r="D1423" i="170"/>
  <c r="J2571" i="170"/>
  <c r="K2571" i="170" s="1"/>
  <c r="J2457" i="170"/>
  <c r="K2457" i="170" s="1"/>
  <c r="J2441" i="170"/>
  <c r="D2346" i="170"/>
  <c r="D2298" i="170"/>
  <c r="D2269" i="170"/>
  <c r="E2269" i="170" s="1"/>
  <c r="D2265" i="170"/>
  <c r="J2253" i="170"/>
  <c r="J2202" i="170"/>
  <c r="D2156" i="170"/>
  <c r="D2140" i="170"/>
  <c r="J2125" i="170"/>
  <c r="D2121" i="170"/>
  <c r="J2092" i="170"/>
  <c r="K2092" i="170" s="1"/>
  <c r="J2074" i="170"/>
  <c r="K2074" i="170" s="1"/>
  <c r="J2073" i="170"/>
  <c r="J2043" i="170"/>
  <c r="J2039" i="170"/>
  <c r="D2022" i="170"/>
  <c r="D1975" i="170"/>
  <c r="D1958" i="170"/>
  <c r="D1940" i="170"/>
  <c r="D1924" i="170"/>
  <c r="D1907" i="170"/>
  <c r="D1889" i="170"/>
  <c r="D1869" i="170"/>
  <c r="J1852" i="170"/>
  <c r="J1839" i="170"/>
  <c r="D1822" i="170"/>
  <c r="D1818" i="170"/>
  <c r="D1802" i="170"/>
  <c r="J1788" i="170"/>
  <c r="D1771" i="170"/>
  <c r="J1753" i="170"/>
  <c r="D1737" i="170"/>
  <c r="D1719" i="170"/>
  <c r="D1700" i="170"/>
  <c r="J1686" i="170"/>
  <c r="J1682" i="170"/>
  <c r="J1668" i="170"/>
  <c r="D1651" i="170"/>
  <c r="J1631" i="170"/>
  <c r="D1617" i="170"/>
  <c r="D1584" i="170"/>
  <c r="D1566" i="170"/>
  <c r="J1546" i="170"/>
  <c r="J1532" i="170"/>
  <c r="J1529" i="170"/>
  <c r="J1516" i="170"/>
  <c r="D1495" i="170"/>
  <c r="J1476" i="170"/>
  <c r="D1462" i="170"/>
  <c r="D1461" i="170"/>
  <c r="D1459" i="170"/>
  <c r="D1458" i="170"/>
  <c r="E1458" i="170" s="1"/>
  <c r="D1444" i="170"/>
  <c r="E1444" i="170" s="1"/>
  <c r="D1441" i="170"/>
  <c r="E1441" i="170" s="1"/>
  <c r="J1424" i="170"/>
  <c r="J1423" i="170"/>
  <c r="K1423" i="170" s="1"/>
  <c r="J1410" i="170"/>
  <c r="K1410" i="170" s="1"/>
  <c r="D1409" i="170"/>
  <c r="D1406" i="170"/>
  <c r="J1393" i="170"/>
  <c r="K1393" i="170" s="1"/>
  <c r="J1389" i="170"/>
  <c r="D1375" i="170"/>
  <c r="E1375" i="170" s="1"/>
  <c r="D1373" i="170"/>
  <c r="J1358" i="170"/>
  <c r="J1356" i="170"/>
  <c r="K1356" i="170" s="1"/>
  <c r="D1342" i="170"/>
  <c r="E1342" i="170" s="1"/>
  <c r="D1338" i="170"/>
  <c r="J1325" i="170"/>
  <c r="K1325" i="170" s="1"/>
  <c r="J1321" i="170"/>
  <c r="K1321" i="170" s="1"/>
  <c r="D1307" i="170"/>
  <c r="D1305" i="170"/>
  <c r="E1305" i="170" s="1"/>
  <c r="J1290" i="170"/>
  <c r="J1288" i="170"/>
  <c r="D1274" i="170"/>
  <c r="E1274" i="170" s="1"/>
  <c r="D1270" i="170"/>
  <c r="J1257" i="170"/>
  <c r="J1253" i="170"/>
  <c r="D1239" i="170"/>
  <c r="D1237" i="170"/>
  <c r="E1237" i="170" s="1"/>
  <c r="J1222" i="170"/>
  <c r="J1220" i="170"/>
  <c r="D1206" i="170"/>
  <c r="D1202" i="170"/>
  <c r="J1189" i="170"/>
  <c r="K1189" i="170" s="1"/>
  <c r="J1185" i="170"/>
  <c r="D1171" i="170"/>
  <c r="E1171" i="170" s="1"/>
  <c r="D1169" i="170"/>
  <c r="E1169" i="170" s="1"/>
  <c r="J1154" i="170"/>
  <c r="J1152" i="170"/>
  <c r="D1138" i="170"/>
  <c r="E1138" i="170" s="1"/>
  <c r="D1134" i="170"/>
  <c r="J1121" i="170"/>
  <c r="K1121" i="170" s="1"/>
  <c r="J1117" i="170"/>
  <c r="K1117" i="170" s="1"/>
  <c r="D1103" i="170"/>
  <c r="E1103" i="170" s="1"/>
  <c r="D1101" i="170"/>
  <c r="E1101" i="170" s="1"/>
  <c r="J1086" i="170"/>
  <c r="J1084" i="170"/>
  <c r="K1084" i="170" s="1"/>
  <c r="D1070" i="170"/>
  <c r="E1070" i="170" s="1"/>
  <c r="D1066" i="170"/>
  <c r="D1053" i="170"/>
  <c r="E1053" i="170" s="1"/>
  <c r="D1049" i="170"/>
  <c r="J1036" i="170"/>
  <c r="K1036" i="170" s="1"/>
  <c r="D2588" i="170"/>
  <c r="J2538" i="170"/>
  <c r="J2509" i="170"/>
  <c r="J2506" i="170"/>
  <c r="J2492" i="170"/>
  <c r="K2492" i="170" s="1"/>
  <c r="J2476" i="170"/>
  <c r="D2444" i="170"/>
  <c r="J2330" i="170"/>
  <c r="J2300" i="170"/>
  <c r="J2281" i="170"/>
  <c r="J2249" i="170"/>
  <c r="D2221" i="170"/>
  <c r="J2205" i="170"/>
  <c r="D2172" i="170"/>
  <c r="E2172" i="170" s="1"/>
  <c r="D2077" i="170"/>
  <c r="E2077" i="170" s="1"/>
  <c r="D2061" i="170"/>
  <c r="E2061" i="170" s="1"/>
  <c r="J2057" i="170"/>
  <c r="D2042" i="170"/>
  <c r="J2006" i="170"/>
  <c r="J1975" i="170"/>
  <c r="J1958" i="170"/>
  <c r="J1940" i="170"/>
  <c r="J1920" i="170"/>
  <c r="J1907" i="170"/>
  <c r="D1890" i="170"/>
  <c r="D1886" i="170"/>
  <c r="J1869" i="170"/>
  <c r="D1855" i="170"/>
  <c r="D1836" i="170"/>
  <c r="J1822" i="170"/>
  <c r="J1818" i="170"/>
  <c r="J1804" i="170"/>
  <c r="D1785" i="170"/>
  <c r="J1771" i="170"/>
  <c r="J1754" i="170"/>
  <c r="J1750" i="170"/>
  <c r="J1737" i="170"/>
  <c r="J1719" i="170"/>
  <c r="J1700" i="170"/>
  <c r="D1669" i="170"/>
  <c r="J1652" i="170"/>
  <c r="J1617" i="170"/>
  <c r="D1600" i="170"/>
  <c r="D1581" i="170"/>
  <c r="J1567" i="170"/>
  <c r="D1549" i="170"/>
  <c r="D1533" i="170"/>
  <c r="D1530" i="170"/>
  <c r="D1512" i="170"/>
  <c r="J1498" i="170"/>
  <c r="J1495" i="170"/>
  <c r="J1480" i="170"/>
  <c r="J1442" i="170"/>
  <c r="D1427" i="170"/>
  <c r="D1426" i="170"/>
  <c r="J1407" i="170"/>
  <c r="D1393" i="170"/>
  <c r="E1393" i="170" s="1"/>
  <c r="D1389" i="170"/>
  <c r="J1376" i="170"/>
  <c r="J1372" i="170"/>
  <c r="D1358" i="170"/>
  <c r="D1356" i="170"/>
  <c r="J1341" i="170"/>
  <c r="K1341" i="170" s="1"/>
  <c r="J1339" i="170"/>
  <c r="D1325" i="170"/>
  <c r="E1325" i="170" s="1"/>
  <c r="D1321" i="170"/>
  <c r="J1308" i="170"/>
  <c r="J1304" i="170"/>
  <c r="D1290" i="170"/>
  <c r="D1288" i="170"/>
  <c r="J1273" i="170"/>
  <c r="K1273" i="170" s="1"/>
  <c r="J1271" i="170"/>
  <c r="D1257" i="170"/>
  <c r="E1257" i="170" s="1"/>
  <c r="D1253" i="170"/>
  <c r="J1240" i="170"/>
  <c r="J1236" i="170"/>
  <c r="D1222" i="170"/>
  <c r="D1220" i="170"/>
  <c r="J1205" i="170"/>
  <c r="K1205" i="170" s="1"/>
  <c r="J1203" i="170"/>
  <c r="D1189" i="170"/>
  <c r="E1189" i="170" s="1"/>
  <c r="D1185" i="170"/>
  <c r="J1172" i="170"/>
  <c r="J1168" i="170"/>
  <c r="D1154" i="170"/>
  <c r="D1152" i="170"/>
  <c r="J1137" i="170"/>
  <c r="K1137" i="170" s="1"/>
  <c r="J1135" i="170"/>
  <c r="D1121" i="170"/>
  <c r="E1121" i="170" s="1"/>
  <c r="D1117" i="170"/>
  <c r="J1104" i="170"/>
  <c r="J1100" i="170"/>
  <c r="D1086" i="170"/>
  <c r="D1084" i="170"/>
  <c r="J1069" i="170"/>
  <c r="K1069" i="170" s="1"/>
  <c r="J1067" i="170"/>
  <c r="J1052" i="170"/>
  <c r="K1052" i="170" s="1"/>
  <c r="J1050" i="170"/>
  <c r="D1036" i="170"/>
  <c r="D1032" i="170"/>
  <c r="D1019" i="170"/>
  <c r="E1019" i="170" s="1"/>
  <c r="D1015" i="170"/>
  <c r="E1015" i="170" s="1"/>
  <c r="J1002" i="170"/>
  <c r="J998" i="170"/>
  <c r="J985" i="170"/>
  <c r="J981" i="170"/>
  <c r="K981" i="170" s="1"/>
  <c r="D967" i="170"/>
  <c r="E967" i="170" s="1"/>
  <c r="D965" i="170"/>
  <c r="J950" i="170"/>
  <c r="J948" i="170"/>
  <c r="D934" i="170"/>
  <c r="E934" i="170" s="1"/>
  <c r="J2348" i="170"/>
  <c r="K2348" i="170" s="1"/>
  <c r="J2218" i="170"/>
  <c r="J2109" i="170"/>
  <c r="D2090" i="170"/>
  <c r="E2090" i="170" s="1"/>
  <c r="D2041" i="170"/>
  <c r="D2023" i="170"/>
  <c r="D2008" i="170"/>
  <c r="D1989" i="170"/>
  <c r="J1971" i="170"/>
  <c r="D1955" i="170"/>
  <c r="J1941" i="170"/>
  <c r="J1904" i="170"/>
  <c r="D1852" i="170"/>
  <c r="D1839" i="170"/>
  <c r="D1805" i="170"/>
  <c r="J1768" i="170"/>
  <c r="D1716" i="170"/>
  <c r="D1703" i="170"/>
  <c r="D1666" i="170"/>
  <c r="J1635" i="170"/>
  <c r="J1597" i="170"/>
  <c r="D1563" i="170"/>
  <c r="D1546" i="170"/>
  <c r="D1532" i="170"/>
  <c r="D1516" i="170"/>
  <c r="J1499" i="170"/>
  <c r="D1480" i="170"/>
  <c r="J1478" i="170"/>
  <c r="J1458" i="170"/>
  <c r="K1458" i="170" s="1"/>
  <c r="J1443" i="170"/>
  <c r="J1426" i="170"/>
  <c r="D1410" i="170"/>
  <c r="D1407" i="170"/>
  <c r="J1392" i="170"/>
  <c r="K1392" i="170" s="1"/>
  <c r="J1359" i="170"/>
  <c r="J1355" i="170"/>
  <c r="D1339" i="170"/>
  <c r="J1324" i="170"/>
  <c r="K1324" i="170" s="1"/>
  <c r="J1291" i="170"/>
  <c r="J1287" i="170"/>
  <c r="D1271" i="170"/>
  <c r="J1256" i="170"/>
  <c r="K1256" i="170" s="1"/>
  <c r="J1223" i="170"/>
  <c r="J1219" i="170"/>
  <c r="D1203" i="170"/>
  <c r="J1188" i="170"/>
  <c r="K1188" i="170" s="1"/>
  <c r="J1155" i="170"/>
  <c r="J1151" i="170"/>
  <c r="D1135" i="170"/>
  <c r="J1120" i="170"/>
  <c r="K1120" i="170" s="1"/>
  <c r="J1087" i="170"/>
  <c r="J1083" i="170"/>
  <c r="D1067" i="170"/>
  <c r="J1053" i="170"/>
  <c r="J1049" i="170"/>
  <c r="K1049" i="170" s="1"/>
  <c r="D1035" i="170"/>
  <c r="D1033" i="170"/>
  <c r="E1033" i="170" s="1"/>
  <c r="J1018" i="170"/>
  <c r="K1018" i="170" s="1"/>
  <c r="D1002" i="170"/>
  <c r="E1002" i="170" s="1"/>
  <c r="D1001" i="170"/>
  <c r="E1001" i="170" s="1"/>
  <c r="J982" i="170"/>
  <c r="J965" i="170"/>
  <c r="D950" i="170"/>
  <c r="J933" i="170"/>
  <c r="D917" i="170"/>
  <c r="D913" i="170"/>
  <c r="J900" i="170"/>
  <c r="K900" i="170" s="1"/>
  <c r="J896" i="170"/>
  <c r="K896" i="170" s="1"/>
  <c r="D882" i="170"/>
  <c r="D880" i="170"/>
  <c r="E880" i="170" s="1"/>
  <c r="J865" i="170"/>
  <c r="J863" i="170"/>
  <c r="D849" i="170"/>
  <c r="D845" i="170"/>
  <c r="J832" i="170"/>
  <c r="K832" i="170" s="1"/>
  <c r="J828" i="170"/>
  <c r="K828" i="170" s="1"/>
  <c r="J816" i="170"/>
  <c r="J812" i="170"/>
  <c r="K812" i="170" s="1"/>
  <c r="D798" i="170"/>
  <c r="E798" i="170" s="1"/>
  <c r="D796" i="170"/>
  <c r="E796" i="170" s="1"/>
  <c r="J782" i="170"/>
  <c r="J778" i="170"/>
  <c r="K778" i="170" s="1"/>
  <c r="D765" i="170"/>
  <c r="D761" i="170"/>
  <c r="J747" i="170"/>
  <c r="K747" i="170" s="1"/>
  <c r="J745" i="170"/>
  <c r="D710" i="170"/>
  <c r="D694" i="170"/>
  <c r="D677" i="170"/>
  <c r="D663" i="170"/>
  <c r="D662" i="170"/>
  <c r="D659" i="170"/>
  <c r="D643" i="170"/>
  <c r="D624" i="170"/>
  <c r="J611" i="170"/>
  <c r="J610" i="170"/>
  <c r="J607" i="170"/>
  <c r="D591" i="170"/>
  <c r="J577" i="170"/>
  <c r="J576" i="170"/>
  <c r="J573" i="170"/>
  <c r="D556" i="170"/>
  <c r="J543" i="170"/>
  <c r="D540" i="170"/>
  <c r="D523" i="170"/>
  <c r="J510" i="170"/>
  <c r="J509" i="170"/>
  <c r="J506" i="170"/>
  <c r="D489" i="170"/>
  <c r="J475" i="170"/>
  <c r="J474" i="170"/>
  <c r="D457" i="170"/>
  <c r="D456" i="170"/>
  <c r="J454" i="170"/>
  <c r="D437" i="170"/>
  <c r="J424" i="170"/>
  <c r="J423" i="170"/>
  <c r="J420" i="170"/>
  <c r="D407" i="170"/>
  <c r="D406" i="170"/>
  <c r="J404" i="170"/>
  <c r="J2570" i="170"/>
  <c r="D2410" i="170"/>
  <c r="J2397" i="170"/>
  <c r="K2397" i="170" s="1"/>
  <c r="J2204" i="170"/>
  <c r="J2185" i="170"/>
  <c r="J2124" i="170"/>
  <c r="J2105" i="170"/>
  <c r="D2024" i="170"/>
  <c r="D1991" i="170"/>
  <c r="D1972" i="170"/>
  <c r="J1955" i="170"/>
  <c r="J1886" i="170"/>
  <c r="D1872" i="170"/>
  <c r="J1855" i="170"/>
  <c r="D1751" i="170"/>
  <c r="J1716" i="170"/>
  <c r="J1703" i="170"/>
  <c r="D1682" i="170"/>
  <c r="D1614" i="170"/>
  <c r="D1601" i="170"/>
  <c r="J1564" i="170"/>
  <c r="J1549" i="170"/>
  <c r="J1512" i="170"/>
  <c r="J1496" i="170"/>
  <c r="J1461" i="170"/>
  <c r="K1461" i="170" s="1"/>
  <c r="J1440" i="170"/>
  <c r="D1390" i="170"/>
  <c r="J1375" i="170"/>
  <c r="D1322" i="170"/>
  <c r="E1322" i="170" s="1"/>
  <c r="J1307" i="170"/>
  <c r="D1254" i="170"/>
  <c r="E1254" i="170" s="1"/>
  <c r="J1239" i="170"/>
  <c r="D1186" i="170"/>
  <c r="E1186" i="170" s="1"/>
  <c r="J1171" i="170"/>
  <c r="D1118" i="170"/>
  <c r="J1103" i="170"/>
  <c r="D1050" i="170"/>
  <c r="J1035" i="170"/>
  <c r="K1035" i="170" s="1"/>
  <c r="J1019" i="170"/>
  <c r="K1019" i="170" s="1"/>
  <c r="D1016" i="170"/>
  <c r="E1016" i="170" s="1"/>
  <c r="J999" i="170"/>
  <c r="J984" i="170"/>
  <c r="D981" i="170"/>
  <c r="J968" i="170"/>
  <c r="J967" i="170"/>
  <c r="D964" i="170"/>
  <c r="D951" i="170"/>
  <c r="J947" i="170"/>
  <c r="J934" i="170"/>
  <c r="D931" i="170"/>
  <c r="J916" i="170"/>
  <c r="K916" i="170" s="1"/>
  <c r="J914" i="170"/>
  <c r="D900" i="170"/>
  <c r="E900" i="170" s="1"/>
  <c r="D896" i="170"/>
  <c r="J883" i="170"/>
  <c r="J879" i="170"/>
  <c r="D865" i="170"/>
  <c r="D863" i="170"/>
  <c r="J848" i="170"/>
  <c r="K848" i="170" s="1"/>
  <c r="J846" i="170"/>
  <c r="D832" i="170"/>
  <c r="E832" i="170" s="1"/>
  <c r="D828" i="170"/>
  <c r="D816" i="170"/>
  <c r="E816" i="170" s="1"/>
  <c r="D812" i="170"/>
  <c r="J799" i="170"/>
  <c r="J795" i="170"/>
  <c r="D782" i="170"/>
  <c r="E782" i="170" s="1"/>
  <c r="D778" i="170"/>
  <c r="J764" i="170"/>
  <c r="K764" i="170" s="1"/>
  <c r="J762" i="170"/>
  <c r="D747" i="170"/>
  <c r="D745" i="170"/>
  <c r="D729" i="170"/>
  <c r="D728" i="170"/>
  <c r="D727" i="170"/>
  <c r="D726" i="170"/>
  <c r="D725" i="170"/>
  <c r="D713" i="170"/>
  <c r="J697" i="170"/>
  <c r="J696" i="170"/>
  <c r="D693" i="170"/>
  <c r="D680" i="170"/>
  <c r="D679" i="170"/>
  <c r="J677" i="170"/>
  <c r="J659" i="170"/>
  <c r="D646" i="170"/>
  <c r="D645" i="170"/>
  <c r="J643" i="170"/>
  <c r="J628" i="170"/>
  <c r="J627" i="170"/>
  <c r="J624" i="170"/>
  <c r="D608" i="170"/>
  <c r="D594" i="170"/>
  <c r="D593" i="170"/>
  <c r="J591" i="170"/>
  <c r="D574" i="170"/>
  <c r="J560" i="170"/>
  <c r="J559" i="170"/>
  <c r="J556" i="170"/>
  <c r="D543" i="170"/>
  <c r="D542" i="170"/>
  <c r="J540" i="170"/>
  <c r="J527" i="170"/>
  <c r="J526" i="170"/>
  <c r="J523" i="170"/>
  <c r="D507" i="170"/>
  <c r="J492" i="170"/>
  <c r="J489" i="170"/>
  <c r="D472" i="170"/>
  <c r="D453" i="170"/>
  <c r="J441" i="170"/>
  <c r="J440" i="170"/>
  <c r="J437" i="170"/>
  <c r="D421" i="170"/>
  <c r="D403" i="170"/>
  <c r="J389" i="170"/>
  <c r="J388" i="170"/>
  <c r="J385" i="170"/>
  <c r="D369" i="170"/>
  <c r="D355" i="170"/>
  <c r="D351" i="170"/>
  <c r="J337" i="170"/>
  <c r="J336" i="170"/>
  <c r="D334" i="170"/>
  <c r="D319" i="170"/>
  <c r="D318" i="170"/>
  <c r="J316" i="170"/>
  <c r="J302" i="170"/>
  <c r="J285" i="170"/>
  <c r="J284" i="170"/>
  <c r="J281" i="170"/>
  <c r="D268" i="170"/>
  <c r="D267" i="170"/>
  <c r="J265" i="170"/>
  <c r="D264" i="170"/>
  <c r="D251" i="170"/>
  <c r="D247" i="170"/>
  <c r="D231" i="170"/>
  <c r="D212" i="170"/>
  <c r="D196" i="170"/>
  <c r="J182" i="170"/>
  <c r="J181" i="170"/>
  <c r="J178" i="170"/>
  <c r="D165" i="170"/>
  <c r="D164" i="170"/>
  <c r="J162" i="170"/>
  <c r="J2040" i="170"/>
  <c r="J1937" i="170"/>
  <c r="J1890" i="170"/>
  <c r="J1836" i="170"/>
  <c r="D1753" i="170"/>
  <c r="J1649" i="170"/>
  <c r="D1597" i="170"/>
  <c r="D1513" i="170"/>
  <c r="J1479" i="170"/>
  <c r="J1444" i="170"/>
  <c r="D1392" i="170"/>
  <c r="E1392" i="170" s="1"/>
  <c r="J1390" i="170"/>
  <c r="D1291" i="170"/>
  <c r="J1237" i="170"/>
  <c r="K1237" i="170" s="1"/>
  <c r="D1236" i="170"/>
  <c r="D1205" i="170"/>
  <c r="J1202" i="170"/>
  <c r="K1202" i="170" s="1"/>
  <c r="D1172" i="170"/>
  <c r="E1172" i="170" s="1"/>
  <c r="D1151" i="170"/>
  <c r="E1151" i="170" s="1"/>
  <c r="J1138" i="170"/>
  <c r="D1120" i="170"/>
  <c r="J1118" i="170"/>
  <c r="D1018" i="170"/>
  <c r="D985" i="170"/>
  <c r="E985" i="170" s="1"/>
  <c r="J951" i="170"/>
  <c r="D948" i="170"/>
  <c r="J915" i="170"/>
  <c r="D897" i="170"/>
  <c r="E897" i="170" s="1"/>
  <c r="J882" i="170"/>
  <c r="K882" i="170" s="1"/>
  <c r="D829" i="170"/>
  <c r="E829" i="170" s="1"/>
  <c r="D815" i="170"/>
  <c r="J796" i="170"/>
  <c r="D779" i="170"/>
  <c r="D764" i="170"/>
  <c r="D697" i="170"/>
  <c r="J693" i="170"/>
  <c r="J680" i="170"/>
  <c r="J646" i="170"/>
  <c r="D627" i="170"/>
  <c r="D611" i="170"/>
  <c r="J608" i="170"/>
  <c r="J594" i="170"/>
  <c r="D573" i="170"/>
  <c r="D560" i="170"/>
  <c r="J557" i="170"/>
  <c r="D539" i="170"/>
  <c r="D524" i="170"/>
  <c r="D492" i="170"/>
  <c r="D475" i="170"/>
  <c r="J472" i="170"/>
  <c r="J457" i="170"/>
  <c r="D420" i="170"/>
  <c r="D404" i="170"/>
  <c r="J371" i="170"/>
  <c r="J355" i="170"/>
  <c r="J354" i="170"/>
  <c r="J352" i="170"/>
  <c r="D336" i="170"/>
  <c r="J334" i="170"/>
  <c r="J315" i="170"/>
  <c r="D302" i="170"/>
  <c r="D301" i="170"/>
  <c r="D299" i="170"/>
  <c r="D284" i="170"/>
  <c r="D282" i="170"/>
  <c r="J268" i="170"/>
  <c r="J247" i="170"/>
  <c r="D234" i="170"/>
  <c r="D230" i="170"/>
  <c r="J198" i="170"/>
  <c r="J164" i="170"/>
  <c r="J148" i="170"/>
  <c r="J147" i="170"/>
  <c r="J144" i="170"/>
  <c r="D127" i="170"/>
  <c r="J114" i="170"/>
  <c r="J113" i="170"/>
  <c r="J110" i="170"/>
  <c r="D97" i="170"/>
  <c r="D93" i="170"/>
  <c r="D80" i="170"/>
  <c r="D79" i="170"/>
  <c r="J77" i="170"/>
  <c r="J63" i="170"/>
  <c r="J62" i="170"/>
  <c r="J59" i="170"/>
  <c r="D43" i="170"/>
  <c r="J29" i="170"/>
  <c r="J28" i="170"/>
  <c r="J25" i="170"/>
  <c r="J12" i="170"/>
  <c r="J11" i="170"/>
  <c r="J8" i="170"/>
  <c r="J2412" i="170"/>
  <c r="D2173" i="170"/>
  <c r="E2173" i="170" s="1"/>
  <c r="D2170" i="170"/>
  <c r="D2122" i="170"/>
  <c r="D2108" i="170"/>
  <c r="D2060" i="170"/>
  <c r="D1921" i="170"/>
  <c r="J1872" i="170"/>
  <c r="J1801" i="170"/>
  <c r="D1734" i="170"/>
  <c r="D1631" i="170"/>
  <c r="J1601" i="170"/>
  <c r="J1530" i="170"/>
  <c r="D1515" i="170"/>
  <c r="D1499" i="170"/>
  <c r="J1477" i="170"/>
  <c r="J1406" i="170"/>
  <c r="K1406" i="170" s="1"/>
  <c r="D1376" i="170"/>
  <c r="E1376" i="170" s="1"/>
  <c r="D1355" i="170"/>
  <c r="J1342" i="170"/>
  <c r="K1342" i="170" s="1"/>
  <c r="D1324" i="170"/>
  <c r="J1322" i="170"/>
  <c r="D1223" i="170"/>
  <c r="J1169" i="170"/>
  <c r="D1168" i="170"/>
  <c r="D1137" i="170"/>
  <c r="J1134" i="170"/>
  <c r="K1134" i="170" s="1"/>
  <c r="D1104" i="170"/>
  <c r="E1104" i="170" s="1"/>
  <c r="D1083" i="170"/>
  <c r="J1070" i="170"/>
  <c r="K1070" i="170" s="1"/>
  <c r="D1052" i="170"/>
  <c r="J1032" i="170"/>
  <c r="K1032" i="170" s="1"/>
  <c r="J1016" i="170"/>
  <c r="D999" i="170"/>
  <c r="E999" i="170" s="1"/>
  <c r="D982" i="170"/>
  <c r="E982" i="170" s="1"/>
  <c r="D947" i="170"/>
  <c r="E947" i="170" s="1"/>
  <c r="D933" i="170"/>
  <c r="D916" i="170"/>
  <c r="J897" i="170"/>
  <c r="D883" i="170"/>
  <c r="E883" i="170" s="1"/>
  <c r="D879" i="170"/>
  <c r="D848" i="170"/>
  <c r="J829" i="170"/>
  <c r="J815" i="170"/>
  <c r="K815" i="170" s="1"/>
  <c r="J779" i="170"/>
  <c r="J765" i="170"/>
  <c r="K765" i="170" s="1"/>
  <c r="J761" i="170"/>
  <c r="K761" i="170" s="1"/>
  <c r="D748" i="170"/>
  <c r="D744" i="170"/>
  <c r="J728" i="170"/>
  <c r="J726" i="170"/>
  <c r="D696" i="170"/>
  <c r="J694" i="170"/>
  <c r="K694" i="170" s="1"/>
  <c r="D676" i="170"/>
  <c r="J662" i="170"/>
  <c r="D660" i="170"/>
  <c r="D642" i="170"/>
  <c r="D625" i="170"/>
  <c r="D590" i="170"/>
  <c r="D577" i="170"/>
  <c r="J574" i="170"/>
  <c r="J542" i="170"/>
  <c r="J539" i="170"/>
  <c r="D527" i="170"/>
  <c r="J524" i="170"/>
  <c r="D509" i="170"/>
  <c r="D506" i="170"/>
  <c r="D490" i="170"/>
  <c r="D440" i="170"/>
  <c r="D424" i="170"/>
  <c r="J421" i="170"/>
  <c r="J407" i="170"/>
  <c r="D389" i="170"/>
  <c r="D385" i="170"/>
  <c r="D372" i="170"/>
  <c r="D368" i="170"/>
  <c r="J319" i="170"/>
  <c r="D316" i="170"/>
  <c r="J299" i="170"/>
  <c r="J282" i="170"/>
  <c r="J267" i="170"/>
  <c r="D250" i="170"/>
  <c r="D248" i="170"/>
  <c r="D233" i="170"/>
  <c r="J230" i="170"/>
  <c r="D216" i="170"/>
  <c r="J212" i="170"/>
  <c r="D199" i="170"/>
  <c r="D195" i="170"/>
  <c r="D182" i="170"/>
  <c r="D178" i="170"/>
  <c r="D161" i="170"/>
  <c r="D145" i="170"/>
  <c r="J131" i="170"/>
  <c r="J130" i="170"/>
  <c r="J127" i="170"/>
  <c r="D111" i="170"/>
  <c r="J96" i="170"/>
  <c r="J93" i="170"/>
  <c r="D76" i="170"/>
  <c r="D60" i="170"/>
  <c r="D46" i="170"/>
  <c r="D45" i="170"/>
  <c r="J43" i="170"/>
  <c r="D26" i="170"/>
  <c r="D9" i="170"/>
  <c r="D2589" i="170"/>
  <c r="D2490" i="170"/>
  <c r="E2490" i="170" s="1"/>
  <c r="D2316" i="170"/>
  <c r="D2169" i="170"/>
  <c r="D2141" i="170"/>
  <c r="J1923" i="170"/>
  <c r="D1904" i="170"/>
  <c r="J1785" i="170"/>
  <c r="J1734" i="170"/>
  <c r="D1686" i="170"/>
  <c r="D1634" i="170"/>
  <c r="J1581" i="170"/>
  <c r="D1424" i="170"/>
  <c r="J1409" i="170"/>
  <c r="K1409" i="170" s="1"/>
  <c r="J1373" i="170"/>
  <c r="K1373" i="170" s="1"/>
  <c r="D1372" i="170"/>
  <c r="D1341" i="170"/>
  <c r="J1338" i="170"/>
  <c r="D1308" i="170"/>
  <c r="E1308" i="170" s="1"/>
  <c r="D1287" i="170"/>
  <c r="J1274" i="170"/>
  <c r="K1274" i="170" s="1"/>
  <c r="D1256" i="170"/>
  <c r="E1256" i="170" s="1"/>
  <c r="J1254" i="170"/>
  <c r="D1155" i="170"/>
  <c r="J1101" i="170"/>
  <c r="K1101" i="170" s="1"/>
  <c r="D1100" i="170"/>
  <c r="D1069" i="170"/>
  <c r="J1066" i="170"/>
  <c r="K1066" i="170" s="1"/>
  <c r="J1015" i="170"/>
  <c r="K1015" i="170" s="1"/>
  <c r="J1001" i="170"/>
  <c r="K1001" i="170" s="1"/>
  <c r="D998" i="170"/>
  <c r="D984" i="170"/>
  <c r="E984" i="170" s="1"/>
  <c r="D968" i="170"/>
  <c r="J964" i="170"/>
  <c r="J931" i="170"/>
  <c r="D930" i="170"/>
  <c r="J917" i="170"/>
  <c r="J913" i="170"/>
  <c r="D899" i="170"/>
  <c r="J880" i="170"/>
  <c r="D866" i="170"/>
  <c r="D862" i="170"/>
  <c r="J849" i="170"/>
  <c r="K849" i="170" s="1"/>
  <c r="J845" i="170"/>
  <c r="K845" i="170" s="1"/>
  <c r="D831" i="170"/>
  <c r="D813" i="170"/>
  <c r="J798" i="170"/>
  <c r="D1359" i="170"/>
  <c r="J1270" i="170"/>
  <c r="K1270" i="170" s="1"/>
  <c r="J1206" i="170"/>
  <c r="D983" i="170"/>
  <c r="D914" i="170"/>
  <c r="J866" i="170"/>
  <c r="J831" i="170"/>
  <c r="K831" i="170" s="1"/>
  <c r="J763" i="170"/>
  <c r="K763" i="170" s="1"/>
  <c r="J748" i="170"/>
  <c r="J676" i="170"/>
  <c r="D628" i="170"/>
  <c r="D557" i="170"/>
  <c r="D510" i="170"/>
  <c r="D474" i="170"/>
  <c r="J453" i="170"/>
  <c r="D423" i="170"/>
  <c r="D388" i="170"/>
  <c r="J368" i="170"/>
  <c r="D354" i="170"/>
  <c r="D315" i="170"/>
  <c r="D265" i="170"/>
  <c r="J250" i="170"/>
  <c r="J215" i="170"/>
  <c r="J199" i="170"/>
  <c r="J196" i="170"/>
  <c r="J165" i="170"/>
  <c r="D162" i="170"/>
  <c r="D130" i="170"/>
  <c r="D114" i="170"/>
  <c r="J111" i="170"/>
  <c r="D96" i="170"/>
  <c r="J80" i="170"/>
  <c r="D62" i="170"/>
  <c r="J45" i="170"/>
  <c r="J42" i="170"/>
  <c r="J2093" i="170"/>
  <c r="D1937" i="170"/>
  <c r="D1768" i="170"/>
  <c r="J1614" i="170"/>
  <c r="J1305" i="170"/>
  <c r="K1305" i="170" s="1"/>
  <c r="D1219" i="170"/>
  <c r="E1219" i="170" s="1"/>
  <c r="J1186" i="170"/>
  <c r="D1087" i="170"/>
  <c r="J1033" i="170"/>
  <c r="D1000" i="170"/>
  <c r="J899" i="170"/>
  <c r="K899" i="170" s="1"/>
  <c r="D846" i="170"/>
  <c r="D795" i="170"/>
  <c r="D781" i="170"/>
  <c r="E781" i="170" s="1"/>
  <c r="J744" i="170"/>
  <c r="J727" i="170"/>
  <c r="D714" i="170"/>
  <c r="J679" i="170"/>
  <c r="J660" i="170"/>
  <c r="J625" i="170"/>
  <c r="D607" i="170"/>
  <c r="D526" i="170"/>
  <c r="J507" i="170"/>
  <c r="J493" i="170"/>
  <c r="D471" i="170"/>
  <c r="J456" i="170"/>
  <c r="D438" i="170"/>
  <c r="D386" i="170"/>
  <c r="D371" i="170"/>
  <c r="D352" i="170"/>
  <c r="D333" i="170"/>
  <c r="J298" i="170"/>
  <c r="J233" i="170"/>
  <c r="J213" i="170"/>
  <c r="J179" i="170"/>
  <c r="D144" i="170"/>
  <c r="D131" i="170"/>
  <c r="J128" i="170"/>
  <c r="D113" i="170"/>
  <c r="J94" i="170"/>
  <c r="J79" i="170"/>
  <c r="J76" i="170"/>
  <c r="D63" i="170"/>
  <c r="J60" i="170"/>
  <c r="J46" i="170"/>
  <c r="D25" i="170"/>
  <c r="D8" i="170"/>
  <c r="D2605" i="170"/>
  <c r="E2605" i="170" s="1"/>
  <c r="D2026" i="170"/>
  <c r="D1788" i="170"/>
  <c r="D1648" i="170"/>
  <c r="J1441" i="170"/>
  <c r="D1304" i="170"/>
  <c r="D1273" i="170"/>
  <c r="J930" i="170"/>
  <c r="D881" i="170"/>
  <c r="D799" i="170"/>
  <c r="E799" i="170" s="1"/>
  <c r="J781" i="170"/>
  <c r="K781" i="170" s="1"/>
  <c r="J725" i="170"/>
  <c r="K725" i="170" s="1"/>
  <c r="D711" i="170"/>
  <c r="J645" i="170"/>
  <c r="D610" i="170"/>
  <c r="J590" i="170"/>
  <c r="J490" i="170"/>
  <c r="J471" i="170"/>
  <c r="J438" i="170"/>
  <c r="J403" i="170"/>
  <c r="J386" i="170"/>
  <c r="D337" i="170"/>
  <c r="J333" i="170"/>
  <c r="J318" i="170"/>
  <c r="D285" i="170"/>
  <c r="D281" i="170"/>
  <c r="J264" i="170"/>
  <c r="J234" i="170"/>
  <c r="J231" i="170"/>
  <c r="D215" i="170"/>
  <c r="J195" i="170"/>
  <c r="D181" i="170"/>
  <c r="J161" i="170"/>
  <c r="D148" i="170"/>
  <c r="J145" i="170"/>
  <c r="D110" i="170"/>
  <c r="J97" i="170"/>
  <c r="D77" i="170"/>
  <c r="D42" i="170"/>
  <c r="D29" i="170"/>
  <c r="J26" i="170"/>
  <c r="D12" i="170"/>
  <c r="J9" i="170"/>
  <c r="G29" i="154"/>
  <c r="H29" i="154"/>
  <c r="B5" i="170"/>
  <c r="D14" i="132"/>
  <c r="M16" i="151"/>
  <c r="B107" i="170"/>
  <c r="D26" i="132"/>
  <c r="P28" i="151"/>
  <c r="K28" i="151"/>
  <c r="M28" i="151"/>
  <c r="F28" i="151"/>
  <c r="O28" i="151"/>
  <c r="H28" i="151"/>
  <c r="Q44" i="151"/>
  <c r="M44" i="151"/>
  <c r="P44" i="151"/>
  <c r="H44" i="151"/>
  <c r="B244" i="170"/>
  <c r="D42" i="132"/>
  <c r="N44" i="151"/>
  <c r="F44" i="151"/>
  <c r="H295" i="170"/>
  <c r="D49" i="132"/>
  <c r="F51" i="151"/>
  <c r="P51" i="151"/>
  <c r="H51" i="151"/>
  <c r="H417" i="170"/>
  <c r="F65" i="151"/>
  <c r="B468" i="170"/>
  <c r="R70" i="151"/>
  <c r="F70" i="151"/>
  <c r="P70" i="151"/>
  <c r="B486" i="170"/>
  <c r="D70" i="132"/>
  <c r="N72" i="151"/>
  <c r="P72" i="151"/>
  <c r="H72" i="151"/>
  <c r="F72" i="151"/>
  <c r="H570" i="170"/>
  <c r="D81" i="132"/>
  <c r="G83" i="151"/>
  <c r="F83" i="151"/>
  <c r="O83" i="151"/>
  <c r="H83" i="151"/>
  <c r="L83" i="151" s="1"/>
  <c r="B690" i="170"/>
  <c r="Q96" i="151"/>
  <c r="M96" i="151"/>
  <c r="R96" i="151"/>
  <c r="N96" i="151"/>
  <c r="G96" i="151"/>
  <c r="D94" i="132"/>
  <c r="P96" i="151"/>
  <c r="F96" i="151"/>
  <c r="H1594" i="170"/>
  <c r="P111" i="151"/>
  <c r="K111" i="151"/>
  <c r="F111" i="151"/>
  <c r="D109" i="132"/>
  <c r="Q111" i="151"/>
  <c r="R111" i="151"/>
  <c r="H1628" i="170"/>
  <c r="D113" i="132"/>
  <c r="Q115" i="151"/>
  <c r="R115" i="151"/>
  <c r="K115" i="151"/>
  <c r="P115" i="151"/>
  <c r="F115" i="151"/>
  <c r="H1696" i="170"/>
  <c r="Q123" i="151"/>
  <c r="R123" i="151"/>
  <c r="P123" i="151"/>
  <c r="F123" i="151"/>
  <c r="K123" i="151"/>
  <c r="B1730" i="170"/>
  <c r="Q126" i="151"/>
  <c r="M126" i="151"/>
  <c r="R126" i="151"/>
  <c r="K126" i="151"/>
  <c r="D124" i="132"/>
  <c r="P126" i="151"/>
  <c r="F126" i="151"/>
  <c r="B1832" i="170"/>
  <c r="D136" i="132"/>
  <c r="P138" i="151"/>
  <c r="K138" i="151"/>
  <c r="F138" i="151"/>
  <c r="Q138" i="151"/>
  <c r="M138" i="151"/>
  <c r="R138" i="151"/>
  <c r="G138" i="151"/>
  <c r="L138" i="151" s="1"/>
  <c r="B1985" i="170"/>
  <c r="R156" i="151"/>
  <c r="N156" i="151"/>
  <c r="S156" i="151"/>
  <c r="O156" i="151"/>
  <c r="D154" i="132"/>
  <c r="Q156" i="151"/>
  <c r="F156" i="151"/>
  <c r="E841" i="170"/>
  <c r="C851" i="170"/>
  <c r="E851" i="170" s="1"/>
  <c r="C850" i="170"/>
  <c r="E850" i="170" s="1"/>
  <c r="C848" i="170"/>
  <c r="C846" i="170"/>
  <c r="C843" i="170"/>
  <c r="D847" i="170" s="1"/>
  <c r="C849" i="170"/>
  <c r="C845" i="170"/>
  <c r="C847" i="170"/>
  <c r="C844" i="170"/>
  <c r="E844" i="170" s="1"/>
  <c r="P23" i="151"/>
  <c r="Q23" i="151"/>
  <c r="H23" i="151"/>
  <c r="N23" i="151"/>
  <c r="D27" i="132"/>
  <c r="R29" i="151"/>
  <c r="H107" i="170"/>
  <c r="F29" i="151"/>
  <c r="P29" i="151"/>
  <c r="H29" i="151"/>
  <c r="P55" i="151"/>
  <c r="K55" i="151"/>
  <c r="F55" i="151"/>
  <c r="H330" i="170"/>
  <c r="H55" i="151"/>
  <c r="H365" i="170"/>
  <c r="P59" i="151"/>
  <c r="K59" i="151"/>
  <c r="F59" i="151"/>
  <c r="H59" i="151"/>
  <c r="H400" i="170"/>
  <c r="D61" i="132"/>
  <c r="P63" i="151"/>
  <c r="K63" i="151"/>
  <c r="F63" i="151"/>
  <c r="H63" i="151"/>
  <c r="P118" i="151"/>
  <c r="K118" i="151"/>
  <c r="F118" i="151"/>
  <c r="B1662" i="170"/>
  <c r="D116" i="132"/>
  <c r="Q118" i="151"/>
  <c r="M118" i="151"/>
  <c r="R118" i="151"/>
  <c r="D127" i="132"/>
  <c r="P129" i="151"/>
  <c r="K129" i="151"/>
  <c r="F129" i="151"/>
  <c r="Q129" i="151"/>
  <c r="H1747" i="170"/>
  <c r="R129" i="151"/>
  <c r="D147" i="170"/>
  <c r="D179" i="170"/>
  <c r="D198" i="170"/>
  <c r="D213" i="170"/>
  <c r="J369" i="170"/>
  <c r="D454" i="170"/>
  <c r="D576" i="170"/>
  <c r="J729" i="170"/>
  <c r="O16" i="151"/>
  <c r="R18" i="151"/>
  <c r="M20" i="151"/>
  <c r="O40" i="151"/>
  <c r="R44" i="151"/>
  <c r="O61" i="151"/>
  <c r="Q72" i="151"/>
  <c r="K73" i="151"/>
  <c r="P83" i="151"/>
  <c r="D63" i="132"/>
  <c r="D11" i="170"/>
  <c r="D28" i="170"/>
  <c r="D128" i="170"/>
  <c r="J251" i="170"/>
  <c r="J301" i="170"/>
  <c r="J406" i="170"/>
  <c r="J593" i="170"/>
  <c r="J663" i="170"/>
  <c r="D762" i="170"/>
  <c r="E779" i="170"/>
  <c r="J862" i="170"/>
  <c r="J1051" i="170"/>
  <c r="K1051" i="170" s="1"/>
  <c r="D1238" i="170"/>
  <c r="D1240" i="170"/>
  <c r="E1240" i="170" s="1"/>
  <c r="J1340" i="170"/>
  <c r="K1340" i="170" s="1"/>
  <c r="AB15" i="99"/>
  <c r="AC15" i="99" s="1"/>
  <c r="K16" i="151"/>
  <c r="Q29" i="151"/>
  <c r="K30" i="151"/>
  <c r="O44" i="151"/>
  <c r="O51" i="151"/>
  <c r="R55" i="151"/>
  <c r="R59" i="151"/>
  <c r="R63" i="151"/>
  <c r="O65" i="151"/>
  <c r="O70" i="151"/>
  <c r="O72" i="151"/>
  <c r="N83" i="151"/>
  <c r="O96" i="151"/>
  <c r="O132" i="151"/>
  <c r="D59" i="170"/>
  <c r="J248" i="170"/>
  <c r="D298" i="170"/>
  <c r="D559" i="170"/>
  <c r="D695" i="170"/>
  <c r="J813" i="170"/>
  <c r="J1119" i="170"/>
  <c r="K1119" i="170" s="1"/>
  <c r="D1188" i="170"/>
  <c r="D59" i="132"/>
  <c r="H382" i="170"/>
  <c r="P61" i="151"/>
  <c r="K61" i="151"/>
  <c r="F61" i="151"/>
  <c r="H61" i="151"/>
  <c r="D100" i="132"/>
  <c r="K102" i="151"/>
  <c r="H1883" i="170"/>
  <c r="D143" i="132"/>
  <c r="P145" i="151"/>
  <c r="K145" i="151"/>
  <c r="F145" i="151"/>
  <c r="Q145" i="151"/>
  <c r="M145" i="151"/>
  <c r="R145" i="151"/>
  <c r="B22" i="170"/>
  <c r="P18" i="151"/>
  <c r="K18" i="151"/>
  <c r="F18" i="151"/>
  <c r="Q18" i="151"/>
  <c r="H18" i="151"/>
  <c r="P20" i="151"/>
  <c r="K20" i="151"/>
  <c r="F20" i="151"/>
  <c r="B39" i="170"/>
  <c r="Q20" i="151"/>
  <c r="H20" i="151"/>
  <c r="D18" i="132"/>
  <c r="N20" i="151"/>
  <c r="H34" i="151"/>
  <c r="M73" i="151"/>
  <c r="N73" i="151"/>
  <c r="F73" i="151"/>
  <c r="P73" i="151"/>
  <c r="H73" i="151"/>
  <c r="H587" i="170"/>
  <c r="Q85" i="151"/>
  <c r="M85" i="151"/>
  <c r="N85" i="151"/>
  <c r="D83" i="132"/>
  <c r="P85" i="151"/>
  <c r="H85" i="151"/>
  <c r="H1577" i="170"/>
  <c r="D107" i="132"/>
  <c r="Q109" i="151"/>
  <c r="R109" i="151"/>
  <c r="P109" i="151"/>
  <c r="F109" i="151"/>
  <c r="K109" i="151"/>
  <c r="H1798" i="170"/>
  <c r="D133" i="132"/>
  <c r="P135" i="151"/>
  <c r="K135" i="151"/>
  <c r="F135" i="151"/>
  <c r="Q135" i="151"/>
  <c r="M135" i="151"/>
  <c r="R135" i="151"/>
  <c r="B2019" i="170"/>
  <c r="D159" i="132"/>
  <c r="F161" i="151"/>
  <c r="X161" i="151" s="1"/>
  <c r="Z161" i="151" s="1"/>
  <c r="H2019" i="170"/>
  <c r="E162" i="151"/>
  <c r="F162" i="151" s="1"/>
  <c r="F25" i="154"/>
  <c r="F26" i="154"/>
  <c r="F24" i="154"/>
  <c r="F27" i="154"/>
  <c r="R73" i="151"/>
  <c r="K83" i="151"/>
  <c r="H132" i="151"/>
  <c r="O138" i="151"/>
  <c r="H145" i="151"/>
  <c r="P156" i="151"/>
  <c r="D53" i="132"/>
  <c r="D121" i="132"/>
  <c r="D94" i="170"/>
  <c r="J216" i="170"/>
  <c r="J351" i="170"/>
  <c r="J372" i="170"/>
  <c r="D441" i="170"/>
  <c r="D493" i="170"/>
  <c r="J642" i="170"/>
  <c r="J949" i="170"/>
  <c r="C767" i="170"/>
  <c r="E767" i="170" s="1"/>
  <c r="C766" i="170"/>
  <c r="E766" i="170" s="1"/>
  <c r="C764" i="170"/>
  <c r="C762" i="170"/>
  <c r="C759" i="170"/>
  <c r="D763" i="170" s="1"/>
  <c r="C763" i="170"/>
  <c r="C760" i="170"/>
  <c r="E760" i="170" s="1"/>
  <c r="E909" i="170"/>
  <c r="C919" i="170"/>
  <c r="E919" i="170" s="1"/>
  <c r="C918" i="170"/>
  <c r="E918" i="170" s="1"/>
  <c r="C916" i="170"/>
  <c r="C914" i="170"/>
  <c r="C911" i="170"/>
  <c r="D915" i="170" s="1"/>
  <c r="C917" i="170"/>
  <c r="E917" i="170" s="1"/>
  <c r="C913" i="170"/>
  <c r="C915" i="170"/>
  <c r="C912" i="170"/>
  <c r="E912" i="170" s="1"/>
  <c r="C1293" i="170"/>
  <c r="E1293" i="170" s="1"/>
  <c r="C1292" i="170"/>
  <c r="E1292" i="170" s="1"/>
  <c r="C1290" i="170"/>
  <c r="C1288" i="170"/>
  <c r="C1285" i="170"/>
  <c r="D1289" i="170" s="1"/>
  <c r="C1289" i="170"/>
  <c r="C1286" i="170"/>
  <c r="E1286" i="170" s="1"/>
  <c r="E1283" i="170"/>
  <c r="C1287" i="170"/>
  <c r="B56" i="170"/>
  <c r="R22" i="151"/>
  <c r="B175" i="170"/>
  <c r="D34" i="132"/>
  <c r="P36" i="151"/>
  <c r="K36" i="151"/>
  <c r="F36" i="151"/>
  <c r="B227" i="170"/>
  <c r="D40" i="132"/>
  <c r="H312" i="170"/>
  <c r="D51" i="132"/>
  <c r="Q53" i="151"/>
  <c r="M53" i="151"/>
  <c r="G58" i="151"/>
  <c r="D64" i="132"/>
  <c r="M66" i="151"/>
  <c r="P68" i="151"/>
  <c r="K68" i="151"/>
  <c r="H468" i="170"/>
  <c r="P71" i="151"/>
  <c r="K71" i="151"/>
  <c r="H553" i="170"/>
  <c r="P81" i="151"/>
  <c r="K81" i="151"/>
  <c r="B570" i="170"/>
  <c r="D85" i="132"/>
  <c r="P87" i="151"/>
  <c r="K87" i="151"/>
  <c r="B673" i="170"/>
  <c r="Q94" i="151"/>
  <c r="B1492" i="170"/>
  <c r="D96" i="132"/>
  <c r="M98" i="151"/>
  <c r="R98" i="151"/>
  <c r="K101" i="151"/>
  <c r="M101" i="151"/>
  <c r="H1543" i="170"/>
  <c r="D103" i="132"/>
  <c r="Q105" i="151"/>
  <c r="M105" i="151"/>
  <c r="R105" i="151"/>
  <c r="B1577" i="170"/>
  <c r="P108" i="151"/>
  <c r="K108" i="151"/>
  <c r="F108" i="151"/>
  <c r="D106" i="132"/>
  <c r="Q108" i="151"/>
  <c r="B1611" i="170"/>
  <c r="D110" i="132"/>
  <c r="Q112" i="151"/>
  <c r="R112" i="151"/>
  <c r="D117" i="132"/>
  <c r="Q119" i="151"/>
  <c r="R119" i="151"/>
  <c r="H1662" i="170"/>
  <c r="B1696" i="170"/>
  <c r="D120" i="132"/>
  <c r="P122" i="151"/>
  <c r="K122" i="151"/>
  <c r="F122" i="151"/>
  <c r="Q122" i="151"/>
  <c r="B1764" i="170"/>
  <c r="Q130" i="151"/>
  <c r="M130" i="151"/>
  <c r="R130" i="151"/>
  <c r="N130" i="151"/>
  <c r="B1815" i="170"/>
  <c r="Q136" i="151"/>
  <c r="M136" i="151"/>
  <c r="R136" i="151"/>
  <c r="B1968" i="170"/>
  <c r="Q154" i="151"/>
  <c r="M154" i="151"/>
  <c r="R154" i="151"/>
  <c r="Q157" i="151"/>
  <c r="I1172" i="170"/>
  <c r="K1172" i="170" s="1"/>
  <c r="I1170" i="170"/>
  <c r="I1168" i="170"/>
  <c r="I1166" i="170"/>
  <c r="J1170" i="170" s="1"/>
  <c r="K1164" i="170"/>
  <c r="I1174" i="170"/>
  <c r="K1174" i="170" s="1"/>
  <c r="I1173" i="170"/>
  <c r="K1173" i="170" s="1"/>
  <c r="I1171" i="170"/>
  <c r="I1167" i="170"/>
  <c r="K1167" i="170" s="1"/>
  <c r="I1169" i="170"/>
  <c r="K1169" i="170" s="1"/>
  <c r="I1354" i="170"/>
  <c r="K1354" i="170" s="1"/>
  <c r="I1359" i="170"/>
  <c r="I1357" i="170"/>
  <c r="I1355" i="170"/>
  <c r="I1353" i="170"/>
  <c r="J1357" i="170" s="1"/>
  <c r="K1351" i="170"/>
  <c r="I1361" i="170"/>
  <c r="K1361" i="170" s="1"/>
  <c r="I1358" i="170"/>
  <c r="I1360" i="170"/>
  <c r="K1360" i="170" s="1"/>
  <c r="I2104" i="170"/>
  <c r="K2104" i="170" s="1"/>
  <c r="I2111" i="170"/>
  <c r="K2111" i="170" s="1"/>
  <c r="I2103" i="170"/>
  <c r="J2107" i="170" s="1"/>
  <c r="I2110" i="170"/>
  <c r="K2110" i="170" s="1"/>
  <c r="I2109" i="170"/>
  <c r="I2108" i="170"/>
  <c r="K2108" i="170" s="1"/>
  <c r="K2101" i="170"/>
  <c r="I2106" i="170"/>
  <c r="I2105" i="170"/>
  <c r="I2107" i="170"/>
  <c r="C761" i="170"/>
  <c r="D1034" i="170"/>
  <c r="J1068" i="170"/>
  <c r="K1068" i="170" s="1"/>
  <c r="J1391" i="170"/>
  <c r="K22" i="151"/>
  <c r="Q22" i="151"/>
  <c r="G32" i="151"/>
  <c r="M36" i="151"/>
  <c r="R36" i="151"/>
  <c r="K42" i="151"/>
  <c r="G46" i="151"/>
  <c r="K53" i="151"/>
  <c r="R53" i="151"/>
  <c r="P66" i="151"/>
  <c r="M68" i="151"/>
  <c r="R68" i="151"/>
  <c r="M71" i="151"/>
  <c r="R71" i="151"/>
  <c r="Q81" i="151"/>
  <c r="K82" i="151"/>
  <c r="P82" i="151"/>
  <c r="O105" i="151"/>
  <c r="O130" i="151"/>
  <c r="O136" i="151"/>
  <c r="O154" i="151"/>
  <c r="L178" i="132"/>
  <c r="L181" i="132" s="1"/>
  <c r="D79" i="132"/>
  <c r="D128" i="132"/>
  <c r="D152" i="132"/>
  <c r="D158" i="132"/>
  <c r="C765" i="170"/>
  <c r="J780" i="170"/>
  <c r="K780" i="170" s="1"/>
  <c r="D814" i="170"/>
  <c r="C1291" i="170"/>
  <c r="D1323" i="170"/>
  <c r="M26" i="151"/>
  <c r="D30" i="132"/>
  <c r="B261" i="170"/>
  <c r="D44" i="132"/>
  <c r="Q46" i="151"/>
  <c r="O48" i="151"/>
  <c r="F48" i="151"/>
  <c r="M49" i="151"/>
  <c r="B348" i="170"/>
  <c r="R56" i="151"/>
  <c r="N56" i="151"/>
  <c r="G56" i="151"/>
  <c r="R64" i="151"/>
  <c r="H520" i="170"/>
  <c r="D75" i="132"/>
  <c r="H536" i="170"/>
  <c r="H673" i="170"/>
  <c r="M95" i="151"/>
  <c r="N95" i="151"/>
  <c r="H1713" i="170"/>
  <c r="D123" i="132"/>
  <c r="P125" i="151"/>
  <c r="K125" i="151"/>
  <c r="F125" i="151"/>
  <c r="Q125" i="151"/>
  <c r="H1781" i="170"/>
  <c r="Q133" i="151"/>
  <c r="M133" i="151"/>
  <c r="R133" i="151"/>
  <c r="H1832" i="170"/>
  <c r="Q139" i="151"/>
  <c r="M139" i="151"/>
  <c r="R139" i="151"/>
  <c r="G139" i="151"/>
  <c r="B1866" i="170"/>
  <c r="D140" i="132"/>
  <c r="P142" i="151"/>
  <c r="K142" i="151"/>
  <c r="F142" i="151"/>
  <c r="Q142" i="151"/>
  <c r="F149" i="151"/>
  <c r="H1934" i="170"/>
  <c r="D149" i="132"/>
  <c r="P151" i="151"/>
  <c r="K151" i="151"/>
  <c r="F151" i="151"/>
  <c r="Q151" i="151"/>
  <c r="M151" i="151"/>
  <c r="I799" i="170"/>
  <c r="I797" i="170"/>
  <c r="I795" i="170"/>
  <c r="I793" i="170"/>
  <c r="J797" i="170" s="1"/>
  <c r="I801" i="170"/>
  <c r="K801" i="170" s="1"/>
  <c r="I800" i="170"/>
  <c r="K800" i="170" s="1"/>
  <c r="I798" i="170"/>
  <c r="I794" i="170"/>
  <c r="K794" i="170" s="1"/>
  <c r="I1082" i="170"/>
  <c r="K1082" i="170" s="1"/>
  <c r="I1087" i="170"/>
  <c r="I1085" i="170"/>
  <c r="I1083" i="170"/>
  <c r="I1081" i="170"/>
  <c r="J1085" i="170" s="1"/>
  <c r="K1079" i="170"/>
  <c r="I1089" i="170"/>
  <c r="K1089" i="170" s="1"/>
  <c r="I1086" i="170"/>
  <c r="I1088" i="170"/>
  <c r="K1088" i="170" s="1"/>
  <c r="C2287" i="170"/>
  <c r="E2287" i="170" s="1"/>
  <c r="C2286" i="170"/>
  <c r="E2286" i="170" s="1"/>
  <c r="C2284" i="170"/>
  <c r="C2282" i="170"/>
  <c r="C2279" i="170"/>
  <c r="D2283" i="170" s="1"/>
  <c r="C2285" i="170"/>
  <c r="C2283" i="170"/>
  <c r="C2280" i="170"/>
  <c r="E2280" i="170" s="1"/>
  <c r="E2277" i="170"/>
  <c r="C2281" i="170"/>
  <c r="K26" i="151"/>
  <c r="K46" i="151"/>
  <c r="K48" i="151"/>
  <c r="K49" i="151"/>
  <c r="K56" i="151"/>
  <c r="Q56" i="151"/>
  <c r="K64" i="151"/>
  <c r="P77" i="151"/>
  <c r="R79" i="151"/>
  <c r="P95" i="151"/>
  <c r="O125" i="151"/>
  <c r="O133" i="151"/>
  <c r="O139" i="151"/>
  <c r="O146" i="151"/>
  <c r="D20" i="132"/>
  <c r="D24" i="132"/>
  <c r="D47" i="132"/>
  <c r="D77" i="132"/>
  <c r="D80" i="132"/>
  <c r="D134" i="132"/>
  <c r="B278" i="170"/>
  <c r="B434" i="170"/>
  <c r="I796" i="170"/>
  <c r="E1206" i="170"/>
  <c r="E2121" i="170"/>
  <c r="I861" i="170"/>
  <c r="K861" i="170" s="1"/>
  <c r="I866" i="170"/>
  <c r="I864" i="170"/>
  <c r="I862" i="170"/>
  <c r="I860" i="170"/>
  <c r="J864" i="170" s="1"/>
  <c r="K858" i="170"/>
  <c r="I933" i="170"/>
  <c r="I931" i="170"/>
  <c r="K931" i="170" s="1"/>
  <c r="I935" i="170"/>
  <c r="K935" i="170" s="1"/>
  <c r="I934" i="170"/>
  <c r="I929" i="170"/>
  <c r="K929" i="170" s="1"/>
  <c r="I930" i="170"/>
  <c r="I928" i="170"/>
  <c r="J932" i="170" s="1"/>
  <c r="K926" i="170"/>
  <c r="I968" i="170"/>
  <c r="K968" i="170" s="1"/>
  <c r="I966" i="170"/>
  <c r="K966" i="170" s="1"/>
  <c r="I964" i="170"/>
  <c r="I962" i="170"/>
  <c r="J966" i="170" s="1"/>
  <c r="K960" i="170"/>
  <c r="I969" i="170"/>
  <c r="K969" i="170" s="1"/>
  <c r="I967" i="170"/>
  <c r="I987" i="170"/>
  <c r="K987" i="170" s="1"/>
  <c r="I986" i="170"/>
  <c r="K986" i="170" s="1"/>
  <c r="I984" i="170"/>
  <c r="I983" i="170"/>
  <c r="I985" i="170"/>
  <c r="I979" i="170"/>
  <c r="J983" i="170" s="1"/>
  <c r="K977" i="170"/>
  <c r="C1089" i="170"/>
  <c r="E1089" i="170" s="1"/>
  <c r="C1088" i="170"/>
  <c r="E1088" i="170" s="1"/>
  <c r="C1086" i="170"/>
  <c r="C1084" i="170"/>
  <c r="C1081" i="170"/>
  <c r="D1085" i="170" s="1"/>
  <c r="C1085" i="170"/>
  <c r="C1082" i="170"/>
  <c r="E1082" i="170" s="1"/>
  <c r="E1079" i="170"/>
  <c r="I1150" i="170"/>
  <c r="K1150" i="170" s="1"/>
  <c r="I1155" i="170"/>
  <c r="I1153" i="170"/>
  <c r="I1151" i="170"/>
  <c r="I1149" i="170"/>
  <c r="J1153" i="170" s="1"/>
  <c r="K1147" i="170"/>
  <c r="I1157" i="170"/>
  <c r="K1157" i="170" s="1"/>
  <c r="I1154" i="170"/>
  <c r="I1240" i="170"/>
  <c r="I1238" i="170"/>
  <c r="I1236" i="170"/>
  <c r="K1236" i="170" s="1"/>
  <c r="I1234" i="170"/>
  <c r="J1238" i="170" s="1"/>
  <c r="K1232" i="170"/>
  <c r="I1242" i="170"/>
  <c r="K1242" i="170" s="1"/>
  <c r="I1241" i="170"/>
  <c r="K1241" i="170" s="1"/>
  <c r="I1239" i="170"/>
  <c r="K1239" i="170" s="1"/>
  <c r="I1235" i="170"/>
  <c r="K1235" i="170" s="1"/>
  <c r="C1361" i="170"/>
  <c r="E1361" i="170" s="1"/>
  <c r="C1360" i="170"/>
  <c r="E1360" i="170" s="1"/>
  <c r="C1358" i="170"/>
  <c r="E1358" i="170" s="1"/>
  <c r="C1356" i="170"/>
  <c r="C1353" i="170"/>
  <c r="D1357" i="170" s="1"/>
  <c r="C1357" i="170"/>
  <c r="C1354" i="170"/>
  <c r="E1354" i="170" s="1"/>
  <c r="E1351" i="170"/>
  <c r="C2111" i="170"/>
  <c r="E2111" i="170" s="1"/>
  <c r="C2110" i="170"/>
  <c r="E2110" i="170" s="1"/>
  <c r="C2108" i="170"/>
  <c r="E2108" i="170" s="1"/>
  <c r="C2106" i="170"/>
  <c r="C2103" i="170"/>
  <c r="D2107" i="170" s="1"/>
  <c r="C2105" i="170"/>
  <c r="C2107" i="170"/>
  <c r="C2104" i="170"/>
  <c r="E2104" i="170" s="1"/>
  <c r="E2101" i="170"/>
  <c r="C2109" i="170"/>
  <c r="E1797" i="170"/>
  <c r="C1799" i="170"/>
  <c r="D1803" i="170" s="1"/>
  <c r="C1850" i="170"/>
  <c r="D1854" i="170" s="1"/>
  <c r="I743" i="170"/>
  <c r="K743" i="170" s="1"/>
  <c r="I748" i="170"/>
  <c r="I746" i="170"/>
  <c r="I744" i="170"/>
  <c r="I742" i="170"/>
  <c r="J746" i="170" s="1"/>
  <c r="C868" i="170"/>
  <c r="E868" i="170" s="1"/>
  <c r="C867" i="170"/>
  <c r="E867" i="170" s="1"/>
  <c r="C865" i="170"/>
  <c r="C863" i="170"/>
  <c r="C860" i="170"/>
  <c r="D864" i="170" s="1"/>
  <c r="E864" i="170" s="1"/>
  <c r="I883" i="170"/>
  <c r="I881" i="170"/>
  <c r="I879" i="170"/>
  <c r="K879" i="170" s="1"/>
  <c r="I877" i="170"/>
  <c r="J881" i="170" s="1"/>
  <c r="K875" i="170"/>
  <c r="I885" i="170"/>
  <c r="K885" i="170" s="1"/>
  <c r="I884" i="170"/>
  <c r="K884" i="170" s="1"/>
  <c r="C931" i="170"/>
  <c r="C928" i="170"/>
  <c r="D932" i="170" s="1"/>
  <c r="C936" i="170"/>
  <c r="E936" i="170" s="1"/>
  <c r="C933" i="170"/>
  <c r="C932" i="170"/>
  <c r="C964" i="170"/>
  <c r="C962" i="170"/>
  <c r="D966" i="170" s="1"/>
  <c r="E960" i="170"/>
  <c r="C966" i="170"/>
  <c r="C965" i="170"/>
  <c r="C963" i="170"/>
  <c r="E963" i="170" s="1"/>
  <c r="C1157" i="170"/>
  <c r="E1157" i="170" s="1"/>
  <c r="C1156" i="170"/>
  <c r="E1156" i="170" s="1"/>
  <c r="C1154" i="170"/>
  <c r="C1152" i="170"/>
  <c r="C1149" i="170"/>
  <c r="D1153" i="170" s="1"/>
  <c r="C1153" i="170"/>
  <c r="C1150" i="170"/>
  <c r="E1150" i="170" s="1"/>
  <c r="E1147" i="170"/>
  <c r="I1218" i="170"/>
  <c r="K1218" i="170" s="1"/>
  <c r="I1223" i="170"/>
  <c r="I1221" i="170"/>
  <c r="I1219" i="170"/>
  <c r="I1217" i="170"/>
  <c r="J1221" i="170" s="1"/>
  <c r="K1215" i="170"/>
  <c r="I1225" i="170"/>
  <c r="K1225" i="170" s="1"/>
  <c r="I1222" i="170"/>
  <c r="I1308" i="170"/>
  <c r="I1306" i="170"/>
  <c r="I1304" i="170"/>
  <c r="I1302" i="170"/>
  <c r="J1306" i="170" s="1"/>
  <c r="K1300" i="170"/>
  <c r="I1310" i="170"/>
  <c r="K1310" i="170" s="1"/>
  <c r="I1309" i="170"/>
  <c r="K1309" i="170" s="1"/>
  <c r="I1307" i="170"/>
  <c r="I1303" i="170"/>
  <c r="K1303" i="170" s="1"/>
  <c r="K782" i="170"/>
  <c r="J830" i="170"/>
  <c r="K830" i="170" s="1"/>
  <c r="I863" i="170"/>
  <c r="E882" i="170"/>
  <c r="I970" i="170"/>
  <c r="K970" i="170" s="1"/>
  <c r="I982" i="170"/>
  <c r="E1035" i="170"/>
  <c r="C1087" i="170"/>
  <c r="E1087" i="170" s="1"/>
  <c r="D1119" i="170"/>
  <c r="I1152" i="170"/>
  <c r="K1152" i="170" s="1"/>
  <c r="K1206" i="170"/>
  <c r="E1239" i="170"/>
  <c r="D1306" i="170"/>
  <c r="C1359" i="170"/>
  <c r="D1391" i="170"/>
  <c r="J1408" i="170"/>
  <c r="E1443" i="170"/>
  <c r="H19" i="151"/>
  <c r="O21" i="151"/>
  <c r="H25" i="151"/>
  <c r="O25" i="151"/>
  <c r="H33" i="151"/>
  <c r="O33" i="151"/>
  <c r="H37" i="151"/>
  <c r="O37" i="151"/>
  <c r="O39" i="151"/>
  <c r="H41" i="151"/>
  <c r="O41" i="151"/>
  <c r="H43" i="151"/>
  <c r="O43" i="151"/>
  <c r="H47" i="151"/>
  <c r="O47" i="151"/>
  <c r="H52" i="151"/>
  <c r="H54" i="151"/>
  <c r="N54" i="151"/>
  <c r="H62" i="151"/>
  <c r="H67" i="151"/>
  <c r="H69" i="151"/>
  <c r="O69" i="151"/>
  <c r="H74" i="151"/>
  <c r="O74" i="151"/>
  <c r="H76" i="151"/>
  <c r="O76" i="151"/>
  <c r="H78" i="151"/>
  <c r="N78" i="151"/>
  <c r="R78" i="151"/>
  <c r="H84" i="151"/>
  <c r="O86" i="151"/>
  <c r="H88" i="151"/>
  <c r="O88" i="151"/>
  <c r="H90" i="151"/>
  <c r="O90" i="151"/>
  <c r="H91" i="151"/>
  <c r="P91" i="151"/>
  <c r="E92" i="151"/>
  <c r="F92" i="151" s="1"/>
  <c r="P92" i="151"/>
  <c r="H99" i="151"/>
  <c r="F100" i="151"/>
  <c r="P100" i="151"/>
  <c r="F104" i="151"/>
  <c r="K104" i="151"/>
  <c r="P104" i="151"/>
  <c r="H106" i="151"/>
  <c r="F107" i="151"/>
  <c r="K107" i="151"/>
  <c r="P107" i="151"/>
  <c r="F110" i="151"/>
  <c r="K110" i="151"/>
  <c r="P110" i="151"/>
  <c r="H113" i="151"/>
  <c r="F114" i="151"/>
  <c r="K114" i="151"/>
  <c r="P114" i="151"/>
  <c r="H116" i="151"/>
  <c r="F117" i="151"/>
  <c r="K117" i="151"/>
  <c r="P117" i="151"/>
  <c r="H120" i="151"/>
  <c r="F121" i="151"/>
  <c r="K121" i="151"/>
  <c r="P121" i="151"/>
  <c r="H124" i="151"/>
  <c r="H127" i="151"/>
  <c r="F128" i="151"/>
  <c r="K128" i="151"/>
  <c r="P128" i="151"/>
  <c r="H131" i="151"/>
  <c r="H134" i="151"/>
  <c r="L134" i="151" s="1"/>
  <c r="O134" i="151"/>
  <c r="H137" i="151"/>
  <c r="O137" i="151"/>
  <c r="H140" i="151"/>
  <c r="O140" i="151"/>
  <c r="C1855" i="170" s="1"/>
  <c r="F141" i="151"/>
  <c r="K141" i="151"/>
  <c r="P141" i="151"/>
  <c r="F144" i="151"/>
  <c r="K144" i="151"/>
  <c r="P144" i="151"/>
  <c r="H147" i="151"/>
  <c r="F148" i="151"/>
  <c r="K148" i="151"/>
  <c r="P148" i="151"/>
  <c r="H150" i="151"/>
  <c r="H152" i="151"/>
  <c r="F153" i="151"/>
  <c r="K153" i="151"/>
  <c r="P153" i="151"/>
  <c r="F155" i="151"/>
  <c r="K155" i="151"/>
  <c r="P155" i="151"/>
  <c r="F158" i="151"/>
  <c r="M158" i="151"/>
  <c r="Q158" i="151"/>
  <c r="H159" i="151"/>
  <c r="P159" i="151"/>
  <c r="D67" i="132"/>
  <c r="D84" i="132"/>
  <c r="D126" i="132"/>
  <c r="D139" i="132"/>
  <c r="D142" i="132"/>
  <c r="D146" i="132"/>
  <c r="D151" i="132"/>
  <c r="D153" i="132"/>
  <c r="D156" i="132"/>
  <c r="H261" i="170"/>
  <c r="B656" i="170"/>
  <c r="I745" i="170"/>
  <c r="D780" i="170"/>
  <c r="E813" i="170"/>
  <c r="D830" i="170"/>
  <c r="C862" i="170"/>
  <c r="C866" i="170"/>
  <c r="I867" i="170"/>
  <c r="K867" i="170" s="1"/>
  <c r="I880" i="170"/>
  <c r="D898" i="170"/>
  <c r="K913" i="170"/>
  <c r="C930" i="170"/>
  <c r="C935" i="170"/>
  <c r="E935" i="170" s="1"/>
  <c r="C968" i="170"/>
  <c r="C970" i="170"/>
  <c r="E970" i="170" s="1"/>
  <c r="I980" i="170"/>
  <c r="K980" i="170" s="1"/>
  <c r="J1017" i="170"/>
  <c r="K1017" i="170" s="1"/>
  <c r="D1102" i="170"/>
  <c r="C1155" i="170"/>
  <c r="D1187" i="170"/>
  <c r="I1220" i="170"/>
  <c r="J1255" i="170"/>
  <c r="K1255" i="170" s="1"/>
  <c r="E1307" i="170"/>
  <c r="D1374" i="170"/>
  <c r="E1461" i="170"/>
  <c r="H1560" i="170"/>
  <c r="H1951" i="170"/>
  <c r="J2171" i="170"/>
  <c r="C750" i="170"/>
  <c r="E750" i="170" s="1"/>
  <c r="C749" i="170"/>
  <c r="E749" i="170" s="1"/>
  <c r="C747" i="170"/>
  <c r="E747" i="170" s="1"/>
  <c r="C745" i="170"/>
  <c r="C742" i="170"/>
  <c r="D746" i="170" s="1"/>
  <c r="E746" i="170" s="1"/>
  <c r="I1104" i="170"/>
  <c r="I1102" i="170"/>
  <c r="I1100" i="170"/>
  <c r="I1098" i="170"/>
  <c r="J1102" i="170" s="1"/>
  <c r="K1096" i="170"/>
  <c r="I1106" i="170"/>
  <c r="K1106" i="170" s="1"/>
  <c r="I1105" i="170"/>
  <c r="K1105" i="170" s="1"/>
  <c r="I1103" i="170"/>
  <c r="K1103" i="170" s="1"/>
  <c r="I1099" i="170"/>
  <c r="K1099" i="170" s="1"/>
  <c r="C1225" i="170"/>
  <c r="E1225" i="170" s="1"/>
  <c r="C1224" i="170"/>
  <c r="E1224" i="170" s="1"/>
  <c r="C1222" i="170"/>
  <c r="C1220" i="170"/>
  <c r="C1217" i="170"/>
  <c r="D1221" i="170" s="1"/>
  <c r="C1221" i="170"/>
  <c r="C1218" i="170"/>
  <c r="E1218" i="170" s="1"/>
  <c r="E1215" i="170"/>
  <c r="I1286" i="170"/>
  <c r="K1286" i="170" s="1"/>
  <c r="I1291" i="170"/>
  <c r="I1289" i="170"/>
  <c r="I1287" i="170"/>
  <c r="I1285" i="170"/>
  <c r="J1289" i="170" s="1"/>
  <c r="K1283" i="170"/>
  <c r="I1293" i="170"/>
  <c r="K1293" i="170" s="1"/>
  <c r="I1290" i="170"/>
  <c r="I1376" i="170"/>
  <c r="K1376" i="170" s="1"/>
  <c r="I1374" i="170"/>
  <c r="I1372" i="170"/>
  <c r="K1372" i="170" s="1"/>
  <c r="I1370" i="170"/>
  <c r="J1374" i="170" s="1"/>
  <c r="K1368" i="170"/>
  <c r="I1378" i="170"/>
  <c r="K1378" i="170" s="1"/>
  <c r="I1377" i="170"/>
  <c r="K1377" i="170" s="1"/>
  <c r="I1375" i="170"/>
  <c r="K1375" i="170" s="1"/>
  <c r="I1371" i="170"/>
  <c r="K1371" i="170" s="1"/>
  <c r="I2093" i="170"/>
  <c r="I2095" i="170"/>
  <c r="K2095" i="170" s="1"/>
  <c r="I2087" i="170"/>
  <c r="J2091" i="170" s="1"/>
  <c r="K2085" i="170"/>
  <c r="I2091" i="170"/>
  <c r="I2089" i="170"/>
  <c r="I2094" i="170"/>
  <c r="K2094" i="170" s="1"/>
  <c r="I2090" i="170"/>
  <c r="I2088" i="170"/>
  <c r="K2088" i="170" s="1"/>
  <c r="E2181" i="170"/>
  <c r="C2185" i="170"/>
  <c r="C2190" i="170"/>
  <c r="E2190" i="170" s="1"/>
  <c r="C2183" i="170"/>
  <c r="D2187" i="170" s="1"/>
  <c r="E2187" i="170" s="1"/>
  <c r="C2186" i="170"/>
  <c r="C2187" i="170"/>
  <c r="C2184" i="170"/>
  <c r="E2184" i="170" s="1"/>
  <c r="C2191" i="170"/>
  <c r="E2191" i="170" s="1"/>
  <c r="H92" i="151"/>
  <c r="H100" i="151"/>
  <c r="H104" i="151"/>
  <c r="H107" i="151"/>
  <c r="H110" i="151"/>
  <c r="H114" i="151"/>
  <c r="H117" i="151"/>
  <c r="H121" i="151"/>
  <c r="H128" i="151"/>
  <c r="H141" i="151"/>
  <c r="O141" i="151"/>
  <c r="H144" i="151"/>
  <c r="O144" i="151"/>
  <c r="H148" i="151"/>
  <c r="H153" i="151"/>
  <c r="H155" i="151"/>
  <c r="H158" i="151"/>
  <c r="P158" i="151"/>
  <c r="D23" i="132"/>
  <c r="D41" i="132"/>
  <c r="D52" i="132"/>
  <c r="D76" i="132"/>
  <c r="C744" i="170"/>
  <c r="C748" i="170"/>
  <c r="I865" i="170"/>
  <c r="I932" i="170"/>
  <c r="I936" i="170"/>
  <c r="K936" i="170" s="1"/>
  <c r="I963" i="170"/>
  <c r="K963" i="170" s="1"/>
  <c r="I965" i="170"/>
  <c r="J1000" i="170"/>
  <c r="J1034" i="170"/>
  <c r="K1034" i="170" s="1"/>
  <c r="C1083" i="170"/>
  <c r="D1170" i="170"/>
  <c r="C1223" i="170"/>
  <c r="D1255" i="170"/>
  <c r="J1272" i="170"/>
  <c r="K1272" i="170" s="1"/>
  <c r="I1288" i="170"/>
  <c r="J1323" i="170"/>
  <c r="K1323" i="170" s="1"/>
  <c r="C1355" i="170"/>
  <c r="E1409" i="170"/>
  <c r="E2137" i="170"/>
  <c r="C2189" i="170"/>
  <c r="E2218" i="170"/>
  <c r="E1045" i="170"/>
  <c r="C1055" i="170"/>
  <c r="E1055" i="170" s="1"/>
  <c r="C1054" i="170"/>
  <c r="E1054" i="170" s="1"/>
  <c r="C1052" i="170"/>
  <c r="C1050" i="170"/>
  <c r="C1047" i="170"/>
  <c r="D1051" i="170" s="1"/>
  <c r="C2255" i="170"/>
  <c r="E2255" i="170" s="1"/>
  <c r="C2254" i="170"/>
  <c r="E2254" i="170" s="1"/>
  <c r="C2252" i="170"/>
  <c r="E2252" i="170" s="1"/>
  <c r="C2250" i="170"/>
  <c r="C2247" i="170"/>
  <c r="D2251" i="170" s="1"/>
  <c r="E2251" i="170" s="1"/>
  <c r="C2251" i="170"/>
  <c r="C2248" i="170"/>
  <c r="E2248" i="170" s="1"/>
  <c r="E2245" i="170"/>
  <c r="C2249" i="170"/>
  <c r="C2413" i="170"/>
  <c r="E2405" i="170"/>
  <c r="C2410" i="170"/>
  <c r="C2407" i="170"/>
  <c r="D2411" i="170" s="1"/>
  <c r="E2411" i="170" s="1"/>
  <c r="C2411" i="170"/>
  <c r="C2408" i="170"/>
  <c r="E2408" i="170" s="1"/>
  <c r="C2409" i="170"/>
  <c r="C2414" i="170"/>
  <c r="E2414" i="170" s="1"/>
  <c r="C2412" i="170"/>
  <c r="E2412" i="170" s="1"/>
  <c r="C708" i="170"/>
  <c r="C711" i="170"/>
  <c r="I760" i="170"/>
  <c r="K760" i="170" s="1"/>
  <c r="I779" i="170"/>
  <c r="C794" i="170"/>
  <c r="E794" i="170" s="1"/>
  <c r="C795" i="170"/>
  <c r="C797" i="170"/>
  <c r="E808" i="170"/>
  <c r="I813" i="170"/>
  <c r="E824" i="170"/>
  <c r="I829" i="170"/>
  <c r="I844" i="170"/>
  <c r="K844" i="170" s="1"/>
  <c r="C878" i="170"/>
  <c r="E878" i="170" s="1"/>
  <c r="C879" i="170"/>
  <c r="C881" i="170"/>
  <c r="E892" i="170"/>
  <c r="I897" i="170"/>
  <c r="I912" i="170"/>
  <c r="K912" i="170" s="1"/>
  <c r="I948" i="170"/>
  <c r="I949" i="170"/>
  <c r="I953" i="170"/>
  <c r="K953" i="170" s="1"/>
  <c r="I1000" i="170"/>
  <c r="C1014" i="170"/>
  <c r="E1014" i="170" s="1"/>
  <c r="C1017" i="170"/>
  <c r="C1018" i="170"/>
  <c r="C1021" i="170"/>
  <c r="E1021" i="170" s="1"/>
  <c r="C1066" i="170"/>
  <c r="C1134" i="170"/>
  <c r="K1187" i="170"/>
  <c r="C1202" i="170"/>
  <c r="E1202" i="170" s="1"/>
  <c r="C1270" i="170"/>
  <c r="C1338" i="170"/>
  <c r="C1406" i="170"/>
  <c r="E2074" i="170"/>
  <c r="D2203" i="170"/>
  <c r="E2203" i="170" s="1"/>
  <c r="E2441" i="170"/>
  <c r="D2507" i="170"/>
  <c r="C953" i="170"/>
  <c r="E953" i="170" s="1"/>
  <c r="C952" i="170"/>
  <c r="E952" i="170" s="1"/>
  <c r="C950" i="170"/>
  <c r="C948" i="170"/>
  <c r="C945" i="170"/>
  <c r="D949" i="170" s="1"/>
  <c r="E949" i="170" s="1"/>
  <c r="I1004" i="170"/>
  <c r="K1004" i="170" s="1"/>
  <c r="I1003" i="170"/>
  <c r="K1003" i="170" s="1"/>
  <c r="C1036" i="170"/>
  <c r="E1028" i="170"/>
  <c r="E1062" i="170"/>
  <c r="C1072" i="170"/>
  <c r="E1072" i="170" s="1"/>
  <c r="C1071" i="170"/>
  <c r="E1071" i="170" s="1"/>
  <c r="C1069" i="170"/>
  <c r="C1067" i="170"/>
  <c r="E1067" i="170" s="1"/>
  <c r="C1064" i="170"/>
  <c r="D1068" i="170" s="1"/>
  <c r="E1068" i="170" s="1"/>
  <c r="E1130" i="170"/>
  <c r="C1140" i="170"/>
  <c r="E1140" i="170" s="1"/>
  <c r="C1139" i="170"/>
  <c r="E1139" i="170" s="1"/>
  <c r="C1137" i="170"/>
  <c r="C1135" i="170"/>
  <c r="C1132" i="170"/>
  <c r="D1136" i="170" s="1"/>
  <c r="E1136" i="170" s="1"/>
  <c r="E1198" i="170"/>
  <c r="C1208" i="170"/>
  <c r="E1208" i="170" s="1"/>
  <c r="C1207" i="170"/>
  <c r="E1207" i="170" s="1"/>
  <c r="C1205" i="170"/>
  <c r="C1203" i="170"/>
  <c r="E1203" i="170" s="1"/>
  <c r="C1200" i="170"/>
  <c r="D1204" i="170" s="1"/>
  <c r="E1204" i="170" s="1"/>
  <c r="E1266" i="170"/>
  <c r="C1276" i="170"/>
  <c r="E1276" i="170" s="1"/>
  <c r="C1275" i="170"/>
  <c r="E1275" i="170" s="1"/>
  <c r="C1273" i="170"/>
  <c r="C1271" i="170"/>
  <c r="C1268" i="170"/>
  <c r="D1272" i="170" s="1"/>
  <c r="E1272" i="170" s="1"/>
  <c r="E1334" i="170"/>
  <c r="C1344" i="170"/>
  <c r="E1344" i="170" s="1"/>
  <c r="C1343" i="170"/>
  <c r="E1343" i="170" s="1"/>
  <c r="C1341" i="170"/>
  <c r="C1339" i="170"/>
  <c r="E1339" i="170" s="1"/>
  <c r="C1336" i="170"/>
  <c r="D1340" i="170" s="1"/>
  <c r="E1340" i="170" s="1"/>
  <c r="C1412" i="170"/>
  <c r="E1412" i="170" s="1"/>
  <c r="C1411" i="170"/>
  <c r="E1411" i="170" s="1"/>
  <c r="E1402" i="170"/>
  <c r="C1410" i="170"/>
  <c r="C1407" i="170"/>
  <c r="C1404" i="170"/>
  <c r="D1408" i="170" s="1"/>
  <c r="E1408" i="170" s="1"/>
  <c r="C1427" i="170"/>
  <c r="E1419" i="170"/>
  <c r="C1429" i="170"/>
  <c r="E1429" i="170" s="1"/>
  <c r="C1426" i="170"/>
  <c r="C1421" i="170"/>
  <c r="D1425" i="170" s="1"/>
  <c r="E1425" i="170" s="1"/>
  <c r="C1428" i="170"/>
  <c r="E1428" i="170" s="1"/>
  <c r="C1424" i="170"/>
  <c r="C1423" i="170"/>
  <c r="I1444" i="170"/>
  <c r="K1444" i="170" s="1"/>
  <c r="I1442" i="170"/>
  <c r="I1441" i="170"/>
  <c r="K1441" i="170" s="1"/>
  <c r="I1446" i="170"/>
  <c r="K1446" i="170" s="1"/>
  <c r="K1436" i="170"/>
  <c r="I1445" i="170"/>
  <c r="K1445" i="170" s="1"/>
  <c r="I1443" i="170"/>
  <c r="I1440" i="170"/>
  <c r="I1439" i="170"/>
  <c r="K1439" i="170" s="1"/>
  <c r="C1480" i="170"/>
  <c r="E1472" i="170"/>
  <c r="C1478" i="170"/>
  <c r="C1475" i="170"/>
  <c r="E1475" i="170" s="1"/>
  <c r="C1477" i="170"/>
  <c r="I2077" i="170"/>
  <c r="I2073" i="170"/>
  <c r="I2071" i="170"/>
  <c r="J2075" i="170" s="1"/>
  <c r="K2069" i="170"/>
  <c r="I2078" i="170"/>
  <c r="K2078" i="170" s="1"/>
  <c r="I2076" i="170"/>
  <c r="I2075" i="170"/>
  <c r="I2079" i="170"/>
  <c r="K2079" i="170" s="1"/>
  <c r="I2520" i="170"/>
  <c r="K2520" i="170" s="1"/>
  <c r="I2525" i="170"/>
  <c r="I2521" i="170"/>
  <c r="I2519" i="170"/>
  <c r="J2523" i="170" s="1"/>
  <c r="K2517" i="170"/>
  <c r="I2526" i="170"/>
  <c r="K2526" i="170" s="1"/>
  <c r="I2527" i="170"/>
  <c r="K2527" i="170" s="1"/>
  <c r="I2523" i="170"/>
  <c r="I2524" i="170"/>
  <c r="I2585" i="170"/>
  <c r="K2585" i="170" s="1"/>
  <c r="K2582" i="170"/>
  <c r="I2591" i="170"/>
  <c r="K2591" i="170" s="1"/>
  <c r="I2589" i="170"/>
  <c r="I2587" i="170"/>
  <c r="I2592" i="170"/>
  <c r="K2592" i="170" s="1"/>
  <c r="I2590" i="170"/>
  <c r="I2588" i="170"/>
  <c r="I2586" i="170"/>
  <c r="C713" i="170"/>
  <c r="C725" i="170"/>
  <c r="C726" i="170"/>
  <c r="C727" i="170"/>
  <c r="C728" i="170"/>
  <c r="C729" i="170"/>
  <c r="I762" i="170"/>
  <c r="C777" i="170"/>
  <c r="E777" i="170" s="1"/>
  <c r="C778" i="170"/>
  <c r="E778" i="170" s="1"/>
  <c r="C780" i="170"/>
  <c r="C811" i="170"/>
  <c r="E811" i="170" s="1"/>
  <c r="C812" i="170"/>
  <c r="C814" i="170"/>
  <c r="C827" i="170"/>
  <c r="E827" i="170" s="1"/>
  <c r="C828" i="170"/>
  <c r="C830" i="170"/>
  <c r="I846" i="170"/>
  <c r="K846" i="170" s="1"/>
  <c r="C895" i="170"/>
  <c r="E895" i="170" s="1"/>
  <c r="C896" i="170"/>
  <c r="C898" i="170"/>
  <c r="I914" i="170"/>
  <c r="K914" i="170" s="1"/>
  <c r="C951" i="170"/>
  <c r="I997" i="170"/>
  <c r="K997" i="170" s="1"/>
  <c r="I998" i="170"/>
  <c r="I999" i="170"/>
  <c r="C1031" i="170"/>
  <c r="E1031" i="170" s="1"/>
  <c r="C1034" i="170"/>
  <c r="C1038" i="170"/>
  <c r="E1038" i="170" s="1"/>
  <c r="E1051" i="170"/>
  <c r="D2139" i="170"/>
  <c r="E2253" i="170"/>
  <c r="I2522" i="170"/>
  <c r="K2522" i="170" s="1"/>
  <c r="C1462" i="170"/>
  <c r="C1459" i="170"/>
  <c r="E1454" i="170"/>
  <c r="C2219" i="170"/>
  <c r="C2221" i="170"/>
  <c r="C2223" i="170"/>
  <c r="E2223" i="170" s="1"/>
  <c r="C2220" i="170"/>
  <c r="E2220" i="170" s="1"/>
  <c r="E2213" i="170"/>
  <c r="C2222" i="170"/>
  <c r="E2222" i="170" s="1"/>
  <c r="C2217" i="170"/>
  <c r="C2215" i="170"/>
  <c r="D2219" i="170" s="1"/>
  <c r="C2442" i="170"/>
  <c r="C2439" i="170"/>
  <c r="D2443" i="170" s="1"/>
  <c r="C2447" i="170"/>
  <c r="E2447" i="170" s="1"/>
  <c r="C2446" i="170"/>
  <c r="E2446" i="170" s="1"/>
  <c r="C2444" i="170"/>
  <c r="C2445" i="170"/>
  <c r="C2443" i="170"/>
  <c r="C2440" i="170"/>
  <c r="E2440" i="170" s="1"/>
  <c r="E2437" i="170"/>
  <c r="C980" i="170"/>
  <c r="E980" i="170" s="1"/>
  <c r="C981" i="170"/>
  <c r="C983" i="170"/>
  <c r="C997" i="170"/>
  <c r="E997" i="170" s="1"/>
  <c r="C998" i="170"/>
  <c r="C1000" i="170"/>
  <c r="I1016" i="170"/>
  <c r="I1033" i="170"/>
  <c r="I1048" i="170"/>
  <c r="K1048" i="170" s="1"/>
  <c r="I1065" i="170"/>
  <c r="K1065" i="170" s="1"/>
  <c r="C1099" i="170"/>
  <c r="E1099" i="170" s="1"/>
  <c r="C1100" i="170"/>
  <c r="E1100" i="170" s="1"/>
  <c r="C1102" i="170"/>
  <c r="E1113" i="170"/>
  <c r="I1118" i="170"/>
  <c r="K1118" i="170" s="1"/>
  <c r="I1133" i="170"/>
  <c r="K1133" i="170" s="1"/>
  <c r="C1167" i="170"/>
  <c r="E1167" i="170" s="1"/>
  <c r="C1168" i="170"/>
  <c r="C1170" i="170"/>
  <c r="E1181" i="170"/>
  <c r="I1186" i="170"/>
  <c r="I1201" i="170"/>
  <c r="K1201" i="170" s="1"/>
  <c r="C1235" i="170"/>
  <c r="E1235" i="170" s="1"/>
  <c r="C1236" i="170"/>
  <c r="C1238" i="170"/>
  <c r="E1249" i="170"/>
  <c r="I1254" i="170"/>
  <c r="I1269" i="170"/>
  <c r="K1269" i="170" s="1"/>
  <c r="C1303" i="170"/>
  <c r="E1303" i="170" s="1"/>
  <c r="C1304" i="170"/>
  <c r="C1306" i="170"/>
  <c r="E1317" i="170"/>
  <c r="I1322" i="170"/>
  <c r="I1337" i="170"/>
  <c r="K1337" i="170" s="1"/>
  <c r="C1371" i="170"/>
  <c r="E1371" i="170" s="1"/>
  <c r="C1372" i="170"/>
  <c r="C1374" i="170"/>
  <c r="E1385" i="170"/>
  <c r="I1390" i="170"/>
  <c r="I1405" i="170"/>
  <c r="K1405" i="170" s="1"/>
  <c r="J1425" i="170"/>
  <c r="K1425" i="170" s="1"/>
  <c r="I2055" i="170"/>
  <c r="J2059" i="170" s="1"/>
  <c r="J2123" i="170"/>
  <c r="I2056" i="170"/>
  <c r="K2056" i="170" s="1"/>
  <c r="I2062" i="170"/>
  <c r="K2062" i="170" s="1"/>
  <c r="I2061" i="170"/>
  <c r="K2061" i="170" s="1"/>
  <c r="I2060" i="170"/>
  <c r="K2053" i="170"/>
  <c r="I2059" i="170"/>
  <c r="I2057" i="170"/>
  <c r="C2301" i="170"/>
  <c r="E2293" i="170"/>
  <c r="C2298" i="170"/>
  <c r="E2298" i="170" s="1"/>
  <c r="C2295" i="170"/>
  <c r="D2299" i="170" s="1"/>
  <c r="C2299" i="170"/>
  <c r="C2296" i="170"/>
  <c r="E2296" i="170" s="1"/>
  <c r="C2297" i="170"/>
  <c r="C2302" i="170"/>
  <c r="E2302" i="170" s="1"/>
  <c r="C2300" i="170"/>
  <c r="I1050" i="170"/>
  <c r="I1067" i="170"/>
  <c r="K1067" i="170" s="1"/>
  <c r="C1116" i="170"/>
  <c r="E1116" i="170" s="1"/>
  <c r="C1117" i="170"/>
  <c r="C1119" i="170"/>
  <c r="I1135" i="170"/>
  <c r="K1135" i="170" s="1"/>
  <c r="C1184" i="170"/>
  <c r="E1184" i="170" s="1"/>
  <c r="C1185" i="170"/>
  <c r="C1187" i="170"/>
  <c r="I1203" i="170"/>
  <c r="K1203" i="170" s="1"/>
  <c r="C1252" i="170"/>
  <c r="E1252" i="170" s="1"/>
  <c r="C1253" i="170"/>
  <c r="C1255" i="170"/>
  <c r="I1271" i="170"/>
  <c r="K1271" i="170" s="1"/>
  <c r="C1320" i="170"/>
  <c r="E1320" i="170" s="1"/>
  <c r="C1321" i="170"/>
  <c r="C1323" i="170"/>
  <c r="I1339" i="170"/>
  <c r="K1339" i="170" s="1"/>
  <c r="C1388" i="170"/>
  <c r="E1388" i="170" s="1"/>
  <c r="C1389" i="170"/>
  <c r="C1391" i="170"/>
  <c r="K1480" i="170"/>
  <c r="C2303" i="170"/>
  <c r="E2303" i="170" s="1"/>
  <c r="E2330" i="170"/>
  <c r="E2393" i="170"/>
  <c r="C2063" i="170"/>
  <c r="E2063" i="170" s="1"/>
  <c r="C2062" i="170"/>
  <c r="E2062" i="170" s="1"/>
  <c r="C2060" i="170"/>
  <c r="C2058" i="170"/>
  <c r="C2055" i="170"/>
  <c r="D2059" i="170" s="1"/>
  <c r="E2059" i="170" s="1"/>
  <c r="I2125" i="170"/>
  <c r="I2124" i="170"/>
  <c r="I2123" i="170"/>
  <c r="I2120" i="170"/>
  <c r="K2120" i="170" s="1"/>
  <c r="I2168" i="170"/>
  <c r="K2168" i="170" s="1"/>
  <c r="I2175" i="170"/>
  <c r="K2175" i="170" s="1"/>
  <c r="I2174" i="170"/>
  <c r="K2174" i="170" s="1"/>
  <c r="I2361" i="170"/>
  <c r="I2359" i="170"/>
  <c r="J2363" i="170" s="1"/>
  <c r="K2363" i="170" s="1"/>
  <c r="K2357" i="170"/>
  <c r="I2365" i="170"/>
  <c r="I2367" i="170"/>
  <c r="K2367" i="170" s="1"/>
  <c r="I2366" i="170"/>
  <c r="K2366" i="170" s="1"/>
  <c r="I2363" i="170"/>
  <c r="I2360" i="170"/>
  <c r="K2360" i="170" s="1"/>
  <c r="C2378" i="170"/>
  <c r="C2375" i="170"/>
  <c r="D2379" i="170" s="1"/>
  <c r="E2379" i="170" s="1"/>
  <c r="C2383" i="170"/>
  <c r="E2383" i="170" s="1"/>
  <c r="C2382" i="170"/>
  <c r="E2382" i="170" s="1"/>
  <c r="C2380" i="170"/>
  <c r="C2381" i="170"/>
  <c r="E2381" i="170" s="1"/>
  <c r="I2425" i="170"/>
  <c r="I2423" i="170"/>
  <c r="J2427" i="170" s="1"/>
  <c r="K2427" i="170" s="1"/>
  <c r="K2421" i="170"/>
  <c r="I2429" i="170"/>
  <c r="I2431" i="170"/>
  <c r="K2431" i="170" s="1"/>
  <c r="I2424" i="170"/>
  <c r="K2424" i="170" s="1"/>
  <c r="C2543" i="170"/>
  <c r="E2543" i="170" s="1"/>
  <c r="C2542" i="170"/>
  <c r="E2542" i="170" s="1"/>
  <c r="C2535" i="170"/>
  <c r="D2539" i="170" s="1"/>
  <c r="C2537" i="170"/>
  <c r="C2541" i="170"/>
  <c r="C2539" i="170"/>
  <c r="I1424" i="170"/>
  <c r="I1428" i="170"/>
  <c r="K1428" i="170" s="1"/>
  <c r="I1457" i="170"/>
  <c r="K1457" i="170" s="1"/>
  <c r="I1463" i="170"/>
  <c r="K1463" i="170" s="1"/>
  <c r="I2039" i="170"/>
  <c r="I2040" i="170"/>
  <c r="K2040" i="170" s="1"/>
  <c r="E2117" i="170"/>
  <c r="I2122" i="170"/>
  <c r="C2124" i="170"/>
  <c r="I2171" i="170"/>
  <c r="C2202" i="170"/>
  <c r="C2204" i="170"/>
  <c r="E2204" i="170" s="1"/>
  <c r="C2207" i="170"/>
  <c r="E2207" i="170" s="1"/>
  <c r="D2235" i="170"/>
  <c r="D2331" i="170"/>
  <c r="K2508" i="170"/>
  <c r="C2538" i="170"/>
  <c r="K2541" i="170"/>
  <c r="C2122" i="170"/>
  <c r="E2122" i="170" s="1"/>
  <c r="C2119" i="170"/>
  <c r="D2123" i="170" s="1"/>
  <c r="E2123" i="170" s="1"/>
  <c r="C2143" i="170"/>
  <c r="E2143" i="170" s="1"/>
  <c r="C2142" i="170"/>
  <c r="E2142" i="170" s="1"/>
  <c r="C2140" i="170"/>
  <c r="C2141" i="170"/>
  <c r="E2133" i="170"/>
  <c r="I2152" i="170"/>
  <c r="K2152" i="170" s="1"/>
  <c r="I2159" i="170"/>
  <c r="K2159" i="170" s="1"/>
  <c r="I2158" i="170"/>
  <c r="K2158" i="170" s="1"/>
  <c r="I2264" i="170"/>
  <c r="K2264" i="170" s="1"/>
  <c r="I2269" i="170"/>
  <c r="I2265" i="170"/>
  <c r="I2263" i="170"/>
  <c r="J2267" i="170" s="1"/>
  <c r="K2267" i="170" s="1"/>
  <c r="K2261" i="170"/>
  <c r="I2270" i="170"/>
  <c r="K2270" i="170" s="1"/>
  <c r="I2271" i="170"/>
  <c r="K2271" i="170" s="1"/>
  <c r="D2091" i="170"/>
  <c r="E2091" i="170" s="1"/>
  <c r="C2125" i="170"/>
  <c r="C2136" i="170"/>
  <c r="E2136" i="170" s="1"/>
  <c r="I2155" i="170"/>
  <c r="I2268" i="170"/>
  <c r="D2556" i="170"/>
  <c r="C2271" i="170"/>
  <c r="E2271" i="170" s="1"/>
  <c r="C2270" i="170"/>
  <c r="E2270" i="170" s="1"/>
  <c r="C2268" i="170"/>
  <c r="C2266" i="170"/>
  <c r="C2263" i="170"/>
  <c r="D2267" i="170" s="1"/>
  <c r="E2267" i="170" s="1"/>
  <c r="I2280" i="170"/>
  <c r="K2280" i="170" s="1"/>
  <c r="I2285" i="170"/>
  <c r="I2281" i="170"/>
  <c r="I2279" i="170"/>
  <c r="J2283" i="170" s="1"/>
  <c r="K2283" i="170" s="1"/>
  <c r="K2277" i="170"/>
  <c r="E2389" i="170"/>
  <c r="C2399" i="170"/>
  <c r="E2399" i="170" s="1"/>
  <c r="C2398" i="170"/>
  <c r="E2398" i="170" s="1"/>
  <c r="C2396" i="170"/>
  <c r="C2394" i="170"/>
  <c r="C2391" i="170"/>
  <c r="D2395" i="170" s="1"/>
  <c r="E2395" i="170" s="1"/>
  <c r="C2461" i="170"/>
  <c r="E2453" i="170"/>
  <c r="C2458" i="170"/>
  <c r="C2455" i="170"/>
  <c r="D2459" i="170" s="1"/>
  <c r="E2459" i="170" s="1"/>
  <c r="C2527" i="170"/>
  <c r="E2527" i="170" s="1"/>
  <c r="C2526" i="170"/>
  <c r="E2526" i="170" s="1"/>
  <c r="C2524" i="170"/>
  <c r="C2522" i="170"/>
  <c r="C2519" i="170"/>
  <c r="D2523" i="170" s="1"/>
  <c r="E2523" i="170" s="1"/>
  <c r="I2537" i="170"/>
  <c r="I2536" i="170"/>
  <c r="K2536" i="170" s="1"/>
  <c r="I2540" i="170"/>
  <c r="K2540" i="170" s="1"/>
  <c r="I2539" i="170"/>
  <c r="I2538" i="170"/>
  <c r="I2535" i="170"/>
  <c r="J2539" i="170" s="1"/>
  <c r="K2533" i="170"/>
  <c r="C2558" i="170"/>
  <c r="C2557" i="170"/>
  <c r="C2553" i="170"/>
  <c r="E2553" i="170" s="1"/>
  <c r="C2560" i="170"/>
  <c r="E2560" i="170" s="1"/>
  <c r="C2559" i="170"/>
  <c r="E2559" i="170" s="1"/>
  <c r="C2088" i="170"/>
  <c r="E2088" i="170" s="1"/>
  <c r="C2089" i="170"/>
  <c r="I2138" i="170"/>
  <c r="I2142" i="170"/>
  <c r="K2142" i="170" s="1"/>
  <c r="C2152" i="170"/>
  <c r="E2152" i="170" s="1"/>
  <c r="C2153" i="170"/>
  <c r="C2155" i="170"/>
  <c r="C2168" i="170"/>
  <c r="E2168" i="170" s="1"/>
  <c r="C2169" i="170"/>
  <c r="C2171" i="170"/>
  <c r="K2181" i="170"/>
  <c r="I2183" i="170"/>
  <c r="J2187" i="170" s="1"/>
  <c r="I2185" i="170"/>
  <c r="I2189" i="170"/>
  <c r="K2197" i="170"/>
  <c r="I2199" i="170"/>
  <c r="J2203" i="170" s="1"/>
  <c r="I2201" i="170"/>
  <c r="I2205" i="170"/>
  <c r="K2213" i="170"/>
  <c r="E2237" i="170"/>
  <c r="C2265" i="170"/>
  <c r="I2282" i="170"/>
  <c r="I2284" i="170"/>
  <c r="K2284" i="170" s="1"/>
  <c r="J2331" i="170"/>
  <c r="K2329" i="170"/>
  <c r="C2460" i="170"/>
  <c r="C2463" i="170"/>
  <c r="E2463" i="170" s="1"/>
  <c r="I2507" i="170"/>
  <c r="C2521" i="170"/>
  <c r="J2556" i="170"/>
  <c r="K2556" i="170" s="1"/>
  <c r="K2566" i="170"/>
  <c r="I2221" i="170"/>
  <c r="K2221" i="170" s="1"/>
  <c r="I2223" i="170"/>
  <c r="K2223" i="170" s="1"/>
  <c r="I2222" i="170"/>
  <c r="K2222" i="170" s="1"/>
  <c r="I2219" i="170"/>
  <c r="I2218" i="170"/>
  <c r="I2233" i="170"/>
  <c r="K2233" i="170" s="1"/>
  <c r="I2231" i="170"/>
  <c r="J2235" i="170" s="1"/>
  <c r="K2235" i="170" s="1"/>
  <c r="K2229" i="170"/>
  <c r="I2237" i="170"/>
  <c r="I2248" i="170"/>
  <c r="K2248" i="170" s="1"/>
  <c r="I2253" i="170"/>
  <c r="I2249" i="170"/>
  <c r="I2247" i="170"/>
  <c r="J2251" i="170" s="1"/>
  <c r="K2251" i="170" s="1"/>
  <c r="K2245" i="170"/>
  <c r="I2380" i="170"/>
  <c r="I2379" i="170"/>
  <c r="I2376" i="170"/>
  <c r="K2376" i="170" s="1"/>
  <c r="I2377" i="170"/>
  <c r="I2375" i="170"/>
  <c r="J2379" i="170" s="1"/>
  <c r="K2379" i="170" s="1"/>
  <c r="K2373" i="170"/>
  <c r="I2444" i="170"/>
  <c r="K2444" i="170" s="1"/>
  <c r="I2443" i="170"/>
  <c r="I2440" i="170"/>
  <c r="K2440" i="170" s="1"/>
  <c r="I2441" i="170"/>
  <c r="I2439" i="170"/>
  <c r="J2443" i="170" s="1"/>
  <c r="K2437" i="170"/>
  <c r="I2505" i="170"/>
  <c r="I2503" i="170"/>
  <c r="J2507" i="170" s="1"/>
  <c r="K2507" i="170" s="1"/>
  <c r="K2501" i="170"/>
  <c r="I2509" i="170"/>
  <c r="K2509" i="170" s="1"/>
  <c r="I2576" i="170"/>
  <c r="K2576" i="170" s="1"/>
  <c r="I2575" i="170"/>
  <c r="K2575" i="170" s="1"/>
  <c r="I2574" i="170"/>
  <c r="K2574" i="170" s="1"/>
  <c r="I2573" i="170"/>
  <c r="I2568" i="170"/>
  <c r="J2572" i="170" s="1"/>
  <c r="I2606" i="170"/>
  <c r="K2606" i="170" s="1"/>
  <c r="I2605" i="170"/>
  <c r="I2604" i="170"/>
  <c r="I2600" i="170"/>
  <c r="K2600" i="170" s="1"/>
  <c r="J2139" i="170"/>
  <c r="K2139" i="170" s="1"/>
  <c r="D2171" i="170"/>
  <c r="I2186" i="170"/>
  <c r="I2187" i="170"/>
  <c r="I2202" i="170"/>
  <c r="K2202" i="170" s="1"/>
  <c r="I2203" i="170"/>
  <c r="I2234" i="170"/>
  <c r="I2239" i="170"/>
  <c r="K2239" i="170" s="1"/>
  <c r="I2250" i="170"/>
  <c r="I2252" i="170"/>
  <c r="K2252" i="170" s="1"/>
  <c r="D2347" i="170"/>
  <c r="E2347" i="170" s="1"/>
  <c r="I2378" i="170"/>
  <c r="I2383" i="170"/>
  <c r="K2383" i="170" s="1"/>
  <c r="E2426" i="170"/>
  <c r="I2442" i="170"/>
  <c r="I2447" i="170"/>
  <c r="K2447" i="170" s="1"/>
  <c r="J2459" i="170"/>
  <c r="J2475" i="170"/>
  <c r="I2506" i="170"/>
  <c r="K2506" i="170" s="1"/>
  <c r="I2510" i="170"/>
  <c r="K2510" i="170" s="1"/>
  <c r="I2570" i="170"/>
  <c r="I2572" i="170"/>
  <c r="C2232" i="170"/>
  <c r="E2232" i="170" s="1"/>
  <c r="C2233" i="170"/>
  <c r="C2235" i="170"/>
  <c r="I2296" i="170"/>
  <c r="K2296" i="170" s="1"/>
  <c r="I2299" i="170"/>
  <c r="I2300" i="170"/>
  <c r="E2309" i="170"/>
  <c r="I2314" i="170"/>
  <c r="I2315" i="170"/>
  <c r="I2316" i="170"/>
  <c r="E2325" i="170"/>
  <c r="I2330" i="170"/>
  <c r="I2331" i="170"/>
  <c r="I2332" i="170"/>
  <c r="E2341" i="170"/>
  <c r="I2346" i="170"/>
  <c r="I2347" i="170"/>
  <c r="C2349" i="170"/>
  <c r="I2350" i="170"/>
  <c r="K2350" i="170" s="1"/>
  <c r="I2351" i="170"/>
  <c r="K2351" i="170" s="1"/>
  <c r="C2360" i="170"/>
  <c r="E2360" i="170" s="1"/>
  <c r="C2361" i="170"/>
  <c r="C2363" i="170"/>
  <c r="I2392" i="170"/>
  <c r="K2392" i="170" s="1"/>
  <c r="I2408" i="170"/>
  <c r="K2408" i="170" s="1"/>
  <c r="I2412" i="170"/>
  <c r="C2424" i="170"/>
  <c r="E2424" i="170" s="1"/>
  <c r="C2425" i="170"/>
  <c r="I2456" i="170"/>
  <c r="K2456" i="170" s="1"/>
  <c r="I2459" i="170"/>
  <c r="I2460" i="170"/>
  <c r="E2469" i="170"/>
  <c r="I2474" i="170"/>
  <c r="K2474" i="170" s="1"/>
  <c r="I2475" i="170"/>
  <c r="E2485" i="170"/>
  <c r="I2490" i="170"/>
  <c r="I2491" i="170"/>
  <c r="C2493" i="170"/>
  <c r="I2494" i="170"/>
  <c r="K2494" i="170" s="1"/>
  <c r="C2504" i="170"/>
  <c r="E2504" i="170" s="1"/>
  <c r="C2505" i="170"/>
  <c r="E2505" i="170" s="1"/>
  <c r="K2550" i="170"/>
  <c r="I2551" i="170"/>
  <c r="I2553" i="170"/>
  <c r="K2553" i="170" s="1"/>
  <c r="E2566" i="170"/>
  <c r="C2567" i="170"/>
  <c r="C2572" i="170"/>
  <c r="C2586" i="170"/>
  <c r="C2587" i="170"/>
  <c r="C2588" i="170"/>
  <c r="C2589" i="170"/>
  <c r="C2590" i="170"/>
  <c r="C2591" i="170"/>
  <c r="E2591" i="170" s="1"/>
  <c r="C2601" i="170"/>
  <c r="E2601" i="170" s="1"/>
  <c r="C2602" i="170"/>
  <c r="C2603" i="170"/>
  <c r="C2236" i="170"/>
  <c r="C2238" i="170"/>
  <c r="E2238" i="170" s="1"/>
  <c r="I2298" i="170"/>
  <c r="I2302" i="170"/>
  <c r="K2302" i="170" s="1"/>
  <c r="C2312" i="170"/>
  <c r="E2312" i="170" s="1"/>
  <c r="C2313" i="170"/>
  <c r="C2315" i="170"/>
  <c r="I2318" i="170"/>
  <c r="K2318" i="170" s="1"/>
  <c r="C2328" i="170"/>
  <c r="E2328" i="170" s="1"/>
  <c r="C2329" i="170"/>
  <c r="C2331" i="170"/>
  <c r="I2334" i="170"/>
  <c r="K2334" i="170" s="1"/>
  <c r="C2344" i="170"/>
  <c r="E2344" i="170" s="1"/>
  <c r="C2345" i="170"/>
  <c r="C2366" i="170"/>
  <c r="E2366" i="170" s="1"/>
  <c r="I2394" i="170"/>
  <c r="I2395" i="170"/>
  <c r="I2410" i="170"/>
  <c r="I2411" i="170"/>
  <c r="I2414" i="170"/>
  <c r="K2414" i="170" s="1"/>
  <c r="I2458" i="170"/>
  <c r="K2458" i="170" s="1"/>
  <c r="I2462" i="170"/>
  <c r="K2462" i="170" s="1"/>
  <c r="C2472" i="170"/>
  <c r="E2472" i="170" s="1"/>
  <c r="C2473" i="170"/>
  <c r="C2475" i="170"/>
  <c r="C2488" i="170"/>
  <c r="E2488" i="170" s="1"/>
  <c r="C2489" i="170"/>
  <c r="I2554" i="170"/>
  <c r="C2568" i="170"/>
  <c r="D2572" i="170" s="1"/>
  <c r="C2570" i="170"/>
  <c r="E2570" i="170" s="1"/>
  <c r="M36" i="99"/>
  <c r="R36" i="99"/>
  <c r="N36" i="99"/>
  <c r="R40" i="99"/>
  <c r="G40" i="99"/>
  <c r="P68" i="99"/>
  <c r="K68" i="99"/>
  <c r="Q68" i="99"/>
  <c r="M68" i="99"/>
  <c r="O85" i="99"/>
  <c r="Q85" i="99"/>
  <c r="M85" i="99"/>
  <c r="P85" i="99"/>
  <c r="K85" i="99"/>
  <c r="R17" i="99"/>
  <c r="G17" i="99"/>
  <c r="P20" i="99"/>
  <c r="K20" i="99"/>
  <c r="F20" i="99"/>
  <c r="M20" i="99"/>
  <c r="R24" i="99"/>
  <c r="G24" i="99"/>
  <c r="Q34" i="99"/>
  <c r="N34" i="99"/>
  <c r="G34" i="99"/>
  <c r="P37" i="99"/>
  <c r="K37" i="99"/>
  <c r="F37" i="99"/>
  <c r="Q37" i="99"/>
  <c r="M37" i="99"/>
  <c r="O39" i="99"/>
  <c r="F39" i="99"/>
  <c r="P39" i="99"/>
  <c r="K39" i="99"/>
  <c r="M46" i="99"/>
  <c r="G46" i="99"/>
  <c r="O71" i="99"/>
  <c r="K71" i="99"/>
  <c r="M71" i="99"/>
  <c r="P73" i="99"/>
  <c r="K73" i="99"/>
  <c r="F73" i="99"/>
  <c r="M73" i="99"/>
  <c r="R73" i="99"/>
  <c r="N73" i="99"/>
  <c r="P80" i="99"/>
  <c r="K80" i="99"/>
  <c r="F80" i="99"/>
  <c r="N80" i="99"/>
  <c r="M80" i="99"/>
  <c r="Q89" i="99"/>
  <c r="F89" i="99"/>
  <c r="N89" i="99"/>
  <c r="O89" i="99"/>
  <c r="F90" i="99"/>
  <c r="O90" i="99"/>
  <c r="P91" i="99"/>
  <c r="F91" i="99"/>
  <c r="Q91" i="99"/>
  <c r="M91" i="99"/>
  <c r="N91" i="99"/>
  <c r="O36" i="99"/>
  <c r="O40" i="99"/>
  <c r="O68" i="99"/>
  <c r="O17" i="99"/>
  <c r="O20" i="99"/>
  <c r="G23" i="99"/>
  <c r="O24" i="99"/>
  <c r="F32" i="99"/>
  <c r="O34" i="99"/>
  <c r="K36" i="99"/>
  <c r="O37" i="99"/>
  <c r="K40" i="99"/>
  <c r="F44" i="99"/>
  <c r="O46" i="99"/>
  <c r="N68" i="99"/>
  <c r="M26" i="99"/>
  <c r="P48" i="99"/>
  <c r="K48" i="99"/>
  <c r="F48" i="99"/>
  <c r="M48" i="99"/>
  <c r="P50" i="99"/>
  <c r="K50" i="99"/>
  <c r="F50" i="99"/>
  <c r="Q50" i="99"/>
  <c r="P52" i="99"/>
  <c r="K52" i="99"/>
  <c r="F52" i="99"/>
  <c r="P54" i="99"/>
  <c r="K54" i="99"/>
  <c r="F54" i="99"/>
  <c r="Q54" i="99"/>
  <c r="P58" i="99"/>
  <c r="K58" i="99"/>
  <c r="F58" i="99"/>
  <c r="P60" i="99"/>
  <c r="K60" i="99"/>
  <c r="F60" i="99"/>
  <c r="Q60" i="99"/>
  <c r="M60" i="99"/>
  <c r="P62" i="99"/>
  <c r="K62" i="99"/>
  <c r="F62" i="99"/>
  <c r="M62" i="99"/>
  <c r="P64" i="99"/>
  <c r="K64" i="99"/>
  <c r="Q64" i="99"/>
  <c r="M64" i="99"/>
  <c r="O23" i="99"/>
  <c r="F23" i="99"/>
  <c r="P23" i="99"/>
  <c r="K23" i="99"/>
  <c r="Q32" i="99"/>
  <c r="N32" i="99"/>
  <c r="G32" i="99"/>
  <c r="Q44" i="99"/>
  <c r="M44" i="99"/>
  <c r="R44" i="99"/>
  <c r="R94" i="99"/>
  <c r="F94" i="99"/>
  <c r="O94" i="99"/>
  <c r="P94" i="99"/>
  <c r="Q30" i="99"/>
  <c r="M30" i="99"/>
  <c r="R30" i="99"/>
  <c r="Q42" i="99"/>
  <c r="N42" i="99"/>
  <c r="Q57" i="99"/>
  <c r="R57" i="99"/>
  <c r="N57" i="99"/>
  <c r="O48" i="99"/>
  <c r="O50" i="99"/>
  <c r="O52" i="99"/>
  <c r="O54" i="99"/>
  <c r="O58" i="99"/>
  <c r="O60" i="99"/>
  <c r="O62" i="99"/>
  <c r="O64" i="99"/>
  <c r="S97" i="99"/>
  <c r="N23" i="99"/>
  <c r="O32" i="99"/>
  <c r="H36" i="99"/>
  <c r="H40" i="99"/>
  <c r="O44" i="99"/>
  <c r="H48" i="99"/>
  <c r="L48" i="99" s="1"/>
  <c r="H50" i="99"/>
  <c r="H52" i="99"/>
  <c r="H54" i="99"/>
  <c r="H58" i="99"/>
  <c r="H60" i="99"/>
  <c r="H62" i="99"/>
  <c r="H64" i="99"/>
  <c r="H68" i="99"/>
  <c r="N85" i="99"/>
  <c r="H17" i="99"/>
  <c r="H20" i="99"/>
  <c r="H24" i="99"/>
  <c r="O28" i="99"/>
  <c r="O30" i="99"/>
  <c r="K32" i="99"/>
  <c r="H34" i="99"/>
  <c r="F36" i="99"/>
  <c r="P36" i="99"/>
  <c r="H37" i="99"/>
  <c r="H39" i="99"/>
  <c r="R39" i="99"/>
  <c r="F40" i="99"/>
  <c r="P40" i="99"/>
  <c r="K44" i="99"/>
  <c r="H46" i="99"/>
  <c r="G48" i="99"/>
  <c r="R50" i="99"/>
  <c r="R52" i="99"/>
  <c r="G54" i="99"/>
  <c r="O57" i="99"/>
  <c r="G58" i="99"/>
  <c r="R60" i="99"/>
  <c r="R64" i="99"/>
  <c r="G68" i="99"/>
  <c r="R68" i="99"/>
  <c r="O73" i="99"/>
  <c r="O80" i="99"/>
  <c r="H85" i="99"/>
  <c r="P89" i="99"/>
  <c r="P90" i="99"/>
  <c r="O91" i="99"/>
  <c r="H72" i="99"/>
  <c r="O72" i="99"/>
  <c r="H75" i="99"/>
  <c r="H16" i="99"/>
  <c r="F18" i="99"/>
  <c r="K18" i="99"/>
  <c r="P18" i="99"/>
  <c r="H19" i="99"/>
  <c r="F21" i="99"/>
  <c r="K21" i="99"/>
  <c r="P21" i="99"/>
  <c r="H22" i="99"/>
  <c r="K25" i="99"/>
  <c r="F27" i="99"/>
  <c r="K27" i="99"/>
  <c r="P27" i="99"/>
  <c r="F29" i="99"/>
  <c r="O29" i="99"/>
  <c r="K31" i="99"/>
  <c r="P31" i="99"/>
  <c r="F33" i="99"/>
  <c r="K33" i="99"/>
  <c r="P33" i="99"/>
  <c r="F35" i="99"/>
  <c r="K35" i="99"/>
  <c r="P35" i="99"/>
  <c r="H38" i="99"/>
  <c r="F41" i="99"/>
  <c r="K43" i="99"/>
  <c r="P43" i="99"/>
  <c r="F45" i="99"/>
  <c r="K45" i="99"/>
  <c r="P45" i="99"/>
  <c r="F47" i="99"/>
  <c r="H49" i="99"/>
  <c r="H51" i="99"/>
  <c r="H53" i="99"/>
  <c r="H55" i="99"/>
  <c r="K56" i="99"/>
  <c r="H59" i="99"/>
  <c r="H61" i="99"/>
  <c r="H63" i="99"/>
  <c r="F65" i="99"/>
  <c r="O65" i="99"/>
  <c r="H67" i="99"/>
  <c r="F69" i="99"/>
  <c r="P69" i="99"/>
  <c r="H70" i="99"/>
  <c r="N72" i="99"/>
  <c r="H74" i="99"/>
  <c r="R75" i="99"/>
  <c r="F76" i="99"/>
  <c r="O76" i="99"/>
  <c r="N77" i="99"/>
  <c r="F78" i="99"/>
  <c r="K78" i="99"/>
  <c r="P78" i="99"/>
  <c r="R79" i="99"/>
  <c r="F81" i="99"/>
  <c r="K81" i="99"/>
  <c r="P81" i="99"/>
  <c r="F83" i="99"/>
  <c r="K83" i="99"/>
  <c r="P83" i="99"/>
  <c r="H84" i="99"/>
  <c r="K87" i="99"/>
  <c r="P87" i="99"/>
  <c r="F92" i="99"/>
  <c r="Q92" i="99"/>
  <c r="F93" i="99"/>
  <c r="O75" i="99"/>
  <c r="H77" i="99"/>
  <c r="O77" i="99"/>
  <c r="H79" i="99"/>
  <c r="O79" i="99"/>
  <c r="H82" i="99"/>
  <c r="O82" i="99"/>
  <c r="H86" i="99"/>
  <c r="H18" i="99"/>
  <c r="H21" i="99"/>
  <c r="H25" i="99"/>
  <c r="H27" i="99"/>
  <c r="H29" i="99"/>
  <c r="H31" i="99"/>
  <c r="H33" i="99"/>
  <c r="H35" i="99"/>
  <c r="H43" i="99"/>
  <c r="H45" i="99"/>
  <c r="H56" i="99"/>
  <c r="H65" i="99"/>
  <c r="H69" i="99"/>
  <c r="M72" i="99"/>
  <c r="M75" i="99"/>
  <c r="H76" i="99"/>
  <c r="N76" i="99"/>
  <c r="H78" i="99"/>
  <c r="M79" i="99"/>
  <c r="H81" i="99"/>
  <c r="M82" i="99"/>
  <c r="H83" i="99"/>
  <c r="H87" i="99"/>
  <c r="N151" i="151" l="1"/>
  <c r="L151" i="151"/>
  <c r="M78" i="101"/>
  <c r="O107" i="151"/>
  <c r="M66" i="101"/>
  <c r="W76" i="101"/>
  <c r="G158" i="132"/>
  <c r="I97" i="151"/>
  <c r="L160" i="151"/>
  <c r="X160" i="151" s="1"/>
  <c r="Z160" i="151" s="1"/>
  <c r="L54" i="99"/>
  <c r="L23" i="99"/>
  <c r="N29" i="99"/>
  <c r="R82" i="99"/>
  <c r="R54" i="99"/>
  <c r="W54" i="99" s="1"/>
  <c r="L40" i="99"/>
  <c r="N30" i="99"/>
  <c r="R46" i="99"/>
  <c r="L144" i="151"/>
  <c r="O110" i="151"/>
  <c r="O122" i="151"/>
  <c r="N62" i="99"/>
  <c r="R65" i="99"/>
  <c r="L139" i="151"/>
  <c r="L109" i="151"/>
  <c r="L68" i="99"/>
  <c r="L58" i="99"/>
  <c r="R42" i="99"/>
  <c r="Q62" i="99"/>
  <c r="W62" i="99" s="1"/>
  <c r="O114" i="151"/>
  <c r="O106" i="151"/>
  <c r="N157" i="151"/>
  <c r="O126" i="151"/>
  <c r="O37" i="101"/>
  <c r="N131" i="151"/>
  <c r="Q93" i="99"/>
  <c r="K2042" i="170"/>
  <c r="K2330" i="170"/>
  <c r="E2445" i="170"/>
  <c r="E2221" i="170"/>
  <c r="K998" i="170"/>
  <c r="E812" i="170"/>
  <c r="K2525" i="170"/>
  <c r="E2413" i="170"/>
  <c r="K1100" i="170"/>
  <c r="E745" i="170"/>
  <c r="E1855" i="170"/>
  <c r="E2284" i="170"/>
  <c r="K2106" i="170"/>
  <c r="K1168" i="170"/>
  <c r="E2348" i="170"/>
  <c r="K2413" i="170"/>
  <c r="K2429" i="170"/>
  <c r="E1000" i="170"/>
  <c r="K2554" i="170"/>
  <c r="K2314" i="170"/>
  <c r="K2380" i="170"/>
  <c r="E2460" i="170"/>
  <c r="E2089" i="170"/>
  <c r="E2458" i="170"/>
  <c r="E2202" i="170"/>
  <c r="K2201" i="170"/>
  <c r="E2396" i="170"/>
  <c r="K2365" i="170"/>
  <c r="E1034" i="170"/>
  <c r="E726" i="170"/>
  <c r="K2588" i="170"/>
  <c r="E1407" i="170"/>
  <c r="E1271" i="170"/>
  <c r="E1135" i="170"/>
  <c r="E948" i="170"/>
  <c r="E2249" i="170"/>
  <c r="K2090" i="170"/>
  <c r="K982" i="170"/>
  <c r="K1304" i="170"/>
  <c r="E965" i="170"/>
  <c r="K728" i="170"/>
  <c r="K2077" i="170"/>
  <c r="K1443" i="170"/>
  <c r="E849" i="170"/>
  <c r="K2477" i="170"/>
  <c r="E2365" i="170"/>
  <c r="E2205" i="170"/>
  <c r="E2211" i="170" s="1"/>
  <c r="E1052" i="170"/>
  <c r="K2204" i="170"/>
  <c r="E1032" i="170"/>
  <c r="K816" i="170"/>
  <c r="E1476" i="170"/>
  <c r="E2124" i="170"/>
  <c r="K1000" i="170"/>
  <c r="E881" i="170"/>
  <c r="E862" i="170"/>
  <c r="E846" i="170"/>
  <c r="K727" i="170"/>
  <c r="E711" i="170"/>
  <c r="E748" i="170"/>
  <c r="K964" i="170"/>
  <c r="E2281" i="170"/>
  <c r="E2285" i="170"/>
  <c r="K795" i="170"/>
  <c r="E2555" i="170"/>
  <c r="K696" i="170"/>
  <c r="K1154" i="170"/>
  <c r="E1084" i="170"/>
  <c r="K984" i="170"/>
  <c r="X162" i="151"/>
  <c r="Z162" i="151" s="1"/>
  <c r="C1668" i="170"/>
  <c r="E1668" i="170" s="1"/>
  <c r="C42" i="170"/>
  <c r="E42" i="170" s="1"/>
  <c r="I1583" i="170"/>
  <c r="K1583" i="170" s="1"/>
  <c r="I386" i="170"/>
  <c r="K386" i="170" s="1"/>
  <c r="I1886" i="170"/>
  <c r="K1886" i="170" s="1"/>
  <c r="I1890" i="170"/>
  <c r="K1890" i="170" s="1"/>
  <c r="C1583" i="170"/>
  <c r="E1583" i="170" s="1"/>
  <c r="E1848" i="170"/>
  <c r="G133" i="151"/>
  <c r="L133" i="151" s="1"/>
  <c r="G156" i="151"/>
  <c r="L156" i="151" s="1"/>
  <c r="G75" i="101"/>
  <c r="L75" i="101" s="1"/>
  <c r="G52" i="99"/>
  <c r="L52" i="99" s="1"/>
  <c r="G75" i="99"/>
  <c r="G60" i="99"/>
  <c r="L60" i="99" s="1"/>
  <c r="G50" i="99"/>
  <c r="L50" i="99" s="1"/>
  <c r="G91" i="99"/>
  <c r="L91" i="99" s="1"/>
  <c r="G60" i="151"/>
  <c r="G82" i="99"/>
  <c r="G28" i="99"/>
  <c r="K697" i="170"/>
  <c r="E2574" i="170"/>
  <c r="G82" i="151"/>
  <c r="G61" i="151"/>
  <c r="L61" i="151" s="1"/>
  <c r="N32" i="101"/>
  <c r="M113" i="151"/>
  <c r="N36" i="101"/>
  <c r="N44" i="101"/>
  <c r="N41" i="101"/>
  <c r="O152" i="151"/>
  <c r="C1957" i="170" s="1"/>
  <c r="E1957" i="170" s="1"/>
  <c r="M125" i="151"/>
  <c r="I1716" i="170" s="1"/>
  <c r="K1716" i="170" s="1"/>
  <c r="N154" i="151"/>
  <c r="C1972" i="170" s="1"/>
  <c r="E1972" i="170" s="1"/>
  <c r="N98" i="151"/>
  <c r="C1496" i="170" s="1"/>
  <c r="E1496" i="170" s="1"/>
  <c r="M156" i="151"/>
  <c r="W156" i="151" s="1"/>
  <c r="H154" i="132" s="1"/>
  <c r="N56" i="101"/>
  <c r="W56" i="101" s="1"/>
  <c r="N134" i="151"/>
  <c r="W134" i="151" s="1"/>
  <c r="H132" i="132" s="1"/>
  <c r="N141" i="151"/>
  <c r="N18" i="101"/>
  <c r="AO156" i="8"/>
  <c r="O151" i="151"/>
  <c r="W151" i="151" s="1"/>
  <c r="H149" i="132" s="1"/>
  <c r="G136" i="151"/>
  <c r="L136" i="151" s="1"/>
  <c r="G132" i="151"/>
  <c r="L132" i="151" s="1"/>
  <c r="N46" i="101"/>
  <c r="O94" i="151"/>
  <c r="D92" i="132"/>
  <c r="F92" i="132" s="1"/>
  <c r="G90" i="99"/>
  <c r="L90" i="99" s="1"/>
  <c r="I1784" i="170"/>
  <c r="K1784" i="170" s="1"/>
  <c r="M93" i="99"/>
  <c r="R28" i="99"/>
  <c r="Q73" i="99"/>
  <c r="W73" i="99" s="1"/>
  <c r="P94" i="151"/>
  <c r="W77" i="101"/>
  <c r="R67" i="99"/>
  <c r="N55" i="99"/>
  <c r="N93" i="99"/>
  <c r="M42" i="99"/>
  <c r="R61" i="151"/>
  <c r="I389" i="170" s="1"/>
  <c r="K389" i="170" s="1"/>
  <c r="W53" i="101"/>
  <c r="N77" i="151"/>
  <c r="I524" i="170" s="1"/>
  <c r="K524" i="170" s="1"/>
  <c r="N65" i="99"/>
  <c r="G79" i="99"/>
  <c r="R32" i="99"/>
  <c r="G18" i="151"/>
  <c r="L18" i="151" s="1"/>
  <c r="K726" i="170"/>
  <c r="M77" i="99"/>
  <c r="G77" i="99"/>
  <c r="G72" i="99"/>
  <c r="G85" i="99"/>
  <c r="L85" i="99" s="1"/>
  <c r="G36" i="99"/>
  <c r="L36" i="99" s="1"/>
  <c r="M94" i="151"/>
  <c r="C676" i="170" s="1"/>
  <c r="E676" i="170" s="1"/>
  <c r="G66" i="151"/>
  <c r="I315" i="170"/>
  <c r="K315" i="170" s="1"/>
  <c r="G29" i="151"/>
  <c r="L29" i="151" s="1"/>
  <c r="E714" i="170"/>
  <c r="Q43" i="151"/>
  <c r="Q82" i="99"/>
  <c r="W60" i="101"/>
  <c r="AF160" i="9"/>
  <c r="G94" i="99"/>
  <c r="L94" i="99" s="1"/>
  <c r="AF162" i="9"/>
  <c r="G30" i="99"/>
  <c r="G26" i="151"/>
  <c r="N52" i="99"/>
  <c r="W52" i="99" s="1"/>
  <c r="G64" i="99"/>
  <c r="L64" i="99" s="1"/>
  <c r="G73" i="99"/>
  <c r="L73" i="99" s="1"/>
  <c r="G77" i="151"/>
  <c r="G79" i="151"/>
  <c r="C59" i="170"/>
  <c r="E59" i="170" s="1"/>
  <c r="G72" i="151"/>
  <c r="L72" i="151" s="1"/>
  <c r="R57" i="151"/>
  <c r="N150" i="151"/>
  <c r="N69" i="101"/>
  <c r="Q88" i="99"/>
  <c r="N88" i="99"/>
  <c r="V10" i="9"/>
  <c r="Q31" i="151"/>
  <c r="O31" i="151"/>
  <c r="K26" i="99"/>
  <c r="Q26" i="99"/>
  <c r="G26" i="99"/>
  <c r="H26" i="99"/>
  <c r="F26" i="99"/>
  <c r="R21" i="151"/>
  <c r="N21" i="151"/>
  <c r="M21" i="151"/>
  <c r="H21" i="151"/>
  <c r="D19" i="132"/>
  <c r="AF161" i="9"/>
  <c r="R85" i="99"/>
  <c r="W85" i="99" s="1"/>
  <c r="C2038" i="170"/>
  <c r="E2038" i="170" s="1"/>
  <c r="Q89" i="151"/>
  <c r="O89" i="151"/>
  <c r="P89" i="151"/>
  <c r="G89" i="151"/>
  <c r="D87" i="132"/>
  <c r="N86" i="99"/>
  <c r="O86" i="99"/>
  <c r="M75" i="151"/>
  <c r="R75" i="151"/>
  <c r="P75" i="151"/>
  <c r="H503" i="170"/>
  <c r="I512" i="170" s="1"/>
  <c r="K512" i="170" s="1"/>
  <c r="O75" i="151"/>
  <c r="D73" i="132"/>
  <c r="H75" i="151"/>
  <c r="Q75" i="151"/>
  <c r="K75" i="151"/>
  <c r="N71" i="99"/>
  <c r="P71" i="99"/>
  <c r="D58" i="132"/>
  <c r="Q60" i="151"/>
  <c r="R60" i="151"/>
  <c r="N60" i="151"/>
  <c r="Q45" i="151"/>
  <c r="O45" i="151"/>
  <c r="R41" i="99"/>
  <c r="N41" i="99"/>
  <c r="Q41" i="99"/>
  <c r="P41" i="99"/>
  <c r="R27" i="151"/>
  <c r="M27" i="151"/>
  <c r="H27" i="151"/>
  <c r="M25" i="99"/>
  <c r="Q25" i="99"/>
  <c r="R25" i="99"/>
  <c r="F25" i="99"/>
  <c r="U17" i="9"/>
  <c r="G22" i="151"/>
  <c r="Q83" i="99"/>
  <c r="Q83" i="151"/>
  <c r="I576" i="170" s="1"/>
  <c r="K576" i="170" s="1"/>
  <c r="N69" i="99"/>
  <c r="K69" i="99"/>
  <c r="M61" i="99"/>
  <c r="M61" i="151"/>
  <c r="W61" i="151" s="1"/>
  <c r="H59" i="132" s="1"/>
  <c r="N28" i="99"/>
  <c r="N19" i="151"/>
  <c r="R19" i="151"/>
  <c r="U75" i="9"/>
  <c r="G80" i="99"/>
  <c r="L80" i="99" s="1"/>
  <c r="M80" i="151"/>
  <c r="H80" i="151"/>
  <c r="AC63" i="9"/>
  <c r="F68" i="99"/>
  <c r="F68" i="151"/>
  <c r="Q40" i="151"/>
  <c r="D38" i="132"/>
  <c r="M40" i="151"/>
  <c r="P40" i="151"/>
  <c r="B209" i="170"/>
  <c r="C211" i="170" s="1"/>
  <c r="E211" i="170" s="1"/>
  <c r="R40" i="151"/>
  <c r="N40" i="151"/>
  <c r="K40" i="151"/>
  <c r="F40" i="151"/>
  <c r="G40" i="151"/>
  <c r="Q34" i="151"/>
  <c r="P34" i="151"/>
  <c r="M34" i="151"/>
  <c r="N34" i="151"/>
  <c r="R34" i="151"/>
  <c r="D32" i="132"/>
  <c r="F32" i="132" s="1"/>
  <c r="K34" i="151"/>
  <c r="F34" i="151"/>
  <c r="Q33" i="99"/>
  <c r="Q33" i="151"/>
  <c r="AC26" i="9"/>
  <c r="F31" i="99"/>
  <c r="G24" i="151"/>
  <c r="D22" i="132"/>
  <c r="K24" i="151"/>
  <c r="R24" i="151"/>
  <c r="Q24" i="151"/>
  <c r="R20" i="99"/>
  <c r="R20" i="151"/>
  <c r="D15" i="132"/>
  <c r="K17" i="151"/>
  <c r="O17" i="151"/>
  <c r="H17" i="151"/>
  <c r="H5" i="170"/>
  <c r="Q17" i="151"/>
  <c r="R17" i="151"/>
  <c r="N17" i="151"/>
  <c r="F17" i="151"/>
  <c r="F66" i="99"/>
  <c r="N66" i="99"/>
  <c r="Q66" i="99"/>
  <c r="P66" i="99"/>
  <c r="M66" i="99"/>
  <c r="K57" i="151"/>
  <c r="N57" i="151"/>
  <c r="F57" i="151"/>
  <c r="F55" i="132" s="1"/>
  <c r="H57" i="151"/>
  <c r="M57" i="151"/>
  <c r="Q57" i="151"/>
  <c r="D55" i="132"/>
  <c r="P57" i="151"/>
  <c r="O57" i="151"/>
  <c r="H348" i="170"/>
  <c r="I356" i="170" s="1"/>
  <c r="K356" i="170" s="1"/>
  <c r="R47" i="99"/>
  <c r="M47" i="99"/>
  <c r="O47" i="99"/>
  <c r="N38" i="151"/>
  <c r="B192" i="170"/>
  <c r="C200" i="170" s="1"/>
  <c r="E200" i="170" s="1"/>
  <c r="G38" i="151"/>
  <c r="D36" i="132"/>
  <c r="Q38" i="151"/>
  <c r="K38" i="151"/>
  <c r="C111" i="170"/>
  <c r="E111" i="170" s="1"/>
  <c r="L39" i="176"/>
  <c r="K39" i="176"/>
  <c r="K13" i="135"/>
  <c r="K26" i="135" s="1"/>
  <c r="I26" i="135"/>
  <c r="AC96" i="9"/>
  <c r="Q92" i="9"/>
  <c r="R54" i="101"/>
  <c r="M54" i="101"/>
  <c r="Q54" i="101"/>
  <c r="F54" i="101"/>
  <c r="P54" i="101"/>
  <c r="H54" i="101"/>
  <c r="H74" i="101"/>
  <c r="Q74" i="101"/>
  <c r="R74" i="101"/>
  <c r="K74" i="101"/>
  <c r="M74" i="101"/>
  <c r="P74" i="101"/>
  <c r="F74" i="101"/>
  <c r="AC80" i="9"/>
  <c r="F85" i="151"/>
  <c r="F83" i="132" s="1"/>
  <c r="F85" i="99"/>
  <c r="H59" i="101"/>
  <c r="R59" i="101"/>
  <c r="O59" i="101"/>
  <c r="P59" i="101"/>
  <c r="Q59" i="101"/>
  <c r="K59" i="101"/>
  <c r="M59" i="101"/>
  <c r="F59" i="101"/>
  <c r="AC127" i="9"/>
  <c r="F132" i="151"/>
  <c r="F130" i="132" s="1"/>
  <c r="F51" i="101"/>
  <c r="F87" i="99"/>
  <c r="R72" i="99"/>
  <c r="O26" i="99"/>
  <c r="C25" i="170"/>
  <c r="E25" i="170" s="1"/>
  <c r="B158" i="170"/>
  <c r="C161" i="170" s="1"/>
  <c r="E161" i="170" s="1"/>
  <c r="M61" i="101"/>
  <c r="M142" i="151"/>
  <c r="C1869" i="170" s="1"/>
  <c r="E1869" i="170" s="1"/>
  <c r="M43" i="101"/>
  <c r="M124" i="151"/>
  <c r="M39" i="101"/>
  <c r="M120" i="151"/>
  <c r="R84" i="99"/>
  <c r="M84" i="99"/>
  <c r="Q84" i="99"/>
  <c r="N84" i="99"/>
  <c r="M56" i="99"/>
  <c r="P56" i="99"/>
  <c r="N47" i="99"/>
  <c r="H41" i="99"/>
  <c r="F56" i="99"/>
  <c r="F43" i="99"/>
  <c r="R66" i="99"/>
  <c r="H66" i="99"/>
  <c r="G44" i="99"/>
  <c r="M32" i="99"/>
  <c r="N26" i="99"/>
  <c r="R71" i="99"/>
  <c r="R91" i="99"/>
  <c r="W91" i="99" s="1"/>
  <c r="G89" i="99"/>
  <c r="Q71" i="99"/>
  <c r="F156" i="132"/>
  <c r="F142" i="132"/>
  <c r="H45" i="151"/>
  <c r="K60" i="151"/>
  <c r="Q48" i="151"/>
  <c r="C284" i="170" s="1"/>
  <c r="E284" i="170" s="1"/>
  <c r="R38" i="151"/>
  <c r="R89" i="151"/>
  <c r="B382" i="170"/>
  <c r="C391" i="170" s="1"/>
  <c r="E391" i="170" s="1"/>
  <c r="C351" i="170"/>
  <c r="E351" i="170" s="1"/>
  <c r="C264" i="170"/>
  <c r="E264" i="170" s="1"/>
  <c r="M38" i="151"/>
  <c r="N24" i="151"/>
  <c r="O98" i="151"/>
  <c r="C1498" i="170" s="1"/>
  <c r="E1498" i="170" s="1"/>
  <c r="G17" i="151"/>
  <c r="M17" i="151"/>
  <c r="G75" i="151"/>
  <c r="K915" i="170"/>
  <c r="K950" i="170"/>
  <c r="E18" i="154"/>
  <c r="H18" i="154" s="1"/>
  <c r="C230" i="170"/>
  <c r="E230" i="170" s="1"/>
  <c r="O80" i="151"/>
  <c r="H31" i="151"/>
  <c r="F75" i="151"/>
  <c r="H40" i="151"/>
  <c r="L40" i="151" s="1"/>
  <c r="M146" i="151"/>
  <c r="R146" i="151"/>
  <c r="B1900" i="170"/>
  <c r="C1906" i="170" s="1"/>
  <c r="E1906" i="170" s="1"/>
  <c r="N146" i="151"/>
  <c r="H143" i="151"/>
  <c r="O143" i="151"/>
  <c r="H1866" i="170"/>
  <c r="I1874" i="170" s="1"/>
  <c r="K1874" i="170" s="1"/>
  <c r="N143" i="151"/>
  <c r="F143" i="151"/>
  <c r="D141" i="132"/>
  <c r="F141" i="132" s="1"/>
  <c r="G143" i="151"/>
  <c r="Q143" i="151"/>
  <c r="K143" i="151"/>
  <c r="M143" i="151"/>
  <c r="P143" i="151"/>
  <c r="I1873" i="170" s="1"/>
  <c r="K1873" i="170" s="1"/>
  <c r="U121" i="9"/>
  <c r="G126" i="151"/>
  <c r="L126" i="151" s="1"/>
  <c r="D147" i="132"/>
  <c r="F147" i="132" s="1"/>
  <c r="Q149" i="151"/>
  <c r="O149" i="151"/>
  <c r="I1923" i="170" s="1"/>
  <c r="K1923" i="170" s="1"/>
  <c r="P149" i="151"/>
  <c r="I1924" i="170" s="1"/>
  <c r="K1924" i="170" s="1"/>
  <c r="M149" i="151"/>
  <c r="I1920" i="170" s="1"/>
  <c r="K1920" i="170" s="1"/>
  <c r="K149" i="151"/>
  <c r="O64" i="101"/>
  <c r="O145" i="151"/>
  <c r="I1889" i="170" s="1"/>
  <c r="K1889" i="170" s="1"/>
  <c r="M35" i="101"/>
  <c r="M116" i="151"/>
  <c r="M23" i="101"/>
  <c r="M104" i="151"/>
  <c r="M103" i="151"/>
  <c r="N103" i="151"/>
  <c r="C2045" i="170"/>
  <c r="E2045" i="170" s="1"/>
  <c r="C1805" i="170"/>
  <c r="E1805" i="170" s="1"/>
  <c r="I1976" i="170"/>
  <c r="K1976" i="170" s="1"/>
  <c r="C1800" i="170"/>
  <c r="E1800" i="170" s="1"/>
  <c r="C2044" i="170"/>
  <c r="E2044" i="170" s="1"/>
  <c r="C2040" i="170"/>
  <c r="E2040" i="170" s="1"/>
  <c r="I1823" i="170"/>
  <c r="K1823" i="170" s="1"/>
  <c r="C1960" i="170"/>
  <c r="E1960" i="170" s="1"/>
  <c r="H103" i="151"/>
  <c r="I1970" i="170"/>
  <c r="K1970" i="170" s="1"/>
  <c r="C1851" i="170"/>
  <c r="E1851" i="170" s="1"/>
  <c r="C2042" i="170"/>
  <c r="E2042" i="170" s="1"/>
  <c r="I1954" i="170"/>
  <c r="K1954" i="170" s="1"/>
  <c r="K1814" i="170"/>
  <c r="E1950" i="170"/>
  <c r="O103" i="151"/>
  <c r="H88" i="99"/>
  <c r="R86" i="99"/>
  <c r="F64" i="99"/>
  <c r="I1546" i="170"/>
  <c r="K1546" i="170" s="1"/>
  <c r="M86" i="99"/>
  <c r="H47" i="99"/>
  <c r="G86" i="99"/>
  <c r="K41" i="99"/>
  <c r="P25" i="99"/>
  <c r="H71" i="99"/>
  <c r="G66" i="99"/>
  <c r="G62" i="99"/>
  <c r="L62" i="99" s="1"/>
  <c r="O42" i="99"/>
  <c r="P26" i="99"/>
  <c r="G42" i="99"/>
  <c r="Q28" i="99"/>
  <c r="R26" i="99"/>
  <c r="F71" i="99"/>
  <c r="K66" i="99"/>
  <c r="I1977" i="170"/>
  <c r="K1977" i="170" s="1"/>
  <c r="I1824" i="170"/>
  <c r="K1824" i="170" s="1"/>
  <c r="H50" i="151"/>
  <c r="H621" i="170"/>
  <c r="I627" i="170" s="1"/>
  <c r="K627" i="170" s="1"/>
  <c r="Q146" i="151"/>
  <c r="I1600" i="170"/>
  <c r="K1600" i="170" s="1"/>
  <c r="P17" i="151"/>
  <c r="R143" i="151"/>
  <c r="K2459" i="170"/>
  <c r="E780" i="170"/>
  <c r="E789" i="170" s="1"/>
  <c r="E1338" i="170"/>
  <c r="I1974" i="170"/>
  <c r="K1974" i="170" s="1"/>
  <c r="C438" i="170"/>
  <c r="E438" i="170" s="1"/>
  <c r="I1719" i="170"/>
  <c r="K1719" i="170" s="1"/>
  <c r="C1818" i="170"/>
  <c r="E1818" i="170" s="1"/>
  <c r="C43" i="170"/>
  <c r="E43" i="170" s="1"/>
  <c r="C110" i="170"/>
  <c r="E110" i="170" s="1"/>
  <c r="E2316" i="170"/>
  <c r="U149" i="9"/>
  <c r="G154" i="151"/>
  <c r="U147" i="9"/>
  <c r="G152" i="151"/>
  <c r="L152" i="151" s="1"/>
  <c r="F150" i="132"/>
  <c r="C1954" i="170"/>
  <c r="E1954" i="170" s="1"/>
  <c r="Q98" i="151"/>
  <c r="G98" i="151"/>
  <c r="M87" i="151"/>
  <c r="H604" i="170"/>
  <c r="I613" i="170" s="1"/>
  <c r="K613" i="170" s="1"/>
  <c r="N74" i="151"/>
  <c r="N74" i="99"/>
  <c r="G70" i="151"/>
  <c r="H70" i="151"/>
  <c r="M70" i="151"/>
  <c r="C471" i="170" s="1"/>
  <c r="E471" i="170" s="1"/>
  <c r="K999" i="170"/>
  <c r="F151" i="132"/>
  <c r="F126" i="132"/>
  <c r="I1838" i="170"/>
  <c r="K1838" i="170" s="1"/>
  <c r="I1839" i="170"/>
  <c r="K1839" i="170" s="1"/>
  <c r="F18" i="132"/>
  <c r="I1699" i="170"/>
  <c r="K1699" i="170" s="1"/>
  <c r="I1635" i="170"/>
  <c r="K1635" i="170" s="1"/>
  <c r="W153" i="151"/>
  <c r="H151" i="132" s="1"/>
  <c r="G65" i="151"/>
  <c r="P65" i="151"/>
  <c r="Q65" i="151"/>
  <c r="I423" i="170" s="1"/>
  <c r="K423" i="170" s="1"/>
  <c r="K65" i="151"/>
  <c r="H65" i="151"/>
  <c r="L65" i="151" s="1"/>
  <c r="K23" i="151"/>
  <c r="H56" i="170"/>
  <c r="I65" i="170" s="1"/>
  <c r="K65" i="170" s="1"/>
  <c r="F23" i="151"/>
  <c r="D21" i="132"/>
  <c r="K2573" i="170"/>
  <c r="K2377" i="170"/>
  <c r="E2558" i="170"/>
  <c r="E2299" i="170"/>
  <c r="E1170" i="170"/>
  <c r="K949" i="170"/>
  <c r="E930" i="170"/>
  <c r="I1975" i="170"/>
  <c r="K1975" i="170" s="1"/>
  <c r="E966" i="170"/>
  <c r="K983" i="170"/>
  <c r="I1665" i="170"/>
  <c r="K1665" i="170" s="1"/>
  <c r="I590" i="170"/>
  <c r="K590" i="170" s="1"/>
  <c r="C1787" i="170"/>
  <c r="E1787" i="170" s="1"/>
  <c r="K729" i="170"/>
  <c r="I421" i="170"/>
  <c r="K421" i="170" s="1"/>
  <c r="K1426" i="170"/>
  <c r="C1768" i="170"/>
  <c r="E1768" i="170" s="1"/>
  <c r="C1771" i="170"/>
  <c r="E1771" i="170" s="1"/>
  <c r="E762" i="170"/>
  <c r="E1188" i="170"/>
  <c r="I404" i="170"/>
  <c r="K404" i="170" s="1"/>
  <c r="I1703" i="170"/>
  <c r="K1703" i="170" s="1"/>
  <c r="K947" i="170"/>
  <c r="C1784" i="170"/>
  <c r="E1784" i="170" s="1"/>
  <c r="C1788" i="170"/>
  <c r="E1788" i="170" s="1"/>
  <c r="M72" i="101"/>
  <c r="K2043" i="170"/>
  <c r="G137" i="151"/>
  <c r="L137" i="151" s="1"/>
  <c r="O67" i="101"/>
  <c r="M92" i="151"/>
  <c r="N90" i="151"/>
  <c r="M90" i="151"/>
  <c r="O69" i="101"/>
  <c r="R90" i="151"/>
  <c r="R35" i="99"/>
  <c r="G28" i="151"/>
  <c r="L28" i="151" s="1"/>
  <c r="R80" i="151"/>
  <c r="R38" i="99"/>
  <c r="R31" i="151"/>
  <c r="J160" i="132"/>
  <c r="J179" i="132" s="1"/>
  <c r="K163" i="132"/>
  <c r="M163" i="132" s="1"/>
  <c r="I1597" i="170"/>
  <c r="K1597" i="170" s="1"/>
  <c r="E831" i="170"/>
  <c r="K917" i="170"/>
  <c r="K951" i="170"/>
  <c r="E1390" i="170"/>
  <c r="K1478" i="170"/>
  <c r="K1002" i="170"/>
  <c r="K1253" i="170"/>
  <c r="E2093" i="170"/>
  <c r="K2137" i="170"/>
  <c r="E2362" i="170"/>
  <c r="E2457" i="170"/>
  <c r="M141" i="151"/>
  <c r="K2602" i="170"/>
  <c r="E2573" i="170"/>
  <c r="F137" i="132"/>
  <c r="N149" i="151"/>
  <c r="I1921" i="170" s="1"/>
  <c r="K1921" i="170" s="1"/>
  <c r="Q90" i="151"/>
  <c r="Q52" i="151"/>
  <c r="M23" i="151"/>
  <c r="Q80" i="151"/>
  <c r="M50" i="151"/>
  <c r="M38" i="99"/>
  <c r="M31" i="151"/>
  <c r="Q21" i="151"/>
  <c r="T9" i="9"/>
  <c r="T158" i="9" s="1"/>
  <c r="K1391" i="170"/>
  <c r="K1479" i="170"/>
  <c r="E2057" i="170"/>
  <c r="O74" i="101"/>
  <c r="N54" i="101"/>
  <c r="N74" i="101"/>
  <c r="W75" i="101"/>
  <c r="M89" i="151"/>
  <c r="W10" i="9"/>
  <c r="N61" i="101"/>
  <c r="N89" i="151"/>
  <c r="M16" i="99"/>
  <c r="Q59" i="99"/>
  <c r="R88" i="99"/>
  <c r="E710" i="170"/>
  <c r="K2555" i="170"/>
  <c r="K693" i="170"/>
  <c r="E2556" i="170"/>
  <c r="N20" i="101"/>
  <c r="M18" i="101"/>
  <c r="O73" i="101"/>
  <c r="N21" i="101"/>
  <c r="N19" i="101"/>
  <c r="N66" i="101"/>
  <c r="W70" i="101"/>
  <c r="O61" i="101"/>
  <c r="N55" i="101"/>
  <c r="N48" i="101"/>
  <c r="E2604" i="170"/>
  <c r="F16" i="132"/>
  <c r="J177" i="132"/>
  <c r="K177" i="132" s="1"/>
  <c r="M177" i="132" s="1"/>
  <c r="H160" i="132"/>
  <c r="H179" i="132" s="1"/>
  <c r="I161" i="132"/>
  <c r="I160" i="132" s="1"/>
  <c r="N155" i="151"/>
  <c r="I1972" i="170" s="1"/>
  <c r="K1972" i="170" s="1"/>
  <c r="I1957" i="170"/>
  <c r="K1957" i="170" s="1"/>
  <c r="F26" i="132"/>
  <c r="K2557" i="170"/>
  <c r="N35" i="101"/>
  <c r="N33" i="101"/>
  <c r="W18" i="151"/>
  <c r="H16" i="132" s="1"/>
  <c r="K2601" i="170"/>
  <c r="U114" i="9"/>
  <c r="G119" i="151"/>
  <c r="U106" i="9"/>
  <c r="G111" i="151"/>
  <c r="L111" i="151" s="1"/>
  <c r="U100" i="9"/>
  <c r="G105" i="151"/>
  <c r="P95" i="99"/>
  <c r="F95" i="99"/>
  <c r="O95" i="99"/>
  <c r="D91" i="132"/>
  <c r="H656" i="170"/>
  <c r="G93" i="151"/>
  <c r="O93" i="151"/>
  <c r="N93" i="151"/>
  <c r="E93" i="151"/>
  <c r="F93" i="151" s="1"/>
  <c r="H93" i="151"/>
  <c r="L93" i="151" s="1"/>
  <c r="R93" i="151"/>
  <c r="Q93" i="151"/>
  <c r="G95" i="99"/>
  <c r="L95" i="99" s="1"/>
  <c r="Q95" i="99"/>
  <c r="E2171" i="170"/>
  <c r="K2187" i="170"/>
  <c r="K2539" i="170"/>
  <c r="E1391" i="170"/>
  <c r="E2139" i="170"/>
  <c r="K2523" i="170"/>
  <c r="E2507" i="170"/>
  <c r="M93" i="151"/>
  <c r="E2170" i="170"/>
  <c r="E1120" i="170"/>
  <c r="E1118" i="170"/>
  <c r="E1049" i="170"/>
  <c r="K1185" i="170"/>
  <c r="K1389" i="170"/>
  <c r="E2346" i="170"/>
  <c r="E2571" i="170"/>
  <c r="K2603" i="170"/>
  <c r="C1581" i="170"/>
  <c r="E1581" i="170" s="1"/>
  <c r="S157" i="151"/>
  <c r="O157" i="151"/>
  <c r="H157" i="151"/>
  <c r="L157" i="151" s="1"/>
  <c r="G157" i="151"/>
  <c r="M157" i="151"/>
  <c r="P157" i="151"/>
  <c r="H1985" i="170"/>
  <c r="I1989" i="170" s="1"/>
  <c r="K1989" i="170" s="1"/>
  <c r="F157" i="151"/>
  <c r="D155" i="132"/>
  <c r="R157" i="151"/>
  <c r="M150" i="151"/>
  <c r="M69" i="101"/>
  <c r="N64" i="101"/>
  <c r="N145" i="151"/>
  <c r="M48" i="101"/>
  <c r="M129" i="151"/>
  <c r="I1750" i="170" s="1"/>
  <c r="K1750" i="170" s="1"/>
  <c r="O102" i="151"/>
  <c r="Q102" i="151"/>
  <c r="G102" i="151"/>
  <c r="M102" i="151"/>
  <c r="P102" i="151"/>
  <c r="H102" i="151"/>
  <c r="B1526" i="170"/>
  <c r="E1525" i="170" s="1"/>
  <c r="R102" i="151"/>
  <c r="H101" i="151"/>
  <c r="G101" i="151"/>
  <c r="R101" i="151"/>
  <c r="O101" i="151"/>
  <c r="H1509" i="170"/>
  <c r="I1512" i="170" s="1"/>
  <c r="K1512" i="170" s="1"/>
  <c r="D99" i="132"/>
  <c r="P101" i="151"/>
  <c r="Q101" i="151"/>
  <c r="B1509" i="170"/>
  <c r="C1512" i="170" s="1"/>
  <c r="E1512" i="170" s="1"/>
  <c r="D98" i="132"/>
  <c r="F98" i="132" s="1"/>
  <c r="R100" i="151"/>
  <c r="Q100" i="151"/>
  <c r="G100" i="151"/>
  <c r="L100" i="151" s="1"/>
  <c r="O100" i="151"/>
  <c r="N100" i="151"/>
  <c r="K100" i="151"/>
  <c r="H1492" i="170"/>
  <c r="D97" i="132"/>
  <c r="K99" i="151"/>
  <c r="R99" i="151"/>
  <c r="G99" i="151"/>
  <c r="L99" i="151" s="1"/>
  <c r="F99" i="151"/>
  <c r="Q99" i="151"/>
  <c r="P99" i="151"/>
  <c r="F132" i="132"/>
  <c r="C2043" i="170"/>
  <c r="E2043" i="170" s="1"/>
  <c r="E2035" i="170"/>
  <c r="C1856" i="170"/>
  <c r="E1856" i="170" s="1"/>
  <c r="C1807" i="170"/>
  <c r="E1807" i="170" s="1"/>
  <c r="C1858" i="170"/>
  <c r="E1858" i="170" s="1"/>
  <c r="C1959" i="170"/>
  <c r="E1959" i="170" s="1"/>
  <c r="O99" i="151"/>
  <c r="K1967" i="170"/>
  <c r="C1955" i="170"/>
  <c r="E1955" i="170" s="1"/>
  <c r="M99" i="151"/>
  <c r="F135" i="132"/>
  <c r="C1958" i="170"/>
  <c r="E1958" i="170" s="1"/>
  <c r="C1857" i="170"/>
  <c r="E1857" i="170" s="1"/>
  <c r="F131" i="132"/>
  <c r="F138" i="132"/>
  <c r="C2041" i="170"/>
  <c r="E2041" i="170" s="1"/>
  <c r="C2039" i="170"/>
  <c r="E2039" i="170" s="1"/>
  <c r="C1806" i="170"/>
  <c r="E1806" i="170" s="1"/>
  <c r="C1953" i="170"/>
  <c r="E1953" i="170" s="1"/>
  <c r="N87" i="99"/>
  <c r="N87" i="151"/>
  <c r="Q86" i="151"/>
  <c r="Q86" i="99"/>
  <c r="O78" i="99"/>
  <c r="G78" i="99"/>
  <c r="L78" i="99" s="1"/>
  <c r="R78" i="99"/>
  <c r="M78" i="99"/>
  <c r="Q78" i="99"/>
  <c r="N70" i="99"/>
  <c r="N70" i="151"/>
  <c r="C472" i="170" s="1"/>
  <c r="E472" i="170" s="1"/>
  <c r="O66" i="101"/>
  <c r="O147" i="151"/>
  <c r="O46" i="101"/>
  <c r="O127" i="151"/>
  <c r="O42" i="101"/>
  <c r="O123" i="151"/>
  <c r="I1702" i="170" s="1"/>
  <c r="K1702" i="170" s="1"/>
  <c r="O38" i="101"/>
  <c r="O119" i="151"/>
  <c r="I1668" i="170" s="1"/>
  <c r="K1668" i="170" s="1"/>
  <c r="O34" i="101"/>
  <c r="O115" i="151"/>
  <c r="W115" i="151" s="1"/>
  <c r="H113" i="132" s="1"/>
  <c r="B604" i="170"/>
  <c r="P86" i="151"/>
  <c r="K86" i="151"/>
  <c r="G86" i="151"/>
  <c r="F86" i="151"/>
  <c r="F84" i="132" s="1"/>
  <c r="M86" i="151"/>
  <c r="H86" i="151"/>
  <c r="P78" i="101"/>
  <c r="O78" i="101"/>
  <c r="F78" i="101"/>
  <c r="R78" i="101"/>
  <c r="H78" i="101"/>
  <c r="G78" i="101"/>
  <c r="Q78" i="101"/>
  <c r="U141" i="9"/>
  <c r="G146" i="151"/>
  <c r="Q62" i="101"/>
  <c r="G62" i="101"/>
  <c r="P62" i="101"/>
  <c r="K62" i="101"/>
  <c r="H62" i="101"/>
  <c r="F62" i="101"/>
  <c r="R62" i="101"/>
  <c r="O62" i="101"/>
  <c r="N62" i="101"/>
  <c r="U124" i="9"/>
  <c r="G129" i="151"/>
  <c r="L129" i="151" s="1"/>
  <c r="U118" i="9"/>
  <c r="G123" i="151"/>
  <c r="L123" i="151" s="1"/>
  <c r="U113" i="9"/>
  <c r="G118" i="151"/>
  <c r="L118" i="151" s="1"/>
  <c r="U110" i="9"/>
  <c r="G115" i="151"/>
  <c r="L115" i="151" s="1"/>
  <c r="U107" i="9"/>
  <c r="G112" i="151"/>
  <c r="M95" i="99"/>
  <c r="K2443" i="170"/>
  <c r="E2235" i="170"/>
  <c r="K2059" i="170"/>
  <c r="E2219" i="170"/>
  <c r="P93" i="151"/>
  <c r="N57" i="101"/>
  <c r="N138" i="151"/>
  <c r="W138" i="151" s="1"/>
  <c r="H136" i="132" s="1"/>
  <c r="I1816" i="170"/>
  <c r="J1820" i="170" s="1"/>
  <c r="I1819" i="170"/>
  <c r="K1819" i="170" s="1"/>
  <c r="I1822" i="170"/>
  <c r="K1822" i="170" s="1"/>
  <c r="I1818" i="170"/>
  <c r="K1818" i="170" s="1"/>
  <c r="I1817" i="170"/>
  <c r="K1817" i="170" s="1"/>
  <c r="U130" i="9"/>
  <c r="G135" i="151"/>
  <c r="L135" i="151" s="1"/>
  <c r="G54" i="101"/>
  <c r="N51" i="101"/>
  <c r="W51" i="101" s="1"/>
  <c r="W92" i="9"/>
  <c r="W9" i="9" s="1"/>
  <c r="W158" i="9" s="1"/>
  <c r="N132" i="151"/>
  <c r="C1785" i="170" s="1"/>
  <c r="E1785" i="170" s="1"/>
  <c r="U125" i="9"/>
  <c r="G130" i="151"/>
  <c r="L130" i="151" s="1"/>
  <c r="K58" i="101"/>
  <c r="F58" i="101"/>
  <c r="R58" i="101"/>
  <c r="H58" i="101"/>
  <c r="Q58" i="101"/>
  <c r="P58" i="101"/>
  <c r="G58" i="101"/>
  <c r="M58" i="101"/>
  <c r="O58" i="101"/>
  <c r="Q77" i="99"/>
  <c r="Q77" i="151"/>
  <c r="I526" i="170" s="1"/>
  <c r="K526" i="170" s="1"/>
  <c r="R76" i="151"/>
  <c r="R76" i="99"/>
  <c r="AC66" i="9"/>
  <c r="F71" i="151"/>
  <c r="M65" i="99"/>
  <c r="M65" i="151"/>
  <c r="I420" i="170" s="1"/>
  <c r="K420" i="170" s="1"/>
  <c r="D56" i="132"/>
  <c r="P58" i="151"/>
  <c r="O58" i="151"/>
  <c r="H58" i="151"/>
  <c r="L58" i="151" s="1"/>
  <c r="F58" i="151"/>
  <c r="B365" i="170"/>
  <c r="C373" i="170" s="1"/>
  <c r="E373" i="170" s="1"/>
  <c r="R58" i="151"/>
  <c r="K58" i="151"/>
  <c r="N58" i="151"/>
  <c r="Q58" i="151"/>
  <c r="C371" i="170" s="1"/>
  <c r="E371" i="170" s="1"/>
  <c r="K55" i="99"/>
  <c r="G55" i="99"/>
  <c r="L55" i="99" s="1"/>
  <c r="F55" i="99"/>
  <c r="P55" i="99"/>
  <c r="O55" i="99"/>
  <c r="R55" i="99"/>
  <c r="Q39" i="151"/>
  <c r="Q39" i="99"/>
  <c r="H192" i="170"/>
  <c r="F39" i="151"/>
  <c r="P39" i="151"/>
  <c r="K39" i="151"/>
  <c r="G39" i="151"/>
  <c r="H39" i="151"/>
  <c r="L39" i="151" s="1"/>
  <c r="D37" i="132"/>
  <c r="M39" i="151"/>
  <c r="Z10" i="9"/>
  <c r="Z9" i="9" s="1"/>
  <c r="Z158" i="9" s="1"/>
  <c r="O32" i="151"/>
  <c r="P32" i="151"/>
  <c r="H32" i="151"/>
  <c r="L32" i="151" s="1"/>
  <c r="Q32" i="151"/>
  <c r="M32" i="151"/>
  <c r="B141" i="170"/>
  <c r="K32" i="151"/>
  <c r="P29" i="99"/>
  <c r="K29" i="99"/>
  <c r="L29" i="99" s="1"/>
  <c r="G29" i="99"/>
  <c r="R29" i="99"/>
  <c r="R16" i="99"/>
  <c r="AA10" i="9"/>
  <c r="AA9" i="9" s="1"/>
  <c r="AA158" i="9" s="1"/>
  <c r="R16" i="151"/>
  <c r="C12" i="170" s="1"/>
  <c r="E12" i="170" s="1"/>
  <c r="K695" i="170"/>
  <c r="F158" i="132"/>
  <c r="H158" i="132"/>
  <c r="G109" i="151"/>
  <c r="W71" i="101"/>
  <c r="R52" i="101"/>
  <c r="H52" i="101"/>
  <c r="Q52" i="101"/>
  <c r="G52" i="101"/>
  <c r="P52" i="101"/>
  <c r="K52" i="101"/>
  <c r="F52" i="101"/>
  <c r="M52" i="101"/>
  <c r="O52" i="101"/>
  <c r="N59" i="101"/>
  <c r="N140" i="151"/>
  <c r="U140" i="9"/>
  <c r="G145" i="151"/>
  <c r="L145" i="151" s="1"/>
  <c r="M144" i="151"/>
  <c r="M63" i="101"/>
  <c r="M121" i="151"/>
  <c r="M40" i="101"/>
  <c r="M117" i="151"/>
  <c r="M36" i="101"/>
  <c r="M28" i="101"/>
  <c r="M109" i="151"/>
  <c r="I1580" i="170" s="1"/>
  <c r="K1580" i="170" s="1"/>
  <c r="M24" i="101"/>
  <c r="V92" i="9"/>
  <c r="V9" i="9" s="1"/>
  <c r="V158" i="9" s="1"/>
  <c r="K22" i="101"/>
  <c r="F22" i="101"/>
  <c r="R22" i="101"/>
  <c r="H22" i="101"/>
  <c r="Q22" i="101"/>
  <c r="P22" i="101"/>
  <c r="G22" i="101"/>
  <c r="O22" i="101"/>
  <c r="N92" i="151"/>
  <c r="C660" i="170" s="1"/>
  <c r="E660" i="170" s="1"/>
  <c r="N92" i="99"/>
  <c r="N81" i="151"/>
  <c r="N81" i="99"/>
  <c r="O79" i="151"/>
  <c r="H79" i="151"/>
  <c r="L79" i="151" s="1"/>
  <c r="Q79" i="151"/>
  <c r="I542" i="170" s="1"/>
  <c r="K542" i="170" s="1"/>
  <c r="P79" i="151"/>
  <c r="M79" i="151"/>
  <c r="I539" i="170" s="1"/>
  <c r="K539" i="170" s="1"/>
  <c r="K79" i="151"/>
  <c r="F79" i="151"/>
  <c r="F77" i="132" s="1"/>
  <c r="K75" i="99"/>
  <c r="F75" i="99"/>
  <c r="P75" i="99"/>
  <c r="Q75" i="99"/>
  <c r="O64" i="151"/>
  <c r="H64" i="151"/>
  <c r="F64" i="151"/>
  <c r="P64" i="151"/>
  <c r="N64" i="151"/>
  <c r="Q64" i="151"/>
  <c r="B417" i="170"/>
  <c r="C425" i="170" s="1"/>
  <c r="E425" i="170" s="1"/>
  <c r="G64" i="151"/>
  <c r="D62" i="132"/>
  <c r="N53" i="151"/>
  <c r="I316" i="170" s="1"/>
  <c r="K316" i="170" s="1"/>
  <c r="N53" i="99"/>
  <c r="O49" i="151"/>
  <c r="H278" i="170"/>
  <c r="H49" i="151"/>
  <c r="F49" i="151"/>
  <c r="F47" i="132" s="1"/>
  <c r="P49" i="151"/>
  <c r="R49" i="151"/>
  <c r="I285" i="170" s="1"/>
  <c r="K285" i="170" s="1"/>
  <c r="G49" i="151"/>
  <c r="Q49" i="151"/>
  <c r="I284" i="170" s="1"/>
  <c r="K284" i="170" s="1"/>
  <c r="O45" i="99"/>
  <c r="G45" i="99"/>
  <c r="L45" i="99" s="1"/>
  <c r="Q45" i="99"/>
  <c r="N45" i="99"/>
  <c r="R45" i="99"/>
  <c r="N37" i="151"/>
  <c r="N37" i="99"/>
  <c r="W37" i="99" s="1"/>
  <c r="M30" i="151"/>
  <c r="F30" i="151"/>
  <c r="O30" i="151"/>
  <c r="G30" i="151"/>
  <c r="P30" i="151"/>
  <c r="R30" i="151"/>
  <c r="C131" i="170" s="1"/>
  <c r="E131" i="170" s="1"/>
  <c r="B124" i="170"/>
  <c r="C132" i="170" s="1"/>
  <c r="E132" i="170" s="1"/>
  <c r="H30" i="151"/>
  <c r="L30" i="151" s="1"/>
  <c r="D28" i="132"/>
  <c r="O27" i="99"/>
  <c r="G27" i="99"/>
  <c r="L27" i="99" s="1"/>
  <c r="N27" i="99"/>
  <c r="Q27" i="99"/>
  <c r="M27" i="99"/>
  <c r="R27" i="99"/>
  <c r="N22" i="99"/>
  <c r="N22" i="151"/>
  <c r="C60" i="170" s="1"/>
  <c r="E60" i="170" s="1"/>
  <c r="X92" i="9"/>
  <c r="X9" i="9" s="1"/>
  <c r="X158" i="9" s="1"/>
  <c r="R83" i="99"/>
  <c r="R83" i="151"/>
  <c r="I577" i="170" s="1"/>
  <c r="K577" i="170" s="1"/>
  <c r="R69" i="151"/>
  <c r="R69" i="99"/>
  <c r="D65" i="132"/>
  <c r="H434" i="170"/>
  <c r="K67" i="151"/>
  <c r="G67" i="151"/>
  <c r="L67" i="151" s="1"/>
  <c r="P67" i="151"/>
  <c r="O67" i="151"/>
  <c r="F67" i="151"/>
  <c r="N67" i="151"/>
  <c r="Q67" i="151"/>
  <c r="U52" i="9"/>
  <c r="G57" i="151"/>
  <c r="R51" i="99"/>
  <c r="R51" i="151"/>
  <c r="I302" i="170" s="1"/>
  <c r="K302" i="170" s="1"/>
  <c r="U43" i="9"/>
  <c r="G48" i="151"/>
  <c r="Q35" i="151"/>
  <c r="Q35" i="99"/>
  <c r="H158" i="170"/>
  <c r="I162" i="170" s="1"/>
  <c r="K162" i="170" s="1"/>
  <c r="O35" i="151"/>
  <c r="F35" i="151"/>
  <c r="M35" i="151"/>
  <c r="K35" i="151"/>
  <c r="G35" i="151"/>
  <c r="P35" i="151"/>
  <c r="R35" i="151"/>
  <c r="D33" i="132"/>
  <c r="H35" i="151"/>
  <c r="L35" i="151" s="1"/>
  <c r="O19" i="99"/>
  <c r="P19" i="99"/>
  <c r="K19" i="99"/>
  <c r="F19" i="99"/>
  <c r="G19" i="99"/>
  <c r="L19" i="99" s="1"/>
  <c r="Q19" i="99"/>
  <c r="AC11" i="9"/>
  <c r="Q10" i="9"/>
  <c r="Q9" i="9" s="1"/>
  <c r="M83" i="99"/>
  <c r="M83" i="151"/>
  <c r="I573" i="170" s="1"/>
  <c r="K573" i="170" s="1"/>
  <c r="I1821" i="170"/>
  <c r="K1821" i="170" s="1"/>
  <c r="K1408" i="170"/>
  <c r="F134" i="132"/>
  <c r="K1083" i="170"/>
  <c r="I1836" i="170"/>
  <c r="K1836" i="170" s="1"/>
  <c r="C352" i="170"/>
  <c r="E352" i="170" s="1"/>
  <c r="E1291" i="170"/>
  <c r="C1702" i="170"/>
  <c r="E1702" i="170" s="1"/>
  <c r="C1699" i="170"/>
  <c r="E1699" i="170" s="1"/>
  <c r="C1703" i="170"/>
  <c r="E1703" i="170" s="1"/>
  <c r="F53" i="132"/>
  <c r="C1992" i="170"/>
  <c r="E1992" i="170" s="1"/>
  <c r="I1754" i="170"/>
  <c r="K1754" i="170" s="1"/>
  <c r="C1666" i="170"/>
  <c r="E1666" i="170" s="1"/>
  <c r="C1991" i="170"/>
  <c r="E1991" i="170" s="1"/>
  <c r="C1737" i="170"/>
  <c r="E1737" i="170" s="1"/>
  <c r="C1734" i="170"/>
  <c r="E1734" i="170" s="1"/>
  <c r="I1601" i="170"/>
  <c r="K1601" i="170" s="1"/>
  <c r="F94" i="132"/>
  <c r="E815" i="170"/>
  <c r="K1138" i="170"/>
  <c r="K1145" i="170" s="1"/>
  <c r="K2476" i="170"/>
  <c r="K1257" i="170"/>
  <c r="K1476" i="170"/>
  <c r="K2188" i="170"/>
  <c r="K2217" i="170"/>
  <c r="K2227" i="170" s="1"/>
  <c r="K2381" i="170"/>
  <c r="K2333" i="170"/>
  <c r="K2461" i="170"/>
  <c r="C1852" i="170"/>
  <c r="E1852" i="170" s="1"/>
  <c r="I1971" i="170"/>
  <c r="K1971" i="170" s="1"/>
  <c r="I1753" i="170"/>
  <c r="K1753" i="170" s="1"/>
  <c r="R49" i="101"/>
  <c r="H49" i="101"/>
  <c r="Q49" i="101"/>
  <c r="G49" i="101"/>
  <c r="F49" i="101"/>
  <c r="P49" i="101"/>
  <c r="K49" i="101"/>
  <c r="H1849" i="170"/>
  <c r="R141" i="151"/>
  <c r="Q141" i="151"/>
  <c r="G141" i="151"/>
  <c r="L141" i="151" s="1"/>
  <c r="K55" i="101"/>
  <c r="F55" i="101"/>
  <c r="R55" i="101"/>
  <c r="H55" i="101"/>
  <c r="G55" i="101"/>
  <c r="Q55" i="101"/>
  <c r="P55" i="101"/>
  <c r="K67" i="101"/>
  <c r="F67" i="101"/>
  <c r="R67" i="101"/>
  <c r="H67" i="101"/>
  <c r="L67" i="101" s="1"/>
  <c r="Q67" i="101"/>
  <c r="P67" i="101"/>
  <c r="G67" i="101"/>
  <c r="N101" i="151"/>
  <c r="N99" i="151"/>
  <c r="Q17" i="101"/>
  <c r="G17" i="101"/>
  <c r="P17" i="101"/>
  <c r="H17" i="101"/>
  <c r="L17" i="101" s="1"/>
  <c r="R17" i="101"/>
  <c r="K17" i="101"/>
  <c r="H94" i="151"/>
  <c r="G94" i="151"/>
  <c r="P92" i="99"/>
  <c r="G92" i="99"/>
  <c r="L92" i="99" s="1"/>
  <c r="O92" i="99"/>
  <c r="B536" i="170"/>
  <c r="O78" i="151"/>
  <c r="K78" i="151"/>
  <c r="G78" i="151"/>
  <c r="L78" i="151" s="1"/>
  <c r="F78" i="151"/>
  <c r="F76" i="132" s="1"/>
  <c r="P78" i="151"/>
  <c r="O74" i="99"/>
  <c r="P74" i="99"/>
  <c r="F74" i="99"/>
  <c r="K74" i="99"/>
  <c r="G74" i="99"/>
  <c r="H1900" i="170"/>
  <c r="I1903" i="170" s="1"/>
  <c r="K1903" i="170" s="1"/>
  <c r="P147" i="151"/>
  <c r="F147" i="151"/>
  <c r="K147" i="151"/>
  <c r="G147" i="151"/>
  <c r="L147" i="151" s="1"/>
  <c r="D145" i="132"/>
  <c r="R147" i="151"/>
  <c r="Q147" i="151"/>
  <c r="H142" i="151"/>
  <c r="R142" i="151"/>
  <c r="G142" i="151"/>
  <c r="N95" i="99"/>
  <c r="N86" i="151"/>
  <c r="N78" i="101"/>
  <c r="H2002" i="170"/>
  <c r="I2009" i="170" s="1"/>
  <c r="K2009" i="170" s="1"/>
  <c r="D157" i="132"/>
  <c r="Q159" i="151"/>
  <c r="G159" i="151"/>
  <c r="L159" i="151" s="1"/>
  <c r="S159" i="151"/>
  <c r="F159" i="151"/>
  <c r="O159" i="151"/>
  <c r="R159" i="151"/>
  <c r="K69" i="101"/>
  <c r="F69" i="101"/>
  <c r="R69" i="101"/>
  <c r="H69" i="101"/>
  <c r="Q69" i="101"/>
  <c r="P69" i="101"/>
  <c r="G69" i="101"/>
  <c r="P65" i="101"/>
  <c r="K65" i="101"/>
  <c r="F65" i="101"/>
  <c r="R65" i="101"/>
  <c r="Q65" i="101"/>
  <c r="H65" i="101"/>
  <c r="G65" i="101"/>
  <c r="M62" i="101"/>
  <c r="K47" i="101"/>
  <c r="F47" i="101"/>
  <c r="R47" i="101"/>
  <c r="H47" i="101"/>
  <c r="G47" i="101"/>
  <c r="Q47" i="101"/>
  <c r="P47" i="101"/>
  <c r="R46" i="101"/>
  <c r="H46" i="101"/>
  <c r="Q46" i="101"/>
  <c r="G46" i="101"/>
  <c r="P46" i="101"/>
  <c r="K46" i="101"/>
  <c r="F46" i="101"/>
  <c r="Q45" i="101"/>
  <c r="G45" i="101"/>
  <c r="P45" i="101"/>
  <c r="H45" i="101"/>
  <c r="F45" i="101"/>
  <c r="R45" i="101"/>
  <c r="K45" i="101"/>
  <c r="P44" i="101"/>
  <c r="K44" i="101"/>
  <c r="F44" i="101"/>
  <c r="G44" i="101"/>
  <c r="R44" i="101"/>
  <c r="Q44" i="101"/>
  <c r="H44" i="101"/>
  <c r="K43" i="101"/>
  <c r="F43" i="101"/>
  <c r="R43" i="101"/>
  <c r="H43" i="101"/>
  <c r="L43" i="101" s="1"/>
  <c r="Q43" i="101"/>
  <c r="P43" i="101"/>
  <c r="G43" i="101"/>
  <c r="R42" i="101"/>
  <c r="H42" i="101"/>
  <c r="Q42" i="101"/>
  <c r="G42" i="101"/>
  <c r="F42" i="101"/>
  <c r="P42" i="101"/>
  <c r="K42" i="101"/>
  <c r="P41" i="101"/>
  <c r="K41" i="101"/>
  <c r="F41" i="101"/>
  <c r="Q41" i="101"/>
  <c r="H41" i="101"/>
  <c r="G41" i="101"/>
  <c r="R41" i="101"/>
  <c r="R40" i="101"/>
  <c r="H40" i="101"/>
  <c r="Q40" i="101"/>
  <c r="G40" i="101"/>
  <c r="F40" i="101"/>
  <c r="P40" i="101"/>
  <c r="K40" i="101"/>
  <c r="Q39" i="101"/>
  <c r="G39" i="101"/>
  <c r="P39" i="101"/>
  <c r="K39" i="101"/>
  <c r="H39" i="101"/>
  <c r="F39" i="101"/>
  <c r="R39" i="101"/>
  <c r="K38" i="101"/>
  <c r="F38" i="101"/>
  <c r="R38" i="101"/>
  <c r="H38" i="101"/>
  <c r="Q38" i="101"/>
  <c r="P38" i="101"/>
  <c r="G38" i="101"/>
  <c r="Q37" i="101"/>
  <c r="G37" i="101"/>
  <c r="P37" i="101"/>
  <c r="H37" i="101"/>
  <c r="F37" i="101"/>
  <c r="R37" i="101"/>
  <c r="K37" i="101"/>
  <c r="P36" i="101"/>
  <c r="K36" i="101"/>
  <c r="F36" i="101"/>
  <c r="G36" i="101"/>
  <c r="R36" i="101"/>
  <c r="Q36" i="101"/>
  <c r="H36" i="101"/>
  <c r="R35" i="101"/>
  <c r="H35" i="101"/>
  <c r="Q35" i="101"/>
  <c r="G35" i="101"/>
  <c r="K35" i="101"/>
  <c r="F35" i="101"/>
  <c r="P35" i="101"/>
  <c r="Q34" i="101"/>
  <c r="G34" i="101"/>
  <c r="P34" i="101"/>
  <c r="F34" i="101"/>
  <c r="R34" i="101"/>
  <c r="K34" i="101"/>
  <c r="H34" i="101"/>
  <c r="K33" i="101"/>
  <c r="F33" i="101"/>
  <c r="R33" i="101"/>
  <c r="H33" i="101"/>
  <c r="P33" i="101"/>
  <c r="G33" i="101"/>
  <c r="Q33" i="101"/>
  <c r="Q32" i="101"/>
  <c r="G32" i="101"/>
  <c r="P32" i="101"/>
  <c r="R32" i="101"/>
  <c r="K32" i="101"/>
  <c r="H32" i="101"/>
  <c r="F32" i="101"/>
  <c r="P31" i="101"/>
  <c r="K31" i="101"/>
  <c r="F31" i="101"/>
  <c r="Q31" i="101"/>
  <c r="H31" i="101"/>
  <c r="G31" i="101"/>
  <c r="R31" i="101"/>
  <c r="O30" i="101"/>
  <c r="R30" i="101"/>
  <c r="K30" i="101"/>
  <c r="F30" i="101"/>
  <c r="H30" i="101"/>
  <c r="G30" i="101"/>
  <c r="Q30" i="101"/>
  <c r="P30" i="101"/>
  <c r="N29" i="101"/>
  <c r="R29" i="101"/>
  <c r="K29" i="101"/>
  <c r="F29" i="101"/>
  <c r="G29" i="101"/>
  <c r="Q29" i="101"/>
  <c r="P29" i="101"/>
  <c r="H29" i="101"/>
  <c r="O28" i="101"/>
  <c r="R28" i="101"/>
  <c r="K28" i="101"/>
  <c r="F28" i="101"/>
  <c r="Q28" i="101"/>
  <c r="P28" i="101"/>
  <c r="H28" i="101"/>
  <c r="G28" i="101"/>
  <c r="R27" i="101"/>
  <c r="H27" i="101"/>
  <c r="Q27" i="101"/>
  <c r="G27" i="101"/>
  <c r="F27" i="101"/>
  <c r="P27" i="101"/>
  <c r="K27" i="101"/>
  <c r="Q26" i="101"/>
  <c r="G26" i="101"/>
  <c r="P26" i="101"/>
  <c r="R26" i="101"/>
  <c r="K26" i="101"/>
  <c r="H26" i="101"/>
  <c r="L26" i="101" s="1"/>
  <c r="F26" i="101"/>
  <c r="K25" i="101"/>
  <c r="F25" i="101"/>
  <c r="R25" i="101"/>
  <c r="H25" i="101"/>
  <c r="G25" i="101"/>
  <c r="Q25" i="101"/>
  <c r="P25" i="101"/>
  <c r="R24" i="101"/>
  <c r="H24" i="101"/>
  <c r="Q24" i="101"/>
  <c r="G24" i="101"/>
  <c r="P24" i="101"/>
  <c r="K24" i="101"/>
  <c r="F24" i="101"/>
  <c r="Q23" i="101"/>
  <c r="G23" i="101"/>
  <c r="P23" i="101"/>
  <c r="H23" i="101"/>
  <c r="F23" i="101"/>
  <c r="R23" i="101"/>
  <c r="K23" i="101"/>
  <c r="H95" i="151"/>
  <c r="D93" i="132"/>
  <c r="F93" i="132" s="1"/>
  <c r="O95" i="151"/>
  <c r="W95" i="151" s="1"/>
  <c r="G95" i="151"/>
  <c r="H149" i="151"/>
  <c r="R149" i="151"/>
  <c r="G149" i="151"/>
  <c r="M47" i="101"/>
  <c r="M31" i="101"/>
  <c r="M27" i="101"/>
  <c r="H1526" i="170"/>
  <c r="K103" i="151"/>
  <c r="D101" i="132"/>
  <c r="R103" i="151"/>
  <c r="G103" i="151"/>
  <c r="F103" i="151"/>
  <c r="Q103" i="151"/>
  <c r="P103" i="151"/>
  <c r="O84" i="99"/>
  <c r="G84" i="99"/>
  <c r="F84" i="99"/>
  <c r="P84" i="99"/>
  <c r="K84" i="99"/>
  <c r="N79" i="151"/>
  <c r="I540" i="170" s="1"/>
  <c r="K540" i="170" s="1"/>
  <c r="G71" i="99"/>
  <c r="O60" i="151"/>
  <c r="P60" i="151"/>
  <c r="H60" i="151"/>
  <c r="F60" i="151"/>
  <c r="O56" i="99"/>
  <c r="G56" i="99"/>
  <c r="L56" i="99" s="1"/>
  <c r="N49" i="151"/>
  <c r="H244" i="170"/>
  <c r="D43" i="132"/>
  <c r="P45" i="151"/>
  <c r="K45" i="151"/>
  <c r="G45" i="151"/>
  <c r="F45" i="151"/>
  <c r="O41" i="99"/>
  <c r="G41" i="99"/>
  <c r="O27" i="151"/>
  <c r="D25" i="132"/>
  <c r="H90" i="170"/>
  <c r="F27" i="151"/>
  <c r="P27" i="151"/>
  <c r="K27" i="151"/>
  <c r="G27" i="151"/>
  <c r="O25" i="99"/>
  <c r="G25" i="99"/>
  <c r="L25" i="99" s="1"/>
  <c r="N18" i="99"/>
  <c r="O21" i="101"/>
  <c r="R86" i="151"/>
  <c r="O69" i="99"/>
  <c r="G69" i="99"/>
  <c r="L69" i="99" s="1"/>
  <c r="O51" i="99"/>
  <c r="P51" i="99"/>
  <c r="M51" i="99"/>
  <c r="F51" i="99"/>
  <c r="K51" i="99"/>
  <c r="G51" i="99"/>
  <c r="H42" i="99"/>
  <c r="F42" i="99"/>
  <c r="P42" i="99"/>
  <c r="K42" i="99"/>
  <c r="H28" i="99"/>
  <c r="F28" i="99"/>
  <c r="P28" i="99"/>
  <c r="K28" i="99"/>
  <c r="D17" i="132"/>
  <c r="H22" i="170"/>
  <c r="O19" i="151"/>
  <c r="K19" i="151"/>
  <c r="G19" i="151"/>
  <c r="L19" i="151" s="1"/>
  <c r="F19" i="151"/>
  <c r="P19" i="151"/>
  <c r="Q87" i="99"/>
  <c r="F77" i="99"/>
  <c r="K77" i="99"/>
  <c r="P77" i="99"/>
  <c r="K76" i="99"/>
  <c r="L76" i="99" s="1"/>
  <c r="G76" i="99"/>
  <c r="P76" i="99"/>
  <c r="G65" i="99"/>
  <c r="L65" i="99" s="1"/>
  <c r="P65" i="99"/>
  <c r="K65" i="99"/>
  <c r="Q55" i="99"/>
  <c r="G55" i="151"/>
  <c r="L55" i="151" s="1"/>
  <c r="O55" i="151"/>
  <c r="M48" i="151"/>
  <c r="C281" i="170" s="1"/>
  <c r="E281" i="170" s="1"/>
  <c r="P46" i="99"/>
  <c r="W46" i="99" s="1"/>
  <c r="K46" i="99"/>
  <c r="L46" i="99" s="1"/>
  <c r="F46" i="99"/>
  <c r="H36" i="151"/>
  <c r="G36" i="151"/>
  <c r="O36" i="151"/>
  <c r="O29" i="151"/>
  <c r="W29" i="151" s="1"/>
  <c r="H27" i="132" s="1"/>
  <c r="K29" i="151"/>
  <c r="I96" i="99"/>
  <c r="AH21" i="169"/>
  <c r="M52" i="151"/>
  <c r="H227" i="170"/>
  <c r="P43" i="151"/>
  <c r="K43" i="151"/>
  <c r="G43" i="151"/>
  <c r="L43" i="151" s="1"/>
  <c r="F43" i="151"/>
  <c r="F41" i="132" s="1"/>
  <c r="H141" i="170"/>
  <c r="D31" i="132"/>
  <c r="P33" i="151"/>
  <c r="F33" i="151"/>
  <c r="N33" i="151"/>
  <c r="K33" i="151"/>
  <c r="G33" i="151"/>
  <c r="L33" i="151" s="1"/>
  <c r="G20" i="151"/>
  <c r="L20" i="151" s="1"/>
  <c r="O20" i="151"/>
  <c r="O48" i="101"/>
  <c r="G73" i="151"/>
  <c r="L73" i="151" s="1"/>
  <c r="H486" i="170"/>
  <c r="I490" i="170" s="1"/>
  <c r="K490" i="170" s="1"/>
  <c r="D71" i="132"/>
  <c r="F71" i="132" s="1"/>
  <c r="O73" i="151"/>
  <c r="W73" i="151" s="1"/>
  <c r="O63" i="99"/>
  <c r="P63" i="99"/>
  <c r="F63" i="99"/>
  <c r="K63" i="99"/>
  <c r="G63" i="99"/>
  <c r="M59" i="99"/>
  <c r="M55" i="151"/>
  <c r="I333" i="170" s="1"/>
  <c r="K333" i="170" s="1"/>
  <c r="B330" i="170"/>
  <c r="K54" i="151"/>
  <c r="G54" i="151"/>
  <c r="L54" i="151" s="1"/>
  <c r="P54" i="151"/>
  <c r="O54" i="151"/>
  <c r="F54" i="151"/>
  <c r="F52" i="132" s="1"/>
  <c r="N46" i="151"/>
  <c r="C265" i="170" s="1"/>
  <c r="E265" i="170" s="1"/>
  <c r="P44" i="99"/>
  <c r="W44" i="99" s="1"/>
  <c r="H44" i="99"/>
  <c r="M33" i="151"/>
  <c r="M24" i="151"/>
  <c r="R94" i="151"/>
  <c r="C680" i="170" s="1"/>
  <c r="E680" i="170" s="1"/>
  <c r="Q50" i="151"/>
  <c r="M45" i="151"/>
  <c r="M64" i="151"/>
  <c r="C420" i="170" s="1"/>
  <c r="E420" i="170" s="1"/>
  <c r="R56" i="99"/>
  <c r="Q65" i="99"/>
  <c r="N32" i="151"/>
  <c r="R45" i="151"/>
  <c r="R33" i="151"/>
  <c r="I676" i="170"/>
  <c r="K676" i="170" s="1"/>
  <c r="F128" i="132"/>
  <c r="C1821" i="170"/>
  <c r="E1821" i="170" s="1"/>
  <c r="I1549" i="170"/>
  <c r="K1549" i="170" s="1"/>
  <c r="E761" i="170"/>
  <c r="C1971" i="170"/>
  <c r="E1971" i="170" s="1"/>
  <c r="C1819" i="170"/>
  <c r="E1819" i="170" s="1"/>
  <c r="C1822" i="170"/>
  <c r="E1822" i="170" s="1"/>
  <c r="C1767" i="170"/>
  <c r="E1767" i="170" s="1"/>
  <c r="F120" i="132"/>
  <c r="C1580" i="170"/>
  <c r="E1580" i="170" s="1"/>
  <c r="I1547" i="170"/>
  <c r="K1547" i="170" s="1"/>
  <c r="F121" i="132"/>
  <c r="C1665" i="170"/>
  <c r="E1665" i="170" s="1"/>
  <c r="I1700" i="170"/>
  <c r="K1700" i="170" s="1"/>
  <c r="E899" i="170"/>
  <c r="E1324" i="170"/>
  <c r="K1053" i="170"/>
  <c r="E1373" i="170"/>
  <c r="E2156" i="170"/>
  <c r="E2154" i="170"/>
  <c r="E2092" i="170"/>
  <c r="K2558" i="170"/>
  <c r="K2313" i="170"/>
  <c r="P72" i="101"/>
  <c r="R72" i="101"/>
  <c r="H72" i="101"/>
  <c r="Q72" i="101"/>
  <c r="G72" i="101"/>
  <c r="K72" i="101"/>
  <c r="F72" i="101"/>
  <c r="G140" i="151"/>
  <c r="L140" i="151" s="1"/>
  <c r="G53" i="101"/>
  <c r="L53" i="101" s="1"/>
  <c r="U129" i="9"/>
  <c r="B2002" i="170"/>
  <c r="C2004" i="170" s="1"/>
  <c r="E2004" i="170" s="1"/>
  <c r="O158" i="151"/>
  <c r="R158" i="151"/>
  <c r="G158" i="151"/>
  <c r="L158" i="151" s="1"/>
  <c r="S158" i="151"/>
  <c r="H1764" i="170"/>
  <c r="R131" i="151"/>
  <c r="G131" i="151"/>
  <c r="J131" i="151" s="1"/>
  <c r="Q131" i="151"/>
  <c r="P131" i="151"/>
  <c r="D129" i="132"/>
  <c r="K131" i="151"/>
  <c r="F131" i="151"/>
  <c r="K50" i="101"/>
  <c r="F50" i="101"/>
  <c r="R50" i="101"/>
  <c r="H50" i="101"/>
  <c r="Q50" i="101"/>
  <c r="P50" i="101"/>
  <c r="G50" i="101"/>
  <c r="G71" i="101"/>
  <c r="L71" i="101" s="1"/>
  <c r="G56" i="101"/>
  <c r="L56" i="101" s="1"/>
  <c r="G51" i="101"/>
  <c r="L51" i="101" s="1"/>
  <c r="G74" i="101"/>
  <c r="G76" i="101"/>
  <c r="L76" i="101" s="1"/>
  <c r="B1917" i="170"/>
  <c r="C1923" i="170" s="1"/>
  <c r="E1923" i="170" s="1"/>
  <c r="G148" i="151"/>
  <c r="L148" i="151" s="1"/>
  <c r="Q148" i="151"/>
  <c r="R148" i="151"/>
  <c r="U93" i="9"/>
  <c r="R92" i="9"/>
  <c r="O92" i="151"/>
  <c r="D90" i="132"/>
  <c r="F90" i="132" s="1"/>
  <c r="G92" i="151"/>
  <c r="L92" i="151" s="1"/>
  <c r="O87" i="99"/>
  <c r="G87" i="99"/>
  <c r="L87" i="99" s="1"/>
  <c r="N78" i="99"/>
  <c r="B503" i="170"/>
  <c r="G74" i="151"/>
  <c r="L74" i="151" s="1"/>
  <c r="Q74" i="151"/>
  <c r="F74" i="151"/>
  <c r="P74" i="151"/>
  <c r="K74" i="151"/>
  <c r="D72" i="132"/>
  <c r="O70" i="99"/>
  <c r="G70" i="99"/>
  <c r="F70" i="99"/>
  <c r="P70" i="99"/>
  <c r="K70" i="99"/>
  <c r="P61" i="101"/>
  <c r="K61" i="101"/>
  <c r="F61" i="101"/>
  <c r="H61" i="101"/>
  <c r="G61" i="101"/>
  <c r="R61" i="101"/>
  <c r="Q61" i="101"/>
  <c r="O44" i="101"/>
  <c r="O40" i="101"/>
  <c r="O36" i="101"/>
  <c r="O32" i="101"/>
  <c r="O24" i="101"/>
  <c r="B1934" i="170"/>
  <c r="C1940" i="170" s="1"/>
  <c r="E1940" i="170" s="1"/>
  <c r="K150" i="151"/>
  <c r="Q150" i="151"/>
  <c r="P150" i="151"/>
  <c r="R150" i="151"/>
  <c r="G150" i="151"/>
  <c r="L150" i="151" s="1"/>
  <c r="F150" i="151"/>
  <c r="D148" i="132"/>
  <c r="O65" i="101"/>
  <c r="N50" i="101"/>
  <c r="B1747" i="170"/>
  <c r="C1754" i="170" s="1"/>
  <c r="E1754" i="170" s="1"/>
  <c r="G128" i="151"/>
  <c r="L128" i="151" s="1"/>
  <c r="R128" i="151"/>
  <c r="Q128" i="151"/>
  <c r="H1730" i="170"/>
  <c r="Q127" i="151"/>
  <c r="F127" i="151"/>
  <c r="P127" i="151"/>
  <c r="R127" i="151"/>
  <c r="D125" i="132"/>
  <c r="K127" i="151"/>
  <c r="G127" i="151"/>
  <c r="L127" i="151" s="1"/>
  <c r="H125" i="151"/>
  <c r="L125" i="151" s="1"/>
  <c r="G125" i="151"/>
  <c r="R125" i="151"/>
  <c r="B1713" i="170"/>
  <c r="D122" i="132"/>
  <c r="P124" i="151"/>
  <c r="K124" i="151"/>
  <c r="G124" i="151"/>
  <c r="L124" i="151" s="1"/>
  <c r="F124" i="151"/>
  <c r="R124" i="151"/>
  <c r="Q124" i="151"/>
  <c r="R122" i="151"/>
  <c r="H122" i="151"/>
  <c r="L122" i="151" s="1"/>
  <c r="G122" i="151"/>
  <c r="H1679" i="170"/>
  <c r="I1681" i="170" s="1"/>
  <c r="K1681" i="170" s="1"/>
  <c r="D119" i="132"/>
  <c r="F119" i="132" s="1"/>
  <c r="G121" i="151"/>
  <c r="L121" i="151" s="1"/>
  <c r="R121" i="151"/>
  <c r="Q121" i="151"/>
  <c r="B1679" i="170"/>
  <c r="D118" i="132"/>
  <c r="Q120" i="151"/>
  <c r="P120" i="151"/>
  <c r="F120" i="151"/>
  <c r="R120" i="151"/>
  <c r="K120" i="151"/>
  <c r="G120" i="151"/>
  <c r="L120" i="151" s="1"/>
  <c r="P119" i="151"/>
  <c r="I1669" i="170" s="1"/>
  <c r="K1669" i="170" s="1"/>
  <c r="K119" i="151"/>
  <c r="H119" i="151"/>
  <c r="L119" i="151" s="1"/>
  <c r="H1645" i="170"/>
  <c r="I1652" i="170" s="1"/>
  <c r="K1652" i="170" s="1"/>
  <c r="D115" i="132"/>
  <c r="F115" i="132" s="1"/>
  <c r="R117" i="151"/>
  <c r="G117" i="151"/>
  <c r="L117" i="151" s="1"/>
  <c r="Q117" i="151"/>
  <c r="B1645" i="170"/>
  <c r="C1651" i="170" s="1"/>
  <c r="E1651" i="170" s="1"/>
  <c r="D114" i="132"/>
  <c r="P116" i="151"/>
  <c r="K116" i="151"/>
  <c r="G116" i="151"/>
  <c r="L116" i="151" s="1"/>
  <c r="F116" i="151"/>
  <c r="R116" i="151"/>
  <c r="Q116" i="151"/>
  <c r="B1628" i="170"/>
  <c r="C1635" i="170" s="1"/>
  <c r="E1635" i="170" s="1"/>
  <c r="D112" i="132"/>
  <c r="F112" i="132" s="1"/>
  <c r="R114" i="151"/>
  <c r="Q114" i="151"/>
  <c r="G114" i="151"/>
  <c r="L114" i="151" s="1"/>
  <c r="H1611" i="170"/>
  <c r="P113" i="151"/>
  <c r="F113" i="151"/>
  <c r="K113" i="151"/>
  <c r="R113" i="151"/>
  <c r="Q113" i="151"/>
  <c r="D111" i="132"/>
  <c r="F111" i="132" s="1"/>
  <c r="G113" i="151"/>
  <c r="L113" i="151" s="1"/>
  <c r="K112" i="151"/>
  <c r="H112" i="151"/>
  <c r="P112" i="151"/>
  <c r="W112" i="151" s="1"/>
  <c r="H110" i="132" s="1"/>
  <c r="F112" i="151"/>
  <c r="F110" i="132" s="1"/>
  <c r="B1594" i="170"/>
  <c r="C1601" i="170" s="1"/>
  <c r="E1601" i="170" s="1"/>
  <c r="R110" i="151"/>
  <c r="Q110" i="151"/>
  <c r="D108" i="132"/>
  <c r="F108" i="132" s="1"/>
  <c r="G110" i="151"/>
  <c r="L110" i="151" s="1"/>
  <c r="H108" i="151"/>
  <c r="G108" i="151"/>
  <c r="R108" i="151"/>
  <c r="W108" i="151" s="1"/>
  <c r="H106" i="132" s="1"/>
  <c r="D105" i="132"/>
  <c r="F105" i="132" s="1"/>
  <c r="R107" i="151"/>
  <c r="Q107" i="151"/>
  <c r="G107" i="151"/>
  <c r="J107" i="151" s="1"/>
  <c r="I1565" i="170" s="1"/>
  <c r="B1560" i="170"/>
  <c r="C1566" i="170" s="1"/>
  <c r="E1566" i="170" s="1"/>
  <c r="D104" i="132"/>
  <c r="K106" i="151"/>
  <c r="R106" i="151"/>
  <c r="G106" i="151"/>
  <c r="L106" i="151" s="1"/>
  <c r="F106" i="151"/>
  <c r="Q106" i="151"/>
  <c r="P106" i="151"/>
  <c r="H105" i="151"/>
  <c r="L105" i="151" s="1"/>
  <c r="K105" i="151"/>
  <c r="P105" i="151"/>
  <c r="I1550" i="170" s="1"/>
  <c r="K1550" i="170" s="1"/>
  <c r="B1543" i="170"/>
  <c r="C1549" i="170" s="1"/>
  <c r="E1549" i="170" s="1"/>
  <c r="D102" i="132"/>
  <c r="F102" i="132" s="1"/>
  <c r="R104" i="151"/>
  <c r="Q104" i="151"/>
  <c r="G104" i="151"/>
  <c r="L104" i="151" s="1"/>
  <c r="G153" i="151"/>
  <c r="L153" i="151" s="1"/>
  <c r="K64" i="101"/>
  <c r="F64" i="101"/>
  <c r="R64" i="101"/>
  <c r="H64" i="101"/>
  <c r="P64" i="101"/>
  <c r="G64" i="101"/>
  <c r="Q64" i="101"/>
  <c r="R63" i="101"/>
  <c r="H63" i="101"/>
  <c r="Q63" i="101"/>
  <c r="G63" i="101"/>
  <c r="F63" i="101"/>
  <c r="P63" i="101"/>
  <c r="K63" i="101"/>
  <c r="M127" i="151"/>
  <c r="M42" i="101"/>
  <c r="M38" i="101"/>
  <c r="M34" i="101"/>
  <c r="M30" i="101"/>
  <c r="M107" i="151"/>
  <c r="I1563" i="170" s="1"/>
  <c r="K1563" i="170" s="1"/>
  <c r="N22" i="101"/>
  <c r="H639" i="170"/>
  <c r="D89" i="132"/>
  <c r="O91" i="151"/>
  <c r="G91" i="151"/>
  <c r="L91" i="151" s="1"/>
  <c r="E91" i="151"/>
  <c r="F91" i="151" s="1"/>
  <c r="O84" i="151"/>
  <c r="B587" i="170"/>
  <c r="D82" i="132"/>
  <c r="P84" i="151"/>
  <c r="K84" i="151"/>
  <c r="G84" i="151"/>
  <c r="L84" i="151" s="1"/>
  <c r="F84" i="151"/>
  <c r="O81" i="99"/>
  <c r="G81" i="99"/>
  <c r="L81" i="99" s="1"/>
  <c r="N75" i="151"/>
  <c r="D69" i="132"/>
  <c r="H71" i="151"/>
  <c r="G71" i="151"/>
  <c r="O71" i="151"/>
  <c r="O56" i="151"/>
  <c r="F56" i="151"/>
  <c r="P56" i="151"/>
  <c r="D54" i="132"/>
  <c r="H56" i="151"/>
  <c r="L56" i="151" s="1"/>
  <c r="O53" i="99"/>
  <c r="K53" i="99"/>
  <c r="G53" i="99"/>
  <c r="P53" i="99"/>
  <c r="F53" i="99"/>
  <c r="N45" i="151"/>
  <c r="H209" i="170"/>
  <c r="D39" i="132"/>
  <c r="K41" i="151"/>
  <c r="G41" i="151"/>
  <c r="L41" i="151" s="1"/>
  <c r="F41" i="151"/>
  <c r="P41" i="151"/>
  <c r="G37" i="99"/>
  <c r="L37" i="99" s="1"/>
  <c r="N27" i="151"/>
  <c r="H73" i="170"/>
  <c r="G25" i="151"/>
  <c r="L25" i="151" s="1"/>
  <c r="F25" i="151"/>
  <c r="F23" i="132" s="1"/>
  <c r="P25" i="151"/>
  <c r="K25" i="151"/>
  <c r="O22" i="99"/>
  <c r="P22" i="99"/>
  <c r="F22" i="99"/>
  <c r="K22" i="99"/>
  <c r="G22" i="99"/>
  <c r="O20" i="101"/>
  <c r="R93" i="99"/>
  <c r="O83" i="99"/>
  <c r="G83" i="99"/>
  <c r="L83" i="99" s="1"/>
  <c r="P82" i="99"/>
  <c r="K82" i="99"/>
  <c r="F82" i="99"/>
  <c r="H450" i="170"/>
  <c r="I453" i="170" s="1"/>
  <c r="K453" i="170" s="1"/>
  <c r="F69" i="151"/>
  <c r="F67" i="132" s="1"/>
  <c r="P69" i="151"/>
  <c r="K69" i="151"/>
  <c r="G69" i="151"/>
  <c r="L69" i="151" s="1"/>
  <c r="O61" i="99"/>
  <c r="G61" i="99"/>
  <c r="K61" i="99"/>
  <c r="F61" i="99"/>
  <c r="P61" i="99"/>
  <c r="Q51" i="99"/>
  <c r="G51" i="151"/>
  <c r="L51" i="151" s="1"/>
  <c r="K51" i="151"/>
  <c r="G42" i="151"/>
  <c r="P42" i="151"/>
  <c r="F42" i="151"/>
  <c r="F40" i="132" s="1"/>
  <c r="O42" i="151"/>
  <c r="H42" i="151"/>
  <c r="L42" i="151" s="1"/>
  <c r="R19" i="99"/>
  <c r="F77" i="151"/>
  <c r="F75" i="132" s="1"/>
  <c r="O77" i="151"/>
  <c r="K77" i="151"/>
  <c r="H77" i="151"/>
  <c r="L77" i="151" s="1"/>
  <c r="B520" i="170"/>
  <c r="D74" i="132"/>
  <c r="G76" i="151"/>
  <c r="L76" i="151" s="1"/>
  <c r="P76" i="151"/>
  <c r="K76" i="151"/>
  <c r="F76" i="151"/>
  <c r="O52" i="151"/>
  <c r="B312" i="170"/>
  <c r="D50" i="132"/>
  <c r="G52" i="151"/>
  <c r="L52" i="151" s="1"/>
  <c r="F52" i="151"/>
  <c r="P52" i="151"/>
  <c r="K52" i="151"/>
  <c r="O46" i="151"/>
  <c r="P46" i="151"/>
  <c r="H46" i="151"/>
  <c r="L46" i="151" s="1"/>
  <c r="R39" i="151"/>
  <c r="O23" i="151"/>
  <c r="G23" i="151"/>
  <c r="L23" i="151" s="1"/>
  <c r="O16" i="99"/>
  <c r="G16" i="99"/>
  <c r="L16" i="99" s="1"/>
  <c r="F16" i="99"/>
  <c r="P16" i="99"/>
  <c r="K16" i="99"/>
  <c r="AJ13" i="169"/>
  <c r="AJ21" i="169" s="1"/>
  <c r="O63" i="101"/>
  <c r="O55" i="101"/>
  <c r="AC92" i="9"/>
  <c r="Q69" i="99"/>
  <c r="B400" i="170"/>
  <c r="K62" i="151"/>
  <c r="D60" i="132"/>
  <c r="G62" i="151"/>
  <c r="L62" i="151" s="1"/>
  <c r="F62" i="151"/>
  <c r="P62" i="151"/>
  <c r="O62" i="151"/>
  <c r="N42" i="151"/>
  <c r="C231" i="170" s="1"/>
  <c r="E231" i="170" s="1"/>
  <c r="P24" i="99"/>
  <c r="W24" i="99" s="1"/>
  <c r="K24" i="99"/>
  <c r="L24" i="99" s="1"/>
  <c r="F24" i="99"/>
  <c r="N19" i="99"/>
  <c r="P17" i="99"/>
  <c r="W17" i="99" s="1"/>
  <c r="F17" i="99"/>
  <c r="K17" i="99"/>
  <c r="L17" i="99" s="1"/>
  <c r="AE7" i="151"/>
  <c r="AB9" i="99"/>
  <c r="AI161" i="128"/>
  <c r="N148" i="151"/>
  <c r="O50" i="101"/>
  <c r="Q76" i="151"/>
  <c r="Q70" i="99"/>
  <c r="N63" i="99"/>
  <c r="G63" i="151"/>
  <c r="L63" i="151" s="1"/>
  <c r="O63" i="151"/>
  <c r="P57" i="99"/>
  <c r="W57" i="99" s="1"/>
  <c r="K57" i="99"/>
  <c r="F57" i="99"/>
  <c r="H57" i="99"/>
  <c r="R47" i="151"/>
  <c r="I268" i="170" s="1"/>
  <c r="K268" i="170" s="1"/>
  <c r="K44" i="151"/>
  <c r="G44" i="151"/>
  <c r="L44" i="151" s="1"/>
  <c r="O38" i="99"/>
  <c r="P38" i="99"/>
  <c r="K38" i="99"/>
  <c r="G38" i="99"/>
  <c r="F38" i="99"/>
  <c r="O31" i="99"/>
  <c r="W31" i="99" s="1"/>
  <c r="G31" i="99"/>
  <c r="L31" i="99" s="1"/>
  <c r="O21" i="99"/>
  <c r="W21" i="99" s="1"/>
  <c r="G21" i="99"/>
  <c r="L21" i="99" s="1"/>
  <c r="M55" i="101"/>
  <c r="O49" i="101"/>
  <c r="Q92" i="151"/>
  <c r="C662" i="170" s="1"/>
  <c r="E662" i="170" s="1"/>
  <c r="R63" i="99"/>
  <c r="Q41" i="151"/>
  <c r="M25" i="151"/>
  <c r="N43" i="151"/>
  <c r="N20" i="99"/>
  <c r="R74" i="151"/>
  <c r="N47" i="151"/>
  <c r="I265" i="170" s="1"/>
  <c r="K265" i="170" s="1"/>
  <c r="Q16" i="99"/>
  <c r="M70" i="99"/>
  <c r="N38" i="99"/>
  <c r="Q54" i="151"/>
  <c r="R41" i="151"/>
  <c r="R25" i="151"/>
  <c r="C1804" i="170"/>
  <c r="E1804" i="170" s="1"/>
  <c r="K1306" i="170"/>
  <c r="E932" i="170"/>
  <c r="K1151" i="170"/>
  <c r="K930" i="170"/>
  <c r="K862" i="170"/>
  <c r="I1938" i="170"/>
  <c r="K1938" i="170" s="1"/>
  <c r="I1835" i="170"/>
  <c r="K1835" i="170" s="1"/>
  <c r="I1785" i="170"/>
  <c r="K1785" i="170" s="1"/>
  <c r="I1788" i="170"/>
  <c r="K1788" i="170" s="1"/>
  <c r="I677" i="170"/>
  <c r="K677" i="170" s="1"/>
  <c r="C1736" i="170"/>
  <c r="E1736" i="170" s="1"/>
  <c r="Z80" i="101"/>
  <c r="AA80" i="101" s="1"/>
  <c r="I1584" i="170"/>
  <c r="K1584" i="170" s="1"/>
  <c r="I591" i="170"/>
  <c r="K591" i="170" s="1"/>
  <c r="F63" i="132"/>
  <c r="I1751" i="170"/>
  <c r="K1751" i="170" s="1"/>
  <c r="F154" i="132"/>
  <c r="C1989" i="170"/>
  <c r="E1989" i="170" s="1"/>
  <c r="I1598" i="170"/>
  <c r="K1598" i="170" s="1"/>
  <c r="C694" i="170"/>
  <c r="E694" i="170" s="1"/>
  <c r="F81" i="132"/>
  <c r="K1407" i="170"/>
  <c r="X79" i="101"/>
  <c r="D23" i="137"/>
  <c r="F14" i="137"/>
  <c r="F23" i="137" s="1"/>
  <c r="A55" i="170"/>
  <c r="G55" i="170"/>
  <c r="A72" i="170" s="1"/>
  <c r="G72" i="170" s="1"/>
  <c r="A89" i="170" s="1"/>
  <c r="G89" i="170" s="1"/>
  <c r="A106" i="170" s="1"/>
  <c r="G106" i="170" s="1"/>
  <c r="A123" i="170" s="1"/>
  <c r="G123" i="170" s="1"/>
  <c r="A140" i="170" s="1"/>
  <c r="G140" i="170" s="1"/>
  <c r="A157" i="170" s="1"/>
  <c r="G157" i="170" s="1"/>
  <c r="A174" i="170" s="1"/>
  <c r="G174" i="170" s="1"/>
  <c r="A191" i="170" s="1"/>
  <c r="G191" i="170" s="1"/>
  <c r="A208" i="170" s="1"/>
  <c r="G208" i="170" s="1"/>
  <c r="A226" i="170" s="1"/>
  <c r="G226" i="170" s="1"/>
  <c r="A243" i="170" s="1"/>
  <c r="G243" i="170" s="1"/>
  <c r="A260" i="170" s="1"/>
  <c r="G260" i="170" s="1"/>
  <c r="A277" i="170" s="1"/>
  <c r="G277" i="170" s="1"/>
  <c r="A294" i="170" s="1"/>
  <c r="G294" i="170" s="1"/>
  <c r="A311" i="170" s="1"/>
  <c r="G311" i="170" s="1"/>
  <c r="A329" i="170" s="1"/>
  <c r="G329" i="170" s="1"/>
  <c r="A347" i="170" s="1"/>
  <c r="G347" i="170" s="1"/>
  <c r="A364" i="170" s="1"/>
  <c r="G364" i="170" s="1"/>
  <c r="A381" i="170" s="1"/>
  <c r="G381" i="170" s="1"/>
  <c r="A399" i="170" s="1"/>
  <c r="G399" i="170" s="1"/>
  <c r="A416" i="170" s="1"/>
  <c r="G416" i="170" s="1"/>
  <c r="A433" i="170" s="1"/>
  <c r="G433" i="170" s="1"/>
  <c r="M162" i="132"/>
  <c r="R57" i="101"/>
  <c r="H57" i="101"/>
  <c r="Q57" i="101"/>
  <c r="G57" i="101"/>
  <c r="F57" i="101"/>
  <c r="P57" i="101"/>
  <c r="K57" i="101"/>
  <c r="O72" i="101"/>
  <c r="N58" i="101"/>
  <c r="N52" i="101"/>
  <c r="N49" i="101"/>
  <c r="H154" i="151"/>
  <c r="L154" i="151" s="1"/>
  <c r="K154" i="151"/>
  <c r="F154" i="151"/>
  <c r="F152" i="132" s="1"/>
  <c r="P154" i="151"/>
  <c r="C1975" i="170" s="1"/>
  <c r="E1975" i="170" s="1"/>
  <c r="Q73" i="101"/>
  <c r="G73" i="101"/>
  <c r="K73" i="101"/>
  <c r="F73" i="101"/>
  <c r="R73" i="101"/>
  <c r="H73" i="101"/>
  <c r="P73" i="101"/>
  <c r="G155" i="151"/>
  <c r="J155" i="151" s="1"/>
  <c r="I1973" i="170" s="1"/>
  <c r="K1973" i="170" s="1"/>
  <c r="G70" i="101"/>
  <c r="L70" i="101" s="1"/>
  <c r="U146" i="9"/>
  <c r="G59" i="101"/>
  <c r="O18" i="99"/>
  <c r="G18" i="99"/>
  <c r="L18" i="99" s="1"/>
  <c r="N142" i="151"/>
  <c r="R21" i="101"/>
  <c r="H21" i="101"/>
  <c r="Q21" i="101"/>
  <c r="G21" i="101"/>
  <c r="F21" i="101"/>
  <c r="P21" i="101"/>
  <c r="K21" i="101"/>
  <c r="P20" i="101"/>
  <c r="K20" i="101"/>
  <c r="F20" i="101"/>
  <c r="Q20" i="101"/>
  <c r="H20" i="101"/>
  <c r="G20" i="101"/>
  <c r="R20" i="101"/>
  <c r="R19" i="101"/>
  <c r="H19" i="101"/>
  <c r="Q19" i="101"/>
  <c r="G19" i="101"/>
  <c r="F19" i="101"/>
  <c r="P19" i="101"/>
  <c r="K19" i="101"/>
  <c r="Q18" i="101"/>
  <c r="H18" i="101"/>
  <c r="P18" i="101"/>
  <c r="G18" i="101"/>
  <c r="O18" i="101"/>
  <c r="K18" i="101"/>
  <c r="R18" i="101"/>
  <c r="F18" i="101"/>
  <c r="K98" i="151"/>
  <c r="H98" i="151"/>
  <c r="L98" i="151" s="1"/>
  <c r="P98" i="151"/>
  <c r="C1494" i="170"/>
  <c r="E1494" i="170" s="1"/>
  <c r="H87" i="151"/>
  <c r="G87" i="151"/>
  <c r="O87" i="151"/>
  <c r="F87" i="151"/>
  <c r="F85" i="132" s="1"/>
  <c r="D68" i="132"/>
  <c r="F68" i="132" s="1"/>
  <c r="K70" i="151"/>
  <c r="Q66" i="101"/>
  <c r="G66" i="101"/>
  <c r="P66" i="101"/>
  <c r="F66" i="101"/>
  <c r="R66" i="101"/>
  <c r="K66" i="101"/>
  <c r="H66" i="101"/>
  <c r="O47" i="101"/>
  <c r="O43" i="101"/>
  <c r="O39" i="101"/>
  <c r="O35" i="101"/>
  <c r="O31" i="101"/>
  <c r="O27" i="101"/>
  <c r="O23" i="101"/>
  <c r="H89" i="151"/>
  <c r="F89" i="151"/>
  <c r="K86" i="99"/>
  <c r="F86" i="99"/>
  <c r="P86" i="99"/>
  <c r="H146" i="151"/>
  <c r="L146" i="151" s="1"/>
  <c r="D144" i="132"/>
  <c r="K146" i="151"/>
  <c r="P146" i="151"/>
  <c r="F146" i="151"/>
  <c r="G60" i="101"/>
  <c r="L60" i="101" s="1"/>
  <c r="P48" i="101"/>
  <c r="K48" i="101"/>
  <c r="F48" i="101"/>
  <c r="Q48" i="101"/>
  <c r="H48" i="101"/>
  <c r="G48" i="101"/>
  <c r="R48" i="101"/>
  <c r="N45" i="101"/>
  <c r="N43" i="101"/>
  <c r="N42" i="101"/>
  <c r="N38" i="101"/>
  <c r="N37" i="101"/>
  <c r="N34" i="101"/>
  <c r="N31" i="101"/>
  <c r="N30" i="101"/>
  <c r="N28" i="101"/>
  <c r="N27" i="101"/>
  <c r="N107" i="151"/>
  <c r="I1564" i="170" s="1"/>
  <c r="K1564" i="170" s="1"/>
  <c r="N106" i="151"/>
  <c r="N24" i="101"/>
  <c r="N104" i="151"/>
  <c r="P93" i="99"/>
  <c r="G93" i="99"/>
  <c r="L93" i="99" s="1"/>
  <c r="O93" i="99"/>
  <c r="D88" i="132"/>
  <c r="B639" i="170"/>
  <c r="P90" i="151"/>
  <c r="G90" i="151"/>
  <c r="L90" i="151" s="1"/>
  <c r="F90" i="151"/>
  <c r="Q68" i="101"/>
  <c r="G68" i="101"/>
  <c r="P68" i="101"/>
  <c r="H68" i="101"/>
  <c r="F68" i="101"/>
  <c r="R68" i="101"/>
  <c r="K68" i="101"/>
  <c r="B1883" i="170"/>
  <c r="G144" i="151"/>
  <c r="Q144" i="151"/>
  <c r="R144" i="151"/>
  <c r="M45" i="101"/>
  <c r="M41" i="101"/>
  <c r="M37" i="101"/>
  <c r="M33" i="101"/>
  <c r="M110" i="151"/>
  <c r="N94" i="151"/>
  <c r="C677" i="170" s="1"/>
  <c r="E677" i="170" s="1"/>
  <c r="N84" i="151"/>
  <c r="G81" i="151"/>
  <c r="F81" i="151"/>
  <c r="F79" i="132" s="1"/>
  <c r="O81" i="151"/>
  <c r="H81" i="151"/>
  <c r="F79" i="99"/>
  <c r="P79" i="99"/>
  <c r="W79" i="99" s="1"/>
  <c r="K79" i="99"/>
  <c r="N71" i="151"/>
  <c r="I472" i="170" s="1"/>
  <c r="K472" i="170" s="1"/>
  <c r="B450" i="170"/>
  <c r="D66" i="132"/>
  <c r="G68" i="151"/>
  <c r="O68" i="151"/>
  <c r="H68" i="151"/>
  <c r="N56" i="99"/>
  <c r="P53" i="151"/>
  <c r="F53" i="151"/>
  <c r="F51" i="132" s="1"/>
  <c r="O53" i="151"/>
  <c r="H53" i="151"/>
  <c r="L53" i="151" s="1"/>
  <c r="G53" i="151"/>
  <c r="O49" i="99"/>
  <c r="G49" i="99"/>
  <c r="K49" i="99"/>
  <c r="F49" i="99"/>
  <c r="P49" i="99"/>
  <c r="H175" i="170"/>
  <c r="G37" i="151"/>
  <c r="L37" i="151" s="1"/>
  <c r="D35" i="132"/>
  <c r="F37" i="151"/>
  <c r="P37" i="151"/>
  <c r="K37" i="151"/>
  <c r="K30" i="99"/>
  <c r="H30" i="99"/>
  <c r="P30" i="99"/>
  <c r="W30" i="99" s="1"/>
  <c r="F30" i="99"/>
  <c r="N25" i="99"/>
  <c r="O22" i="151"/>
  <c r="H22" i="151"/>
  <c r="P22" i="151"/>
  <c r="F22" i="151"/>
  <c r="F20" i="132" s="1"/>
  <c r="O19" i="101"/>
  <c r="F82" i="151"/>
  <c r="F80" i="132" s="1"/>
  <c r="O82" i="151"/>
  <c r="H82" i="151"/>
  <c r="M69" i="99"/>
  <c r="O67" i="99"/>
  <c r="P67" i="99"/>
  <c r="F67" i="99"/>
  <c r="K67" i="99"/>
  <c r="G67" i="99"/>
  <c r="D46" i="132"/>
  <c r="F46" i="132" s="1"/>
  <c r="H48" i="151"/>
  <c r="P48" i="151"/>
  <c r="O35" i="99"/>
  <c r="G35" i="99"/>
  <c r="L35" i="99" s="1"/>
  <c r="M19" i="151"/>
  <c r="E9" i="9"/>
  <c r="E158" i="9" s="1"/>
  <c r="AB11" i="101"/>
  <c r="AI8" i="151"/>
  <c r="J145" i="151" s="1"/>
  <c r="I1888" i="170" s="1"/>
  <c r="M131" i="151"/>
  <c r="R77" i="151"/>
  <c r="I527" i="170" s="1"/>
  <c r="K527" i="170" s="1"/>
  <c r="M76" i="151"/>
  <c r="Q74" i="99"/>
  <c r="G39" i="99"/>
  <c r="L39" i="99" s="1"/>
  <c r="Q36" i="151"/>
  <c r="C181" i="170" s="1"/>
  <c r="E181" i="170" s="1"/>
  <c r="P32" i="99"/>
  <c r="H32" i="99"/>
  <c r="L32" i="99" s="1"/>
  <c r="Q29" i="99"/>
  <c r="R23" i="99"/>
  <c r="W23" i="99" s="1"/>
  <c r="H16" i="151"/>
  <c r="G16" i="151"/>
  <c r="P16" i="151"/>
  <c r="R95" i="99"/>
  <c r="D78" i="132"/>
  <c r="B553" i="170"/>
  <c r="P80" i="151"/>
  <c r="K80" i="151"/>
  <c r="G80" i="151"/>
  <c r="F80" i="151"/>
  <c r="N61" i="99"/>
  <c r="O59" i="99"/>
  <c r="K59" i="99"/>
  <c r="G59" i="99"/>
  <c r="P59" i="99"/>
  <c r="F59" i="99"/>
  <c r="D48" i="132"/>
  <c r="B295" i="170"/>
  <c r="G50" i="151"/>
  <c r="F50" i="151"/>
  <c r="P50" i="151"/>
  <c r="K50" i="151"/>
  <c r="R43" i="151"/>
  <c r="G34" i="151"/>
  <c r="L34" i="151" s="1"/>
  <c r="O34" i="151"/>
  <c r="O24" i="151"/>
  <c r="B73" i="170"/>
  <c r="P24" i="151"/>
  <c r="H24" i="151"/>
  <c r="L24" i="151" s="1"/>
  <c r="F24" i="151"/>
  <c r="M73" i="101"/>
  <c r="M64" i="101"/>
  <c r="N91" i="151"/>
  <c r="O88" i="99"/>
  <c r="P88" i="99"/>
  <c r="F88" i="99"/>
  <c r="K88" i="99"/>
  <c r="G88" i="99"/>
  <c r="N82" i="151"/>
  <c r="C574" i="170" s="1"/>
  <c r="E574" i="170" s="1"/>
  <c r="N69" i="151"/>
  <c r="M58" i="151"/>
  <c r="M54" i="151"/>
  <c r="R48" i="151"/>
  <c r="C285" i="170" s="1"/>
  <c r="E285" i="170" s="1"/>
  <c r="K47" i="99"/>
  <c r="G47" i="99"/>
  <c r="P47" i="99"/>
  <c r="M39" i="99"/>
  <c r="O38" i="151"/>
  <c r="P38" i="151"/>
  <c r="H38" i="151"/>
  <c r="D29" i="132"/>
  <c r="H124" i="170"/>
  <c r="G31" i="151"/>
  <c r="F31" i="151"/>
  <c r="P31" i="151"/>
  <c r="K31" i="151"/>
  <c r="H39" i="170"/>
  <c r="P21" i="151"/>
  <c r="K21" i="151"/>
  <c r="G21" i="151"/>
  <c r="F21" i="151"/>
  <c r="E16" i="154"/>
  <c r="G16" i="154" s="1"/>
  <c r="P165" i="128"/>
  <c r="M19" i="101"/>
  <c r="Q91" i="151"/>
  <c r="N83" i="99"/>
  <c r="Q84" i="151"/>
  <c r="Q53" i="99"/>
  <c r="M49" i="99"/>
  <c r="M41" i="99"/>
  <c r="Q19" i="151"/>
  <c r="R70" i="99"/>
  <c r="N31" i="151"/>
  <c r="M62" i="151"/>
  <c r="N50" i="151"/>
  <c r="AP12" i="8"/>
  <c r="AP156" i="8" s="1"/>
  <c r="N35" i="99"/>
  <c r="R59" i="99"/>
  <c r="R53" i="99"/>
  <c r="Q38" i="99"/>
  <c r="M67" i="151"/>
  <c r="N59" i="99"/>
  <c r="D57" i="132"/>
  <c r="F57" i="132" s="1"/>
  <c r="O59" i="151"/>
  <c r="W59" i="151" s="1"/>
  <c r="G59" i="151"/>
  <c r="L59" i="151" s="1"/>
  <c r="R50" i="151"/>
  <c r="O43" i="99"/>
  <c r="W43" i="99" s="1"/>
  <c r="G43" i="99"/>
  <c r="L43" i="99" s="1"/>
  <c r="M35" i="99"/>
  <c r="P34" i="99"/>
  <c r="W34" i="99" s="1"/>
  <c r="K34" i="99"/>
  <c r="L34" i="99" s="1"/>
  <c r="F34" i="99"/>
  <c r="O33" i="99"/>
  <c r="G33" i="99"/>
  <c r="L33" i="99" s="1"/>
  <c r="M29" i="99"/>
  <c r="G20" i="99"/>
  <c r="L20" i="99" s="1"/>
  <c r="U11" i="9"/>
  <c r="R10" i="9"/>
  <c r="R9" i="9" s="1"/>
  <c r="R158" i="9" s="1"/>
  <c r="N144" i="151"/>
  <c r="N65" i="101"/>
  <c r="M88" i="99"/>
  <c r="B621" i="170"/>
  <c r="G88" i="151"/>
  <c r="L88" i="151" s="1"/>
  <c r="D86" i="132"/>
  <c r="F88" i="151"/>
  <c r="P88" i="151"/>
  <c r="W88" i="151" s="1"/>
  <c r="K88" i="151"/>
  <c r="G85" i="151"/>
  <c r="L85" i="151" s="1"/>
  <c r="O85" i="151"/>
  <c r="W85" i="151" s="1"/>
  <c r="H83" i="132" s="1"/>
  <c r="K85" i="151"/>
  <c r="Q78" i="151"/>
  <c r="M74" i="151"/>
  <c r="F72" i="99"/>
  <c r="P72" i="99"/>
  <c r="K72" i="99"/>
  <c r="O66" i="151"/>
  <c r="W66" i="151" s="1"/>
  <c r="H64" i="132" s="1"/>
  <c r="K66" i="151"/>
  <c r="H66" i="151"/>
  <c r="L66" i="151" s="1"/>
  <c r="F66" i="151"/>
  <c r="F64" i="132" s="1"/>
  <c r="Q63" i="99"/>
  <c r="D45" i="132"/>
  <c r="G47" i="151"/>
  <c r="L47" i="151" s="1"/>
  <c r="P47" i="151"/>
  <c r="K47" i="151"/>
  <c r="F47" i="151"/>
  <c r="O26" i="151"/>
  <c r="B90" i="170"/>
  <c r="C96" i="170" s="1"/>
  <c r="E96" i="170" s="1"/>
  <c r="F26" i="151"/>
  <c r="F24" i="132" s="1"/>
  <c r="P26" i="151"/>
  <c r="H26" i="151"/>
  <c r="N16" i="99"/>
  <c r="P166" i="128"/>
  <c r="AK16" i="128"/>
  <c r="O57" i="101"/>
  <c r="AP93" i="8"/>
  <c r="M91" i="151"/>
  <c r="N51" i="99"/>
  <c r="Q81" i="99"/>
  <c r="M60" i="151"/>
  <c r="C385" i="170" s="1"/>
  <c r="E385" i="170" s="1"/>
  <c r="M53" i="99"/>
  <c r="Q37" i="151"/>
  <c r="Q61" i="99"/>
  <c r="N39" i="151"/>
  <c r="Q68" i="151"/>
  <c r="M63" i="151"/>
  <c r="I403" i="170" s="1"/>
  <c r="K403" i="170" s="1"/>
  <c r="M78" i="151"/>
  <c r="M43" i="151"/>
  <c r="Q27" i="151"/>
  <c r="R22" i="99"/>
  <c r="N80" i="151"/>
  <c r="R87" i="151"/>
  <c r="Q56" i="99"/>
  <c r="R49" i="99"/>
  <c r="R37" i="151"/>
  <c r="Q22" i="99"/>
  <c r="Q18" i="99"/>
  <c r="W36" i="99"/>
  <c r="W48" i="99"/>
  <c r="F70" i="132"/>
  <c r="W72" i="151"/>
  <c r="W64" i="99"/>
  <c r="W137" i="151"/>
  <c r="H135" i="132" s="1"/>
  <c r="F61" i="132"/>
  <c r="F27" i="132"/>
  <c r="W40" i="99"/>
  <c r="W135" i="151"/>
  <c r="H133" i="132" s="1"/>
  <c r="K2570" i="170"/>
  <c r="K1254" i="170"/>
  <c r="K1016" i="170"/>
  <c r="K1026" i="170" s="1"/>
  <c r="E983" i="170"/>
  <c r="E2250" i="170"/>
  <c r="E744" i="170"/>
  <c r="E1290" i="170"/>
  <c r="K2282" i="170"/>
  <c r="K2205" i="170"/>
  <c r="K2189" i="170"/>
  <c r="E2394" i="170"/>
  <c r="E2403" i="170" s="1"/>
  <c r="E2537" i="170"/>
  <c r="E2058" i="170"/>
  <c r="K2521" i="170"/>
  <c r="E1427" i="170"/>
  <c r="K948" i="170"/>
  <c r="E797" i="170"/>
  <c r="K965" i="170"/>
  <c r="K1374" i="170"/>
  <c r="K1383" i="170" s="1"/>
  <c r="E1155" i="170"/>
  <c r="K745" i="170"/>
  <c r="E865" i="170"/>
  <c r="K985" i="170"/>
  <c r="K934" i="170"/>
  <c r="K2109" i="170"/>
  <c r="K1359" i="170"/>
  <c r="K1171" i="170"/>
  <c r="E1288" i="170"/>
  <c r="E1801" i="170"/>
  <c r="K2442" i="170"/>
  <c r="K2057" i="170"/>
  <c r="E1306" i="170"/>
  <c r="E879" i="170"/>
  <c r="E795" i="170"/>
  <c r="E2409" i="170"/>
  <c r="E2236" i="170"/>
  <c r="E2587" i="170"/>
  <c r="K2138" i="170"/>
  <c r="K2281" i="170"/>
  <c r="E1323" i="170"/>
  <c r="E1255" i="170"/>
  <c r="E1374" i="170"/>
  <c r="E1238" i="170"/>
  <c r="E1102" i="170"/>
  <c r="E1111" i="170" s="1"/>
  <c r="E998" i="170"/>
  <c r="E1009" i="170" s="1"/>
  <c r="E1066" i="170"/>
  <c r="K779" i="170"/>
  <c r="K789" i="170" s="1"/>
  <c r="E1083" i="170"/>
  <c r="E1222" i="170"/>
  <c r="E863" i="170"/>
  <c r="K1357" i="170"/>
  <c r="K1102" i="170"/>
  <c r="K2410" i="170"/>
  <c r="E2345" i="170"/>
  <c r="E2329" i="170"/>
  <c r="E2313" i="170"/>
  <c r="E2588" i="170"/>
  <c r="E2493" i="170"/>
  <c r="K2412" i="170"/>
  <c r="K2316" i="170"/>
  <c r="K2300" i="170"/>
  <c r="K2378" i="170"/>
  <c r="K2234" i="170"/>
  <c r="K2505" i="170"/>
  <c r="K2515" i="170" s="1"/>
  <c r="E2522" i="170"/>
  <c r="E2266" i="170"/>
  <c r="E2125" i="170"/>
  <c r="E2131" i="170" s="1"/>
  <c r="E2541" i="170"/>
  <c r="E2380" i="170"/>
  <c r="E2378" i="170"/>
  <c r="K2361" i="170"/>
  <c r="E2300" i="170"/>
  <c r="K2060" i="170"/>
  <c r="E1236" i="170"/>
  <c r="K1033" i="170"/>
  <c r="K1043" i="170" s="1"/>
  <c r="E2442" i="170"/>
  <c r="E951" i="170"/>
  <c r="E729" i="170"/>
  <c r="E725" i="170"/>
  <c r="K2587" i="170"/>
  <c r="E1069" i="170"/>
  <c r="E1406" i="170"/>
  <c r="E1134" i="170"/>
  <c r="K829" i="170"/>
  <c r="K839" i="170" s="1"/>
  <c r="E1223" i="170"/>
  <c r="K2093" i="170"/>
  <c r="K1308" i="170"/>
  <c r="E933" i="170"/>
  <c r="E1357" i="170"/>
  <c r="E1086" i="170"/>
  <c r="K1085" i="170"/>
  <c r="K798" i="170"/>
  <c r="E913" i="170"/>
  <c r="E764" i="170"/>
  <c r="E1451" i="170"/>
  <c r="E2473" i="170"/>
  <c r="K2490" i="170"/>
  <c r="E2425" i="170"/>
  <c r="E2435" i="170" s="1"/>
  <c r="K2572" i="170"/>
  <c r="K2250" i="170"/>
  <c r="K2605" i="170"/>
  <c r="K2237" i="170"/>
  <c r="K2218" i="170"/>
  <c r="E2521" i="170"/>
  <c r="K2185" i="170"/>
  <c r="K2537" i="170"/>
  <c r="E2141" i="170"/>
  <c r="E2538" i="170"/>
  <c r="K2039" i="170"/>
  <c r="K2050" i="170" s="1"/>
  <c r="K1424" i="170"/>
  <c r="K1349" i="170"/>
  <c r="E1304" i="170"/>
  <c r="E1168" i="170"/>
  <c r="E981" i="170"/>
  <c r="E2443" i="170"/>
  <c r="E2217" i="170"/>
  <c r="E2227" i="170" s="1"/>
  <c r="E1459" i="170"/>
  <c r="E1477" i="170"/>
  <c r="K1442" i="170"/>
  <c r="E1410" i="170"/>
  <c r="E1270" i="170"/>
  <c r="E1018" i="170"/>
  <c r="E1050" i="170"/>
  <c r="K1220" i="170"/>
  <c r="E866" i="170"/>
  <c r="E1154" i="170"/>
  <c r="E2106" i="170"/>
  <c r="K1240" i="170"/>
  <c r="K967" i="170"/>
  <c r="E2282" i="170"/>
  <c r="K799" i="170"/>
  <c r="K2105" i="170"/>
  <c r="E845" i="170"/>
  <c r="C9" i="170"/>
  <c r="E9" i="170" s="1"/>
  <c r="W90" i="99"/>
  <c r="W130" i="151"/>
  <c r="C178" i="170"/>
  <c r="E178" i="170" s="1"/>
  <c r="W126" i="151"/>
  <c r="H124" i="132" s="1"/>
  <c r="F49" i="132"/>
  <c r="F42" i="132"/>
  <c r="W123" i="151"/>
  <c r="H121" i="132" s="1"/>
  <c r="T94" i="99"/>
  <c r="W60" i="99"/>
  <c r="U89" i="99"/>
  <c r="I523" i="170"/>
  <c r="K523" i="170" s="1"/>
  <c r="W118" i="151"/>
  <c r="H116" i="132" s="1"/>
  <c r="W58" i="99"/>
  <c r="W44" i="151"/>
  <c r="H42" i="132" s="1"/>
  <c r="AI22" i="163"/>
  <c r="H34" i="154"/>
  <c r="I16" i="136"/>
  <c r="E2572" i="170"/>
  <c r="I1958" i="170"/>
  <c r="K1958" i="170" s="1"/>
  <c r="K1128" i="170"/>
  <c r="I1568" i="170"/>
  <c r="K1568" i="170" s="1"/>
  <c r="I1561" i="170"/>
  <c r="J1565" i="170" s="1"/>
  <c r="K1559" i="170"/>
  <c r="I1562" i="170"/>
  <c r="K1562" i="170" s="1"/>
  <c r="I1569" i="170"/>
  <c r="K1569" i="170" s="1"/>
  <c r="C1875" i="170"/>
  <c r="E1875" i="170" s="1"/>
  <c r="C1868" i="170"/>
  <c r="E1868" i="170" s="1"/>
  <c r="E1865" i="170"/>
  <c r="C1874" i="170"/>
  <c r="E1874" i="170" s="1"/>
  <c r="C1867" i="170"/>
  <c r="D1871" i="170" s="1"/>
  <c r="C426" i="170"/>
  <c r="E426" i="170" s="1"/>
  <c r="C418" i="170"/>
  <c r="D422" i="170" s="1"/>
  <c r="C1620" i="170"/>
  <c r="E1620" i="170" s="1"/>
  <c r="E1610" i="170"/>
  <c r="C1612" i="170"/>
  <c r="D1616" i="170" s="1"/>
  <c r="C1613" i="170"/>
  <c r="E1613" i="170" s="1"/>
  <c r="C1619" i="170"/>
  <c r="E1619" i="170" s="1"/>
  <c r="C681" i="170"/>
  <c r="E681" i="170" s="1"/>
  <c r="C679" i="170"/>
  <c r="E679" i="170" s="1"/>
  <c r="C675" i="170"/>
  <c r="E675" i="170" s="1"/>
  <c r="C682" i="170"/>
  <c r="E682" i="170" s="1"/>
  <c r="C674" i="170"/>
  <c r="D678" i="170" s="1"/>
  <c r="I612" i="170"/>
  <c r="K612" i="170" s="1"/>
  <c r="C578" i="170"/>
  <c r="E578" i="170" s="1"/>
  <c r="C577" i="170"/>
  <c r="E577" i="170" s="1"/>
  <c r="C576" i="170"/>
  <c r="E576" i="170" s="1"/>
  <c r="C579" i="170"/>
  <c r="E579" i="170" s="1"/>
  <c r="C571" i="170"/>
  <c r="D575" i="170" s="1"/>
  <c r="I391" i="170"/>
  <c r="K391" i="170" s="1"/>
  <c r="I383" i="170"/>
  <c r="J387" i="170" s="1"/>
  <c r="I390" i="170"/>
  <c r="K390" i="170" s="1"/>
  <c r="I384" i="170"/>
  <c r="K384" i="170" s="1"/>
  <c r="I388" i="170"/>
  <c r="K388" i="170" s="1"/>
  <c r="I373" i="170"/>
  <c r="K373" i="170" s="1"/>
  <c r="I367" i="170"/>
  <c r="K367" i="170" s="1"/>
  <c r="I372" i="170"/>
  <c r="K372" i="170" s="1"/>
  <c r="I374" i="170"/>
  <c r="K374" i="170" s="1"/>
  <c r="I371" i="170"/>
  <c r="K371" i="170" s="1"/>
  <c r="I366" i="170"/>
  <c r="J370" i="170" s="1"/>
  <c r="I116" i="170"/>
  <c r="K116" i="170" s="1"/>
  <c r="I108" i="170"/>
  <c r="J112" i="170" s="1"/>
  <c r="I115" i="170"/>
  <c r="K115" i="170" s="1"/>
  <c r="I109" i="170"/>
  <c r="K109" i="170" s="1"/>
  <c r="I113" i="170"/>
  <c r="K113" i="170" s="1"/>
  <c r="I114" i="170"/>
  <c r="K114" i="170" s="1"/>
  <c r="I1636" i="170"/>
  <c r="K1636" i="170" s="1"/>
  <c r="I1630" i="170"/>
  <c r="K1630" i="170" s="1"/>
  <c r="K1627" i="170"/>
  <c r="I1637" i="170"/>
  <c r="K1637" i="170" s="1"/>
  <c r="I1629" i="170"/>
  <c r="J1633" i="170" s="1"/>
  <c r="I579" i="170"/>
  <c r="K579" i="170" s="1"/>
  <c r="I571" i="170"/>
  <c r="J575" i="170" s="1"/>
  <c r="I578" i="170"/>
  <c r="K578" i="170" s="1"/>
  <c r="I572" i="170"/>
  <c r="K572" i="170" s="1"/>
  <c r="I299" i="170"/>
  <c r="K299" i="170" s="1"/>
  <c r="I297" i="170"/>
  <c r="K297" i="170" s="1"/>
  <c r="I296" i="170"/>
  <c r="J300" i="170" s="1"/>
  <c r="I304" i="170"/>
  <c r="K304" i="170" s="1"/>
  <c r="I301" i="170"/>
  <c r="K301" i="170" s="1"/>
  <c r="I303" i="170"/>
  <c r="K303" i="170" s="1"/>
  <c r="C245" i="170"/>
  <c r="D249" i="170" s="1"/>
  <c r="C253" i="170"/>
  <c r="E253" i="170" s="1"/>
  <c r="C251" i="170"/>
  <c r="E251" i="170" s="1"/>
  <c r="C250" i="170"/>
  <c r="E250" i="170" s="1"/>
  <c r="C252" i="170"/>
  <c r="E252" i="170" s="1"/>
  <c r="C246" i="170"/>
  <c r="E246" i="170" s="1"/>
  <c r="I269" i="170"/>
  <c r="K269" i="170" s="1"/>
  <c r="I262" i="170"/>
  <c r="J266" i="170" s="1"/>
  <c r="I270" i="170"/>
  <c r="K270" i="170" s="1"/>
  <c r="I267" i="170"/>
  <c r="K267" i="170" s="1"/>
  <c r="I1926" i="170"/>
  <c r="K1926" i="170" s="1"/>
  <c r="I1918" i="170"/>
  <c r="J1922" i="170" s="1"/>
  <c r="K1916" i="170"/>
  <c r="I1919" i="170"/>
  <c r="K1919" i="170" s="1"/>
  <c r="I1925" i="170"/>
  <c r="K1925" i="170" s="1"/>
  <c r="I1715" i="170"/>
  <c r="K1715" i="170" s="1"/>
  <c r="I1722" i="170"/>
  <c r="K1722" i="170" s="1"/>
  <c r="I1714" i="170"/>
  <c r="J1718" i="170" s="1"/>
  <c r="I1721" i="170"/>
  <c r="K1721" i="170" s="1"/>
  <c r="K1712" i="170"/>
  <c r="I529" i="170"/>
  <c r="K529" i="170" s="1"/>
  <c r="I521" i="170"/>
  <c r="J525" i="170" s="1"/>
  <c r="I528" i="170"/>
  <c r="K528" i="170" s="1"/>
  <c r="C148" i="170"/>
  <c r="E148" i="170" s="1"/>
  <c r="C125" i="170"/>
  <c r="D129" i="170" s="1"/>
  <c r="C47" i="170"/>
  <c r="E47" i="170" s="1"/>
  <c r="C46" i="170"/>
  <c r="E46" i="170" s="1"/>
  <c r="C45" i="170"/>
  <c r="E45" i="170" s="1"/>
  <c r="C40" i="170"/>
  <c r="D44" i="170" s="1"/>
  <c r="C41" i="170"/>
  <c r="E41" i="170" s="1"/>
  <c r="C48" i="170"/>
  <c r="E48" i="170" s="1"/>
  <c r="AF16" i="151"/>
  <c r="I62" i="170"/>
  <c r="K62" i="170" s="1"/>
  <c r="C696" i="170"/>
  <c r="E696" i="170" s="1"/>
  <c r="C692" i="170"/>
  <c r="E692" i="170" s="1"/>
  <c r="C697" i="170"/>
  <c r="E697" i="170" s="1"/>
  <c r="C700" i="170"/>
  <c r="E700" i="170" s="1"/>
  <c r="I1959" i="170"/>
  <c r="K1959" i="170" s="1"/>
  <c r="I1952" i="170"/>
  <c r="J1956" i="170" s="1"/>
  <c r="K1950" i="170"/>
  <c r="I1953" i="170"/>
  <c r="K1953" i="170" s="1"/>
  <c r="I1960" i="170"/>
  <c r="K1960" i="170" s="1"/>
  <c r="C657" i="170"/>
  <c r="D661" i="170" s="1"/>
  <c r="C665" i="170"/>
  <c r="E665" i="170" s="1"/>
  <c r="C664" i="170"/>
  <c r="E664" i="170" s="1"/>
  <c r="C663" i="170"/>
  <c r="E663" i="170" s="1"/>
  <c r="C658" i="170"/>
  <c r="E658" i="170" s="1"/>
  <c r="C443" i="170"/>
  <c r="E443" i="170" s="1"/>
  <c r="C435" i="170"/>
  <c r="D439" i="170" s="1"/>
  <c r="C442" i="170"/>
  <c r="E442" i="170" s="1"/>
  <c r="C440" i="170"/>
  <c r="E440" i="170" s="1"/>
  <c r="C441" i="170"/>
  <c r="E441" i="170" s="1"/>
  <c r="I1840" i="170"/>
  <c r="K1840" i="170" s="1"/>
  <c r="I1833" i="170"/>
  <c r="J1837" i="170" s="1"/>
  <c r="K1831" i="170"/>
  <c r="I1834" i="170"/>
  <c r="K1834" i="170" s="1"/>
  <c r="I1841" i="170"/>
  <c r="K1841" i="170" s="1"/>
  <c r="I545" i="170"/>
  <c r="K545" i="170" s="1"/>
  <c r="I544" i="170"/>
  <c r="K544" i="170" s="1"/>
  <c r="I543" i="170"/>
  <c r="K543" i="170" s="1"/>
  <c r="I537" i="170"/>
  <c r="J541" i="170" s="1"/>
  <c r="C1704" i="170"/>
  <c r="E1704" i="170" s="1"/>
  <c r="C1697" i="170"/>
  <c r="D1701" i="170" s="1"/>
  <c r="C1705" i="170"/>
  <c r="E1705" i="170" s="1"/>
  <c r="E1695" i="170"/>
  <c r="C1698" i="170"/>
  <c r="E1698" i="170" s="1"/>
  <c r="I1552" i="170"/>
  <c r="K1552" i="170" s="1"/>
  <c r="I1551" i="170"/>
  <c r="K1551" i="170" s="1"/>
  <c r="K1542" i="170"/>
  <c r="I1544" i="170"/>
  <c r="J1548" i="170" s="1"/>
  <c r="C1500" i="170"/>
  <c r="E1500" i="170" s="1"/>
  <c r="C1501" i="170"/>
  <c r="E1501" i="170" s="1"/>
  <c r="C1493" i="170"/>
  <c r="D1497" i="170" s="1"/>
  <c r="E1491" i="170"/>
  <c r="C573" i="170"/>
  <c r="E573" i="170" s="1"/>
  <c r="I320" i="170"/>
  <c r="K320" i="170" s="1"/>
  <c r="I321" i="170"/>
  <c r="K321" i="170" s="1"/>
  <c r="I319" i="170"/>
  <c r="K319" i="170" s="1"/>
  <c r="I318" i="170"/>
  <c r="K318" i="170" s="1"/>
  <c r="I313" i="170"/>
  <c r="J317" i="170" s="1"/>
  <c r="C235" i="170"/>
  <c r="E235" i="170" s="1"/>
  <c r="C234" i="170"/>
  <c r="E234" i="170" s="1"/>
  <c r="C233" i="170"/>
  <c r="E233" i="170" s="1"/>
  <c r="C236" i="170"/>
  <c r="E236" i="170" s="1"/>
  <c r="C228" i="170"/>
  <c r="D232" i="170" s="1"/>
  <c r="C64" i="170"/>
  <c r="E64" i="170" s="1"/>
  <c r="C63" i="170"/>
  <c r="E63" i="170" s="1"/>
  <c r="C62" i="170"/>
  <c r="E62" i="170" s="1"/>
  <c r="C57" i="170"/>
  <c r="D61" i="170" s="1"/>
  <c r="C65" i="170"/>
  <c r="E65" i="170" s="1"/>
  <c r="I2028" i="170"/>
  <c r="K2028" i="170" s="1"/>
  <c r="I2024" i="170"/>
  <c r="K2024" i="170" s="1"/>
  <c r="I2023" i="170"/>
  <c r="K2023" i="170" s="1"/>
  <c r="I2022" i="170"/>
  <c r="K2022" i="170" s="1"/>
  <c r="I2021" i="170"/>
  <c r="K2021" i="170" s="1"/>
  <c r="I2026" i="170"/>
  <c r="K2026" i="170" s="1"/>
  <c r="I2025" i="170"/>
  <c r="K2025" i="170" s="1"/>
  <c r="K2018" i="170"/>
  <c r="I2027" i="170"/>
  <c r="K2027" i="170" s="1"/>
  <c r="I1578" i="170"/>
  <c r="J1582" i="170" s="1"/>
  <c r="K1576" i="170"/>
  <c r="I1586" i="170"/>
  <c r="K1586" i="170" s="1"/>
  <c r="I1585" i="170"/>
  <c r="K1585" i="170" s="1"/>
  <c r="I1579" i="170"/>
  <c r="K1579" i="170" s="1"/>
  <c r="I595" i="170"/>
  <c r="K595" i="170" s="1"/>
  <c r="I593" i="170"/>
  <c r="K593" i="170" s="1"/>
  <c r="I594" i="170"/>
  <c r="K594" i="170" s="1"/>
  <c r="I588" i="170"/>
  <c r="J592" i="170" s="1"/>
  <c r="I596" i="170"/>
  <c r="K596" i="170" s="1"/>
  <c r="I1891" i="170"/>
  <c r="K1891" i="170" s="1"/>
  <c r="I1885" i="170"/>
  <c r="K1885" i="170" s="1"/>
  <c r="I1892" i="170"/>
  <c r="K1892" i="170" s="1"/>
  <c r="I1884" i="170"/>
  <c r="J1888" i="170" s="1"/>
  <c r="K1882" i="170"/>
  <c r="I6" i="170"/>
  <c r="J10" i="170" s="1"/>
  <c r="C1663" i="170"/>
  <c r="D1667" i="170" s="1"/>
  <c r="C1670" i="170"/>
  <c r="E1670" i="170" s="1"/>
  <c r="C1664" i="170"/>
  <c r="E1664" i="170" s="1"/>
  <c r="E1661" i="170"/>
  <c r="C1671" i="170"/>
  <c r="E1671" i="170" s="1"/>
  <c r="I1704" i="170"/>
  <c r="K1704" i="170" s="1"/>
  <c r="I1697" i="170"/>
  <c r="J1701" i="170" s="1"/>
  <c r="K1695" i="170"/>
  <c r="I1705" i="170"/>
  <c r="K1705" i="170" s="1"/>
  <c r="I1698" i="170"/>
  <c r="K1698" i="170" s="1"/>
  <c r="I1603" i="170"/>
  <c r="K1603" i="170" s="1"/>
  <c r="I1596" i="170"/>
  <c r="K1596" i="170" s="1"/>
  <c r="I1602" i="170"/>
  <c r="K1602" i="170" s="1"/>
  <c r="I1595" i="170"/>
  <c r="J1599" i="170" s="1"/>
  <c r="K1593" i="170"/>
  <c r="C8" i="170"/>
  <c r="E8" i="170" s="1"/>
  <c r="K2163" i="170"/>
  <c r="K1213" i="170"/>
  <c r="K1077" i="170"/>
  <c r="I1567" i="170"/>
  <c r="K1567" i="170" s="1"/>
  <c r="E2349" i="170"/>
  <c r="E2233" i="170"/>
  <c r="E1321" i="170"/>
  <c r="E1185" i="170"/>
  <c r="E2301" i="170"/>
  <c r="K2590" i="170"/>
  <c r="E1480" i="170"/>
  <c r="E1221" i="170"/>
  <c r="K1223" i="170"/>
  <c r="E1153" i="170"/>
  <c r="E931" i="170"/>
  <c r="K748" i="170"/>
  <c r="E1356" i="170"/>
  <c r="I1787" i="170"/>
  <c r="K1787" i="170" s="1"/>
  <c r="F149" i="132"/>
  <c r="F34" i="132"/>
  <c r="E848" i="170"/>
  <c r="C1495" i="170"/>
  <c r="E1495" i="170" s="1"/>
  <c r="W139" i="151"/>
  <c r="H137" i="132" s="1"/>
  <c r="W136" i="151"/>
  <c r="H134" i="132" s="1"/>
  <c r="C1733" i="170"/>
  <c r="E1733" i="170" s="1"/>
  <c r="C437" i="170"/>
  <c r="E437" i="170" s="1"/>
  <c r="C247" i="170"/>
  <c r="E247" i="170" s="1"/>
  <c r="I368" i="170"/>
  <c r="K368" i="170" s="1"/>
  <c r="E2489" i="170"/>
  <c r="K2298" i="170"/>
  <c r="E2602" i="170"/>
  <c r="E2589" i="170"/>
  <c r="K2460" i="170"/>
  <c r="K2475" i="170"/>
  <c r="K2483" i="170" s="1"/>
  <c r="K2395" i="170"/>
  <c r="K2186" i="170"/>
  <c r="K2253" i="170"/>
  <c r="E2315" i="170"/>
  <c r="E2265" i="170"/>
  <c r="E2169" i="170"/>
  <c r="E2099" i="170"/>
  <c r="E2557" i="170"/>
  <c r="K2538" i="170"/>
  <c r="K2268" i="170"/>
  <c r="K2269" i="170"/>
  <c r="K2371" i="170"/>
  <c r="K2125" i="170"/>
  <c r="E2083" i="170"/>
  <c r="E1187" i="170"/>
  <c r="E1119" i="170"/>
  <c r="K1050" i="170"/>
  <c r="K2315" i="170"/>
  <c r="E1372" i="170"/>
  <c r="K1281" i="170"/>
  <c r="E2444" i="170"/>
  <c r="E898" i="170"/>
  <c r="E830" i="170"/>
  <c r="E727" i="170"/>
  <c r="K2589" i="170"/>
  <c r="K2524" i="170"/>
  <c r="E1424" i="170"/>
  <c r="E1036" i="170"/>
  <c r="E1043" i="170" s="1"/>
  <c r="L1043" i="170" s="1"/>
  <c r="E1017" i="170"/>
  <c r="K897" i="170"/>
  <c r="K907" i="170" s="1"/>
  <c r="K813" i="170"/>
  <c r="K823" i="170" s="1"/>
  <c r="K1288" i="170"/>
  <c r="K932" i="170"/>
  <c r="E2186" i="170"/>
  <c r="K2089" i="170"/>
  <c r="K1289" i="170"/>
  <c r="E968" i="170"/>
  <c r="E1359" i="170"/>
  <c r="K1221" i="170"/>
  <c r="E964" i="170"/>
  <c r="K883" i="170"/>
  <c r="K746" i="170"/>
  <c r="E2107" i="170"/>
  <c r="K1238" i="170"/>
  <c r="K1155" i="170"/>
  <c r="E1085" i="170"/>
  <c r="K866" i="170"/>
  <c r="I1937" i="170"/>
  <c r="K1937" i="170" s="1"/>
  <c r="C1873" i="170"/>
  <c r="E1873" i="170" s="1"/>
  <c r="F123" i="132"/>
  <c r="E765" i="170"/>
  <c r="C1770" i="170"/>
  <c r="E1770" i="170" s="1"/>
  <c r="I471" i="170"/>
  <c r="K471" i="170" s="1"/>
  <c r="K2107" i="170"/>
  <c r="K1358" i="170"/>
  <c r="K1355" i="170"/>
  <c r="K1170" i="170"/>
  <c r="C1584" i="170"/>
  <c r="E1584" i="170" s="1"/>
  <c r="E1289" i="170"/>
  <c r="E916" i="170"/>
  <c r="C26" i="170"/>
  <c r="E26" i="170" s="1"/>
  <c r="I1801" i="170"/>
  <c r="K1801" i="170" s="1"/>
  <c r="I1805" i="170"/>
  <c r="K1805" i="170" s="1"/>
  <c r="C1700" i="170"/>
  <c r="E1700" i="170" s="1"/>
  <c r="I369" i="170"/>
  <c r="K369" i="170" s="1"/>
  <c r="I111" i="170"/>
  <c r="K111" i="170" s="1"/>
  <c r="E847" i="170"/>
  <c r="F136" i="132"/>
  <c r="F124" i="132"/>
  <c r="F109" i="132"/>
  <c r="C489" i="170"/>
  <c r="E489" i="170" s="1"/>
  <c r="C490" i="170"/>
  <c r="E490" i="170" s="1"/>
  <c r="C248" i="170"/>
  <c r="E248" i="170" s="1"/>
  <c r="C279" i="170"/>
  <c r="D283" i="170" s="1"/>
  <c r="C286" i="170"/>
  <c r="E286" i="170" s="1"/>
  <c r="C280" i="170"/>
  <c r="E280" i="170" s="1"/>
  <c r="C287" i="170"/>
  <c r="E287" i="170" s="1"/>
  <c r="I1942" i="170"/>
  <c r="K1942" i="170" s="1"/>
  <c r="I1941" i="170"/>
  <c r="K1941" i="170" s="1"/>
  <c r="I1936" i="170"/>
  <c r="K1936" i="170" s="1"/>
  <c r="I1943" i="170"/>
  <c r="K1943" i="170" s="1"/>
  <c r="I1935" i="170"/>
  <c r="J1939" i="170" s="1"/>
  <c r="K1933" i="170"/>
  <c r="I1789" i="170"/>
  <c r="K1789" i="170" s="1"/>
  <c r="I1782" i="170"/>
  <c r="J1786" i="170" s="1"/>
  <c r="K1780" i="170"/>
  <c r="I1783" i="170"/>
  <c r="K1783" i="170" s="1"/>
  <c r="I1790" i="170"/>
  <c r="K1790" i="170" s="1"/>
  <c r="C177" i="170"/>
  <c r="E177" i="170" s="1"/>
  <c r="C182" i="170"/>
  <c r="E182" i="170" s="1"/>
  <c r="C184" i="170"/>
  <c r="E184" i="170" s="1"/>
  <c r="C176" i="170"/>
  <c r="D180" i="170" s="1"/>
  <c r="C183" i="170"/>
  <c r="E183" i="170" s="1"/>
  <c r="K159" i="132"/>
  <c r="M159" i="132" s="1"/>
  <c r="F159" i="132"/>
  <c r="H159" i="132"/>
  <c r="G159" i="132"/>
  <c r="I1800" i="170"/>
  <c r="K1800" i="170" s="1"/>
  <c r="I1807" i="170"/>
  <c r="K1807" i="170" s="1"/>
  <c r="I1799" i="170"/>
  <c r="J1803" i="170" s="1"/>
  <c r="I1806" i="170"/>
  <c r="K1806" i="170" s="1"/>
  <c r="K1797" i="170"/>
  <c r="C30" i="170"/>
  <c r="E30" i="170" s="1"/>
  <c r="C29" i="170"/>
  <c r="E29" i="170" s="1"/>
  <c r="C28" i="170"/>
  <c r="E28" i="170" s="1"/>
  <c r="C24" i="170"/>
  <c r="E24" i="170" s="1"/>
  <c r="C23" i="170"/>
  <c r="D27" i="170" s="1"/>
  <c r="C31" i="170"/>
  <c r="E31" i="170" s="1"/>
  <c r="I339" i="170"/>
  <c r="K339" i="170" s="1"/>
  <c r="I337" i="170"/>
  <c r="K337" i="170" s="1"/>
  <c r="I331" i="170"/>
  <c r="J335" i="170" s="1"/>
  <c r="I336" i="170"/>
  <c r="K336" i="170" s="1"/>
  <c r="I332" i="170"/>
  <c r="K332" i="170" s="1"/>
  <c r="I338" i="170"/>
  <c r="K338" i="170" s="1"/>
  <c r="I426" i="170"/>
  <c r="K426" i="170" s="1"/>
  <c r="I419" i="170"/>
  <c r="K419" i="170" s="1"/>
  <c r="I425" i="170"/>
  <c r="K425" i="170" s="1"/>
  <c r="I418" i="170"/>
  <c r="J422" i="170" s="1"/>
  <c r="I424" i="170"/>
  <c r="K424" i="170" s="1"/>
  <c r="C1976" i="170"/>
  <c r="E1976" i="170" s="1"/>
  <c r="C1969" i="170"/>
  <c r="D1973" i="170" s="1"/>
  <c r="C1977" i="170"/>
  <c r="E1977" i="170" s="1"/>
  <c r="E1967" i="170"/>
  <c r="C1772" i="170"/>
  <c r="E1772" i="170" s="1"/>
  <c r="C1765" i="170"/>
  <c r="D1769" i="170" s="1"/>
  <c r="C1766" i="170"/>
  <c r="E1766" i="170" s="1"/>
  <c r="E1763" i="170"/>
  <c r="C1773" i="170"/>
  <c r="E1773" i="170" s="1"/>
  <c r="I1671" i="170"/>
  <c r="K1671" i="170" s="1"/>
  <c r="I1663" i="170"/>
  <c r="J1667" i="170" s="1"/>
  <c r="K1661" i="170"/>
  <c r="I1670" i="170"/>
  <c r="K1670" i="170" s="1"/>
  <c r="C1585" i="170"/>
  <c r="E1585" i="170" s="1"/>
  <c r="C1579" i="170"/>
  <c r="E1579" i="170" s="1"/>
  <c r="C1586" i="170"/>
  <c r="E1586" i="170" s="1"/>
  <c r="C1578" i="170"/>
  <c r="D1582" i="170" s="1"/>
  <c r="E1576" i="170"/>
  <c r="I560" i="170"/>
  <c r="K560" i="170" s="1"/>
  <c r="I559" i="170"/>
  <c r="K559" i="170" s="1"/>
  <c r="I554" i="170"/>
  <c r="J558" i="170" s="1"/>
  <c r="I562" i="170"/>
  <c r="K562" i="170" s="1"/>
  <c r="I561" i="170"/>
  <c r="K561" i="170" s="1"/>
  <c r="I477" i="170"/>
  <c r="K477" i="170" s="1"/>
  <c r="I475" i="170"/>
  <c r="K475" i="170" s="1"/>
  <c r="I469" i="170"/>
  <c r="J473" i="170" s="1"/>
  <c r="I476" i="170"/>
  <c r="K476" i="170" s="1"/>
  <c r="I474" i="170"/>
  <c r="K474" i="170" s="1"/>
  <c r="H17" i="154"/>
  <c r="G17" i="154"/>
  <c r="C1840" i="170"/>
  <c r="E1840" i="170" s="1"/>
  <c r="C1833" i="170"/>
  <c r="D1837" i="170" s="1"/>
  <c r="C1841" i="170"/>
  <c r="E1841" i="170" s="1"/>
  <c r="E1831" i="170"/>
  <c r="C1834" i="170"/>
  <c r="E1834" i="170" s="1"/>
  <c r="E1899" i="170"/>
  <c r="I681" i="170"/>
  <c r="K681" i="170" s="1"/>
  <c r="I675" i="170"/>
  <c r="K675" i="170" s="1"/>
  <c r="I674" i="170"/>
  <c r="J678" i="170" s="1"/>
  <c r="I679" i="170"/>
  <c r="K679" i="170" s="1"/>
  <c r="I682" i="170"/>
  <c r="K682" i="170" s="1"/>
  <c r="I680" i="170"/>
  <c r="K680" i="170" s="1"/>
  <c r="C383" i="170"/>
  <c r="D387" i="170" s="1"/>
  <c r="C349" i="170"/>
  <c r="D353" i="170" s="1"/>
  <c r="C356" i="170"/>
  <c r="E356" i="170" s="1"/>
  <c r="C357" i="170"/>
  <c r="E357" i="170" s="1"/>
  <c r="C354" i="170"/>
  <c r="E354" i="170" s="1"/>
  <c r="C355" i="170"/>
  <c r="E355" i="170" s="1"/>
  <c r="C269" i="170"/>
  <c r="E269" i="170" s="1"/>
  <c r="C267" i="170"/>
  <c r="E267" i="170" s="1"/>
  <c r="C268" i="170"/>
  <c r="E268" i="170" s="1"/>
  <c r="C262" i="170"/>
  <c r="D266" i="170" s="1"/>
  <c r="C270" i="170"/>
  <c r="E270" i="170" s="1"/>
  <c r="C201" i="170"/>
  <c r="E201" i="170" s="1"/>
  <c r="I1987" i="170"/>
  <c r="K1987" i="170" s="1"/>
  <c r="C1823" i="170"/>
  <c r="E1823" i="170" s="1"/>
  <c r="C1817" i="170"/>
  <c r="E1817" i="170" s="1"/>
  <c r="E1814" i="170"/>
  <c r="C1824" i="170"/>
  <c r="E1824" i="170" s="1"/>
  <c r="C1816" i="170"/>
  <c r="D1820" i="170" s="1"/>
  <c r="G19" i="154"/>
  <c r="H19" i="154"/>
  <c r="C2021" i="170"/>
  <c r="E2021" i="170" s="1"/>
  <c r="E2018" i="170"/>
  <c r="C2027" i="170"/>
  <c r="E2027" i="170" s="1"/>
  <c r="C2024" i="170"/>
  <c r="E2024" i="170" s="1"/>
  <c r="C2028" i="170"/>
  <c r="E2028" i="170" s="1"/>
  <c r="C2025" i="170"/>
  <c r="E2025" i="170" s="1"/>
  <c r="C2026" i="170"/>
  <c r="E2026" i="170" s="1"/>
  <c r="C2023" i="170"/>
  <c r="E2023" i="170" s="1"/>
  <c r="C2022" i="170"/>
  <c r="E2022" i="170" s="1"/>
  <c r="C1527" i="170"/>
  <c r="D1531" i="170" s="1"/>
  <c r="K1865" i="170"/>
  <c r="I1755" i="170"/>
  <c r="K1755" i="170" s="1"/>
  <c r="I1748" i="170"/>
  <c r="J1752" i="170" s="1"/>
  <c r="K1746" i="170"/>
  <c r="I1756" i="170"/>
  <c r="K1756" i="170" s="1"/>
  <c r="I1749" i="170"/>
  <c r="K1749" i="170" s="1"/>
  <c r="I504" i="170"/>
  <c r="J508" i="170" s="1"/>
  <c r="I408" i="170"/>
  <c r="K408" i="170" s="1"/>
  <c r="I402" i="170"/>
  <c r="K402" i="170" s="1"/>
  <c r="I407" i="170"/>
  <c r="K407" i="170" s="1"/>
  <c r="I406" i="170"/>
  <c r="K406" i="170" s="1"/>
  <c r="I401" i="170"/>
  <c r="J405" i="170" s="1"/>
  <c r="I409" i="170"/>
  <c r="K409" i="170" s="1"/>
  <c r="C1994" i="170"/>
  <c r="E1994" i="170" s="1"/>
  <c r="E1984" i="170"/>
  <c r="C1986" i="170"/>
  <c r="D1990" i="170" s="1"/>
  <c r="C1993" i="170"/>
  <c r="E1993" i="170" s="1"/>
  <c r="C1987" i="170"/>
  <c r="E1987" i="170" s="1"/>
  <c r="C1738" i="170"/>
  <c r="E1738" i="170" s="1"/>
  <c r="C1732" i="170"/>
  <c r="E1732" i="170" s="1"/>
  <c r="E1729" i="170"/>
  <c r="C1739" i="170"/>
  <c r="E1739" i="170" s="1"/>
  <c r="C1731" i="170"/>
  <c r="D1735" i="170" s="1"/>
  <c r="C693" i="170"/>
  <c r="E693" i="170" s="1"/>
  <c r="W96" i="151"/>
  <c r="H94" i="132" s="1"/>
  <c r="C487" i="170"/>
  <c r="D491" i="170" s="1"/>
  <c r="C495" i="170"/>
  <c r="E495" i="170" s="1"/>
  <c r="C494" i="170"/>
  <c r="E494" i="170" s="1"/>
  <c r="C493" i="170"/>
  <c r="E493" i="170" s="1"/>
  <c r="C492" i="170"/>
  <c r="E492" i="170" s="1"/>
  <c r="C488" i="170"/>
  <c r="E488" i="170" s="1"/>
  <c r="C470" i="170"/>
  <c r="E470" i="170" s="1"/>
  <c r="C476" i="170"/>
  <c r="E476" i="170" s="1"/>
  <c r="C475" i="170"/>
  <c r="E475" i="170" s="1"/>
  <c r="C474" i="170"/>
  <c r="E474" i="170" s="1"/>
  <c r="C469" i="170"/>
  <c r="D473" i="170" s="1"/>
  <c r="C477" i="170"/>
  <c r="E477" i="170" s="1"/>
  <c r="C115" i="170"/>
  <c r="E115" i="170" s="1"/>
  <c r="C114" i="170"/>
  <c r="E114" i="170" s="1"/>
  <c r="C113" i="170"/>
  <c r="E113" i="170" s="1"/>
  <c r="C109" i="170"/>
  <c r="E109" i="170" s="1"/>
  <c r="C116" i="170"/>
  <c r="E116" i="170" s="1"/>
  <c r="C108" i="170"/>
  <c r="D112" i="170" s="1"/>
  <c r="C13" i="170"/>
  <c r="E13" i="170" s="1"/>
  <c r="C11" i="170"/>
  <c r="E11" i="170" s="1"/>
  <c r="C6" i="170"/>
  <c r="D10" i="170" s="1"/>
  <c r="C14" i="170"/>
  <c r="E14" i="170" s="1"/>
  <c r="C1789" i="170"/>
  <c r="E1789" i="170" s="1"/>
  <c r="C1782" i="170"/>
  <c r="D1786" i="170" s="1"/>
  <c r="C1790" i="170"/>
  <c r="E1790" i="170" s="1"/>
  <c r="E1780" i="170"/>
  <c r="C218" i="170"/>
  <c r="E218" i="170" s="1"/>
  <c r="K2075" i="170"/>
  <c r="C179" i="170"/>
  <c r="E179" i="170" s="1"/>
  <c r="W111" i="151"/>
  <c r="H109" i="132" s="1"/>
  <c r="W133" i="151"/>
  <c r="H131" i="132" s="1"/>
  <c r="C1872" i="170"/>
  <c r="E1872" i="170" s="1"/>
  <c r="I110" i="170"/>
  <c r="K110" i="170" s="1"/>
  <c r="I298" i="170"/>
  <c r="K298" i="170" s="1"/>
  <c r="E2361" i="170"/>
  <c r="K2332" i="170"/>
  <c r="K2604" i="170"/>
  <c r="K2203" i="170"/>
  <c r="E2461" i="170"/>
  <c r="E2467" i="170" s="1"/>
  <c r="K1469" i="170"/>
  <c r="E1389" i="170"/>
  <c r="E1253" i="170"/>
  <c r="E1117" i="170"/>
  <c r="K1390" i="170"/>
  <c r="E896" i="170"/>
  <c r="E828" i="170"/>
  <c r="K762" i="170"/>
  <c r="K772" i="170" s="1"/>
  <c r="E1273" i="170"/>
  <c r="E1137" i="170"/>
  <c r="E950" i="170"/>
  <c r="E2515" i="170"/>
  <c r="K856" i="170"/>
  <c r="K1291" i="170"/>
  <c r="K992" i="170"/>
  <c r="F146" i="132"/>
  <c r="I264" i="170"/>
  <c r="K264" i="170" s="1"/>
  <c r="K1086" i="170"/>
  <c r="F140" i="132"/>
  <c r="F106" i="132"/>
  <c r="E1287" i="170"/>
  <c r="E763" i="170"/>
  <c r="F133" i="132"/>
  <c r="I1804" i="170"/>
  <c r="K1804" i="170" s="1"/>
  <c r="I556" i="170"/>
  <c r="K556" i="170" s="1"/>
  <c r="F127" i="132"/>
  <c r="I1632" i="170"/>
  <c r="K1632" i="170" s="1"/>
  <c r="F113" i="132"/>
  <c r="I1802" i="170"/>
  <c r="K1802" i="170" s="1"/>
  <c r="C1838" i="170"/>
  <c r="E1838" i="170" s="1"/>
  <c r="C1615" i="170"/>
  <c r="E1615" i="170" s="1"/>
  <c r="W129" i="151"/>
  <c r="H127" i="132" s="1"/>
  <c r="W28" i="151"/>
  <c r="H26" i="132" s="1"/>
  <c r="K2394" i="170"/>
  <c r="E2603" i="170"/>
  <c r="E2590" i="170"/>
  <c r="E2586" i="170"/>
  <c r="K2346" i="170"/>
  <c r="K2441" i="170"/>
  <c r="K2451" i="170" s="1"/>
  <c r="K2249" i="170"/>
  <c r="K2331" i="170"/>
  <c r="K2339" i="170" s="1"/>
  <c r="E2153" i="170"/>
  <c r="E2524" i="170"/>
  <c r="K2285" i="170"/>
  <c r="E2268" i="170"/>
  <c r="K2299" i="170"/>
  <c r="K2265" i="170"/>
  <c r="E2140" i="170"/>
  <c r="E2147" i="170" s="1"/>
  <c r="E2331" i="170"/>
  <c r="K2122" i="170"/>
  <c r="E2539" i="170"/>
  <c r="K2425" i="170"/>
  <c r="K2435" i="170" s="1"/>
  <c r="K2124" i="170"/>
  <c r="E2060" i="170"/>
  <c r="E2297" i="170"/>
  <c r="K2491" i="170"/>
  <c r="K2123" i="170"/>
  <c r="K1322" i="170"/>
  <c r="K1332" i="170" s="1"/>
  <c r="K1186" i="170"/>
  <c r="E1462" i="170"/>
  <c r="E2475" i="170"/>
  <c r="E814" i="170"/>
  <c r="E823" i="170" s="1"/>
  <c r="E728" i="170"/>
  <c r="E713" i="170"/>
  <c r="K2586" i="170"/>
  <c r="K2076" i="170"/>
  <c r="K2073" i="170"/>
  <c r="E1478" i="170"/>
  <c r="K1440" i="170"/>
  <c r="E1423" i="170"/>
  <c r="E1426" i="170"/>
  <c r="E1341" i="170"/>
  <c r="E1349" i="170" s="1"/>
  <c r="L1349" i="170" s="1"/>
  <c r="E1205" i="170"/>
  <c r="E1213" i="170" s="1"/>
  <c r="K2347" i="170"/>
  <c r="K924" i="170"/>
  <c r="E2410" i="170"/>
  <c r="E2189" i="170"/>
  <c r="E1355" i="170"/>
  <c r="K865" i="170"/>
  <c r="E2185" i="170"/>
  <c r="K2091" i="170"/>
  <c r="K1290" i="170"/>
  <c r="K1287" i="170"/>
  <c r="E1220" i="170"/>
  <c r="K1104" i="170"/>
  <c r="K2171" i="170"/>
  <c r="K2179" i="170" s="1"/>
  <c r="K880" i="170"/>
  <c r="F153" i="132"/>
  <c r="F139" i="132"/>
  <c r="K863" i="170"/>
  <c r="K1307" i="170"/>
  <c r="K1222" i="170"/>
  <c r="K1219" i="170"/>
  <c r="E1152" i="170"/>
  <c r="K881" i="170"/>
  <c r="K744" i="170"/>
  <c r="E2109" i="170"/>
  <c r="E2105" i="170"/>
  <c r="K1153" i="170"/>
  <c r="K933" i="170"/>
  <c r="K864" i="170"/>
  <c r="K796" i="170"/>
  <c r="I1566" i="170"/>
  <c r="K1566" i="170" s="1"/>
  <c r="E2283" i="170"/>
  <c r="E2291" i="170" s="1"/>
  <c r="K1087" i="170"/>
  <c r="K797" i="170"/>
  <c r="I1720" i="170"/>
  <c r="K1720" i="170" s="1"/>
  <c r="C1974" i="170"/>
  <c r="E1974" i="170" s="1"/>
  <c r="C1617" i="170"/>
  <c r="E1617" i="170" s="1"/>
  <c r="C282" i="170"/>
  <c r="E282" i="170" s="1"/>
  <c r="I1666" i="170"/>
  <c r="K1666" i="170" s="1"/>
  <c r="C1614" i="170"/>
  <c r="E1614" i="170" s="1"/>
  <c r="E915" i="170"/>
  <c r="E914" i="170"/>
  <c r="I1634" i="170"/>
  <c r="K1634" i="170" s="1"/>
  <c r="I1581" i="170"/>
  <c r="K1581" i="170" s="1"/>
  <c r="F107" i="132"/>
  <c r="F143" i="132"/>
  <c r="F59" i="132"/>
  <c r="I1955" i="170"/>
  <c r="K1955" i="170" s="1"/>
  <c r="I1717" i="170"/>
  <c r="K1717" i="170" s="1"/>
  <c r="I574" i="170"/>
  <c r="K574" i="170" s="1"/>
  <c r="F116" i="132"/>
  <c r="C1669" i="170"/>
  <c r="E1669" i="170" s="1"/>
  <c r="I334" i="170"/>
  <c r="K334" i="170" s="1"/>
  <c r="C1835" i="170"/>
  <c r="E1835" i="170" s="1"/>
  <c r="C1839" i="170"/>
  <c r="E1839" i="170" s="1"/>
  <c r="I1631" i="170"/>
  <c r="K1631" i="170" s="1"/>
  <c r="E2363" i="170"/>
  <c r="T89" i="99"/>
  <c r="W68" i="99"/>
  <c r="U94" i="99"/>
  <c r="W50" i="99"/>
  <c r="W80" i="99"/>
  <c r="L26" i="151" l="1"/>
  <c r="L38" i="151"/>
  <c r="L60" i="151"/>
  <c r="L34" i="101"/>
  <c r="L70" i="151"/>
  <c r="L31" i="151"/>
  <c r="L36" i="101"/>
  <c r="L44" i="101"/>
  <c r="L47" i="101"/>
  <c r="L94" i="151"/>
  <c r="L101" i="151"/>
  <c r="W157" i="151"/>
  <c r="L103" i="151"/>
  <c r="L27" i="151"/>
  <c r="L81" i="151"/>
  <c r="L71" i="151"/>
  <c r="L89" i="151"/>
  <c r="L86" i="151"/>
  <c r="L67" i="99"/>
  <c r="L30" i="99"/>
  <c r="L70" i="99"/>
  <c r="L77" i="99"/>
  <c r="L26" i="99"/>
  <c r="L59" i="99"/>
  <c r="L38" i="99"/>
  <c r="L22" i="99"/>
  <c r="AB92" i="99" s="1"/>
  <c r="L53" i="99"/>
  <c r="L63" i="99"/>
  <c r="L51" i="99"/>
  <c r="L84" i="99"/>
  <c r="L86" i="99"/>
  <c r="L72" i="99"/>
  <c r="L82" i="99"/>
  <c r="K158" i="132"/>
  <c r="M158" i="132" s="1"/>
  <c r="Z79" i="101"/>
  <c r="AA79" i="101" s="1"/>
  <c r="L62" i="101"/>
  <c r="L30" i="101"/>
  <c r="L32" i="101"/>
  <c r="L68" i="101"/>
  <c r="L48" i="101"/>
  <c r="L57" i="101"/>
  <c r="L64" i="101"/>
  <c r="L24" i="101"/>
  <c r="L28" i="101"/>
  <c r="L33" i="101"/>
  <c r="L35" i="101"/>
  <c r="L37" i="101"/>
  <c r="L45" i="101"/>
  <c r="L65" i="101"/>
  <c r="L22" i="101"/>
  <c r="L19" i="101"/>
  <c r="L73" i="101"/>
  <c r="L27" i="101"/>
  <c r="L42" i="101"/>
  <c r="L46" i="101"/>
  <c r="L52" i="101"/>
  <c r="W92" i="99"/>
  <c r="X92" i="99" s="1"/>
  <c r="L57" i="99"/>
  <c r="L28" i="99"/>
  <c r="L74" i="99"/>
  <c r="L75" i="99"/>
  <c r="L79" i="99"/>
  <c r="L49" i="99"/>
  <c r="L61" i="99"/>
  <c r="W16" i="99"/>
  <c r="L88" i="99"/>
  <c r="L59" i="101"/>
  <c r="L16" i="151"/>
  <c r="G14" i="132" s="1"/>
  <c r="L22" i="151"/>
  <c r="L68" i="151"/>
  <c r="L20" i="101"/>
  <c r="W122" i="151"/>
  <c r="H120" i="132" s="1"/>
  <c r="L44" i="99"/>
  <c r="L25" i="101"/>
  <c r="L31" i="101"/>
  <c r="L39" i="101"/>
  <c r="L69" i="101"/>
  <c r="L55" i="101"/>
  <c r="C659" i="170"/>
  <c r="E659" i="170" s="1"/>
  <c r="W92" i="151"/>
  <c r="L45" i="151"/>
  <c r="L17" i="151"/>
  <c r="L80" i="151"/>
  <c r="L75" i="151"/>
  <c r="L18" i="101"/>
  <c r="L142" i="151"/>
  <c r="L49" i="101"/>
  <c r="L74" i="101"/>
  <c r="L131" i="151"/>
  <c r="L48" i="151"/>
  <c r="L82" i="151"/>
  <c r="L66" i="101"/>
  <c r="L87" i="151"/>
  <c r="L21" i="101"/>
  <c r="W20" i="99"/>
  <c r="L63" i="101"/>
  <c r="L108" i="151"/>
  <c r="L112" i="151"/>
  <c r="L61" i="101"/>
  <c r="L50" i="101"/>
  <c r="L72" i="101"/>
  <c r="L36" i="151"/>
  <c r="L42" i="99"/>
  <c r="L149" i="151"/>
  <c r="L95" i="151"/>
  <c r="L23" i="101"/>
  <c r="L29" i="101"/>
  <c r="L38" i="101"/>
  <c r="L40" i="101"/>
  <c r="L41" i="101"/>
  <c r="L49" i="151"/>
  <c r="L64" i="151"/>
  <c r="L58" i="101"/>
  <c r="L102" i="151"/>
  <c r="L50" i="151"/>
  <c r="L71" i="99"/>
  <c r="L47" i="99"/>
  <c r="L143" i="151"/>
  <c r="L66" i="99"/>
  <c r="L41" i="99"/>
  <c r="L54" i="101"/>
  <c r="L57" i="151"/>
  <c r="L21" i="151"/>
  <c r="L107" i="151"/>
  <c r="L155" i="151"/>
  <c r="F148" i="132"/>
  <c r="K1196" i="170"/>
  <c r="L823" i="170"/>
  <c r="E2179" i="170"/>
  <c r="E755" i="170"/>
  <c r="E1145" i="170"/>
  <c r="K1451" i="170"/>
  <c r="L1451" i="170" s="1"/>
  <c r="E1179" i="170"/>
  <c r="E890" i="170"/>
  <c r="E2259" i="170"/>
  <c r="E1247" i="170"/>
  <c r="K1009" i="170"/>
  <c r="K1434" i="170"/>
  <c r="K1162" i="170"/>
  <c r="E1264" i="170"/>
  <c r="K1247" i="170"/>
  <c r="L1247" i="170" s="1"/>
  <c r="L789" i="170"/>
  <c r="E2371" i="170"/>
  <c r="L2371" i="170" s="1"/>
  <c r="E1162" i="170"/>
  <c r="E2323" i="170"/>
  <c r="K2387" i="170"/>
  <c r="K2147" i="170"/>
  <c r="K1264" i="170"/>
  <c r="K958" i="170"/>
  <c r="K1400" i="170"/>
  <c r="L1400" i="170" s="1"/>
  <c r="K941" i="170"/>
  <c r="K2291" i="170"/>
  <c r="K1060" i="170"/>
  <c r="E2243" i="170"/>
  <c r="L2243" i="170" s="1"/>
  <c r="K2243" i="170"/>
  <c r="K1298" i="170"/>
  <c r="E958" i="170"/>
  <c r="K2067" i="170"/>
  <c r="K1417" i="170"/>
  <c r="E1400" i="170"/>
  <c r="E975" i="170"/>
  <c r="E1315" i="170"/>
  <c r="E806" i="170"/>
  <c r="W82" i="99"/>
  <c r="W69" i="99"/>
  <c r="I63" i="170"/>
  <c r="K63" i="170" s="1"/>
  <c r="I1940" i="170"/>
  <c r="K1940" i="170" s="1"/>
  <c r="C215" i="170"/>
  <c r="E215" i="170" s="1"/>
  <c r="I1875" i="170"/>
  <c r="K1875" i="170" s="1"/>
  <c r="C159" i="170"/>
  <c r="D163" i="170" s="1"/>
  <c r="C424" i="170"/>
  <c r="E424" i="170" s="1"/>
  <c r="I488" i="170"/>
  <c r="K488" i="170" s="1"/>
  <c r="I60" i="170"/>
  <c r="K60" i="170" s="1"/>
  <c r="C217" i="170"/>
  <c r="E217" i="170" s="1"/>
  <c r="I1868" i="170"/>
  <c r="K1868" i="170" s="1"/>
  <c r="C1535" i="170"/>
  <c r="E1535" i="170" s="1"/>
  <c r="I1517" i="170"/>
  <c r="K1517" i="170" s="1"/>
  <c r="K1984" i="170"/>
  <c r="C1908" i="170"/>
  <c r="E1908" i="170" s="1"/>
  <c r="I357" i="170"/>
  <c r="K357" i="170" s="1"/>
  <c r="I1510" i="170"/>
  <c r="J1514" i="170" s="1"/>
  <c r="I1994" i="170"/>
  <c r="K1994" i="170" s="1"/>
  <c r="C1836" i="170"/>
  <c r="E1836" i="170" s="1"/>
  <c r="I350" i="170"/>
  <c r="K350" i="170" s="1"/>
  <c r="I538" i="170"/>
  <c r="K538" i="170" s="1"/>
  <c r="I57" i="170"/>
  <c r="J61" i="170" s="1"/>
  <c r="C210" i="170"/>
  <c r="D214" i="170" s="1"/>
  <c r="I1867" i="170"/>
  <c r="J1871" i="170" s="1"/>
  <c r="C1534" i="170"/>
  <c r="E1534" i="170" s="1"/>
  <c r="I1518" i="170"/>
  <c r="K1518" i="170" s="1"/>
  <c r="I1993" i="170"/>
  <c r="K1993" i="170" s="1"/>
  <c r="C1909" i="170"/>
  <c r="E1909" i="170" s="1"/>
  <c r="I489" i="170"/>
  <c r="K489" i="170" s="1"/>
  <c r="I607" i="170"/>
  <c r="K607" i="170" s="1"/>
  <c r="I354" i="170"/>
  <c r="K354" i="170" s="1"/>
  <c r="C366" i="170"/>
  <c r="D370" i="170" s="1"/>
  <c r="C167" i="170"/>
  <c r="E167" i="170" s="1"/>
  <c r="C1634" i="170"/>
  <c r="E1634" i="170" s="1"/>
  <c r="W20" i="151"/>
  <c r="H18" i="132" s="1"/>
  <c r="C421" i="170"/>
  <c r="E421" i="170" s="1"/>
  <c r="C1516" i="170"/>
  <c r="E1516" i="170" s="1"/>
  <c r="I59" i="170"/>
  <c r="K59" i="170" s="1"/>
  <c r="I1869" i="170"/>
  <c r="K1869" i="170" s="1"/>
  <c r="I1872" i="170"/>
  <c r="K1872" i="170" s="1"/>
  <c r="F73" i="132"/>
  <c r="I64" i="170"/>
  <c r="K64" i="170" s="1"/>
  <c r="C166" i="170"/>
  <c r="E166" i="170" s="1"/>
  <c r="C1802" i="170"/>
  <c r="E1802" i="170" s="1"/>
  <c r="C1530" i="170"/>
  <c r="E1530" i="170" s="1"/>
  <c r="C1533" i="170"/>
  <c r="E1533" i="170" s="1"/>
  <c r="C1532" i="170"/>
  <c r="E1532" i="170" s="1"/>
  <c r="C1511" i="170"/>
  <c r="E1511" i="170" s="1"/>
  <c r="K1508" i="170"/>
  <c r="I1986" i="170"/>
  <c r="J1990" i="170" s="1"/>
  <c r="C1901" i="170"/>
  <c r="D1905" i="170" s="1"/>
  <c r="I628" i="170"/>
  <c r="K628" i="170" s="1"/>
  <c r="I352" i="170"/>
  <c r="K352" i="170" s="1"/>
  <c r="I349" i="170"/>
  <c r="J353" i="170" s="1"/>
  <c r="C147" i="170"/>
  <c r="E147" i="170" s="1"/>
  <c r="C1515" i="170"/>
  <c r="E1515" i="170" s="1"/>
  <c r="C1529" i="170"/>
  <c r="E1529" i="170" s="1"/>
  <c r="I1870" i="170"/>
  <c r="K1870" i="170" s="1"/>
  <c r="C1904" i="170"/>
  <c r="E1904" i="170" s="1"/>
  <c r="C162" i="170"/>
  <c r="E162" i="170" s="1"/>
  <c r="C216" i="170"/>
  <c r="E216" i="170" s="1"/>
  <c r="F38" i="132"/>
  <c r="C128" i="170"/>
  <c r="E128" i="170" s="1"/>
  <c r="C126" i="170"/>
  <c r="E126" i="170" s="1"/>
  <c r="C133" i="170"/>
  <c r="E133" i="170" s="1"/>
  <c r="C149" i="170"/>
  <c r="E149" i="170" s="1"/>
  <c r="I611" i="170"/>
  <c r="K611" i="170" s="1"/>
  <c r="I605" i="170"/>
  <c r="J609" i="170" s="1"/>
  <c r="I12" i="170"/>
  <c r="K12" i="170" s="1"/>
  <c r="F15" i="132"/>
  <c r="I608" i="170"/>
  <c r="K608" i="170" s="1"/>
  <c r="C374" i="170"/>
  <c r="E374" i="170" s="1"/>
  <c r="I610" i="170"/>
  <c r="K610" i="170" s="1"/>
  <c r="C1545" i="170"/>
  <c r="E1545" i="170" s="1"/>
  <c r="C367" i="170"/>
  <c r="E367" i="170" s="1"/>
  <c r="C130" i="170"/>
  <c r="E130" i="170" s="1"/>
  <c r="C142" i="170"/>
  <c r="D146" i="170" s="1"/>
  <c r="C150" i="170"/>
  <c r="E150" i="170" s="1"/>
  <c r="I624" i="170"/>
  <c r="K624" i="170" s="1"/>
  <c r="I629" i="170"/>
  <c r="K629" i="170" s="1"/>
  <c r="C229" i="170"/>
  <c r="E229" i="170" s="1"/>
  <c r="F19" i="132"/>
  <c r="F22" i="132"/>
  <c r="F66" i="132"/>
  <c r="C372" i="170"/>
  <c r="E372" i="170" s="1"/>
  <c r="I1498" i="170"/>
  <c r="K1498" i="170" s="1"/>
  <c r="I1992" i="170"/>
  <c r="K1992" i="170" s="1"/>
  <c r="C1988" i="170"/>
  <c r="E1988" i="170" s="1"/>
  <c r="H93" i="132"/>
  <c r="I622" i="170"/>
  <c r="J626" i="170" s="1"/>
  <c r="F87" i="132"/>
  <c r="I630" i="170"/>
  <c r="K630" i="170" s="1"/>
  <c r="I625" i="170"/>
  <c r="K625" i="170" s="1"/>
  <c r="I510" i="170"/>
  <c r="K510" i="170" s="1"/>
  <c r="I13" i="170"/>
  <c r="K13" i="170" s="1"/>
  <c r="I14" i="170"/>
  <c r="K14" i="170" s="1"/>
  <c r="I385" i="170"/>
  <c r="K385" i="170" s="1"/>
  <c r="C199" i="170"/>
  <c r="E199" i="170" s="1"/>
  <c r="C384" i="170"/>
  <c r="E384" i="170" s="1"/>
  <c r="C389" i="170"/>
  <c r="E389" i="170" s="1"/>
  <c r="F58" i="132"/>
  <c r="C198" i="170"/>
  <c r="E198" i="170" s="1"/>
  <c r="I509" i="170"/>
  <c r="K509" i="170" s="1"/>
  <c r="I505" i="170"/>
  <c r="K505" i="170" s="1"/>
  <c r="I7" i="170"/>
  <c r="K7" i="170" s="1"/>
  <c r="I58" i="170"/>
  <c r="K58" i="170" s="1"/>
  <c r="W155" i="151"/>
  <c r="H153" i="132" s="1"/>
  <c r="W83" i="151"/>
  <c r="H81" i="132" s="1"/>
  <c r="I511" i="170"/>
  <c r="K511" i="170" s="1"/>
  <c r="C193" i="170"/>
  <c r="D197" i="170" s="1"/>
  <c r="C390" i="170"/>
  <c r="E390" i="170" s="1"/>
  <c r="C1902" i="170"/>
  <c r="E1902" i="170" s="1"/>
  <c r="C1970" i="170"/>
  <c r="E1970" i="170" s="1"/>
  <c r="W89" i="151"/>
  <c r="H87" i="132" s="1"/>
  <c r="C160" i="170"/>
  <c r="E160" i="170" s="1"/>
  <c r="W119" i="151"/>
  <c r="H117" i="132" s="1"/>
  <c r="F144" i="132"/>
  <c r="I1769" i="170"/>
  <c r="C145" i="170"/>
  <c r="E145" i="170" s="1"/>
  <c r="C1546" i="170"/>
  <c r="E1546" i="170" s="1"/>
  <c r="C1903" i="170"/>
  <c r="E1903" i="170" s="1"/>
  <c r="I11" i="170"/>
  <c r="K11" i="170" s="1"/>
  <c r="C165" i="170"/>
  <c r="E165" i="170" s="1"/>
  <c r="C164" i="170"/>
  <c r="E164" i="170" s="1"/>
  <c r="C213" i="170"/>
  <c r="E213" i="170" s="1"/>
  <c r="C212" i="170"/>
  <c r="E212" i="170" s="1"/>
  <c r="C388" i="170"/>
  <c r="E388" i="170" s="1"/>
  <c r="I506" i="170"/>
  <c r="K506" i="170" s="1"/>
  <c r="I355" i="170"/>
  <c r="K355" i="170" s="1"/>
  <c r="C195" i="170"/>
  <c r="E195" i="170" s="1"/>
  <c r="C196" i="170"/>
  <c r="E196" i="170" s="1"/>
  <c r="I9" i="170"/>
  <c r="K9" i="170" s="1"/>
  <c r="W72" i="99"/>
  <c r="J106" i="151"/>
  <c r="C1565" i="170" s="1"/>
  <c r="W132" i="151"/>
  <c r="H130" i="132" s="1"/>
  <c r="J124" i="151"/>
  <c r="C1718" i="170" s="1"/>
  <c r="J127" i="151"/>
  <c r="I1735" i="170" s="1"/>
  <c r="W42" i="99"/>
  <c r="J137" i="151"/>
  <c r="I1820" i="170" s="1"/>
  <c r="K1820" i="170" s="1"/>
  <c r="K1829" i="170" s="1"/>
  <c r="J126" i="151"/>
  <c r="C1735" i="170" s="1"/>
  <c r="E1735" i="170" s="1"/>
  <c r="E1744" i="170" s="1"/>
  <c r="I314" i="170"/>
  <c r="K314" i="170" s="1"/>
  <c r="C419" i="170"/>
  <c r="E419" i="170" s="1"/>
  <c r="W109" i="151"/>
  <c r="H107" i="132" s="1"/>
  <c r="I589" i="170"/>
  <c r="K589" i="170" s="1"/>
  <c r="W21" i="151"/>
  <c r="H19" i="132" s="1"/>
  <c r="W125" i="151"/>
  <c r="H123" i="132" s="1"/>
  <c r="W76" i="99"/>
  <c r="W152" i="151"/>
  <c r="H150" i="132" s="1"/>
  <c r="W69" i="151"/>
  <c r="H67" i="132" s="1"/>
  <c r="F31" i="132"/>
  <c r="W75" i="99"/>
  <c r="W143" i="151"/>
  <c r="H141" i="132" s="1"/>
  <c r="W74" i="101"/>
  <c r="K735" i="170"/>
  <c r="W17" i="151"/>
  <c r="H15" i="132" s="1"/>
  <c r="W71" i="99"/>
  <c r="W26" i="99"/>
  <c r="W54" i="101"/>
  <c r="W57" i="151"/>
  <c r="H55" i="132" s="1"/>
  <c r="W66" i="99"/>
  <c r="W33" i="99"/>
  <c r="C1783" i="170"/>
  <c r="E1783" i="170" s="1"/>
  <c r="W55" i="151"/>
  <c r="H53" i="132" s="1"/>
  <c r="W106" i="151"/>
  <c r="H104" i="132" s="1"/>
  <c r="J98" i="151"/>
  <c r="C1497" i="170" s="1"/>
  <c r="E1497" i="170" s="1"/>
  <c r="W117" i="151"/>
  <c r="H115" i="132" s="1"/>
  <c r="W30" i="151"/>
  <c r="H28" i="132" s="1"/>
  <c r="F155" i="132"/>
  <c r="W51" i="151"/>
  <c r="H49" i="132" s="1"/>
  <c r="W39" i="99"/>
  <c r="W16" i="151"/>
  <c r="H14" i="132" s="1"/>
  <c r="C1618" i="170"/>
  <c r="E1618" i="170" s="1"/>
  <c r="W154" i="151"/>
  <c r="H152" i="132" s="1"/>
  <c r="W45" i="99"/>
  <c r="W64" i="151"/>
  <c r="H62" i="132" s="1"/>
  <c r="W78" i="99"/>
  <c r="W86" i="99"/>
  <c r="W150" i="151"/>
  <c r="H148" i="132" s="1"/>
  <c r="W28" i="99"/>
  <c r="I470" i="170"/>
  <c r="K470" i="170" s="1"/>
  <c r="E2580" i="170"/>
  <c r="W40" i="151"/>
  <c r="H38" i="132" s="1"/>
  <c r="U10" i="9"/>
  <c r="W67" i="151"/>
  <c r="H65" i="132" s="1"/>
  <c r="W47" i="99"/>
  <c r="J117" i="151"/>
  <c r="I1650" i="170" s="1"/>
  <c r="W56" i="151"/>
  <c r="H54" i="132" s="1"/>
  <c r="W103" i="151"/>
  <c r="H101" i="132" s="1"/>
  <c r="F21" i="132"/>
  <c r="I351" i="170"/>
  <c r="K351" i="170" s="1"/>
  <c r="E97" i="99"/>
  <c r="F174" i="99" s="1"/>
  <c r="J174" i="99" s="1"/>
  <c r="F178" i="99" s="1"/>
  <c r="L178" i="99" s="1"/>
  <c r="E719" i="170"/>
  <c r="L719" i="170" s="1"/>
  <c r="W65" i="151"/>
  <c r="H63" i="132" s="1"/>
  <c r="C423" i="170"/>
  <c r="E423" i="170" s="1"/>
  <c r="W36" i="151"/>
  <c r="H34" i="132" s="1"/>
  <c r="W90" i="151"/>
  <c r="H88" i="132" s="1"/>
  <c r="W105" i="151"/>
  <c r="H103" i="132" s="1"/>
  <c r="W70" i="151"/>
  <c r="H68" i="132" s="1"/>
  <c r="W80" i="151"/>
  <c r="H78" i="132" s="1"/>
  <c r="W62" i="151"/>
  <c r="W43" i="151"/>
  <c r="H41" i="132" s="1"/>
  <c r="W25" i="99"/>
  <c r="W146" i="151"/>
  <c r="H144" i="132" s="1"/>
  <c r="W45" i="151"/>
  <c r="H43" i="132" s="1"/>
  <c r="W141" i="151"/>
  <c r="H139" i="132" s="1"/>
  <c r="F28" i="132"/>
  <c r="W58" i="151"/>
  <c r="H56" i="132" s="1"/>
  <c r="W34" i="151"/>
  <c r="H32" i="132" s="1"/>
  <c r="W32" i="99"/>
  <c r="W76" i="151"/>
  <c r="H74" i="132" s="1"/>
  <c r="W33" i="101"/>
  <c r="W142" i="151"/>
  <c r="H140" i="132" s="1"/>
  <c r="W149" i="151"/>
  <c r="H147" i="132" s="1"/>
  <c r="H97" i="99"/>
  <c r="W23" i="151"/>
  <c r="H21" i="132" s="1"/>
  <c r="K2115" i="170"/>
  <c r="K2419" i="170"/>
  <c r="U93" i="99"/>
  <c r="J152" i="151"/>
  <c r="C1956" i="170" s="1"/>
  <c r="E1956" i="170" s="1"/>
  <c r="E1965" i="170" s="1"/>
  <c r="C1750" i="170"/>
  <c r="E1750" i="170" s="1"/>
  <c r="E1060" i="170"/>
  <c r="L1060" i="170" s="1"/>
  <c r="J156" i="151"/>
  <c r="C1990" i="170" s="1"/>
  <c r="E1990" i="170" s="1"/>
  <c r="E2483" i="170"/>
  <c r="L2483" i="170" s="1"/>
  <c r="E1128" i="170"/>
  <c r="L1128" i="170" s="1"/>
  <c r="E1094" i="170"/>
  <c r="E1332" i="170"/>
  <c r="C58" i="170"/>
  <c r="E58" i="170" s="1"/>
  <c r="W29" i="99"/>
  <c r="F29" i="132"/>
  <c r="W77" i="151"/>
  <c r="H75" i="132" s="1"/>
  <c r="W48" i="151"/>
  <c r="H46" i="132" s="1"/>
  <c r="W107" i="151"/>
  <c r="H105" i="132" s="1"/>
  <c r="W114" i="151"/>
  <c r="W120" i="151"/>
  <c r="H118" i="132" s="1"/>
  <c r="W121" i="151"/>
  <c r="H119" i="132" s="1"/>
  <c r="W128" i="151"/>
  <c r="H126" i="132" s="1"/>
  <c r="F145" i="132"/>
  <c r="J136" i="151"/>
  <c r="C1820" i="170" s="1"/>
  <c r="E1820" i="170" s="1"/>
  <c r="E1829" i="170" s="1"/>
  <c r="C369" i="170"/>
  <c r="E369" i="170" s="1"/>
  <c r="J133" i="151"/>
  <c r="I1786" i="170" s="1"/>
  <c r="K1786" i="170" s="1"/>
  <c r="K1795" i="170" s="1"/>
  <c r="I658" i="170"/>
  <c r="K658" i="170" s="1"/>
  <c r="I8" i="170"/>
  <c r="K8" i="170" s="1"/>
  <c r="J104" i="151"/>
  <c r="C1548" i="170" s="1"/>
  <c r="J128" i="151"/>
  <c r="C1752" i="170" s="1"/>
  <c r="R15" i="151"/>
  <c r="F25" i="132"/>
  <c r="C386" i="170"/>
  <c r="E386" i="170" s="1"/>
  <c r="E856" i="170"/>
  <c r="L856" i="170" s="1"/>
  <c r="E1026" i="170"/>
  <c r="E2387" i="170"/>
  <c r="W26" i="151"/>
  <c r="H24" i="132" s="1"/>
  <c r="W31" i="151"/>
  <c r="H29" i="132" s="1"/>
  <c r="W24" i="151"/>
  <c r="H22" i="132" s="1"/>
  <c r="W82" i="151"/>
  <c r="H80" i="132" s="1"/>
  <c r="W22" i="151"/>
  <c r="H20" i="132" s="1"/>
  <c r="W104" i="151"/>
  <c r="H102" i="132" s="1"/>
  <c r="W46" i="151"/>
  <c r="H44" i="132" s="1"/>
  <c r="W81" i="99"/>
  <c r="G97" i="151"/>
  <c r="F118" i="132"/>
  <c r="J158" i="151"/>
  <c r="C2007" i="170" s="1"/>
  <c r="F101" i="132"/>
  <c r="K1486" i="170"/>
  <c r="I438" i="170"/>
  <c r="K438" i="170" s="1"/>
  <c r="W59" i="101"/>
  <c r="W55" i="99"/>
  <c r="J100" i="151"/>
  <c r="C1514" i="170" s="1"/>
  <c r="I2005" i="170"/>
  <c r="K2005" i="170" s="1"/>
  <c r="C2009" i="170"/>
  <c r="E2009" i="170" s="1"/>
  <c r="W158" i="151"/>
  <c r="H156" i="132" s="1"/>
  <c r="I659" i="170"/>
  <c r="K659" i="170" s="1"/>
  <c r="I663" i="170"/>
  <c r="K663" i="170" s="1"/>
  <c r="K2564" i="170"/>
  <c r="K704" i="170"/>
  <c r="W94" i="151"/>
  <c r="H92" i="132" s="1"/>
  <c r="I662" i="170"/>
  <c r="K662" i="170" s="1"/>
  <c r="E2564" i="170"/>
  <c r="L2564" i="170" s="1"/>
  <c r="W55" i="101"/>
  <c r="W40" i="101"/>
  <c r="W61" i="101"/>
  <c r="W25" i="101"/>
  <c r="W64" i="101"/>
  <c r="W47" i="101"/>
  <c r="W72" i="101"/>
  <c r="K1982" i="170"/>
  <c r="W78" i="101"/>
  <c r="T95" i="99"/>
  <c r="H16" i="154"/>
  <c r="H15" i="154" s="1"/>
  <c r="H60" i="132"/>
  <c r="H57" i="132"/>
  <c r="H71" i="132"/>
  <c r="H112" i="132"/>
  <c r="W86" i="151"/>
  <c r="H84" i="132" s="1"/>
  <c r="J105" i="151"/>
  <c r="I1548" i="170" s="1"/>
  <c r="K1548" i="170" s="1"/>
  <c r="J119" i="151"/>
  <c r="I1667" i="170" s="1"/>
  <c r="K1667" i="170" s="1"/>
  <c r="W110" i="151"/>
  <c r="H108" i="132" s="1"/>
  <c r="C350" i="170"/>
  <c r="E350" i="170" s="1"/>
  <c r="I623" i="170"/>
  <c r="K623" i="170" s="1"/>
  <c r="I522" i="170"/>
  <c r="K522" i="170" s="1"/>
  <c r="K1565" i="170"/>
  <c r="K1574" i="170" s="1"/>
  <c r="W56" i="99"/>
  <c r="Q15" i="151"/>
  <c r="W68" i="151"/>
  <c r="H66" i="132" s="1"/>
  <c r="W53" i="99"/>
  <c r="W91" i="151"/>
  <c r="H89" i="132" s="1"/>
  <c r="W74" i="151"/>
  <c r="H72" i="132" s="1"/>
  <c r="F86" i="132"/>
  <c r="W65" i="101"/>
  <c r="X65" i="101" s="1"/>
  <c r="W19" i="101"/>
  <c r="F48" i="132"/>
  <c r="F78" i="132"/>
  <c r="W67" i="99"/>
  <c r="W53" i="151"/>
  <c r="H51" i="132" s="1"/>
  <c r="W144" i="151"/>
  <c r="H142" i="132" s="1"/>
  <c r="W68" i="101"/>
  <c r="T93" i="99"/>
  <c r="N83" i="101"/>
  <c r="W43" i="101"/>
  <c r="W63" i="151"/>
  <c r="H61" i="132" s="1"/>
  <c r="W42" i="151"/>
  <c r="H40" i="132" s="1"/>
  <c r="W127" i="151"/>
  <c r="H125" i="132" s="1"/>
  <c r="W124" i="151"/>
  <c r="H122" i="132" s="1"/>
  <c r="W44" i="101"/>
  <c r="S97" i="151"/>
  <c r="S163" i="151" s="1"/>
  <c r="W74" i="99"/>
  <c r="I158" i="132"/>
  <c r="F37" i="132"/>
  <c r="I555" i="170"/>
  <c r="K555" i="170" s="1"/>
  <c r="W38" i="151"/>
  <c r="H36" i="132" s="1"/>
  <c r="H90" i="132"/>
  <c r="W33" i="151"/>
  <c r="H31" i="132" s="1"/>
  <c r="W83" i="99"/>
  <c r="W79" i="151"/>
  <c r="H77" i="132" s="1"/>
  <c r="W36" i="101"/>
  <c r="W63" i="101"/>
  <c r="W52" i="101"/>
  <c r="W46" i="101"/>
  <c r="Q97" i="151"/>
  <c r="I263" i="170"/>
  <c r="K263" i="170" s="1"/>
  <c r="I606" i="170"/>
  <c r="K606" i="170" s="1"/>
  <c r="W60" i="151"/>
  <c r="H58" i="132" s="1"/>
  <c r="W49" i="101"/>
  <c r="W50" i="101"/>
  <c r="W87" i="99"/>
  <c r="W65" i="99"/>
  <c r="W54" i="151"/>
  <c r="H52" i="132" s="1"/>
  <c r="W41" i="99"/>
  <c r="W84" i="99"/>
  <c r="W23" i="101"/>
  <c r="W26" i="101"/>
  <c r="X26" i="101" s="1"/>
  <c r="W29" i="101"/>
  <c r="W159" i="151"/>
  <c r="H157" i="132" s="1"/>
  <c r="W147" i="151"/>
  <c r="H145" i="132" s="1"/>
  <c r="W67" i="101"/>
  <c r="W35" i="151"/>
  <c r="H33" i="132" s="1"/>
  <c r="H15" i="151"/>
  <c r="I176" i="170"/>
  <c r="J180" i="170" s="1"/>
  <c r="I184" i="170"/>
  <c r="K184" i="170" s="1"/>
  <c r="I179" i="170"/>
  <c r="K179" i="170" s="1"/>
  <c r="I183" i="170"/>
  <c r="K183" i="170" s="1"/>
  <c r="I177" i="170"/>
  <c r="K177" i="170" s="1"/>
  <c r="I178" i="170"/>
  <c r="K178" i="170" s="1"/>
  <c r="I182" i="170"/>
  <c r="K182" i="170" s="1"/>
  <c r="I181" i="170"/>
  <c r="K181" i="170" s="1"/>
  <c r="C1499" i="170"/>
  <c r="E1499" i="170" s="1"/>
  <c r="P97" i="151"/>
  <c r="W98" i="151"/>
  <c r="H96" i="132" s="1"/>
  <c r="C1870" i="170"/>
  <c r="E1870" i="170" s="1"/>
  <c r="K1111" i="170"/>
  <c r="W50" i="151"/>
  <c r="H48" i="132" s="1"/>
  <c r="K15" i="151"/>
  <c r="W20" i="101"/>
  <c r="P15" i="151"/>
  <c r="O15" i="151"/>
  <c r="I1535" i="170"/>
  <c r="K1535" i="170" s="1"/>
  <c r="I1529" i="170"/>
  <c r="K1529" i="170" s="1"/>
  <c r="I1534" i="170"/>
  <c r="K1534" i="170" s="1"/>
  <c r="I1527" i="170"/>
  <c r="J1531" i="170" s="1"/>
  <c r="I1528" i="170"/>
  <c r="K1528" i="170" s="1"/>
  <c r="I1532" i="170"/>
  <c r="K1532" i="170" s="1"/>
  <c r="K1525" i="170"/>
  <c r="I279" i="170"/>
  <c r="J283" i="170" s="1"/>
  <c r="I286" i="170"/>
  <c r="K286" i="170" s="1"/>
  <c r="I280" i="170"/>
  <c r="K280" i="170" s="1"/>
  <c r="I282" i="170"/>
  <c r="K282" i="170" s="1"/>
  <c r="I281" i="170"/>
  <c r="K281" i="170" s="1"/>
  <c r="I287" i="170"/>
  <c r="K287" i="170" s="1"/>
  <c r="F62" i="132"/>
  <c r="C608" i="170"/>
  <c r="E608" i="170" s="1"/>
  <c r="C611" i="170"/>
  <c r="E611" i="170" s="1"/>
  <c r="C607" i="170"/>
  <c r="E607" i="170" s="1"/>
  <c r="C613" i="170"/>
  <c r="E613" i="170" s="1"/>
  <c r="C606" i="170"/>
  <c r="E606" i="170" s="1"/>
  <c r="C610" i="170"/>
  <c r="E610" i="170" s="1"/>
  <c r="C605" i="170"/>
  <c r="D609" i="170" s="1"/>
  <c r="C612" i="170"/>
  <c r="E612" i="170" s="1"/>
  <c r="W87" i="151"/>
  <c r="H85" i="132" s="1"/>
  <c r="I1495" i="170"/>
  <c r="K1495" i="170" s="1"/>
  <c r="W99" i="151"/>
  <c r="H97" i="132" s="1"/>
  <c r="C1513" i="170"/>
  <c r="E1513" i="170" s="1"/>
  <c r="W100" i="151"/>
  <c r="H98" i="132" s="1"/>
  <c r="R97" i="151"/>
  <c r="I1516" i="170"/>
  <c r="K1516" i="170" s="1"/>
  <c r="W101" i="151"/>
  <c r="H99" i="132" s="1"/>
  <c r="F101" i="151"/>
  <c r="F99" i="132" s="1"/>
  <c r="I1511" i="170"/>
  <c r="K1511" i="170" s="1"/>
  <c r="F102" i="151"/>
  <c r="F100" i="132" s="1"/>
  <c r="C1528" i="170"/>
  <c r="E1528" i="170" s="1"/>
  <c r="O97" i="151"/>
  <c r="W102" i="151"/>
  <c r="H100" i="132" s="1"/>
  <c r="G15" i="151"/>
  <c r="G163" i="151" s="1"/>
  <c r="I126" i="170"/>
  <c r="K126" i="170" s="1"/>
  <c r="I131" i="170"/>
  <c r="K131" i="170" s="1"/>
  <c r="I130" i="170"/>
  <c r="K130" i="170" s="1"/>
  <c r="I127" i="170"/>
  <c r="K127" i="170" s="1"/>
  <c r="I133" i="170"/>
  <c r="K133" i="170" s="1"/>
  <c r="I128" i="170"/>
  <c r="K128" i="170" s="1"/>
  <c r="I125" i="170"/>
  <c r="J129" i="170" s="1"/>
  <c r="I132" i="170"/>
  <c r="K132" i="170" s="1"/>
  <c r="F38" i="151"/>
  <c r="F36" i="132" s="1"/>
  <c r="C194" i="170"/>
  <c r="E194" i="170" s="1"/>
  <c r="J39" i="101"/>
  <c r="J45" i="101"/>
  <c r="J78" i="101"/>
  <c r="J64" i="101"/>
  <c r="J54" i="101"/>
  <c r="J34" i="101"/>
  <c r="J77" i="101"/>
  <c r="J57" i="101"/>
  <c r="J32" i="101"/>
  <c r="J28" i="101"/>
  <c r="J19" i="101"/>
  <c r="J40" i="101"/>
  <c r="J46" i="101"/>
  <c r="J51" i="101"/>
  <c r="J69" i="101"/>
  <c r="J72" i="101"/>
  <c r="J65" i="101"/>
  <c r="J61" i="101"/>
  <c r="J35" i="101"/>
  <c r="J23" i="101"/>
  <c r="J58" i="101"/>
  <c r="J38" i="101"/>
  <c r="J29" i="101"/>
  <c r="J76" i="101"/>
  <c r="J33" i="101"/>
  <c r="J44" i="101"/>
  <c r="J56" i="101"/>
  <c r="J60" i="101"/>
  <c r="Z13" i="101"/>
  <c r="J18" i="101"/>
  <c r="J55" i="101"/>
  <c r="J75" i="101"/>
  <c r="J63" i="101"/>
  <c r="J53" i="101"/>
  <c r="J25" i="101"/>
  <c r="J68" i="101"/>
  <c r="J50" i="101"/>
  <c r="J31" i="101"/>
  <c r="J20" i="101"/>
  <c r="J27" i="101"/>
  <c r="J48" i="101"/>
  <c r="J71" i="101"/>
  <c r="J21" i="101"/>
  <c r="J36" i="101"/>
  <c r="J42" i="101"/>
  <c r="J67" i="101"/>
  <c r="J73" i="101"/>
  <c r="J26" i="101"/>
  <c r="J22" i="101"/>
  <c r="J17" i="101"/>
  <c r="J74" i="101"/>
  <c r="J43" i="101"/>
  <c r="J37" i="101"/>
  <c r="J52" i="101"/>
  <c r="J70" i="101"/>
  <c r="J66" i="101"/>
  <c r="J62" i="101"/>
  <c r="J41" i="101"/>
  <c r="J24" i="101"/>
  <c r="J59" i="101"/>
  <c r="J49" i="101"/>
  <c r="J30" i="101"/>
  <c r="C144" i="170"/>
  <c r="E144" i="170" s="1"/>
  <c r="M15" i="151"/>
  <c r="W32" i="151"/>
  <c r="H30" i="132" s="1"/>
  <c r="F32" i="151"/>
  <c r="C143" i="170"/>
  <c r="E143" i="170" s="1"/>
  <c r="W145" i="151"/>
  <c r="H143" i="132" s="1"/>
  <c r="I1887" i="170"/>
  <c r="K1887" i="170" s="1"/>
  <c r="K97" i="99"/>
  <c r="F156" i="99" s="1"/>
  <c r="J156" i="99" s="1"/>
  <c r="K1366" i="170"/>
  <c r="G97" i="99"/>
  <c r="F97" i="99"/>
  <c r="C331" i="170"/>
  <c r="D335" i="170" s="1"/>
  <c r="C336" i="170"/>
  <c r="E336" i="170" s="1"/>
  <c r="C333" i="170"/>
  <c r="E333" i="170" s="1"/>
  <c r="C332" i="170"/>
  <c r="E332" i="170" s="1"/>
  <c r="C339" i="170"/>
  <c r="E339" i="170" s="1"/>
  <c r="C338" i="170"/>
  <c r="E338" i="170" s="1"/>
  <c r="C337" i="170"/>
  <c r="E337" i="170" s="1"/>
  <c r="W77" i="99"/>
  <c r="W21" i="101"/>
  <c r="O83" i="101"/>
  <c r="I98" i="170"/>
  <c r="K98" i="170" s="1"/>
  <c r="I92" i="170"/>
  <c r="K92" i="170" s="1"/>
  <c r="I96" i="170"/>
  <c r="K96" i="170" s="1"/>
  <c r="I99" i="170"/>
  <c r="K99" i="170" s="1"/>
  <c r="I97" i="170"/>
  <c r="K97" i="170" s="1"/>
  <c r="I94" i="170"/>
  <c r="K94" i="170" s="1"/>
  <c r="I91" i="170"/>
  <c r="J95" i="170" s="1"/>
  <c r="I93" i="170"/>
  <c r="K93" i="170" s="1"/>
  <c r="J47" i="101"/>
  <c r="C537" i="170"/>
  <c r="D541" i="170" s="1"/>
  <c r="C542" i="170"/>
  <c r="E542" i="170" s="1"/>
  <c r="C545" i="170"/>
  <c r="E545" i="170" s="1"/>
  <c r="C539" i="170"/>
  <c r="E539" i="170" s="1"/>
  <c r="C544" i="170"/>
  <c r="E544" i="170" s="1"/>
  <c r="C538" i="170"/>
  <c r="E538" i="170" s="1"/>
  <c r="C543" i="170"/>
  <c r="E543" i="170" s="1"/>
  <c r="F17" i="101"/>
  <c r="F83" i="101" s="1"/>
  <c r="E83" i="101"/>
  <c r="Q83" i="101"/>
  <c r="W17" i="101"/>
  <c r="I1853" i="170"/>
  <c r="K1853" i="170" s="1"/>
  <c r="I1857" i="170"/>
  <c r="K1857" i="170" s="1"/>
  <c r="I1858" i="170"/>
  <c r="K1858" i="170" s="1"/>
  <c r="K1848" i="170"/>
  <c r="I1851" i="170"/>
  <c r="K1851" i="170" s="1"/>
  <c r="I1852" i="170"/>
  <c r="K1852" i="170" s="1"/>
  <c r="I1850" i="170"/>
  <c r="J1854" i="170" s="1"/>
  <c r="I1855" i="170"/>
  <c r="K1855" i="170" s="1"/>
  <c r="I1856" i="170"/>
  <c r="K1856" i="170" s="1"/>
  <c r="W37" i="151"/>
  <c r="H35" i="132" s="1"/>
  <c r="E2195" i="170"/>
  <c r="E2419" i="170"/>
  <c r="K2211" i="170"/>
  <c r="L2211" i="170" s="1"/>
  <c r="K2323" i="170"/>
  <c r="L2323" i="170" s="1"/>
  <c r="M97" i="151"/>
  <c r="N97" i="151"/>
  <c r="M83" i="101"/>
  <c r="H86" i="132"/>
  <c r="W35" i="101"/>
  <c r="W66" i="101"/>
  <c r="W47" i="151"/>
  <c r="H45" i="132" s="1"/>
  <c r="W63" i="99"/>
  <c r="W41" i="151"/>
  <c r="H39" i="132" s="1"/>
  <c r="W22" i="101"/>
  <c r="E15" i="151"/>
  <c r="C7" i="170"/>
  <c r="E7" i="170" s="1"/>
  <c r="F16" i="151"/>
  <c r="F14" i="132" s="1"/>
  <c r="R97" i="99"/>
  <c r="M97" i="99"/>
  <c r="W27" i="99"/>
  <c r="C540" i="170"/>
  <c r="E540" i="170" s="1"/>
  <c r="I660" i="170"/>
  <c r="K660" i="170" s="1"/>
  <c r="W93" i="151"/>
  <c r="H91" i="132" s="1"/>
  <c r="W18" i="99"/>
  <c r="Q97" i="99"/>
  <c r="C451" i="170"/>
  <c r="D455" i="170" s="1"/>
  <c r="C458" i="170"/>
  <c r="E458" i="170" s="1"/>
  <c r="C454" i="170"/>
  <c r="E454" i="170" s="1"/>
  <c r="C456" i="170"/>
  <c r="E456" i="170" s="1"/>
  <c r="C459" i="170"/>
  <c r="E459" i="170" s="1"/>
  <c r="C457" i="170"/>
  <c r="E457" i="170" s="1"/>
  <c r="C453" i="170"/>
  <c r="E453" i="170" s="1"/>
  <c r="F56" i="132"/>
  <c r="H155" i="132"/>
  <c r="E2067" i="170"/>
  <c r="E2163" i="170"/>
  <c r="L2163" i="170" s="1"/>
  <c r="P97" i="99"/>
  <c r="K755" i="170"/>
  <c r="C452" i="170"/>
  <c r="E452" i="170" s="1"/>
  <c r="C572" i="170"/>
  <c r="E572" i="170" s="1"/>
  <c r="W49" i="151"/>
  <c r="N15" i="151"/>
  <c r="N163" i="151" s="1"/>
  <c r="W35" i="99"/>
  <c r="W38" i="99"/>
  <c r="N97" i="99"/>
  <c r="O97" i="99"/>
  <c r="F46" i="151"/>
  <c r="F44" i="132" s="1"/>
  <c r="C263" i="170"/>
  <c r="E263" i="170" s="1"/>
  <c r="F50" i="132"/>
  <c r="C526" i="170"/>
  <c r="E526" i="170" s="1"/>
  <c r="C529" i="170"/>
  <c r="E529" i="170" s="1"/>
  <c r="C522" i="170"/>
  <c r="E522" i="170" s="1"/>
  <c r="C521" i="170"/>
  <c r="D525" i="170" s="1"/>
  <c r="C527" i="170"/>
  <c r="E527" i="170" s="1"/>
  <c r="C524" i="170"/>
  <c r="E524" i="170" s="1"/>
  <c r="C523" i="170"/>
  <c r="E523" i="170" s="1"/>
  <c r="C528" i="170"/>
  <c r="E528" i="170" s="1"/>
  <c r="I75" i="170"/>
  <c r="K75" i="170" s="1"/>
  <c r="I74" i="170"/>
  <c r="J78" i="170" s="1"/>
  <c r="I81" i="170"/>
  <c r="K81" i="170" s="1"/>
  <c r="I80" i="170"/>
  <c r="K80" i="170" s="1"/>
  <c r="I79" i="170"/>
  <c r="K79" i="170" s="1"/>
  <c r="I76" i="170"/>
  <c r="K76" i="170" s="1"/>
  <c r="I82" i="170"/>
  <c r="K82" i="170" s="1"/>
  <c r="I77" i="170"/>
  <c r="K77" i="170" s="1"/>
  <c r="I210" i="170"/>
  <c r="J214" i="170" s="1"/>
  <c r="I215" i="170"/>
  <c r="K215" i="170" s="1"/>
  <c r="I217" i="170"/>
  <c r="K217" i="170" s="1"/>
  <c r="I211" i="170"/>
  <c r="K211" i="170" s="1"/>
  <c r="I213" i="170"/>
  <c r="K213" i="170" s="1"/>
  <c r="I216" i="170"/>
  <c r="K216" i="170" s="1"/>
  <c r="I212" i="170"/>
  <c r="K212" i="170" s="1"/>
  <c r="I218" i="170"/>
  <c r="K218" i="170" s="1"/>
  <c r="F54" i="132"/>
  <c r="I507" i="170"/>
  <c r="K507" i="170" s="1"/>
  <c r="W75" i="151"/>
  <c r="H73" i="132" s="1"/>
  <c r="C593" i="170"/>
  <c r="E593" i="170" s="1"/>
  <c r="C588" i="170"/>
  <c r="D592" i="170" s="1"/>
  <c r="C595" i="170"/>
  <c r="E595" i="170" s="1"/>
  <c r="C589" i="170"/>
  <c r="E589" i="170" s="1"/>
  <c r="C590" i="170"/>
  <c r="E590" i="170" s="1"/>
  <c r="C594" i="170"/>
  <c r="E594" i="170" s="1"/>
  <c r="C591" i="170"/>
  <c r="E591" i="170" s="1"/>
  <c r="C596" i="170"/>
  <c r="E596" i="170" s="1"/>
  <c r="W42" i="101"/>
  <c r="F105" i="151"/>
  <c r="F103" i="132" s="1"/>
  <c r="I1545" i="170"/>
  <c r="K1545" i="170" s="1"/>
  <c r="F104" i="132"/>
  <c r="H97" i="151"/>
  <c r="W113" i="151"/>
  <c r="H111" i="132" s="1"/>
  <c r="W116" i="151"/>
  <c r="H114" i="132" s="1"/>
  <c r="F119" i="151"/>
  <c r="F117" i="132" s="1"/>
  <c r="I1664" i="170"/>
  <c r="K1664" i="170" s="1"/>
  <c r="I1688" i="170"/>
  <c r="K1688" i="170" s="1"/>
  <c r="I1682" i="170"/>
  <c r="K1682" i="170" s="1"/>
  <c r="I1683" i="170"/>
  <c r="K1683" i="170" s="1"/>
  <c r="I1680" i="170"/>
  <c r="J1684" i="170" s="1"/>
  <c r="K1678" i="170"/>
  <c r="I1687" i="170"/>
  <c r="K1687" i="170" s="1"/>
  <c r="I1686" i="170"/>
  <c r="K1686" i="170" s="1"/>
  <c r="I1685" i="170"/>
  <c r="K1685" i="170" s="1"/>
  <c r="C1941" i="170"/>
  <c r="E1941" i="170" s="1"/>
  <c r="C1943" i="170"/>
  <c r="E1943" i="170" s="1"/>
  <c r="C1935" i="170"/>
  <c r="D1939" i="170" s="1"/>
  <c r="C1942" i="170"/>
  <c r="E1942" i="170" s="1"/>
  <c r="C1937" i="170"/>
  <c r="E1937" i="170" s="1"/>
  <c r="C1936" i="170"/>
  <c r="E1936" i="170" s="1"/>
  <c r="E1933" i="170"/>
  <c r="C504" i="170"/>
  <c r="D508" i="170" s="1"/>
  <c r="C506" i="170"/>
  <c r="E506" i="170" s="1"/>
  <c r="C505" i="170"/>
  <c r="E505" i="170" s="1"/>
  <c r="C512" i="170"/>
  <c r="E512" i="170" s="1"/>
  <c r="C510" i="170"/>
  <c r="E510" i="170" s="1"/>
  <c r="C511" i="170"/>
  <c r="E511" i="170" s="1"/>
  <c r="C507" i="170"/>
  <c r="E507" i="170" s="1"/>
  <c r="C509" i="170"/>
  <c r="E509" i="170" s="1"/>
  <c r="U92" i="9"/>
  <c r="C1918" i="170"/>
  <c r="D1922" i="170" s="1"/>
  <c r="C1921" i="170"/>
  <c r="E1921" i="170" s="1"/>
  <c r="C1925" i="170"/>
  <c r="E1925" i="170" s="1"/>
  <c r="E1916" i="170"/>
  <c r="C1926" i="170"/>
  <c r="E1926" i="170" s="1"/>
  <c r="C1919" i="170"/>
  <c r="E1919" i="170" s="1"/>
  <c r="C1920" i="170"/>
  <c r="E1920" i="170" s="1"/>
  <c r="I1771" i="170"/>
  <c r="K1771" i="170" s="1"/>
  <c r="K1763" i="170"/>
  <c r="I1770" i="170"/>
  <c r="K1770" i="170" s="1"/>
  <c r="I1772" i="170"/>
  <c r="K1772" i="170" s="1"/>
  <c r="I1768" i="170"/>
  <c r="K1768" i="170" s="1"/>
  <c r="I1766" i="170"/>
  <c r="K1766" i="170" s="1"/>
  <c r="I1767" i="170"/>
  <c r="K1767" i="170" s="1"/>
  <c r="I1765" i="170"/>
  <c r="J1769" i="170" s="1"/>
  <c r="I1773" i="170"/>
  <c r="K1773" i="170" s="1"/>
  <c r="I1530" i="170"/>
  <c r="K1530" i="170" s="1"/>
  <c r="C1938" i="170"/>
  <c r="E1938" i="170" s="1"/>
  <c r="C1924" i="170"/>
  <c r="E1924" i="170" s="1"/>
  <c r="C334" i="170"/>
  <c r="E334" i="170" s="1"/>
  <c r="C91" i="170"/>
  <c r="D95" i="170" s="1"/>
  <c r="C99" i="170"/>
  <c r="E99" i="170" s="1"/>
  <c r="C98" i="170"/>
  <c r="E98" i="170" s="1"/>
  <c r="C92" i="170"/>
  <c r="E92" i="170" s="1"/>
  <c r="C94" i="170"/>
  <c r="E94" i="170" s="1"/>
  <c r="P164" i="128"/>
  <c r="P171" i="128" s="1"/>
  <c r="W84" i="151"/>
  <c r="H82" i="132" s="1"/>
  <c r="W37" i="101"/>
  <c r="K83" i="101"/>
  <c r="K23" i="137"/>
  <c r="D19" i="79"/>
  <c r="D20" i="79" s="1"/>
  <c r="G26" i="79" s="1"/>
  <c r="J23" i="137"/>
  <c r="W70" i="99"/>
  <c r="C409" i="170"/>
  <c r="E409" i="170" s="1"/>
  <c r="C408" i="170"/>
  <c r="E408" i="170" s="1"/>
  <c r="C403" i="170"/>
  <c r="E403" i="170" s="1"/>
  <c r="C401" i="170"/>
  <c r="D405" i="170" s="1"/>
  <c r="C402" i="170"/>
  <c r="E402" i="170" s="1"/>
  <c r="C407" i="170"/>
  <c r="E407" i="170" s="1"/>
  <c r="C406" i="170"/>
  <c r="E406" i="170" s="1"/>
  <c r="C315" i="170"/>
  <c r="E315" i="170" s="1"/>
  <c r="C318" i="170"/>
  <c r="E318" i="170" s="1"/>
  <c r="C313" i="170"/>
  <c r="D317" i="170" s="1"/>
  <c r="C321" i="170"/>
  <c r="E321" i="170" s="1"/>
  <c r="C319" i="170"/>
  <c r="E319" i="170" s="1"/>
  <c r="C314" i="170"/>
  <c r="E314" i="170" s="1"/>
  <c r="C320" i="170"/>
  <c r="E320" i="170" s="1"/>
  <c r="C316" i="170"/>
  <c r="E316" i="170" s="1"/>
  <c r="W27" i="151"/>
  <c r="H25" i="132" s="1"/>
  <c r="W30" i="101"/>
  <c r="C1552" i="170"/>
  <c r="E1552" i="170" s="1"/>
  <c r="C1547" i="170"/>
  <c r="E1547" i="170" s="1"/>
  <c r="E1542" i="170"/>
  <c r="C1551" i="170"/>
  <c r="E1551" i="170" s="1"/>
  <c r="C1544" i="170"/>
  <c r="D1548" i="170" s="1"/>
  <c r="C1561" i="170"/>
  <c r="D1565" i="170" s="1"/>
  <c r="C1568" i="170"/>
  <c r="E1568" i="170" s="1"/>
  <c r="C1567" i="170"/>
  <c r="E1567" i="170" s="1"/>
  <c r="C1569" i="170"/>
  <c r="E1569" i="170" s="1"/>
  <c r="C1562" i="170"/>
  <c r="E1562" i="170" s="1"/>
  <c r="E1559" i="170"/>
  <c r="C1564" i="170"/>
  <c r="E1564" i="170" s="1"/>
  <c r="C1597" i="170"/>
  <c r="E1597" i="170" s="1"/>
  <c r="C1602" i="170"/>
  <c r="E1602" i="170" s="1"/>
  <c r="E1593" i="170"/>
  <c r="C1595" i="170"/>
  <c r="D1599" i="170" s="1"/>
  <c r="C1598" i="170"/>
  <c r="E1598" i="170" s="1"/>
  <c r="C1596" i="170"/>
  <c r="E1596" i="170" s="1"/>
  <c r="C1603" i="170"/>
  <c r="E1603" i="170" s="1"/>
  <c r="K1610" i="170"/>
  <c r="I1612" i="170"/>
  <c r="J1616" i="170" s="1"/>
  <c r="I1618" i="170"/>
  <c r="K1618" i="170" s="1"/>
  <c r="I1620" i="170"/>
  <c r="K1620" i="170" s="1"/>
  <c r="I1619" i="170"/>
  <c r="K1619" i="170" s="1"/>
  <c r="I1615" i="170"/>
  <c r="K1615" i="170" s="1"/>
  <c r="I1613" i="170"/>
  <c r="K1613" i="170" s="1"/>
  <c r="F114" i="132"/>
  <c r="F125" i="132"/>
  <c r="C2006" i="170"/>
  <c r="E2006" i="170" s="1"/>
  <c r="C2003" i="170"/>
  <c r="D2007" i="170" s="1"/>
  <c r="C2008" i="170"/>
  <c r="E2008" i="170" s="1"/>
  <c r="C2010" i="170"/>
  <c r="E2010" i="170" s="1"/>
  <c r="C2011" i="170"/>
  <c r="E2011" i="170" s="1"/>
  <c r="E2001" i="170"/>
  <c r="I149" i="170"/>
  <c r="K149" i="170" s="1"/>
  <c r="I144" i="170"/>
  <c r="K144" i="170" s="1"/>
  <c r="I143" i="170"/>
  <c r="K143" i="170" s="1"/>
  <c r="I147" i="170"/>
  <c r="K147" i="170" s="1"/>
  <c r="I148" i="170"/>
  <c r="K148" i="170" s="1"/>
  <c r="I150" i="170"/>
  <c r="K150" i="170" s="1"/>
  <c r="I145" i="170"/>
  <c r="K145" i="170" s="1"/>
  <c r="I142" i="170"/>
  <c r="J146" i="170" s="1"/>
  <c r="I96" i="151"/>
  <c r="I15" i="151" s="1"/>
  <c r="I163" i="151" s="1"/>
  <c r="I97" i="99"/>
  <c r="I30" i="170"/>
  <c r="K30" i="170" s="1"/>
  <c r="I25" i="170"/>
  <c r="K25" i="170" s="1"/>
  <c r="I24" i="170"/>
  <c r="K24" i="170" s="1"/>
  <c r="I23" i="170"/>
  <c r="J27" i="170" s="1"/>
  <c r="I28" i="170"/>
  <c r="K28" i="170" s="1"/>
  <c r="I31" i="170"/>
  <c r="K31" i="170" s="1"/>
  <c r="I29" i="170"/>
  <c r="K29" i="170" s="1"/>
  <c r="F43" i="132"/>
  <c r="I1533" i="170"/>
  <c r="K1533" i="170" s="1"/>
  <c r="W27" i="101"/>
  <c r="W62" i="101"/>
  <c r="I1902" i="170"/>
  <c r="K1902" i="170" s="1"/>
  <c r="I1907" i="170"/>
  <c r="K1907" i="170" s="1"/>
  <c r="I1908" i="170"/>
  <c r="K1908" i="170" s="1"/>
  <c r="I1909" i="170"/>
  <c r="K1909" i="170" s="1"/>
  <c r="I1901" i="170"/>
  <c r="J1905" i="170" s="1"/>
  <c r="K1899" i="170"/>
  <c r="H83" i="101"/>
  <c r="C1563" i="170"/>
  <c r="E1563" i="170" s="1"/>
  <c r="J132" i="151"/>
  <c r="C1786" i="170" s="1"/>
  <c r="E1786" i="170" s="1"/>
  <c r="Q158" i="9"/>
  <c r="AG139" i="9"/>
  <c r="AF82" i="9"/>
  <c r="AF28" i="9"/>
  <c r="AG20" i="9"/>
  <c r="AG21" i="9" s="1"/>
  <c r="AG22" i="9" s="1"/>
  <c r="T4" i="9"/>
  <c r="AI18" i="9"/>
  <c r="AG9" i="9"/>
  <c r="AI8" i="9"/>
  <c r="W81" i="151"/>
  <c r="H79" i="132" s="1"/>
  <c r="W24" i="101"/>
  <c r="C1853" i="170"/>
  <c r="E1853" i="170" s="1"/>
  <c r="W140" i="151"/>
  <c r="H138" i="132" s="1"/>
  <c r="J110" i="151"/>
  <c r="C1599" i="170" s="1"/>
  <c r="I1614" i="170"/>
  <c r="K1614" i="170" s="1"/>
  <c r="J159" i="151"/>
  <c r="I2007" i="170" s="1"/>
  <c r="C1600" i="170"/>
  <c r="E1600" i="170" s="1"/>
  <c r="C97" i="170"/>
  <c r="E97" i="170" s="1"/>
  <c r="J146" i="151"/>
  <c r="C1905" i="170" s="1"/>
  <c r="I1906" i="170"/>
  <c r="K1906" i="170" s="1"/>
  <c r="F97" i="132"/>
  <c r="I557" i="170"/>
  <c r="K557" i="170" s="1"/>
  <c r="J148" i="151"/>
  <c r="C1922" i="170" s="1"/>
  <c r="C436" i="170"/>
  <c r="E436" i="170" s="1"/>
  <c r="E1077" i="170"/>
  <c r="L1077" i="170" s="1"/>
  <c r="K2580" i="170"/>
  <c r="W78" i="151"/>
  <c r="H76" i="132" s="1"/>
  <c r="C628" i="170"/>
  <c r="E628" i="170" s="1"/>
  <c r="C624" i="170"/>
  <c r="E624" i="170" s="1"/>
  <c r="C623" i="170"/>
  <c r="E623" i="170" s="1"/>
  <c r="C627" i="170"/>
  <c r="E627" i="170" s="1"/>
  <c r="C625" i="170"/>
  <c r="E625" i="170" s="1"/>
  <c r="C630" i="170"/>
  <c r="E630" i="170" s="1"/>
  <c r="C629" i="170"/>
  <c r="E629" i="170" s="1"/>
  <c r="C622" i="170"/>
  <c r="D626" i="170" s="1"/>
  <c r="W73" i="101"/>
  <c r="C82" i="170"/>
  <c r="E82" i="170" s="1"/>
  <c r="C81" i="170"/>
  <c r="E81" i="170" s="1"/>
  <c r="C76" i="170"/>
  <c r="E76" i="170" s="1"/>
  <c r="C74" i="170"/>
  <c r="D78" i="170" s="1"/>
  <c r="C75" i="170"/>
  <c r="E75" i="170" s="1"/>
  <c r="W61" i="99"/>
  <c r="W131" i="151"/>
  <c r="H129" i="132" s="1"/>
  <c r="W19" i="151"/>
  <c r="H17" i="132" s="1"/>
  <c r="F35" i="132"/>
  <c r="W41" i="101"/>
  <c r="C646" i="170"/>
  <c r="E646" i="170" s="1"/>
  <c r="C641" i="170"/>
  <c r="E641" i="170" s="1"/>
  <c r="C645" i="170"/>
  <c r="E645" i="170" s="1"/>
  <c r="C648" i="170"/>
  <c r="E648" i="170" s="1"/>
  <c r="C642" i="170"/>
  <c r="E642" i="170" s="1"/>
  <c r="C647" i="170"/>
  <c r="E647" i="170" s="1"/>
  <c r="C643" i="170"/>
  <c r="E643" i="170" s="1"/>
  <c r="C640" i="170"/>
  <c r="D644" i="170" s="1"/>
  <c r="K97" i="151"/>
  <c r="J183" i="151" s="1"/>
  <c r="W18" i="101"/>
  <c r="W19" i="99"/>
  <c r="E20" i="154"/>
  <c r="J184" i="151"/>
  <c r="L184" i="151" s="1"/>
  <c r="F89" i="132"/>
  <c r="I640" i="170"/>
  <c r="J644" i="170" s="1"/>
  <c r="I646" i="170"/>
  <c r="K646" i="170" s="1"/>
  <c r="I647" i="170"/>
  <c r="K647" i="170" s="1"/>
  <c r="I643" i="170"/>
  <c r="K643" i="170" s="1"/>
  <c r="I648" i="170"/>
  <c r="K648" i="170" s="1"/>
  <c r="I645" i="170"/>
  <c r="K645" i="170" s="1"/>
  <c r="I641" i="170"/>
  <c r="K641" i="170" s="1"/>
  <c r="I642" i="170"/>
  <c r="K642" i="170" s="1"/>
  <c r="W34" i="101"/>
  <c r="C1630" i="170"/>
  <c r="E1630" i="170" s="1"/>
  <c r="C1629" i="170"/>
  <c r="D1633" i="170" s="1"/>
  <c r="E1627" i="170"/>
  <c r="C1636" i="170"/>
  <c r="E1636" i="170" s="1"/>
  <c r="C1637" i="170"/>
  <c r="E1637" i="170" s="1"/>
  <c r="C1632" i="170"/>
  <c r="E1632" i="170" s="1"/>
  <c r="C1652" i="170"/>
  <c r="E1652" i="170" s="1"/>
  <c r="C1646" i="170"/>
  <c r="D1650" i="170" s="1"/>
  <c r="C1648" i="170"/>
  <c r="E1648" i="170" s="1"/>
  <c r="C1654" i="170"/>
  <c r="E1654" i="170" s="1"/>
  <c r="C1653" i="170"/>
  <c r="E1653" i="170" s="1"/>
  <c r="C1649" i="170"/>
  <c r="E1649" i="170" s="1"/>
  <c r="C1647" i="170"/>
  <c r="E1647" i="170" s="1"/>
  <c r="E1644" i="170"/>
  <c r="F122" i="132"/>
  <c r="I1731" i="170"/>
  <c r="J1735" i="170" s="1"/>
  <c r="I1739" i="170"/>
  <c r="K1739" i="170" s="1"/>
  <c r="I1734" i="170"/>
  <c r="K1734" i="170" s="1"/>
  <c r="I1737" i="170"/>
  <c r="K1737" i="170" s="1"/>
  <c r="I1738" i="170"/>
  <c r="K1738" i="170" s="1"/>
  <c r="I1733" i="170"/>
  <c r="K1733" i="170" s="1"/>
  <c r="K1729" i="170"/>
  <c r="I1732" i="170"/>
  <c r="K1732" i="170" s="1"/>
  <c r="C1749" i="170"/>
  <c r="E1749" i="170" s="1"/>
  <c r="C1755" i="170"/>
  <c r="E1755" i="170" s="1"/>
  <c r="C1748" i="170"/>
  <c r="D1752" i="170" s="1"/>
  <c r="E1746" i="170"/>
  <c r="C1756" i="170"/>
  <c r="E1756" i="170" s="1"/>
  <c r="W32" i="101"/>
  <c r="F72" i="132"/>
  <c r="W71" i="151"/>
  <c r="H69" i="132" s="1"/>
  <c r="C77" i="170"/>
  <c r="E77" i="170" s="1"/>
  <c r="W59" i="99"/>
  <c r="I494" i="170"/>
  <c r="K494" i="170" s="1"/>
  <c r="I487" i="170"/>
  <c r="J491" i="170" s="1"/>
  <c r="I495" i="170"/>
  <c r="K495" i="170" s="1"/>
  <c r="I235" i="170"/>
  <c r="K235" i="170" s="1"/>
  <c r="I234" i="170"/>
  <c r="K234" i="170" s="1"/>
  <c r="I229" i="170"/>
  <c r="K229" i="170" s="1"/>
  <c r="I236" i="170"/>
  <c r="K236" i="170" s="1"/>
  <c r="I228" i="170"/>
  <c r="J232" i="170" s="1"/>
  <c r="I230" i="170"/>
  <c r="K230" i="170" s="1"/>
  <c r="I231" i="170"/>
  <c r="K231" i="170" s="1"/>
  <c r="F17" i="132"/>
  <c r="W51" i="99"/>
  <c r="I252" i="170"/>
  <c r="K252" i="170" s="1"/>
  <c r="I253" i="170"/>
  <c r="K253" i="170" s="1"/>
  <c r="I248" i="170"/>
  <c r="K248" i="170" s="1"/>
  <c r="I251" i="170"/>
  <c r="K251" i="170" s="1"/>
  <c r="I246" i="170"/>
  <c r="K246" i="170" s="1"/>
  <c r="I245" i="170"/>
  <c r="J249" i="170" s="1"/>
  <c r="I250" i="170"/>
  <c r="K250" i="170" s="1"/>
  <c r="I247" i="170"/>
  <c r="K247" i="170" s="1"/>
  <c r="W31" i="101"/>
  <c r="F157" i="132"/>
  <c r="P83" i="101"/>
  <c r="I492" i="170"/>
  <c r="K492" i="170" s="1"/>
  <c r="I1617" i="170"/>
  <c r="K1617" i="170" s="1"/>
  <c r="AC10" i="9"/>
  <c r="AC9" i="9" s="1"/>
  <c r="AC158" i="9" s="1"/>
  <c r="F33" i="132"/>
  <c r="I166" i="170"/>
  <c r="K166" i="170" s="1"/>
  <c r="I160" i="170"/>
  <c r="K160" i="170" s="1"/>
  <c r="I167" i="170"/>
  <c r="K167" i="170" s="1"/>
  <c r="I159" i="170"/>
  <c r="J163" i="170" s="1"/>
  <c r="I164" i="170"/>
  <c r="K164" i="170" s="1"/>
  <c r="I161" i="170"/>
  <c r="K161" i="170" s="1"/>
  <c r="I443" i="170"/>
  <c r="K443" i="170" s="1"/>
  <c r="I435" i="170"/>
  <c r="J439" i="170" s="1"/>
  <c r="I442" i="170"/>
  <c r="K442" i="170" s="1"/>
  <c r="I437" i="170"/>
  <c r="K437" i="170" s="1"/>
  <c r="I436" i="170"/>
  <c r="K436" i="170" s="1"/>
  <c r="I440" i="170"/>
  <c r="K440" i="170" s="1"/>
  <c r="W22" i="99"/>
  <c r="C1907" i="170"/>
  <c r="E1907" i="170" s="1"/>
  <c r="J147" i="151"/>
  <c r="I1905" i="170" s="1"/>
  <c r="C2005" i="170"/>
  <c r="E2005" i="170" s="1"/>
  <c r="I193" i="170"/>
  <c r="J197" i="170" s="1"/>
  <c r="I199" i="170"/>
  <c r="K199" i="170" s="1"/>
  <c r="I196" i="170"/>
  <c r="K196" i="170" s="1"/>
  <c r="I194" i="170"/>
  <c r="K194" i="170" s="1"/>
  <c r="I198" i="170"/>
  <c r="K198" i="170" s="1"/>
  <c r="I201" i="170"/>
  <c r="K201" i="170" s="1"/>
  <c r="I195" i="170"/>
  <c r="K195" i="170" s="1"/>
  <c r="I200" i="170"/>
  <c r="K200" i="170" s="1"/>
  <c r="W58" i="101"/>
  <c r="O34" i="135"/>
  <c r="J135" i="151"/>
  <c r="I1803" i="170" s="1"/>
  <c r="K1803" i="170" s="1"/>
  <c r="K1812" i="170" s="1"/>
  <c r="W57" i="101"/>
  <c r="C1751" i="170"/>
  <c r="E1751" i="170" s="1"/>
  <c r="C79" i="170"/>
  <c r="E79" i="170" s="1"/>
  <c r="J120" i="151"/>
  <c r="C1684" i="170" s="1"/>
  <c r="U95" i="99"/>
  <c r="J129" i="151"/>
  <c r="I1752" i="170" s="1"/>
  <c r="K1752" i="170" s="1"/>
  <c r="K1761" i="170" s="1"/>
  <c r="C1753" i="170"/>
  <c r="E1753" i="170" s="1"/>
  <c r="I1493" i="170"/>
  <c r="J1497" i="170" s="1"/>
  <c r="K1491" i="170"/>
  <c r="I1494" i="170"/>
  <c r="K1494" i="170" s="1"/>
  <c r="I1501" i="170"/>
  <c r="K1501" i="170" s="1"/>
  <c r="I1499" i="170"/>
  <c r="K1499" i="170" s="1"/>
  <c r="I1500" i="170"/>
  <c r="K1500" i="170" s="1"/>
  <c r="I1496" i="170"/>
  <c r="K1496" i="170" s="1"/>
  <c r="C1510" i="170"/>
  <c r="D1514" i="170" s="1"/>
  <c r="C1517" i="170"/>
  <c r="E1517" i="170" s="1"/>
  <c r="E1508" i="170"/>
  <c r="C1518" i="170"/>
  <c r="E1518" i="170" s="1"/>
  <c r="I1513" i="170"/>
  <c r="K1513" i="170" s="1"/>
  <c r="J102" i="151"/>
  <c r="C1531" i="170" s="1"/>
  <c r="E1531" i="170" s="1"/>
  <c r="W69" i="101"/>
  <c r="I26" i="170"/>
  <c r="K26" i="170" s="1"/>
  <c r="J111" i="151"/>
  <c r="I1599" i="170" s="1"/>
  <c r="K1599" i="170" s="1"/>
  <c r="K1608" i="170" s="1"/>
  <c r="K1230" i="170"/>
  <c r="E907" i="170"/>
  <c r="L907" i="170" s="1"/>
  <c r="K1179" i="170"/>
  <c r="K2467" i="170"/>
  <c r="L2467" i="170" s="1"/>
  <c r="E2499" i="170"/>
  <c r="K2531" i="170"/>
  <c r="E992" i="170"/>
  <c r="AE8" i="151"/>
  <c r="J86" i="151" s="1"/>
  <c r="C609" i="170" s="1"/>
  <c r="AB10" i="99"/>
  <c r="AK161" i="128"/>
  <c r="F45" i="132"/>
  <c r="W88" i="99"/>
  <c r="W49" i="99"/>
  <c r="I48" i="170"/>
  <c r="K48" i="170" s="1"/>
  <c r="I45" i="170"/>
  <c r="K45" i="170" s="1"/>
  <c r="I46" i="170"/>
  <c r="K46" i="170" s="1"/>
  <c r="I40" i="170"/>
  <c r="J44" i="170" s="1"/>
  <c r="I47" i="170"/>
  <c r="K47" i="170" s="1"/>
  <c r="I43" i="170"/>
  <c r="K43" i="170" s="1"/>
  <c r="I42" i="170"/>
  <c r="K42" i="170" s="1"/>
  <c r="I41" i="170"/>
  <c r="K41" i="170" s="1"/>
  <c r="C304" i="170"/>
  <c r="E304" i="170" s="1"/>
  <c r="C302" i="170"/>
  <c r="E302" i="170" s="1"/>
  <c r="C296" i="170"/>
  <c r="D300" i="170" s="1"/>
  <c r="C301" i="170"/>
  <c r="E301" i="170" s="1"/>
  <c r="C297" i="170"/>
  <c r="E297" i="170" s="1"/>
  <c r="C303" i="170"/>
  <c r="E303" i="170" s="1"/>
  <c r="C299" i="170"/>
  <c r="E299" i="170" s="1"/>
  <c r="C298" i="170"/>
  <c r="E298" i="170" s="1"/>
  <c r="C561" i="170"/>
  <c r="E561" i="170" s="1"/>
  <c r="C559" i="170"/>
  <c r="E559" i="170" s="1"/>
  <c r="C562" i="170"/>
  <c r="E562" i="170" s="1"/>
  <c r="C555" i="170"/>
  <c r="E555" i="170" s="1"/>
  <c r="C560" i="170"/>
  <c r="E560" i="170" s="1"/>
  <c r="C557" i="170"/>
  <c r="E557" i="170" s="1"/>
  <c r="C556" i="170"/>
  <c r="E556" i="170" s="1"/>
  <c r="C554" i="170"/>
  <c r="D558" i="170" s="1"/>
  <c r="J157" i="151"/>
  <c r="I1990" i="170" s="1"/>
  <c r="J125" i="151"/>
  <c r="I1718" i="170" s="1"/>
  <c r="K1718" i="170" s="1"/>
  <c r="K1727" i="170" s="1"/>
  <c r="J143" i="151"/>
  <c r="I1871" i="170" s="1"/>
  <c r="K1871" i="170" s="1"/>
  <c r="J139" i="151"/>
  <c r="I1837" i="170" s="1"/>
  <c r="K1837" i="170" s="1"/>
  <c r="K1846" i="170" s="1"/>
  <c r="J118" i="151"/>
  <c r="C1667" i="170" s="1"/>
  <c r="E1667" i="170" s="1"/>
  <c r="E1676" i="170" s="1"/>
  <c r="J112" i="151"/>
  <c r="C1616" i="170" s="1"/>
  <c r="E1616" i="170" s="1"/>
  <c r="Z11" i="151"/>
  <c r="J130" i="151"/>
  <c r="C1769" i="170" s="1"/>
  <c r="E1769" i="170" s="1"/>
  <c r="E1778" i="170" s="1"/>
  <c r="J99" i="151"/>
  <c r="I1497" i="170" s="1"/>
  <c r="J140" i="151"/>
  <c r="C1854" i="170" s="1"/>
  <c r="E1854" i="170" s="1"/>
  <c r="J122" i="151"/>
  <c r="C1701" i="170" s="1"/>
  <c r="E1701" i="170" s="1"/>
  <c r="E1710" i="170" s="1"/>
  <c r="J151" i="151"/>
  <c r="I1939" i="170" s="1"/>
  <c r="K1939" i="170" s="1"/>
  <c r="J154" i="151"/>
  <c r="C1973" i="170" s="1"/>
  <c r="E1973" i="170" s="1"/>
  <c r="J103" i="151"/>
  <c r="I1531" i="170" s="1"/>
  <c r="J142" i="151"/>
  <c r="C1871" i="170" s="1"/>
  <c r="E1871" i="170" s="1"/>
  <c r="J138" i="151"/>
  <c r="C1837" i="170" s="1"/>
  <c r="E1837" i="170" s="1"/>
  <c r="J115" i="151"/>
  <c r="I1633" i="170" s="1"/>
  <c r="K1633" i="170" s="1"/>
  <c r="K1642" i="170" s="1"/>
  <c r="J150" i="151"/>
  <c r="C1939" i="170" s="1"/>
  <c r="J149" i="151"/>
  <c r="I1922" i="170" s="1"/>
  <c r="K1922" i="170" s="1"/>
  <c r="K1931" i="170" s="1"/>
  <c r="J141" i="151"/>
  <c r="I1854" i="170" s="1"/>
  <c r="J123" i="151"/>
  <c r="I1701" i="170" s="1"/>
  <c r="K1701" i="170" s="1"/>
  <c r="K1710" i="170" s="1"/>
  <c r="J114" i="151"/>
  <c r="C1633" i="170" s="1"/>
  <c r="J101" i="151"/>
  <c r="I1514" i="170" s="1"/>
  <c r="J108" i="151"/>
  <c r="C1582" i="170" s="1"/>
  <c r="E1582" i="170" s="1"/>
  <c r="E1591" i="170" s="1"/>
  <c r="W45" i="101"/>
  <c r="C1887" i="170"/>
  <c r="E1887" i="170" s="1"/>
  <c r="E1882" i="170"/>
  <c r="C1886" i="170"/>
  <c r="E1886" i="170" s="1"/>
  <c r="C1885" i="170"/>
  <c r="E1885" i="170" s="1"/>
  <c r="C1892" i="170"/>
  <c r="E1892" i="170" s="1"/>
  <c r="C1891" i="170"/>
  <c r="E1891" i="170" s="1"/>
  <c r="C1884" i="170"/>
  <c r="D1888" i="170" s="1"/>
  <c r="F88" i="132"/>
  <c r="W39" i="101"/>
  <c r="E97" i="151"/>
  <c r="E163" i="151" s="1"/>
  <c r="F98" i="151"/>
  <c r="A467" i="170"/>
  <c r="G467" i="170" s="1"/>
  <c r="A485" i="170" s="1"/>
  <c r="G485" i="170" s="1"/>
  <c r="A502" i="170" s="1"/>
  <c r="G502" i="170" s="1"/>
  <c r="A519" i="170" s="1"/>
  <c r="G519" i="170" s="1"/>
  <c r="A535" i="170" s="1"/>
  <c r="G535" i="170" s="1"/>
  <c r="A552" i="170" s="1"/>
  <c r="A449" i="170"/>
  <c r="G449" i="170" s="1"/>
  <c r="C80" i="170"/>
  <c r="E80" i="170" s="1"/>
  <c r="C1550" i="170"/>
  <c r="E1550" i="170" s="1"/>
  <c r="J144" i="151"/>
  <c r="C1888" i="170" s="1"/>
  <c r="W25" i="151"/>
  <c r="H23" i="132" s="1"/>
  <c r="W148" i="151"/>
  <c r="H146" i="132" s="1"/>
  <c r="F60" i="132"/>
  <c r="J96" i="151"/>
  <c r="X96" i="99"/>
  <c r="F74" i="132"/>
  <c r="I458" i="170"/>
  <c r="K458" i="170" s="1"/>
  <c r="I459" i="170"/>
  <c r="K459" i="170" s="1"/>
  <c r="I457" i="170"/>
  <c r="K457" i="170" s="1"/>
  <c r="I451" i="170"/>
  <c r="J455" i="170" s="1"/>
  <c r="I452" i="170"/>
  <c r="K452" i="170" s="1"/>
  <c r="I454" i="170"/>
  <c r="K454" i="170" s="1"/>
  <c r="I456" i="170"/>
  <c r="K456" i="170" s="1"/>
  <c r="F39" i="132"/>
  <c r="F82" i="132"/>
  <c r="W38" i="101"/>
  <c r="I1647" i="170"/>
  <c r="K1647" i="170" s="1"/>
  <c r="I1649" i="170"/>
  <c r="K1649" i="170" s="1"/>
  <c r="K1644" i="170"/>
  <c r="I1648" i="170"/>
  <c r="K1648" i="170" s="1"/>
  <c r="I1654" i="170"/>
  <c r="K1654" i="170" s="1"/>
  <c r="I1646" i="170"/>
  <c r="J1650" i="170" s="1"/>
  <c r="I1653" i="170"/>
  <c r="K1653" i="170" s="1"/>
  <c r="C1681" i="170"/>
  <c r="E1681" i="170" s="1"/>
  <c r="C1683" i="170"/>
  <c r="E1683" i="170" s="1"/>
  <c r="C1686" i="170"/>
  <c r="E1686" i="170" s="1"/>
  <c r="C1688" i="170"/>
  <c r="E1688" i="170" s="1"/>
  <c r="E1678" i="170"/>
  <c r="C1685" i="170"/>
  <c r="E1685" i="170" s="1"/>
  <c r="C1687" i="170"/>
  <c r="E1687" i="170" s="1"/>
  <c r="C1680" i="170"/>
  <c r="D1684" i="170" s="1"/>
  <c r="C1682" i="170"/>
  <c r="E1682" i="170" s="1"/>
  <c r="C1721" i="170"/>
  <c r="E1721" i="170" s="1"/>
  <c r="C1714" i="170"/>
  <c r="D1718" i="170" s="1"/>
  <c r="C1720" i="170"/>
  <c r="E1720" i="170" s="1"/>
  <c r="C1722" i="170"/>
  <c r="E1722" i="170" s="1"/>
  <c r="E1712" i="170"/>
  <c r="C1716" i="170"/>
  <c r="E1716" i="170" s="1"/>
  <c r="C1715" i="170"/>
  <c r="E1715" i="170" s="1"/>
  <c r="C1717" i="170"/>
  <c r="E1717" i="170" s="1"/>
  <c r="C1719" i="170"/>
  <c r="E1719" i="170" s="1"/>
  <c r="F129" i="132"/>
  <c r="C93" i="170"/>
  <c r="E93" i="170" s="1"/>
  <c r="W52" i="151"/>
  <c r="H50" i="132" s="1"/>
  <c r="I2011" i="170"/>
  <c r="K2011" i="170" s="1"/>
  <c r="I2006" i="170"/>
  <c r="K2006" i="170" s="1"/>
  <c r="K2001" i="170"/>
  <c r="I2004" i="170"/>
  <c r="K2004" i="170" s="1"/>
  <c r="I2003" i="170"/>
  <c r="J2007" i="170" s="1"/>
  <c r="I2008" i="170"/>
  <c r="K2008" i="170" s="1"/>
  <c r="I2010" i="170"/>
  <c r="K2010" i="170" s="1"/>
  <c r="R83" i="101"/>
  <c r="G83" i="101"/>
  <c r="C1631" i="170"/>
  <c r="E1631" i="170" s="1"/>
  <c r="I233" i="170"/>
  <c r="K233" i="170" s="1"/>
  <c r="C404" i="170"/>
  <c r="E404" i="170" s="1"/>
  <c r="J116" i="151"/>
  <c r="C1650" i="170" s="1"/>
  <c r="C1890" i="170"/>
  <c r="E1890" i="170" s="1"/>
  <c r="I165" i="170"/>
  <c r="K165" i="170" s="1"/>
  <c r="F65" i="132"/>
  <c r="C127" i="170"/>
  <c r="E127" i="170" s="1"/>
  <c r="W28" i="101"/>
  <c r="J109" i="151"/>
  <c r="I1582" i="170" s="1"/>
  <c r="K1582" i="170" s="1"/>
  <c r="K1591" i="170" s="1"/>
  <c r="I441" i="170"/>
  <c r="K441" i="170" s="1"/>
  <c r="J134" i="151"/>
  <c r="C1803" i="170" s="1"/>
  <c r="E1803" i="170" s="1"/>
  <c r="J153" i="151"/>
  <c r="I1956" i="170" s="1"/>
  <c r="K1956" i="170" s="1"/>
  <c r="K1965" i="170" s="1"/>
  <c r="J121" i="151"/>
  <c r="I1684" i="170" s="1"/>
  <c r="W39" i="151"/>
  <c r="H37" i="132" s="1"/>
  <c r="C368" i="170"/>
  <c r="E368" i="170" s="1"/>
  <c r="F69" i="132"/>
  <c r="F179" i="132"/>
  <c r="K161" i="132"/>
  <c r="K160" i="132" s="1"/>
  <c r="I493" i="170"/>
  <c r="K493" i="170" s="1"/>
  <c r="C1889" i="170"/>
  <c r="E1889" i="170" s="1"/>
  <c r="I1736" i="170"/>
  <c r="K1736" i="170" s="1"/>
  <c r="I1515" i="170"/>
  <c r="K1515" i="170" s="1"/>
  <c r="W48" i="101"/>
  <c r="I1991" i="170"/>
  <c r="K1991" i="170" s="1"/>
  <c r="I1988" i="170"/>
  <c r="K1988" i="170" s="1"/>
  <c r="G155" i="132"/>
  <c r="I1904" i="170"/>
  <c r="K1904" i="170" s="1"/>
  <c r="I1651" i="170"/>
  <c r="K1651" i="170" s="1"/>
  <c r="F91" i="132"/>
  <c r="I664" i="170"/>
  <c r="K664" i="170" s="1"/>
  <c r="I665" i="170"/>
  <c r="K665" i="170" s="1"/>
  <c r="I657" i="170"/>
  <c r="J661" i="170" s="1"/>
  <c r="J113" i="151"/>
  <c r="I1616" i="170" s="1"/>
  <c r="W94" i="99"/>
  <c r="H70" i="132"/>
  <c r="K1888" i="170"/>
  <c r="K2547" i="170"/>
  <c r="W89" i="99"/>
  <c r="X89" i="99" s="1"/>
  <c r="L1162" i="170"/>
  <c r="K2307" i="170"/>
  <c r="L2515" i="170"/>
  <c r="K1094" i="170"/>
  <c r="K1315" i="170"/>
  <c r="K2099" i="170"/>
  <c r="L2099" i="170" s="1"/>
  <c r="E1366" i="170"/>
  <c r="E1281" i="170"/>
  <c r="L1281" i="170" s="1"/>
  <c r="E1383" i="170"/>
  <c r="L1383" i="170" s="1"/>
  <c r="H128" i="132"/>
  <c r="K975" i="170"/>
  <c r="L975" i="170" s="1"/>
  <c r="E873" i="170"/>
  <c r="E2531" i="170"/>
  <c r="E1298" i="170"/>
  <c r="L1298" i="170" s="1"/>
  <c r="E1469" i="170"/>
  <c r="L1469" i="170" s="1"/>
  <c r="K2499" i="170"/>
  <c r="L2147" i="170"/>
  <c r="K2259" i="170"/>
  <c r="L2259" i="170" s="1"/>
  <c r="L1145" i="170"/>
  <c r="E839" i="170"/>
  <c r="L839" i="170" s="1"/>
  <c r="L1026" i="170"/>
  <c r="E2355" i="170"/>
  <c r="K2612" i="170"/>
  <c r="E924" i="170"/>
  <c r="L924" i="170" s="1"/>
  <c r="K890" i="170"/>
  <c r="K2131" i="170"/>
  <c r="L2131" i="170" s="1"/>
  <c r="E2339" i="170"/>
  <c r="L2339" i="170" s="1"/>
  <c r="E2275" i="170"/>
  <c r="E772" i="170"/>
  <c r="L772" i="170" s="1"/>
  <c r="E2451" i="170"/>
  <c r="L2451" i="170" s="1"/>
  <c r="K2403" i="170"/>
  <c r="L2403" i="170" s="1"/>
  <c r="E1196" i="170"/>
  <c r="L1196" i="170" s="1"/>
  <c r="E1417" i="170"/>
  <c r="L1417" i="170" s="1"/>
  <c r="L2291" i="170"/>
  <c r="K806" i="170"/>
  <c r="L806" i="170" s="1"/>
  <c r="K873" i="170"/>
  <c r="L873" i="170" s="1"/>
  <c r="E1230" i="170"/>
  <c r="K2355" i="170"/>
  <c r="E1434" i="170"/>
  <c r="L1434" i="170" s="1"/>
  <c r="E2307" i="170"/>
  <c r="E2547" i="170"/>
  <c r="K2275" i="170"/>
  <c r="L958" i="170"/>
  <c r="K2195" i="170"/>
  <c r="E941" i="170"/>
  <c r="L941" i="170" s="1"/>
  <c r="O35" i="135"/>
  <c r="E1486" i="170"/>
  <c r="E2050" i="170"/>
  <c r="L2050" i="170" s="1"/>
  <c r="E735" i="170"/>
  <c r="E2596" i="170"/>
  <c r="I159" i="132"/>
  <c r="E2612" i="170"/>
  <c r="K2033" i="170"/>
  <c r="L1213" i="170"/>
  <c r="L992" i="170"/>
  <c r="L2227" i="170"/>
  <c r="L2179" i="170"/>
  <c r="E2033" i="170"/>
  <c r="L1111" i="170"/>
  <c r="L2435" i="170"/>
  <c r="K2596" i="170"/>
  <c r="K2083" i="170"/>
  <c r="L2083" i="170" s="1"/>
  <c r="L1332" i="170"/>
  <c r="E2115" i="170"/>
  <c r="L2115" i="170" s="1"/>
  <c r="L1009" i="170"/>
  <c r="D23" i="154" l="1"/>
  <c r="H23" i="154" s="1"/>
  <c r="D23" i="177"/>
  <c r="D28" i="154"/>
  <c r="H28" i="154" s="1"/>
  <c r="D28" i="177"/>
  <c r="D30" i="154"/>
  <c r="G30" i="154" s="1"/>
  <c r="D30" i="177"/>
  <c r="G30" i="177" s="1"/>
  <c r="W110" i="99"/>
  <c r="AB77" i="101"/>
  <c r="Z107" i="99" s="1"/>
  <c r="W91" i="101"/>
  <c r="E1999" i="170"/>
  <c r="E1625" i="170"/>
  <c r="K1514" i="170"/>
  <c r="K1523" i="170" s="1"/>
  <c r="L2067" i="170"/>
  <c r="M2609" i="170" s="1"/>
  <c r="O2611" i="170" s="1"/>
  <c r="L2387" i="170"/>
  <c r="L2195" i="170"/>
  <c r="L890" i="170"/>
  <c r="L1315" i="170"/>
  <c r="L1094" i="170"/>
  <c r="L1179" i="170"/>
  <c r="L755" i="170"/>
  <c r="M1489" i="170" s="1"/>
  <c r="O1489" i="170" s="1"/>
  <c r="E1565" i="170"/>
  <c r="E1574" i="170" s="1"/>
  <c r="L1574" i="170" s="1"/>
  <c r="K1854" i="170"/>
  <c r="K1863" i="170" s="1"/>
  <c r="L2419" i="170"/>
  <c r="L1264" i="170"/>
  <c r="X54" i="101"/>
  <c r="E1812" i="170"/>
  <c r="L1812" i="170" s="1"/>
  <c r="E1846" i="170"/>
  <c r="K1948" i="170"/>
  <c r="E1905" i="170"/>
  <c r="E1914" i="170" s="1"/>
  <c r="K1684" i="170"/>
  <c r="K1693" i="170" s="1"/>
  <c r="K1880" i="170"/>
  <c r="K1990" i="170"/>
  <c r="K1999" i="170" s="1"/>
  <c r="E1939" i="170"/>
  <c r="E1948" i="170" s="1"/>
  <c r="K1769" i="170"/>
  <c r="K1778" i="170" s="1"/>
  <c r="L1778" i="170" s="1"/>
  <c r="K1616" i="170"/>
  <c r="K1625" i="170" s="1"/>
  <c r="L1625" i="170" s="1"/>
  <c r="E1633" i="170"/>
  <c r="E1642" i="170" s="1"/>
  <c r="L1642" i="170" s="1"/>
  <c r="K1905" i="170"/>
  <c r="K1914" i="170" s="1"/>
  <c r="E1982" i="170"/>
  <c r="L1982" i="170" s="1"/>
  <c r="L2580" i="170"/>
  <c r="E1718" i="170"/>
  <c r="E1727" i="170" s="1"/>
  <c r="L1727" i="170" s="1"/>
  <c r="X61" i="101"/>
  <c r="K1735" i="170"/>
  <c r="K1744" i="170" s="1"/>
  <c r="L1744" i="170" s="1"/>
  <c r="L2531" i="170"/>
  <c r="X25" i="101"/>
  <c r="E2007" i="170"/>
  <c r="E2016" i="170" s="1"/>
  <c r="F15" i="151"/>
  <c r="X52" i="101"/>
  <c r="L2547" i="170"/>
  <c r="L735" i="170"/>
  <c r="K1497" i="170"/>
  <c r="K1506" i="170" s="1"/>
  <c r="K1650" i="170"/>
  <c r="K1659" i="170" s="1"/>
  <c r="E1922" i="170"/>
  <c r="E1931" i="170" s="1"/>
  <c r="L1931" i="170" s="1"/>
  <c r="E1795" i="170"/>
  <c r="L1795" i="170" s="1"/>
  <c r="X55" i="101"/>
  <c r="X22" i="101"/>
  <c r="W95" i="99"/>
  <c r="F188" i="99"/>
  <c r="L1486" i="170"/>
  <c r="X30" i="101"/>
  <c r="X73" i="101"/>
  <c r="E1514" i="170"/>
  <c r="E1523" i="170" s="1"/>
  <c r="T97" i="99"/>
  <c r="E1752" i="170"/>
  <c r="E1761" i="170" s="1"/>
  <c r="L1761" i="170" s="1"/>
  <c r="X50" i="101"/>
  <c r="U9" i="9"/>
  <c r="U158" i="9" s="1"/>
  <c r="E609" i="170"/>
  <c r="E618" i="170" s="1"/>
  <c r="R163" i="151"/>
  <c r="X42" i="101"/>
  <c r="X59" i="101"/>
  <c r="X44" i="101"/>
  <c r="X63" i="101"/>
  <c r="X40" i="101"/>
  <c r="X70" i="101"/>
  <c r="X56" i="101"/>
  <c r="L2355" i="170"/>
  <c r="J49" i="151"/>
  <c r="I283" i="170" s="1"/>
  <c r="K283" i="170" s="1"/>
  <c r="K292" i="170" s="1"/>
  <c r="X29" i="101"/>
  <c r="X24" i="101"/>
  <c r="X53" i="101"/>
  <c r="X72" i="101"/>
  <c r="L78" i="101"/>
  <c r="X78" i="101" s="1"/>
  <c r="X58" i="101"/>
  <c r="L1230" i="170"/>
  <c r="L2499" i="170"/>
  <c r="E1650" i="170"/>
  <c r="E1659" i="170" s="1"/>
  <c r="X28" i="101"/>
  <c r="X23" i="101"/>
  <c r="X64" i="101"/>
  <c r="X20" i="101"/>
  <c r="X66" i="101"/>
  <c r="J93" i="151"/>
  <c r="I661" i="170" s="1"/>
  <c r="K661" i="170" s="1"/>
  <c r="K670" i="170" s="1"/>
  <c r="X36" i="101"/>
  <c r="X74" i="101"/>
  <c r="E1599" i="170"/>
  <c r="E1608" i="170" s="1"/>
  <c r="L1608" i="170" s="1"/>
  <c r="X49" i="101"/>
  <c r="X39" i="101"/>
  <c r="X71" i="101"/>
  <c r="X21" i="101"/>
  <c r="W83" i="101"/>
  <c r="X60" i="101"/>
  <c r="X157" i="151"/>
  <c r="Z157" i="151" s="1"/>
  <c r="K155" i="132" s="1"/>
  <c r="M155" i="132" s="1"/>
  <c r="L2307" i="170"/>
  <c r="L1366" i="170"/>
  <c r="X69" i="101"/>
  <c r="X31" i="101"/>
  <c r="X27" i="101"/>
  <c r="X51" i="101"/>
  <c r="E1888" i="170"/>
  <c r="E1897" i="170" s="1"/>
  <c r="X19" i="101"/>
  <c r="K1531" i="170"/>
  <c r="K1540" i="170" s="1"/>
  <c r="X17" i="101"/>
  <c r="X33" i="101"/>
  <c r="X57" i="101"/>
  <c r="X48" i="101"/>
  <c r="X62" i="101"/>
  <c r="X67" i="101"/>
  <c r="X38" i="101"/>
  <c r="X76" i="101"/>
  <c r="E1548" i="170"/>
  <c r="E1557" i="170" s="1"/>
  <c r="X18" i="101"/>
  <c r="X43" i="101"/>
  <c r="M163" i="151"/>
  <c r="O163" i="151"/>
  <c r="W97" i="151"/>
  <c r="K1676" i="170"/>
  <c r="L1676" i="170" s="1"/>
  <c r="X32" i="101"/>
  <c r="E1880" i="170"/>
  <c r="K1897" i="170"/>
  <c r="E1540" i="170"/>
  <c r="K1557" i="170"/>
  <c r="E1506" i="170"/>
  <c r="W93" i="99"/>
  <c r="U97" i="99"/>
  <c r="G23" i="154"/>
  <c r="G28" i="154"/>
  <c r="I155" i="132"/>
  <c r="Q163" i="151"/>
  <c r="W15" i="151"/>
  <c r="J97" i="151"/>
  <c r="G138" i="132"/>
  <c r="I138" i="132" s="1"/>
  <c r="X140" i="151"/>
  <c r="Z140" i="151" s="1"/>
  <c r="F97" i="151"/>
  <c r="F96" i="132"/>
  <c r="F95" i="132" s="1"/>
  <c r="J16" i="99"/>
  <c r="J92" i="99"/>
  <c r="J18" i="99"/>
  <c r="J83" i="99"/>
  <c r="J78" i="99"/>
  <c r="Z12" i="99"/>
  <c r="J37" i="99"/>
  <c r="J31" i="99"/>
  <c r="J64" i="99"/>
  <c r="J53" i="99"/>
  <c r="J93" i="99"/>
  <c r="J51" i="99"/>
  <c r="J32" i="99"/>
  <c r="J22" i="99"/>
  <c r="J74" i="99"/>
  <c r="J29" i="99"/>
  <c r="J49" i="99"/>
  <c r="J71" i="99"/>
  <c r="J81" i="99"/>
  <c r="J27" i="99"/>
  <c r="J55" i="99"/>
  <c r="J52" i="99"/>
  <c r="J61" i="99"/>
  <c r="J25" i="99"/>
  <c r="J89" i="99"/>
  <c r="J66" i="99"/>
  <c r="J50" i="99"/>
  <c r="J82" i="99"/>
  <c r="J58" i="99"/>
  <c r="J91" i="99"/>
  <c r="J72" i="99"/>
  <c r="J40" i="99"/>
  <c r="J67" i="99"/>
  <c r="J80" i="99"/>
  <c r="J56" i="99"/>
  <c r="J21" i="99"/>
  <c r="J28" i="99"/>
  <c r="J69" i="99"/>
  <c r="J48" i="99"/>
  <c r="J73" i="99"/>
  <c r="J65" i="99"/>
  <c r="J54" i="99"/>
  <c r="J63" i="99"/>
  <c r="J62" i="99"/>
  <c r="J34" i="99"/>
  <c r="J68" i="99"/>
  <c r="J30" i="99"/>
  <c r="J95" i="99"/>
  <c r="J77" i="99"/>
  <c r="J47" i="99"/>
  <c r="J59" i="99"/>
  <c r="J39" i="99"/>
  <c r="J90" i="99"/>
  <c r="J88" i="99"/>
  <c r="J45" i="99"/>
  <c r="J57" i="99"/>
  <c r="J41" i="99"/>
  <c r="J26" i="99"/>
  <c r="J76" i="99"/>
  <c r="J19" i="99"/>
  <c r="J79" i="99"/>
  <c r="J17" i="99"/>
  <c r="J60" i="99"/>
  <c r="J44" i="99"/>
  <c r="J20" i="99"/>
  <c r="J75" i="99"/>
  <c r="J33" i="99"/>
  <c r="J94" i="99"/>
  <c r="J84" i="99"/>
  <c r="J70" i="99"/>
  <c r="J24" i="99"/>
  <c r="J46" i="99"/>
  <c r="J23" i="99"/>
  <c r="J35" i="99"/>
  <c r="J36" i="99"/>
  <c r="J86" i="99"/>
  <c r="J87" i="99"/>
  <c r="J85" i="99"/>
  <c r="J43" i="99"/>
  <c r="J38" i="99"/>
  <c r="J42" i="99"/>
  <c r="U166" i="128"/>
  <c r="U168" i="128"/>
  <c r="U167" i="128"/>
  <c r="U165" i="128"/>
  <c r="U170" i="128"/>
  <c r="U169" i="128" s="1"/>
  <c r="X75" i="101"/>
  <c r="L77" i="101"/>
  <c r="X77" i="101" s="1"/>
  <c r="X46" i="101"/>
  <c r="J87" i="151"/>
  <c r="I609" i="170" s="1"/>
  <c r="K609" i="170" s="1"/>
  <c r="K618" i="170" s="1"/>
  <c r="J16" i="151"/>
  <c r="J81" i="151"/>
  <c r="I558" i="170" s="1"/>
  <c r="K558" i="170" s="1"/>
  <c r="K567" i="170" s="1"/>
  <c r="J36" i="151"/>
  <c r="C180" i="170" s="1"/>
  <c r="E180" i="170" s="1"/>
  <c r="E189" i="170" s="1"/>
  <c r="J42" i="151"/>
  <c r="C232" i="170" s="1"/>
  <c r="E232" i="170" s="1"/>
  <c r="E241" i="170" s="1"/>
  <c r="J94" i="151"/>
  <c r="C678" i="170" s="1"/>
  <c r="E678" i="170" s="1"/>
  <c r="E687" i="170" s="1"/>
  <c r="J33" i="151"/>
  <c r="I146" i="170" s="1"/>
  <c r="K146" i="170" s="1"/>
  <c r="K155" i="170" s="1"/>
  <c r="J38" i="151"/>
  <c r="C197" i="170" s="1"/>
  <c r="E197" i="170" s="1"/>
  <c r="E206" i="170" s="1"/>
  <c r="J65" i="151"/>
  <c r="I422" i="170" s="1"/>
  <c r="K422" i="170" s="1"/>
  <c r="K431" i="170" s="1"/>
  <c r="J70" i="151"/>
  <c r="C473" i="170" s="1"/>
  <c r="E473" i="170" s="1"/>
  <c r="E482" i="170" s="1"/>
  <c r="J20" i="151"/>
  <c r="C44" i="170" s="1"/>
  <c r="E44" i="170" s="1"/>
  <c r="E53" i="170" s="1"/>
  <c r="W11" i="151"/>
  <c r="J71" i="151"/>
  <c r="I473" i="170" s="1"/>
  <c r="K473" i="170" s="1"/>
  <c r="K482" i="170" s="1"/>
  <c r="J53" i="151"/>
  <c r="I317" i="170" s="1"/>
  <c r="K317" i="170" s="1"/>
  <c r="K326" i="170" s="1"/>
  <c r="J24" i="151"/>
  <c r="C78" i="170" s="1"/>
  <c r="E78" i="170" s="1"/>
  <c r="E87" i="170" s="1"/>
  <c r="J95" i="151"/>
  <c r="I678" i="170" s="1"/>
  <c r="K678" i="170" s="1"/>
  <c r="K687" i="170" s="1"/>
  <c r="J68" i="151"/>
  <c r="C455" i="170" s="1"/>
  <c r="E455" i="170" s="1"/>
  <c r="E464" i="170" s="1"/>
  <c r="J32" i="151"/>
  <c r="C146" i="170" s="1"/>
  <c r="E146" i="170" s="1"/>
  <c r="E155" i="170" s="1"/>
  <c r="J47" i="151"/>
  <c r="I266" i="170" s="1"/>
  <c r="K266" i="170" s="1"/>
  <c r="K275" i="170" s="1"/>
  <c r="J56" i="151"/>
  <c r="C353" i="170" s="1"/>
  <c r="E353" i="170" s="1"/>
  <c r="E362" i="170" s="1"/>
  <c r="J25" i="151"/>
  <c r="I78" i="170" s="1"/>
  <c r="K78" i="170" s="1"/>
  <c r="K87" i="170" s="1"/>
  <c r="J79" i="151"/>
  <c r="I541" i="170" s="1"/>
  <c r="K541" i="170" s="1"/>
  <c r="K550" i="170" s="1"/>
  <c r="J22" i="151"/>
  <c r="J41" i="151"/>
  <c r="I214" i="170" s="1"/>
  <c r="K214" i="170" s="1"/>
  <c r="K223" i="170" s="1"/>
  <c r="J77" i="151"/>
  <c r="I525" i="170" s="1"/>
  <c r="K525" i="170" s="1"/>
  <c r="K534" i="170" s="1"/>
  <c r="J44" i="151"/>
  <c r="C249" i="170" s="1"/>
  <c r="E249" i="170" s="1"/>
  <c r="E258" i="170" s="1"/>
  <c r="J26" i="151"/>
  <c r="C95" i="170" s="1"/>
  <c r="E95" i="170" s="1"/>
  <c r="E104" i="170" s="1"/>
  <c r="J34" i="151"/>
  <c r="C163" i="170" s="1"/>
  <c r="E163" i="170" s="1"/>
  <c r="E172" i="170" s="1"/>
  <c r="J23" i="151"/>
  <c r="I61" i="170" s="1"/>
  <c r="K61" i="170" s="1"/>
  <c r="K70" i="170" s="1"/>
  <c r="J74" i="151"/>
  <c r="C508" i="170" s="1"/>
  <c r="E508" i="170" s="1"/>
  <c r="E517" i="170" s="1"/>
  <c r="J61" i="151"/>
  <c r="I387" i="170" s="1"/>
  <c r="K387" i="170" s="1"/>
  <c r="K396" i="170" s="1"/>
  <c r="J29" i="151"/>
  <c r="I112" i="170" s="1"/>
  <c r="K112" i="170" s="1"/>
  <c r="K121" i="170" s="1"/>
  <c r="J83" i="151"/>
  <c r="I575" i="170" s="1"/>
  <c r="K575" i="170" s="1"/>
  <c r="K584" i="170" s="1"/>
  <c r="J92" i="151"/>
  <c r="C661" i="170" s="1"/>
  <c r="E661" i="170" s="1"/>
  <c r="E670" i="170" s="1"/>
  <c r="J58" i="151"/>
  <c r="C370" i="170" s="1"/>
  <c r="E370" i="170" s="1"/>
  <c r="E379" i="170" s="1"/>
  <c r="J62" i="151"/>
  <c r="C405" i="170" s="1"/>
  <c r="E405" i="170" s="1"/>
  <c r="E414" i="170" s="1"/>
  <c r="J73" i="151"/>
  <c r="I491" i="170" s="1"/>
  <c r="K491" i="170" s="1"/>
  <c r="K500" i="170" s="1"/>
  <c r="J54" i="151"/>
  <c r="C335" i="170" s="1"/>
  <c r="E335" i="170" s="1"/>
  <c r="E344" i="170" s="1"/>
  <c r="J63" i="151"/>
  <c r="I405" i="170" s="1"/>
  <c r="K405" i="170" s="1"/>
  <c r="K414" i="170" s="1"/>
  <c r="J72" i="151"/>
  <c r="C491" i="170" s="1"/>
  <c r="E491" i="170" s="1"/>
  <c r="E500" i="170" s="1"/>
  <c r="J28" i="151"/>
  <c r="C112" i="170" s="1"/>
  <c r="E112" i="170" s="1"/>
  <c r="E121" i="170" s="1"/>
  <c r="J91" i="151"/>
  <c r="I644" i="170" s="1"/>
  <c r="K644" i="170" s="1"/>
  <c r="K653" i="170" s="1"/>
  <c r="J18" i="151"/>
  <c r="C27" i="170" s="1"/>
  <c r="E27" i="170" s="1"/>
  <c r="E36" i="170" s="1"/>
  <c r="J50" i="151"/>
  <c r="C300" i="170" s="1"/>
  <c r="E300" i="170" s="1"/>
  <c r="E309" i="170" s="1"/>
  <c r="J30" i="151"/>
  <c r="C129" i="170" s="1"/>
  <c r="E129" i="170" s="1"/>
  <c r="E138" i="170" s="1"/>
  <c r="J64" i="151"/>
  <c r="C422" i="170" s="1"/>
  <c r="E422" i="170" s="1"/>
  <c r="E431" i="170" s="1"/>
  <c r="J17" i="151"/>
  <c r="J80" i="151"/>
  <c r="C558" i="170" s="1"/>
  <c r="E558" i="170" s="1"/>
  <c r="E567" i="170" s="1"/>
  <c r="J37" i="151"/>
  <c r="I180" i="170" s="1"/>
  <c r="K180" i="170" s="1"/>
  <c r="K189" i="170" s="1"/>
  <c r="J66" i="151"/>
  <c r="C439" i="170" s="1"/>
  <c r="E439" i="170" s="1"/>
  <c r="E448" i="170" s="1"/>
  <c r="J84" i="151"/>
  <c r="C592" i="170" s="1"/>
  <c r="E592" i="170" s="1"/>
  <c r="E601" i="170" s="1"/>
  <c r="J27" i="151"/>
  <c r="I95" i="170" s="1"/>
  <c r="K95" i="170" s="1"/>
  <c r="K104" i="170" s="1"/>
  <c r="J76" i="151"/>
  <c r="C525" i="170" s="1"/>
  <c r="E525" i="170" s="1"/>
  <c r="E534" i="170" s="1"/>
  <c r="J31" i="151"/>
  <c r="I129" i="170" s="1"/>
  <c r="K129" i="170" s="1"/>
  <c r="K138" i="170" s="1"/>
  <c r="J59" i="151"/>
  <c r="I370" i="170" s="1"/>
  <c r="K370" i="170" s="1"/>
  <c r="K379" i="170" s="1"/>
  <c r="J52" i="151"/>
  <c r="C317" i="170" s="1"/>
  <c r="E317" i="170" s="1"/>
  <c r="E326" i="170" s="1"/>
  <c r="J60" i="151"/>
  <c r="C387" i="170" s="1"/>
  <c r="E387" i="170" s="1"/>
  <c r="E396" i="170" s="1"/>
  <c r="J85" i="151"/>
  <c r="I592" i="170" s="1"/>
  <c r="K592" i="170" s="1"/>
  <c r="K601" i="170" s="1"/>
  <c r="J69" i="151"/>
  <c r="I455" i="170" s="1"/>
  <c r="K455" i="170" s="1"/>
  <c r="K464" i="170" s="1"/>
  <c r="J89" i="151"/>
  <c r="I626" i="170" s="1"/>
  <c r="K626" i="170" s="1"/>
  <c r="K635" i="170" s="1"/>
  <c r="J51" i="151"/>
  <c r="I300" i="170" s="1"/>
  <c r="K300" i="170" s="1"/>
  <c r="K309" i="170" s="1"/>
  <c r="J43" i="151"/>
  <c r="I232" i="170" s="1"/>
  <c r="K232" i="170" s="1"/>
  <c r="K241" i="170" s="1"/>
  <c r="J57" i="151"/>
  <c r="I353" i="170" s="1"/>
  <c r="K353" i="170" s="1"/>
  <c r="K362" i="170" s="1"/>
  <c r="J78" i="151"/>
  <c r="C541" i="170" s="1"/>
  <c r="E541" i="170" s="1"/>
  <c r="E550" i="170" s="1"/>
  <c r="J55" i="151"/>
  <c r="I335" i="170" s="1"/>
  <c r="K335" i="170" s="1"/>
  <c r="K344" i="170" s="1"/>
  <c r="J45" i="151"/>
  <c r="I249" i="170" s="1"/>
  <c r="K249" i="170" s="1"/>
  <c r="K258" i="170" s="1"/>
  <c r="J82" i="151"/>
  <c r="C575" i="170" s="1"/>
  <c r="E575" i="170" s="1"/>
  <c r="E584" i="170" s="1"/>
  <c r="J88" i="151"/>
  <c r="C626" i="170" s="1"/>
  <c r="E626" i="170" s="1"/>
  <c r="E635" i="170" s="1"/>
  <c r="J46" i="151"/>
  <c r="C266" i="170" s="1"/>
  <c r="E266" i="170" s="1"/>
  <c r="E275" i="170" s="1"/>
  <c r="J90" i="151"/>
  <c r="C644" i="170" s="1"/>
  <c r="E644" i="170" s="1"/>
  <c r="E653" i="170" s="1"/>
  <c r="L653" i="170" s="1"/>
  <c r="J21" i="151"/>
  <c r="I44" i="170" s="1"/>
  <c r="K44" i="170" s="1"/>
  <c r="K53" i="170" s="1"/>
  <c r="J19" i="151"/>
  <c r="I27" i="170" s="1"/>
  <c r="K27" i="170" s="1"/>
  <c r="K36" i="170" s="1"/>
  <c r="J40" i="151"/>
  <c r="C214" i="170" s="1"/>
  <c r="E214" i="170" s="1"/>
  <c r="E223" i="170" s="1"/>
  <c r="J67" i="151"/>
  <c r="I439" i="170" s="1"/>
  <c r="K439" i="170" s="1"/>
  <c r="K448" i="170" s="1"/>
  <c r="L448" i="170" s="1"/>
  <c r="J75" i="151"/>
  <c r="I508" i="170" s="1"/>
  <c r="K508" i="170" s="1"/>
  <c r="K517" i="170" s="1"/>
  <c r="E1863" i="170"/>
  <c r="J48" i="151"/>
  <c r="C283" i="170" s="1"/>
  <c r="E283" i="170" s="1"/>
  <c r="E292" i="170" s="1"/>
  <c r="X41" i="101"/>
  <c r="X37" i="101"/>
  <c r="X68" i="101"/>
  <c r="X45" i="101"/>
  <c r="I179" i="132"/>
  <c r="L96" i="151"/>
  <c r="C695" i="170"/>
  <c r="E695" i="170" s="1"/>
  <c r="E704" i="170" s="1"/>
  <c r="L704" i="170" s="1"/>
  <c r="E1684" i="170"/>
  <c r="E1693" i="170" s="1"/>
  <c r="G20" i="154"/>
  <c r="G15" i="154" s="1"/>
  <c r="E15" i="154"/>
  <c r="K2007" i="170"/>
  <c r="K2016" i="170" s="1"/>
  <c r="J39" i="151"/>
  <c r="I197" i="170" s="1"/>
  <c r="K197" i="170" s="1"/>
  <c r="K206" i="170" s="1"/>
  <c r="J35" i="151"/>
  <c r="I163" i="170" s="1"/>
  <c r="K163" i="170" s="1"/>
  <c r="K172" i="170" s="1"/>
  <c r="G16" i="79"/>
  <c r="G23" i="79"/>
  <c r="X47" i="101"/>
  <c r="X35" i="101"/>
  <c r="P163" i="151"/>
  <c r="K163" i="151"/>
  <c r="A569" i="170"/>
  <c r="G552" i="170"/>
  <c r="G99" i="132"/>
  <c r="I99" i="132" s="1"/>
  <c r="H31" i="154"/>
  <c r="D31" i="154" s="1"/>
  <c r="G31" i="154" s="1"/>
  <c r="N26" i="135"/>
  <c r="H47" i="132"/>
  <c r="H13" i="132" s="1"/>
  <c r="J196" i="151"/>
  <c r="L196" i="151" s="1"/>
  <c r="X34" i="101"/>
  <c r="F30" i="132"/>
  <c r="F13" i="132" s="1"/>
  <c r="J83" i="101"/>
  <c r="G14" i="153" s="1"/>
  <c r="H163" i="151"/>
  <c r="L2612" i="170"/>
  <c r="H95" i="132"/>
  <c r="L1965" i="170"/>
  <c r="L2275" i="170"/>
  <c r="L2033" i="170"/>
  <c r="L1710" i="170"/>
  <c r="L1591" i="170"/>
  <c r="L1846" i="170"/>
  <c r="L1829" i="170"/>
  <c r="L2596" i="170"/>
  <c r="H28" i="177" l="1"/>
  <c r="G28" i="177"/>
  <c r="D22" i="154"/>
  <c r="G22" i="154" s="1"/>
  <c r="D22" i="177"/>
  <c r="G23" i="177"/>
  <c r="H23" i="177"/>
  <c r="D25" i="154"/>
  <c r="D25" i="177"/>
  <c r="D24" i="154"/>
  <c r="G24" i="154" s="1"/>
  <c r="D24" i="177"/>
  <c r="D27" i="154"/>
  <c r="H27" i="154" s="1"/>
  <c r="D27" i="177"/>
  <c r="D26" i="154"/>
  <c r="D26" i="177"/>
  <c r="W116" i="99"/>
  <c r="L1999" i="170"/>
  <c r="Z76" i="101"/>
  <c r="AA76" i="101" s="1"/>
  <c r="L1880" i="170"/>
  <c r="L1948" i="170"/>
  <c r="L635" i="170"/>
  <c r="F163" i="151"/>
  <c r="W97" i="99"/>
  <c r="L618" i="170"/>
  <c r="L379" i="170"/>
  <c r="L1693" i="170"/>
  <c r="G27" i="154"/>
  <c r="H24" i="154"/>
  <c r="L241" i="170"/>
  <c r="L1659" i="170"/>
  <c r="L1540" i="170"/>
  <c r="L155" i="170"/>
  <c r="L292" i="170"/>
  <c r="L309" i="170"/>
  <c r="L687" i="170"/>
  <c r="L189" i="170"/>
  <c r="L1506" i="170"/>
  <c r="W163" i="151"/>
  <c r="L1557" i="170"/>
  <c r="H22" i="154"/>
  <c r="L1523" i="170"/>
  <c r="L1914" i="170"/>
  <c r="L206" i="170"/>
  <c r="L172" i="170"/>
  <c r="L500" i="170"/>
  <c r="L344" i="170"/>
  <c r="L670" i="170"/>
  <c r="L517" i="170"/>
  <c r="L258" i="170"/>
  <c r="L550" i="170"/>
  <c r="L326" i="170"/>
  <c r="L223" i="170"/>
  <c r="L121" i="170"/>
  <c r="L362" i="170"/>
  <c r="L36" i="170"/>
  <c r="L414" i="170"/>
  <c r="L53" i="170"/>
  <c r="L567" i="170"/>
  <c r="L1897" i="170"/>
  <c r="L2016" i="170"/>
  <c r="L1863" i="170"/>
  <c r="F178" i="132"/>
  <c r="L601" i="170"/>
  <c r="L275" i="170"/>
  <c r="L396" i="170"/>
  <c r="L138" i="170"/>
  <c r="L584" i="170"/>
  <c r="L87" i="170"/>
  <c r="L464" i="170"/>
  <c r="L482" i="170"/>
  <c r="L431" i="170"/>
  <c r="G26" i="154"/>
  <c r="H26" i="154"/>
  <c r="X142" i="151"/>
  <c r="Z142" i="151" s="1"/>
  <c r="G140" i="132"/>
  <c r="I140" i="132" s="1"/>
  <c r="G105" i="132"/>
  <c r="I105" i="132" s="1"/>
  <c r="X107" i="151"/>
  <c r="Z107" i="151" s="1"/>
  <c r="X121" i="151"/>
  <c r="Z121" i="151" s="1"/>
  <c r="G119" i="132"/>
  <c r="I119" i="132" s="1"/>
  <c r="G137" i="132"/>
  <c r="I137" i="132" s="1"/>
  <c r="X139" i="151"/>
  <c r="Z139" i="151" s="1"/>
  <c r="G94" i="132"/>
  <c r="I94" i="132" s="1"/>
  <c r="X96" i="151"/>
  <c r="Z96" i="151" s="1"/>
  <c r="L534" i="170"/>
  <c r="G120" i="132"/>
  <c r="I120" i="132" s="1"/>
  <c r="X122" i="151"/>
  <c r="Z122" i="151" s="1"/>
  <c r="G128" i="132"/>
  <c r="I128" i="132" s="1"/>
  <c r="X130" i="151"/>
  <c r="Z130" i="151" s="1"/>
  <c r="G104" i="132"/>
  <c r="I104" i="132" s="1"/>
  <c r="X106" i="151"/>
  <c r="Z106" i="151" s="1"/>
  <c r="L83" i="101"/>
  <c r="AB92" i="101" s="1"/>
  <c r="F153" i="99"/>
  <c r="X73" i="99"/>
  <c r="X94" i="99"/>
  <c r="X64" i="99"/>
  <c r="X48" i="99"/>
  <c r="X37" i="99"/>
  <c r="X87" i="99"/>
  <c r="X90" i="99"/>
  <c r="X72" i="99"/>
  <c r="X77" i="99"/>
  <c r="X18" i="99"/>
  <c r="X36" i="99"/>
  <c r="X80" i="99"/>
  <c r="X62" i="99"/>
  <c r="X50" i="99"/>
  <c r="X55" i="99"/>
  <c r="X81" i="99"/>
  <c r="X74" i="99"/>
  <c r="X68" i="99"/>
  <c r="X52" i="99"/>
  <c r="X85" i="99"/>
  <c r="X27" i="99"/>
  <c r="X21" i="99"/>
  <c r="X32" i="99"/>
  <c r="X25" i="99"/>
  <c r="X79" i="99"/>
  <c r="X54" i="99"/>
  <c r="X83" i="99"/>
  <c r="X51" i="99"/>
  <c r="X71" i="99"/>
  <c r="X91" i="99"/>
  <c r="X46" i="99"/>
  <c r="X39" i="99"/>
  <c r="X58" i="99"/>
  <c r="X66" i="99"/>
  <c r="X33" i="99"/>
  <c r="X23" i="99"/>
  <c r="X76" i="99"/>
  <c r="X69" i="99"/>
  <c r="X40" i="99"/>
  <c r="X57" i="99"/>
  <c r="X78" i="99"/>
  <c r="X65" i="99"/>
  <c r="X26" i="99"/>
  <c r="X24" i="99"/>
  <c r="X41" i="99"/>
  <c r="X34" i="99"/>
  <c r="X28" i="99"/>
  <c r="X60" i="99"/>
  <c r="X35" i="99"/>
  <c r="X47" i="99"/>
  <c r="X82" i="99"/>
  <c r="X67" i="99"/>
  <c r="X19" i="99"/>
  <c r="X95" i="99"/>
  <c r="X88" i="99"/>
  <c r="X56" i="99"/>
  <c r="X49" i="99"/>
  <c r="X75" i="99"/>
  <c r="X43" i="99"/>
  <c r="X44" i="99"/>
  <c r="X63" i="99"/>
  <c r="X38" i="99"/>
  <c r="X86" i="99"/>
  <c r="X22" i="99"/>
  <c r="X20" i="99"/>
  <c r="X29" i="99"/>
  <c r="X59" i="99"/>
  <c r="X45" i="99"/>
  <c r="X30" i="99"/>
  <c r="X53" i="99"/>
  <c r="X70" i="99"/>
  <c r="X31" i="99"/>
  <c r="X42" i="99"/>
  <c r="X84" i="99"/>
  <c r="X17" i="99"/>
  <c r="X61" i="99"/>
  <c r="X93" i="99"/>
  <c r="X146" i="151"/>
  <c r="Z146" i="151" s="1"/>
  <c r="G144" i="132"/>
  <c r="I144" i="132" s="1"/>
  <c r="G123" i="132"/>
  <c r="I123" i="132" s="1"/>
  <c r="X125" i="151"/>
  <c r="Z125" i="151" s="1"/>
  <c r="G108" i="132"/>
  <c r="I108" i="132" s="1"/>
  <c r="X110" i="151"/>
  <c r="Z110" i="151" s="1"/>
  <c r="G100" i="132"/>
  <c r="I100" i="132" s="1"/>
  <c r="X102" i="151"/>
  <c r="Z102" i="151" s="1"/>
  <c r="G153" i="132"/>
  <c r="I153" i="132" s="1"/>
  <c r="X155" i="151"/>
  <c r="Z155" i="151" s="1"/>
  <c r="X117" i="151"/>
  <c r="Z117" i="151" s="1"/>
  <c r="G115" i="132"/>
  <c r="I115" i="132" s="1"/>
  <c r="X133" i="151"/>
  <c r="Z133" i="151" s="1"/>
  <c r="G131" i="132"/>
  <c r="I131" i="132" s="1"/>
  <c r="G156" i="132"/>
  <c r="I156" i="132" s="1"/>
  <c r="X158" i="151"/>
  <c r="Z158" i="151" s="1"/>
  <c r="G114" i="132"/>
  <c r="I114" i="132" s="1"/>
  <c r="X116" i="151"/>
  <c r="Z116" i="151" s="1"/>
  <c r="X137" i="151"/>
  <c r="Z137" i="151" s="1"/>
  <c r="G135" i="132"/>
  <c r="I135" i="132" s="1"/>
  <c r="X138" i="151"/>
  <c r="Z138" i="151" s="1"/>
  <c r="G136" i="132"/>
  <c r="I136" i="132" s="1"/>
  <c r="X101" i="151"/>
  <c r="Z101" i="151" s="1"/>
  <c r="G125" i="132"/>
  <c r="I125" i="132" s="1"/>
  <c r="X127" i="151"/>
  <c r="Z127" i="151" s="1"/>
  <c r="F155" i="99"/>
  <c r="J155" i="99" s="1"/>
  <c r="J97" i="99"/>
  <c r="G13" i="153" s="1"/>
  <c r="X113" i="151"/>
  <c r="Z113" i="151" s="1"/>
  <c r="G111" i="132"/>
  <c r="I111" i="132" s="1"/>
  <c r="A586" i="170"/>
  <c r="G569" i="170"/>
  <c r="G106" i="132"/>
  <c r="I106" i="132" s="1"/>
  <c r="X108" i="151"/>
  <c r="Z108" i="151" s="1"/>
  <c r="G17" i="153"/>
  <c r="H17" i="153" s="1"/>
  <c r="J17" i="153" s="1"/>
  <c r="O17" i="153" s="1"/>
  <c r="P17" i="153" s="1"/>
  <c r="H14" i="153"/>
  <c r="J14" i="153" s="1"/>
  <c r="G110" i="132"/>
  <c r="I110" i="132" s="1"/>
  <c r="X112" i="151"/>
  <c r="Z112" i="151" s="1"/>
  <c r="X145" i="151"/>
  <c r="Z145" i="151" s="1"/>
  <c r="G143" i="132"/>
  <c r="I143" i="132" s="1"/>
  <c r="G97" i="132"/>
  <c r="I97" i="132" s="1"/>
  <c r="X99" i="151"/>
  <c r="Z99" i="151" s="1"/>
  <c r="G134" i="132"/>
  <c r="I134" i="132" s="1"/>
  <c r="X136" i="151"/>
  <c r="Z136" i="151" s="1"/>
  <c r="X152" i="151"/>
  <c r="Z152" i="151" s="1"/>
  <c r="G150" i="132"/>
  <c r="I150" i="132" s="1"/>
  <c r="G107" i="132"/>
  <c r="I107" i="132" s="1"/>
  <c r="X109" i="151"/>
  <c r="Z109" i="151" s="1"/>
  <c r="G154" i="132"/>
  <c r="I154" i="132" s="1"/>
  <c r="X156" i="151"/>
  <c r="Z156" i="151" s="1"/>
  <c r="G133" i="132"/>
  <c r="I133" i="132" s="1"/>
  <c r="X135" i="151"/>
  <c r="Z135" i="151" s="1"/>
  <c r="X159" i="151"/>
  <c r="Z159" i="151" s="1"/>
  <c r="G157" i="132"/>
  <c r="I157" i="132" s="1"/>
  <c r="G145" i="132"/>
  <c r="I145" i="132" s="1"/>
  <c r="X147" i="151"/>
  <c r="Z147" i="151" s="1"/>
  <c r="G127" i="132"/>
  <c r="I127" i="132" s="1"/>
  <c r="X129" i="151"/>
  <c r="Z129" i="151" s="1"/>
  <c r="G149" i="132"/>
  <c r="I149" i="132" s="1"/>
  <c r="X151" i="151"/>
  <c r="Z151" i="151" s="1"/>
  <c r="G25" i="154"/>
  <c r="H25" i="154"/>
  <c r="X83" i="101"/>
  <c r="M161" i="132"/>
  <c r="K179" i="132"/>
  <c r="G101" i="132"/>
  <c r="I101" i="132" s="1"/>
  <c r="X103" i="151"/>
  <c r="Z103" i="151" s="1"/>
  <c r="G152" i="132"/>
  <c r="I152" i="132" s="1"/>
  <c r="X154" i="151"/>
  <c r="Z154" i="151" s="1"/>
  <c r="I10" i="170"/>
  <c r="K10" i="170" s="1"/>
  <c r="K19" i="170" s="1"/>
  <c r="J181" i="151"/>
  <c r="L181" i="151" s="1"/>
  <c r="L104" i="170"/>
  <c r="C61" i="170"/>
  <c r="E61" i="170" s="1"/>
  <c r="E70" i="170" s="1"/>
  <c r="L70" i="170" s="1"/>
  <c r="J180" i="151"/>
  <c r="L180" i="151" s="1"/>
  <c r="G142" i="132"/>
  <c r="I142" i="132" s="1"/>
  <c r="X144" i="151"/>
  <c r="Z144" i="151" s="1"/>
  <c r="U164" i="128"/>
  <c r="U171" i="128" s="1"/>
  <c r="Z59" i="101"/>
  <c r="AA59" i="101" s="1"/>
  <c r="K138" i="132"/>
  <c r="M138" i="132" s="1"/>
  <c r="X123" i="151"/>
  <c r="Z123" i="151" s="1"/>
  <c r="G121" i="132"/>
  <c r="I121" i="132" s="1"/>
  <c r="G147" i="132"/>
  <c r="I147" i="132" s="1"/>
  <c r="X149" i="151"/>
  <c r="Z149" i="151" s="1"/>
  <c r="G141" i="132"/>
  <c r="I141" i="132" s="1"/>
  <c r="X143" i="151"/>
  <c r="Z143" i="151" s="1"/>
  <c r="G126" i="132"/>
  <c r="I126" i="132" s="1"/>
  <c r="X128" i="151"/>
  <c r="Z128" i="151" s="1"/>
  <c r="G148" i="132"/>
  <c r="I148" i="132" s="1"/>
  <c r="X150" i="151"/>
  <c r="Z150" i="151" s="1"/>
  <c r="G124" i="132"/>
  <c r="I124" i="132" s="1"/>
  <c r="X126" i="151"/>
  <c r="Z126" i="151" s="1"/>
  <c r="G98" i="132"/>
  <c r="I98" i="132" s="1"/>
  <c r="X100" i="151"/>
  <c r="Z100" i="151" s="1"/>
  <c r="G122" i="132"/>
  <c r="I122" i="132" s="1"/>
  <c r="X124" i="151"/>
  <c r="Z124" i="151" s="1"/>
  <c r="X115" i="151"/>
  <c r="Z115" i="151" s="1"/>
  <c r="G113" i="132"/>
  <c r="I113" i="132" s="1"/>
  <c r="X141" i="151"/>
  <c r="Z141" i="151" s="1"/>
  <c r="G139" i="132"/>
  <c r="I139" i="132" s="1"/>
  <c r="X119" i="151"/>
  <c r="Z119" i="151" s="1"/>
  <c r="G117" i="132"/>
  <c r="I117" i="132" s="1"/>
  <c r="G103" i="132"/>
  <c r="I103" i="132" s="1"/>
  <c r="X105" i="151"/>
  <c r="Z105" i="151" s="1"/>
  <c r="G130" i="132"/>
  <c r="I130" i="132" s="1"/>
  <c r="X132" i="151"/>
  <c r="Z132" i="151" s="1"/>
  <c r="G116" i="132"/>
  <c r="I116" i="132" s="1"/>
  <c r="X118" i="151"/>
  <c r="Z118" i="151" s="1"/>
  <c r="G109" i="132"/>
  <c r="I109" i="132" s="1"/>
  <c r="X111" i="151"/>
  <c r="Z111" i="151" s="1"/>
  <c r="X104" i="151"/>
  <c r="Z104" i="151" s="1"/>
  <c r="G102" i="132"/>
  <c r="I102" i="132" s="1"/>
  <c r="G132" i="132"/>
  <c r="I132" i="132" s="1"/>
  <c r="X134" i="151"/>
  <c r="Z134" i="151" s="1"/>
  <c r="X131" i="151"/>
  <c r="Z131" i="151" s="1"/>
  <c r="G129" i="132"/>
  <c r="I129" i="132" s="1"/>
  <c r="G146" i="132"/>
  <c r="I146" i="132" s="1"/>
  <c r="X148" i="151"/>
  <c r="Z148" i="151" s="1"/>
  <c r="G118" i="132"/>
  <c r="I118" i="132" s="1"/>
  <c r="X120" i="151"/>
  <c r="Z120" i="151" s="1"/>
  <c r="AB98" i="99"/>
  <c r="X153" i="151"/>
  <c r="Z153" i="151" s="1"/>
  <c r="G151" i="132"/>
  <c r="I151" i="132" s="1"/>
  <c r="C10" i="170"/>
  <c r="E10" i="170" s="1"/>
  <c r="E19" i="170" s="1"/>
  <c r="J15" i="151"/>
  <c r="J163" i="151" s="1"/>
  <c r="J182" i="151"/>
  <c r="L182" i="151" s="1"/>
  <c r="G96" i="132"/>
  <c r="X98" i="151"/>
  <c r="L97" i="151"/>
  <c r="G112" i="132"/>
  <c r="I112" i="132" s="1"/>
  <c r="X114" i="151"/>
  <c r="Z114" i="151" s="1"/>
  <c r="F154" i="99"/>
  <c r="J154" i="99" s="1"/>
  <c r="H178" i="132"/>
  <c r="H181" i="132" s="1"/>
  <c r="G27" i="177" l="1"/>
  <c r="H27" i="177"/>
  <c r="H25" i="177"/>
  <c r="G25" i="177"/>
  <c r="G22" i="177"/>
  <c r="H22" i="177"/>
  <c r="H21" i="177" s="1"/>
  <c r="H14" i="177" s="1"/>
  <c r="H13" i="177" s="1"/>
  <c r="H26" i="177"/>
  <c r="G26" i="177"/>
  <c r="G24" i="177"/>
  <c r="H24" i="177"/>
  <c r="W179" i="151"/>
  <c r="L19" i="177"/>
  <c r="H30" i="154"/>
  <c r="H30" i="177"/>
  <c r="L185" i="151"/>
  <c r="L19" i="170"/>
  <c r="L2615" i="170" s="1"/>
  <c r="M2624" i="170" s="1"/>
  <c r="M2050" i="170"/>
  <c r="O2050" i="170" s="1"/>
  <c r="L19" i="154"/>
  <c r="F15" i="136"/>
  <c r="G15" i="136" s="1"/>
  <c r="G21" i="154"/>
  <c r="M160" i="132"/>
  <c r="M179" i="132" s="1"/>
  <c r="L17" i="153"/>
  <c r="H21" i="154"/>
  <c r="K117" i="132"/>
  <c r="M117" i="132" s="1"/>
  <c r="Z38" i="101"/>
  <c r="AA38" i="101" s="1"/>
  <c r="Z34" i="101"/>
  <c r="AA34" i="101" s="1"/>
  <c r="K113" i="132"/>
  <c r="M113" i="132" s="1"/>
  <c r="L15" i="151"/>
  <c r="L163" i="151" s="1"/>
  <c r="K19" i="177" s="1"/>
  <c r="K20" i="177" s="1"/>
  <c r="X16" i="151"/>
  <c r="G20" i="132"/>
  <c r="I20" i="132" s="1"/>
  <c r="X22" i="151"/>
  <c r="Z22" i="151" s="1"/>
  <c r="X52" i="151"/>
  <c r="Z52" i="151" s="1"/>
  <c r="G50" i="132"/>
  <c r="I50" i="132" s="1"/>
  <c r="G49" i="132"/>
  <c r="I49" i="132" s="1"/>
  <c r="X51" i="151"/>
  <c r="Z51" i="151" s="1"/>
  <c r="X75" i="151"/>
  <c r="Z75" i="151" s="1"/>
  <c r="G73" i="132"/>
  <c r="I73" i="132" s="1"/>
  <c r="G43" i="132"/>
  <c r="I43" i="132" s="1"/>
  <c r="X45" i="151"/>
  <c r="Z45" i="151" s="1"/>
  <c r="G39" i="132"/>
  <c r="I39" i="132" s="1"/>
  <c r="X41" i="151"/>
  <c r="Z41" i="151" s="1"/>
  <c r="G16" i="132"/>
  <c r="I16" i="132" s="1"/>
  <c r="X18" i="151"/>
  <c r="Z18" i="151" s="1"/>
  <c r="G37" i="132"/>
  <c r="I37" i="132" s="1"/>
  <c r="X39" i="151"/>
  <c r="Z39" i="151" s="1"/>
  <c r="X95" i="151"/>
  <c r="Z95" i="151" s="1"/>
  <c r="G93" i="132"/>
  <c r="I93" i="132" s="1"/>
  <c r="K125" i="132"/>
  <c r="M125" i="132" s="1"/>
  <c r="Z46" i="101"/>
  <c r="AA46" i="101" s="1"/>
  <c r="Z57" i="101"/>
  <c r="AA57" i="101" s="1"/>
  <c r="K136" i="132"/>
  <c r="M136" i="132" s="1"/>
  <c r="Z65" i="101"/>
  <c r="AA65" i="101" s="1"/>
  <c r="K144" i="132"/>
  <c r="M144" i="132" s="1"/>
  <c r="Z58" i="101"/>
  <c r="AA58" i="101" s="1"/>
  <c r="K137" i="132"/>
  <c r="M137" i="132" s="1"/>
  <c r="K122" i="132"/>
  <c r="M122" i="132" s="1"/>
  <c r="Z43" i="101"/>
  <c r="AA43" i="101" s="1"/>
  <c r="K124" i="132"/>
  <c r="M124" i="132" s="1"/>
  <c r="Z45" i="101"/>
  <c r="AA45" i="101" s="1"/>
  <c r="K126" i="132"/>
  <c r="M126" i="132" s="1"/>
  <c r="Z47" i="101"/>
  <c r="AA47" i="101" s="1"/>
  <c r="K147" i="132"/>
  <c r="M147" i="132" s="1"/>
  <c r="Z68" i="101"/>
  <c r="AA68" i="101" s="1"/>
  <c r="K101" i="132"/>
  <c r="M101" i="132" s="1"/>
  <c r="Z22" i="101"/>
  <c r="AA22" i="101" s="1"/>
  <c r="K143" i="132"/>
  <c r="M143" i="132" s="1"/>
  <c r="Z64" i="101"/>
  <c r="AA64" i="101" s="1"/>
  <c r="A603" i="170"/>
  <c r="G586" i="170"/>
  <c r="G40" i="132"/>
  <c r="I40" i="132" s="1"/>
  <c r="X42" i="151"/>
  <c r="Z42" i="151" s="1"/>
  <c r="G48" i="132"/>
  <c r="I48" i="132" s="1"/>
  <c r="X50" i="151"/>
  <c r="Z50" i="151" s="1"/>
  <c r="G88" i="132"/>
  <c r="I88" i="132" s="1"/>
  <c r="X90" i="151"/>
  <c r="Z90" i="151" s="1"/>
  <c r="G85" i="132"/>
  <c r="I85" i="132" s="1"/>
  <c r="X87" i="151"/>
  <c r="Z87" i="151" s="1"/>
  <c r="G34" i="132"/>
  <c r="I34" i="132" s="1"/>
  <c r="X36" i="151"/>
  <c r="Z36" i="151" s="1"/>
  <c r="G83" i="132"/>
  <c r="I83" i="132" s="1"/>
  <c r="X85" i="151"/>
  <c r="Z85" i="151" s="1"/>
  <c r="X67" i="151"/>
  <c r="Z67" i="151" s="1"/>
  <c r="G65" i="132"/>
  <c r="I65" i="132" s="1"/>
  <c r="X43" i="151"/>
  <c r="Z43" i="151" s="1"/>
  <c r="G41" i="132"/>
  <c r="I41" i="132" s="1"/>
  <c r="X19" i="151"/>
  <c r="Z19" i="151" s="1"/>
  <c r="G17" i="132"/>
  <c r="I17" i="132" s="1"/>
  <c r="G66" i="132"/>
  <c r="I66" i="132" s="1"/>
  <c r="X68" i="151"/>
  <c r="Z68" i="151" s="1"/>
  <c r="G60" i="132"/>
  <c r="I60" i="132" s="1"/>
  <c r="X62" i="151"/>
  <c r="Z62" i="151" s="1"/>
  <c r="G61" i="132"/>
  <c r="I61" i="132" s="1"/>
  <c r="X63" i="151"/>
  <c r="Z63" i="151" s="1"/>
  <c r="G90" i="132"/>
  <c r="I90" i="132" s="1"/>
  <c r="X92" i="151"/>
  <c r="Z92" i="151" s="1"/>
  <c r="G64" i="132"/>
  <c r="I64" i="132" s="1"/>
  <c r="X66" i="151"/>
  <c r="Z66" i="151" s="1"/>
  <c r="X76" i="151"/>
  <c r="Z76" i="151" s="1"/>
  <c r="G74" i="132"/>
  <c r="I74" i="132" s="1"/>
  <c r="G36" i="132"/>
  <c r="I36" i="132" s="1"/>
  <c r="X38" i="151"/>
  <c r="Z38" i="151" s="1"/>
  <c r="G70" i="132"/>
  <c r="I70" i="132" s="1"/>
  <c r="X72" i="151"/>
  <c r="Z72" i="151" s="1"/>
  <c r="G52" i="132"/>
  <c r="I52" i="132" s="1"/>
  <c r="X54" i="151"/>
  <c r="Z54" i="151" s="1"/>
  <c r="G84" i="132"/>
  <c r="I84" i="132" s="1"/>
  <c r="X86" i="151"/>
  <c r="Z86" i="151" s="1"/>
  <c r="G30" i="132"/>
  <c r="I30" i="132" s="1"/>
  <c r="X32" i="151"/>
  <c r="Z32" i="151" s="1"/>
  <c r="K156" i="132"/>
  <c r="M156" i="132" s="1"/>
  <c r="Z77" i="101"/>
  <c r="AA77" i="101" s="1"/>
  <c r="Z21" i="101"/>
  <c r="AA21" i="101" s="1"/>
  <c r="K100" i="132"/>
  <c r="M100" i="132" s="1"/>
  <c r="K123" i="132"/>
  <c r="M123" i="132" s="1"/>
  <c r="Z44" i="101"/>
  <c r="AA44" i="101" s="1"/>
  <c r="X16" i="99"/>
  <c r="X97" i="99" s="1"/>
  <c r="L97" i="99"/>
  <c r="AA109" i="99" s="1"/>
  <c r="J153" i="99"/>
  <c r="J163" i="99" s="1"/>
  <c r="M163" i="99" s="1"/>
  <c r="W163" i="99" s="1"/>
  <c r="F163" i="99"/>
  <c r="Z49" i="101"/>
  <c r="AA49" i="101" s="1"/>
  <c r="K128" i="132"/>
  <c r="M128" i="132" s="1"/>
  <c r="K121" i="132"/>
  <c r="M121" i="132" s="1"/>
  <c r="Z42" i="101"/>
  <c r="AA42" i="101" s="1"/>
  <c r="Z63" i="101"/>
  <c r="AA63" i="101" s="1"/>
  <c r="K142" i="132"/>
  <c r="M142" i="132" s="1"/>
  <c r="Z66" i="101"/>
  <c r="AA66" i="101" s="1"/>
  <c r="K145" i="132"/>
  <c r="M145" i="132" s="1"/>
  <c r="K107" i="132"/>
  <c r="M107" i="132" s="1"/>
  <c r="Z28" i="101"/>
  <c r="AA28" i="101" s="1"/>
  <c r="K134" i="132"/>
  <c r="M134" i="132" s="1"/>
  <c r="Z55" i="101"/>
  <c r="AA55" i="101" s="1"/>
  <c r="G58" i="132"/>
  <c r="I58" i="132" s="1"/>
  <c r="X60" i="151"/>
  <c r="Z60" i="151" s="1"/>
  <c r="G82" i="132"/>
  <c r="I82" i="132" s="1"/>
  <c r="X84" i="151"/>
  <c r="Z84" i="151" s="1"/>
  <c r="G79" i="132"/>
  <c r="I79" i="132" s="1"/>
  <c r="X81" i="151"/>
  <c r="Z81" i="151" s="1"/>
  <c r="G44" i="132"/>
  <c r="I44" i="132" s="1"/>
  <c r="X46" i="151"/>
  <c r="Z46" i="151" s="1"/>
  <c r="G72" i="132"/>
  <c r="I72" i="132" s="1"/>
  <c r="X74" i="151"/>
  <c r="Z74" i="151" s="1"/>
  <c r="G47" i="132"/>
  <c r="I47" i="132" s="1"/>
  <c r="X49" i="151"/>
  <c r="Z49" i="151" s="1"/>
  <c r="G76" i="132"/>
  <c r="I76" i="132" s="1"/>
  <c r="X78" i="151"/>
  <c r="Z78" i="151" s="1"/>
  <c r="G89" i="132"/>
  <c r="I89" i="132" s="1"/>
  <c r="X91" i="151"/>
  <c r="Z91" i="151" s="1"/>
  <c r="Z52" i="101"/>
  <c r="AA52" i="101" s="1"/>
  <c r="K131" i="132"/>
  <c r="M131" i="132" s="1"/>
  <c r="X97" i="151"/>
  <c r="Z98" i="151"/>
  <c r="Z39" i="101"/>
  <c r="AA39" i="101" s="1"/>
  <c r="K118" i="132"/>
  <c r="M118" i="132" s="1"/>
  <c r="K129" i="132"/>
  <c r="M129" i="132" s="1"/>
  <c r="Z50" i="101"/>
  <c r="AA50" i="101" s="1"/>
  <c r="Z23" i="101"/>
  <c r="AA23" i="101" s="1"/>
  <c r="K102" i="132"/>
  <c r="M102" i="132" s="1"/>
  <c r="K139" i="132"/>
  <c r="M139" i="132" s="1"/>
  <c r="Z60" i="101"/>
  <c r="AA60" i="101" s="1"/>
  <c r="O185" i="151"/>
  <c r="Y185" i="151" s="1"/>
  <c r="J185" i="151"/>
  <c r="Z48" i="101"/>
  <c r="AA48" i="101" s="1"/>
  <c r="K127" i="132"/>
  <c r="M127" i="132" s="1"/>
  <c r="Z75" i="101"/>
  <c r="AA75" i="101" s="1"/>
  <c r="K154" i="132"/>
  <c r="M154" i="132" s="1"/>
  <c r="Z18" i="101"/>
  <c r="AA18" i="101" s="1"/>
  <c r="K97" i="132"/>
  <c r="M97" i="132" s="1"/>
  <c r="Z31" i="101"/>
  <c r="AA31" i="101" s="1"/>
  <c r="K110" i="132"/>
  <c r="M110" i="132" s="1"/>
  <c r="K106" i="132"/>
  <c r="M106" i="132" s="1"/>
  <c r="Z27" i="101"/>
  <c r="AA27" i="101" s="1"/>
  <c r="G16" i="153"/>
  <c r="O20" i="153"/>
  <c r="G12" i="153"/>
  <c r="H12" i="153" s="1"/>
  <c r="H13" i="153"/>
  <c r="J13" i="153" s="1"/>
  <c r="G62" i="132"/>
  <c r="I62" i="132" s="1"/>
  <c r="X64" i="151"/>
  <c r="Z64" i="151" s="1"/>
  <c r="G78" i="132"/>
  <c r="I78" i="132" s="1"/>
  <c r="X80" i="151"/>
  <c r="Z80" i="151" s="1"/>
  <c r="X31" i="151"/>
  <c r="Z31" i="151" s="1"/>
  <c r="G29" i="132"/>
  <c r="I29" i="132" s="1"/>
  <c r="X27" i="151"/>
  <c r="Z27" i="151" s="1"/>
  <c r="G25" i="132"/>
  <c r="I25" i="132" s="1"/>
  <c r="G22" i="132"/>
  <c r="I22" i="132" s="1"/>
  <c r="X24" i="151"/>
  <c r="Z24" i="151" s="1"/>
  <c r="G87" i="132"/>
  <c r="I87" i="132" s="1"/>
  <c r="X89" i="151"/>
  <c r="Z89" i="151" s="1"/>
  <c r="G46" i="132"/>
  <c r="I46" i="132" s="1"/>
  <c r="X48" i="151"/>
  <c r="Z48" i="151" s="1"/>
  <c r="G45" i="132"/>
  <c r="I45" i="132" s="1"/>
  <c r="X47" i="151"/>
  <c r="Z47" i="151" s="1"/>
  <c r="G55" i="132"/>
  <c r="I55" i="132" s="1"/>
  <c r="X57" i="151"/>
  <c r="Z57" i="151" s="1"/>
  <c r="G53" i="132"/>
  <c r="I53" i="132" s="1"/>
  <c r="X55" i="151"/>
  <c r="Z55" i="151" s="1"/>
  <c r="G57" i="132"/>
  <c r="I57" i="132" s="1"/>
  <c r="X59" i="151"/>
  <c r="Z59" i="151" s="1"/>
  <c r="G26" i="132"/>
  <c r="I26" i="132" s="1"/>
  <c r="X28" i="151"/>
  <c r="Z28" i="151" s="1"/>
  <c r="G69" i="132"/>
  <c r="I69" i="132" s="1"/>
  <c r="X71" i="151"/>
  <c r="Z71" i="151" s="1"/>
  <c r="X58" i="151"/>
  <c r="Z58" i="151" s="1"/>
  <c r="G56" i="132"/>
  <c r="I56" i="132" s="1"/>
  <c r="G92" i="132"/>
  <c r="I92" i="132" s="1"/>
  <c r="X94" i="151"/>
  <c r="Z94" i="151" s="1"/>
  <c r="G24" i="132"/>
  <c r="I24" i="132" s="1"/>
  <c r="X26" i="151"/>
  <c r="Z26" i="151" s="1"/>
  <c r="X83" i="151"/>
  <c r="Z83" i="151" s="1"/>
  <c r="G81" i="132"/>
  <c r="I81" i="132" s="1"/>
  <c r="X37" i="151"/>
  <c r="Z37" i="151" s="1"/>
  <c r="G35" i="132"/>
  <c r="I35" i="132" s="1"/>
  <c r="G68" i="132"/>
  <c r="I68" i="132" s="1"/>
  <c r="X70" i="151"/>
  <c r="Z70" i="151" s="1"/>
  <c r="G71" i="132"/>
  <c r="I71" i="132" s="1"/>
  <c r="X73" i="151"/>
  <c r="Z73" i="151" s="1"/>
  <c r="Z20" i="101"/>
  <c r="AA20" i="101" s="1"/>
  <c r="K99" i="132"/>
  <c r="M99" i="132" s="1"/>
  <c r="Z56" i="101"/>
  <c r="AA56" i="101" s="1"/>
  <c r="K135" i="132"/>
  <c r="M135" i="132" s="1"/>
  <c r="Z36" i="101"/>
  <c r="AA36" i="101" s="1"/>
  <c r="K115" i="132"/>
  <c r="M115" i="132" s="1"/>
  <c r="K94" i="132"/>
  <c r="M94" i="132" s="1"/>
  <c r="Z96" i="99"/>
  <c r="AA96" i="99" s="1"/>
  <c r="K149" i="132"/>
  <c r="M149" i="132" s="1"/>
  <c r="Z70" i="101"/>
  <c r="AA70" i="101" s="1"/>
  <c r="K133" i="132"/>
  <c r="M133" i="132" s="1"/>
  <c r="Z54" i="101"/>
  <c r="AA54" i="101" s="1"/>
  <c r="O14" i="153"/>
  <c r="P14" i="153" s="1"/>
  <c r="L14" i="153"/>
  <c r="G91" i="132"/>
  <c r="I91" i="132" s="1"/>
  <c r="X93" i="151"/>
  <c r="Z93" i="151" s="1"/>
  <c r="G77" i="132"/>
  <c r="I77" i="132" s="1"/>
  <c r="X79" i="151"/>
  <c r="Z79" i="151" s="1"/>
  <c r="Z26" i="101"/>
  <c r="AA26" i="101" s="1"/>
  <c r="K105" i="132"/>
  <c r="M105" i="132" s="1"/>
  <c r="K116" i="132"/>
  <c r="M116" i="132" s="1"/>
  <c r="Z37" i="101"/>
  <c r="AA37" i="101" s="1"/>
  <c r="K103" i="132"/>
  <c r="M103" i="132" s="1"/>
  <c r="Z24" i="101"/>
  <c r="AA24" i="101" s="1"/>
  <c r="Z33" i="101"/>
  <c r="AA33" i="101" s="1"/>
  <c r="K112" i="132"/>
  <c r="M112" i="132" s="1"/>
  <c r="G95" i="132"/>
  <c r="I96" i="132"/>
  <c r="I95" i="132" s="1"/>
  <c r="O95" i="132" s="1"/>
  <c r="P95" i="132" s="1"/>
  <c r="Z72" i="101"/>
  <c r="AA72" i="101" s="1"/>
  <c r="K151" i="132"/>
  <c r="M151" i="132" s="1"/>
  <c r="K146" i="132"/>
  <c r="M146" i="132" s="1"/>
  <c r="Z67" i="101"/>
  <c r="AA67" i="101" s="1"/>
  <c r="Z53" i="101"/>
  <c r="AA53" i="101" s="1"/>
  <c r="K132" i="132"/>
  <c r="M132" i="132" s="1"/>
  <c r="K109" i="132"/>
  <c r="M109" i="132" s="1"/>
  <c r="Z30" i="101"/>
  <c r="AA30" i="101" s="1"/>
  <c r="K130" i="132"/>
  <c r="M130" i="132" s="1"/>
  <c r="Z51" i="101"/>
  <c r="AA51" i="101" s="1"/>
  <c r="K98" i="132"/>
  <c r="M98" i="132" s="1"/>
  <c r="Z19" i="101"/>
  <c r="AA19" i="101" s="1"/>
  <c r="Z69" i="101"/>
  <c r="AA69" i="101" s="1"/>
  <c r="K148" i="132"/>
  <c r="M148" i="132" s="1"/>
  <c r="Z62" i="101"/>
  <c r="AA62" i="101" s="1"/>
  <c r="K141" i="132"/>
  <c r="M141" i="132" s="1"/>
  <c r="Z73" i="101"/>
  <c r="AA73" i="101" s="1"/>
  <c r="K152" i="132"/>
  <c r="M152" i="132" s="1"/>
  <c r="Z78" i="101"/>
  <c r="AA78" i="101" s="1"/>
  <c r="K157" i="132"/>
  <c r="M157" i="132" s="1"/>
  <c r="K150" i="132"/>
  <c r="M150" i="132" s="1"/>
  <c r="Z71" i="101"/>
  <c r="AA71" i="101" s="1"/>
  <c r="Z32" i="101"/>
  <c r="AA32" i="101" s="1"/>
  <c r="K111" i="132"/>
  <c r="M111" i="132" s="1"/>
  <c r="G21" i="132"/>
  <c r="I21" i="132" s="1"/>
  <c r="X23" i="151"/>
  <c r="Z23" i="151" s="1"/>
  <c r="X88" i="151"/>
  <c r="Z88" i="151" s="1"/>
  <c r="G86" i="132"/>
  <c r="I86" i="132" s="1"/>
  <c r="G51" i="132"/>
  <c r="I51" i="132" s="1"/>
  <c r="X53" i="151"/>
  <c r="Z53" i="151" s="1"/>
  <c r="G31" i="132"/>
  <c r="I31" i="132" s="1"/>
  <c r="X33" i="151"/>
  <c r="Z33" i="151" s="1"/>
  <c r="G54" i="132"/>
  <c r="I54" i="132" s="1"/>
  <c r="X56" i="151"/>
  <c r="Z56" i="151" s="1"/>
  <c r="X69" i="151"/>
  <c r="Z69" i="151" s="1"/>
  <c r="G67" i="132"/>
  <c r="I67" i="132" s="1"/>
  <c r="G19" i="132"/>
  <c r="I19" i="132" s="1"/>
  <c r="X21" i="151"/>
  <c r="Z21" i="151" s="1"/>
  <c r="G32" i="132"/>
  <c r="I32" i="132" s="1"/>
  <c r="X34" i="151"/>
  <c r="Z34" i="151" s="1"/>
  <c r="G33" i="132"/>
  <c r="I33" i="132" s="1"/>
  <c r="X35" i="151"/>
  <c r="Z35" i="151" s="1"/>
  <c r="G38" i="132"/>
  <c r="I38" i="132" s="1"/>
  <c r="X40" i="151"/>
  <c r="Z40" i="151" s="1"/>
  <c r="G23" i="132"/>
  <c r="I23" i="132" s="1"/>
  <c r="X25" i="151"/>
  <c r="Z25" i="151" s="1"/>
  <c r="G15" i="132"/>
  <c r="I15" i="132" s="1"/>
  <c r="X17" i="151"/>
  <c r="Z17" i="151" s="1"/>
  <c r="G63" i="132"/>
  <c r="I63" i="132" s="1"/>
  <c r="X65" i="151"/>
  <c r="Z65" i="151" s="1"/>
  <c r="G42" i="132"/>
  <c r="I42" i="132" s="1"/>
  <c r="X44" i="151"/>
  <c r="Z44" i="151" s="1"/>
  <c r="X61" i="151"/>
  <c r="Z61" i="151" s="1"/>
  <c r="G59" i="132"/>
  <c r="I59" i="132" s="1"/>
  <c r="G75" i="132"/>
  <c r="I75" i="132" s="1"/>
  <c r="X77" i="151"/>
  <c r="Z77" i="151" s="1"/>
  <c r="G18" i="132"/>
  <c r="I18" i="132" s="1"/>
  <c r="X20" i="151"/>
  <c r="Z20" i="151" s="1"/>
  <c r="X82" i="151"/>
  <c r="Z82" i="151" s="1"/>
  <c r="G80" i="132"/>
  <c r="I80" i="132" s="1"/>
  <c r="G27" i="132"/>
  <c r="I27" i="132" s="1"/>
  <c r="X29" i="151"/>
  <c r="Z29" i="151" s="1"/>
  <c r="G28" i="132"/>
  <c r="I28" i="132" s="1"/>
  <c r="X30" i="151"/>
  <c r="Z30" i="151" s="1"/>
  <c r="K114" i="132"/>
  <c r="M114" i="132" s="1"/>
  <c r="Z35" i="101"/>
  <c r="AA35" i="101" s="1"/>
  <c r="Z74" i="101"/>
  <c r="AA74" i="101" s="1"/>
  <c r="K153" i="132"/>
  <c r="M153" i="132" s="1"/>
  <c r="K108" i="132"/>
  <c r="M108" i="132" s="1"/>
  <c r="Z29" i="101"/>
  <c r="AA29" i="101" s="1"/>
  <c r="K104" i="132"/>
  <c r="M104" i="132" s="1"/>
  <c r="Z25" i="101"/>
  <c r="AA25" i="101" s="1"/>
  <c r="K120" i="132"/>
  <c r="M120" i="132" s="1"/>
  <c r="Z41" i="101"/>
  <c r="AA41" i="101" s="1"/>
  <c r="K119" i="132"/>
  <c r="M119" i="132" s="1"/>
  <c r="Z40" i="101"/>
  <c r="AA40" i="101" s="1"/>
  <c r="K140" i="132"/>
  <c r="M140" i="132" s="1"/>
  <c r="Z61" i="101"/>
  <c r="AA61" i="101" s="1"/>
  <c r="H14" i="154" l="1"/>
  <c r="H13" i="154" s="1"/>
  <c r="G21" i="177"/>
  <c r="G14" i="154"/>
  <c r="G13" i="154" s="1"/>
  <c r="K19" i="154"/>
  <c r="K20" i="154" s="1"/>
  <c r="AD173" i="151"/>
  <c r="AD175" i="151" s="1"/>
  <c r="M738" i="170"/>
  <c r="M2611" i="170" s="1"/>
  <c r="M2622" i="170"/>
  <c r="L20" i="154"/>
  <c r="Z44" i="99"/>
  <c r="AA44" i="99" s="1"/>
  <c r="K42" i="132"/>
  <c r="M42" i="132" s="1"/>
  <c r="K38" i="132"/>
  <c r="M38" i="132" s="1"/>
  <c r="Z40" i="99"/>
  <c r="AA40" i="99" s="1"/>
  <c r="H16" i="153"/>
  <c r="J16" i="153" s="1"/>
  <c r="G15" i="153"/>
  <c r="H15" i="153" s="1"/>
  <c r="K41" i="132"/>
  <c r="M41" i="132" s="1"/>
  <c r="Z43" i="99"/>
  <c r="AA43" i="99" s="1"/>
  <c r="A620" i="170"/>
  <c r="G603" i="170"/>
  <c r="K73" i="132"/>
  <c r="M73" i="132" s="1"/>
  <c r="Z75" i="99"/>
  <c r="AA75" i="99" s="1"/>
  <c r="K50" i="132"/>
  <c r="M50" i="132" s="1"/>
  <c r="Z52" i="99"/>
  <c r="AA52" i="99" s="1"/>
  <c r="Z82" i="99"/>
  <c r="AA82" i="99" s="1"/>
  <c r="K80" i="132"/>
  <c r="M80" i="132" s="1"/>
  <c r="Z69" i="99"/>
  <c r="AA69" i="99" s="1"/>
  <c r="K67" i="132"/>
  <c r="M67" i="132" s="1"/>
  <c r="Z88" i="99"/>
  <c r="AA88" i="99" s="1"/>
  <c r="K86" i="132"/>
  <c r="M86" i="132" s="1"/>
  <c r="Z93" i="99"/>
  <c r="AA93" i="99" s="1"/>
  <c r="K91" i="132"/>
  <c r="M91" i="132" s="1"/>
  <c r="K71" i="132"/>
  <c r="M71" i="132" s="1"/>
  <c r="Z73" i="99"/>
  <c r="AA73" i="99" s="1"/>
  <c r="K24" i="132"/>
  <c r="M24" i="132" s="1"/>
  <c r="Z26" i="99"/>
  <c r="AA26" i="99" s="1"/>
  <c r="Z28" i="99"/>
  <c r="AA28" i="99" s="1"/>
  <c r="K26" i="132"/>
  <c r="M26" i="132" s="1"/>
  <c r="Z55" i="99"/>
  <c r="AA55" i="99" s="1"/>
  <c r="K53" i="132"/>
  <c r="M53" i="132" s="1"/>
  <c r="K45" i="132"/>
  <c r="M45" i="132" s="1"/>
  <c r="Z47" i="99"/>
  <c r="AA47" i="99" s="1"/>
  <c r="Z89" i="99"/>
  <c r="AA89" i="99" s="1"/>
  <c r="K87" i="132"/>
  <c r="M87" i="132" s="1"/>
  <c r="K78" i="132"/>
  <c r="M78" i="132" s="1"/>
  <c r="Z80" i="99"/>
  <c r="AA80" i="99" s="1"/>
  <c r="L13" i="153"/>
  <c r="O13" i="153"/>
  <c r="P13" i="153" s="1"/>
  <c r="J12" i="153"/>
  <c r="Z97" i="151"/>
  <c r="Z17" i="101"/>
  <c r="K96" i="132"/>
  <c r="Z91" i="99"/>
  <c r="AA91" i="99" s="1"/>
  <c r="K89" i="132"/>
  <c r="M89" i="132" s="1"/>
  <c r="K47" i="132"/>
  <c r="M47" i="132" s="1"/>
  <c r="Z49" i="99"/>
  <c r="AA49" i="99" s="1"/>
  <c r="Z46" i="99"/>
  <c r="AA46" i="99" s="1"/>
  <c r="K44" i="132"/>
  <c r="M44" i="132" s="1"/>
  <c r="K82" i="132"/>
  <c r="M82" i="132" s="1"/>
  <c r="Z84" i="99"/>
  <c r="AA84" i="99" s="1"/>
  <c r="Z86" i="99"/>
  <c r="AA86" i="99" s="1"/>
  <c r="K84" i="132"/>
  <c r="M84" i="132" s="1"/>
  <c r="K70" i="132"/>
  <c r="M70" i="132" s="1"/>
  <c r="Z72" i="99"/>
  <c r="AA72" i="99" s="1"/>
  <c r="Z92" i="99"/>
  <c r="AA92" i="99" s="1"/>
  <c r="K90" i="132"/>
  <c r="M90" i="132" s="1"/>
  <c r="Z62" i="99"/>
  <c r="AA62" i="99" s="1"/>
  <c r="K60" i="132"/>
  <c r="M60" i="132" s="1"/>
  <c r="K34" i="132"/>
  <c r="M34" i="132" s="1"/>
  <c r="Z36" i="99"/>
  <c r="AA36" i="99" s="1"/>
  <c r="Z90" i="99"/>
  <c r="AA90" i="99" s="1"/>
  <c r="K88" i="132"/>
  <c r="M88" i="132" s="1"/>
  <c r="Z42" i="99"/>
  <c r="AA42" i="99" s="1"/>
  <c r="K40" i="132"/>
  <c r="M40" i="132" s="1"/>
  <c r="K16" i="132"/>
  <c r="M16" i="132" s="1"/>
  <c r="Z18" i="99"/>
  <c r="AA18" i="99" s="1"/>
  <c r="Z45" i="99"/>
  <c r="AA45" i="99" s="1"/>
  <c r="K43" i="132"/>
  <c r="M43" i="132" s="1"/>
  <c r="Z51" i="99"/>
  <c r="AA51" i="99" s="1"/>
  <c r="K49" i="132"/>
  <c r="M49" i="132" s="1"/>
  <c r="Z22" i="99"/>
  <c r="AA22" i="99" s="1"/>
  <c r="K20" i="132"/>
  <c r="M20" i="132" s="1"/>
  <c r="I14" i="132"/>
  <c r="I13" i="132" s="1"/>
  <c r="I178" i="132" s="1"/>
  <c r="G13" i="132"/>
  <c r="G178" i="132" s="1"/>
  <c r="G181" i="132" s="1"/>
  <c r="K28" i="132"/>
  <c r="M28" i="132" s="1"/>
  <c r="Z30" i="99"/>
  <c r="AA30" i="99" s="1"/>
  <c r="K75" i="132"/>
  <c r="M75" i="132" s="1"/>
  <c r="Z77" i="99"/>
  <c r="AA77" i="99" s="1"/>
  <c r="K15" i="132"/>
  <c r="M15" i="132" s="1"/>
  <c r="Z17" i="99"/>
  <c r="AA17" i="99" s="1"/>
  <c r="K32" i="132"/>
  <c r="M32" i="132" s="1"/>
  <c r="Z34" i="99"/>
  <c r="AA34" i="99" s="1"/>
  <c r="Z33" i="99"/>
  <c r="AA33" i="99" s="1"/>
  <c r="K31" i="132"/>
  <c r="M31" i="132" s="1"/>
  <c r="Z83" i="99"/>
  <c r="AA83" i="99" s="1"/>
  <c r="K81" i="132"/>
  <c r="M81" i="132" s="1"/>
  <c r="K29" i="132"/>
  <c r="M29" i="132" s="1"/>
  <c r="Z31" i="99"/>
  <c r="AA31" i="99" s="1"/>
  <c r="K27" i="132"/>
  <c r="M27" i="132" s="1"/>
  <c r="Z29" i="99"/>
  <c r="AA29" i="99" s="1"/>
  <c r="K18" i="132"/>
  <c r="M18" i="132" s="1"/>
  <c r="Z20" i="99"/>
  <c r="AA20" i="99" s="1"/>
  <c r="K35" i="132"/>
  <c r="M35" i="132" s="1"/>
  <c r="Z37" i="99"/>
  <c r="AA37" i="99" s="1"/>
  <c r="Z58" i="99"/>
  <c r="AA58" i="99" s="1"/>
  <c r="K56" i="132"/>
  <c r="M56" i="132" s="1"/>
  <c r="K25" i="132"/>
  <c r="M25" i="132" s="1"/>
  <c r="Z27" i="99"/>
  <c r="AA27" i="99" s="1"/>
  <c r="K74" i="132"/>
  <c r="M74" i="132" s="1"/>
  <c r="Z76" i="99"/>
  <c r="AA76" i="99" s="1"/>
  <c r="Z19" i="99"/>
  <c r="AA19" i="99" s="1"/>
  <c r="K17" i="132"/>
  <c r="M17" i="132" s="1"/>
  <c r="Z67" i="99"/>
  <c r="AA67" i="99" s="1"/>
  <c r="K65" i="132"/>
  <c r="M65" i="132" s="1"/>
  <c r="K93" i="132"/>
  <c r="M93" i="132" s="1"/>
  <c r="Z95" i="99"/>
  <c r="AA95" i="99" s="1"/>
  <c r="Z65" i="99"/>
  <c r="AA65" i="99" s="1"/>
  <c r="K63" i="132"/>
  <c r="M63" i="132" s="1"/>
  <c r="K23" i="132"/>
  <c r="M23" i="132" s="1"/>
  <c r="Z25" i="99"/>
  <c r="AA25" i="99" s="1"/>
  <c r="K33" i="132"/>
  <c r="M33" i="132" s="1"/>
  <c r="Z35" i="99"/>
  <c r="AA35" i="99" s="1"/>
  <c r="Z21" i="99"/>
  <c r="AA21" i="99" s="1"/>
  <c r="K19" i="132"/>
  <c r="M19" i="132" s="1"/>
  <c r="K54" i="132"/>
  <c r="M54" i="132" s="1"/>
  <c r="Z56" i="99"/>
  <c r="AA56" i="99" s="1"/>
  <c r="Z53" i="99"/>
  <c r="AA53" i="99" s="1"/>
  <c r="K51" i="132"/>
  <c r="M51" i="132" s="1"/>
  <c r="Z23" i="99"/>
  <c r="AA23" i="99" s="1"/>
  <c r="K21" i="132"/>
  <c r="M21" i="132" s="1"/>
  <c r="K59" i="132"/>
  <c r="M59" i="132" s="1"/>
  <c r="Z61" i="99"/>
  <c r="AA61" i="99" s="1"/>
  <c r="K77" i="132"/>
  <c r="M77" i="132" s="1"/>
  <c r="Z79" i="99"/>
  <c r="AA79" i="99" s="1"/>
  <c r="L12" i="153"/>
  <c r="Z70" i="99"/>
  <c r="AA70" i="99" s="1"/>
  <c r="K68" i="132"/>
  <c r="M68" i="132" s="1"/>
  <c r="Z94" i="99"/>
  <c r="AA94" i="99" s="1"/>
  <c r="K92" i="132"/>
  <c r="M92" i="132" s="1"/>
  <c r="K69" i="132"/>
  <c r="M69" i="132" s="1"/>
  <c r="Z71" i="99"/>
  <c r="AA71" i="99" s="1"/>
  <c r="K57" i="132"/>
  <c r="M57" i="132" s="1"/>
  <c r="Z59" i="99"/>
  <c r="AA59" i="99" s="1"/>
  <c r="K55" i="132"/>
  <c r="M55" i="132" s="1"/>
  <c r="Z57" i="99"/>
  <c r="AA57" i="99" s="1"/>
  <c r="Z48" i="99"/>
  <c r="AA48" i="99" s="1"/>
  <c r="K46" i="132"/>
  <c r="M46" i="132" s="1"/>
  <c r="K22" i="132"/>
  <c r="M22" i="132" s="1"/>
  <c r="Z24" i="99"/>
  <c r="AA24" i="99" s="1"/>
  <c r="Z64" i="99"/>
  <c r="AA64" i="99" s="1"/>
  <c r="K62" i="132"/>
  <c r="M62" i="132" s="1"/>
  <c r="Z78" i="99"/>
  <c r="AA78" i="99" s="1"/>
  <c r="K76" i="132"/>
  <c r="M76" i="132" s="1"/>
  <c r="Z74" i="99"/>
  <c r="AA74" i="99" s="1"/>
  <c r="K72" i="132"/>
  <c r="M72" i="132" s="1"/>
  <c r="K79" i="132"/>
  <c r="M79" i="132" s="1"/>
  <c r="Z81" i="99"/>
  <c r="AA81" i="99" s="1"/>
  <c r="K58" i="132"/>
  <c r="M58" i="132" s="1"/>
  <c r="Z60" i="99"/>
  <c r="AA60" i="99" s="1"/>
  <c r="Z32" i="99"/>
  <c r="AA32" i="99" s="1"/>
  <c r="K30" i="132"/>
  <c r="M30" i="132" s="1"/>
  <c r="K52" i="132"/>
  <c r="M52" i="132" s="1"/>
  <c r="Z54" i="99"/>
  <c r="AA54" i="99" s="1"/>
  <c r="K36" i="132"/>
  <c r="M36" i="132" s="1"/>
  <c r="Z38" i="99"/>
  <c r="AA38" i="99" s="1"/>
  <c r="Z66" i="99"/>
  <c r="AA66" i="99" s="1"/>
  <c r="K64" i="132"/>
  <c r="M64" i="132" s="1"/>
  <c r="Z63" i="99"/>
  <c r="AA63" i="99" s="1"/>
  <c r="K61" i="132"/>
  <c r="M61" i="132" s="1"/>
  <c r="K66" i="132"/>
  <c r="M66" i="132" s="1"/>
  <c r="Z68" i="99"/>
  <c r="AA68" i="99" s="1"/>
  <c r="Z85" i="99"/>
  <c r="AA85" i="99" s="1"/>
  <c r="K83" i="132"/>
  <c r="M83" i="132" s="1"/>
  <c r="Z87" i="99"/>
  <c r="AA87" i="99" s="1"/>
  <c r="K85" i="132"/>
  <c r="M85" i="132" s="1"/>
  <c r="Z50" i="99"/>
  <c r="AA50" i="99" s="1"/>
  <c r="K48" i="132"/>
  <c r="M48" i="132" s="1"/>
  <c r="Z39" i="99"/>
  <c r="AA39" i="99" s="1"/>
  <c r="K37" i="132"/>
  <c r="M37" i="132" s="1"/>
  <c r="Z41" i="99"/>
  <c r="AA41" i="99" s="1"/>
  <c r="K39" i="132"/>
  <c r="M39" i="132" s="1"/>
  <c r="Z16" i="151"/>
  <c r="X15" i="151"/>
  <c r="X163" i="151" s="1"/>
  <c r="F11" i="167"/>
  <c r="F176" i="132"/>
  <c r="I176" i="132"/>
  <c r="H15" i="136"/>
  <c r="L20" i="177" l="1"/>
  <c r="G14" i="177"/>
  <c r="G13" i="177" s="1"/>
  <c r="O738" i="170"/>
  <c r="Z16" i="99"/>
  <c r="K14" i="132"/>
  <c r="Z15" i="151"/>
  <c r="Z163" i="151" s="1"/>
  <c r="M96" i="132"/>
  <c r="M95" i="132" s="1"/>
  <c r="K95" i="132"/>
  <c r="AA17" i="101"/>
  <c r="Z83" i="101"/>
  <c r="A638" i="170"/>
  <c r="G620" i="170"/>
  <c r="F14" i="136"/>
  <c r="O16" i="153"/>
  <c r="P16" i="153" s="1"/>
  <c r="L16" i="153"/>
  <c r="L15" i="153" s="1"/>
  <c r="J15" i="153"/>
  <c r="G11" i="167"/>
  <c r="J176" i="132"/>
  <c r="I15" i="136"/>
  <c r="L198" i="151" l="1"/>
  <c r="G14" i="136"/>
  <c r="F13" i="136"/>
  <c r="F18" i="136" s="1"/>
  <c r="AA16" i="99"/>
  <c r="Z97" i="99"/>
  <c r="M14" i="132"/>
  <c r="M13" i="132" s="1"/>
  <c r="M178" i="132" s="1"/>
  <c r="K13" i="132"/>
  <c r="K178" i="132" s="1"/>
  <c r="A655" i="170"/>
  <c r="G638" i="170"/>
  <c r="AB86" i="101"/>
  <c r="AA83" i="101"/>
  <c r="K176" i="132"/>
  <c r="M176" i="132" s="1"/>
  <c r="K15" i="154" l="1"/>
  <c r="K16" i="154" s="1"/>
  <c r="K15" i="177"/>
  <c r="K16" i="177" s="1"/>
  <c r="A672" i="170"/>
  <c r="G655" i="170"/>
  <c r="G672" i="170" s="1"/>
  <c r="AB100" i="99"/>
  <c r="AB103" i="99"/>
  <c r="AA97" i="99"/>
  <c r="AD163" i="151"/>
  <c r="AD167" i="151" s="1"/>
  <c r="O178" i="132"/>
  <c r="P178" i="132" s="1"/>
  <c r="F175" i="132"/>
  <c r="F174" i="132" s="1"/>
  <c r="F180" i="132" s="1"/>
  <c r="F181" i="132" s="1"/>
  <c r="F10" i="167"/>
  <c r="F14" i="167" s="1"/>
  <c r="K17" i="167" s="1"/>
  <c r="I175" i="132"/>
  <c r="I174" i="132" s="1"/>
  <c r="I180" i="132" s="1"/>
  <c r="I181" i="132" s="1"/>
  <c r="P187" i="132" s="1"/>
  <c r="H14" i="136"/>
  <c r="G13" i="136"/>
  <c r="G18" i="136" l="1"/>
  <c r="G33" i="177"/>
  <c r="G32" i="177" s="1"/>
  <c r="G35" i="177" s="1"/>
  <c r="K35" i="177" s="1"/>
  <c r="G10" i="167"/>
  <c r="G14" i="167" s="1"/>
  <c r="J175" i="132"/>
  <c r="H13" i="136"/>
  <c r="H18" i="136" s="1"/>
  <c r="G33" i="154"/>
  <c r="G32" i="154" s="1"/>
  <c r="G35" i="154" s="1"/>
  <c r="K35" i="154" s="1"/>
  <c r="O36" i="135"/>
  <c r="P34" i="135" s="1"/>
  <c r="O39" i="135" s="1"/>
  <c r="G706" i="170"/>
  <c r="G689" i="170"/>
  <c r="I14" i="136"/>
  <c r="I13" i="136" s="1"/>
  <c r="A706" i="170"/>
  <c r="A689" i="170"/>
  <c r="I18" i="136" l="1"/>
  <c r="H33" i="177"/>
  <c r="H32" i="177" s="1"/>
  <c r="H35" i="177" s="1"/>
  <c r="K39" i="177" s="1"/>
  <c r="K175" i="132"/>
  <c r="J174" i="132"/>
  <c r="J180" i="132" s="1"/>
  <c r="J181" i="132" s="1"/>
  <c r="H33" i="154"/>
  <c r="H32" i="154" s="1"/>
  <c r="H35" i="154" s="1"/>
  <c r="A740" i="170"/>
  <c r="A721" i="170"/>
  <c r="G721" i="170" s="1"/>
  <c r="K39" i="154" l="1"/>
  <c r="G740" i="170"/>
  <c r="A757" i="170"/>
  <c r="M175" i="132"/>
  <c r="M174" i="132" s="1"/>
  <c r="M180" i="132" s="1"/>
  <c r="M181" i="132" s="1"/>
  <c r="K174" i="132"/>
  <c r="K180" i="132" s="1"/>
  <c r="K181" i="132" s="1"/>
  <c r="G757" i="170" l="1"/>
  <c r="A774" i="170"/>
  <c r="G774" i="170" l="1"/>
  <c r="A791" i="170"/>
  <c r="G791" i="170" l="1"/>
  <c r="A808" i="170"/>
  <c r="A824" i="170" l="1"/>
  <c r="G808" i="170"/>
  <c r="G824" i="170" l="1"/>
  <c r="A841" i="170"/>
  <c r="A858" i="170" l="1"/>
  <c r="G841" i="170"/>
  <c r="A875" i="170" l="1"/>
  <c r="G858" i="170"/>
  <c r="A892" i="170" l="1"/>
  <c r="G875" i="170"/>
  <c r="A909" i="170" l="1"/>
  <c r="G892" i="170"/>
  <c r="A926" i="170" l="1"/>
  <c r="G909" i="170"/>
  <c r="G926" i="170" l="1"/>
  <c r="A943" i="170"/>
  <c r="G943" i="170" l="1"/>
  <c r="A960" i="170"/>
  <c r="G960" i="170" l="1"/>
  <c r="A977" i="170"/>
  <c r="A994" i="170" l="1"/>
  <c r="G977" i="170"/>
  <c r="A1011" i="170" l="1"/>
  <c r="G994" i="170"/>
  <c r="G1011" i="170" l="1"/>
  <c r="A1028" i="170"/>
  <c r="G1028" i="170" l="1"/>
  <c r="A1045" i="170"/>
  <c r="A1062" i="170" l="1"/>
  <c r="G1045" i="170"/>
  <c r="G1062" i="170" l="1"/>
  <c r="A1079" i="170"/>
  <c r="G1079" i="170" l="1"/>
  <c r="A1096" i="170"/>
  <c r="G1096" i="170" l="1"/>
  <c r="A1113" i="170"/>
  <c r="A1130" i="170" l="1"/>
  <c r="G1113" i="170"/>
  <c r="A1147" i="170" l="1"/>
  <c r="G1130" i="170"/>
  <c r="G1147" i="170" l="1"/>
  <c r="A1164" i="170"/>
  <c r="A1181" i="170" l="1"/>
  <c r="G1164" i="170"/>
  <c r="G1181" i="170" l="1"/>
  <c r="A1198" i="170"/>
  <c r="G1198" i="170" l="1"/>
  <c r="A1215" i="170"/>
  <c r="A1232" i="170" l="1"/>
  <c r="G1215" i="170"/>
  <c r="G1232" i="170" l="1"/>
  <c r="A1249" i="170"/>
  <c r="G1249" i="170" l="1"/>
  <c r="A1266" i="170"/>
  <c r="A1283" i="170" l="1"/>
  <c r="G1266" i="170"/>
  <c r="A1300" i="170" l="1"/>
  <c r="G1283" i="170"/>
  <c r="G1300" i="170" l="1"/>
  <c r="A1317" i="170"/>
  <c r="A1334" i="170" l="1"/>
  <c r="G1317" i="170"/>
  <c r="G1334" i="170" l="1"/>
  <c r="A1351" i="170"/>
  <c r="G1351" i="170" l="1"/>
  <c r="A1368" i="170"/>
  <c r="G1368" i="170" l="1"/>
  <c r="A1385" i="170"/>
  <c r="A1402" i="170" l="1"/>
  <c r="G1385" i="170"/>
  <c r="G1402" i="170" l="1"/>
  <c r="A1419" i="170"/>
  <c r="A1436" i="170" l="1"/>
  <c r="G1419" i="170"/>
  <c r="A1454" i="170" l="1"/>
  <c r="G1454" i="170" s="1"/>
  <c r="A1491" i="170"/>
  <c r="G1436" i="170"/>
  <c r="A1472" i="170" s="1"/>
  <c r="G1472" i="170" s="1"/>
  <c r="A1508" i="170" l="1"/>
  <c r="A1525" i="170" s="1"/>
  <c r="A1542" i="170" s="1"/>
  <c r="A1559" i="170" s="1"/>
  <c r="G1491" i="170"/>
  <c r="G1508" i="170" s="1"/>
  <c r="G1525" i="170" s="1"/>
  <c r="G1542" i="170" s="1"/>
  <c r="G1559" i="170" l="1"/>
  <c r="A1576" i="170"/>
  <c r="G1576" i="170" l="1"/>
  <c r="A1593" i="170"/>
  <c r="G1593" i="170" l="1"/>
  <c r="A1610" i="170"/>
  <c r="G1610" i="170" l="1"/>
  <c r="A1627" i="170"/>
  <c r="G1627" i="170" l="1"/>
  <c r="A1644" i="170"/>
  <c r="G1644" i="170" l="1"/>
  <c r="A1661" i="170"/>
  <c r="G1661" i="170" l="1"/>
  <c r="A1678" i="170"/>
  <c r="G1678" i="170" l="1"/>
  <c r="A1695" i="170"/>
  <c r="G1695" i="170" l="1"/>
  <c r="A1712" i="170"/>
  <c r="A1729" i="170" l="1"/>
  <c r="G1712" i="170"/>
  <c r="A1746" i="170" l="1"/>
  <c r="G1729" i="170"/>
  <c r="A1763" i="170" l="1"/>
  <c r="G1746" i="170"/>
  <c r="A1780" i="170" l="1"/>
  <c r="G1763" i="170"/>
  <c r="G1780" i="170" l="1"/>
  <c r="A1797" i="170"/>
  <c r="G1797" i="170" l="1"/>
  <c r="A1814" i="170"/>
  <c r="A1831" i="170" l="1"/>
  <c r="G1814" i="170"/>
  <c r="A1848" i="170" l="1"/>
  <c r="G1831" i="170"/>
  <c r="A1865" i="170" l="1"/>
  <c r="G1848" i="170"/>
  <c r="A1882" i="170" l="1"/>
  <c r="G1865" i="170"/>
  <c r="A1899" i="170" l="1"/>
  <c r="G1882" i="170"/>
  <c r="A1916" i="170" l="1"/>
  <c r="G1899" i="170"/>
  <c r="A1933" i="170" l="1"/>
  <c r="G1916" i="170"/>
  <c r="A1950" i="170" l="1"/>
  <c r="G1933" i="170"/>
  <c r="A1967" i="170" l="1"/>
  <c r="G1950" i="170"/>
  <c r="A1984" i="170" l="1"/>
  <c r="G1967" i="170"/>
  <c r="A2001" i="170" l="1"/>
  <c r="G1984" i="170"/>
  <c r="A2053" i="170" l="1"/>
  <c r="A2018" i="170"/>
  <c r="G2001" i="170"/>
  <c r="A2035" i="170" l="1"/>
  <c r="G2035" i="170" s="1"/>
  <c r="G2018" i="170"/>
  <c r="A2069" i="170"/>
  <c r="A2085" i="170" s="1"/>
  <c r="A2101" i="170" s="1"/>
  <c r="G2053" i="170"/>
  <c r="G2101" i="170" l="1"/>
  <c r="A2117" i="170"/>
  <c r="G2117" i="170" l="1"/>
  <c r="A2133" i="170"/>
  <c r="A2149" i="170" l="1"/>
  <c r="G2133" i="170"/>
  <c r="G2149" i="170" l="1"/>
  <c r="A2165" i="170"/>
  <c r="G2165" i="170" l="1"/>
  <c r="A2181" i="170"/>
  <c r="A2197" i="170" l="1"/>
  <c r="G2181" i="170"/>
  <c r="G2197" i="170" l="1"/>
  <c r="A2213" i="170"/>
  <c r="A2229" i="170" l="1"/>
  <c r="G2213" i="170"/>
  <c r="G2229" i="170" l="1"/>
  <c r="A2245" i="170"/>
  <c r="A2261" i="170" l="1"/>
  <c r="G2245" i="170"/>
  <c r="A2277" i="170" l="1"/>
  <c r="G2261" i="170"/>
  <c r="A2293" i="170" l="1"/>
  <c r="G2277" i="170"/>
  <c r="A2309" i="170" l="1"/>
  <c r="G2293" i="170"/>
  <c r="G2309" i="170" l="1"/>
  <c r="A2325" i="170"/>
  <c r="G2325" i="170" l="1"/>
  <c r="A2341" i="170"/>
  <c r="A2357" i="170" l="1"/>
  <c r="G2341" i="170"/>
  <c r="A2373" i="170" l="1"/>
  <c r="G2357" i="170"/>
  <c r="A2389" i="170" l="1"/>
  <c r="G2373" i="170"/>
  <c r="G2389" i="170" l="1"/>
  <c r="A2405" i="170"/>
  <c r="G2405" i="170" l="1"/>
  <c r="A2421" i="170"/>
  <c r="G2421" i="170" l="1"/>
  <c r="A2437" i="170"/>
  <c r="G2437" i="170" l="1"/>
  <c r="A2453" i="170"/>
  <c r="G2453" i="170" l="1"/>
  <c r="A2469" i="170"/>
  <c r="G2469" i="170" l="1"/>
  <c r="A2485" i="170"/>
  <c r="A2501" i="170" l="1"/>
  <c r="G2485" i="170"/>
  <c r="A2517" i="170" l="1"/>
  <c r="G2501" i="170"/>
  <c r="A2533" i="170" l="1"/>
  <c r="G2517" i="170"/>
  <c r="G2533" i="170" l="1"/>
  <c r="A2550" i="170"/>
  <c r="G2550" i="170" l="1"/>
  <c r="A2566" i="170"/>
  <c r="A2582" i="170" l="1"/>
  <c r="G2566" i="170"/>
  <c r="G2582" i="170" l="1"/>
  <c r="A2598" i="170"/>
  <c r="G2598" i="170" s="1"/>
</calcChain>
</file>

<file path=xl/sharedStrings.xml><?xml version="1.0" encoding="utf-8"?>
<sst xmlns="http://schemas.openxmlformats.org/spreadsheetml/2006/main" count="16078" uniqueCount="751">
  <si>
    <t>CÔNG TY TNHH CỔ PHẦN QUASA - GERUCO LÀO</t>
  </si>
  <si>
    <t>Hòa bình - Độc lập - Dân chủ - Thống nhất - Thịnh vượng</t>
  </si>
  <si>
    <t>CÔNG TY TNHH CỔ PHẦN QUASA-GERUCO LÀO</t>
  </si>
  <si>
    <t>Đvt</t>
  </si>
  <si>
    <t>Thảo Văn Vông</t>
  </si>
  <si>
    <t>CÔNG TY TNHH CỔ PHẦN QUASA - GERUCO</t>
  </si>
  <si>
    <t>STT</t>
  </si>
  <si>
    <t>Họ và Tên</t>
  </si>
  <si>
    <t>Lào</t>
  </si>
  <si>
    <t>Việt Nam</t>
  </si>
  <si>
    <t>Chức vụ</t>
  </si>
  <si>
    <t>ĐVT</t>
  </si>
  <si>
    <t>Ký nhận</t>
  </si>
  <si>
    <t>Thuế
 TNCN</t>
  </si>
  <si>
    <t>Trích KP
 Công Đoàn</t>
  </si>
  <si>
    <t>Thực 
Nhận</t>
  </si>
  <si>
    <t>Stt</t>
  </si>
  <si>
    <t>Họ và tên</t>
  </si>
  <si>
    <t>Tổng</t>
  </si>
  <si>
    <t>Phụ cấp</t>
  </si>
  <si>
    <t>Thành tiền</t>
  </si>
  <si>
    <t>Chức
 vụ</t>
  </si>
  <si>
    <t>LƯƠNG</t>
  </si>
  <si>
    <t xml:space="preserve">Thuế TNCN </t>
  </si>
  <si>
    <t>Lương chăm sóc</t>
  </si>
  <si>
    <t>Lương sản lượng</t>
  </si>
  <si>
    <t>Phụ cấp khai thác</t>
  </si>
  <si>
    <t>Thành 
tiền</t>
  </si>
  <si>
    <t xml:space="preserve">Hạng
kỹ
thuật
</t>
  </si>
  <si>
    <t>Thành
tiền</t>
  </si>
  <si>
    <t>CNKT</t>
  </si>
  <si>
    <t>PHÒNG TC - HC</t>
  </si>
  <si>
    <t>PHÒNG TC - KT</t>
  </si>
  <si>
    <t>TỔNG GIÁM ĐỐC</t>
  </si>
  <si>
    <t>Họ và Tên Lào</t>
  </si>
  <si>
    <t>Tổng công</t>
  </si>
  <si>
    <t>Mủ tạp</t>
  </si>
  <si>
    <t>Ngày công</t>
  </si>
  <si>
    <t>Xác Nhận</t>
  </si>
  <si>
    <t>CN-KT</t>
  </si>
  <si>
    <t>A</t>
  </si>
  <si>
    <t>Xếp loại KT tính lương</t>
  </si>
  <si>
    <t>Hòa Bình - Độc Lập - Dân Chủ - Thống Nhất - Thịnh Vượng</t>
  </si>
  <si>
    <t>Phụ cấp 
khai thác</t>
  </si>
  <si>
    <t>À¯ñ­À¤ò­</t>
  </si>
  <si>
    <t>Trần Viết Hùng</t>
  </si>
  <si>
    <t>Mai Đức Hiếu</t>
  </si>
  <si>
    <t>Hoàng Hữu Công</t>
  </si>
  <si>
    <t>B</t>
  </si>
  <si>
    <t>D</t>
  </si>
  <si>
    <t>Hòa Bình - Độc Lập - Dân Chủ -Thống Nhất - Thịnh Vượng</t>
  </si>
  <si>
    <t>T/T</t>
  </si>
  <si>
    <t>Họ tên</t>
  </si>
  <si>
    <t>Chức  vụ</t>
  </si>
  <si>
    <t>Ngày</t>
  </si>
  <si>
    <t>x</t>
  </si>
  <si>
    <t>CỘNG HÒA DÂN CHỦ NHÂN DÂN LÀO</t>
  </si>
  <si>
    <t>Hòa Bình -Độc Lập  - Dân Chủ - thống Nhất - Thịnh Vượng</t>
  </si>
  <si>
    <t>TT</t>
  </si>
  <si>
    <t>HỌ VÀ TÊN</t>
  </si>
  <si>
    <t>BẢN</t>
  </si>
  <si>
    <t>Tổng cộng</t>
  </si>
  <si>
    <t>Phụ cấp ngày cạo, ngày chủ nhật</t>
  </si>
  <si>
    <t>Sản lượng mủ</t>
  </si>
  <si>
    <t>Các khoản PC</t>
  </si>
  <si>
    <t>II</t>
  </si>
  <si>
    <t>Ghi chú</t>
  </si>
  <si>
    <t>NÔNG TRƯỜNG 2</t>
  </si>
  <si>
    <t>HẠNG MỤC CÔNG VIỆC</t>
  </si>
  <si>
    <t>Tên Công nhân</t>
  </si>
  <si>
    <t>Ghi chú</t>
  </si>
  <si>
    <t>In Ton</t>
  </si>
  <si>
    <t>Nông luông</t>
  </si>
  <si>
    <t>I</t>
  </si>
  <si>
    <t>Ngày công</t>
  </si>
  <si>
    <t>Pha Lu</t>
  </si>
  <si>
    <t>KÝ NHẬN</t>
  </si>
  <si>
    <t>GHI CHÚ</t>
  </si>
  <si>
    <t>CHỨC VỤ</t>
  </si>
  <si>
    <t>Công sản phẩm</t>
  </si>
  <si>
    <t>Sản lượng mủ</t>
  </si>
  <si>
    <t xml:space="preserve">Các khoản trừ </t>
  </si>
  <si>
    <t xml:space="preserve">Tạm ứng </t>
  </si>
  <si>
    <t>Tổng trừ:</t>
  </si>
  <si>
    <t xml:space="preserve">Còn lãnh </t>
  </si>
  <si>
    <t>Huội Sai</t>
  </si>
  <si>
    <t>Na Ka Pun</t>
  </si>
  <si>
    <t>TÊN BẢN</t>
  </si>
  <si>
    <t>SỐ CÔNG NHÂN</t>
  </si>
  <si>
    <t>Trưởng bản</t>
  </si>
  <si>
    <t>Na Ka Nông</t>
  </si>
  <si>
    <t>Xôm Xa Ạt</t>
  </si>
  <si>
    <t>Von</t>
  </si>
  <si>
    <t>Xi</t>
  </si>
  <si>
    <t>THỰC NHẬN</t>
  </si>
  <si>
    <t>BẢNG CHẤM CÔNG CB QUẢN LÝ, PHỤC VỤ SẢN XUẤT</t>
  </si>
  <si>
    <t>III</t>
  </si>
  <si>
    <t>Mã số nhân viên</t>
  </si>
  <si>
    <t>Mứt</t>
  </si>
  <si>
    <t>Nộ Na</t>
  </si>
  <si>
    <t>Thăm Mã La</t>
  </si>
  <si>
    <t>Pết</t>
  </si>
  <si>
    <t>Bun Lơng</t>
  </si>
  <si>
    <t>Khăn Hạ</t>
  </si>
  <si>
    <t>00383</t>
  </si>
  <si>
    <t>00377</t>
  </si>
  <si>
    <t>00376</t>
  </si>
  <si>
    <t>00397</t>
  </si>
  <si>
    <t>DANH SÁCH CÔNG NHÂN CHƯA CÓ HỢP ĐỒNG VÀ MÃ SỐ NHÂN VIÊN</t>
  </si>
  <si>
    <t>DANH SÁCH CÔNG NHÂN NGHỈ</t>
  </si>
  <si>
    <t>HỌ TÊN</t>
  </si>
  <si>
    <t>Thăm Ma Lay</t>
  </si>
  <si>
    <t>Bun Mi</t>
  </si>
  <si>
    <t>Son Vi Lay</t>
  </si>
  <si>
    <t>Xi Xa Văn</t>
  </si>
  <si>
    <t>Sênh Đôm Đi</t>
  </si>
  <si>
    <t>Kíp</t>
  </si>
  <si>
    <t>Đội: 1.2.3.4</t>
  </si>
  <si>
    <t>cn</t>
  </si>
  <si>
    <t>Phaloong</t>
  </si>
  <si>
    <t>La Vay</t>
  </si>
  <si>
    <t>Thảo Keo</t>
  </si>
  <si>
    <t>Đội 2</t>
  </si>
  <si>
    <t>Đội 4</t>
  </si>
  <si>
    <t>GIÁM ĐỐC NÔNG TRƯỜNG</t>
  </si>
  <si>
    <t>Tổng
 cộng</t>
  </si>
  <si>
    <t>Tổng 
công</t>
  </si>
  <si>
    <t>Quy khô
DRC=50</t>
  </si>
  <si>
    <t>Trần Viết Dũng</t>
  </si>
  <si>
    <t xml:space="preserve">VC KINH DOANH NĂM </t>
  </si>
  <si>
    <t>Công</t>
  </si>
  <si>
    <t>Nguyễn Trí Thạch</t>
  </si>
  <si>
    <t>BẢNG THANH TOÁN TIỀN HỖ TRỢ CÁC TRƯỞNG BẢN
 CÓ CÔNG NHÂN LÀM VIỆC CHO NÔNG TRƯỜNG VÀ CÔNG AN CỤM BẢN</t>
  </si>
  <si>
    <t>Trưởng Công an</t>
  </si>
  <si>
    <t>BẢNG CHẤM CÔNG CB QUẢN LÝ CÁC ĐỘI KHAI THÁC</t>
  </si>
  <si>
    <t>Quy khô</t>
  </si>
  <si>
    <t>NGƯỜI LẬP</t>
  </si>
  <si>
    <t xml:space="preserve">Trần Văn Lý </t>
  </si>
  <si>
    <t>Tổng sản lượng mủ tạp+mủ dây quy khô</t>
  </si>
  <si>
    <t>Lương USD</t>
  </si>
  <si>
    <t>Các khoản trừ</t>
  </si>
  <si>
    <t>Mã nhân viên</t>
  </si>
  <si>
    <t xml:space="preserve">Lập biểu </t>
  </si>
  <si>
    <t>NV-NN</t>
  </si>
  <si>
    <t>Xum Phon</t>
  </si>
  <si>
    <t>Đội 1</t>
  </si>
  <si>
    <t>Đội 3</t>
  </si>
  <si>
    <t>T. Đi</t>
  </si>
  <si>
    <t>T. Nhung</t>
  </si>
  <si>
    <t>Lương thực lãnh</t>
  </si>
  <si>
    <t>Tiền ăn</t>
  </si>
  <si>
    <t>Xăng T</t>
  </si>
  <si>
    <t>Các khoản nợ</t>
  </si>
  <si>
    <t>Tiền card</t>
  </si>
  <si>
    <t>Lương thực nhận</t>
  </si>
  <si>
    <t>Xăng</t>
  </si>
  <si>
    <t>ທ້າວ ສີ</t>
  </si>
  <si>
    <t>tiền lê</t>
  </si>
  <si>
    <t>Tổng cộng</t>
  </si>
  <si>
    <t>Nang Quamg</t>
  </si>
  <si>
    <t>Bun Khăm</t>
  </si>
  <si>
    <t xml:space="preserve">  PHÒNG TC - KT</t>
  </si>
  <si>
    <t xml:space="preserve"> </t>
  </si>
  <si>
    <t>TỔNG CÔNG</t>
  </si>
  <si>
    <t>ĐƠN GIÁ ( 25.000 KÍP )</t>
  </si>
  <si>
    <t>THÀNH TIỀN</t>
  </si>
  <si>
    <t>Thuế TNCN</t>
  </si>
  <si>
    <t>ịi</t>
  </si>
  <si>
    <t>Thảo Phôn Chay</t>
  </si>
  <si>
    <t>T .Nhum</t>
  </si>
  <si>
    <t>T . Phết</t>
  </si>
  <si>
    <t>N . Khâm (1)</t>
  </si>
  <si>
    <t>Tạp vụ</t>
  </si>
  <si>
    <t>Tạp Vụ</t>
  </si>
  <si>
    <t>lương Đội Lào Phôn +bun khưn</t>
  </si>
  <si>
    <t>Đô La</t>
  </si>
  <si>
    <t>Danh mục</t>
  </si>
  <si>
    <t>Số lượng</t>
  </si>
  <si>
    <t xml:space="preserve">Sản lượng thực hiện quy khô </t>
  </si>
  <si>
    <t>Đơn giá (kíp)</t>
  </si>
  <si>
    <t>Tổng tiền quyết toán (KIP)</t>
  </si>
  <si>
    <t>Tiền lương CN trực tiếp</t>
  </si>
  <si>
    <t>Sản lượng</t>
  </si>
  <si>
    <t>Kg</t>
  </si>
  <si>
    <t>Phụ cấp ngày công</t>
  </si>
  <si>
    <t>Tiền lương chăm sóc vườn cây</t>
  </si>
  <si>
    <t>Usd</t>
  </si>
  <si>
    <t>Tiền lương bảo vệ vườn cây</t>
  </si>
  <si>
    <t>Bảo vệ</t>
  </si>
  <si>
    <t>CHI PHÍ KHÁC</t>
  </si>
  <si>
    <t>Phụ cấp Trưởng bản</t>
  </si>
  <si>
    <t>TỔNG CỘNG:</t>
  </si>
  <si>
    <t>T . Lốc</t>
  </si>
  <si>
    <t>Công việc khác</t>
  </si>
  <si>
    <t>N. Tun 1</t>
  </si>
  <si>
    <t>Chi phí tiếp khách</t>
  </si>
  <si>
    <r>
      <t>Nông trường 2</t>
    </r>
    <r>
      <rPr>
        <sz val="11"/>
        <rFont val="Times New Roman"/>
        <family val="1"/>
      </rPr>
      <t>, ngày 02 tháng 10  năm 2022</t>
    </r>
  </si>
  <si>
    <t>Chi phí nhiêu liệu phục vụ sản xuất</t>
  </si>
  <si>
    <t>ĐP - NL</t>
  </si>
  <si>
    <t>Phụ cấp xe ViGO biển số nn 0125</t>
  </si>
  <si>
    <t>Nguyễn Ngọc Huấn</t>
  </si>
  <si>
    <t>Đội trưởng</t>
  </si>
  <si>
    <t>T. Phô Thong</t>
  </si>
  <si>
    <t>T. Sô Đa</t>
  </si>
  <si>
    <t>N. Tủn</t>
  </si>
  <si>
    <t>T. Lung</t>
  </si>
  <si>
    <t>N. Mom</t>
  </si>
  <si>
    <t>Đao Hương</t>
  </si>
  <si>
    <t>T. Bun Hinh</t>
  </si>
  <si>
    <t>N . Thích</t>
  </si>
  <si>
    <t>N. Cong Mi</t>
  </si>
  <si>
    <t>T . In Tong</t>
  </si>
  <si>
    <t>T. Nú</t>
  </si>
  <si>
    <t>T . Cổ</t>
  </si>
  <si>
    <t>T. Nọi</t>
  </si>
  <si>
    <t>Xợt</t>
  </si>
  <si>
    <t>T. Sa Văn</t>
  </si>
  <si>
    <t>Lăm Ngân</t>
  </si>
  <si>
    <t>T. Son Xay</t>
  </si>
  <si>
    <t>N. Mon Khăm</t>
  </si>
  <si>
    <t>T. Hin</t>
  </si>
  <si>
    <t>T. Xôm Va Nít</t>
  </si>
  <si>
    <t>T. Lọi</t>
  </si>
  <si>
    <t>T. Ca Te</t>
  </si>
  <si>
    <t>T. Lâm Phon</t>
  </si>
  <si>
    <t>N. Đeng</t>
  </si>
  <si>
    <t>T. Pông</t>
  </si>
  <si>
    <t>N. Lẹ</t>
  </si>
  <si>
    <t>N. Lay</t>
  </si>
  <si>
    <t>Bôi thuốc kích thích</t>
  </si>
  <si>
    <t>Đội phó</t>
  </si>
  <si>
    <t>T. Thong Đon</t>
  </si>
  <si>
    <t>T. Viêng Sa Văn</t>
  </si>
  <si>
    <t>T. Tinh</t>
  </si>
  <si>
    <t>N. Chay</t>
  </si>
  <si>
    <t>T. Cạp</t>
  </si>
  <si>
    <t>N. Soi</t>
  </si>
  <si>
    <t>Kí nhận</t>
  </si>
  <si>
    <r>
      <t xml:space="preserve">Đơn Giá 
</t>
    </r>
    <r>
      <rPr>
        <sz val="13"/>
        <rFont val="Times New Roman"/>
        <family val="1"/>
      </rPr>
      <t>(25000 kíp)</t>
    </r>
  </si>
  <si>
    <t>Đoàn Văn Nghĩa</t>
  </si>
  <si>
    <t>N. Vạt</t>
  </si>
  <si>
    <t>N. Phôn 1</t>
  </si>
  <si>
    <t>T Căng</t>
  </si>
  <si>
    <t>T. In Păn</t>
  </si>
  <si>
    <t>N. Me Kha La</t>
  </si>
  <si>
    <t>T. Bin Ly.</t>
  </si>
  <si>
    <t>N. Phim Phon.</t>
  </si>
  <si>
    <t>T. Phu Ngân</t>
  </si>
  <si>
    <t>N. Ba Say</t>
  </si>
  <si>
    <t>T. May</t>
  </si>
  <si>
    <t>N. Keo</t>
  </si>
  <si>
    <t>N.Vông Ma Ni</t>
  </si>
  <si>
    <t>T. Khăm Mặn</t>
  </si>
  <si>
    <t>N. Bun Đi</t>
  </si>
  <si>
    <t>N. Phon</t>
  </si>
  <si>
    <t>N. Ốc</t>
  </si>
  <si>
    <t>T. Lem</t>
  </si>
  <si>
    <t>N. Bua Hom</t>
  </si>
  <si>
    <t>Tổng lương</t>
  </si>
  <si>
    <t>Ngày công đi cạo thường (x)</t>
  </si>
  <si>
    <t>Ngày CN thường (cn)</t>
  </si>
  <si>
    <t>N. Văn Ta</t>
  </si>
  <si>
    <t>T. Khăm...</t>
  </si>
  <si>
    <t>N. Pheng</t>
  </si>
  <si>
    <t>T. A lem</t>
  </si>
  <si>
    <t>N. Phim Pha</t>
  </si>
  <si>
    <t>T. Huôn</t>
  </si>
  <si>
    <t>Phụ cấp ngày chủ nhật</t>
  </si>
  <si>
    <t>Tiền đảng 2 tháng</t>
  </si>
  <si>
    <t>Tiền quỷ NT 3 tháng</t>
  </si>
  <si>
    <t>ứng lương</t>
  </si>
  <si>
    <t>Nguyễn Thị Huệ</t>
  </si>
  <si>
    <t>N. Pon</t>
  </si>
  <si>
    <t>T. Thon</t>
  </si>
  <si>
    <t>T. Ta</t>
  </si>
  <si>
    <t>T. Xơn</t>
  </si>
  <si>
    <t>CÔNG TY TNHH CP QUASA - GERUCO LÀO</t>
  </si>
  <si>
    <t>Phát chồi đại trà</t>
  </si>
  <si>
    <t>T Xèng</t>
  </si>
  <si>
    <t>N. Lỷ</t>
  </si>
  <si>
    <t xml:space="preserve">Phụ cấp nhỏ a xít </t>
  </si>
  <si>
    <t>Tổng mủ tạp</t>
  </si>
  <si>
    <t>Đội 1,2 3</t>
  </si>
  <si>
    <t>-----oOo-----</t>
  </si>
  <si>
    <t>(1)</t>
  </si>
  <si>
    <t>(2)</t>
  </si>
  <si>
    <t>(4)</t>
  </si>
  <si>
    <t>(5)</t>
  </si>
  <si>
    <t>(6)</t>
  </si>
  <si>
    <t>Sản lượng giao kế hoạch tháng (tấn)</t>
  </si>
  <si>
    <t>Sản lượng thực hiện trong tháng (tấn)</t>
  </si>
  <si>
    <t>PHÒNG KT - NN</t>
  </si>
  <si>
    <t>Vườn cây kinh doanh Total (1)</t>
  </si>
  <si>
    <t>T. Thong</t>
  </si>
  <si>
    <t>-----o0o-----</t>
  </si>
  <si>
    <t>----- o0o-----</t>
  </si>
  <si>
    <t>ĐỘI  4</t>
  </si>
  <si>
    <t>Đặng Ngọc Tú</t>
  </si>
  <si>
    <t>Phan Văn Hưng</t>
  </si>
  <si>
    <t xml:space="preserve">Tỷ giá Bath qua Kip: </t>
  </si>
  <si>
    <t>N. Phu Văn</t>
  </si>
  <si>
    <t>Lương thực hiện trong tháng</t>
  </si>
  <si>
    <t>Lương kíp</t>
  </si>
  <si>
    <t xml:space="preserve">Xếp loại kỹ thuật A </t>
  </si>
  <si>
    <t xml:space="preserve">Xếp loại kỹ thuật B </t>
  </si>
  <si>
    <t xml:space="preserve">Xếp loại kỹ thuật C </t>
  </si>
  <si>
    <t>Xếp loại kỹ thuật D</t>
  </si>
  <si>
    <t xml:space="preserve">Lương cơ bản </t>
  </si>
  <si>
    <t>Lương tính theo tỷ lệ hoàn thành sản lượng</t>
  </si>
  <si>
    <t>Tỷ lệ hoàn thành sản lượng  (%)</t>
  </si>
  <si>
    <t>PC ngày công đi cạo</t>
  </si>
  <si>
    <t>Thưởng 2 tháng</t>
  </si>
  <si>
    <t>Nguyễn Quang Hà</t>
  </si>
  <si>
    <t>Trần Đăng Tám</t>
  </si>
  <si>
    <t>Nguyễn Văn Thái</t>
  </si>
  <si>
    <t>Nguyễn Quốc Triệu Phú</t>
  </si>
  <si>
    <t>T. Ê</t>
  </si>
  <si>
    <t>TẠP VỤ NGƯỜI LÀO</t>
  </si>
  <si>
    <t>(3)= (2)/(1)*100%</t>
  </si>
  <si>
    <t>1.1</t>
  </si>
  <si>
    <t>1.2</t>
  </si>
  <si>
    <t>1.3</t>
  </si>
  <si>
    <t>Nguyễn Thị Thùy Linh</t>
  </si>
  <si>
    <t>Nguyễn Văn Cương</t>
  </si>
  <si>
    <t>Lê Minh Trí</t>
  </si>
  <si>
    <t>Trần Thị Kim Ngân</t>
  </si>
  <si>
    <t>T. Vôn</t>
  </si>
  <si>
    <t>T . Bua Ngân</t>
  </si>
  <si>
    <t>N. Nong</t>
  </si>
  <si>
    <t>N. On Xi</t>
  </si>
  <si>
    <t>T. Lốp</t>
  </si>
  <si>
    <t>N. Lăm Phay</t>
  </si>
  <si>
    <t>T Dăn</t>
  </si>
  <si>
    <t>T. Xợt</t>
  </si>
  <si>
    <t>T. Đèng</t>
  </si>
  <si>
    <t>N. Đon</t>
  </si>
  <si>
    <t>N. Xi</t>
  </si>
  <si>
    <t>N. Túc</t>
  </si>
  <si>
    <t>T. Xi Nuôn</t>
  </si>
  <si>
    <t>T. Văn Nô</t>
  </si>
  <si>
    <t>Bun Thon</t>
  </si>
  <si>
    <t>N. Xeo Khăm</t>
  </si>
  <si>
    <t>T. Xan Nha</t>
  </si>
  <si>
    <t xml:space="preserve">T. Xeng </t>
  </si>
  <si>
    <t>T. Vạt</t>
  </si>
  <si>
    <t>T. Lay</t>
  </si>
  <si>
    <t>T. Chăn La .</t>
  </si>
  <si>
    <t>Hoàng Thị Lan</t>
  </si>
  <si>
    <t>Phu</t>
  </si>
  <si>
    <t>T Bun</t>
  </si>
  <si>
    <t>T. Xi Nun</t>
  </si>
  <si>
    <t>N. Xúc</t>
  </si>
  <si>
    <t>T. Lăm Phêng</t>
  </si>
  <si>
    <t>T Bun Xi</t>
  </si>
  <si>
    <t>Lom</t>
  </si>
  <si>
    <t>Ghi Chú</t>
  </si>
  <si>
    <t>N. Khay Chăn</t>
  </si>
  <si>
    <t>T. Khách</t>
  </si>
  <si>
    <t>Tạp vụ Nông trường</t>
  </si>
  <si>
    <t xml:space="preserve">BẢNG CHẤM CÔNG BẢO VỆ NGƯỜI LÀO </t>
  </si>
  <si>
    <t xml:space="preserve">I </t>
  </si>
  <si>
    <t xml:space="preserve">BẢNG CHẤM CÔNG BẢO VỆ </t>
  </si>
  <si>
    <t>- BHXH, thuế TNCN,CĐ</t>
  </si>
  <si>
    <t>Nguyễn Minh Thành</t>
  </si>
  <si>
    <t>Mủ tạp (kg)</t>
  </si>
  <si>
    <t xml:space="preserve">Tổng 
lương 
</t>
  </si>
  <si>
    <t>Lương chăm sóc ( đơn giá 25.000 kíp/ công)</t>
  </si>
  <si>
    <t>Tiền lương còn lại</t>
  </si>
  <si>
    <t xml:space="preserve">Tổng Tiền
lương 
</t>
  </si>
  <si>
    <t>Nang On Xi</t>
  </si>
  <si>
    <t>Thảo Túc</t>
  </si>
  <si>
    <t xml:space="preserve">CNK </t>
  </si>
  <si>
    <t>CNK</t>
  </si>
  <si>
    <t>Tiền lương</t>
  </si>
  <si>
    <t>Tiền lương kinh doanh (622kt….)</t>
  </si>
  <si>
    <t>ĐVT : Kíp</t>
  </si>
  <si>
    <t xml:space="preserve">  Vườn cây kinh doanh </t>
  </si>
  <si>
    <t>SL A</t>
  </si>
  <si>
    <t>SLB</t>
  </si>
  <si>
    <t>SLC</t>
  </si>
  <si>
    <t>SLD</t>
  </si>
  <si>
    <t>ngày công thường</t>
  </si>
  <si>
    <t>chủ nhật</t>
  </si>
  <si>
    <t>Phụ cấp nhỏ a xít</t>
  </si>
  <si>
    <t>lương sp</t>
  </si>
  <si>
    <t>Vườn cây kinh doanh</t>
  </si>
  <si>
    <r>
      <t>Tổng tiền lương</t>
    </r>
    <r>
      <rPr>
        <sz val="13"/>
        <rFont val="Times New Roman"/>
        <family val="1"/>
      </rPr>
      <t xml:space="preserve">
</t>
    </r>
  </si>
  <si>
    <t>SỐ CÔNG NHÂN</t>
  </si>
  <si>
    <t xml:space="preserve">C </t>
  </si>
  <si>
    <t>HẠNG KỸ THUẬT</t>
  </si>
  <si>
    <t>Xếp hạng kỹ thuật</t>
  </si>
  <si>
    <t>N. Nhung  ( VP)</t>
  </si>
  <si>
    <t>SẢN LƯỢNG MỦ TẠP (KG)</t>
  </si>
  <si>
    <t>SẢN LƯỢNG MỦ QUY KHÔ (KG)</t>
  </si>
  <si>
    <t>Công nhân chính thức</t>
  </si>
  <si>
    <t>Công nhân thay thế</t>
  </si>
  <si>
    <t>C.</t>
  </si>
  <si>
    <t>Kí tên</t>
  </si>
  <si>
    <t>Đơn giá</t>
  </si>
  <si>
    <t>Hạng kỹ thuật</t>
  </si>
  <si>
    <t>Tỉ giá Bath</t>
  </si>
  <si>
    <t>PC ngày chủ nhật</t>
  </si>
  <si>
    <t>Bảo vệ (D1)</t>
  </si>
  <si>
    <t>Bảo vệ (D3)</t>
  </si>
  <si>
    <t>MSNV</t>
  </si>
  <si>
    <t>-----o0o----</t>
  </si>
  <si>
    <t>Phụ cấp 20.000 kíp / ngày / người</t>
  </si>
  <si>
    <t>T. Feng</t>
  </si>
  <si>
    <t xml:space="preserve">T. La </t>
  </si>
  <si>
    <t>TL. TC - KT</t>
  </si>
  <si>
    <t>TẠP VỤ</t>
  </si>
  <si>
    <t>Tổng tiền lương (kíp)</t>
  </si>
  <si>
    <t>Tổng tiền tiền lương thực nhận (kíp)</t>
  </si>
  <si>
    <t>Mủ dây (kg)</t>
  </si>
  <si>
    <t xml:space="preserve">
 Quy
khô ( kg)
</t>
  </si>
  <si>
    <t>DRC bình quân</t>
  </si>
  <si>
    <t xml:space="preserve">DRC thực tế </t>
  </si>
  <si>
    <t>Mủ Xirum</t>
  </si>
  <si>
    <t>mủ QK</t>
  </si>
  <si>
    <t>DRC mủ dây</t>
  </si>
  <si>
    <t>DRC mủ serum</t>
  </si>
  <si>
    <t>Mủ xirum (kg)</t>
  </si>
  <si>
    <t>(+) BẢO VỆ VƯỜN CÂY</t>
  </si>
  <si>
    <t>Ghi chú :</t>
  </si>
  <si>
    <t>x : Ngày công làm việc</t>
  </si>
  <si>
    <r>
      <t>Ghi chú :</t>
    </r>
    <r>
      <rPr>
        <b/>
        <sz val="10"/>
        <rFont val="Times New Roman"/>
        <family val="1"/>
        <charset val="163"/>
      </rPr>
      <t xml:space="preserve">                        X</t>
    </r>
  </si>
  <si>
    <t>Đơn vị tính : Kíp</t>
  </si>
  <si>
    <t xml:space="preserve"> p :  Nghỉ phép</t>
  </si>
  <si>
    <t xml:space="preserve"> x : Ngày công làm việc</t>
  </si>
  <si>
    <t>cn : Ngày chủ nhật</t>
  </si>
  <si>
    <t xml:space="preserve">LƯƠNG THÁNG 07/2024   </t>
  </si>
  <si>
    <t>ຊັ້ນເຕັກນິກ</t>
  </si>
  <si>
    <t>ຜະລິດຕະພັນ</t>
  </si>
  <si>
    <t>ມື້ໄປກີດຍາງ</t>
  </si>
  <si>
    <t>ປະລິມານຢາງ</t>
  </si>
  <si>
    <t>ການຫັກລັບ</t>
  </si>
  <si>
    <t>ລ່ວງຫນ້າ</t>
  </si>
  <si>
    <t>ລົບທັງໝົດ</t>
  </si>
  <si>
    <t>ທີ່ຄົງເຫຼືອ</t>
  </si>
  <si>
    <t>Bùi Xuân Mai</t>
  </si>
  <si>
    <t>Tháng 07</t>
  </si>
  <si>
    <t>DRC ( đội 1)</t>
  </si>
  <si>
    <t>Phụ cấp ngày công bình thường</t>
  </si>
  <si>
    <t>T. Bờm</t>
  </si>
  <si>
    <t>Phụ cấp ngày công đi cạo thường</t>
  </si>
  <si>
    <t>Phụ cấp cạo 2 lát ngày chủ nhật</t>
  </si>
  <si>
    <t>(6)=(4)+(5)</t>
  </si>
  <si>
    <t>PC cạo 2 lát thường</t>
  </si>
  <si>
    <t>PC cạo 2 lát chủ nhật</t>
  </si>
  <si>
    <t>C</t>
  </si>
  <si>
    <t>cạo 2 lát ngày chủ nhật</t>
  </si>
  <si>
    <t>T.Pu</t>
  </si>
  <si>
    <t>T.Ta</t>
  </si>
  <si>
    <t>N.Nang</t>
  </si>
  <si>
    <t>Đội Phó</t>
  </si>
  <si>
    <t>Phụ cấp tiền lương</t>
  </si>
  <si>
    <t>Tiền lương  đội phó người Lào</t>
  </si>
  <si>
    <t>TIỀN LƯƠNG  CB.CNV</t>
  </si>
  <si>
    <t>(+) TIỀN LƯƠNG  CB.CNV NGƯỜI LÀO</t>
  </si>
  <si>
    <t>Ghi chú:</t>
  </si>
  <si>
    <t>x: Ngày công cạo thường</t>
  </si>
  <si>
    <t>cn: Ngày công  chủ nhật thường</t>
  </si>
  <si>
    <t>Ngày công cạo gia tăng 2 miêng (gt)</t>
  </si>
  <si>
    <t>Ngày chủ nhật cạo gia tăng 2 miệng (ct)</t>
  </si>
  <si>
    <t>Ngày công đi cạo 2 lát (đ)</t>
  </si>
  <si>
    <t>đ: Ngày công cạo đi 2 lát</t>
  </si>
  <si>
    <t>đc: Ngày công chủ nhật cạo 2 lát</t>
  </si>
  <si>
    <t>gt: Ngày công cạo gia tăng 2 miệng</t>
  </si>
  <si>
    <t xml:space="preserve">ct: Ngày chủ nhật cạo gia tăng 2 miệng </t>
  </si>
  <si>
    <t>Ngày công chủ nhật cạo 2 lát (đc)</t>
  </si>
  <si>
    <t>TỶ LỆ % THEO HẠNG KỸ THUẬT</t>
  </si>
  <si>
    <t>GHI CHÚ</t>
  </si>
  <si>
    <t>Phụ cấp ngày CN thường</t>
  </si>
  <si>
    <t>Phụ cấp ngày công đi cạo 2 lát</t>
  </si>
  <si>
    <t>Phụ cấp ngày công chủ nhật cạo 2 lát</t>
  </si>
  <si>
    <t xml:space="preserve">Phụ cấp ngày công cạo gia tăng 2 miêng </t>
  </si>
  <si>
    <t>Phụ cấp ngày chủ nhật cạo gia tăng 2 miệng</t>
  </si>
  <si>
    <t>T. Khăm Pỏi</t>
  </si>
  <si>
    <t>Phụ cấp ngày công đi cạo 2 lát</t>
  </si>
  <si>
    <t>Phụ cấp ngày công cạo gia tăng 2 miệng</t>
  </si>
  <si>
    <t>CỘNG HOÀ DÂN CHỦ NHÂN DÂN LÀO</t>
  </si>
  <si>
    <t>Hoà bình - Độc lập - Dân chủ - Thống nhất - Thịnh vượng</t>
  </si>
  <si>
    <t>----oOo----</t>
  </si>
  <si>
    <t>HỌ VÀ TÊN</t>
  </si>
  <si>
    <t>CHỨC VỤ</t>
  </si>
  <si>
    <t>LƯƠNG (kip)</t>
  </si>
  <si>
    <t>THUẾ TNCN (kip)</t>
  </si>
  <si>
    <t>ທອງ</t>
  </si>
  <si>
    <t>đội 2</t>
  </si>
  <si>
    <t>01966</t>
  </si>
  <si>
    <t>đội 3</t>
  </si>
  <si>
    <t>01967</t>
  </si>
  <si>
    <t>trạm cân</t>
  </si>
  <si>
    <t>ĐP</t>
  </si>
  <si>
    <t>TỔNG</t>
  </si>
  <si>
    <t>PC ngày công cạo gia tăng 2 miệng</t>
  </si>
  <si>
    <t>PC chủ nhật cạo gia tăng 2 miệng</t>
  </si>
  <si>
    <t>PC ngày công đi cạo 2 lát</t>
  </si>
  <si>
    <t>ເຮັດວຽກວັນອາທິດ</t>
  </si>
  <si>
    <t xml:space="preserve">ມື້ກີດຍາງ ເພີ່ມຂື້ນ 2 ເທົ່າ </t>
  </si>
  <si>
    <t xml:space="preserve">ກີດຍາງວັນອາທິດ ເພີ່ມຂື້ນ 2 ເທົ່າ </t>
  </si>
  <si>
    <t>ອຸດໜຸນເງິນເດືອນ</t>
  </si>
  <si>
    <t>BẢNG CHẤM CÔNG  CB.CNV LÀM VIỆC TẠI NÔNG TRƯỜNG 2</t>
  </si>
  <si>
    <t>p : nghỉ phép</t>
  </si>
  <si>
    <t>Số CN</t>
  </si>
  <si>
    <t>Mức hổ trợ</t>
  </si>
  <si>
    <t>từ 2 &gt; 30</t>
  </si>
  <si>
    <t>từ 30 &gt; 50</t>
  </si>
  <si>
    <t>&gt;</t>
  </si>
  <si>
    <t>DRC</t>
  </si>
  <si>
    <t>T. Tan</t>
  </si>
  <si>
    <t>Đơn giá mủ seum</t>
  </si>
  <si>
    <t>N. Phết 2</t>
  </si>
  <si>
    <t>Xam xe y</t>
  </si>
  <si>
    <r>
      <rPr>
        <b/>
        <i/>
        <sz val="11"/>
        <color indexed="63"/>
        <rFont val="Times New Roman"/>
        <family val="1"/>
        <charset val="163"/>
      </rPr>
      <t>Số tiền bằng chữ:</t>
    </r>
    <r>
      <rPr>
        <b/>
        <sz val="11"/>
        <color indexed="63"/>
        <rFont val="Times New Roman"/>
        <family val="1"/>
        <charset val="163"/>
      </rPr>
      <t xml:space="preserve"> Năm triệu chín trăm nghìn kíp</t>
    </r>
  </si>
  <si>
    <t xml:space="preserve">Hổ trợ xăng xe </t>
  </si>
  <si>
    <t>Mủ sỉum</t>
  </si>
  <si>
    <t>Lể quốc khánh lào</t>
  </si>
  <si>
    <t>TỔNG CỘNG</t>
  </si>
  <si>
    <t xml:space="preserve">ວັນຊາດ </t>
  </si>
  <si>
    <t>Hà Văn Thủy</t>
  </si>
  <si>
    <t>T. Tý</t>
  </si>
  <si>
    <t>BẢNG TỔNG HỢP CÔNG THỰC HIỆN THÁNG 01 NĂM 2025</t>
  </si>
  <si>
    <t>Phụ cấp tiền lương (10.000 kíp/phần)</t>
  </si>
  <si>
    <t>Tổng mủ Xirum</t>
  </si>
  <si>
    <t>ĐỘI  1</t>
  </si>
  <si>
    <t>ĐỘI  2</t>
  </si>
  <si>
    <t>ĐỘI  3</t>
  </si>
  <si>
    <t>Mủ Xi Rum</t>
  </si>
  <si>
    <t>BVTV</t>
  </si>
  <si>
    <t>Đội</t>
  </si>
  <si>
    <t>T. Khon</t>
  </si>
  <si>
    <t>T. Phước</t>
  </si>
  <si>
    <t>T. Thun</t>
  </si>
  <si>
    <t>T. Phon</t>
  </si>
  <si>
    <t>Khăm Sai</t>
  </si>
  <si>
    <t>T. Lả</t>
  </si>
  <si>
    <t>T. Ni</t>
  </si>
  <si>
    <t>pt : Phép tết</t>
  </si>
  <si>
    <t>tt :  Trực tết</t>
  </si>
  <si>
    <t>Thành tiền (kip)</t>
  </si>
  <si>
    <t>Cạo gia tăng 2 miệng</t>
  </si>
  <si>
    <t>Phu cấp 10.000 kíp</t>
  </si>
  <si>
    <t>Phu cấp 20.000 kíp</t>
  </si>
  <si>
    <t xml:space="preserve"> MỦ CHÉN NÔNG TRƯỜNG </t>
  </si>
  <si>
    <t>MỦ DÂY</t>
  </si>
  <si>
    <t>MỦ XIRUM</t>
  </si>
  <si>
    <t>MỦ TIỂU ĐIỀN</t>
  </si>
  <si>
    <t>KHỐI LƯỢNG XUẤT VỀ NHÀ MÁY</t>
  </si>
  <si>
    <t>KHỐI LƯỢNG MỦ NHẬP VỀ( QUY KHÔ)</t>
  </si>
  <si>
    <t>MỦ THÁNG 01/2025</t>
  </si>
  <si>
    <t>KHỐI LƯỢNG MỦ ĐÃ CÁN( QUY KHÔ)</t>
  </si>
  <si>
    <t>Mủ từ ngày 01/02 đến 04/02/2025</t>
  </si>
  <si>
    <t>MỦ THÁNG 12/2024</t>
  </si>
  <si>
    <t>BẢNG TỔNG HỢP MỦ TRẠM CÁN NÔNG TRƯỜNG 2</t>
  </si>
  <si>
    <r>
      <rPr>
        <b/>
        <i/>
        <sz val="13"/>
        <rFont val="Times New Roman"/>
        <family val="1"/>
        <charset val="163"/>
      </rPr>
      <t>Nông trường 2</t>
    </r>
    <r>
      <rPr>
        <sz val="13"/>
        <rFont val="Times New Roman"/>
        <family val="1"/>
        <charset val="163"/>
      </rPr>
      <t>, ngày 02 tháng 02 năm 2025</t>
    </r>
  </si>
  <si>
    <t>NGƯỜI GIAO</t>
  </si>
  <si>
    <t>NGƯỜI NHẬN</t>
  </si>
  <si>
    <t>LƯƠNG THÁNG 01/2025</t>
  </si>
  <si>
    <t>ການຈັດປະເພດເຕັກນິກ</t>
  </si>
  <si>
    <t>ອຸດໜູນມື້ໄປກີດຍາງ</t>
  </si>
  <si>
    <t>ອຸດໜູນມື້ໄປເຮັດວຽກວັນອາທິດ</t>
  </si>
  <si>
    <t>ປະລິມານນ້ຳຢາງ</t>
  </si>
  <si>
    <t xml:space="preserve">ອຸດໜູນມື້ກີດຢາງ ເພີ່ມຂື້ນ 2 ເທົ່າ </t>
  </si>
  <si>
    <t>ບັນດາການຫັກລັບ</t>
  </si>
  <si>
    <t>ການເບີກເງີນລ່ວງຫນ້າ</t>
  </si>
  <si>
    <t>ລວມການລົບທັງໝົດ</t>
  </si>
  <si>
    <t>BẢNG KÊ CHI PHÍ TRỰC TẾT NĂM 2025</t>
  </si>
  <si>
    <t>ĐƠN VỊ</t>
  </si>
  <si>
    <t>SỐ LƯỢNG</t>
  </si>
  <si>
    <t>SỐ TIỀN ( KÍP)</t>
  </si>
  <si>
    <t>Chi phí mua đồ cúng + bánh mứt</t>
  </si>
  <si>
    <t>Chi phí mua đồ trang trí ( bông hoa ....)</t>
  </si>
  <si>
    <t xml:space="preserve">Hổ trợ tiền ăn </t>
  </si>
  <si>
    <t>Người</t>
  </si>
  <si>
    <t>Lần</t>
  </si>
  <si>
    <t xml:space="preserve">TỔNG CỘNG </t>
  </si>
  <si>
    <t>Mường phìn,ngày 07 tháng 02 năm 2025</t>
  </si>
  <si>
    <t>P.GĐ NÔNG TRƯỜNG 2</t>
  </si>
  <si>
    <t xml:space="preserve">Số tiền bằng chữ : Mười bảy triệu không trăm hai mươi nghìn kíp </t>
  </si>
  <si>
    <t>BẢNG THANH TOÁN TIỀN HỔ TRỢ DỰNG CHỐT BẢO VỆ THỜI VỤ</t>
  </si>
  <si>
    <t>N. Mon</t>
  </si>
  <si>
    <t>Bun Luân</t>
  </si>
  <si>
    <t>Đơn giá công 25.000 kíp</t>
  </si>
  <si>
    <t>Số tiền bằng chữ: Chín triệu ba trăm bảy mươi lăm nghìn kíp</t>
  </si>
  <si>
    <r>
      <rPr>
        <b/>
        <i/>
        <sz val="13"/>
        <color indexed="63"/>
        <rFont val="Times New Roman"/>
        <family val="1"/>
      </rPr>
      <t>Nông trường 2</t>
    </r>
    <r>
      <rPr>
        <sz val="13"/>
        <color indexed="63"/>
        <rFont val="Times New Roman"/>
        <family val="1"/>
      </rPr>
      <t>, ngày 06 tháng 02 năm 2025</t>
    </r>
  </si>
  <si>
    <t xml:space="preserve">          PHÒNG KT -NN</t>
  </si>
  <si>
    <t>p</t>
  </si>
  <si>
    <t>Pb : Phép bệnh</t>
  </si>
  <si>
    <t>BẢNG THEO DÕI SẢN LƯỢNG MỦ SERUM THÁNG 02 NĂM 2025</t>
  </si>
  <si>
    <t>T. Bun Lăm</t>
  </si>
  <si>
    <t>Thổi lá hàng 3m</t>
  </si>
  <si>
    <t>Bốc vật tư lên xuống xe</t>
  </si>
  <si>
    <t>Phụ cấp tiền lương (30.000 kíp/phần)</t>
  </si>
  <si>
    <t>Phụ cấp tiền lương (30.000/ngày)</t>
  </si>
  <si>
    <t>Thiết kế miệng cạo ngữa</t>
  </si>
  <si>
    <t>Rút máng</t>
  </si>
  <si>
    <t>Cột kiềng</t>
  </si>
  <si>
    <t>Xả miệng cạo ngữa</t>
  </si>
  <si>
    <t>Gom chén</t>
  </si>
  <si>
    <t>Phụ cấp tiền lương (500.000 kíp/phần)</t>
  </si>
  <si>
    <t>Phu cấp 500.000 kíp</t>
  </si>
  <si>
    <t>Lăm Ma Thu</t>
  </si>
  <si>
    <t>N. Kay Son</t>
  </si>
  <si>
    <t>T. Đèng 1</t>
  </si>
  <si>
    <t>N. Ly Phon</t>
  </si>
  <si>
    <t>N. Bua Lay</t>
  </si>
  <si>
    <t>T. Không</t>
  </si>
  <si>
    <t>N. Nu Ni</t>
  </si>
  <si>
    <t>N. Thông La</t>
  </si>
  <si>
    <t>T. Khay Khăm</t>
  </si>
  <si>
    <t>T. Toi</t>
  </si>
  <si>
    <t>N. Lăm Phay (2)</t>
  </si>
  <si>
    <t>T. Ne</t>
  </si>
  <si>
    <t xml:space="preserve">T. Lun </t>
  </si>
  <si>
    <t>T. Miềng</t>
  </si>
  <si>
    <t>T. Na</t>
  </si>
  <si>
    <t xml:space="preserve">N. Bun </t>
  </si>
  <si>
    <t>N. Quen</t>
  </si>
  <si>
    <t>Lăm Thong</t>
  </si>
  <si>
    <t>T. Môn</t>
  </si>
  <si>
    <t>T. Phan</t>
  </si>
  <si>
    <t>N. Nọi</t>
  </si>
  <si>
    <t>N. Bù</t>
  </si>
  <si>
    <t>T. Thi</t>
  </si>
  <si>
    <t>On chay</t>
  </si>
  <si>
    <t>T. Bi Ly (2)</t>
  </si>
  <si>
    <t>P. Tưng</t>
  </si>
  <si>
    <t>T. A Xong</t>
  </si>
  <si>
    <t xml:space="preserve"> BẢNG CHẤM CÔNG PHỤ CẤP CHO CÔNG NHÂN KHAI THÁC THÁNG 05 NĂM 2025</t>
  </si>
  <si>
    <t>Trạm 1</t>
  </si>
  <si>
    <t>Trạm 2</t>
  </si>
  <si>
    <t>TRẠM 1</t>
  </si>
  <si>
    <t>TRẠM 2</t>
  </si>
  <si>
    <t>Trạm</t>
  </si>
  <si>
    <t>trạm 1</t>
  </si>
  <si>
    <t>trạm 2</t>
  </si>
  <si>
    <t>Bảo vệ vườn cây (2)</t>
  </si>
  <si>
    <t>Lương CB.CNV người lào (3)</t>
  </si>
  <si>
    <t>Grand Total (1)+(2)+(3)+(4)</t>
  </si>
  <si>
    <t>THÁNG 05 NĂM 2025</t>
  </si>
  <si>
    <t>ĐỘI TRƯỞNG</t>
  </si>
  <si>
    <t>ĐỘI SẢN XUẤT SỐ 5</t>
  </si>
  <si>
    <t>ĐỘI SẢN XUẤT SỐ 4</t>
  </si>
  <si>
    <t>N. Tinh</t>
  </si>
  <si>
    <t>TK - TH</t>
  </si>
  <si>
    <t xml:space="preserve"> BẢNG CHẤM CÔNG PHỤ CẤP XĂNG XE THÁNG 05 NĂM 2025</t>
  </si>
  <si>
    <t>Huyện Phìn, ngày 02 tháng 06 năm 2025</t>
  </si>
  <si>
    <t>DANH SÁCH CB - CNV NỘP THUẾ TNCN THÁNG 05/2025</t>
  </si>
  <si>
    <t>Gắn màng phủ chén</t>
  </si>
  <si>
    <t>Gắn mái che mưa miệng ngữa</t>
  </si>
  <si>
    <t>Gắn mái che mưa miệng úp</t>
  </si>
  <si>
    <t>T.Say</t>
  </si>
  <si>
    <t>Lun</t>
  </si>
  <si>
    <t>TỔNG GIÁM ĐỐC                PHÒNG KT - NN                  PHÒNG TC - HC                        P. PHÒNG PHỤ TRÁCH                             ĐỘI TRƯỞNG                            NGƯỜI LẬP</t>
  </si>
  <si>
    <t>(Từ ngày 01 đến 31/05/2025)</t>
  </si>
  <si>
    <t>BẢNG THEO DÕI SẢN LƯỢNG MỦ TẠP THÁNG 05 NĂM 2025</t>
  </si>
  <si>
    <t>TỔNG GIÁM ĐỐC                                                                                             PHÒNG KT - NN                                                                                                            P. PHÒNG PHỤ TRÁCH                                                                                                                 ĐỘI TRƯỞNG                                                                                                              NGƯỜI LẬP</t>
  </si>
  <si>
    <t>ĐỘI SẢN XUẤT SỐ 04</t>
  </si>
  <si>
    <t>BẢNG LƯƠNG KHAI THÁC TRẠM 1 THÁNG 05 NĂM 2025</t>
  </si>
  <si>
    <t>TỔNG GIÁM ĐỐC                               PHÒNG TC - KT                              PHÒNG TC - HC                                  P.PHÒNG PHỤ TRÁCH                                 ĐỘI TRƯỞNG                                 NGƯỜI LẬP</t>
  </si>
  <si>
    <t>BẢNG LƯƠNG KHAI THÁC TRẠM 2 THÁNG 05 NĂM 2025</t>
  </si>
  <si>
    <t>BẢNG LƯƠNG KHAI THÁC THÁNG 05 NĂM 2025</t>
  </si>
  <si>
    <t>P.PHÒNG PHỤ TRÁCH</t>
  </si>
  <si>
    <t>BẢNG THANH TOÁN TIỀN LƯƠNG BẢO VỆ VƯỜN CÂY THÁNG 05 NĂM 2025</t>
  </si>
  <si>
    <t>BẢNG LƯƠNG CÔNG NHÂN TRỰC TIẾP THÁNG 05 NĂM 2025</t>
  </si>
  <si>
    <t xml:space="preserve"> P.PHÒNG PHỤ TRÁCH                                                                         ĐỘI TRƯỞNG                                                                             NGƯỜI LẬP</t>
  </si>
  <si>
    <t>TỔNG GIÁM ĐỐC        PHÒNG TC - KT</t>
  </si>
  <si>
    <t xml:space="preserve">    PHÒNG TC - HC                    </t>
  </si>
  <si>
    <t>ĐỘI TRƯỞNG           NGƯỜI LẬP</t>
  </si>
  <si>
    <t xml:space="preserve"> P.PHÒNG PHỤ TRÁCH                                    ĐỘI TRƯỞNG                                                     NGƯỜI LẬP</t>
  </si>
  <si>
    <t>BẢNG TỔNG HỢP CÔNG VIỆC KHÁC THÁNG 05 NĂM 2025</t>
  </si>
  <si>
    <t>BẢNG THANH TOÁN TIỀN CÔNG VIỆC KHÁC THÁNG 05 NĂM 2025</t>
  </si>
  <si>
    <t xml:space="preserve"> P.PHÒNG PHỤ TRÁCH                            ĐỘI TRƯỞNG                                        NGƯỜI LẬP</t>
  </si>
  <si>
    <t xml:space="preserve">                   TỔNG GIÁM ĐỐC                                  PHÒNG TC -KT                                         PHÒNG TC - HC                  </t>
  </si>
  <si>
    <t>BẢNG THANH TOÁN TIỀN PHỤ CẤP XĂNG XE  THÁNG 05 NĂM 2025</t>
  </si>
  <si>
    <t>Mường phìn,ngày 02 tháng 06 năm 2025</t>
  </si>
  <si>
    <t>Tháng 5 năm 2025</t>
  </si>
  <si>
    <t>tt</t>
  </si>
  <si>
    <t>N. Veo</t>
  </si>
  <si>
    <t>T.Lã</t>
  </si>
  <si>
    <t>hùng</t>
  </si>
  <si>
    <t>BẢNG THANH TOÁN TIỀN LƯƠNG CB.CNV NGƯỜI LÀO THÁNG 05 NĂM 2025</t>
  </si>
  <si>
    <t>BẢNG TÍNH LƯƠNG  ĐỘI THỰC HIỆN TRONG THÁNG 05/2025</t>
  </si>
  <si>
    <t>BẢNG PHÂN TOÁN TIỀN LƯƠNG THÁNG 05 NĂM 2025</t>
  </si>
  <si>
    <t>( Từ ngày 01/05/2025 đến ngày 31/05/2025)</t>
  </si>
  <si>
    <t>Cưa dọn cây gãy đổ (tét nhánh)</t>
  </si>
  <si>
    <t>Cưa dọn cây gãy đổ (gãy ngang)</t>
  </si>
  <si>
    <t>Mua xi măng sửa tràn ( lô A17)</t>
  </si>
  <si>
    <t>Phát dọn khuôn khiên đội 4</t>
  </si>
  <si>
    <t>Leo</t>
  </si>
  <si>
    <t>Vi</t>
  </si>
  <si>
    <t>Số tiền bằng chữ: Tám triệu một trăm bốn mươi lăm nghìn kíp</t>
  </si>
  <si>
    <r>
      <rPr>
        <b/>
        <i/>
        <sz val="11"/>
        <rFont val="Times New Roman"/>
        <family val="1"/>
        <charset val="163"/>
      </rPr>
      <t>Mường phìn</t>
    </r>
    <r>
      <rPr>
        <sz val="11"/>
        <rFont val="Times New Roman"/>
        <family val="1"/>
        <charset val="163"/>
      </rPr>
      <t>, ngày 02 tháng 06 năm 2025</t>
    </r>
  </si>
  <si>
    <t>Tháng 05 năm 2025</t>
  </si>
  <si>
    <t>Mường phìn, ngày 02 tháng 06 năm 2025</t>
  </si>
  <si>
    <t>NV - KT (Lào)</t>
  </si>
  <si>
    <t>Mường Phìn, ngày 02 tháng 06 năm 2025</t>
  </si>
  <si>
    <t>DRC ( trạm 1)</t>
  </si>
  <si>
    <t>DRC ( trạm 2)</t>
  </si>
  <si>
    <t>Mường phìn, ngày 02 tháng 06 năm 2025</t>
  </si>
  <si>
    <r>
      <rPr>
        <b/>
        <i/>
        <sz val="18"/>
        <rFont val="Times New Roman"/>
        <family val="1"/>
      </rPr>
      <t>Mường phìn</t>
    </r>
    <r>
      <rPr>
        <i/>
        <sz val="18"/>
        <rFont val="Times New Roman"/>
        <family val="1"/>
      </rPr>
      <t>, ngày 02 tháng 6 năm 2025</t>
    </r>
  </si>
  <si>
    <r>
      <rPr>
        <b/>
        <i/>
        <sz val="18"/>
        <rFont val="Times New Roman"/>
        <family val="1"/>
      </rPr>
      <t>Mường phìn</t>
    </r>
    <r>
      <rPr>
        <sz val="18"/>
        <rFont val="Times New Roman"/>
        <family val="1"/>
      </rPr>
      <t>, ngày 02 tháng 06 năm 2025</t>
    </r>
  </si>
  <si>
    <t>Mường phìn, ngày 02 tháng 03 năm 2025</t>
  </si>
  <si>
    <r>
      <rPr>
        <b/>
        <i/>
        <sz val="13"/>
        <color indexed="63"/>
        <rFont val="Times New Roman"/>
        <family val="1"/>
      </rPr>
      <t xml:space="preserve">                Mường phìn</t>
    </r>
    <r>
      <rPr>
        <sz val="13"/>
        <color indexed="63"/>
        <rFont val="Times New Roman"/>
        <family val="1"/>
      </rPr>
      <t>, ngày 02 tháng 6 năm 2025</t>
    </r>
  </si>
  <si>
    <r>
      <t xml:space="preserve">Mường phìn, </t>
    </r>
    <r>
      <rPr>
        <sz val="13"/>
        <color indexed="63"/>
        <rFont val="Times New Roman"/>
        <family val="1"/>
      </rPr>
      <t>ngày 02 tháng 06 năm 2025</t>
    </r>
  </si>
  <si>
    <r>
      <rPr>
        <b/>
        <i/>
        <sz val="13"/>
        <color indexed="63"/>
        <rFont val="Times New Roman"/>
        <family val="1"/>
      </rPr>
      <t>Mường phìn</t>
    </r>
    <r>
      <rPr>
        <sz val="13"/>
        <color indexed="63"/>
        <rFont val="Times New Roman"/>
        <family val="1"/>
      </rPr>
      <t>, ngày 02 tháng 06 năm 2025</t>
    </r>
  </si>
  <si>
    <r>
      <rPr>
        <b/>
        <i/>
        <sz val="11"/>
        <color indexed="63"/>
        <rFont val="Times New Roman"/>
        <family val="1"/>
        <charset val="163"/>
      </rPr>
      <t xml:space="preserve">                                                        Mường phìn</t>
    </r>
    <r>
      <rPr>
        <sz val="11"/>
        <color indexed="63"/>
        <rFont val="Times New Roman"/>
        <family val="1"/>
      </rPr>
      <t>, ngày 02 tháng 06 năm 2025</t>
    </r>
  </si>
  <si>
    <t xml:space="preserve">Bằng chữ : Hai mươi hai triệu hai trăm chín mươi lăm nghìn kíp </t>
  </si>
  <si>
    <t xml:space="preserve">Số tiền bằng chữ: Ba triệu một trăm bốn mươi nghìn kíp   </t>
  </si>
  <si>
    <t>BẢNG TỔNG HỢP CHI PHÍ KHÁC THÁNG 05 NĂM 2025</t>
  </si>
  <si>
    <t>BẢNG CHẤM BẢO VỆ ĐỘI 4 THÁNG 05 NĂM 2025</t>
  </si>
  <si>
    <t>Bảo vệ (CT)</t>
  </si>
  <si>
    <t>Văn phòng</t>
  </si>
  <si>
    <t xml:space="preserve">Đơn Giá 
</t>
  </si>
  <si>
    <t>Phụ cấp tiền xăng</t>
  </si>
  <si>
    <t xml:space="preserve">Thảo Mét </t>
  </si>
  <si>
    <t xml:space="preserve">Số tiền bằng chữ:  Hai mươi triệu bốn trăm mươi bảy nghìn bốn trăm mười chín kíp </t>
  </si>
  <si>
    <t xml:space="preserve">Số tiền bằng chữ: Mười một triệu năm trăm sáu mươi chín nghìn không trăm sáu mươi chín kíp   </t>
  </si>
  <si>
    <t xml:space="preserve">Bằng chữ: Bốn trăm bốn mươi tám nghìn bốn trăm năm mươi ba kíp </t>
  </si>
  <si>
    <t xml:space="preserve">                            Đoàn Văn Nghĩa</t>
  </si>
  <si>
    <t>pp</t>
  </si>
  <si>
    <t xml:space="preserve">              Trần Viết Hùng</t>
  </si>
  <si>
    <t xml:space="preserve">                      Đoàn Văn Nghĩa</t>
  </si>
  <si>
    <t xml:space="preserve">                            Nguyễn Minh Thành</t>
  </si>
  <si>
    <t xml:space="preserve">       Đoàn Văn Nghĩa</t>
  </si>
  <si>
    <t xml:space="preserve">         TỔNG GIÁM ĐỐC            PHÒNG TC - KT               PHÒNG TC - HC             P. P PHỤ TRÁCH              ĐỘI TRƯỞNG             NGƯỜI LẬP</t>
  </si>
  <si>
    <t>ĐỘI TRƯỞNG                  NGƯỜI LẬP</t>
  </si>
  <si>
    <t>TỔNG GIÁM ĐỐC                                              PHÒNG TC -KT                                          PHÒNG TC - HC                                                       PHÒNG KT - NN</t>
  </si>
  <si>
    <t xml:space="preserve">                                         TỔNG GIÁM ĐỐC                                               PHÒNG TC -KT                                                  PHÒNG TC - HC                              </t>
  </si>
  <si>
    <t xml:space="preserve">    PHÒNG TC - KT              PHÒNG TC - HC                 P. PHÒNG PHỤ TRÁCH               ĐỘI TRƯỞNG                   NGƯỜI LẬP</t>
  </si>
  <si>
    <t xml:space="preserve">             TỔNG GIÁM ĐỐC                PHÒNG TC - KT               PHÒNG TC - HC               P. PHÒNG PHỤ TRÁCH              ĐỘI TRƯỞNG                    NGƯỜI LẬP</t>
  </si>
  <si>
    <t xml:space="preserve">    TỔNG GIÁM ĐỐC                     PHÒNG TC - HC                   P. PHÒNG PHỤ TRÁCH                      ĐỘI TRƯỞNG                      NGƯỜI LẬP</t>
  </si>
  <si>
    <t xml:space="preserve">    TỔNG GIÁM ĐỐC                       PHÒNG TC - HC                                 P. PHÒNG PHỤ TRÁCH                               ĐỘI TRƯỞNG                                        NGƯỜI LẬP</t>
  </si>
  <si>
    <t xml:space="preserve">        TỔNG GIÁM ĐỐC                               PHÒNG TC - HC                              P. PHÒNG PHỤ TRÁCH                           ĐỘI TRƯỞNG                              NGƯỜI LẬP</t>
  </si>
  <si>
    <t xml:space="preserve">                                        PHÒNG TC -KT                                                                                                                       PHÒNG TC - HC                              </t>
  </si>
  <si>
    <t>P.P PHỤ TRÁCH</t>
  </si>
  <si>
    <t xml:space="preserve">     TỔNG GIÁM ĐỐC                        PHÒNG TC - KT                            PHÒNG TC - HC                               P.PHÒNG PHỤ TRÁCH                                  ĐỘI TRƯỞNG                                    NGƯỜI LẬP</t>
  </si>
  <si>
    <r>
      <rPr>
        <b/>
        <i/>
        <sz val="15"/>
        <color indexed="63"/>
        <rFont val="Times New Roman"/>
        <family val="1"/>
      </rPr>
      <t>Mường phìn</t>
    </r>
    <r>
      <rPr>
        <sz val="15"/>
        <color indexed="63"/>
        <rFont val="Times New Roman"/>
        <family val="1"/>
      </rPr>
      <t>, ngày 02 tháng 6 năm 2025</t>
    </r>
  </si>
  <si>
    <t xml:space="preserve">        TỔNG GIÁM ĐỐC                  PHÒNG TC - KT                           PHÒNG TC - HC                        P. PHÒNG PHỤ TRÁCH                     ĐỘI TRƯỞNG                         NGƯỜI LẬP</t>
  </si>
  <si>
    <t>P</t>
  </si>
  <si>
    <t>NHÂN VIÊN KỶ THUẬT</t>
  </si>
  <si>
    <t>BẢNG CHẤM CÔNG  ĐỘI PHÓ TẠP VỤ LÀM VIỆC TẠI NÔNG TRƯỜNG 2</t>
  </si>
  <si>
    <t>BẢNG CHẤM NHÂN VIÊN KỶ THUẬT NGƯỜI LÀO</t>
  </si>
  <si>
    <t xml:space="preserve">Bằng chữ : Bốn trăm ba mươi bốn triệu bốn trăm sáu mươi sáu nghìn tám trăm bảy mươi ba kíp </t>
  </si>
  <si>
    <t xml:space="preserve">Bằng chữ : Ba trăm bảy mươi triệu một trăm bảy mươi mốt nghìn sáu trăm chín mươi lăm kíp </t>
  </si>
  <si>
    <t>Số tiền bằng chữ : Tám trăm lẻ bốn triệu sáu trăm ba mươi tám nghìn năm trăm sáu mươi tám kíp</t>
  </si>
  <si>
    <t xml:space="preserve">Bằng chữ: Tám trăm ba mươi sáu triệu sáu trăm tám mươi lăm nghìn không trăm năm mươi sáu kíp </t>
  </si>
  <si>
    <t xml:space="preserve">Số tiền bằng chữ : Tám trăm ba mươi sáu triệu sáu trăm tám mươi lăm nghìn không trăm năm mươi sáu kíp </t>
  </si>
  <si>
    <t>TIỀN LƯƠNG VƯỜN CÂY KINH DOANH</t>
  </si>
  <si>
    <t>Số tiền bằng chữ : Sáu trăm lẻ sáu triệu, tám trăm tám mươi tám nghìn, không trăm năm mươi sáu kíp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</si>
</sst>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1">
    <numFmt numFmtId="43" formatCode="_-* #,##0.00\ _₫_-;\-* #,##0.00\ _₫_-;_-* &quot;-&quot;??\ _₫_-;_-@_-"/>
    <numFmt numFmtId="187" formatCode="&quot;$&quot;#,##0_);[Red]\(&quot;$&quot;#,##0\)"/>
    <numFmt numFmtId="188" formatCode="_(&quot;$&quot;* #,##0_);_(&quot;$&quot;* \(#,##0\);_(&quot;$&quot;* &quot;-&quot;_);_(@_)"/>
    <numFmt numFmtId="189" formatCode="_(* #,##0_);_(* \(#,##0\);_(* &quot;-&quot;_);_(@_)"/>
    <numFmt numFmtId="190" formatCode="_(* #,##0.00_);_(* \(#,##0.00\);_(* &quot;-&quot;??_);_(@_)"/>
    <numFmt numFmtId="191" formatCode="_-* #,##0.00_-;\-* #,##0.00_-;_-* &quot;-&quot;??_-;_-@_-"/>
    <numFmt numFmtId="192" formatCode="_-* #,##0\ _?_-;\-* #,##0\ _?_-;_-* &quot;-&quot;\ _?_-;_-@_-"/>
    <numFmt numFmtId="193" formatCode="_(* #,##0.00_);_(* \(#,##0.00\);_(* &quot;-&quot;&quot;?&quot;&quot;?&quot;_);_(@_)"/>
    <numFmt numFmtId="194" formatCode="_-* #,##0.00\ &quot;₫&quot;_-;\-* #,##0.00\ &quot;₫&quot;_-;_-* &quot;-&quot;&quot;?&quot;&quot;?&quot;\ &quot;₫&quot;_-;_-@_-"/>
    <numFmt numFmtId="195" formatCode="_-* #,##0.00\ _₫_-;\-* #,##0.00\ _₫_-;_-* &quot;-&quot;&quot;?&quot;&quot;?&quot;\ _₫_-;_-@_-"/>
    <numFmt numFmtId="196" formatCode="_-* #,##0\ _₫_-;\-* #,##0\ _₫_-;_-* &quot;-&quot;&quot;?&quot;&quot;?&quot;\ _₫_-;_-@_-"/>
    <numFmt numFmtId="197" formatCode="_(* #,##0_);_(* \(#,##0\);_(* &quot;-&quot;&quot;?&quot;&quot;?&quot;_);_(@_)"/>
    <numFmt numFmtId="198" formatCode="_(* #,##0.0_);_(* \(#,##0.0\);_(* &quot;-&quot;&quot;?&quot;&quot;?&quot;_);_(@_)"/>
    <numFmt numFmtId="199" formatCode="0.0"/>
    <numFmt numFmtId="200" formatCode="_(* #,##0.000_);_(* \(#,##0.000\);_(* &quot;-&quot;&quot;?&quot;&quot;?&quot;_);_(@_)"/>
    <numFmt numFmtId="201" formatCode="_-* #,##0.0000\ _₫_-;\-* #,##0.0000\ _₫_-;_-* &quot;-&quot;&quot;?&quot;&quot;?&quot;\ _₫_-;_-@_-"/>
    <numFmt numFmtId="202" formatCode="0.0000"/>
    <numFmt numFmtId="203" formatCode="#,##0;[Red]#,##0"/>
    <numFmt numFmtId="204" formatCode="#,##0.0;[Red]#,##0.0"/>
    <numFmt numFmtId="205" formatCode="#,##0.00;[Red]#,##0.00"/>
    <numFmt numFmtId="206" formatCode="#,##0_ ;\-#,##0\ "/>
    <numFmt numFmtId="207" formatCode="#,##0.00_ ;\-#,##0.00\ "/>
    <numFmt numFmtId="208" formatCode="_-* #,##0.0\ _?_-;\-* #,##0.0\ _?_-;_-* &quot;-&quot;\ _?_-;_-@_-"/>
    <numFmt numFmtId="209" formatCode="_-* #,##0.00\ _?_-;\-* #,##0.00\ _?_-;_-* &quot;-&quot;\ _?_-;_-@_-"/>
    <numFmt numFmtId="210" formatCode="_(* #,##0.00_);_(* \(#,##0.00\);_(* &quot;-&quot;_);_(@_)"/>
    <numFmt numFmtId="211" formatCode="_(* #,##0.0000_);_(* \(#,##0.0000\);_(* &quot;-&quot;_);_(@_)"/>
    <numFmt numFmtId="212" formatCode="_(* #,##0_);_(* \(#,##0\);_(* &quot;-&quot;??_);_(@_)"/>
    <numFmt numFmtId="213" formatCode="_(* #,##0.0_);_(* \(#,##0.0\);_(* &quot;-&quot;_);_(@_)"/>
    <numFmt numFmtId="214" formatCode="#,##0.0"/>
    <numFmt numFmtId="215" formatCode="_-* #,##0\ _₫_-;\-* #,##0\ _₫_-;_-* &quot;-&quot;??\ _₫_-;_-@_-"/>
    <numFmt numFmtId="216" formatCode="_(* #,##0.0000_);_(* \(#,##0.0000\);_(* &quot;-&quot;??_);_(@_)"/>
    <numFmt numFmtId="217" formatCode="0.000"/>
    <numFmt numFmtId="218" formatCode="_(* #,##0.0_);_(* \(#,##0.0\);_(* &quot;-&quot;??_);_(@_)"/>
    <numFmt numFmtId="219" formatCode="_-* #,##0.0\ _₫_-;\-* #,##0.0\ _₫_-;_-* &quot;-&quot;&quot;?&quot;&quot;?&quot;\ _₫_-;_-@_-"/>
    <numFmt numFmtId="220" formatCode="#,##0\ _?"/>
    <numFmt numFmtId="221" formatCode="_-* #,##0.000\ _₫_-;\-* #,##0.000\ _₫_-;_-* &quot;-&quot;&quot;?&quot;&quot;?&quot;\ _₫_-;_-@_-"/>
    <numFmt numFmtId="222" formatCode="_(* #,##0.000000_);_(* \(#,##0.000000\);_(* &quot;-&quot;_);_(@_)"/>
    <numFmt numFmtId="223" formatCode="#,##0.00\ _?"/>
    <numFmt numFmtId="224" formatCode="#,##0.0\ _?"/>
    <numFmt numFmtId="225" formatCode="_(* #,##0.000000_);_(* \(#,##0.000000\);_(* &quot;-&quot;??_);_(@_)"/>
    <numFmt numFmtId="226" formatCode="_(* #,##0.0000000_);_(* \(#,##0.0000000\);_(* &quot;-&quot;??_);_(@_)"/>
    <numFmt numFmtId="227" formatCode="#,##0.000000000"/>
    <numFmt numFmtId="228" formatCode="_-* #,##0.0000_-;\-* #,##0.0000_-;_-* &quot;-&quot;??_-;_-@_-"/>
    <numFmt numFmtId="229" formatCode="_-* #,##0_-;\-* #,##0_-;_-* &quot;-&quot;??_-;_-@_-"/>
    <numFmt numFmtId="230" formatCode="0.00000000"/>
    <numFmt numFmtId="231" formatCode="#,##0.000"/>
    <numFmt numFmtId="232" formatCode="_(* #,##0.000_);_(* \(#,##0.000\);_(* &quot;-&quot;_);_(@_)"/>
    <numFmt numFmtId="233" formatCode="_(* #,##0.0000_);_(* \(#,##0.0000\);_(* &quot;-&quot;&quot;?&quot;&quot;?&quot;_);_(@_)"/>
    <numFmt numFmtId="234" formatCode="0;[Red]0"/>
    <numFmt numFmtId="235" formatCode="_(* #,##0.000_);_(* \(#,##0.000\);_(* &quot;-&quot;??_);_(@_)"/>
    <numFmt numFmtId="236" formatCode="_-* #,##0.0\ _₫_-;\-* #,##0.0\ _₫_-;_-* &quot;-&quot;?\ _₫_-;_-@_-"/>
  </numFmts>
  <fonts count="179">
    <font>
      <sz val="11"/>
      <color theme="1"/>
      <name val="Calibri"/>
      <family val="2"/>
      <charset val="163"/>
    </font>
    <font>
      <sz val="11"/>
      <color indexed="8"/>
      <name val="Calibri"/>
      <family val="2"/>
      <charset val="163"/>
    </font>
    <font>
      <b/>
      <sz val="11"/>
      <color indexed="8"/>
      <name val="Times New Roman"/>
      <family val="1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0"/>
      <color indexed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i/>
      <u/>
      <sz val="12"/>
      <name val="Times New Roman"/>
      <family val="1"/>
    </font>
    <font>
      <u/>
      <sz val="12"/>
      <name val="Times New Roman"/>
      <family val="1"/>
    </font>
    <font>
      <sz val="8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b/>
      <sz val="8"/>
      <name val="Times New Roman"/>
      <family val="1"/>
    </font>
    <font>
      <sz val="11"/>
      <color indexed="63"/>
      <name val="Calibri"/>
      <family val="2"/>
      <charset val="163"/>
    </font>
    <font>
      <sz val="11"/>
      <color indexed="63"/>
      <name val="Times New Roman"/>
      <family val="1"/>
    </font>
    <font>
      <b/>
      <sz val="11"/>
      <color indexed="63"/>
      <name val="Times New Roman"/>
      <family val="1"/>
    </font>
    <font>
      <b/>
      <sz val="10"/>
      <color indexed="63"/>
      <name val="Times New Roman"/>
      <family val="1"/>
    </font>
    <font>
      <sz val="10"/>
      <color indexed="63"/>
      <name val="Times New Roman"/>
      <family val="1"/>
    </font>
    <font>
      <b/>
      <sz val="14"/>
      <color indexed="63"/>
      <name val="Times New Roman"/>
      <family val="1"/>
    </font>
    <font>
      <sz val="8"/>
      <name val="Calibri"/>
      <family val="2"/>
      <charset val="163"/>
    </font>
    <font>
      <b/>
      <sz val="13"/>
      <name val="Times New Roman"/>
      <family val="1"/>
    </font>
    <font>
      <u/>
      <sz val="13"/>
      <name val="Times New Roman"/>
      <family val="1"/>
    </font>
    <font>
      <b/>
      <u/>
      <sz val="10"/>
      <name val="Times New Roman"/>
      <family val="1"/>
    </font>
    <font>
      <b/>
      <u/>
      <sz val="13"/>
      <name val="Times New Roman"/>
      <family val="1"/>
    </font>
    <font>
      <sz val="10"/>
      <name val="VNI-Times"/>
    </font>
    <font>
      <sz val="11"/>
      <name val="Times New Roman"/>
      <family val="1"/>
    </font>
    <font>
      <b/>
      <sz val="9"/>
      <name val="Times New Roman"/>
      <family val="1"/>
    </font>
    <font>
      <i/>
      <sz val="13"/>
      <name val="Times New Roman"/>
      <family val="1"/>
    </font>
    <font>
      <sz val="10"/>
      <name val="VNI-Helve-Condense"/>
    </font>
    <font>
      <sz val="12"/>
      <name val="Times New Roman"/>
      <family val="1"/>
      <charset val="163"/>
    </font>
    <font>
      <sz val="12"/>
      <color indexed="30"/>
      <name val="Times New Roman"/>
      <family val="1"/>
    </font>
    <font>
      <sz val="14"/>
      <name val="Times New Roman"/>
      <family val="1"/>
    </font>
    <font>
      <sz val="10"/>
      <name val="Times New Roman"/>
      <family val="1"/>
      <charset val="163"/>
    </font>
    <font>
      <b/>
      <sz val="12"/>
      <name val="Times New Roman"/>
      <family val="1"/>
      <charset val="163"/>
    </font>
    <font>
      <b/>
      <u/>
      <sz val="10"/>
      <name val="Times New Roman"/>
      <family val="1"/>
      <charset val="163"/>
    </font>
    <font>
      <b/>
      <sz val="10"/>
      <name val="Times New Roman"/>
      <family val="1"/>
      <charset val="163"/>
    </font>
    <font>
      <sz val="11"/>
      <color indexed="63"/>
      <name val="Times New Roman"/>
      <family val="1"/>
      <charset val="163"/>
    </font>
    <font>
      <b/>
      <sz val="13"/>
      <name val="Times New Roman"/>
      <family val="1"/>
      <charset val="163"/>
    </font>
    <font>
      <sz val="10"/>
      <name val="Saysettha Lao"/>
      <family val="2"/>
    </font>
    <font>
      <b/>
      <sz val="11"/>
      <color indexed="63"/>
      <name val="Times New Roman"/>
      <family val="1"/>
      <charset val="163"/>
    </font>
    <font>
      <b/>
      <i/>
      <sz val="11"/>
      <name val="Times New Roman"/>
      <family val="1"/>
    </font>
    <font>
      <b/>
      <u/>
      <sz val="12"/>
      <name val="Times New Roman"/>
      <family val="1"/>
    </font>
    <font>
      <sz val="10"/>
      <name val="Calibri"/>
      <family val="2"/>
      <charset val="163"/>
    </font>
    <font>
      <b/>
      <i/>
      <sz val="11"/>
      <color indexed="63"/>
      <name val="Times New Roman"/>
      <family val="1"/>
      <charset val="163"/>
    </font>
    <font>
      <sz val="13"/>
      <name val="Times New Roman"/>
      <family val="1"/>
      <charset val="163"/>
    </font>
    <font>
      <b/>
      <sz val="14"/>
      <name val="Times New Roman"/>
      <family val="1"/>
      <charset val="163"/>
    </font>
    <font>
      <sz val="11"/>
      <name val="Times New Roman"/>
      <family val="1"/>
      <charset val="163"/>
    </font>
    <font>
      <b/>
      <sz val="11"/>
      <name val="Times New Roman"/>
      <family val="1"/>
      <charset val="163"/>
    </font>
    <font>
      <b/>
      <i/>
      <sz val="11"/>
      <name val="Times New Roman"/>
      <family val="1"/>
      <charset val="163"/>
    </font>
    <font>
      <b/>
      <u/>
      <sz val="12"/>
      <name val="Times New Roman"/>
      <family val="1"/>
      <charset val="163"/>
    </font>
    <font>
      <b/>
      <sz val="16"/>
      <name val="Times New Roman"/>
      <family val="1"/>
      <charset val="163"/>
    </font>
    <font>
      <sz val="10"/>
      <name val="Arial"/>
      <family val="2"/>
      <charset val="163"/>
    </font>
    <font>
      <sz val="12"/>
      <name val="Times New Roman"/>
      <family val="2"/>
    </font>
    <font>
      <b/>
      <sz val="12"/>
      <name val="Times New Roman"/>
      <family val="2"/>
    </font>
    <font>
      <sz val="15"/>
      <name val="Times New Roman"/>
      <family val="1"/>
    </font>
    <font>
      <sz val="13"/>
      <color indexed="63"/>
      <name val="Times New Roman"/>
      <family val="1"/>
    </font>
    <font>
      <sz val="11"/>
      <color indexed="8"/>
      <name val="Calibri"/>
      <family val="2"/>
      <charset val="163"/>
    </font>
    <font>
      <sz val="11"/>
      <color indexed="10"/>
      <name val="Times New Roman"/>
      <family val="1"/>
    </font>
    <font>
      <b/>
      <sz val="12"/>
      <color indexed="10"/>
      <name val="Times New Roman"/>
      <family val="1"/>
      <charset val="163"/>
    </font>
    <font>
      <b/>
      <sz val="12"/>
      <color indexed="8"/>
      <name val="Times New Roman"/>
      <family val="1"/>
      <charset val="163"/>
    </font>
    <font>
      <sz val="12"/>
      <color indexed="8"/>
      <name val="Times New Roman"/>
      <family val="1"/>
      <charset val="163"/>
    </font>
    <font>
      <sz val="12"/>
      <color indexed="10"/>
      <name val="Times New Roman"/>
      <family val="2"/>
    </font>
    <font>
      <b/>
      <sz val="12"/>
      <color indexed="8"/>
      <name val="Times New Roman"/>
      <family val="1"/>
    </font>
    <font>
      <sz val="12"/>
      <color indexed="10"/>
      <name val="Times New Roman"/>
      <family val="1"/>
    </font>
    <font>
      <sz val="12"/>
      <color indexed="8"/>
      <name val="Times New Roman"/>
      <family val="1"/>
    </font>
    <font>
      <b/>
      <sz val="12"/>
      <color indexed="10"/>
      <name val="Times New Roman"/>
      <family val="1"/>
    </font>
    <font>
      <sz val="11"/>
      <color indexed="8"/>
      <name val="Calibri"/>
      <family val="2"/>
      <charset val="163"/>
    </font>
    <font>
      <sz val="13"/>
      <color indexed="8"/>
      <name val="Times New Roman"/>
      <family val="1"/>
    </font>
    <font>
      <sz val="14"/>
      <color indexed="8"/>
      <name val="Times New Roman"/>
      <family val="1"/>
    </font>
    <font>
      <b/>
      <sz val="16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4"/>
      <color indexed="8"/>
      <name val="Times New Roman"/>
      <family val="1"/>
    </font>
    <font>
      <sz val="13"/>
      <color indexed="10"/>
      <name val="Times New Roman"/>
      <family val="1"/>
    </font>
    <font>
      <i/>
      <sz val="13"/>
      <color indexed="8"/>
      <name val="Times New Roman"/>
      <family val="1"/>
    </font>
    <font>
      <sz val="13"/>
      <name val="Times New Roman"/>
      <family val="1"/>
    </font>
    <font>
      <sz val="6"/>
      <name val="Times New Roman"/>
      <family val="1"/>
    </font>
    <font>
      <b/>
      <sz val="16"/>
      <name val="Times New Roman"/>
      <family val="1"/>
    </font>
    <font>
      <sz val="12"/>
      <name val="VNI-Times"/>
    </font>
    <font>
      <i/>
      <sz val="14"/>
      <name val="Times New Roman"/>
      <family val="1"/>
    </font>
    <font>
      <sz val="14"/>
      <color indexed="63"/>
      <name val="Times New Roman"/>
      <family val="1"/>
    </font>
    <font>
      <sz val="10"/>
      <name val="Arial"/>
      <family val="2"/>
    </font>
    <font>
      <sz val="12"/>
      <color indexed="8"/>
      <name val="Calibri"/>
      <family val="2"/>
      <charset val="163"/>
    </font>
    <font>
      <sz val="14"/>
      <color indexed="8"/>
      <name val="Calibri"/>
      <family val="2"/>
      <charset val="163"/>
    </font>
    <font>
      <sz val="12"/>
      <color indexed="10"/>
      <name val="Times New Roman"/>
      <family val="1"/>
    </font>
    <font>
      <b/>
      <sz val="13"/>
      <color indexed="63"/>
      <name val="Times New Roman"/>
      <family val="1"/>
    </font>
    <font>
      <b/>
      <i/>
      <sz val="13"/>
      <color indexed="63"/>
      <name val="Times New Roman"/>
      <family val="1"/>
    </font>
    <font>
      <b/>
      <sz val="6"/>
      <name val="Times New Roman"/>
      <family val="1"/>
    </font>
    <font>
      <b/>
      <sz val="18"/>
      <name val="Times New Roman"/>
      <family val="1"/>
    </font>
    <font>
      <sz val="11"/>
      <color theme="1"/>
      <name val="Calibri"/>
      <family val="2"/>
      <charset val="163"/>
    </font>
    <font>
      <sz val="11"/>
      <color rgb="FF000000"/>
      <name val="Calibri"/>
      <family val="2"/>
    </font>
    <font>
      <sz val="11"/>
      <color theme="1"/>
      <name val="Arial"/>
      <family val="2"/>
      <charset val="163"/>
    </font>
    <font>
      <sz val="10"/>
      <color rgb="FFFF0000"/>
      <name val="Times New Roman"/>
      <family val="1"/>
    </font>
    <font>
      <sz val="10"/>
      <color rgb="FFFF0000"/>
      <name val="Times New Roman"/>
      <family val="1"/>
      <charset val="163"/>
    </font>
    <font>
      <sz val="12"/>
      <color rgb="FFFF0000"/>
      <name val="Times New Roman"/>
      <family val="1"/>
    </font>
    <font>
      <b/>
      <sz val="10"/>
      <color rgb="FFFF0000"/>
      <name val="Times New Roman"/>
      <family val="1"/>
    </font>
    <font>
      <sz val="11"/>
      <color rgb="FFFF0000"/>
      <name val="Times New Roman"/>
      <family val="1"/>
    </font>
    <font>
      <b/>
      <sz val="13"/>
      <color indexed="10"/>
      <name val="Times New Roman"/>
      <family val="1"/>
    </font>
    <font>
      <b/>
      <sz val="18"/>
      <color indexed="8"/>
      <name val="Times New Roman"/>
      <family val="1"/>
    </font>
    <font>
      <b/>
      <sz val="13"/>
      <color rgb="FFFF0000"/>
      <name val="Times New Roman"/>
      <family val="1"/>
    </font>
    <font>
      <b/>
      <i/>
      <sz val="12"/>
      <color rgb="FFFF0000"/>
      <name val="Times New Roman"/>
      <family val="1"/>
    </font>
    <font>
      <b/>
      <sz val="18"/>
      <color rgb="FFFF0000"/>
      <name val="Times New Roman"/>
      <family val="1"/>
    </font>
    <font>
      <sz val="18"/>
      <name val="Times New Roman"/>
      <family val="1"/>
    </font>
    <font>
      <b/>
      <i/>
      <sz val="18"/>
      <name val="Times New Roman"/>
      <family val="1"/>
    </font>
    <font>
      <i/>
      <sz val="13"/>
      <color indexed="63"/>
      <name val="Times New Roman"/>
      <family val="1"/>
    </font>
    <font>
      <b/>
      <sz val="24"/>
      <name val="Times New Roman"/>
      <family val="1"/>
    </font>
    <font>
      <b/>
      <u/>
      <sz val="18"/>
      <name val="Times New Roman"/>
      <family val="1"/>
    </font>
    <font>
      <sz val="18"/>
      <color rgb="FFFF0000"/>
      <name val="Times New Roman"/>
      <family val="1"/>
    </font>
    <font>
      <b/>
      <i/>
      <u/>
      <sz val="18"/>
      <name val="Times New Roman"/>
      <family val="1"/>
    </font>
    <font>
      <b/>
      <i/>
      <sz val="13"/>
      <color rgb="FFFF0000"/>
      <name val="Times New Roman"/>
      <family val="1"/>
    </font>
    <font>
      <b/>
      <sz val="20"/>
      <name val="Times New Roman"/>
      <family val="1"/>
    </font>
    <font>
      <sz val="13"/>
      <color theme="1"/>
      <name val="Times New Roman"/>
      <family val="1"/>
    </font>
    <font>
      <sz val="20"/>
      <name val="Times New Roman"/>
      <family val="1"/>
    </font>
    <font>
      <b/>
      <sz val="15"/>
      <color indexed="8"/>
      <name val="Times New Roman"/>
      <family val="1"/>
    </font>
    <font>
      <sz val="15"/>
      <color indexed="8"/>
      <name val="Times New Roman"/>
      <family val="1"/>
    </font>
    <font>
      <i/>
      <sz val="15"/>
      <color indexed="8"/>
      <name val="Times New Roman"/>
      <family val="1"/>
    </font>
    <font>
      <b/>
      <sz val="12"/>
      <color rgb="FFFF0000"/>
      <name val="Times New Roman"/>
      <family val="1"/>
      <charset val="163"/>
    </font>
    <font>
      <sz val="11"/>
      <color rgb="FFFF0000"/>
      <name val="Calibri"/>
      <family val="2"/>
      <charset val="163"/>
    </font>
    <font>
      <b/>
      <sz val="11"/>
      <name val="Times New Roman"/>
      <family val="2"/>
    </font>
    <font>
      <b/>
      <sz val="8"/>
      <name val="Times New Roman"/>
      <family val="1"/>
      <charset val="163"/>
    </font>
    <font>
      <b/>
      <sz val="9"/>
      <name val="Times New Roman"/>
      <family val="1"/>
      <charset val="163"/>
    </font>
    <font>
      <i/>
      <sz val="18"/>
      <name val="Times New Roman"/>
      <family val="1"/>
    </font>
    <font>
      <b/>
      <sz val="13"/>
      <color indexed="63"/>
      <name val="Times New Roman"/>
      <family val="1"/>
      <charset val="163"/>
    </font>
    <font>
      <b/>
      <sz val="36"/>
      <name val="Times New Roman"/>
      <family val="1"/>
    </font>
    <font>
      <sz val="36"/>
      <name val="Times New Roman"/>
      <family val="1"/>
    </font>
    <font>
      <i/>
      <sz val="36"/>
      <name val="Times New Roman"/>
      <family val="1"/>
    </font>
    <font>
      <b/>
      <sz val="17"/>
      <name val="Times New Roman"/>
      <family val="1"/>
    </font>
    <font>
      <sz val="16"/>
      <color theme="1"/>
      <name val="Calibri"/>
      <family val="2"/>
      <charset val="163"/>
    </font>
    <font>
      <sz val="6"/>
      <color rgb="FFFF0000"/>
      <name val="Times New Roman"/>
      <family val="1"/>
    </font>
    <font>
      <sz val="11"/>
      <color theme="1"/>
      <name val="Times New Roman"/>
      <family val="1"/>
    </font>
    <font>
      <b/>
      <sz val="8"/>
      <color rgb="FFFF0000"/>
      <name val="Times New Roman"/>
      <family val="1"/>
    </font>
    <font>
      <sz val="18"/>
      <color theme="1"/>
      <name val="Times New Roman"/>
      <family val="1"/>
    </font>
    <font>
      <b/>
      <u/>
      <sz val="10"/>
      <color rgb="FFFF0000"/>
      <name val="Times New Roman"/>
      <family val="1"/>
    </font>
    <font>
      <sz val="10"/>
      <color theme="1"/>
      <name val="Calibri"/>
      <family val="2"/>
      <charset val="163"/>
    </font>
    <font>
      <sz val="10"/>
      <color indexed="30"/>
      <name val="Times New Roman"/>
      <family val="1"/>
    </font>
    <font>
      <sz val="10"/>
      <color indexed="12"/>
      <name val="Times New Roman"/>
      <family val="1"/>
    </font>
    <font>
      <b/>
      <sz val="10"/>
      <name val="Saysettha Lao"/>
      <family val="2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b/>
      <sz val="12"/>
      <color theme="0"/>
      <name val="Times New Roman"/>
      <family val="1"/>
      <charset val="163"/>
    </font>
    <font>
      <b/>
      <u/>
      <sz val="20"/>
      <name val="Times New Roman"/>
      <family val="1"/>
    </font>
    <font>
      <b/>
      <i/>
      <sz val="12"/>
      <name val="Times New Roman"/>
      <family val="1"/>
    </font>
    <font>
      <b/>
      <sz val="18"/>
      <color theme="1"/>
      <name val="Times New Roman"/>
      <family val="1"/>
    </font>
    <font>
      <b/>
      <sz val="15"/>
      <color rgb="FFFF0000"/>
      <name val="Times New Roman"/>
      <family val="1"/>
    </font>
    <font>
      <sz val="11"/>
      <color theme="1"/>
      <name val="Calibri"/>
      <family val="2"/>
    </font>
    <font>
      <b/>
      <sz val="6"/>
      <color rgb="FFFF0000"/>
      <name val="Times New Roman"/>
      <family val="1"/>
    </font>
    <font>
      <sz val="18"/>
      <color indexed="8"/>
      <name val="Times New Roman"/>
      <family val="1"/>
    </font>
    <font>
      <sz val="14"/>
      <color indexed="10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b/>
      <sz val="48"/>
      <name val="Times New Roman"/>
      <family val="1"/>
    </font>
    <font>
      <b/>
      <u/>
      <sz val="36"/>
      <name val="Times New Roman"/>
      <family val="1"/>
    </font>
    <font>
      <b/>
      <sz val="36"/>
      <color rgb="FFFF0000"/>
      <name val="Times New Roman"/>
      <family val="1"/>
    </font>
    <font>
      <sz val="36"/>
      <color rgb="FFFF0000"/>
      <name val="Times New Roman"/>
      <family val="1"/>
    </font>
    <font>
      <b/>
      <sz val="13"/>
      <color theme="1"/>
      <name val="Times New Roman"/>
      <family val="1"/>
    </font>
    <font>
      <b/>
      <sz val="24"/>
      <color theme="1"/>
      <name val="Times New Roman"/>
      <family val="1"/>
    </font>
    <font>
      <b/>
      <i/>
      <sz val="13"/>
      <name val="Times New Roman"/>
      <family val="1"/>
      <charset val="163"/>
    </font>
    <font>
      <sz val="10"/>
      <color rgb="FFFF0000"/>
      <name val="Phetsarath OT"/>
    </font>
    <font>
      <b/>
      <sz val="10"/>
      <color rgb="FFFF0000"/>
      <name val="Phetsarath OT"/>
    </font>
    <font>
      <sz val="20"/>
      <name val="Calibri"/>
      <family val="2"/>
      <charset val="163"/>
    </font>
    <font>
      <sz val="16"/>
      <name val="Times New Roman"/>
      <family val="1"/>
    </font>
    <font>
      <sz val="15"/>
      <name val="Times New Roman"/>
      <family val="1"/>
      <charset val="163"/>
    </font>
    <font>
      <b/>
      <u/>
      <sz val="16"/>
      <name val="Times New Roman"/>
      <family val="1"/>
    </font>
    <font>
      <b/>
      <i/>
      <u/>
      <sz val="16"/>
      <name val="Times New Roman"/>
      <family val="1"/>
    </font>
    <font>
      <b/>
      <u/>
      <sz val="16"/>
      <color theme="0"/>
      <name val="Times New Roman"/>
      <family val="1"/>
    </font>
    <font>
      <b/>
      <sz val="15"/>
      <name val="Times New Roman"/>
      <family val="1"/>
    </font>
    <font>
      <b/>
      <sz val="26"/>
      <name val="Times New Roman"/>
      <family val="1"/>
    </font>
    <font>
      <sz val="15"/>
      <color indexed="63"/>
      <name val="Times New Roman"/>
      <family val="1"/>
    </font>
    <font>
      <u/>
      <sz val="15"/>
      <name val="Times New Roman"/>
      <family val="1"/>
    </font>
    <font>
      <b/>
      <i/>
      <sz val="15"/>
      <color rgb="FFFF0000"/>
      <name val="Times New Roman"/>
      <family val="1"/>
    </font>
    <font>
      <b/>
      <i/>
      <sz val="15"/>
      <color indexed="63"/>
      <name val="Times New Roman"/>
      <family val="1"/>
    </font>
    <font>
      <b/>
      <sz val="15"/>
      <name val="Times New Roman"/>
      <family val="1"/>
      <charset val="163"/>
    </font>
    <font>
      <b/>
      <sz val="16"/>
      <color rgb="FFFF0000"/>
      <name val="Times New Roman"/>
      <family val="1"/>
    </font>
    <font>
      <sz val="18"/>
      <color rgb="FF00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27">
    <xf numFmtId="0" fontId="0" fillId="0" borderId="0"/>
    <xf numFmtId="195" fontId="19" fillId="0" borderId="0" applyFont="0" applyFill="0" applyBorder="0" applyAlignment="0" applyProtection="0"/>
    <xf numFmtId="187" fontId="30" fillId="0" borderId="0" applyFont="0" applyFill="0" applyBorder="0" applyAlignment="0" applyProtection="0"/>
    <xf numFmtId="187" fontId="95" fillId="0" borderId="0" applyFont="0" applyFill="0" applyBorder="0" applyAlignment="0" applyProtection="0"/>
    <xf numFmtId="190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4" fontId="19" fillId="0" borderId="0" applyFont="0" applyFill="0" applyBorder="0" applyAlignment="0" applyProtection="0"/>
    <xf numFmtId="0" fontId="30" fillId="0" borderId="0"/>
    <xf numFmtId="0" fontId="30" fillId="0" borderId="0"/>
    <xf numFmtId="0" fontId="34" fillId="0" borderId="0"/>
    <xf numFmtId="0" fontId="34" fillId="0" borderId="0"/>
    <xf numFmtId="0" fontId="34" fillId="0" borderId="0"/>
    <xf numFmtId="0" fontId="94" fillId="0" borderId="0"/>
    <xf numFmtId="0" fontId="57" fillId="0" borderId="0"/>
    <xf numFmtId="0" fontId="94" fillId="0" borderId="0"/>
    <xf numFmtId="0" fontId="96" fillId="0" borderId="0"/>
    <xf numFmtId="0" fontId="95" fillId="0" borderId="0"/>
    <xf numFmtId="0" fontId="83" fillId="0" borderId="0"/>
    <xf numFmtId="0" fontId="30" fillId="0" borderId="0"/>
    <xf numFmtId="0" fontId="19" fillId="0" borderId="0"/>
    <xf numFmtId="9" fontId="19" fillId="0" borderId="0" applyFont="0" applyFill="0" applyBorder="0" applyAlignment="0" applyProtection="0"/>
    <xf numFmtId="9" fontId="86" fillId="0" borderId="0" applyFont="0" applyFill="0" applyBorder="0" applyAlignment="0" applyProtection="0"/>
    <xf numFmtId="0" fontId="94" fillId="0" borderId="0"/>
    <xf numFmtId="188" fontId="95" fillId="0" borderId="0" applyFont="0" applyFill="0" applyBorder="0" applyAlignment="0" applyProtection="0"/>
    <xf numFmtId="0" fontId="12" fillId="0" borderId="0"/>
    <xf numFmtId="0" fontId="149" fillId="0" borderId="0"/>
  </cellStyleXfs>
  <cellXfs count="1719">
    <xf numFmtId="0" fontId="0" fillId="0" borderId="0" xfId="0"/>
    <xf numFmtId="0" fontId="20" fillId="0" borderId="0" xfId="0" applyFont="1"/>
    <xf numFmtId="0" fontId="9" fillId="0" borderId="0" xfId="0" applyFont="1" applyFill="1"/>
    <xf numFmtId="0" fontId="10" fillId="0" borderId="0" xfId="0" applyFont="1" applyFill="1" applyAlignment="1"/>
    <xf numFmtId="0" fontId="12" fillId="0" borderId="0" xfId="0" applyFont="1" applyFill="1"/>
    <xf numFmtId="0" fontId="10" fillId="0" borderId="0" xfId="0" applyFont="1" applyFill="1"/>
    <xf numFmtId="198" fontId="12" fillId="0" borderId="0" xfId="1" applyNumberFormat="1" applyFont="1" applyFill="1"/>
    <xf numFmtId="198" fontId="7" fillId="2" borderId="0" xfId="1" applyNumberFormat="1" applyFont="1" applyFill="1"/>
    <xf numFmtId="198" fontId="12" fillId="2" borderId="0" xfId="1" applyNumberFormat="1" applyFont="1" applyFill="1"/>
    <xf numFmtId="198" fontId="16" fillId="2" borderId="0" xfId="1" applyNumberFormat="1" applyFont="1" applyFill="1" applyAlignment="1">
      <alignment horizontal="center"/>
    </xf>
    <xf numFmtId="198" fontId="16" fillId="2" borderId="0" xfId="1" applyNumberFormat="1" applyFont="1" applyFill="1" applyAlignment="1"/>
    <xf numFmtId="0" fontId="21" fillId="0" borderId="0" xfId="0" applyFont="1"/>
    <xf numFmtId="0" fontId="12" fillId="2" borderId="0" xfId="0" applyFont="1" applyFill="1" applyAlignment="1">
      <alignment horizontal="center"/>
    </xf>
    <xf numFmtId="0" fontId="7" fillId="0" borderId="0" xfId="0" applyFont="1" applyFill="1"/>
    <xf numFmtId="198" fontId="10" fillId="2" borderId="0" xfId="1" applyNumberFormat="1" applyFont="1" applyFill="1" applyAlignment="1"/>
    <xf numFmtId="198" fontId="26" fillId="2" borderId="0" xfId="1" applyNumberFormat="1" applyFont="1" applyFill="1" applyAlignment="1"/>
    <xf numFmtId="198" fontId="27" fillId="2" borderId="0" xfId="1" applyNumberFormat="1" applyFont="1" applyFill="1" applyAlignment="1"/>
    <xf numFmtId="0" fontId="21" fillId="0" borderId="0" xfId="0" applyFont="1" applyAlignment="1"/>
    <xf numFmtId="0" fontId="20" fillId="0" borderId="1" xfId="0" applyFont="1" applyBorder="1"/>
    <xf numFmtId="0" fontId="20" fillId="0" borderId="0" xfId="0" applyFont="1" applyBorder="1"/>
    <xf numFmtId="0" fontId="20" fillId="0" borderId="2" xfId="0" applyFont="1" applyBorder="1"/>
    <xf numFmtId="0" fontId="14" fillId="2" borderId="0" xfId="0" applyFont="1" applyFill="1" applyAlignment="1"/>
    <xf numFmtId="0" fontId="20" fillId="3" borderId="0" xfId="0" applyFont="1" applyFill="1"/>
    <xf numFmtId="200" fontId="7" fillId="2" borderId="0" xfId="1" applyNumberFormat="1" applyFont="1" applyFill="1"/>
    <xf numFmtId="201" fontId="16" fillId="2" borderId="0" xfId="1" applyNumberFormat="1" applyFont="1" applyFill="1" applyAlignment="1">
      <alignment horizontal="center"/>
    </xf>
    <xf numFmtId="2" fontId="20" fillId="0" borderId="0" xfId="0" applyNumberFormat="1" applyFont="1"/>
    <xf numFmtId="4" fontId="12" fillId="0" borderId="0" xfId="0" applyNumberFormat="1" applyFont="1" applyFill="1" applyAlignment="1">
      <alignment horizontal="center"/>
    </xf>
    <xf numFmtId="4" fontId="12" fillId="0" borderId="0" xfId="0" applyNumberFormat="1" applyFont="1" applyFill="1" applyAlignment="1">
      <alignment horizontal="right"/>
    </xf>
    <xf numFmtId="195" fontId="12" fillId="0" borderId="0" xfId="1" applyFont="1" applyFill="1" applyAlignment="1">
      <alignment horizontal="center"/>
    </xf>
    <xf numFmtId="0" fontId="20" fillId="0" borderId="0" xfId="0" applyFont="1" applyBorder="1" applyAlignment="1"/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7" fillId="0" borderId="0" xfId="0" applyFont="1" applyFill="1" applyBorder="1" applyAlignment="1">
      <alignment horizontal="center"/>
    </xf>
    <xf numFmtId="0" fontId="17" fillId="2" borderId="0" xfId="0" applyFont="1" applyFill="1" applyBorder="1" applyAlignment="1">
      <alignment wrapText="1"/>
    </xf>
    <xf numFmtId="0" fontId="17" fillId="2" borderId="0" xfId="0" applyFont="1" applyFill="1" applyBorder="1" applyAlignment="1"/>
    <xf numFmtId="0" fontId="9" fillId="0" borderId="1" xfId="0" applyFont="1" applyFill="1" applyBorder="1"/>
    <xf numFmtId="0" fontId="17" fillId="2" borderId="0" xfId="0" applyFont="1" applyFill="1" applyBorder="1" applyAlignment="1">
      <alignment vertical="center" shrinkToFit="1"/>
    </xf>
    <xf numFmtId="193" fontId="2" fillId="2" borderId="4" xfId="1" applyNumberFormat="1" applyFont="1" applyFill="1" applyBorder="1" applyAlignment="1">
      <alignment horizontal="center" vertical="center" wrapText="1"/>
    </xf>
    <xf numFmtId="3" fontId="36" fillId="0" borderId="5" xfId="0" quotePrefix="1" applyNumberFormat="1" applyFont="1" applyFill="1" applyBorder="1" applyAlignment="1">
      <alignment horizontal="center" vertical="center"/>
    </xf>
    <xf numFmtId="0" fontId="36" fillId="0" borderId="5" xfId="0" applyFont="1" applyFill="1" applyBorder="1" applyAlignment="1">
      <alignment horizontal="left" vertical="center" wrapText="1" indent="1"/>
    </xf>
    <xf numFmtId="3" fontId="36" fillId="3" borderId="5" xfId="0" quotePrefix="1" applyNumberFormat="1" applyFont="1" applyFill="1" applyBorder="1" applyAlignment="1">
      <alignment horizontal="center" vertical="center"/>
    </xf>
    <xf numFmtId="0" fontId="36" fillId="3" borderId="5" xfId="0" applyFont="1" applyFill="1" applyBorder="1" applyAlignment="1">
      <alignment horizontal="left" vertical="center" wrapText="1" indent="1"/>
    </xf>
    <xf numFmtId="3" fontId="36" fillId="3" borderId="5" xfId="0" applyNumberFormat="1" applyFont="1" applyFill="1" applyBorder="1" applyAlignment="1">
      <alignment horizontal="left" vertical="center" indent="1"/>
    </xf>
    <xf numFmtId="193" fontId="22" fillId="0" borderId="4" xfId="0" applyNumberFormat="1" applyFont="1" applyBorder="1"/>
    <xf numFmtId="197" fontId="22" fillId="0" borderId="4" xfId="0" applyNumberFormat="1" applyFont="1" applyBorder="1"/>
    <xf numFmtId="0" fontId="40" fillId="0" borderId="0" xfId="0" applyFont="1" applyFill="1" applyAlignment="1">
      <alignment horizontal="left"/>
    </xf>
    <xf numFmtId="0" fontId="3" fillId="0" borderId="0" xfId="0" applyFont="1" applyFill="1"/>
    <xf numFmtId="0" fontId="9" fillId="0" borderId="0" xfId="0" applyFont="1" applyFill="1" applyBorder="1"/>
    <xf numFmtId="0" fontId="38" fillId="0" borderId="0" xfId="0" applyFont="1" applyFill="1"/>
    <xf numFmtId="4" fontId="9" fillId="0" borderId="0" xfId="0" applyNumberFormat="1" applyFont="1" applyFill="1"/>
    <xf numFmtId="0" fontId="3" fillId="0" borderId="0" xfId="0" applyFont="1" applyFill="1" applyAlignment="1"/>
    <xf numFmtId="0" fontId="0" fillId="0" borderId="0" xfId="0" applyFill="1"/>
    <xf numFmtId="0" fontId="52" fillId="0" borderId="0" xfId="0" applyFont="1" applyFill="1"/>
    <xf numFmtId="0" fontId="39" fillId="0" borderId="0" xfId="0" applyFont="1" applyFill="1" applyAlignment="1"/>
    <xf numFmtId="196" fontId="9" fillId="0" borderId="0" xfId="1" applyNumberFormat="1" applyFont="1" applyFill="1"/>
    <xf numFmtId="3" fontId="9" fillId="0" borderId="0" xfId="0" applyNumberFormat="1" applyFont="1" applyFill="1"/>
    <xf numFmtId="197" fontId="9" fillId="0" borderId="0" xfId="0" applyNumberFormat="1" applyFont="1" applyFill="1"/>
    <xf numFmtId="189" fontId="9" fillId="0" borderId="0" xfId="0" applyNumberFormat="1" applyFont="1" applyFill="1"/>
    <xf numFmtId="0" fontId="52" fillId="0" borderId="0" xfId="0" applyFont="1" applyFill="1" applyBorder="1"/>
    <xf numFmtId="0" fontId="40" fillId="0" borderId="0" xfId="0" applyFont="1" applyFill="1"/>
    <xf numFmtId="0" fontId="41" fillId="0" borderId="0" xfId="0" applyFont="1" applyFill="1" applyAlignment="1"/>
    <xf numFmtId="0" fontId="50" fillId="0" borderId="0" xfId="0" applyFont="1" applyFill="1"/>
    <xf numFmtId="0" fontId="39" fillId="0" borderId="0" xfId="0" applyFont="1" applyFill="1"/>
    <xf numFmtId="0" fontId="35" fillId="0" borderId="0" xfId="0" applyFont="1" applyFill="1"/>
    <xf numFmtId="0" fontId="38" fillId="0" borderId="0" xfId="0" applyFont="1" applyFill="1" applyAlignment="1"/>
    <xf numFmtId="196" fontId="52" fillId="0" borderId="0" xfId="1" applyNumberFormat="1" applyFont="1" applyFill="1"/>
    <xf numFmtId="0" fontId="38" fillId="0" borderId="0" xfId="0" applyFont="1" applyFill="1" applyBorder="1" applyAlignment="1">
      <alignment vertical="center" shrinkToFit="1"/>
    </xf>
    <xf numFmtId="4" fontId="9" fillId="0" borderId="0" xfId="0" applyNumberFormat="1" applyFont="1" applyFill="1" applyAlignment="1">
      <alignment horizontal="right"/>
    </xf>
    <xf numFmtId="4" fontId="10" fillId="0" borderId="0" xfId="0" applyNumberFormat="1" applyFont="1" applyFill="1" applyAlignment="1">
      <alignment horizontal="right"/>
    </xf>
    <xf numFmtId="0" fontId="9" fillId="0" borderId="0" xfId="0" applyFont="1" applyFill="1" applyAlignment="1">
      <alignment horizontal="right"/>
    </xf>
    <xf numFmtId="207" fontId="9" fillId="0" borderId="0" xfId="0" applyNumberFormat="1" applyFont="1" applyFill="1"/>
    <xf numFmtId="198" fontId="7" fillId="0" borderId="0" xfId="1" applyNumberFormat="1" applyFont="1" applyFill="1"/>
    <xf numFmtId="200" fontId="7" fillId="0" borderId="0" xfId="1" applyNumberFormat="1" applyFont="1" applyFill="1"/>
    <xf numFmtId="201" fontId="16" fillId="0" borderId="0" xfId="1" applyNumberFormat="1" applyFont="1" applyFill="1" applyAlignment="1">
      <alignment horizontal="right"/>
    </xf>
    <xf numFmtId="4" fontId="16" fillId="0" borderId="0" xfId="1" applyNumberFormat="1" applyFont="1" applyFill="1" applyAlignment="1">
      <alignment horizontal="right"/>
    </xf>
    <xf numFmtId="198" fontId="16" fillId="0" borderId="0" xfId="1" applyNumberFormat="1" applyFont="1" applyFill="1" applyAlignment="1">
      <alignment horizontal="center"/>
    </xf>
    <xf numFmtId="207" fontId="16" fillId="0" borderId="0" xfId="1" applyNumberFormat="1" applyFont="1" applyFill="1" applyAlignment="1">
      <alignment horizontal="center"/>
    </xf>
    <xf numFmtId="198" fontId="11" fillId="0" borderId="4" xfId="1" applyNumberFormat="1" applyFont="1" applyFill="1" applyBorder="1" applyAlignment="1">
      <alignment horizontal="right" vertical="center" wrapText="1"/>
    </xf>
    <xf numFmtId="4" fontId="11" fillId="0" borderId="4" xfId="1" applyNumberFormat="1" applyFont="1" applyFill="1" applyBorder="1" applyAlignment="1">
      <alignment horizontal="center" vertical="center" wrapText="1"/>
    </xf>
    <xf numFmtId="4" fontId="9" fillId="0" borderId="0" xfId="0" applyNumberFormat="1" applyFont="1" applyFill="1" applyBorder="1"/>
    <xf numFmtId="2" fontId="53" fillId="0" borderId="0" xfId="0" applyNumberFormat="1" applyFont="1" applyFill="1" applyBorder="1"/>
    <xf numFmtId="193" fontId="9" fillId="0" borderId="0" xfId="0" applyNumberFormat="1" applyFont="1" applyFill="1" applyBorder="1"/>
    <xf numFmtId="0" fontId="12" fillId="0" borderId="12" xfId="0" applyFont="1" applyFill="1" applyBorder="1" applyAlignment="1">
      <alignment horizontal="left" vertical="center" wrapText="1" indent="1"/>
    </xf>
    <xf numFmtId="1" fontId="12" fillId="0" borderId="5" xfId="0" applyNumberFormat="1" applyFont="1" applyFill="1" applyBorder="1" applyAlignment="1">
      <alignment horizontal="left" vertical="center" indent="1"/>
    </xf>
    <xf numFmtId="3" fontId="12" fillId="0" borderId="5" xfId="0" applyNumberFormat="1" applyFont="1" applyFill="1" applyBorder="1" applyAlignment="1">
      <alignment horizontal="left" vertical="center" indent="1"/>
    </xf>
    <xf numFmtId="0" fontId="12" fillId="0" borderId="0" xfId="0" applyFont="1" applyFill="1" applyBorder="1" applyAlignment="1">
      <alignment horizontal="left" vertical="center" wrapText="1" indent="1"/>
    </xf>
    <xf numFmtId="0" fontId="12" fillId="0" borderId="5" xfId="0" applyFont="1" applyFill="1" applyBorder="1" applyAlignment="1">
      <alignment horizontal="left" vertical="center" wrapText="1" indent="1"/>
    </xf>
    <xf numFmtId="1" fontId="12" fillId="0" borderId="5" xfId="0" quotePrefix="1" applyNumberFormat="1" applyFont="1" applyFill="1" applyBorder="1" applyAlignment="1">
      <alignment horizontal="left" vertical="center" indent="1"/>
    </xf>
    <xf numFmtId="3" fontId="12" fillId="0" borderId="13" xfId="0" applyNumberFormat="1" applyFont="1" applyFill="1" applyBorder="1" applyAlignment="1">
      <alignment horizontal="left" vertical="center" indent="1"/>
    </xf>
    <xf numFmtId="1" fontId="12" fillId="0" borderId="13" xfId="0" applyNumberFormat="1" applyFont="1" applyFill="1" applyBorder="1" applyAlignment="1">
      <alignment horizontal="left" vertical="center" indent="1"/>
    </xf>
    <xf numFmtId="0" fontId="12" fillId="0" borderId="13" xfId="0" applyFont="1" applyFill="1" applyBorder="1" applyAlignment="1">
      <alignment horizontal="left" vertical="center" wrapText="1" indent="1"/>
    </xf>
    <xf numFmtId="193" fontId="9" fillId="0" borderId="0" xfId="0" applyNumberFormat="1" applyFont="1" applyFill="1"/>
    <xf numFmtId="0" fontId="46" fillId="0" borderId="0" xfId="0" applyFont="1" applyFill="1"/>
    <xf numFmtId="4" fontId="3" fillId="0" borderId="0" xfId="0" applyNumberFormat="1" applyFont="1" applyFill="1" applyAlignment="1">
      <alignment horizontal="right"/>
    </xf>
    <xf numFmtId="0" fontId="14" fillId="0" borderId="0" xfId="0" applyFont="1" applyFill="1" applyAlignment="1"/>
    <xf numFmtId="196" fontId="62" fillId="0" borderId="0" xfId="1" applyNumberFormat="1" applyFont="1" applyFill="1"/>
    <xf numFmtId="0" fontId="12" fillId="0" borderId="0" xfId="0" applyFont="1" applyFill="1" applyBorder="1"/>
    <xf numFmtId="0" fontId="10" fillId="0" borderId="0" xfId="0" applyNumberFormat="1" applyFont="1" applyFill="1" applyAlignment="1"/>
    <xf numFmtId="0" fontId="9" fillId="0" borderId="0" xfId="0" applyFont="1" applyFill="1" applyAlignment="1">
      <alignment horizontal="left"/>
    </xf>
    <xf numFmtId="212" fontId="9" fillId="0" borderId="0" xfId="0" applyNumberFormat="1" applyFont="1" applyFill="1"/>
    <xf numFmtId="190" fontId="9" fillId="0" borderId="0" xfId="0" applyNumberFormat="1" applyFont="1" applyFill="1"/>
    <xf numFmtId="43" fontId="9" fillId="0" borderId="0" xfId="0" applyNumberFormat="1" applyFont="1" applyFill="1"/>
    <xf numFmtId="199" fontId="9" fillId="0" borderId="0" xfId="0" applyNumberFormat="1" applyFont="1" applyFill="1"/>
    <xf numFmtId="0" fontId="38" fillId="0" borderId="4" xfId="0" applyFont="1" applyFill="1" applyBorder="1" applyAlignment="1">
      <alignment vertical="center" wrapText="1"/>
    </xf>
    <xf numFmtId="190" fontId="9" fillId="0" borderId="6" xfId="0" applyNumberFormat="1" applyFont="1" applyFill="1" applyBorder="1"/>
    <xf numFmtId="0" fontId="38" fillId="0" borderId="4" xfId="0" applyFont="1" applyFill="1" applyBorder="1" applyAlignment="1">
      <alignment horizontal="left" vertical="center" wrapText="1"/>
    </xf>
    <xf numFmtId="212" fontId="9" fillId="0" borderId="0" xfId="0" applyNumberFormat="1" applyFont="1" applyFill="1" applyBorder="1"/>
    <xf numFmtId="218" fontId="12" fillId="0" borderId="5" xfId="0" quotePrefix="1" applyNumberFormat="1" applyFont="1" applyFill="1" applyBorder="1" applyAlignment="1">
      <alignment horizontal="left" vertical="center" indent="1"/>
    </xf>
    <xf numFmtId="212" fontId="12" fillId="0" borderId="5" xfId="0" applyNumberFormat="1" applyFont="1" applyFill="1" applyBorder="1" applyAlignment="1">
      <alignment horizontal="left" vertical="center" wrapText="1" indent="1"/>
    </xf>
    <xf numFmtId="212" fontId="12" fillId="0" borderId="5" xfId="0" quotePrefix="1" applyNumberFormat="1" applyFont="1" applyFill="1" applyBorder="1" applyAlignment="1">
      <alignment horizontal="left" vertical="center" indent="1"/>
    </xf>
    <xf numFmtId="212" fontId="12" fillId="0" borderId="12" xfId="0" applyNumberFormat="1" applyFont="1" applyFill="1" applyBorder="1" applyAlignment="1">
      <alignment horizontal="left" vertical="center" wrapText="1" indent="1"/>
    </xf>
    <xf numFmtId="212" fontId="12" fillId="0" borderId="5" xfId="0" applyNumberFormat="1" applyFont="1" applyFill="1" applyBorder="1" applyAlignment="1">
      <alignment horizontal="left" vertical="center" indent="1"/>
    </xf>
    <xf numFmtId="0" fontId="38" fillId="0" borderId="4" xfId="0" applyFont="1" applyFill="1" applyBorder="1" applyAlignment="1">
      <alignment horizontal="center" vertical="center" shrinkToFit="1"/>
    </xf>
    <xf numFmtId="212" fontId="9" fillId="0" borderId="6" xfId="0" applyNumberFormat="1" applyFont="1" applyFill="1" applyBorder="1"/>
    <xf numFmtId="0" fontId="9" fillId="0" borderId="2" xfId="0" applyFont="1" applyFill="1" applyBorder="1"/>
    <xf numFmtId="207" fontId="9" fillId="0" borderId="0" xfId="0" applyNumberFormat="1" applyFont="1" applyFill="1" applyBorder="1" applyAlignment="1"/>
    <xf numFmtId="0" fontId="9" fillId="0" borderId="0" xfId="0" applyFont="1" applyFill="1" applyBorder="1" applyAlignment="1"/>
    <xf numFmtId="190" fontId="53" fillId="0" borderId="0" xfId="0" applyNumberFormat="1" applyFont="1" applyFill="1"/>
    <xf numFmtId="190" fontId="9" fillId="0" borderId="6" xfId="0" applyNumberFormat="1" applyFont="1" applyFill="1" applyBorder="1" applyAlignment="1"/>
    <xf numFmtId="190" fontId="9" fillId="0" borderId="0" xfId="0" applyNumberFormat="1" applyFont="1" applyFill="1" applyBorder="1" applyAlignment="1"/>
    <xf numFmtId="43" fontId="12" fillId="0" borderId="5" xfId="0" applyNumberFormat="1" applyFont="1" applyFill="1" applyBorder="1" applyAlignment="1">
      <alignment horizontal="left" vertical="center" wrapText="1" indent="1"/>
    </xf>
    <xf numFmtId="212" fontId="63" fillId="0" borderId="0" xfId="0" applyNumberFormat="1" applyFont="1" applyFill="1"/>
    <xf numFmtId="0" fontId="12" fillId="0" borderId="0" xfId="0" applyFont="1" applyFill="1" applyAlignment="1"/>
    <xf numFmtId="0" fontId="7" fillId="0" borderId="5" xfId="0" applyFont="1" applyFill="1" applyBorder="1" applyAlignment="1">
      <alignment horizontal="center" vertical="center" shrinkToFit="1"/>
    </xf>
    <xf numFmtId="4" fontId="7" fillId="0" borderId="5" xfId="0" applyNumberFormat="1" applyFont="1" applyFill="1" applyBorder="1" applyAlignment="1">
      <alignment horizontal="center" vertical="center" shrinkToFit="1"/>
    </xf>
    <xf numFmtId="189" fontId="38" fillId="0" borderId="5" xfId="1" applyNumberFormat="1" applyFont="1" applyFill="1" applyBorder="1" applyAlignment="1">
      <alignment horizontal="center" vertical="center"/>
    </xf>
    <xf numFmtId="199" fontId="11" fillId="0" borderId="5" xfId="0" applyNumberFormat="1" applyFont="1" applyFill="1" applyBorder="1" applyAlignment="1">
      <alignment horizontal="center" vertical="center" shrinkToFit="1"/>
    </xf>
    <xf numFmtId="0" fontId="12" fillId="0" borderId="4" xfId="0" applyFont="1" applyFill="1" applyBorder="1" applyAlignment="1">
      <alignment horizontal="center" vertical="center"/>
    </xf>
    <xf numFmtId="2" fontId="7" fillId="0" borderId="5" xfId="0" applyNumberFormat="1" applyFont="1" applyFill="1" applyBorder="1" applyAlignment="1">
      <alignment horizontal="center" vertical="center" shrinkToFit="1"/>
    </xf>
    <xf numFmtId="3" fontId="3" fillId="0" borderId="0" xfId="0" applyNumberFormat="1" applyFont="1" applyFill="1" applyBorder="1" applyAlignment="1">
      <alignment vertical="center" wrapText="1"/>
    </xf>
    <xf numFmtId="3" fontId="3" fillId="0" borderId="0" xfId="0" applyNumberFormat="1" applyFont="1" applyFill="1" applyBorder="1" applyAlignment="1">
      <alignment vertical="center"/>
    </xf>
    <xf numFmtId="4" fontId="9" fillId="0" borderId="0" xfId="0" applyNumberFormat="1" applyFont="1" applyFill="1" applyBorder="1" applyAlignment="1">
      <alignment vertical="center"/>
    </xf>
    <xf numFmtId="3" fontId="9" fillId="0" borderId="0" xfId="0" applyNumberFormat="1" applyFont="1" applyFill="1" applyBorder="1" applyAlignment="1">
      <alignment vertical="center" wrapText="1"/>
    </xf>
    <xf numFmtId="3" fontId="9" fillId="0" borderId="0" xfId="0" applyNumberFormat="1" applyFont="1" applyFill="1" applyBorder="1" applyAlignment="1">
      <alignment vertical="center"/>
    </xf>
    <xf numFmtId="0" fontId="12" fillId="0" borderId="0" xfId="0" applyFont="1" applyFill="1" applyBorder="1" applyAlignment="1"/>
    <xf numFmtId="0" fontId="7" fillId="0" borderId="4" xfId="0" applyFont="1" applyFill="1" applyBorder="1" applyAlignment="1">
      <alignment vertical="center" wrapText="1"/>
    </xf>
    <xf numFmtId="189" fontId="7" fillId="0" borderId="0" xfId="1" applyNumberFormat="1" applyFont="1" applyFill="1" applyBorder="1" applyAlignment="1">
      <alignment horizontal="center" vertical="center" shrinkToFit="1"/>
    </xf>
    <xf numFmtId="2" fontId="3" fillId="0" borderId="0" xfId="0" applyNumberFormat="1" applyFont="1" applyFill="1" applyBorder="1"/>
    <xf numFmtId="0" fontId="9" fillId="0" borderId="0" xfId="0" applyFont="1" applyFill="1" applyBorder="1" applyAlignment="1">
      <alignment horizontal="right"/>
    </xf>
    <xf numFmtId="196" fontId="87" fillId="0" borderId="0" xfId="1" applyNumberFormat="1" applyFont="1" applyFill="1"/>
    <xf numFmtId="198" fontId="26" fillId="0" borderId="0" xfId="1" applyNumberFormat="1" applyFont="1" applyFill="1" applyAlignment="1"/>
    <xf numFmtId="0" fontId="61" fillId="0" borderId="0" xfId="0" applyFont="1" applyFill="1"/>
    <xf numFmtId="0" fontId="20" fillId="0" borderId="0" xfId="0" applyFont="1" applyFill="1"/>
    <xf numFmtId="0" fontId="7" fillId="0" borderId="0" xfId="0" applyFont="1" applyFill="1" applyAlignment="1">
      <alignment horizontal="left"/>
    </xf>
    <xf numFmtId="0" fontId="8" fillId="0" borderId="0" xfId="0" applyFont="1" applyFill="1"/>
    <xf numFmtId="196" fontId="7" fillId="0" borderId="0" xfId="1" applyNumberFormat="1" applyFont="1" applyFill="1"/>
    <xf numFmtId="0" fontId="7" fillId="0" borderId="4" xfId="0" applyFont="1" applyFill="1" applyBorder="1"/>
    <xf numFmtId="196" fontId="3" fillId="0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197" fontId="3" fillId="0" borderId="0" xfId="0" applyNumberFormat="1" applyFont="1" applyFill="1" applyAlignment="1">
      <alignment vertical="center"/>
    </xf>
    <xf numFmtId="197" fontId="3" fillId="0" borderId="0" xfId="0" applyNumberFormat="1" applyFont="1" applyFill="1" applyBorder="1" applyAlignment="1">
      <alignment vertical="center"/>
    </xf>
    <xf numFmtId="196" fontId="10" fillId="0" borderId="0" xfId="1" applyNumberFormat="1" applyFont="1" applyFill="1" applyBorder="1"/>
    <xf numFmtId="196" fontId="12" fillId="0" borderId="0" xfId="1" applyNumberFormat="1" applyFont="1" applyFill="1"/>
    <xf numFmtId="3" fontId="3" fillId="0" borderId="0" xfId="0" applyNumberFormat="1" applyFont="1" applyFill="1"/>
    <xf numFmtId="0" fontId="10" fillId="0" borderId="0" xfId="0" applyFont="1" applyFill="1" applyAlignment="1">
      <alignment horizontal="left"/>
    </xf>
    <xf numFmtId="196" fontId="10" fillId="0" borderId="0" xfId="1" applyNumberFormat="1" applyFont="1" applyFill="1" applyAlignment="1">
      <alignment horizontal="center"/>
    </xf>
    <xf numFmtId="192" fontId="0" fillId="0" borderId="5" xfId="0" applyNumberFormat="1" applyFill="1" applyBorder="1"/>
    <xf numFmtId="220" fontId="0" fillId="0" borderId="5" xfId="0" applyNumberFormat="1" applyFill="1" applyBorder="1"/>
    <xf numFmtId="209" fontId="0" fillId="0" borderId="5" xfId="0" applyNumberFormat="1" applyFill="1" applyBorder="1"/>
    <xf numFmtId="0" fontId="0" fillId="0" borderId="5" xfId="0" applyFill="1" applyBorder="1"/>
    <xf numFmtId="208" fontId="0" fillId="0" borderId="5" xfId="0" applyNumberFormat="1" applyFill="1" applyBorder="1"/>
    <xf numFmtId="209" fontId="35" fillId="0" borderId="4" xfId="7" applyNumberFormat="1" applyFont="1" applyFill="1" applyBorder="1" applyAlignment="1">
      <alignment horizontal="center"/>
    </xf>
    <xf numFmtId="196" fontId="52" fillId="0" borderId="5" xfId="1" applyNumberFormat="1" applyFont="1" applyFill="1" applyBorder="1"/>
    <xf numFmtId="189" fontId="0" fillId="0" borderId="5" xfId="0" applyNumberFormat="1" applyFill="1" applyBorder="1" applyAlignment="1">
      <alignment horizontal="left"/>
    </xf>
    <xf numFmtId="196" fontId="62" fillId="0" borderId="5" xfId="1" applyNumberFormat="1" applyFont="1" applyFill="1" applyBorder="1"/>
    <xf numFmtId="0" fontId="77" fillId="0" borderId="0" xfId="0" applyFont="1" applyFill="1" applyBorder="1" applyAlignment="1">
      <alignment horizontal="center" vertical="center"/>
    </xf>
    <xf numFmtId="0" fontId="73" fillId="0" borderId="0" xfId="0" applyFont="1" applyFill="1"/>
    <xf numFmtId="0" fontId="76" fillId="0" borderId="0" xfId="0" applyFont="1" applyFill="1"/>
    <xf numFmtId="213" fontId="0" fillId="0" borderId="5" xfId="0" applyNumberFormat="1" applyFill="1" applyBorder="1"/>
    <xf numFmtId="0" fontId="15" fillId="0" borderId="4" xfId="0" applyFont="1" applyFill="1" applyBorder="1"/>
    <xf numFmtId="207" fontId="18" fillId="0" borderId="6" xfId="0" applyNumberFormat="1" applyFont="1" applyFill="1" applyBorder="1"/>
    <xf numFmtId="0" fontId="81" fillId="0" borderId="0" xfId="0" applyFont="1" applyFill="1"/>
    <xf numFmtId="0" fontId="81" fillId="0" borderId="0" xfId="0" applyFont="1" applyFill="1" applyAlignment="1">
      <alignment horizontal="center"/>
    </xf>
    <xf numFmtId="3" fontId="81" fillId="0" borderId="0" xfId="0" applyNumberFormat="1" applyFont="1" applyFill="1"/>
    <xf numFmtId="197" fontId="81" fillId="0" borderId="0" xfId="0" applyNumberFormat="1" applyFont="1" applyFill="1"/>
    <xf numFmtId="0" fontId="81" fillId="0" borderId="0" xfId="0" applyFont="1" applyFill="1" applyBorder="1" applyAlignment="1">
      <alignment horizontal="center"/>
    </xf>
    <xf numFmtId="198" fontId="81" fillId="0" borderId="0" xfId="1" applyNumberFormat="1" applyFont="1" applyFill="1"/>
    <xf numFmtId="0" fontId="80" fillId="0" borderId="0" xfId="0" applyFont="1" applyFill="1"/>
    <xf numFmtId="197" fontId="80" fillId="0" borderId="0" xfId="19" applyNumberFormat="1" applyFont="1" applyFill="1" applyBorder="1" applyAlignment="1">
      <alignment horizontal="center"/>
    </xf>
    <xf numFmtId="0" fontId="80" fillId="0" borderId="0" xfId="0" applyFont="1" applyFill="1" applyAlignment="1"/>
    <xf numFmtId="197" fontId="80" fillId="0" borderId="0" xfId="0" applyNumberFormat="1" applyFont="1" applyFill="1"/>
    <xf numFmtId="198" fontId="80" fillId="0" borderId="0" xfId="1" applyNumberFormat="1" applyFont="1" applyFill="1"/>
    <xf numFmtId="4" fontId="32" fillId="0" borderId="4" xfId="0" applyNumberFormat="1" applyFont="1" applyFill="1" applyBorder="1"/>
    <xf numFmtId="193" fontId="32" fillId="0" borderId="4" xfId="0" applyNumberFormat="1" applyFont="1" applyFill="1" applyBorder="1"/>
    <xf numFmtId="0" fontId="70" fillId="0" borderId="0" xfId="0" applyFont="1" applyFill="1" applyAlignment="1">
      <alignment vertical="center"/>
    </xf>
    <xf numFmtId="196" fontId="80" fillId="0" borderId="0" xfId="1" applyNumberFormat="1" applyFont="1" applyFill="1"/>
    <xf numFmtId="0" fontId="20" fillId="0" borderId="0" xfId="0" applyFont="1" applyFill="1" applyBorder="1"/>
    <xf numFmtId="0" fontId="20" fillId="0" borderId="3" xfId="0" applyFont="1" applyFill="1" applyBorder="1"/>
    <xf numFmtId="0" fontId="37" fillId="0" borderId="0" xfId="0" applyFont="1" applyFill="1"/>
    <xf numFmtId="3" fontId="12" fillId="0" borderId="0" xfId="0" applyNumberFormat="1" applyFont="1" applyFill="1"/>
    <xf numFmtId="0" fontId="7" fillId="0" borderId="1" xfId="0" applyFont="1" applyFill="1" applyBorder="1" applyAlignment="1">
      <alignment horizontal="center" vertical="center" shrinkToFit="1"/>
    </xf>
    <xf numFmtId="4" fontId="7" fillId="0" borderId="1" xfId="0" applyNumberFormat="1" applyFont="1" applyFill="1" applyBorder="1" applyAlignment="1">
      <alignment horizontal="center" vertical="center" shrinkToFit="1"/>
    </xf>
    <xf numFmtId="190" fontId="7" fillId="0" borderId="1" xfId="1" applyNumberFormat="1" applyFont="1" applyFill="1" applyBorder="1" applyAlignment="1">
      <alignment horizontal="center" vertical="center" shrinkToFit="1"/>
    </xf>
    <xf numFmtId="197" fontId="7" fillId="0" borderId="5" xfId="1" applyNumberFormat="1" applyFont="1" applyFill="1" applyBorder="1" applyAlignment="1">
      <alignment horizontal="right" vertical="center" shrinkToFit="1"/>
    </xf>
    <xf numFmtId="190" fontId="7" fillId="0" borderId="5" xfId="1" applyNumberFormat="1" applyFont="1" applyFill="1" applyBorder="1" applyAlignment="1">
      <alignment horizontal="center" vertical="center" shrinkToFit="1"/>
    </xf>
    <xf numFmtId="0" fontId="7" fillId="0" borderId="9" xfId="0" applyFont="1" applyFill="1" applyBorder="1" applyAlignment="1">
      <alignment horizontal="center" vertical="center" shrinkToFit="1"/>
    </xf>
    <xf numFmtId="0" fontId="7" fillId="0" borderId="9" xfId="0" applyFont="1" applyFill="1" applyBorder="1"/>
    <xf numFmtId="4" fontId="7" fillId="0" borderId="9" xfId="0" applyNumberFormat="1" applyFont="1" applyFill="1" applyBorder="1" applyAlignment="1">
      <alignment horizontal="center" vertical="center" shrinkToFit="1"/>
    </xf>
    <xf numFmtId="2" fontId="7" fillId="0" borderId="9" xfId="1" applyNumberFormat="1" applyFont="1" applyFill="1" applyBorder="1" applyAlignment="1">
      <alignment horizontal="right" vertical="center" wrapText="1"/>
    </xf>
    <xf numFmtId="207" fontId="7" fillId="0" borderId="9" xfId="1" applyNumberFormat="1" applyFont="1" applyFill="1" applyBorder="1" applyAlignment="1">
      <alignment horizontal="right" vertical="center" wrapText="1"/>
    </xf>
    <xf numFmtId="0" fontId="7" fillId="0" borderId="1" xfId="0" applyFont="1" applyFill="1" applyBorder="1"/>
    <xf numFmtId="4" fontId="7" fillId="0" borderId="1" xfId="1" applyNumberFormat="1" applyFont="1" applyFill="1" applyBorder="1" applyAlignment="1">
      <alignment horizontal="right" vertical="center" shrinkToFit="1"/>
    </xf>
    <xf numFmtId="2" fontId="7" fillId="0" borderId="18" xfId="0" applyNumberFormat="1" applyFont="1" applyFill="1" applyBorder="1" applyAlignment="1">
      <alignment horizontal="center" vertical="center" shrinkToFit="1"/>
    </xf>
    <xf numFmtId="192" fontId="7" fillId="0" borderId="18" xfId="1" applyNumberFormat="1" applyFont="1" applyFill="1" applyBorder="1" applyAlignment="1">
      <alignment vertical="center" shrinkToFit="1"/>
    </xf>
    <xf numFmtId="192" fontId="35" fillId="0" borderId="4" xfId="7" applyNumberFormat="1" applyFont="1" applyFill="1" applyBorder="1" applyAlignment="1">
      <alignment horizontal="center"/>
    </xf>
    <xf numFmtId="4" fontId="10" fillId="0" borderId="4" xfId="0" applyNumberFormat="1" applyFont="1" applyFill="1" applyBorder="1" applyAlignment="1">
      <alignment horizontal="center" vertical="center" wrapText="1"/>
    </xf>
    <xf numFmtId="0" fontId="12" fillId="0" borderId="0" xfId="0" applyFont="1" applyFill="1" applyAlignment="1">
      <alignment vertical="center" wrapText="1"/>
    </xf>
    <xf numFmtId="0" fontId="12" fillId="0" borderId="4" xfId="18" applyFont="1" applyFill="1" applyBorder="1" applyAlignment="1">
      <alignment horizontal="center" vertical="center"/>
    </xf>
    <xf numFmtId="212" fontId="12" fillId="0" borderId="0" xfId="1" applyNumberFormat="1" applyFont="1" applyFill="1"/>
    <xf numFmtId="0" fontId="88" fillId="0" borderId="0" xfId="16" applyFont="1" applyFill="1"/>
    <xf numFmtId="190" fontId="37" fillId="0" borderId="0" xfId="1" applyNumberFormat="1" applyFont="1" applyFill="1"/>
    <xf numFmtId="225" fontId="37" fillId="0" borderId="0" xfId="1" applyNumberFormat="1" applyFont="1" applyFill="1"/>
    <xf numFmtId="226" fontId="37" fillId="0" borderId="0" xfId="0" applyNumberFormat="1" applyFont="1" applyFill="1"/>
    <xf numFmtId="0" fontId="17" fillId="0" borderId="0" xfId="0" applyFont="1" applyFill="1"/>
    <xf numFmtId="190" fontId="17" fillId="0" borderId="0" xfId="0" applyNumberFormat="1" applyFont="1" applyFill="1"/>
    <xf numFmtId="2" fontId="7" fillId="0" borderId="11" xfId="0" applyNumberFormat="1" applyFont="1" applyFill="1" applyBorder="1" applyAlignment="1">
      <alignment horizontal="center" vertical="center" shrinkToFit="1"/>
    </xf>
    <xf numFmtId="4" fontId="7" fillId="0" borderId="11" xfId="0" applyNumberFormat="1" applyFont="1" applyFill="1" applyBorder="1" applyAlignment="1">
      <alignment horizontal="center" vertical="center" shrinkToFit="1"/>
    </xf>
    <xf numFmtId="0" fontId="7" fillId="0" borderId="11" xfId="0" applyFont="1" applyFill="1" applyBorder="1"/>
    <xf numFmtId="0" fontId="7" fillId="0" borderId="7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left" vertical="center" shrinkToFit="1"/>
    </xf>
    <xf numFmtId="212" fontId="37" fillId="0" borderId="0" xfId="0" applyNumberFormat="1" applyFont="1" applyFill="1"/>
    <xf numFmtId="0" fontId="85" fillId="0" borderId="0" xfId="16" applyFont="1" applyFill="1"/>
    <xf numFmtId="0" fontId="20" fillId="0" borderId="0" xfId="16" applyFont="1" applyFill="1"/>
    <xf numFmtId="0" fontId="21" fillId="0" borderId="0" xfId="16" applyFont="1" applyFill="1"/>
    <xf numFmtId="0" fontId="35" fillId="0" borderId="4" xfId="18" applyFont="1" applyFill="1" applyBorder="1" applyAlignment="1">
      <alignment horizontal="left" vertical="center"/>
    </xf>
    <xf numFmtId="3" fontId="17" fillId="0" borderId="0" xfId="0" applyNumberFormat="1" applyFont="1" applyFill="1"/>
    <xf numFmtId="196" fontId="9" fillId="0" borderId="0" xfId="0" applyNumberFormat="1" applyFont="1" applyFill="1"/>
    <xf numFmtId="0" fontId="38" fillId="0" borderId="4" xfId="0" applyFont="1" applyFill="1" applyBorder="1" applyAlignment="1">
      <alignment horizontal="center" vertical="center" wrapText="1"/>
    </xf>
    <xf numFmtId="197" fontId="38" fillId="0" borderId="4" xfId="1" applyNumberFormat="1" applyFont="1" applyFill="1" applyBorder="1" applyAlignment="1">
      <alignment vertical="center" wrapText="1"/>
    </xf>
    <xf numFmtId="197" fontId="41" fillId="0" borderId="4" xfId="1" applyNumberFormat="1" applyFont="1" applyFill="1" applyBorder="1" applyAlignment="1">
      <alignment vertical="center" wrapText="1"/>
    </xf>
    <xf numFmtId="4" fontId="12" fillId="0" borderId="4" xfId="1" applyNumberFormat="1" applyFont="1" applyFill="1" applyBorder="1" applyAlignment="1">
      <alignment horizontal="center" vertical="center"/>
    </xf>
    <xf numFmtId="4" fontId="10" fillId="0" borderId="4" xfId="1" applyNumberFormat="1" applyFont="1" applyFill="1" applyBorder="1" applyAlignment="1">
      <alignment horizontal="center" vertical="center"/>
    </xf>
    <xf numFmtId="0" fontId="85" fillId="0" borderId="0" xfId="16" applyFont="1" applyFill="1" applyAlignment="1">
      <alignment horizontal="center"/>
    </xf>
    <xf numFmtId="0" fontId="20" fillId="0" borderId="0" xfId="16" applyFont="1" applyFill="1" applyAlignment="1">
      <alignment horizontal="center"/>
    </xf>
    <xf numFmtId="196" fontId="12" fillId="0" borderId="0" xfId="1" applyNumberFormat="1" applyFont="1" applyFill="1" applyAlignment="1">
      <alignment horizontal="center"/>
    </xf>
    <xf numFmtId="196" fontId="10" fillId="0" borderId="4" xfId="1" applyNumberFormat="1" applyFont="1" applyFill="1" applyBorder="1" applyAlignment="1">
      <alignment horizontal="center" vertical="center" wrapText="1"/>
    </xf>
    <xf numFmtId="196" fontId="12" fillId="0" borderId="4" xfId="1" applyNumberFormat="1" applyFont="1" applyFill="1" applyBorder="1" applyAlignment="1">
      <alignment horizontal="right"/>
    </xf>
    <xf numFmtId="196" fontId="10" fillId="0" borderId="4" xfId="1" applyNumberFormat="1" applyFont="1" applyFill="1" applyBorder="1" applyAlignment="1">
      <alignment horizontal="right"/>
    </xf>
    <xf numFmtId="196" fontId="85" fillId="0" borderId="0" xfId="1" applyNumberFormat="1" applyFont="1" applyFill="1"/>
    <xf numFmtId="196" fontId="20" fillId="0" borderId="0" xfId="1" applyNumberFormat="1" applyFont="1" applyFill="1"/>
    <xf numFmtId="196" fontId="21" fillId="0" borderId="0" xfId="1" applyNumberFormat="1" applyFont="1" applyFill="1" applyAlignment="1"/>
    <xf numFmtId="195" fontId="12" fillId="0" borderId="0" xfId="1" applyNumberFormat="1" applyFont="1" applyFill="1" applyAlignment="1">
      <alignment horizontal="center"/>
    </xf>
    <xf numFmtId="195" fontId="10" fillId="0" borderId="4" xfId="1" applyNumberFormat="1" applyFont="1" applyFill="1" applyBorder="1" applyAlignment="1">
      <alignment horizontal="center" vertical="center" wrapText="1"/>
    </xf>
    <xf numFmtId="195" fontId="10" fillId="0" borderId="4" xfId="1" applyNumberFormat="1" applyFont="1" applyFill="1" applyBorder="1" applyAlignment="1">
      <alignment horizontal="right"/>
    </xf>
    <xf numFmtId="195" fontId="12" fillId="0" borderId="4" xfId="1" applyNumberFormat="1" applyFont="1" applyFill="1" applyBorder="1" applyAlignment="1">
      <alignment horizontal="right"/>
    </xf>
    <xf numFmtId="195" fontId="12" fillId="0" borderId="0" xfId="1" applyNumberFormat="1" applyFont="1" applyFill="1"/>
    <xf numFmtId="195" fontId="85" fillId="0" borderId="0" xfId="1" applyNumberFormat="1" applyFont="1" applyFill="1"/>
    <xf numFmtId="195" fontId="20" fillId="0" borderId="0" xfId="1" applyNumberFormat="1" applyFont="1" applyFill="1"/>
    <xf numFmtId="197" fontId="52" fillId="0" borderId="0" xfId="0" applyNumberFormat="1" applyFont="1" applyFill="1" applyBorder="1"/>
    <xf numFmtId="196" fontId="52" fillId="0" borderId="0" xfId="1" applyNumberFormat="1" applyFont="1" applyFill="1" applyBorder="1"/>
    <xf numFmtId="196" fontId="52" fillId="0" borderId="0" xfId="0" applyNumberFormat="1" applyFont="1" applyFill="1" applyBorder="1"/>
    <xf numFmtId="0" fontId="98" fillId="0" borderId="4" xfId="0" applyFont="1" applyFill="1" applyBorder="1" applyAlignment="1">
      <alignment horizontal="left" vertical="center" wrapText="1"/>
    </xf>
    <xf numFmtId="212" fontId="53" fillId="0" borderId="6" xfId="0" applyNumberFormat="1" applyFont="1" applyFill="1" applyBorder="1"/>
    <xf numFmtId="212" fontId="3" fillId="0" borderId="0" xfId="0" applyNumberFormat="1" applyFont="1" applyFill="1" applyBorder="1"/>
    <xf numFmtId="0" fontId="11" fillId="0" borderId="7" xfId="0" applyFont="1" applyFill="1" applyBorder="1" applyAlignment="1">
      <alignment horizontal="center" vertical="center"/>
    </xf>
    <xf numFmtId="1" fontId="11" fillId="0" borderId="7" xfId="0" applyNumberFormat="1" applyFont="1" applyFill="1" applyBorder="1" applyAlignment="1">
      <alignment horizontal="center" vertical="center"/>
    </xf>
    <xf numFmtId="2" fontId="7" fillId="0" borderId="7" xfId="1" applyNumberFormat="1" applyFont="1" applyFill="1" applyBorder="1" applyAlignment="1">
      <alignment horizontal="right" vertical="center" wrapText="1"/>
    </xf>
    <xf numFmtId="209" fontId="7" fillId="0" borderId="7" xfId="1" applyNumberFormat="1" applyFont="1" applyFill="1" applyBorder="1" applyAlignment="1">
      <alignment horizontal="right" vertical="center" wrapText="1"/>
    </xf>
    <xf numFmtId="199" fontId="7" fillId="0" borderId="5" xfId="1" applyNumberFormat="1" applyFont="1" applyFill="1" applyBorder="1" applyAlignment="1">
      <alignment horizontal="center" vertical="center" shrinkToFit="1"/>
    </xf>
    <xf numFmtId="192" fontId="7" fillId="0" borderId="5" xfId="1" applyNumberFormat="1" applyFont="1" applyFill="1" applyBorder="1" applyAlignment="1">
      <alignment vertical="center" shrinkToFit="1"/>
    </xf>
    <xf numFmtId="209" fontId="7" fillId="0" borderId="5" xfId="1" applyNumberFormat="1" applyFont="1" applyFill="1" applyBorder="1" applyAlignment="1">
      <alignment horizontal="right" vertical="center" wrapText="1"/>
    </xf>
    <xf numFmtId="0" fontId="26" fillId="0" borderId="0" xfId="0" applyFont="1" applyFill="1" applyAlignment="1"/>
    <xf numFmtId="3" fontId="32" fillId="0" borderId="4" xfId="19" applyNumberFormat="1" applyFont="1" applyFill="1" applyBorder="1" applyAlignment="1">
      <alignment horizontal="center" vertical="center"/>
    </xf>
    <xf numFmtId="2" fontId="20" fillId="0" borderId="0" xfId="0" applyNumberFormat="1" applyFont="1" applyFill="1" applyBorder="1"/>
    <xf numFmtId="2" fontId="11" fillId="0" borderId="7" xfId="0" applyNumberFormat="1" applyFont="1" applyFill="1" applyBorder="1" applyAlignment="1">
      <alignment horizontal="center" vertical="center"/>
    </xf>
    <xf numFmtId="1" fontId="11" fillId="0" borderId="20" xfId="0" applyNumberFormat="1" applyFont="1" applyFill="1" applyBorder="1" applyAlignment="1">
      <alignment horizontal="center" vertical="center"/>
    </xf>
    <xf numFmtId="0" fontId="80" fillId="0" borderId="4" xfId="0" applyFont="1" applyFill="1" applyBorder="1" applyAlignment="1">
      <alignment horizontal="center" vertical="center"/>
    </xf>
    <xf numFmtId="196" fontId="80" fillId="0" borderId="4" xfId="1" applyNumberFormat="1" applyFont="1" applyFill="1" applyBorder="1" applyAlignment="1">
      <alignment horizontal="center"/>
    </xf>
    <xf numFmtId="196" fontId="80" fillId="0" borderId="4" xfId="1" applyNumberFormat="1" applyFont="1" applyFill="1" applyBorder="1" applyAlignment="1">
      <alignment horizontal="center" vertical="center" wrapText="1"/>
    </xf>
    <xf numFmtId="0" fontId="61" fillId="0" borderId="0" xfId="0" applyFont="1"/>
    <xf numFmtId="0" fontId="90" fillId="0" borderId="0" xfId="0" applyFont="1"/>
    <xf numFmtId="0" fontId="26" fillId="0" borderId="0" xfId="0" applyFont="1" applyFill="1"/>
    <xf numFmtId="0" fontId="92" fillId="0" borderId="0" xfId="0" applyFont="1" applyFill="1" applyAlignment="1">
      <alignment horizontal="center"/>
    </xf>
    <xf numFmtId="0" fontId="92" fillId="0" borderId="0" xfId="0" applyFont="1" applyFill="1"/>
    <xf numFmtId="0" fontId="41" fillId="0" borderId="0" xfId="0" applyFont="1" applyFill="1" applyAlignment="1">
      <alignment horizontal="left"/>
    </xf>
    <xf numFmtId="0" fontId="7" fillId="0" borderId="4" xfId="0" applyFont="1" applyFill="1" applyBorder="1" applyAlignment="1">
      <alignment horizontal="left" vertical="center"/>
    </xf>
    <xf numFmtId="214" fontId="32" fillId="0" borderId="4" xfId="0" applyNumberFormat="1" applyFont="1" applyFill="1" applyBorder="1"/>
    <xf numFmtId="4" fontId="7" fillId="0" borderId="18" xfId="0" applyNumberFormat="1" applyFont="1" applyFill="1" applyBorder="1" applyAlignment="1">
      <alignment horizontal="center" vertical="center" shrinkToFit="1"/>
    </xf>
    <xf numFmtId="190" fontId="0" fillId="0" borderId="5" xfId="0" applyNumberFormat="1" applyFill="1" applyBorder="1"/>
    <xf numFmtId="3" fontId="26" fillId="0" borderId="4" xfId="0" applyNumberFormat="1" applyFont="1" applyFill="1" applyBorder="1" applyAlignment="1">
      <alignment horizontal="center" vertical="center"/>
    </xf>
    <xf numFmtId="189" fontId="80" fillId="0" borderId="4" xfId="1" applyNumberFormat="1" applyFont="1" applyFill="1" applyBorder="1" applyAlignment="1">
      <alignment horizontal="right" vertical="center"/>
    </xf>
    <xf numFmtId="0" fontId="26" fillId="0" borderId="4" xfId="0" applyFont="1" applyFill="1" applyBorder="1" applyAlignment="1">
      <alignment vertical="center"/>
    </xf>
    <xf numFmtId="0" fontId="12" fillId="0" borderId="4" xfId="0" applyFont="1" applyFill="1" applyBorder="1" applyAlignment="1">
      <alignment horizontal="left" vertical="center"/>
    </xf>
    <xf numFmtId="0" fontId="5" fillId="0" borderId="0" xfId="0" applyFont="1" applyFill="1"/>
    <xf numFmtId="190" fontId="70" fillId="0" borderId="0" xfId="1" applyNumberFormat="1" applyFont="1" applyFill="1" applyBorder="1" applyAlignment="1">
      <alignment horizontal="center"/>
    </xf>
    <xf numFmtId="0" fontId="70" fillId="0" borderId="0" xfId="0" applyFont="1" applyFill="1" applyBorder="1" applyAlignment="1">
      <alignment horizontal="center"/>
    </xf>
    <xf numFmtId="0" fontId="5" fillId="0" borderId="0" xfId="0" applyFont="1" applyFill="1" applyBorder="1"/>
    <xf numFmtId="0" fontId="6" fillId="0" borderId="0" xfId="0" applyFont="1" applyFill="1" applyBorder="1"/>
    <xf numFmtId="190" fontId="76" fillId="0" borderId="0" xfId="1" applyNumberFormat="1" applyFont="1" applyFill="1" applyBorder="1" applyAlignment="1">
      <alignment horizontal="center"/>
    </xf>
    <xf numFmtId="196" fontId="5" fillId="0" borderId="0" xfId="1" applyNumberFormat="1" applyFont="1" applyFill="1" applyBorder="1"/>
    <xf numFmtId="190" fontId="5" fillId="0" borderId="0" xfId="1" applyNumberFormat="1" applyFont="1" applyFill="1" applyBorder="1"/>
    <xf numFmtId="0" fontId="74" fillId="0" borderId="0" xfId="0" applyFont="1" applyFill="1" applyBorder="1"/>
    <xf numFmtId="196" fontId="74" fillId="0" borderId="0" xfId="1" applyNumberFormat="1" applyFont="1" applyFill="1" applyBorder="1"/>
    <xf numFmtId="196" fontId="5" fillId="0" borderId="0" xfId="1" applyNumberFormat="1" applyFont="1" applyFill="1"/>
    <xf numFmtId="0" fontId="73" fillId="0" borderId="0" xfId="0" applyFont="1" applyFill="1" applyBorder="1"/>
    <xf numFmtId="0" fontId="77" fillId="0" borderId="0" xfId="0" applyFont="1" applyFill="1" applyBorder="1" applyAlignment="1">
      <alignment horizontal="center" vertical="center" wrapText="1"/>
    </xf>
    <xf numFmtId="9" fontId="70" fillId="0" borderId="0" xfId="21" applyFont="1" applyFill="1" applyBorder="1" applyAlignment="1">
      <alignment horizontal="center"/>
    </xf>
    <xf numFmtId="196" fontId="68" fillId="0" borderId="0" xfId="0" applyNumberFormat="1" applyFont="1" applyFill="1" applyBorder="1" applyAlignment="1">
      <alignment horizontal="center" vertical="center"/>
    </xf>
    <xf numFmtId="0" fontId="68" fillId="0" borderId="0" xfId="0" applyFont="1" applyFill="1" applyBorder="1" applyAlignment="1">
      <alignment vertical="center"/>
    </xf>
    <xf numFmtId="196" fontId="70" fillId="0" borderId="0" xfId="0" applyNumberFormat="1" applyFont="1" applyFill="1" applyBorder="1" applyAlignment="1">
      <alignment vertical="center"/>
    </xf>
    <xf numFmtId="0" fontId="68" fillId="0" borderId="0" xfId="0" applyFont="1" applyFill="1" applyBorder="1" applyAlignment="1">
      <alignment horizontal="center" vertical="center" wrapText="1"/>
    </xf>
    <xf numFmtId="9" fontId="73" fillId="0" borderId="0" xfId="21" applyFont="1" applyFill="1" applyBorder="1"/>
    <xf numFmtId="190" fontId="5" fillId="0" borderId="0" xfId="1" applyNumberFormat="1" applyFont="1" applyFill="1"/>
    <xf numFmtId="0" fontId="6" fillId="0" borderId="0" xfId="0" applyFont="1" applyFill="1"/>
    <xf numFmtId="0" fontId="68" fillId="0" borderId="0" xfId="0" applyFont="1" applyFill="1" applyBorder="1" applyAlignment="1"/>
    <xf numFmtId="0" fontId="76" fillId="0" borderId="0" xfId="0" applyFont="1" applyFill="1" applyBorder="1" applyAlignment="1"/>
    <xf numFmtId="0" fontId="75" fillId="0" borderId="0" xfId="0" applyFont="1" applyFill="1" applyBorder="1" applyAlignment="1">
      <alignment vertical="center"/>
    </xf>
    <xf numFmtId="196" fontId="73" fillId="0" borderId="0" xfId="1" applyNumberFormat="1" applyFont="1" applyFill="1" applyBorder="1"/>
    <xf numFmtId="196" fontId="68" fillId="0" borderId="0" xfId="1" applyNumberFormat="1" applyFont="1" applyFill="1" applyBorder="1" applyAlignment="1">
      <alignment vertical="center"/>
    </xf>
    <xf numFmtId="4" fontId="70" fillId="0" borderId="0" xfId="0" applyNumberFormat="1" applyFont="1" applyFill="1" applyBorder="1" applyAlignment="1">
      <alignment vertical="center"/>
    </xf>
    <xf numFmtId="0" fontId="70" fillId="0" borderId="0" xfId="0" applyFont="1" applyFill="1" applyBorder="1" applyAlignment="1">
      <alignment vertical="center"/>
    </xf>
    <xf numFmtId="190" fontId="73" fillId="0" borderId="0" xfId="1" applyNumberFormat="1" applyFont="1" applyFill="1" applyBorder="1"/>
    <xf numFmtId="0" fontId="78" fillId="0" borderId="0" xfId="0" applyFont="1" applyFill="1" applyBorder="1"/>
    <xf numFmtId="3" fontId="73" fillId="0" borderId="0" xfId="0" applyNumberFormat="1" applyFont="1" applyFill="1" applyBorder="1"/>
    <xf numFmtId="0" fontId="76" fillId="0" borderId="0" xfId="0" applyFont="1" applyFill="1" applyBorder="1"/>
    <xf numFmtId="190" fontId="76" fillId="0" borderId="0" xfId="1" applyNumberFormat="1" applyFont="1" applyFill="1" applyBorder="1"/>
    <xf numFmtId="0" fontId="102" fillId="0" borderId="0" xfId="0" applyFont="1" applyFill="1" applyBorder="1"/>
    <xf numFmtId="217" fontId="73" fillId="0" borderId="0" xfId="0" applyNumberFormat="1" applyFont="1" applyFill="1" applyBorder="1"/>
    <xf numFmtId="3" fontId="78" fillId="0" borderId="0" xfId="0" applyNumberFormat="1" applyFont="1" applyFill="1" applyBorder="1"/>
    <xf numFmtId="217" fontId="76" fillId="0" borderId="0" xfId="0" applyNumberFormat="1" applyFont="1" applyFill="1" applyBorder="1"/>
    <xf numFmtId="215" fontId="73" fillId="0" borderId="0" xfId="0" applyNumberFormat="1" applyFont="1" applyFill="1" applyBorder="1"/>
    <xf numFmtId="0" fontId="74" fillId="0" borderId="0" xfId="0" applyFont="1" applyFill="1" applyBorder="1" applyAlignment="1"/>
    <xf numFmtId="0" fontId="77" fillId="0" borderId="0" xfId="0" applyFont="1" applyFill="1" applyBorder="1" applyAlignment="1"/>
    <xf numFmtId="0" fontId="80" fillId="0" borderId="4" xfId="0" applyFont="1" applyFill="1" applyBorder="1" applyAlignment="1">
      <alignment vertical="center"/>
    </xf>
    <xf numFmtId="0" fontId="7" fillId="0" borderId="0" xfId="0" applyFont="1" applyFill="1" applyAlignment="1"/>
    <xf numFmtId="0" fontId="3" fillId="0" borderId="0" xfId="0" applyFont="1" applyFill="1" applyBorder="1" applyAlignment="1">
      <alignment vertical="center"/>
    </xf>
    <xf numFmtId="0" fontId="14" fillId="2" borderId="0" xfId="0" applyFont="1" applyFill="1" applyAlignment="1">
      <alignment horizontal="center"/>
    </xf>
    <xf numFmtId="0" fontId="55" fillId="0" borderId="0" xfId="0" applyFont="1" applyFill="1" applyAlignment="1">
      <alignment horizontal="center"/>
    </xf>
    <xf numFmtId="197" fontId="29" fillId="0" borderId="0" xfId="1" applyNumberFormat="1" applyFont="1" applyFill="1" applyBorder="1" applyAlignment="1">
      <alignment vertical="center"/>
    </xf>
    <xf numFmtId="4" fontId="3" fillId="0" borderId="0" xfId="0" applyNumberFormat="1" applyFont="1" applyFill="1" applyBorder="1" applyAlignment="1">
      <alignment vertical="center"/>
    </xf>
    <xf numFmtId="4" fontId="26" fillId="0" borderId="4" xfId="0" applyNumberFormat="1" applyFont="1" applyFill="1" applyBorder="1" applyAlignment="1">
      <alignment horizontal="center" vertical="center"/>
    </xf>
    <xf numFmtId="3" fontId="26" fillId="0" borderId="4" xfId="0" applyNumberFormat="1" applyFont="1" applyFill="1" applyBorder="1" applyAlignment="1">
      <alignment horizontal="right" vertical="center"/>
    </xf>
    <xf numFmtId="0" fontId="29" fillId="0" borderId="0" xfId="0" applyFont="1" applyFill="1" applyBorder="1" applyAlignment="1">
      <alignment horizontal="center" vertical="center"/>
    </xf>
    <xf numFmtId="0" fontId="29" fillId="0" borderId="0" xfId="0" applyFont="1" applyFill="1" applyAlignment="1"/>
    <xf numFmtId="4" fontId="12" fillId="0" borderId="4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left" vertical="center" shrinkToFit="1"/>
    </xf>
    <xf numFmtId="0" fontId="9" fillId="0" borderId="4" xfId="0" applyFont="1" applyBorder="1" applyAlignment="1">
      <alignment horizontal="left" vertical="center" shrinkToFit="1"/>
    </xf>
    <xf numFmtId="0" fontId="9" fillId="2" borderId="4" xfId="0" applyFont="1" applyFill="1" applyBorder="1" applyAlignment="1">
      <alignment horizontal="center" vertical="center" shrinkToFit="1"/>
    </xf>
    <xf numFmtId="196" fontId="9" fillId="2" borderId="4" xfId="1" applyNumberFormat="1" applyFont="1" applyFill="1" applyBorder="1" applyAlignment="1">
      <alignment vertical="center" shrinkToFit="1"/>
    </xf>
    <xf numFmtId="196" fontId="9" fillId="2" borderId="4" xfId="0" applyNumberFormat="1" applyFont="1" applyFill="1" applyBorder="1" applyAlignment="1">
      <alignment horizontal="right" vertical="center" shrinkToFit="1"/>
    </xf>
    <xf numFmtId="196" fontId="9" fillId="2" borderId="4" xfId="0" applyNumberFormat="1" applyFont="1" applyFill="1" applyBorder="1" applyAlignment="1">
      <alignment vertical="center" shrinkToFit="1"/>
    </xf>
    <xf numFmtId="0" fontId="7" fillId="2" borderId="4" xfId="0" applyFont="1" applyFill="1" applyBorder="1"/>
    <xf numFmtId="0" fontId="20" fillId="0" borderId="4" xfId="0" applyFont="1" applyBorder="1" applyAlignment="1">
      <alignment vertical="center" shrinkToFit="1"/>
    </xf>
    <xf numFmtId="0" fontId="31" fillId="2" borderId="4" xfId="0" applyFont="1" applyFill="1" applyBorder="1" applyAlignment="1">
      <alignment horizontal="center" vertical="center" shrinkToFit="1"/>
    </xf>
    <xf numFmtId="196" fontId="31" fillId="2" borderId="4" xfId="1" applyNumberFormat="1" applyFont="1" applyFill="1" applyBorder="1" applyAlignment="1">
      <alignment vertical="center" shrinkToFit="1"/>
    </xf>
    <xf numFmtId="196" fontId="31" fillId="2" borderId="4" xfId="0" applyNumberFormat="1" applyFont="1" applyFill="1" applyBorder="1" applyAlignment="1">
      <alignment vertical="center" shrinkToFit="1"/>
    </xf>
    <xf numFmtId="1" fontId="80" fillId="0" borderId="4" xfId="0" applyNumberFormat="1" applyFont="1" applyFill="1" applyBorder="1" applyAlignment="1">
      <alignment horizontal="center" vertical="center" wrapText="1"/>
    </xf>
    <xf numFmtId="191" fontId="5" fillId="0" borderId="0" xfId="0" applyNumberFormat="1" applyFont="1" applyFill="1" applyBorder="1"/>
    <xf numFmtId="190" fontId="70" fillId="0" borderId="0" xfId="1" applyNumberFormat="1" applyFont="1" applyFill="1" applyBorder="1"/>
    <xf numFmtId="191" fontId="70" fillId="0" borderId="0" xfId="0" applyNumberFormat="1" applyFont="1" applyFill="1" applyBorder="1"/>
    <xf numFmtId="229" fontId="70" fillId="0" borderId="0" xfId="0" applyNumberFormat="1" applyFont="1" applyFill="1" applyBorder="1"/>
    <xf numFmtId="229" fontId="5" fillId="0" borderId="0" xfId="0" applyNumberFormat="1" applyFont="1" applyFill="1" applyBorder="1"/>
    <xf numFmtId="189" fontId="107" fillId="0" borderId="0" xfId="0" applyNumberFormat="1" applyFont="1" applyFill="1" applyAlignment="1">
      <alignment vertical="center"/>
    </xf>
    <xf numFmtId="189" fontId="107" fillId="0" borderId="0" xfId="0" applyNumberFormat="1" applyFont="1" applyFill="1" applyAlignment="1">
      <alignment shrinkToFit="1"/>
    </xf>
    <xf numFmtId="213" fontId="107" fillId="0" borderId="0" xfId="1" applyNumberFormat="1" applyFont="1" applyFill="1" applyAlignment="1"/>
    <xf numFmtId="210" fontId="107" fillId="0" borderId="0" xfId="1" applyNumberFormat="1" applyFont="1" applyFill="1" applyAlignment="1"/>
    <xf numFmtId="189" fontId="107" fillId="0" borderId="0" xfId="0" applyNumberFormat="1" applyFont="1" applyFill="1"/>
    <xf numFmtId="4" fontId="107" fillId="0" borderId="0" xfId="1" applyNumberFormat="1" applyFont="1" applyFill="1"/>
    <xf numFmtId="189" fontId="107" fillId="0" borderId="0" xfId="1" applyNumberFormat="1" applyFont="1" applyFill="1" applyAlignment="1">
      <alignment horizontal="center"/>
    </xf>
    <xf numFmtId="189" fontId="107" fillId="0" borderId="0" xfId="1" applyNumberFormat="1" applyFont="1" applyFill="1"/>
    <xf numFmtId="210" fontId="107" fillId="0" borderId="0" xfId="0" applyNumberFormat="1" applyFont="1" applyFill="1"/>
    <xf numFmtId="189" fontId="107" fillId="0" borderId="0" xfId="0" applyNumberFormat="1" applyFont="1" applyFill="1" applyBorder="1" applyAlignment="1"/>
    <xf numFmtId="189" fontId="93" fillId="0" borderId="0" xfId="0" applyNumberFormat="1" applyFont="1" applyFill="1" applyAlignment="1">
      <alignment vertical="center"/>
    </xf>
    <xf numFmtId="189" fontId="93" fillId="0" borderId="0" xfId="0" applyNumberFormat="1" applyFont="1" applyFill="1"/>
    <xf numFmtId="4" fontId="93" fillId="0" borderId="0" xfId="0" applyNumberFormat="1" applyFont="1" applyFill="1"/>
    <xf numFmtId="189" fontId="93" fillId="0" borderId="0" xfId="0" applyNumberFormat="1" applyFont="1" applyFill="1" applyAlignment="1"/>
    <xf numFmtId="210" fontId="93" fillId="0" borderId="0" xfId="0" applyNumberFormat="1" applyFont="1" applyFill="1"/>
    <xf numFmtId="210" fontId="93" fillId="0" borderId="0" xfId="0" applyNumberFormat="1" applyFont="1" applyFill="1" applyAlignment="1"/>
    <xf numFmtId="210" fontId="93" fillId="0" borderId="0" xfId="0" applyNumberFormat="1" applyFont="1" applyFill="1" applyAlignment="1">
      <alignment horizontal="center"/>
    </xf>
    <xf numFmtId="222" fontId="93" fillId="0" borderId="0" xfId="0" applyNumberFormat="1" applyFont="1" applyFill="1" applyAlignment="1">
      <alignment horizontal="center"/>
    </xf>
    <xf numFmtId="210" fontId="107" fillId="0" borderId="0" xfId="0" applyNumberFormat="1" applyFont="1" applyFill="1" applyAlignment="1"/>
    <xf numFmtId="3" fontId="107" fillId="0" borderId="0" xfId="1" applyNumberFormat="1" applyFont="1" applyFill="1" applyAlignment="1"/>
    <xf numFmtId="196" fontId="12" fillId="0" borderId="0" xfId="0" applyNumberFormat="1" applyFont="1" applyFill="1"/>
    <xf numFmtId="1" fontId="12" fillId="0" borderId="0" xfId="0" applyNumberFormat="1" applyFont="1" applyFill="1"/>
    <xf numFmtId="196" fontId="10" fillId="0" borderId="0" xfId="1" applyNumberFormat="1" applyFont="1" applyFill="1"/>
    <xf numFmtId="209" fontId="39" fillId="0" borderId="4" xfId="0" applyNumberFormat="1" applyFont="1" applyFill="1" applyBorder="1"/>
    <xf numFmtId="199" fontId="9" fillId="0" borderId="0" xfId="0" applyNumberFormat="1" applyFont="1" applyFill="1" applyBorder="1"/>
    <xf numFmtId="3" fontId="80" fillId="0" borderId="4" xfId="0" applyNumberFormat="1" applyFont="1" applyFill="1" applyBorder="1" applyAlignment="1">
      <alignment horizontal="right" vertical="center"/>
    </xf>
    <xf numFmtId="0" fontId="90" fillId="0" borderId="16" xfId="0" applyFont="1" applyFill="1" applyBorder="1" applyAlignment="1">
      <alignment horizontal="center" vertical="center"/>
    </xf>
    <xf numFmtId="0" fontId="90" fillId="0" borderId="0" xfId="0" applyFont="1" applyFill="1" applyBorder="1" applyAlignment="1">
      <alignment horizontal="center"/>
    </xf>
    <xf numFmtId="0" fontId="80" fillId="2" borderId="0" xfId="0" applyFont="1" applyFill="1" applyAlignment="1">
      <alignment horizontal="center"/>
    </xf>
    <xf numFmtId="198" fontId="80" fillId="2" borderId="0" xfId="1" applyNumberFormat="1" applyFont="1" applyFill="1"/>
    <xf numFmtId="0" fontId="27" fillId="0" borderId="0" xfId="0" applyFont="1" applyFill="1" applyAlignment="1"/>
    <xf numFmtId="0" fontId="27" fillId="2" borderId="0" xfId="0" applyFont="1" applyFill="1" applyAlignment="1"/>
    <xf numFmtId="0" fontId="27" fillId="2" borderId="0" xfId="0" applyFont="1" applyFill="1" applyAlignment="1">
      <alignment horizontal="center"/>
    </xf>
    <xf numFmtId="200" fontId="80" fillId="2" borderId="0" xfId="1" applyNumberFormat="1" applyFont="1" applyFill="1"/>
    <xf numFmtId="201" fontId="27" fillId="2" borderId="0" xfId="1" applyNumberFormat="1" applyFont="1" applyFill="1" applyAlignment="1">
      <alignment horizontal="center"/>
    </xf>
    <xf numFmtId="198" fontId="27" fillId="2" borderId="0" xfId="1" applyNumberFormat="1" applyFont="1" applyFill="1" applyAlignment="1">
      <alignment horizontal="center"/>
    </xf>
    <xf numFmtId="2" fontId="61" fillId="0" borderId="0" xfId="0" applyNumberFormat="1" applyFont="1"/>
    <xf numFmtId="0" fontId="26" fillId="2" borderId="0" xfId="0" applyFont="1" applyFill="1" applyBorder="1" applyAlignment="1">
      <alignment wrapText="1"/>
    </xf>
    <xf numFmtId="0" fontId="26" fillId="2" borderId="0" xfId="0" applyFont="1" applyFill="1" applyBorder="1" applyAlignment="1"/>
    <xf numFmtId="0" fontId="80" fillId="0" borderId="0" xfId="0" applyFont="1" applyFill="1" applyAlignment="1">
      <alignment vertical="center"/>
    </xf>
    <xf numFmtId="4" fontId="80" fillId="0" borderId="0" xfId="0" applyNumberFormat="1" applyFont="1" applyFill="1" applyAlignment="1">
      <alignment horizontal="center"/>
    </xf>
    <xf numFmtId="4" fontId="80" fillId="0" borderId="0" xfId="0" applyNumberFormat="1" applyFont="1" applyFill="1" applyAlignment="1">
      <alignment horizontal="right"/>
    </xf>
    <xf numFmtId="195" fontId="80" fillId="0" borderId="0" xfId="1" applyFont="1" applyFill="1" applyAlignment="1">
      <alignment horizontal="center"/>
    </xf>
    <xf numFmtId="4" fontId="26" fillId="0" borderId="0" xfId="0" applyNumberFormat="1" applyFont="1" applyFill="1" applyBorder="1" applyAlignment="1">
      <alignment vertical="center"/>
    </xf>
    <xf numFmtId="3" fontId="26" fillId="0" borderId="0" xfId="0" applyNumberFormat="1" applyFont="1" applyFill="1" applyBorder="1" applyAlignment="1">
      <alignment vertical="center" wrapText="1"/>
    </xf>
    <xf numFmtId="3" fontId="26" fillId="0" borderId="0" xfId="0" applyNumberFormat="1" applyFont="1" applyFill="1" applyBorder="1" applyAlignment="1">
      <alignment vertical="center"/>
    </xf>
    <xf numFmtId="4" fontId="80" fillId="0" borderId="0" xfId="0" applyNumberFormat="1" applyFont="1" applyFill="1" applyBorder="1" applyAlignment="1">
      <alignment vertical="center"/>
    </xf>
    <xf numFmtId="3" fontId="80" fillId="0" borderId="0" xfId="0" applyNumberFormat="1" applyFont="1" applyFill="1" applyBorder="1" applyAlignment="1">
      <alignment vertical="center" wrapText="1"/>
    </xf>
    <xf numFmtId="3" fontId="80" fillId="0" borderId="0" xfId="0" applyNumberFormat="1" applyFont="1" applyFill="1" applyBorder="1" applyAlignment="1">
      <alignment vertical="center"/>
    </xf>
    <xf numFmtId="0" fontId="61" fillId="0" borderId="0" xfId="0" applyFont="1" applyBorder="1" applyAlignment="1"/>
    <xf numFmtId="0" fontId="12" fillId="0" borderId="0" xfId="0" applyFont="1" applyFill="1" applyAlignment="1">
      <alignment horizontal="center"/>
    </xf>
    <xf numFmtId="0" fontId="10" fillId="0" borderId="4" xfId="0" applyFont="1" applyFill="1" applyBorder="1" applyAlignment="1">
      <alignment horizontal="center" vertical="center" wrapText="1"/>
    </xf>
    <xf numFmtId="0" fontId="10" fillId="0" borderId="0" xfId="0" applyNumberFormat="1" applyFont="1" applyFill="1" applyAlignment="1">
      <alignment horizontal="center"/>
    </xf>
    <xf numFmtId="0" fontId="52" fillId="0" borderId="0" xfId="0" applyFont="1" applyFill="1" applyAlignment="1"/>
    <xf numFmtId="189" fontId="111" fillId="0" borderId="0" xfId="1" applyNumberFormat="1" applyFont="1" applyFill="1" applyAlignment="1">
      <alignment horizontal="center"/>
    </xf>
    <xf numFmtId="189" fontId="111" fillId="0" borderId="0" xfId="1" applyNumberFormat="1" applyFont="1" applyFill="1" applyAlignment="1"/>
    <xf numFmtId="3" fontId="107" fillId="0" borderId="0" xfId="0" applyNumberFormat="1" applyFont="1" applyFill="1"/>
    <xf numFmtId="4" fontId="93" fillId="0" borderId="0" xfId="0" applyNumberFormat="1" applyFont="1" applyFill="1" applyAlignment="1">
      <alignment horizontal="center"/>
    </xf>
    <xf numFmtId="189" fontId="107" fillId="0" borderId="0" xfId="0" applyNumberFormat="1" applyFont="1" applyFill="1" applyBorder="1" applyAlignment="1">
      <alignment vertical="center"/>
    </xf>
    <xf numFmtId="189" fontId="107" fillId="0" borderId="4" xfId="0" applyNumberFormat="1" applyFont="1" applyFill="1" applyBorder="1" applyAlignment="1">
      <alignment horizontal="center" vertical="center" shrinkToFit="1"/>
    </xf>
    <xf numFmtId="189" fontId="107" fillId="0" borderId="4" xfId="0" applyNumberFormat="1" applyFont="1" applyFill="1" applyBorder="1" applyAlignment="1">
      <alignment vertical="center" shrinkToFit="1"/>
    </xf>
    <xf numFmtId="210" fontId="107" fillId="0" borderId="4" xfId="0" applyNumberFormat="1" applyFont="1" applyFill="1" applyBorder="1" applyAlignment="1">
      <alignment vertical="center" shrinkToFit="1"/>
    </xf>
    <xf numFmtId="189" fontId="93" fillId="0" borderId="4" xfId="1" applyNumberFormat="1" applyFont="1" applyFill="1" applyBorder="1" applyAlignment="1">
      <alignment horizontal="right" vertical="center" wrapText="1"/>
    </xf>
    <xf numFmtId="189" fontId="107" fillId="0" borderId="0" xfId="0" applyNumberFormat="1" applyFont="1" applyFill="1" applyAlignment="1"/>
    <xf numFmtId="213" fontId="107" fillId="0" borderId="0" xfId="0" applyNumberFormat="1" applyFont="1" applyFill="1"/>
    <xf numFmtId="213" fontId="107" fillId="0" borderId="0" xfId="0" applyNumberFormat="1" applyFont="1" applyFill="1" applyAlignment="1"/>
    <xf numFmtId="211" fontId="107" fillId="0" borderId="0" xfId="0" applyNumberFormat="1" applyFont="1" applyFill="1"/>
    <xf numFmtId="212" fontId="107" fillId="0" borderId="0" xfId="0" applyNumberFormat="1" applyFont="1" applyFill="1"/>
    <xf numFmtId="210" fontId="107" fillId="0" borderId="0" xfId="1" applyNumberFormat="1" applyFont="1" applyFill="1"/>
    <xf numFmtId="189" fontId="107" fillId="0" borderId="0" xfId="0" applyNumberFormat="1" applyFont="1" applyFill="1" applyAlignment="1">
      <alignment horizontal="right"/>
    </xf>
    <xf numFmtId="4" fontId="107" fillId="0" borderId="0" xfId="1" applyNumberFormat="1" applyFont="1" applyFill="1" applyAlignment="1"/>
    <xf numFmtId="213" fontId="113" fillId="0" borderId="0" xfId="0" applyNumberFormat="1" applyFont="1" applyFill="1" applyAlignment="1"/>
    <xf numFmtId="189" fontId="107" fillId="0" borderId="4" xfId="0" applyNumberFormat="1" applyFont="1" applyFill="1" applyBorder="1" applyAlignment="1">
      <alignment horizontal="left" vertical="center" shrinkToFit="1"/>
    </xf>
    <xf numFmtId="210" fontId="107" fillId="0" borderId="4" xfId="0" applyNumberFormat="1" applyFont="1" applyFill="1" applyBorder="1" applyAlignment="1">
      <alignment horizontal="left" vertical="center" shrinkToFit="1"/>
    </xf>
    <xf numFmtId="210" fontId="93" fillId="0" borderId="4" xfId="1" applyNumberFormat="1" applyFont="1" applyFill="1" applyBorder="1" applyAlignment="1">
      <alignment horizontal="center" vertical="center" wrapText="1"/>
    </xf>
    <xf numFmtId="0" fontId="80" fillId="0" borderId="4" xfId="0" quotePrefix="1" applyFont="1" applyFill="1" applyBorder="1" applyAlignment="1">
      <alignment horizontal="center" vertical="center"/>
    </xf>
    <xf numFmtId="0" fontId="39" fillId="0" borderId="4" xfId="0" applyFont="1" applyFill="1" applyBorder="1" applyAlignment="1"/>
    <xf numFmtId="0" fontId="35" fillId="0" borderId="4" xfId="0" applyFont="1" applyFill="1" applyBorder="1"/>
    <xf numFmtId="0" fontId="0" fillId="0" borderId="7" xfId="0" applyFill="1" applyBorder="1"/>
    <xf numFmtId="192" fontId="35" fillId="0" borderId="4" xfId="0" applyNumberFormat="1" applyFont="1" applyFill="1" applyBorder="1"/>
    <xf numFmtId="192" fontId="35" fillId="0" borderId="4" xfId="7" applyNumberFormat="1" applyFont="1" applyFill="1" applyBorder="1"/>
    <xf numFmtId="0" fontId="39" fillId="0" borderId="4" xfId="0" applyFont="1" applyFill="1" applyBorder="1"/>
    <xf numFmtId="190" fontId="0" fillId="0" borderId="4" xfId="0" applyNumberFormat="1" applyFill="1" applyBorder="1"/>
    <xf numFmtId="208" fontId="35" fillId="0" borderId="4" xfId="7" applyNumberFormat="1" applyFont="1" applyFill="1" applyBorder="1" applyAlignment="1">
      <alignment horizontal="center"/>
    </xf>
    <xf numFmtId="0" fontId="0" fillId="0" borderId="4" xfId="0" applyFill="1" applyBorder="1"/>
    <xf numFmtId="223" fontId="71" fillId="0" borderId="8" xfId="0" applyNumberFormat="1" applyFont="1" applyFill="1" applyBorder="1"/>
    <xf numFmtId="224" fontId="71" fillId="0" borderId="8" xfId="0" applyNumberFormat="1" applyFont="1" applyFill="1" applyBorder="1"/>
    <xf numFmtId="220" fontId="71" fillId="0" borderId="8" xfId="0" applyNumberFormat="1" applyFont="1" applyFill="1" applyBorder="1"/>
    <xf numFmtId="220" fontId="0" fillId="0" borderId="0" xfId="0" applyNumberFormat="1" applyFill="1"/>
    <xf numFmtId="192" fontId="0" fillId="0" borderId="0" xfId="0" applyNumberFormat="1" applyFill="1"/>
    <xf numFmtId="0" fontId="58" fillId="0" borderId="4" xfId="0" applyFont="1" applyFill="1" applyBorder="1" applyAlignment="1">
      <alignment horizontal="center"/>
    </xf>
    <xf numFmtId="0" fontId="58" fillId="0" borderId="4" xfId="0" applyFont="1" applyFill="1" applyBorder="1"/>
    <xf numFmtId="196" fontId="0" fillId="0" borderId="0" xfId="0" applyNumberFormat="1" applyFill="1"/>
    <xf numFmtId="0" fontId="59" fillId="0" borderId="4" xfId="0" applyFont="1" applyFill="1" applyBorder="1"/>
    <xf numFmtId="0" fontId="65" fillId="0" borderId="4" xfId="0" applyFont="1" applyFill="1" applyBorder="1"/>
    <xf numFmtId="210" fontId="0" fillId="0" borderId="4" xfId="0" applyNumberFormat="1" applyFill="1" applyBorder="1"/>
    <xf numFmtId="199" fontId="0" fillId="0" borderId="4" xfId="0" applyNumberFormat="1" applyFill="1" applyBorder="1"/>
    <xf numFmtId="229" fontId="0" fillId="0" borderId="0" xfId="0" applyNumberFormat="1" applyFill="1"/>
    <xf numFmtId="2" fontId="0" fillId="0" borderId="4" xfId="0" applyNumberFormat="1" applyFill="1" applyBorder="1"/>
    <xf numFmtId="195" fontId="62" fillId="0" borderId="0" xfId="1" applyNumberFormat="1" applyFont="1" applyFill="1"/>
    <xf numFmtId="0" fontId="66" fillId="0" borderId="4" xfId="0" applyFont="1" applyFill="1" applyBorder="1"/>
    <xf numFmtId="213" fontId="67" fillId="0" borderId="4" xfId="0" applyNumberFormat="1" applyFont="1" applyFill="1" applyBorder="1"/>
    <xf numFmtId="210" fontId="68" fillId="0" borderId="4" xfId="0" applyNumberFormat="1" applyFont="1" applyFill="1" applyBorder="1"/>
    <xf numFmtId="0" fontId="0" fillId="0" borderId="0" xfId="0" applyFill="1" applyAlignment="1"/>
    <xf numFmtId="191" fontId="0" fillId="0" borderId="0" xfId="0" applyNumberFormat="1" applyFill="1"/>
    <xf numFmtId="0" fontId="65" fillId="0" borderId="0" xfId="0" applyFont="1" applyFill="1" applyBorder="1" applyAlignment="1">
      <alignment horizontal="center"/>
    </xf>
    <xf numFmtId="0" fontId="87" fillId="0" borderId="5" xfId="0" applyFont="1" applyFill="1" applyBorder="1"/>
    <xf numFmtId="0" fontId="87" fillId="0" borderId="0" xfId="0" applyFont="1" applyFill="1"/>
    <xf numFmtId="0" fontId="65" fillId="0" borderId="19" xfId="0" applyFont="1" applyFill="1" applyBorder="1" applyAlignment="1"/>
    <xf numFmtId="0" fontId="0" fillId="0" borderId="24" xfId="0" applyFill="1" applyBorder="1" applyAlignment="1"/>
    <xf numFmtId="209" fontId="0" fillId="0" borderId="21" xfId="0" applyNumberFormat="1" applyFill="1" applyBorder="1"/>
    <xf numFmtId="0" fontId="0" fillId="0" borderId="27" xfId="0" applyFill="1" applyBorder="1" applyAlignment="1"/>
    <xf numFmtId="190" fontId="0" fillId="0" borderId="0" xfId="0" applyNumberFormat="1" applyFill="1"/>
    <xf numFmtId="210" fontId="7" fillId="0" borderId="0" xfId="1" applyNumberFormat="1" applyFont="1" applyFill="1" applyBorder="1" applyAlignment="1">
      <alignment horizontal="center" vertical="center" shrinkToFit="1"/>
    </xf>
    <xf numFmtId="189" fontId="117" fillId="0" borderId="0" xfId="0" applyNumberFormat="1" applyFont="1" applyFill="1" applyAlignment="1">
      <alignment vertical="center"/>
    </xf>
    <xf numFmtId="189" fontId="117" fillId="0" borderId="0" xfId="0" applyNumberFormat="1" applyFont="1" applyFill="1" applyAlignment="1">
      <alignment shrinkToFit="1"/>
    </xf>
    <xf numFmtId="213" fontId="117" fillId="0" borderId="0" xfId="1" applyNumberFormat="1" applyFont="1" applyFill="1" applyAlignment="1"/>
    <xf numFmtId="210" fontId="117" fillId="0" borderId="0" xfId="1" applyNumberFormat="1" applyFont="1" applyFill="1" applyAlignment="1"/>
    <xf numFmtId="189" fontId="117" fillId="0" borderId="0" xfId="0" applyNumberFormat="1" applyFont="1" applyFill="1"/>
    <xf numFmtId="4" fontId="117" fillId="0" borderId="0" xfId="1" applyNumberFormat="1" applyFont="1" applyFill="1"/>
    <xf numFmtId="189" fontId="117" fillId="0" borderId="0" xfId="1" applyNumberFormat="1" applyFont="1" applyFill="1" applyAlignment="1">
      <alignment horizontal="center"/>
    </xf>
    <xf numFmtId="189" fontId="117" fillId="0" borderId="0" xfId="1" applyNumberFormat="1" applyFont="1" applyFill="1"/>
    <xf numFmtId="210" fontId="117" fillId="0" borderId="0" xfId="0" applyNumberFormat="1" applyFont="1" applyFill="1"/>
    <xf numFmtId="0" fontId="119" fillId="0" borderId="0" xfId="0" applyFont="1" applyFill="1" applyBorder="1"/>
    <xf numFmtId="196" fontId="119" fillId="0" borderId="0" xfId="1" applyNumberFormat="1" applyFont="1" applyFill="1" applyBorder="1"/>
    <xf numFmtId="0" fontId="118" fillId="0" borderId="4" xfId="0" applyFont="1" applyFill="1" applyBorder="1" applyAlignment="1">
      <alignment horizontal="center" vertical="center"/>
    </xf>
    <xf numFmtId="0" fontId="118" fillId="0" borderId="4" xfId="0" applyFont="1" applyFill="1" applyBorder="1" applyAlignment="1">
      <alignment horizontal="center" vertical="center" wrapText="1"/>
    </xf>
    <xf numFmtId="37" fontId="118" fillId="0" borderId="4" xfId="1" applyNumberFormat="1" applyFont="1" applyFill="1" applyBorder="1" applyAlignment="1">
      <alignment horizontal="center" vertical="center" wrapText="1"/>
    </xf>
    <xf numFmtId="196" fontId="118" fillId="0" borderId="4" xfId="1" applyNumberFormat="1" applyFont="1" applyFill="1" applyBorder="1" applyAlignment="1">
      <alignment horizontal="center" vertical="center" wrapText="1"/>
    </xf>
    <xf numFmtId="196" fontId="118" fillId="0" borderId="4" xfId="1" applyNumberFormat="1" applyFont="1" applyFill="1" applyBorder="1" applyAlignment="1">
      <alignment horizontal="center" vertical="center"/>
    </xf>
    <xf numFmtId="0" fontId="118" fillId="0" borderId="4" xfId="0" quotePrefix="1" applyFont="1" applyFill="1" applyBorder="1" applyAlignment="1">
      <alignment horizontal="center" vertical="center" wrapText="1"/>
    </xf>
    <xf numFmtId="0" fontId="119" fillId="0" borderId="4" xfId="0" applyFont="1" applyFill="1" applyBorder="1" applyAlignment="1">
      <alignment horizontal="center" vertical="center"/>
    </xf>
    <xf numFmtId="0" fontId="60" fillId="0" borderId="4" xfId="0" applyFont="1" applyFill="1" applyBorder="1" applyAlignment="1">
      <alignment vertical="center" wrapText="1"/>
    </xf>
    <xf numFmtId="0" fontId="119" fillId="0" borderId="4" xfId="0" applyFont="1" applyFill="1" applyBorder="1" applyAlignment="1">
      <alignment vertical="center"/>
    </xf>
    <xf numFmtId="196" fontId="119" fillId="0" borderId="4" xfId="1" applyNumberFormat="1" applyFont="1" applyFill="1" applyBorder="1" applyAlignment="1">
      <alignment vertical="center" wrapText="1"/>
    </xf>
    <xf numFmtId="196" fontId="118" fillId="0" borderId="4" xfId="1" applyNumberFormat="1" applyFont="1" applyFill="1" applyBorder="1" applyAlignment="1">
      <alignment vertical="center" wrapText="1"/>
    </xf>
    <xf numFmtId="196" fontId="119" fillId="0" borderId="4" xfId="1" applyNumberFormat="1" applyFont="1" applyFill="1" applyBorder="1" applyAlignment="1">
      <alignment horizontal="right" vertical="center" wrapText="1"/>
    </xf>
    <xf numFmtId="196" fontId="119" fillId="0" borderId="4" xfId="1" applyNumberFormat="1" applyFont="1" applyFill="1" applyBorder="1" applyAlignment="1">
      <alignment vertical="center"/>
    </xf>
    <xf numFmtId="0" fontId="80" fillId="0" borderId="16" xfId="0" applyFont="1" applyFill="1" applyBorder="1" applyAlignment="1">
      <alignment horizontal="center" vertical="center"/>
    </xf>
    <xf numFmtId="3" fontId="26" fillId="0" borderId="16" xfId="0" applyNumberFormat="1" applyFont="1" applyFill="1" applyBorder="1" applyAlignment="1">
      <alignment horizontal="center" vertical="center"/>
    </xf>
    <xf numFmtId="230" fontId="47" fillId="0" borderId="0" xfId="0" applyNumberFormat="1" applyFont="1" applyFill="1" applyAlignment="1">
      <alignment horizontal="center"/>
    </xf>
    <xf numFmtId="206" fontId="14" fillId="0" borderId="0" xfId="0" applyNumberFormat="1" applyFont="1" applyFill="1" applyAlignment="1">
      <alignment horizontal="center"/>
    </xf>
    <xf numFmtId="4" fontId="20" fillId="0" borderId="0" xfId="0" applyNumberFormat="1" applyFont="1" applyFill="1"/>
    <xf numFmtId="3" fontId="80" fillId="0" borderId="4" xfId="0" applyNumberFormat="1" applyFont="1" applyFill="1" applyBorder="1" applyAlignment="1">
      <alignment horizontal="center" vertical="center"/>
    </xf>
    <xf numFmtId="4" fontId="26" fillId="0" borderId="16" xfId="0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left" vertical="center" wrapText="1"/>
    </xf>
    <xf numFmtId="189" fontId="7" fillId="0" borderId="4" xfId="0" applyNumberFormat="1" applyFont="1" applyFill="1" applyBorder="1" applyAlignment="1">
      <alignment horizontal="left" vertical="center"/>
    </xf>
    <xf numFmtId="3" fontId="7" fillId="0" borderId="4" xfId="0" applyNumberFormat="1" applyFont="1" applyFill="1" applyBorder="1" applyAlignment="1">
      <alignment vertical="center" wrapText="1"/>
    </xf>
    <xf numFmtId="0" fontId="7" fillId="0" borderId="4" xfId="0" applyFont="1" applyFill="1" applyBorder="1" applyAlignment="1">
      <alignment shrinkToFit="1"/>
    </xf>
    <xf numFmtId="197" fontId="22" fillId="0" borderId="4" xfId="0" applyNumberFormat="1" applyFont="1" applyBorder="1" applyAlignment="1">
      <alignment vertical="center"/>
    </xf>
    <xf numFmtId="212" fontId="37" fillId="0" borderId="0" xfId="1" applyNumberFormat="1" applyFont="1" applyFill="1"/>
    <xf numFmtId="0" fontId="38" fillId="0" borderId="4" xfId="0" applyFont="1" applyFill="1" applyBorder="1" applyAlignment="1">
      <alignment horizontal="center" vertical="center"/>
    </xf>
    <xf numFmtId="206" fontId="48" fillId="0" borderId="4" xfId="0" applyNumberFormat="1" applyFont="1" applyFill="1" applyBorder="1"/>
    <xf numFmtId="4" fontId="26" fillId="0" borderId="4" xfId="0" applyNumberFormat="1" applyFont="1" applyFill="1" applyBorder="1" applyAlignment="1">
      <alignment horizontal="center" vertical="center" wrapText="1"/>
    </xf>
    <xf numFmtId="0" fontId="80" fillId="0" borderId="4" xfId="18" applyFont="1" applyFill="1" applyBorder="1" applyAlignment="1">
      <alignment vertical="center"/>
    </xf>
    <xf numFmtId="197" fontId="52" fillId="0" borderId="0" xfId="0" applyNumberFormat="1" applyFont="1" applyFill="1"/>
    <xf numFmtId="201" fontId="76" fillId="0" borderId="0" xfId="0" applyNumberFormat="1" applyFont="1" applyFill="1" applyBorder="1"/>
    <xf numFmtId="0" fontId="0" fillId="0" borderId="0" xfId="0" applyFill="1" applyBorder="1"/>
    <xf numFmtId="0" fontId="12" fillId="0" borderId="4" xfId="0" quotePrefix="1" applyFont="1" applyFill="1" applyBorder="1"/>
    <xf numFmtId="209" fontId="35" fillId="0" borderId="4" xfId="7" applyNumberFormat="1" applyFont="1" applyFill="1" applyBorder="1" applyAlignment="1">
      <alignment horizontal="right"/>
    </xf>
    <xf numFmtId="210" fontId="67" fillId="0" borderId="4" xfId="0" applyNumberFormat="1" applyFont="1" applyFill="1" applyBorder="1"/>
    <xf numFmtId="209" fontId="0" fillId="0" borderId="7" xfId="0" applyNumberFormat="1" applyFill="1" applyBorder="1"/>
    <xf numFmtId="209" fontId="0" fillId="0" borderId="0" xfId="0" applyNumberFormat="1" applyFill="1"/>
    <xf numFmtId="209" fontId="122" fillId="0" borderId="0" xfId="0" applyNumberFormat="1" applyFont="1" applyFill="1"/>
    <xf numFmtId="223" fontId="0" fillId="0" borderId="5" xfId="0" applyNumberFormat="1" applyFill="1" applyBorder="1"/>
    <xf numFmtId="223" fontId="35" fillId="0" borderId="4" xfId="7" applyNumberFormat="1" applyFont="1" applyFill="1" applyBorder="1" applyAlignment="1">
      <alignment horizontal="center"/>
    </xf>
    <xf numFmtId="223" fontId="62" fillId="0" borderId="0" xfId="1" applyNumberFormat="1" applyFont="1" applyFill="1"/>
    <xf numFmtId="223" fontId="1" fillId="0" borderId="0" xfId="1" applyNumberFormat="1" applyFont="1" applyFill="1"/>
    <xf numFmtId="223" fontId="0" fillId="0" borderId="0" xfId="0" applyNumberFormat="1" applyFill="1"/>
    <xf numFmtId="223" fontId="0" fillId="0" borderId="0" xfId="0" applyNumberFormat="1" applyFill="1" applyAlignment="1"/>
    <xf numFmtId="190" fontId="122" fillId="0" borderId="0" xfId="0" applyNumberFormat="1" applyFont="1" applyFill="1"/>
    <xf numFmtId="209" fontId="123" fillId="0" borderId="4" xfId="0" applyNumberFormat="1" applyFont="1" applyFill="1" applyBorder="1"/>
    <xf numFmtId="189" fontId="3" fillId="0" borderId="4" xfId="0" applyNumberFormat="1" applyFont="1" applyFill="1" applyBorder="1" applyAlignment="1">
      <alignment horizontal="center" vertical="center"/>
    </xf>
    <xf numFmtId="0" fontId="26" fillId="0" borderId="0" xfId="0" applyFont="1" applyFill="1" applyAlignment="1">
      <alignment horizontal="center"/>
    </xf>
    <xf numFmtId="0" fontId="90" fillId="0" borderId="0" xfId="0" applyFont="1" applyAlignment="1">
      <alignment horizontal="center"/>
    </xf>
    <xf numFmtId="0" fontId="27" fillId="0" borderId="0" xfId="0" applyFont="1" applyFill="1" applyAlignment="1">
      <alignment horizontal="center"/>
    </xf>
    <xf numFmtId="0" fontId="80" fillId="0" borderId="0" xfId="0" applyFont="1" applyFill="1" applyAlignment="1">
      <alignment horizontal="center" vertical="center"/>
    </xf>
    <xf numFmtId="206" fontId="100" fillId="0" borderId="4" xfId="1" applyNumberFormat="1" applyFont="1" applyFill="1" applyBorder="1" applyAlignment="1">
      <alignment horizontal="center" vertical="center" wrapText="1"/>
    </xf>
    <xf numFmtId="0" fontId="41" fillId="0" borderId="4" xfId="0" applyFont="1" applyFill="1" applyBorder="1" applyAlignment="1">
      <alignment horizontal="center" vertical="center" shrinkToFit="1"/>
    </xf>
    <xf numFmtId="197" fontId="41" fillId="0" borderId="4" xfId="0" applyNumberFormat="1" applyFont="1" applyFill="1" applyBorder="1" applyAlignment="1">
      <alignment vertical="center" wrapText="1"/>
    </xf>
    <xf numFmtId="197" fontId="124" fillId="0" borderId="4" xfId="1" applyNumberFormat="1" applyFont="1" applyFill="1" applyBorder="1" applyAlignment="1">
      <alignment horizontal="center" vertical="center" shrinkToFit="1"/>
    </xf>
    <xf numFmtId="0" fontId="81" fillId="0" borderId="4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1" fontId="81" fillId="0" borderId="0" xfId="1" applyNumberFormat="1" applyFont="1" applyFill="1"/>
    <xf numFmtId="1" fontId="9" fillId="0" borderId="0" xfId="1" applyNumberFormat="1" applyFont="1" applyFill="1" applyAlignment="1">
      <alignment vertical="center"/>
    </xf>
    <xf numFmtId="1" fontId="3" fillId="0" borderId="0" xfId="1" applyNumberFormat="1" applyFont="1" applyFill="1" applyAlignment="1">
      <alignment vertical="center"/>
    </xf>
    <xf numFmtId="1" fontId="3" fillId="0" borderId="0" xfId="1" applyNumberFormat="1" applyFont="1" applyFill="1" applyAlignment="1">
      <alignment horizontal="center" vertical="center"/>
    </xf>
    <xf numFmtId="1" fontId="3" fillId="0" borderId="0" xfId="1" applyNumberFormat="1" applyFont="1" applyFill="1" applyBorder="1" applyAlignment="1">
      <alignment horizontal="center" vertical="center"/>
    </xf>
    <xf numFmtId="1" fontId="9" fillId="0" borderId="0" xfId="1" applyNumberFormat="1" applyFont="1" applyFill="1" applyBorder="1" applyAlignment="1">
      <alignment horizontal="center" vertical="center"/>
    </xf>
    <xf numFmtId="1" fontId="9" fillId="0" borderId="0" xfId="1" applyNumberFormat="1" applyFont="1" applyFill="1" applyAlignment="1">
      <alignment horizontal="center" vertical="center"/>
    </xf>
    <xf numFmtId="1" fontId="80" fillId="0" borderId="0" xfId="1" applyNumberFormat="1" applyFont="1" applyFill="1" applyAlignment="1">
      <alignment vertical="center"/>
    </xf>
    <xf numFmtId="1" fontId="80" fillId="0" borderId="0" xfId="1" applyNumberFormat="1" applyFont="1" applyFill="1" applyBorder="1" applyAlignment="1">
      <alignment horizontal="center" vertical="center"/>
    </xf>
    <xf numFmtId="1" fontId="126" fillId="0" borderId="0" xfId="1" applyNumberFormat="1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vertical="center"/>
    </xf>
    <xf numFmtId="4" fontId="43" fillId="0" borderId="0" xfId="0" applyNumberFormat="1" applyFont="1" applyFill="1" applyBorder="1" applyAlignment="1">
      <alignment vertical="center"/>
    </xf>
    <xf numFmtId="3" fontId="43" fillId="0" borderId="0" xfId="0" applyNumberFormat="1" applyFont="1" applyFill="1" applyBorder="1" applyAlignment="1">
      <alignment vertical="center" wrapText="1"/>
    </xf>
    <xf numFmtId="3" fontId="43" fillId="0" borderId="0" xfId="0" applyNumberFormat="1" applyFont="1" applyFill="1" applyBorder="1" applyAlignment="1">
      <alignment vertical="center"/>
    </xf>
    <xf numFmtId="0" fontId="127" fillId="0" borderId="0" xfId="0" applyFont="1"/>
    <xf numFmtId="1" fontId="107" fillId="0" borderId="4" xfId="1" applyNumberFormat="1" applyFont="1" applyFill="1" applyBorder="1" applyAlignment="1">
      <alignment vertical="center"/>
    </xf>
    <xf numFmtId="196" fontId="107" fillId="0" borderId="4" xfId="1" applyNumberFormat="1" applyFont="1" applyFill="1" applyBorder="1" applyAlignment="1">
      <alignment horizontal="center" vertical="center" wrapText="1"/>
    </xf>
    <xf numFmtId="203" fontId="93" fillId="0" borderId="4" xfId="1" applyNumberFormat="1" applyFont="1" applyFill="1" applyBorder="1" applyAlignment="1">
      <alignment horizontal="center" vertical="center" wrapText="1"/>
    </xf>
    <xf numFmtId="1" fontId="107" fillId="0" borderId="0" xfId="1" applyNumberFormat="1" applyFont="1" applyFill="1" applyAlignment="1">
      <alignment vertical="center"/>
    </xf>
    <xf numFmtId="1" fontId="107" fillId="0" borderId="0" xfId="1" applyNumberFormat="1" applyFont="1" applyFill="1" applyBorder="1" applyAlignment="1">
      <alignment horizontal="center" vertical="center"/>
    </xf>
    <xf numFmtId="195" fontId="119" fillId="0" borderId="4" xfId="1" applyFont="1" applyFill="1" applyBorder="1" applyAlignment="1">
      <alignment vertical="center"/>
    </xf>
    <xf numFmtId="195" fontId="118" fillId="0" borderId="4" xfId="1" applyFont="1" applyFill="1" applyBorder="1" applyAlignment="1">
      <alignment vertical="center" wrapText="1"/>
    </xf>
    <xf numFmtId="10" fontId="118" fillId="0" borderId="4" xfId="21" applyNumberFormat="1" applyFont="1" applyFill="1" applyBorder="1" applyAlignment="1">
      <alignment vertical="center" wrapText="1"/>
    </xf>
    <xf numFmtId="1" fontId="129" fillId="0" borderId="0" xfId="1" applyNumberFormat="1" applyFont="1" applyFill="1" applyBorder="1" applyAlignment="1">
      <alignment horizontal="center" vertical="center"/>
    </xf>
    <xf numFmtId="1" fontId="128" fillId="0" borderId="0" xfId="1" applyNumberFormat="1" applyFont="1" applyFill="1" applyAlignment="1">
      <alignment vertical="center"/>
    </xf>
    <xf numFmtId="1" fontId="129" fillId="0" borderId="0" xfId="1" applyNumberFormat="1" applyFont="1" applyFill="1" applyAlignment="1">
      <alignment vertical="center"/>
    </xf>
    <xf numFmtId="1" fontId="128" fillId="0" borderId="0" xfId="1" applyNumberFormat="1" applyFont="1" applyFill="1" applyBorder="1" applyAlignment="1">
      <alignment vertical="center"/>
    </xf>
    <xf numFmtId="228" fontId="81" fillId="0" borderId="4" xfId="0" applyNumberFormat="1" applyFont="1" applyFill="1" applyBorder="1" applyAlignment="1">
      <alignment horizontal="center"/>
    </xf>
    <xf numFmtId="197" fontId="81" fillId="0" borderId="4" xfId="0" applyNumberFormat="1" applyFont="1" applyFill="1" applyBorder="1" applyAlignment="1">
      <alignment horizontal="center"/>
    </xf>
    <xf numFmtId="191" fontId="81" fillId="0" borderId="4" xfId="0" applyNumberFormat="1" applyFont="1" applyFill="1" applyBorder="1" applyAlignment="1">
      <alignment horizontal="center"/>
    </xf>
    <xf numFmtId="0" fontId="90" fillId="0" borderId="0" xfId="0" applyFont="1" applyAlignment="1"/>
    <xf numFmtId="0" fontId="26" fillId="0" borderId="4" xfId="0" applyFont="1" applyFill="1" applyBorder="1" applyAlignment="1">
      <alignment horizontal="center" vertical="center"/>
    </xf>
    <xf numFmtId="0" fontId="14" fillId="0" borderId="0" xfId="0" applyFont="1" applyFill="1" applyBorder="1" applyAlignment="1"/>
    <xf numFmtId="0" fontId="14" fillId="0" borderId="0" xfId="0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vertical="center"/>
    </xf>
    <xf numFmtId="196" fontId="80" fillId="0" borderId="4" xfId="0" applyNumberFormat="1" applyFont="1" applyFill="1" applyBorder="1" applyAlignment="1">
      <alignment horizontal="center" vertical="center"/>
    </xf>
    <xf numFmtId="189" fontId="80" fillId="0" borderId="4" xfId="0" applyNumberFormat="1" applyFont="1" applyFill="1" applyBorder="1" applyAlignment="1">
      <alignment vertical="center" wrapText="1"/>
    </xf>
    <xf numFmtId="0" fontId="133" fillId="0" borderId="0" xfId="0" applyFont="1" applyFill="1"/>
    <xf numFmtId="0" fontId="28" fillId="0" borderId="0" xfId="0" applyFont="1" applyFill="1" applyBorder="1" applyAlignment="1">
      <alignment horizontal="center" vertical="center"/>
    </xf>
    <xf numFmtId="189" fontId="99" fillId="0" borderId="11" xfId="0" quotePrefix="1" applyNumberFormat="1" applyFont="1" applyFill="1" applyBorder="1" applyAlignment="1">
      <alignment horizontal="center" vertical="center"/>
    </xf>
    <xf numFmtId="2" fontId="97" fillId="0" borderId="18" xfId="0" applyNumberFormat="1" applyFont="1" applyFill="1" applyBorder="1" applyAlignment="1">
      <alignment horizontal="center" vertical="center" shrinkToFit="1"/>
    </xf>
    <xf numFmtId="2" fontId="100" fillId="0" borderId="7" xfId="0" applyNumberFormat="1" applyFont="1" applyFill="1" applyBorder="1" applyAlignment="1">
      <alignment horizontal="center" vertical="center"/>
    </xf>
    <xf numFmtId="1" fontId="100" fillId="0" borderId="7" xfId="0" applyNumberFormat="1" applyFont="1" applyFill="1" applyBorder="1" applyAlignment="1">
      <alignment horizontal="center" vertical="center"/>
    </xf>
    <xf numFmtId="2" fontId="97" fillId="0" borderId="11" xfId="0" applyNumberFormat="1" applyFont="1" applyFill="1" applyBorder="1" applyAlignment="1">
      <alignment horizontal="center" vertical="center" shrinkToFit="1"/>
    </xf>
    <xf numFmtId="4" fontId="97" fillId="0" borderId="11" xfId="0" applyNumberFormat="1" applyFont="1" applyFill="1" applyBorder="1" applyAlignment="1">
      <alignment horizontal="center" vertical="center" shrinkToFit="1"/>
    </xf>
    <xf numFmtId="2" fontId="97" fillId="0" borderId="9" xfId="1" applyNumberFormat="1" applyFont="1" applyFill="1" applyBorder="1" applyAlignment="1">
      <alignment horizontal="right" vertical="center" wrapText="1"/>
    </xf>
    <xf numFmtId="4" fontId="97" fillId="0" borderId="1" xfId="1" applyNumberFormat="1" applyFont="1" applyFill="1" applyBorder="1" applyAlignment="1">
      <alignment horizontal="right" vertical="center" shrinkToFit="1"/>
    </xf>
    <xf numFmtId="190" fontId="97" fillId="0" borderId="1" xfId="1" applyNumberFormat="1" applyFont="1" applyFill="1" applyBorder="1" applyAlignment="1">
      <alignment horizontal="center" vertical="center" shrinkToFit="1"/>
    </xf>
    <xf numFmtId="192" fontId="97" fillId="0" borderId="18" xfId="1" applyNumberFormat="1" applyFont="1" applyFill="1" applyBorder="1" applyAlignment="1">
      <alignment vertical="center" shrinkToFit="1"/>
    </xf>
    <xf numFmtId="0" fontId="97" fillId="0" borderId="11" xfId="0" applyFont="1" applyFill="1" applyBorder="1"/>
    <xf numFmtId="190" fontId="101" fillId="0" borderId="6" xfId="0" applyNumberFormat="1" applyFont="1" applyFill="1" applyBorder="1"/>
    <xf numFmtId="0" fontId="101" fillId="0" borderId="0" xfId="0" applyFont="1" applyFill="1"/>
    <xf numFmtId="0" fontId="97" fillId="0" borderId="11" xfId="0" applyFont="1" applyFill="1" applyBorder="1" applyAlignment="1">
      <alignment horizontal="center" vertical="center" shrinkToFit="1"/>
    </xf>
    <xf numFmtId="2" fontId="100" fillId="0" borderId="10" xfId="0" applyNumberFormat="1" applyFont="1" applyFill="1" applyBorder="1" applyAlignment="1">
      <alignment horizontal="center" vertical="center"/>
    </xf>
    <xf numFmtId="1" fontId="100" fillId="0" borderId="10" xfId="0" applyNumberFormat="1" applyFont="1" applyFill="1" applyBorder="1" applyAlignment="1">
      <alignment horizontal="center" vertical="center"/>
    </xf>
    <xf numFmtId="0" fontId="97" fillId="0" borderId="20" xfId="0" applyFont="1" applyFill="1" applyBorder="1" applyAlignment="1">
      <alignment horizontal="left"/>
    </xf>
    <xf numFmtId="190" fontId="97" fillId="0" borderId="5" xfId="1" applyNumberFormat="1" applyFont="1" applyFill="1" applyBorder="1" applyAlignment="1">
      <alignment horizontal="center" vertical="center" shrinkToFit="1"/>
    </xf>
    <xf numFmtId="189" fontId="97" fillId="0" borderId="20" xfId="1" applyNumberFormat="1" applyFont="1" applyFill="1" applyBorder="1" applyAlignment="1">
      <alignment horizontal="center" vertical="center" wrapText="1"/>
    </xf>
    <xf numFmtId="199" fontId="100" fillId="0" borderId="11" xfId="0" applyNumberFormat="1" applyFont="1" applyFill="1" applyBorder="1" applyAlignment="1">
      <alignment horizontal="center" vertical="center" shrinkToFit="1"/>
    </xf>
    <xf numFmtId="0" fontId="99" fillId="0" borderId="5" xfId="0" applyFont="1" applyFill="1" applyBorder="1" applyAlignment="1">
      <alignment horizontal="left" vertical="center" wrapText="1" indent="1"/>
    </xf>
    <xf numFmtId="3" fontId="99" fillId="0" borderId="5" xfId="0" applyNumberFormat="1" applyFont="1" applyFill="1" applyBorder="1" applyAlignment="1">
      <alignment horizontal="left" vertical="center" indent="1"/>
    </xf>
    <xf numFmtId="190" fontId="97" fillId="0" borderId="11" xfId="1" applyNumberFormat="1" applyFont="1" applyFill="1" applyBorder="1" applyAlignment="1">
      <alignment horizontal="center" vertical="center" shrinkToFit="1"/>
    </xf>
    <xf numFmtId="189" fontId="97" fillId="0" borderId="10" xfId="1" applyNumberFormat="1" applyFont="1" applyFill="1" applyBorder="1" applyAlignment="1">
      <alignment vertical="center" shrinkToFit="1"/>
    </xf>
    <xf numFmtId="192" fontId="97" fillId="0" borderId="10" xfId="1" applyNumberFormat="1" applyFont="1" applyFill="1" applyBorder="1" applyAlignment="1">
      <alignment vertical="center" shrinkToFit="1"/>
    </xf>
    <xf numFmtId="192" fontId="97" fillId="0" borderId="11" xfId="1" applyNumberFormat="1" applyFont="1" applyFill="1" applyBorder="1" applyAlignment="1">
      <alignment vertical="center" shrinkToFit="1"/>
    </xf>
    <xf numFmtId="0" fontId="97" fillId="0" borderId="5" xfId="0" applyFont="1" applyFill="1" applyBorder="1" applyAlignment="1">
      <alignment horizontal="center" vertical="center" shrinkToFit="1"/>
    </xf>
    <xf numFmtId="0" fontId="100" fillId="0" borderId="7" xfId="0" applyFont="1" applyFill="1" applyBorder="1" applyAlignment="1">
      <alignment horizontal="center" vertical="center"/>
    </xf>
    <xf numFmtId="1" fontId="100" fillId="0" borderId="20" xfId="0" applyNumberFormat="1" applyFont="1" applyFill="1" applyBorder="1" applyAlignment="1">
      <alignment horizontal="center" vertical="center"/>
    </xf>
    <xf numFmtId="4" fontId="97" fillId="0" borderId="5" xfId="0" applyNumberFormat="1" applyFont="1" applyFill="1" applyBorder="1" applyAlignment="1">
      <alignment horizontal="center" vertical="center" shrinkToFit="1"/>
    </xf>
    <xf numFmtId="192" fontId="97" fillId="0" borderId="5" xfId="1" applyNumberFormat="1" applyFont="1" applyFill="1" applyBorder="1" applyAlignment="1">
      <alignment vertical="center" shrinkToFit="1"/>
    </xf>
    <xf numFmtId="209" fontId="97" fillId="0" borderId="5" xfId="1" applyNumberFormat="1" applyFont="1" applyFill="1" applyBorder="1" applyAlignment="1">
      <alignment horizontal="right" vertical="center" wrapText="1"/>
    </xf>
    <xf numFmtId="1" fontId="99" fillId="0" borderId="5" xfId="0" applyNumberFormat="1" applyFont="1" applyFill="1" applyBorder="1" applyAlignment="1">
      <alignment horizontal="left" vertical="center" indent="1"/>
    </xf>
    <xf numFmtId="1" fontId="100" fillId="0" borderId="11" xfId="0" applyNumberFormat="1" applyFont="1" applyFill="1" applyBorder="1" applyAlignment="1">
      <alignment horizontal="center" vertical="center"/>
    </xf>
    <xf numFmtId="0" fontId="80" fillId="0" borderId="4" xfId="0" applyFont="1" applyFill="1" applyBorder="1" applyAlignment="1">
      <alignment horizontal="left" vertical="center"/>
    </xf>
    <xf numFmtId="0" fontId="43" fillId="0" borderId="4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 shrinkToFit="1"/>
    </xf>
    <xf numFmtId="189" fontId="80" fillId="0" borderId="4" xfId="1" applyNumberFormat="1" applyFont="1" applyFill="1" applyBorder="1" applyAlignment="1">
      <alignment horizontal="right" vertical="center" wrapText="1"/>
    </xf>
    <xf numFmtId="196" fontId="80" fillId="0" borderId="4" xfId="1" applyNumberFormat="1" applyFont="1" applyFill="1" applyBorder="1" applyAlignment="1">
      <alignment horizontal="right" vertical="center" wrapText="1"/>
    </xf>
    <xf numFmtId="3" fontId="73" fillId="0" borderId="4" xfId="5" applyNumberFormat="1" applyFont="1" applyFill="1" applyBorder="1" applyAlignment="1">
      <alignment horizontal="right" vertical="center"/>
    </xf>
    <xf numFmtId="207" fontId="9" fillId="0" borderId="0" xfId="0" applyNumberFormat="1" applyFont="1" applyFill="1" applyBorder="1"/>
    <xf numFmtId="189" fontId="100" fillId="0" borderId="4" xfId="19" applyNumberFormat="1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189" fontId="107" fillId="0" borderId="22" xfId="0" applyNumberFormat="1" applyFont="1" applyFill="1" applyBorder="1" applyAlignment="1">
      <alignment horizontal="left" vertical="center" shrinkToFit="1"/>
    </xf>
    <xf numFmtId="189" fontId="107" fillId="0" borderId="19" xfId="0" applyNumberFormat="1" applyFont="1" applyFill="1" applyBorder="1" applyAlignment="1">
      <alignment horizontal="left" vertical="center" shrinkToFit="1"/>
    </xf>
    <xf numFmtId="1" fontId="93" fillId="0" borderId="3" xfId="1" applyNumberFormat="1" applyFont="1" applyFill="1" applyBorder="1" applyAlignment="1">
      <alignment vertical="center"/>
    </xf>
    <xf numFmtId="195" fontId="107" fillId="0" borderId="3" xfId="1" applyNumberFormat="1" applyFont="1" applyFill="1" applyBorder="1" applyAlignment="1">
      <alignment horizontal="center" vertical="center" wrapText="1"/>
    </xf>
    <xf numFmtId="1" fontId="33" fillId="0" borderId="0" xfId="1" applyNumberFormat="1" applyFont="1" applyFill="1" applyBorder="1" applyAlignment="1">
      <alignment horizontal="center" vertical="center"/>
    </xf>
    <xf numFmtId="232" fontId="107" fillId="0" borderId="0" xfId="0" applyNumberFormat="1" applyFont="1" applyFill="1"/>
    <xf numFmtId="4" fontId="93" fillId="0" borderId="4" xfId="1" applyNumberFormat="1" applyFont="1" applyFill="1" applyBorder="1" applyAlignment="1">
      <alignment horizontal="center" vertical="center" wrapText="1"/>
    </xf>
    <xf numFmtId="195" fontId="60" fillId="0" borderId="4" xfId="1" applyNumberFormat="1" applyFont="1" applyFill="1" applyBorder="1" applyAlignment="1">
      <alignment vertical="center" wrapText="1"/>
    </xf>
    <xf numFmtId="217" fontId="20" fillId="0" borderId="0" xfId="0" applyNumberFormat="1" applyFont="1" applyFill="1" applyBorder="1"/>
    <xf numFmtId="3" fontId="80" fillId="0" borderId="16" xfId="0" applyNumberFormat="1" applyFont="1" applyFill="1" applyBorder="1" applyAlignment="1">
      <alignment horizontal="center" vertical="center"/>
    </xf>
    <xf numFmtId="195" fontId="0" fillId="0" borderId="0" xfId="1" applyFont="1" applyFill="1"/>
    <xf numFmtId="195" fontId="0" fillId="0" borderId="0" xfId="1" applyFont="1" applyFill="1" applyAlignment="1"/>
    <xf numFmtId="189" fontId="7" fillId="0" borderId="0" xfId="0" applyNumberFormat="1" applyFont="1" applyFill="1"/>
    <xf numFmtId="189" fontId="7" fillId="0" borderId="4" xfId="19" applyNumberFormat="1" applyFont="1" applyFill="1" applyBorder="1" applyAlignment="1">
      <alignment horizontal="center"/>
    </xf>
    <xf numFmtId="189" fontId="15" fillId="0" borderId="4" xfId="19" applyNumberFormat="1" applyFont="1" applyFill="1" applyBorder="1" applyAlignment="1">
      <alignment horizontal="center"/>
    </xf>
    <xf numFmtId="197" fontId="7" fillId="0" borderId="4" xfId="0" applyNumberFormat="1" applyFont="1" applyFill="1" applyBorder="1"/>
    <xf numFmtId="0" fontId="7" fillId="0" borderId="4" xfId="0" applyFont="1" applyFill="1" applyBorder="1" applyAlignment="1">
      <alignment horizontal="center" vertical="center" shrinkToFit="1"/>
    </xf>
    <xf numFmtId="203" fontId="7" fillId="0" borderId="0" xfId="0" applyNumberFormat="1" applyFont="1" applyFill="1"/>
    <xf numFmtId="196" fontId="7" fillId="0" borderId="0" xfId="0" applyNumberFormat="1" applyFont="1" applyFill="1"/>
    <xf numFmtId="203" fontId="7" fillId="0" borderId="0" xfId="0" applyNumberFormat="1" applyFont="1" applyFill="1" applyAlignment="1"/>
    <xf numFmtId="196" fontId="126" fillId="0" borderId="0" xfId="1" applyNumberFormat="1" applyFont="1" applyFill="1" applyBorder="1" applyAlignment="1">
      <alignment horizontal="center" vertical="center"/>
    </xf>
    <xf numFmtId="198" fontId="26" fillId="0" borderId="0" xfId="1" applyNumberFormat="1" applyFont="1" applyFill="1" applyAlignment="1">
      <alignment horizontal="center"/>
    </xf>
    <xf numFmtId="0" fontId="26" fillId="0" borderId="4" xfId="0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/>
    </xf>
    <xf numFmtId="0" fontId="14" fillId="0" borderId="0" xfId="0" applyFont="1" applyFill="1" applyAlignment="1">
      <alignment horizontal="center"/>
    </xf>
    <xf numFmtId="198" fontId="2" fillId="2" borderId="4" xfId="1" applyNumberFormat="1" applyFont="1" applyFill="1" applyBorder="1" applyAlignment="1">
      <alignment horizontal="center" vertical="center" wrapText="1"/>
    </xf>
    <xf numFmtId="0" fontId="26" fillId="0" borderId="4" xfId="0" applyFont="1" applyFill="1" applyBorder="1" applyAlignment="1">
      <alignment horizontal="center" vertical="center" wrapText="1"/>
    </xf>
    <xf numFmtId="0" fontId="76" fillId="0" borderId="0" xfId="0" applyFont="1" applyFill="1" applyBorder="1" applyAlignment="1">
      <alignment horizontal="center"/>
    </xf>
    <xf numFmtId="0" fontId="77" fillId="0" borderId="0" xfId="0" applyFont="1" applyFill="1" applyBorder="1" applyAlignment="1">
      <alignment horizontal="center"/>
    </xf>
    <xf numFmtId="0" fontId="118" fillId="0" borderId="14" xfId="0" applyFont="1" applyFill="1" applyBorder="1" applyAlignment="1">
      <alignment horizontal="center" vertical="center"/>
    </xf>
    <xf numFmtId="0" fontId="118" fillId="0" borderId="22" xfId="0" applyFont="1" applyFill="1" applyBorder="1" applyAlignment="1">
      <alignment horizontal="center" vertical="center"/>
    </xf>
    <xf numFmtId="0" fontId="118" fillId="0" borderId="19" xfId="0" applyFont="1" applyFill="1" applyBorder="1" applyAlignment="1">
      <alignment horizontal="center" vertical="center"/>
    </xf>
    <xf numFmtId="0" fontId="74" fillId="0" borderId="0" xfId="0" applyFont="1" applyFill="1" applyBorder="1" applyAlignment="1">
      <alignment horizontal="center"/>
    </xf>
    <xf numFmtId="0" fontId="80" fillId="0" borderId="0" xfId="0" applyFont="1" applyFill="1" applyAlignment="1">
      <alignment horizontal="center" vertical="center"/>
    </xf>
    <xf numFmtId="0" fontId="136" fillId="0" borderId="4" xfId="0" applyFont="1" applyFill="1" applyBorder="1" applyAlignment="1">
      <alignment horizontal="center" vertical="center"/>
    </xf>
    <xf numFmtId="1" fontId="11" fillId="0" borderId="10" xfId="0" applyNumberFormat="1" applyFont="1" applyFill="1" applyBorder="1" applyAlignment="1">
      <alignment horizontal="center" vertical="center"/>
    </xf>
    <xf numFmtId="2" fontId="11" fillId="0" borderId="10" xfId="0" applyNumberFormat="1" applyFont="1" applyFill="1" applyBorder="1" applyAlignment="1">
      <alignment horizontal="center" vertical="center"/>
    </xf>
    <xf numFmtId="1" fontId="7" fillId="0" borderId="7" xfId="0" applyNumberFormat="1" applyFont="1" applyFill="1" applyBorder="1" applyAlignment="1">
      <alignment horizontal="center" vertical="center"/>
    </xf>
    <xf numFmtId="189" fontId="107" fillId="0" borderId="22" xfId="0" applyNumberFormat="1" applyFont="1" applyFill="1" applyBorder="1" applyAlignment="1">
      <alignment horizontal="center" vertical="center" shrinkToFit="1"/>
    </xf>
    <xf numFmtId="189" fontId="107" fillId="0" borderId="19" xfId="0" applyNumberFormat="1" applyFont="1" applyFill="1" applyBorder="1" applyAlignment="1">
      <alignment vertical="center" shrinkToFit="1"/>
    </xf>
    <xf numFmtId="0" fontId="9" fillId="0" borderId="4" xfId="13" applyFont="1" applyFill="1" applyBorder="1" applyAlignment="1">
      <alignment vertical="center"/>
    </xf>
    <xf numFmtId="1" fontId="136" fillId="0" borderId="4" xfId="0" applyNumberFormat="1" applyFont="1" applyFill="1" applyBorder="1" applyAlignment="1">
      <alignment horizontal="center" vertical="center"/>
    </xf>
    <xf numFmtId="1" fontId="112" fillId="0" borderId="19" xfId="1" applyNumberFormat="1" applyFont="1" applyFill="1" applyBorder="1" applyAlignment="1">
      <alignment vertical="center"/>
    </xf>
    <xf numFmtId="189" fontId="145" fillId="0" borderId="0" xfId="1" applyNumberFormat="1" applyFont="1" applyFill="1" applyAlignment="1">
      <alignment horizontal="center"/>
    </xf>
    <xf numFmtId="189" fontId="145" fillId="0" borderId="0" xfId="1" applyNumberFormat="1" applyFont="1" applyFill="1" applyAlignment="1"/>
    <xf numFmtId="209" fontId="64" fillId="0" borderId="4" xfId="7" applyNumberFormat="1" applyFont="1" applyFill="1" applyBorder="1" applyAlignment="1">
      <alignment horizontal="center"/>
    </xf>
    <xf numFmtId="4" fontId="97" fillId="0" borderId="11" xfId="1" applyNumberFormat="1" applyFont="1" applyFill="1" applyBorder="1" applyAlignment="1">
      <alignment horizontal="right" vertical="center" shrinkToFit="1"/>
    </xf>
    <xf numFmtId="233" fontId="16" fillId="0" borderId="0" xfId="1" applyNumberFormat="1" applyFont="1" applyFill="1" applyAlignment="1">
      <alignment horizontal="center"/>
    </xf>
    <xf numFmtId="1" fontId="9" fillId="5" borderId="0" xfId="1" applyNumberFormat="1" applyFont="1" applyFill="1" applyAlignment="1">
      <alignment vertical="center"/>
    </xf>
    <xf numFmtId="0" fontId="80" fillId="0" borderId="0" xfId="0" applyFont="1" applyFill="1" applyBorder="1" applyAlignment="1"/>
    <xf numFmtId="0" fontId="143" fillId="0" borderId="0" xfId="0" applyFont="1" applyFill="1"/>
    <xf numFmtId="0" fontId="18" fillId="0" borderId="10" xfId="0" applyFont="1" applyFill="1" applyBorder="1" applyAlignment="1">
      <alignment vertical="top" wrapText="1"/>
    </xf>
    <xf numFmtId="0" fontId="18" fillId="0" borderId="16" xfId="0" applyFont="1" applyFill="1" applyBorder="1" applyAlignment="1">
      <alignment vertical="top" wrapText="1"/>
    </xf>
    <xf numFmtId="189" fontId="97" fillId="0" borderId="7" xfId="1" applyNumberFormat="1" applyFont="1" applyFill="1" applyBorder="1" applyAlignment="1">
      <alignment vertical="center" shrinkToFit="1"/>
    </xf>
    <xf numFmtId="1" fontId="97" fillId="0" borderId="7" xfId="0" applyNumberFormat="1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top" wrapText="1"/>
    </xf>
    <xf numFmtId="0" fontId="93" fillId="0" borderId="10" xfId="0" applyFont="1" applyFill="1" applyBorder="1" applyAlignment="1">
      <alignment horizontal="center" vertical="top" wrapText="1"/>
    </xf>
    <xf numFmtId="189" fontId="93" fillId="0" borderId="10" xfId="1" applyNumberFormat="1" applyFont="1" applyFill="1" applyBorder="1" applyAlignment="1">
      <alignment horizontal="center" vertical="top" wrapText="1"/>
    </xf>
    <xf numFmtId="0" fontId="80" fillId="4" borderId="0" xfId="0" applyFont="1" applyFill="1"/>
    <xf numFmtId="0" fontId="26" fillId="4" borderId="0" xfId="0" applyFont="1" applyFill="1"/>
    <xf numFmtId="0" fontId="26" fillId="4" borderId="0" xfId="0" applyFont="1" applyFill="1" applyAlignment="1">
      <alignment horizontal="center"/>
    </xf>
    <xf numFmtId="43" fontId="26" fillId="4" borderId="0" xfId="0" applyNumberFormat="1" applyFont="1" applyFill="1"/>
    <xf numFmtId="0" fontId="26" fillId="4" borderId="4" xfId="0" applyFont="1" applyFill="1" applyBorder="1" applyAlignment="1">
      <alignment horizontal="center" vertical="center"/>
    </xf>
    <xf numFmtId="0" fontId="26" fillId="4" borderId="4" xfId="0" applyFont="1" applyFill="1" applyBorder="1" applyAlignment="1">
      <alignment horizontal="center" vertical="center" wrapText="1"/>
    </xf>
    <xf numFmtId="0" fontId="26" fillId="4" borderId="4" xfId="0" applyFont="1" applyFill="1" applyBorder="1" applyAlignment="1">
      <alignment vertical="center"/>
    </xf>
    <xf numFmtId="0" fontId="26" fillId="4" borderId="0" xfId="0" applyFont="1" applyFill="1" applyAlignment="1">
      <alignment horizontal="center" vertical="center" wrapText="1"/>
    </xf>
    <xf numFmtId="0" fontId="80" fillId="4" borderId="4" xfId="0" applyFont="1" applyFill="1" applyBorder="1" applyAlignment="1">
      <alignment horizontal="center" vertical="center" wrapText="1"/>
    </xf>
    <xf numFmtId="3" fontId="80" fillId="4" borderId="4" xfId="0" applyNumberFormat="1" applyFont="1" applyFill="1" applyBorder="1" applyAlignment="1">
      <alignment horizontal="center" vertical="center"/>
    </xf>
    <xf numFmtId="0" fontId="80" fillId="4" borderId="4" xfId="0" applyFont="1" applyFill="1" applyBorder="1" applyAlignment="1">
      <alignment horizontal="left" vertical="center"/>
    </xf>
    <xf numFmtId="215" fontId="80" fillId="4" borderId="4" xfId="5" applyNumberFormat="1" applyFont="1" applyFill="1" applyBorder="1" applyAlignment="1">
      <alignment horizontal="center" vertical="center"/>
    </xf>
    <xf numFmtId="234" fontId="80" fillId="4" borderId="4" xfId="0" applyNumberFormat="1" applyFont="1" applyFill="1" applyBorder="1" applyAlignment="1">
      <alignment horizontal="center" vertical="center"/>
    </xf>
    <xf numFmtId="217" fontId="80" fillId="4" borderId="0" xfId="0" applyNumberFormat="1" applyFont="1" applyFill="1" applyAlignment="1">
      <alignment horizontal="left" vertical="center"/>
    </xf>
    <xf numFmtId="3" fontId="80" fillId="4" borderId="0" xfId="0" applyNumberFormat="1" applyFont="1" applyFill="1" applyAlignment="1">
      <alignment horizontal="center" vertical="center"/>
    </xf>
    <xf numFmtId="0" fontId="73" fillId="4" borderId="0" xfId="0" applyFont="1" applyFill="1" applyAlignment="1">
      <alignment horizontal="center" vertical="center"/>
    </xf>
    <xf numFmtId="0" fontId="80" fillId="4" borderId="0" xfId="0" applyFont="1" applyFill="1" applyAlignment="1">
      <alignment horizontal="center" vertical="center"/>
    </xf>
    <xf numFmtId="215" fontId="26" fillId="4" borderId="4" xfId="5" applyNumberFormat="1" applyFont="1" applyFill="1" applyBorder="1" applyAlignment="1">
      <alignment horizontal="center" vertical="center"/>
    </xf>
    <xf numFmtId="2" fontId="26" fillId="4" borderId="0" xfId="0" applyNumberFormat="1" applyFont="1" applyFill="1" applyAlignment="1">
      <alignment horizontal="center" vertical="center"/>
    </xf>
    <xf numFmtId="203" fontId="26" fillId="4" borderId="0" xfId="0" applyNumberFormat="1" applyFont="1" applyFill="1" applyAlignment="1">
      <alignment horizontal="center" vertical="center"/>
    </xf>
    <xf numFmtId="3" fontId="26" fillId="4" borderId="0" xfId="0" applyNumberFormat="1" applyFont="1" applyFill="1" applyAlignment="1">
      <alignment horizontal="center" vertical="center"/>
    </xf>
    <xf numFmtId="0" fontId="80" fillId="4" borderId="0" xfId="0" applyFont="1" applyFill="1" applyAlignment="1">
      <alignment horizontal="center"/>
    </xf>
    <xf numFmtId="203" fontId="26" fillId="4" borderId="0" xfId="0" applyNumberFormat="1" applyFont="1" applyFill="1"/>
    <xf numFmtId="4" fontId="26" fillId="4" borderId="0" xfId="0" applyNumberFormat="1" applyFont="1" applyFill="1"/>
    <xf numFmtId="0" fontId="80" fillId="4" borderId="0" xfId="0" applyFont="1" applyFill="1" applyAlignment="1">
      <alignment shrinkToFit="1"/>
    </xf>
    <xf numFmtId="212" fontId="33" fillId="4" borderId="0" xfId="0" applyNumberFormat="1" applyFont="1" applyFill="1" applyAlignment="1">
      <alignment horizontal="center"/>
    </xf>
    <xf numFmtId="212" fontId="80" fillId="4" borderId="0" xfId="0" applyNumberFormat="1" applyFont="1" applyFill="1"/>
    <xf numFmtId="2" fontId="80" fillId="4" borderId="0" xfId="0" applyNumberFormat="1" applyFont="1" applyFill="1"/>
    <xf numFmtId="0" fontId="26" fillId="4" borderId="0" xfId="0" applyFont="1" applyFill="1" applyAlignment="1"/>
    <xf numFmtId="190" fontId="93" fillId="0" borderId="4" xfId="5" applyNumberFormat="1" applyFont="1" applyFill="1" applyBorder="1" applyAlignment="1">
      <alignment horizontal="center" vertical="center" wrapText="1"/>
    </xf>
    <xf numFmtId="210" fontId="107" fillId="0" borderId="4" xfId="5" applyNumberFormat="1" applyFont="1" applyFill="1" applyBorder="1" applyAlignment="1">
      <alignment vertical="center"/>
    </xf>
    <xf numFmtId="196" fontId="107" fillId="0" borderId="4" xfId="1" applyNumberFormat="1" applyFont="1" applyFill="1" applyBorder="1" applyAlignment="1">
      <alignment vertical="center" shrinkToFit="1"/>
    </xf>
    <xf numFmtId="203" fontId="97" fillId="0" borderId="0" xfId="0" applyNumberFormat="1" applyFont="1" applyFill="1" applyAlignment="1"/>
    <xf numFmtId="196" fontId="97" fillId="0" borderId="0" xfId="1" applyNumberFormat="1" applyFont="1" applyFill="1" applyAlignment="1"/>
    <xf numFmtId="203" fontId="97" fillId="0" borderId="11" xfId="0" applyNumberFormat="1" applyFont="1" applyFill="1" applyBorder="1" applyAlignment="1">
      <alignment vertical="center"/>
    </xf>
    <xf numFmtId="203" fontId="97" fillId="0" borderId="9" xfId="0" applyNumberFormat="1" applyFont="1" applyFill="1" applyBorder="1" applyAlignment="1">
      <alignment vertical="center" wrapText="1"/>
    </xf>
    <xf numFmtId="203" fontId="97" fillId="0" borderId="1" xfId="0" applyNumberFormat="1" applyFont="1" applyFill="1" applyBorder="1" applyAlignment="1">
      <alignment vertical="center" wrapText="1"/>
    </xf>
    <xf numFmtId="203" fontId="100" fillId="0" borderId="1" xfId="0" applyNumberFormat="1" applyFont="1" applyFill="1" applyBorder="1" applyAlignment="1">
      <alignment vertical="center"/>
    </xf>
    <xf numFmtId="203" fontId="97" fillId="0" borderId="1" xfId="0" applyNumberFormat="1" applyFont="1" applyFill="1" applyBorder="1" applyAlignment="1">
      <alignment horizontal="left" vertical="center"/>
    </xf>
    <xf numFmtId="203" fontId="97" fillId="0" borderId="1" xfId="0" applyNumberFormat="1" applyFont="1" applyFill="1" applyBorder="1" applyAlignment="1">
      <alignment vertical="center"/>
    </xf>
    <xf numFmtId="0" fontId="7" fillId="0" borderId="4" xfId="0" applyFont="1" applyFill="1" applyBorder="1" applyAlignment="1">
      <alignment horizontal="center"/>
    </xf>
    <xf numFmtId="0" fontId="20" fillId="0" borderId="4" xfId="0" applyFont="1" applyBorder="1" applyAlignment="1">
      <alignment horizontal="center"/>
    </xf>
    <xf numFmtId="196" fontId="20" fillId="0" borderId="4" xfId="1" applyNumberFormat="1" applyFont="1" applyBorder="1" applyAlignment="1">
      <alignment horizontal="center"/>
    </xf>
    <xf numFmtId="0" fontId="21" fillId="0" borderId="4" xfId="0" applyFont="1" applyBorder="1" applyAlignment="1">
      <alignment horizontal="center" vertical="center"/>
    </xf>
    <xf numFmtId="196" fontId="101" fillId="2" borderId="4" xfId="0" applyNumberFormat="1" applyFont="1" applyFill="1" applyBorder="1" applyAlignment="1">
      <alignment horizontal="right" vertical="center" shrinkToFit="1"/>
    </xf>
    <xf numFmtId="196" fontId="148" fillId="0" borderId="4" xfId="0" applyNumberFormat="1" applyFont="1" applyFill="1" applyBorder="1" applyAlignment="1">
      <alignment horizontal="center" vertical="center" wrapText="1"/>
    </xf>
    <xf numFmtId="0" fontId="148" fillId="0" borderId="4" xfId="0" applyFont="1" applyFill="1" applyBorder="1" applyAlignment="1">
      <alignment horizontal="center" vertical="center"/>
    </xf>
    <xf numFmtId="0" fontId="52" fillId="0" borderId="0" xfId="0" applyFont="1" applyFill="1" applyBorder="1" applyAlignment="1">
      <alignment horizontal="center" vertical="center" shrinkToFit="1"/>
    </xf>
    <xf numFmtId="0" fontId="38" fillId="0" borderId="0" xfId="0" applyFont="1" applyFill="1" applyAlignment="1">
      <alignment horizontal="left"/>
    </xf>
    <xf numFmtId="0" fontId="107" fillId="4" borderId="0" xfId="26" applyFont="1" applyFill="1"/>
    <xf numFmtId="10" fontId="107" fillId="4" borderId="0" xfId="21" applyNumberFormat="1" applyFont="1" applyFill="1"/>
    <xf numFmtId="189" fontId="97" fillId="0" borderId="11" xfId="1" applyNumberFormat="1" applyFont="1" applyFill="1" applyBorder="1" applyAlignment="1">
      <alignment vertical="center" shrinkToFit="1"/>
    </xf>
    <xf numFmtId="1" fontId="7" fillId="0" borderId="7" xfId="1" applyNumberFormat="1" applyFont="1" applyFill="1" applyBorder="1" applyAlignment="1">
      <alignment horizontal="right" vertical="center" wrapText="1"/>
    </xf>
    <xf numFmtId="195" fontId="148" fillId="0" borderId="4" xfId="0" applyNumberFormat="1" applyFont="1" applyFill="1" applyBorder="1" applyAlignment="1">
      <alignment horizontal="center" vertical="center" wrapText="1"/>
    </xf>
    <xf numFmtId="221" fontId="148" fillId="0" borderId="4" xfId="0" applyNumberFormat="1" applyFont="1" applyFill="1" applyBorder="1" applyAlignment="1">
      <alignment horizontal="center" vertical="center" wrapText="1"/>
    </xf>
    <xf numFmtId="195" fontId="118" fillId="0" borderId="4" xfId="0" quotePrefix="1" applyNumberFormat="1" applyFont="1" applyFill="1" applyBorder="1" applyAlignment="1">
      <alignment horizontal="center" vertical="center" wrapText="1"/>
    </xf>
    <xf numFmtId="0" fontId="92" fillId="0" borderId="4" xfId="0" applyFont="1" applyFill="1" applyBorder="1" applyAlignment="1">
      <alignment horizontal="center" vertical="center"/>
    </xf>
    <xf numFmtId="0" fontId="11" fillId="0" borderId="0" xfId="0" applyFont="1" applyFill="1" applyAlignment="1">
      <alignment vertical="center"/>
    </xf>
    <xf numFmtId="197" fontId="11" fillId="0" borderId="4" xfId="19" applyNumberFormat="1" applyFont="1" applyFill="1" applyBorder="1" applyAlignment="1">
      <alignment horizontal="center" vertical="center"/>
    </xf>
    <xf numFmtId="3" fontId="92" fillId="0" borderId="0" xfId="0" applyNumberFormat="1" applyFont="1" applyFill="1" applyAlignment="1">
      <alignment vertical="center"/>
    </xf>
    <xf numFmtId="0" fontId="92" fillId="0" borderId="0" xfId="0" applyFont="1" applyFill="1" applyAlignment="1">
      <alignment vertical="center"/>
    </xf>
    <xf numFmtId="0" fontId="150" fillId="0" borderId="0" xfId="0" applyFont="1" applyFill="1" applyAlignment="1">
      <alignment vertical="center"/>
    </xf>
    <xf numFmtId="0" fontId="81" fillId="0" borderId="0" xfId="0" applyFont="1" applyFill="1" applyAlignment="1">
      <alignment vertical="center"/>
    </xf>
    <xf numFmtId="0" fontId="133" fillId="0" borderId="0" xfId="0" applyFont="1" applyFill="1" applyAlignment="1">
      <alignment vertical="center"/>
    </xf>
    <xf numFmtId="0" fontId="81" fillId="0" borderId="4" xfId="0" applyFont="1" applyFill="1" applyBorder="1" applyAlignment="1">
      <alignment vertical="center"/>
    </xf>
    <xf numFmtId="197" fontId="18" fillId="0" borderId="4" xfId="19" applyNumberFormat="1" applyFont="1" applyFill="1" applyBorder="1" applyAlignment="1">
      <alignment horizontal="center" vertical="center"/>
    </xf>
    <xf numFmtId="10" fontId="148" fillId="0" borderId="4" xfId="21" applyNumberFormat="1" applyFont="1" applyFill="1" applyBorder="1" applyAlignment="1">
      <alignment vertical="center" wrapText="1"/>
    </xf>
    <xf numFmtId="4" fontId="80" fillId="0" borderId="4" xfId="0" applyNumberFormat="1" applyFont="1" applyFill="1" applyBorder="1" applyAlignment="1">
      <alignment horizontal="center" vertical="center"/>
    </xf>
    <xf numFmtId="0" fontId="105" fillId="0" borderId="0" xfId="0" applyFont="1" applyFill="1" applyBorder="1" applyAlignment="1">
      <alignment horizontal="center" vertical="center"/>
    </xf>
    <xf numFmtId="0" fontId="105" fillId="0" borderId="15" xfId="0" applyFont="1" applyFill="1" applyBorder="1" applyAlignment="1">
      <alignment horizontal="center" vertical="center"/>
    </xf>
    <xf numFmtId="203" fontId="100" fillId="0" borderId="17" xfId="0" applyNumberFormat="1" applyFont="1" applyFill="1" applyBorder="1" applyAlignment="1">
      <alignment vertical="center"/>
    </xf>
    <xf numFmtId="189" fontId="11" fillId="0" borderId="0" xfId="0" applyNumberFormat="1" applyFont="1" applyFill="1"/>
    <xf numFmtId="212" fontId="0" fillId="0" borderId="0" xfId="0" applyNumberFormat="1" applyFill="1"/>
    <xf numFmtId="199" fontId="97" fillId="0" borderId="5" xfId="1" applyNumberFormat="1" applyFont="1" applyFill="1" applyBorder="1" applyAlignment="1">
      <alignment horizontal="center" vertical="center" shrinkToFit="1"/>
    </xf>
    <xf numFmtId="189" fontId="97" fillId="0" borderId="5" xfId="1" applyNumberFormat="1" applyFont="1" applyFill="1" applyBorder="1" applyAlignment="1">
      <alignment horizontal="center" vertical="center"/>
    </xf>
    <xf numFmtId="0" fontId="97" fillId="0" borderId="11" xfId="0" applyFont="1" applyFill="1" applyBorder="1" applyAlignment="1">
      <alignment horizontal="left" vertical="center" shrinkToFit="1"/>
    </xf>
    <xf numFmtId="199" fontId="97" fillId="0" borderId="11" xfId="1" applyNumberFormat="1" applyFont="1" applyFill="1" applyBorder="1" applyAlignment="1">
      <alignment horizontal="center" vertical="center" shrinkToFit="1"/>
    </xf>
    <xf numFmtId="0" fontId="100" fillId="0" borderId="11" xfId="0" applyFont="1" applyFill="1" applyBorder="1" applyAlignment="1">
      <alignment horizontal="center" vertical="center"/>
    </xf>
    <xf numFmtId="197" fontId="97" fillId="0" borderId="5" xfId="1" applyNumberFormat="1" applyFont="1" applyFill="1" applyBorder="1" applyAlignment="1">
      <alignment horizontal="right" vertical="center" shrinkToFit="1"/>
    </xf>
    <xf numFmtId="207" fontId="97" fillId="0" borderId="9" xfId="1" applyNumberFormat="1" applyFont="1" applyFill="1" applyBorder="1" applyAlignment="1">
      <alignment horizontal="right" vertical="center" wrapText="1"/>
    </xf>
    <xf numFmtId="3" fontId="18" fillId="0" borderId="4" xfId="10" applyNumberFormat="1" applyFont="1" applyFill="1" applyBorder="1" applyAlignment="1">
      <alignment horizontal="center" vertical="center"/>
    </xf>
    <xf numFmtId="3" fontId="7" fillId="0" borderId="4" xfId="0" applyNumberFormat="1" applyFont="1" applyFill="1" applyBorder="1" applyAlignment="1">
      <alignment horizontal="left" vertical="center"/>
    </xf>
    <xf numFmtId="3" fontId="97" fillId="0" borderId="4" xfId="0" applyNumberFormat="1" applyFont="1" applyFill="1" applyBorder="1" applyAlignment="1">
      <alignment horizontal="left" vertical="center"/>
    </xf>
    <xf numFmtId="0" fontId="9" fillId="0" borderId="4" xfId="13" applyFont="1" applyFill="1" applyBorder="1" applyAlignment="1" applyProtection="1">
      <alignment horizontal="left" vertical="center"/>
    </xf>
    <xf numFmtId="0" fontId="146" fillId="0" borderId="0" xfId="20" applyFont="1" applyFill="1"/>
    <xf numFmtId="3" fontId="104" fillId="0" borderId="4" xfId="0" applyNumberFormat="1" applyFont="1" applyFill="1" applyBorder="1" applyAlignment="1">
      <alignment horizontal="right" vertical="center"/>
    </xf>
    <xf numFmtId="3" fontId="26" fillId="0" borderId="16" xfId="0" applyNumberFormat="1" applyFont="1" applyFill="1" applyBorder="1" applyAlignment="1">
      <alignment horizontal="right" vertical="center"/>
    </xf>
    <xf numFmtId="189" fontId="12" fillId="0" borderId="0" xfId="0" applyNumberFormat="1" applyFont="1" applyFill="1" applyAlignment="1">
      <alignment vertical="center"/>
    </xf>
    <xf numFmtId="189" fontId="12" fillId="0" borderId="0" xfId="0" applyNumberFormat="1" applyFont="1" applyFill="1" applyAlignment="1">
      <alignment shrinkToFit="1"/>
    </xf>
    <xf numFmtId="189" fontId="12" fillId="0" borderId="0" xfId="0" applyNumberFormat="1" applyFont="1" applyFill="1"/>
    <xf numFmtId="210" fontId="12" fillId="0" borderId="0" xfId="1" applyNumberFormat="1" applyFont="1" applyFill="1"/>
    <xf numFmtId="4" fontId="12" fillId="0" borderId="0" xfId="1" applyNumberFormat="1" applyFont="1" applyFill="1"/>
    <xf numFmtId="189" fontId="12" fillId="0" borderId="0" xfId="1" applyNumberFormat="1" applyFont="1" applyFill="1"/>
    <xf numFmtId="196" fontId="93" fillId="0" borderId="4" xfId="1" applyNumberFormat="1" applyFont="1" applyFill="1" applyBorder="1" applyAlignment="1">
      <alignment horizontal="center" vertical="center"/>
    </xf>
    <xf numFmtId="213" fontId="11" fillId="0" borderId="0" xfId="0" applyNumberFormat="1" applyFont="1" applyFill="1"/>
    <xf numFmtId="189" fontId="10" fillId="0" borderId="0" xfId="0" applyNumberFormat="1" applyFont="1" applyFill="1" applyAlignment="1"/>
    <xf numFmtId="189" fontId="3" fillId="0" borderId="0" xfId="0" applyNumberFormat="1" applyFont="1" applyFill="1" applyAlignment="1">
      <alignment vertical="center"/>
    </xf>
    <xf numFmtId="189" fontId="3" fillId="0" borderId="0" xfId="0" applyNumberFormat="1" applyFont="1" applyFill="1" applyAlignment="1">
      <alignment horizontal="center"/>
    </xf>
    <xf numFmtId="189" fontId="9" fillId="0" borderId="0" xfId="0" applyNumberFormat="1" applyFont="1" applyFill="1" applyBorder="1" applyAlignment="1">
      <alignment vertical="center"/>
    </xf>
    <xf numFmtId="189" fontId="9" fillId="0" borderId="0" xfId="0" applyNumberFormat="1" applyFont="1" applyFill="1" applyBorder="1" applyAlignment="1">
      <alignment horizontal="center"/>
    </xf>
    <xf numFmtId="189" fontId="11" fillId="0" borderId="0" xfId="0" applyNumberFormat="1" applyFont="1" applyFill="1" applyAlignment="1">
      <alignment horizontal="center"/>
    </xf>
    <xf numFmtId="189" fontId="11" fillId="0" borderId="0" xfId="0" applyNumberFormat="1" applyFont="1" applyFill="1" applyAlignment="1">
      <alignment horizontal="center" vertical="center"/>
    </xf>
    <xf numFmtId="189" fontId="10" fillId="0" borderId="0" xfId="0" applyNumberFormat="1" applyFont="1" applyFill="1" applyAlignment="1">
      <alignment horizontal="center" vertical="center"/>
    </xf>
    <xf numFmtId="189" fontId="80" fillId="0" borderId="4" xfId="1" applyNumberFormat="1" applyFont="1" applyFill="1" applyBorder="1" applyAlignment="1">
      <alignment horizontal="right" vertical="center" shrinkToFit="1"/>
    </xf>
    <xf numFmtId="189" fontId="80" fillId="0" borderId="4" xfId="0" applyNumberFormat="1" applyFont="1" applyFill="1" applyBorder="1" applyAlignment="1">
      <alignment horizontal="left" vertical="center"/>
    </xf>
    <xf numFmtId="189" fontId="80" fillId="0" borderId="4" xfId="0" applyNumberFormat="1" applyFont="1" applyFill="1" applyBorder="1" applyAlignment="1">
      <alignment horizontal="right" vertical="center"/>
    </xf>
    <xf numFmtId="189" fontId="7" fillId="0" borderId="0" xfId="0" applyNumberFormat="1" applyFont="1" applyFill="1" applyAlignment="1">
      <alignment vertical="center"/>
    </xf>
    <xf numFmtId="189" fontId="15" fillId="0" borderId="0" xfId="0" applyNumberFormat="1" applyFont="1" applyFill="1" applyAlignment="1">
      <alignment vertical="center"/>
    </xf>
    <xf numFmtId="189" fontId="80" fillId="0" borderId="4" xfId="0" applyNumberFormat="1" applyFont="1" applyFill="1" applyBorder="1" applyAlignment="1">
      <alignment vertical="center"/>
    </xf>
    <xf numFmtId="189" fontId="11" fillId="0" borderId="0" xfId="0" applyNumberFormat="1" applyFont="1" applyFill="1" applyBorder="1" applyAlignment="1">
      <alignment vertical="center" shrinkToFit="1"/>
    </xf>
    <xf numFmtId="189" fontId="11" fillId="0" borderId="0" xfId="0" applyNumberFormat="1" applyFont="1" applyFill="1" applyBorder="1" applyAlignment="1">
      <alignment horizontal="center" shrinkToFit="1"/>
    </xf>
    <xf numFmtId="210" fontId="11" fillId="0" borderId="0" xfId="1" applyNumberFormat="1" applyFont="1" applyFill="1" applyBorder="1" applyAlignment="1">
      <alignment horizontal="right"/>
    </xf>
    <xf numFmtId="189" fontId="11" fillId="0" borderId="0" xfId="1" applyNumberFormat="1" applyFont="1" applyFill="1" applyBorder="1" applyAlignment="1">
      <alignment horizontal="right"/>
    </xf>
    <xf numFmtId="4" fontId="11" fillId="0" borderId="0" xfId="1" applyNumberFormat="1" applyFont="1" applyFill="1" applyBorder="1" applyAlignment="1">
      <alignment horizontal="right"/>
    </xf>
    <xf numFmtId="189" fontId="11" fillId="0" borderId="0" xfId="1" applyNumberFormat="1" applyFont="1" applyFill="1" applyBorder="1" applyAlignment="1">
      <alignment horizontal="center"/>
    </xf>
    <xf numFmtId="189" fontId="15" fillId="0" borderId="0" xfId="0" applyNumberFormat="1" applyFont="1" applyFill="1"/>
    <xf numFmtId="213" fontId="12" fillId="0" borderId="0" xfId="1" applyNumberFormat="1" applyFont="1" applyFill="1" applyAlignment="1"/>
    <xf numFmtId="210" fontId="12" fillId="0" borderId="0" xfId="1" applyNumberFormat="1" applyFont="1" applyFill="1" applyAlignment="1"/>
    <xf numFmtId="210" fontId="12" fillId="0" borderId="0" xfId="0" applyNumberFormat="1" applyFont="1" applyFill="1"/>
    <xf numFmtId="189" fontId="9" fillId="0" borderId="0" xfId="0" applyNumberFormat="1" applyFont="1" applyFill="1" applyBorder="1" applyAlignment="1"/>
    <xf numFmtId="189" fontId="10" fillId="0" borderId="0" xfId="0" applyNumberFormat="1" applyFont="1" applyFill="1" applyAlignment="1">
      <alignment vertical="center"/>
    </xf>
    <xf numFmtId="189" fontId="10" fillId="0" borderId="0" xfId="0" applyNumberFormat="1" applyFont="1" applyFill="1"/>
    <xf numFmtId="189" fontId="26" fillId="0" borderId="0" xfId="0" applyNumberFormat="1" applyFont="1" applyFill="1" applyAlignment="1"/>
    <xf numFmtId="4" fontId="10" fillId="0" borderId="0" xfId="0" applyNumberFormat="1" applyFont="1" applyFill="1"/>
    <xf numFmtId="210" fontId="10" fillId="0" borderId="0" xfId="0" applyNumberFormat="1" applyFont="1" applyFill="1" applyAlignment="1"/>
    <xf numFmtId="210" fontId="10" fillId="0" borderId="0" xfId="0" applyNumberFormat="1" applyFont="1" applyFill="1" applyAlignment="1">
      <alignment horizontal="center"/>
    </xf>
    <xf numFmtId="222" fontId="10" fillId="0" borderId="0" xfId="0" applyNumberFormat="1" applyFont="1" applyFill="1" applyAlignment="1">
      <alignment horizontal="center"/>
    </xf>
    <xf numFmtId="210" fontId="26" fillId="0" borderId="0" xfId="0" applyNumberFormat="1" applyFont="1" applyFill="1" applyAlignment="1"/>
    <xf numFmtId="189" fontId="12" fillId="0" borderId="0" xfId="0" applyNumberFormat="1" applyFont="1" applyFill="1" applyAlignment="1"/>
    <xf numFmtId="210" fontId="8" fillId="0" borderId="0" xfId="0" applyNumberFormat="1" applyFont="1" applyFill="1"/>
    <xf numFmtId="212" fontId="8" fillId="0" borderId="0" xfId="0" applyNumberFormat="1" applyFont="1" applyFill="1"/>
    <xf numFmtId="210" fontId="12" fillId="0" borderId="0" xfId="0" applyNumberFormat="1" applyFont="1" applyFill="1" applyAlignment="1"/>
    <xf numFmtId="3" fontId="9" fillId="0" borderId="0" xfId="1" applyNumberFormat="1" applyFont="1" applyFill="1" applyAlignment="1"/>
    <xf numFmtId="213" fontId="12" fillId="0" borderId="0" xfId="0" applyNumberFormat="1" applyFont="1" applyFill="1"/>
    <xf numFmtId="213" fontId="12" fillId="0" borderId="0" xfId="0" applyNumberFormat="1" applyFont="1" applyFill="1" applyAlignment="1"/>
    <xf numFmtId="213" fontId="12" fillId="0" borderId="0" xfId="0" applyNumberFormat="1" applyFont="1" applyFill="1" applyAlignment="1">
      <alignment horizontal="center"/>
    </xf>
    <xf numFmtId="3" fontId="12" fillId="0" borderId="0" xfId="1" applyNumberFormat="1" applyFont="1" applyFill="1" applyAlignment="1"/>
    <xf numFmtId="189" fontId="12" fillId="0" borderId="0" xfId="0" applyNumberFormat="1" applyFont="1" applyFill="1" applyAlignment="1">
      <alignment horizontal="left"/>
    </xf>
    <xf numFmtId="189" fontId="12" fillId="0" borderId="0" xfId="0" applyNumberFormat="1" applyFont="1" applyFill="1" applyAlignment="1">
      <alignment horizontal="right"/>
    </xf>
    <xf numFmtId="203" fontId="11" fillId="0" borderId="11" xfId="0" applyNumberFormat="1" applyFont="1" applyFill="1" applyBorder="1" applyAlignment="1">
      <alignment horizontal="center" vertical="center"/>
    </xf>
    <xf numFmtId="0" fontId="97" fillId="0" borderId="0" xfId="0" applyFont="1" applyFill="1" applyAlignment="1">
      <alignment vertical="center"/>
    </xf>
    <xf numFmtId="204" fontId="11" fillId="0" borderId="9" xfId="0" applyNumberFormat="1" applyFont="1" applyFill="1" applyBorder="1" applyAlignment="1">
      <alignment horizontal="center" vertical="center"/>
    </xf>
    <xf numFmtId="203" fontId="11" fillId="0" borderId="11" xfId="0" applyNumberFormat="1" applyFont="1" applyFill="1" applyBorder="1" applyAlignment="1">
      <alignment vertical="center"/>
    </xf>
    <xf numFmtId="203" fontId="7" fillId="0" borderId="4" xfId="0" applyNumberFormat="1" applyFont="1" applyFill="1" applyBorder="1" applyAlignment="1">
      <alignment horizontal="left" vertical="center" wrapText="1"/>
    </xf>
    <xf numFmtId="204" fontId="11" fillId="0" borderId="4" xfId="0" applyNumberFormat="1" applyFont="1" applyFill="1" applyBorder="1" applyAlignment="1">
      <alignment horizontal="center" vertical="center"/>
    </xf>
    <xf numFmtId="203" fontId="11" fillId="0" borderId="4" xfId="0" applyNumberFormat="1" applyFont="1" applyFill="1" applyBorder="1" applyAlignment="1">
      <alignment horizontal="right" vertical="center"/>
    </xf>
    <xf numFmtId="205" fontId="7" fillId="0" borderId="4" xfId="1" applyNumberFormat="1" applyFont="1" applyFill="1" applyBorder="1" applyAlignment="1">
      <alignment horizontal="center" vertical="center"/>
    </xf>
    <xf numFmtId="196" fontId="7" fillId="0" borderId="4" xfId="1" applyNumberFormat="1" applyFont="1" applyFill="1" applyBorder="1" applyAlignment="1">
      <alignment horizontal="right" vertical="center"/>
    </xf>
    <xf numFmtId="196" fontId="7" fillId="0" borderId="4" xfId="1" applyNumberFormat="1" applyFont="1" applyFill="1" applyBorder="1" applyAlignment="1">
      <alignment horizontal="right" vertical="center" shrinkToFit="1"/>
    </xf>
    <xf numFmtId="203" fontId="11" fillId="0" borderId="4" xfId="0" applyNumberFormat="1" applyFont="1" applyFill="1" applyBorder="1" applyAlignment="1">
      <alignment horizontal="left" vertical="center"/>
    </xf>
    <xf numFmtId="203" fontId="7" fillId="0" borderId="4" xfId="0" applyNumberFormat="1" applyFont="1" applyFill="1" applyBorder="1" applyAlignment="1">
      <alignment horizontal="right" vertical="center"/>
    </xf>
    <xf numFmtId="0" fontId="7" fillId="0" borderId="4" xfId="0" applyFont="1" applyFill="1" applyBorder="1" applyAlignment="1">
      <alignment horizontal="right" vertical="center"/>
    </xf>
    <xf numFmtId="203" fontId="7" fillId="0" borderId="4" xfId="0" applyNumberFormat="1" applyFont="1" applyFill="1" applyBorder="1" applyAlignment="1">
      <alignment horizontal="left" vertical="center"/>
    </xf>
    <xf numFmtId="203" fontId="7" fillId="0" borderId="0" xfId="0" applyNumberFormat="1" applyFont="1" applyFill="1" applyAlignment="1">
      <alignment vertical="center"/>
    </xf>
    <xf numFmtId="203" fontId="100" fillId="0" borderId="4" xfId="0" applyNumberFormat="1" applyFont="1" applyFill="1" applyBorder="1" applyAlignment="1">
      <alignment horizontal="left" vertical="center"/>
    </xf>
    <xf numFmtId="203" fontId="137" fillId="0" borderId="4" xfId="0" applyNumberFormat="1" applyFont="1" applyFill="1" applyBorder="1" applyAlignment="1">
      <alignment horizontal="right" vertical="center"/>
    </xf>
    <xf numFmtId="203" fontId="28" fillId="0" borderId="11" xfId="0" applyNumberFormat="1" applyFont="1" applyFill="1" applyBorder="1" applyAlignment="1">
      <alignment horizontal="right" vertical="center"/>
    </xf>
    <xf numFmtId="203" fontId="97" fillId="0" borderId="0" xfId="0" applyNumberFormat="1" applyFont="1" applyFill="1" applyAlignment="1">
      <alignment vertical="center"/>
    </xf>
    <xf numFmtId="0" fontId="6" fillId="0" borderId="0" xfId="0" applyFont="1" applyFill="1" applyAlignment="1">
      <alignment vertical="center"/>
    </xf>
    <xf numFmtId="203" fontId="7" fillId="0" borderId="4" xfId="0" applyNumberFormat="1" applyFont="1" applyFill="1" applyBorder="1" applyAlignment="1">
      <alignment vertical="center"/>
    </xf>
    <xf numFmtId="203" fontId="11" fillId="0" borderId="0" xfId="0" applyNumberFormat="1" applyFont="1" applyFill="1" applyBorder="1" applyAlignment="1">
      <alignment vertical="center"/>
    </xf>
    <xf numFmtId="203" fontId="139" fillId="0" borderId="0" xfId="0" applyNumberFormat="1" applyFont="1" applyFill="1" applyBorder="1" applyAlignment="1">
      <alignment horizontal="center" vertical="center"/>
    </xf>
    <xf numFmtId="0" fontId="140" fillId="0" borderId="0" xfId="0" applyFont="1" applyFill="1" applyAlignment="1">
      <alignment vertical="center"/>
    </xf>
    <xf numFmtId="203" fontId="7" fillId="0" borderId="0" xfId="0" applyNumberFormat="1" applyFont="1" applyFill="1" applyBorder="1" applyAlignment="1">
      <alignment vertical="center"/>
    </xf>
    <xf numFmtId="203" fontId="7" fillId="0" borderId="0" xfId="0" applyNumberFormat="1" applyFont="1" applyFill="1" applyBorder="1" applyAlignment="1">
      <alignment horizontal="center" vertical="center"/>
    </xf>
    <xf numFmtId="203" fontId="28" fillId="0" borderId="0" xfId="0" applyNumberFormat="1" applyFont="1" applyFill="1" applyBorder="1" applyAlignment="1">
      <alignment horizontal="right" vertical="center"/>
    </xf>
    <xf numFmtId="203" fontId="23" fillId="0" borderId="0" xfId="0" applyNumberFormat="1" applyFont="1" applyFill="1" applyBorder="1" applyAlignment="1">
      <alignment horizontal="center" vertical="center"/>
    </xf>
    <xf numFmtId="203" fontId="28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203" fontId="7" fillId="0" borderId="0" xfId="0" applyNumberFormat="1" applyFont="1" applyFill="1" applyBorder="1" applyAlignment="1">
      <alignment horizontal="left" vertical="center"/>
    </xf>
    <xf numFmtId="0" fontId="7" fillId="0" borderId="0" xfId="0" applyFont="1" applyFill="1" applyBorder="1" applyAlignment="1">
      <alignment vertical="center"/>
    </xf>
    <xf numFmtId="203" fontId="44" fillId="0" borderId="0" xfId="0" applyNumberFormat="1" applyFont="1" applyFill="1" applyBorder="1" applyAlignment="1">
      <alignment horizontal="center" vertical="center"/>
    </xf>
    <xf numFmtId="203" fontId="11" fillId="0" borderId="0" xfId="1" applyNumberFormat="1" applyFont="1" applyFill="1" applyBorder="1" applyAlignment="1">
      <alignment horizontal="center" vertical="center"/>
    </xf>
    <xf numFmtId="204" fontId="11" fillId="0" borderId="0" xfId="0" applyNumberFormat="1" applyFont="1" applyFill="1" applyBorder="1" applyAlignment="1">
      <alignment horizontal="center" vertical="center"/>
    </xf>
    <xf numFmtId="203" fontId="141" fillId="0" borderId="0" xfId="0" applyNumberFormat="1" applyFont="1" applyFill="1" applyBorder="1" applyAlignment="1">
      <alignment horizontal="center" vertical="center"/>
    </xf>
    <xf numFmtId="203" fontId="7" fillId="0" borderId="0" xfId="0" applyNumberFormat="1" applyFont="1" applyFill="1" applyBorder="1" applyAlignment="1">
      <alignment vertical="center" wrapText="1"/>
    </xf>
    <xf numFmtId="205" fontId="11" fillId="0" borderId="0" xfId="1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96" fontId="97" fillId="0" borderId="0" xfId="1" applyNumberFormat="1" applyFont="1" applyFill="1" applyAlignment="1">
      <alignment vertical="center"/>
    </xf>
    <xf numFmtId="196" fontId="7" fillId="0" borderId="0" xfId="1" applyNumberFormat="1" applyFont="1" applyFill="1" applyAlignment="1">
      <alignment vertical="center"/>
    </xf>
    <xf numFmtId="203" fontId="11" fillId="0" borderId="0" xfId="0" applyNumberFormat="1" applyFont="1" applyFill="1" applyBorder="1" applyAlignment="1">
      <alignment horizontal="left" vertical="center"/>
    </xf>
    <xf numFmtId="203" fontId="23" fillId="0" borderId="0" xfId="0" applyNumberFormat="1" applyFont="1" applyFill="1" applyBorder="1" applyAlignment="1">
      <alignment horizontal="right" vertical="center"/>
    </xf>
    <xf numFmtId="203" fontId="28" fillId="0" borderId="25" xfId="0" applyNumberFormat="1" applyFont="1" applyFill="1" applyBorder="1" applyAlignment="1">
      <alignment horizontal="right" vertical="center"/>
    </xf>
    <xf numFmtId="204" fontId="11" fillId="0" borderId="24" xfId="0" applyNumberFormat="1" applyFont="1" applyFill="1" applyBorder="1" applyAlignment="1">
      <alignment horizontal="center" vertical="center"/>
    </xf>
    <xf numFmtId="203" fontId="141" fillId="0" borderId="19" xfId="0" applyNumberFormat="1" applyFont="1" applyFill="1" applyBorder="1" applyAlignment="1">
      <alignment horizontal="center" vertical="center"/>
    </xf>
    <xf numFmtId="203" fontId="100" fillId="0" borderId="0" xfId="0" applyNumberFormat="1" applyFont="1" applyFill="1" applyBorder="1" applyAlignment="1">
      <alignment horizontal="left" vertical="center"/>
    </xf>
    <xf numFmtId="203" fontId="100" fillId="0" borderId="0" xfId="0" applyNumberFormat="1" applyFont="1" applyFill="1" applyBorder="1" applyAlignment="1">
      <alignment vertical="center"/>
    </xf>
    <xf numFmtId="203" fontId="137" fillId="0" borderId="0" xfId="0" applyNumberFormat="1" applyFont="1" applyFill="1" applyBorder="1" applyAlignment="1">
      <alignment horizontal="right" vertical="center"/>
    </xf>
    <xf numFmtId="203" fontId="137" fillId="0" borderId="25" xfId="0" applyNumberFormat="1" applyFont="1" applyFill="1" applyBorder="1" applyAlignment="1">
      <alignment horizontal="right" vertical="center"/>
    </xf>
    <xf numFmtId="196" fontId="7" fillId="0" borderId="0" xfId="0" applyNumberFormat="1" applyFont="1" applyFill="1" applyAlignment="1">
      <alignment vertical="center"/>
    </xf>
    <xf numFmtId="0" fontId="6" fillId="0" borderId="4" xfId="0" applyFont="1" applyFill="1" applyBorder="1" applyAlignment="1">
      <alignment vertical="center"/>
    </xf>
    <xf numFmtId="203" fontId="11" fillId="0" borderId="4" xfId="0" applyNumberFormat="1" applyFont="1" applyFill="1" applyBorder="1" applyAlignment="1">
      <alignment vertical="center"/>
    </xf>
    <xf numFmtId="203" fontId="11" fillId="0" borderId="22" xfId="0" applyNumberFormat="1" applyFont="1" applyFill="1" applyBorder="1" applyAlignment="1">
      <alignment horizontal="left" vertical="center"/>
    </xf>
    <xf numFmtId="203" fontId="23" fillId="0" borderId="22" xfId="0" applyNumberFormat="1" applyFont="1" applyFill="1" applyBorder="1" applyAlignment="1">
      <alignment horizontal="right" vertical="center"/>
    </xf>
    <xf numFmtId="203" fontId="28" fillId="0" borderId="22" xfId="0" applyNumberFormat="1" applyFont="1" applyFill="1" applyBorder="1" applyAlignment="1">
      <alignment horizontal="right" vertical="center"/>
    </xf>
    <xf numFmtId="0" fontId="6" fillId="0" borderId="22" xfId="0" applyFont="1" applyFill="1" applyBorder="1" applyAlignment="1">
      <alignment horizontal="center" vertical="center"/>
    </xf>
    <xf numFmtId="0" fontId="6" fillId="0" borderId="22" xfId="0" applyFont="1" applyFill="1" applyBorder="1" applyAlignment="1">
      <alignment vertical="center"/>
    </xf>
    <xf numFmtId="0" fontId="97" fillId="0" borderId="15" xfId="0" applyFont="1" applyFill="1" applyBorder="1" applyAlignment="1">
      <alignment vertical="center"/>
    </xf>
    <xf numFmtId="0" fontId="7" fillId="0" borderId="15" xfId="0" applyFont="1" applyFill="1" applyBorder="1" applyAlignment="1">
      <alignment vertical="center"/>
    </xf>
    <xf numFmtId="0" fontId="97" fillId="0" borderId="0" xfId="0" applyFont="1" applyFill="1" applyBorder="1" applyAlignment="1">
      <alignment vertical="center"/>
    </xf>
    <xf numFmtId="203" fontId="28" fillId="0" borderId="4" xfId="0" applyNumberFormat="1" applyFont="1" applyFill="1" applyBorder="1" applyAlignment="1">
      <alignment horizontal="right" vertical="center"/>
    </xf>
    <xf numFmtId="203" fontId="7" fillId="0" borderId="4" xfId="0" applyNumberFormat="1" applyFont="1" applyFill="1" applyBorder="1" applyAlignment="1">
      <alignment horizontal="center" vertical="center"/>
    </xf>
    <xf numFmtId="196" fontId="97" fillId="0" borderId="0" xfId="0" applyNumberFormat="1" applyFont="1" applyFill="1" applyAlignment="1">
      <alignment vertical="center"/>
    </xf>
    <xf numFmtId="0" fontId="7" fillId="0" borderId="4" xfId="0" applyFont="1" applyFill="1" applyBorder="1" applyAlignment="1">
      <alignment vertical="center"/>
    </xf>
    <xf numFmtId="0" fontId="6" fillId="0" borderId="4" xfId="0" applyFont="1" applyFill="1" applyBorder="1" applyAlignment="1">
      <alignment horizontal="center" vertical="center"/>
    </xf>
    <xf numFmtId="1" fontId="7" fillId="0" borderId="0" xfId="0" applyNumberFormat="1" applyFont="1" applyFill="1" applyAlignment="1">
      <alignment vertical="center"/>
    </xf>
    <xf numFmtId="43" fontId="7" fillId="0" borderId="0" xfId="0" applyNumberFormat="1" applyFont="1" applyFill="1" applyAlignment="1">
      <alignment vertical="center"/>
    </xf>
    <xf numFmtId="203" fontId="141" fillId="0" borderId="4" xfId="0" applyNumberFormat="1" applyFont="1" applyFill="1" applyBorder="1" applyAlignment="1">
      <alignment horizontal="center" vertical="center"/>
    </xf>
    <xf numFmtId="203" fontId="23" fillId="0" borderId="4" xfId="0" applyNumberFormat="1" applyFont="1" applyFill="1" applyBorder="1" applyAlignment="1">
      <alignment horizontal="center" vertical="center"/>
    </xf>
    <xf numFmtId="203" fontId="28" fillId="0" borderId="4" xfId="0" applyNumberFormat="1" applyFont="1" applyFill="1" applyBorder="1" applyAlignment="1">
      <alignment horizontal="center" vertical="center"/>
    </xf>
    <xf numFmtId="203" fontId="7" fillId="0" borderId="14" xfId="0" applyNumberFormat="1" applyFont="1" applyFill="1" applyBorder="1" applyAlignment="1">
      <alignment horizontal="left" vertical="center" wrapText="1"/>
    </xf>
    <xf numFmtId="203" fontId="7" fillId="0" borderId="22" xfId="0" applyNumberFormat="1" applyFont="1" applyFill="1" applyBorder="1" applyAlignment="1">
      <alignment horizontal="left" vertical="center" wrapText="1"/>
    </xf>
    <xf numFmtId="203" fontId="11" fillId="0" borderId="19" xfId="0" applyNumberFormat="1" applyFont="1" applyFill="1" applyBorder="1" applyAlignment="1">
      <alignment horizontal="right" vertical="center"/>
    </xf>
    <xf numFmtId="203" fontId="11" fillId="0" borderId="14" xfId="0" applyNumberFormat="1" applyFont="1" applyFill="1" applyBorder="1" applyAlignment="1">
      <alignment vertical="center"/>
    </xf>
    <xf numFmtId="203" fontId="23" fillId="0" borderId="22" xfId="0" applyNumberFormat="1" applyFont="1" applyFill="1" applyBorder="1" applyAlignment="1">
      <alignment horizontal="center" vertical="center"/>
    </xf>
    <xf numFmtId="203" fontId="28" fillId="0" borderId="22" xfId="0" applyNumberFormat="1" applyFont="1" applyFill="1" applyBorder="1" applyAlignment="1">
      <alignment horizontal="center" vertical="center"/>
    </xf>
    <xf numFmtId="203" fontId="28" fillId="0" borderId="19" xfId="0" applyNumberFormat="1" applyFont="1" applyFill="1" applyBorder="1" applyAlignment="1">
      <alignment horizontal="right" vertical="center"/>
    </xf>
    <xf numFmtId="203" fontId="11" fillId="0" borderId="22" xfId="0" applyNumberFormat="1" applyFont="1" applyFill="1" applyBorder="1" applyAlignment="1">
      <alignment vertical="center"/>
    </xf>
    <xf numFmtId="203" fontId="7" fillId="0" borderId="14" xfId="0" applyNumberFormat="1" applyFont="1" applyFill="1" applyBorder="1" applyAlignment="1">
      <alignment vertical="center"/>
    </xf>
    <xf numFmtId="0" fontId="7" fillId="0" borderId="22" xfId="0" applyFont="1" applyFill="1" applyBorder="1" applyAlignment="1">
      <alignment vertical="center"/>
    </xf>
    <xf numFmtId="203" fontId="11" fillId="0" borderId="19" xfId="0" applyNumberFormat="1" applyFont="1" applyFill="1" applyBorder="1" applyAlignment="1">
      <alignment vertical="center"/>
    </xf>
    <xf numFmtId="0" fontId="6" fillId="0" borderId="14" xfId="0" applyFont="1" applyFill="1" applyBorder="1" applyAlignment="1">
      <alignment vertical="center"/>
    </xf>
    <xf numFmtId="0" fontId="6" fillId="0" borderId="19" xfId="0" applyFont="1" applyFill="1" applyBorder="1" applyAlignment="1">
      <alignment vertical="center"/>
    </xf>
    <xf numFmtId="189" fontId="26" fillId="0" borderId="0" xfId="0" applyNumberFormat="1" applyFont="1" applyFill="1" applyBorder="1" applyAlignment="1">
      <alignment horizontal="center" vertical="center"/>
    </xf>
    <xf numFmtId="189" fontId="80" fillId="0" borderId="0" xfId="0" applyNumberFormat="1" applyFont="1" applyFill="1" applyBorder="1" applyAlignment="1">
      <alignment horizontal="left" vertical="center"/>
    </xf>
    <xf numFmtId="189" fontId="80" fillId="0" borderId="0" xfId="0" applyNumberFormat="1" applyFont="1" applyFill="1" applyBorder="1" applyAlignment="1">
      <alignment vertical="center"/>
    </xf>
    <xf numFmtId="0" fontId="11" fillId="0" borderId="19" xfId="0" applyFont="1" applyFill="1" applyBorder="1" applyAlignment="1">
      <alignment vertical="center"/>
    </xf>
    <xf numFmtId="196" fontId="61" fillId="0" borderId="0" xfId="1" applyNumberFormat="1" applyFont="1"/>
    <xf numFmtId="1" fontId="130" fillId="0" borderId="0" xfId="1" applyNumberFormat="1" applyFont="1" applyFill="1" applyBorder="1" applyAlignment="1">
      <alignment horizontal="center" vertical="center"/>
    </xf>
    <xf numFmtId="1" fontId="80" fillId="0" borderId="0" xfId="1" applyNumberFormat="1" applyFont="1" applyFill="1" applyAlignment="1">
      <alignment horizontal="center" vertical="center"/>
    </xf>
    <xf numFmtId="0" fontId="153" fillId="0" borderId="4" xfId="20" applyFont="1" applyFill="1" applyBorder="1" applyAlignment="1" applyProtection="1">
      <alignment horizontal="center" vertical="center"/>
    </xf>
    <xf numFmtId="0" fontId="154" fillId="0" borderId="28" xfId="0" applyFont="1" applyFill="1" applyBorder="1" applyAlignment="1">
      <alignment horizontal="center" vertical="center"/>
    </xf>
    <xf numFmtId="196" fontId="93" fillId="0" borderId="4" xfId="1" applyNumberFormat="1" applyFont="1" applyFill="1" applyBorder="1" applyAlignment="1">
      <alignment horizontal="left" vertical="center"/>
    </xf>
    <xf numFmtId="1" fontId="93" fillId="0" borderId="4" xfId="1" applyNumberFormat="1" applyFont="1" applyFill="1" applyBorder="1" applyAlignment="1">
      <alignment vertical="center"/>
    </xf>
    <xf numFmtId="0" fontId="107" fillId="0" borderId="19" xfId="0" applyFont="1" applyFill="1" applyBorder="1" applyAlignment="1">
      <alignment horizontal="center" vertical="center"/>
    </xf>
    <xf numFmtId="0" fontId="136" fillId="0" borderId="4" xfId="0" applyFont="1" applyFill="1" applyBorder="1" applyAlignment="1">
      <alignment horizontal="right"/>
    </xf>
    <xf numFmtId="197" fontId="135" fillId="0" borderId="4" xfId="0" applyNumberFormat="1" applyFont="1" applyFill="1" applyBorder="1" applyAlignment="1">
      <alignment vertical="center"/>
    </xf>
    <xf numFmtId="1" fontId="107" fillId="0" borderId="4" xfId="1" applyNumberFormat="1" applyFont="1" applyFill="1" applyBorder="1" applyAlignment="1">
      <alignment horizontal="left" vertical="center"/>
    </xf>
    <xf numFmtId="3" fontId="93" fillId="0" borderId="4" xfId="5" applyNumberFormat="1" applyFont="1" applyFill="1" applyBorder="1" applyAlignment="1">
      <alignment horizontal="center" vertical="top" wrapText="1"/>
    </xf>
    <xf numFmtId="197" fontId="11" fillId="0" borderId="4" xfId="1" applyNumberFormat="1" applyFont="1" applyFill="1" applyBorder="1" applyAlignment="1">
      <alignment vertical="center" wrapText="1"/>
    </xf>
    <xf numFmtId="0" fontId="101" fillId="0" borderId="4" xfId="13" applyFont="1" applyFill="1" applyBorder="1" applyAlignment="1">
      <alignment vertical="center"/>
    </xf>
    <xf numFmtId="0" fontId="101" fillId="0" borderId="4" xfId="12" applyFont="1" applyFill="1" applyBorder="1" applyAlignment="1">
      <alignment vertical="center"/>
    </xf>
    <xf numFmtId="1" fontId="156" fillId="0" borderId="0" xfId="1" applyNumberFormat="1" applyFont="1" applyFill="1" applyBorder="1" applyAlignment="1">
      <alignment horizontal="center" vertical="center"/>
    </xf>
    <xf numFmtId="1" fontId="156" fillId="0" borderId="0" xfId="1" applyNumberFormat="1" applyFont="1" applyFill="1" applyBorder="1" applyAlignment="1">
      <alignment vertical="center"/>
    </xf>
    <xf numFmtId="1" fontId="128" fillId="0" borderId="4" xfId="1" applyNumberFormat="1" applyFont="1" applyFill="1" applyBorder="1" applyAlignment="1">
      <alignment horizontal="center" vertical="center"/>
    </xf>
    <xf numFmtId="1" fontId="157" fillId="0" borderId="4" xfId="1" applyNumberFormat="1" applyFont="1" applyFill="1" applyBorder="1" applyAlignment="1">
      <alignment vertical="center"/>
    </xf>
    <xf numFmtId="1" fontId="157" fillId="0" borderId="4" xfId="1" applyNumberFormat="1" applyFont="1" applyFill="1" applyBorder="1" applyAlignment="1">
      <alignment horizontal="right" vertical="center"/>
    </xf>
    <xf numFmtId="1" fontId="157" fillId="0" borderId="4" xfId="1" applyNumberFormat="1" applyFont="1" applyFill="1" applyBorder="1" applyAlignment="1">
      <alignment horizontal="center" vertical="center"/>
    </xf>
    <xf numFmtId="1" fontId="158" fillId="0" borderId="4" xfId="1" applyNumberFormat="1" applyFont="1" applyFill="1" applyBorder="1" applyAlignment="1">
      <alignment horizontal="center" vertical="center"/>
    </xf>
    <xf numFmtId="1" fontId="129" fillId="0" borderId="4" xfId="1" applyNumberFormat="1" applyFont="1" applyFill="1" applyBorder="1" applyAlignment="1">
      <alignment horizontal="center" vertical="center"/>
    </xf>
    <xf numFmtId="1" fontId="158" fillId="0" borderId="4" xfId="1" applyNumberFormat="1" applyFont="1" applyFill="1" applyBorder="1" applyAlignment="1">
      <alignment horizontal="right" vertical="center"/>
    </xf>
    <xf numFmtId="1" fontId="129" fillId="0" borderId="4" xfId="1" applyNumberFormat="1" applyFont="1" applyFill="1" applyBorder="1" applyAlignment="1">
      <alignment horizontal="right" vertical="center" wrapText="1"/>
    </xf>
    <xf numFmtId="2" fontId="129" fillId="0" borderId="4" xfId="1" applyNumberFormat="1" applyFont="1" applyFill="1" applyBorder="1" applyAlignment="1">
      <alignment horizontal="right" vertical="center" wrapText="1"/>
    </xf>
    <xf numFmtId="212" fontId="129" fillId="0" borderId="4" xfId="1" applyNumberFormat="1" applyFont="1" applyFill="1" applyBorder="1" applyAlignment="1">
      <alignment horizontal="right" vertical="center" wrapText="1"/>
    </xf>
    <xf numFmtId="1" fontId="128" fillId="0" borderId="4" xfId="1" applyNumberFormat="1" applyFont="1" applyFill="1" applyBorder="1" applyAlignment="1">
      <alignment horizontal="center" vertical="center" wrapText="1"/>
    </xf>
    <xf numFmtId="1" fontId="129" fillId="0" borderId="4" xfId="1" applyNumberFormat="1" applyFont="1" applyFill="1" applyBorder="1" applyAlignment="1">
      <alignment horizontal="right" vertical="center"/>
    </xf>
    <xf numFmtId="1" fontId="129" fillId="0" borderId="4" xfId="1" applyNumberFormat="1" applyFont="1" applyFill="1" applyBorder="1" applyAlignment="1">
      <alignment vertical="center"/>
    </xf>
    <xf numFmtId="196" fontId="129" fillId="0" borderId="4" xfId="1" applyNumberFormat="1" applyFont="1" applyFill="1" applyBorder="1" applyAlignment="1">
      <alignment horizontal="center" vertical="center"/>
    </xf>
    <xf numFmtId="196" fontId="129" fillId="0" borderId="4" xfId="1" applyNumberFormat="1" applyFont="1" applyFill="1" applyBorder="1" applyAlignment="1">
      <alignment horizontal="right" vertical="center"/>
    </xf>
    <xf numFmtId="1" fontId="128" fillId="0" borderId="4" xfId="1" applyNumberFormat="1" applyFont="1" applyFill="1" applyBorder="1" applyAlignment="1">
      <alignment vertical="center"/>
    </xf>
    <xf numFmtId="1" fontId="115" fillId="0" borderId="0" xfId="1" applyNumberFormat="1" applyFont="1" applyFill="1" applyAlignment="1">
      <alignment vertical="center"/>
    </xf>
    <xf numFmtId="196" fontId="99" fillId="0" borderId="4" xfId="1" applyNumberFormat="1" applyFont="1" applyFill="1" applyBorder="1" applyAlignment="1">
      <alignment horizontal="right"/>
    </xf>
    <xf numFmtId="0" fontId="11" fillId="0" borderId="4" xfId="0" applyFont="1" applyFill="1" applyBorder="1" applyAlignment="1">
      <alignment horizontal="left"/>
    </xf>
    <xf numFmtId="0" fontId="3" fillId="0" borderId="0" xfId="0" applyFont="1" applyAlignment="1"/>
    <xf numFmtId="189" fontId="107" fillId="0" borderId="4" xfId="5" applyNumberFormat="1" applyFont="1" applyFill="1" applyBorder="1" applyAlignment="1">
      <alignment vertical="center"/>
    </xf>
    <xf numFmtId="189" fontId="26" fillId="0" borderId="0" xfId="0" applyNumberFormat="1" applyFont="1" applyFill="1" applyBorder="1" applyAlignment="1">
      <alignment horizontal="center"/>
    </xf>
    <xf numFmtId="189" fontId="93" fillId="0" borderId="0" xfId="1" applyNumberFormat="1" applyFont="1" applyFill="1" applyAlignment="1"/>
    <xf numFmtId="196" fontId="26" fillId="0" borderId="4" xfId="1" applyNumberFormat="1" applyFont="1" applyFill="1" applyBorder="1" applyAlignment="1">
      <alignment horizontal="center" vertical="center" wrapText="1"/>
    </xf>
    <xf numFmtId="189" fontId="26" fillId="0" borderId="4" xfId="1" applyNumberFormat="1" applyFont="1" applyFill="1" applyBorder="1" applyAlignment="1">
      <alignment horizontal="right" vertical="center" shrinkToFit="1"/>
    </xf>
    <xf numFmtId="189" fontId="80" fillId="0" borderId="4" xfId="0" quotePrefix="1" applyNumberFormat="1" applyFont="1" applyFill="1" applyBorder="1" applyAlignment="1">
      <alignment horizontal="left" vertical="center"/>
    </xf>
    <xf numFmtId="0" fontId="80" fillId="0" borderId="4" xfId="0" applyFont="1" applyFill="1" applyBorder="1" applyAlignment="1">
      <alignment vertical="center" wrapText="1"/>
    </xf>
    <xf numFmtId="197" fontId="80" fillId="0" borderId="4" xfId="1" applyNumberFormat="1" applyFont="1" applyFill="1" applyBorder="1" applyAlignment="1">
      <alignment vertical="center" shrinkToFit="1"/>
    </xf>
    <xf numFmtId="189" fontId="80" fillId="0" borderId="4" xfId="1" applyNumberFormat="1" applyFont="1" applyFill="1" applyBorder="1" applyAlignment="1">
      <alignment vertical="center" shrinkToFit="1"/>
    </xf>
    <xf numFmtId="205" fontId="80" fillId="0" borderId="4" xfId="6" applyNumberFormat="1" applyFont="1" applyFill="1" applyBorder="1" applyAlignment="1">
      <alignment horizontal="left" vertical="center" wrapText="1"/>
    </xf>
    <xf numFmtId="0" fontId="26" fillId="0" borderId="4" xfId="0" applyFont="1" applyFill="1" applyBorder="1" applyAlignment="1">
      <alignment horizontal="right"/>
    </xf>
    <xf numFmtId="189" fontId="104" fillId="0" borderId="4" xfId="1" applyNumberFormat="1" applyFont="1" applyFill="1" applyBorder="1" applyAlignment="1">
      <alignment horizontal="right" vertical="center" shrinkToFit="1"/>
    </xf>
    <xf numFmtId="196" fontId="26" fillId="0" borderId="4" xfId="0" applyNumberFormat="1" applyFont="1" applyFill="1" applyBorder="1" applyAlignment="1">
      <alignment horizontal="right" vertical="center"/>
    </xf>
    <xf numFmtId="0" fontId="159" fillId="0" borderId="4" xfId="0" applyFont="1" applyBorder="1" applyAlignment="1">
      <alignment horizontal="center" vertical="center" wrapText="1"/>
    </xf>
    <xf numFmtId="0" fontId="134" fillId="0" borderId="0" xfId="0" applyFont="1"/>
    <xf numFmtId="0" fontId="134" fillId="0" borderId="0" xfId="0" applyFont="1" applyAlignment="1">
      <alignment horizontal="center"/>
    </xf>
    <xf numFmtId="0" fontId="116" fillId="0" borderId="0" xfId="0" applyFont="1"/>
    <xf numFmtId="0" fontId="116" fillId="0" borderId="4" xfId="0" applyFont="1" applyBorder="1" applyAlignment="1">
      <alignment horizontal="center" vertical="center" wrapText="1"/>
    </xf>
    <xf numFmtId="196" fontId="116" fillId="0" borderId="4" xfId="1" applyNumberFormat="1" applyFont="1" applyBorder="1" applyAlignment="1">
      <alignment horizontal="right" vertical="center" wrapText="1"/>
    </xf>
    <xf numFmtId="198" fontId="43" fillId="0" borderId="0" xfId="1" applyNumberFormat="1" applyFont="1" applyFill="1" applyAlignment="1"/>
    <xf numFmtId="0" fontId="43" fillId="0" borderId="0" xfId="0" applyFont="1" applyFill="1" applyAlignment="1"/>
    <xf numFmtId="0" fontId="52" fillId="0" borderId="0" xfId="0" applyFont="1" applyFill="1" applyBorder="1" applyAlignment="1">
      <alignment vertical="center" shrinkToFit="1"/>
    </xf>
    <xf numFmtId="0" fontId="159" fillId="0" borderId="0" xfId="0" applyFont="1" applyAlignment="1">
      <alignment vertical="center"/>
    </xf>
    <xf numFmtId="0" fontId="116" fillId="0" borderId="4" xfId="0" applyFont="1" applyBorder="1" applyAlignment="1">
      <alignment vertical="center" wrapText="1"/>
    </xf>
    <xf numFmtId="196" fontId="116" fillId="0" borderId="4" xfId="1" applyNumberFormat="1" applyFont="1" applyBorder="1" applyAlignment="1">
      <alignment vertical="center" wrapText="1"/>
    </xf>
    <xf numFmtId="0" fontId="116" fillId="0" borderId="4" xfId="0" applyFont="1" applyBorder="1" applyAlignment="1">
      <alignment horizontal="center" vertical="center"/>
    </xf>
    <xf numFmtId="196" fontId="159" fillId="0" borderId="4" xfId="1" applyNumberFormat="1" applyFont="1" applyBorder="1" applyAlignment="1">
      <alignment horizontal="center" vertical="center"/>
    </xf>
    <xf numFmtId="196" fontId="159" fillId="0" borderId="4" xfId="1" applyNumberFormat="1" applyFont="1" applyBorder="1" applyAlignment="1">
      <alignment vertical="center"/>
    </xf>
    <xf numFmtId="196" fontId="116" fillId="0" borderId="4" xfId="1" applyNumberFormat="1" applyFont="1" applyBorder="1" applyAlignment="1">
      <alignment vertical="center"/>
    </xf>
    <xf numFmtId="0" fontId="7" fillId="0" borderId="4" xfId="0" applyFont="1" applyFill="1" applyBorder="1" applyAlignment="1">
      <alignment horizontal="center" vertical="center"/>
    </xf>
    <xf numFmtId="203" fontId="11" fillId="0" borderId="22" xfId="0" applyNumberFormat="1" applyFont="1" applyFill="1" applyBorder="1" applyAlignment="1">
      <alignment horizontal="center" vertical="center"/>
    </xf>
    <xf numFmtId="203" fontId="11" fillId="0" borderId="19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203" fontId="11" fillId="0" borderId="0" xfId="0" applyNumberFormat="1" applyFont="1" applyFill="1" applyBorder="1" applyAlignment="1">
      <alignment horizontal="center" vertical="center"/>
    </xf>
    <xf numFmtId="203" fontId="11" fillId="0" borderId="4" xfId="0" applyNumberFormat="1" applyFont="1" applyFill="1" applyBorder="1" applyAlignment="1">
      <alignment horizontal="center" vertical="center"/>
    </xf>
    <xf numFmtId="203" fontId="17" fillId="0" borderId="19" xfId="0" applyNumberFormat="1" applyFont="1" applyFill="1" applyBorder="1" applyAlignment="1">
      <alignment vertical="center"/>
    </xf>
    <xf numFmtId="203" fontId="162" fillId="0" borderId="11" xfId="0" applyNumberFormat="1" applyFont="1" applyFill="1" applyBorder="1" applyAlignment="1">
      <alignment vertical="center"/>
    </xf>
    <xf numFmtId="203" fontId="162" fillId="0" borderId="9" xfId="0" applyNumberFormat="1" applyFont="1" applyFill="1" applyBorder="1" applyAlignment="1">
      <alignment vertical="center" wrapText="1"/>
    </xf>
    <xf numFmtId="203" fontId="162" fillId="0" borderId="1" xfId="0" applyNumberFormat="1" applyFont="1" applyFill="1" applyBorder="1" applyAlignment="1">
      <alignment vertical="center" wrapText="1"/>
    </xf>
    <xf numFmtId="203" fontId="163" fillId="0" borderId="1" xfId="0" applyNumberFormat="1" applyFont="1" applyFill="1" applyBorder="1" applyAlignment="1">
      <alignment vertical="center"/>
    </xf>
    <xf numFmtId="203" fontId="162" fillId="0" borderId="1" xfId="0" applyNumberFormat="1" applyFont="1" applyFill="1" applyBorder="1" applyAlignment="1">
      <alignment horizontal="left" vertical="center"/>
    </xf>
    <xf numFmtId="203" fontId="162" fillId="0" borderId="1" xfId="0" applyNumberFormat="1" applyFont="1" applyFill="1" applyBorder="1" applyAlignment="1">
      <alignment vertical="center"/>
    </xf>
    <xf numFmtId="203" fontId="163" fillId="0" borderId="17" xfId="0" applyNumberFormat="1" applyFont="1" applyFill="1" applyBorder="1" applyAlignment="1">
      <alignment vertical="center"/>
    </xf>
    <xf numFmtId="0" fontId="152" fillId="0" borderId="6" xfId="0" applyFont="1" applyFill="1" applyBorder="1" applyAlignment="1">
      <alignment vertical="center"/>
    </xf>
    <xf numFmtId="0" fontId="65" fillId="0" borderId="4" xfId="0" applyFont="1" applyFill="1" applyBorder="1" applyAlignment="1">
      <alignment horizontal="center"/>
    </xf>
    <xf numFmtId="0" fontId="39" fillId="0" borderId="4" xfId="0" applyFont="1" applyFill="1" applyBorder="1" applyAlignment="1">
      <alignment horizontal="center"/>
    </xf>
    <xf numFmtId="0" fontId="65" fillId="0" borderId="10" xfId="0" applyFont="1" applyFill="1" applyBorder="1" applyAlignment="1">
      <alignment horizontal="center"/>
    </xf>
    <xf numFmtId="0" fontId="35" fillId="0" borderId="4" xfId="0" applyFont="1" applyFill="1" applyBorder="1" applyAlignment="1">
      <alignment horizontal="center"/>
    </xf>
    <xf numFmtId="210" fontId="35" fillId="0" borderId="4" xfId="7" applyNumberFormat="1" applyFont="1" applyFill="1" applyBorder="1" applyAlignment="1">
      <alignment horizontal="center"/>
    </xf>
    <xf numFmtId="209" fontId="39" fillId="5" borderId="4" xfId="7" applyNumberFormat="1" applyFont="1" applyFill="1" applyBorder="1" applyAlignment="1">
      <alignment horizontal="center"/>
    </xf>
    <xf numFmtId="210" fontId="68" fillId="5" borderId="4" xfId="0" applyNumberFormat="1" applyFont="1" applyFill="1" applyBorder="1"/>
    <xf numFmtId="209" fontId="64" fillId="5" borderId="4" xfId="7" applyNumberFormat="1" applyFont="1" applyFill="1" applyBorder="1" applyAlignment="1">
      <alignment horizontal="center"/>
    </xf>
    <xf numFmtId="209" fontId="59" fillId="5" borderId="4" xfId="7" applyNumberFormat="1" applyFont="1" applyFill="1" applyBorder="1" applyAlignment="1">
      <alignment horizontal="center"/>
    </xf>
    <xf numFmtId="210" fontId="142" fillId="5" borderId="4" xfId="0" applyNumberFormat="1" applyFont="1" applyFill="1" applyBorder="1"/>
    <xf numFmtId="0" fontId="159" fillId="0" borderId="4" xfId="0" applyFont="1" applyBorder="1" applyAlignment="1">
      <alignment horizontal="center" vertical="center"/>
    </xf>
    <xf numFmtId="0" fontId="26" fillId="0" borderId="4" xfId="0" applyFont="1" applyFill="1" applyBorder="1" applyAlignment="1">
      <alignment horizontal="center" vertical="center"/>
    </xf>
    <xf numFmtId="0" fontId="43" fillId="0" borderId="0" xfId="0" quotePrefix="1" applyFont="1" applyFill="1" applyAlignment="1"/>
    <xf numFmtId="0" fontId="116" fillId="0" borderId="0" xfId="0" applyFont="1" applyAlignment="1">
      <alignment horizontal="center"/>
    </xf>
    <xf numFmtId="0" fontId="116" fillId="0" borderId="4" xfId="0" applyFont="1" applyBorder="1"/>
    <xf numFmtId="0" fontId="159" fillId="0" borderId="4" xfId="0" applyFont="1" applyBorder="1" applyAlignment="1">
      <alignment vertical="center"/>
    </xf>
    <xf numFmtId="196" fontId="159" fillId="0" borderId="4" xfId="0" applyNumberFormat="1" applyFont="1" applyBorder="1" applyAlignment="1">
      <alignment vertical="center"/>
    </xf>
    <xf numFmtId="0" fontId="116" fillId="0" borderId="4" xfId="0" applyFont="1" applyBorder="1" applyAlignment="1">
      <alignment vertical="center"/>
    </xf>
    <xf numFmtId="0" fontId="114" fillId="0" borderId="0" xfId="0" applyFont="1" applyBorder="1" applyAlignment="1">
      <alignment horizontal="center" vertical="center"/>
    </xf>
    <xf numFmtId="0" fontId="104" fillId="0" borderId="0" xfId="0" applyFont="1" applyBorder="1" applyAlignment="1">
      <alignment horizontal="center" vertical="center"/>
    </xf>
    <xf numFmtId="1" fontId="11" fillId="0" borderId="4" xfId="0" applyNumberFormat="1" applyFont="1" applyFill="1" applyBorder="1" applyAlignment="1">
      <alignment horizontal="center" vertical="center"/>
    </xf>
    <xf numFmtId="199" fontId="11" fillId="0" borderId="10" xfId="0" applyNumberFormat="1" applyFont="1" applyFill="1" applyBorder="1" applyAlignment="1">
      <alignment horizontal="center" vertical="center" shrinkToFit="1"/>
    </xf>
    <xf numFmtId="1" fontId="11" fillId="0" borderId="11" xfId="0" applyNumberFormat="1" applyFont="1" applyFill="1" applyBorder="1" applyAlignment="1">
      <alignment horizontal="center" vertical="center"/>
    </xf>
    <xf numFmtId="2" fontId="136" fillId="0" borderId="4" xfId="0" applyNumberFormat="1" applyFont="1" applyFill="1" applyBorder="1" applyAlignment="1">
      <alignment horizontal="center" vertical="center"/>
    </xf>
    <xf numFmtId="0" fontId="107" fillId="4" borderId="19" xfId="0" applyFont="1" applyFill="1" applyBorder="1" applyAlignment="1">
      <alignment horizontal="center" vertical="center"/>
    </xf>
    <xf numFmtId="199" fontId="136" fillId="4" borderId="4" xfId="0" applyNumberFormat="1" applyFont="1" applyFill="1" applyBorder="1" applyAlignment="1">
      <alignment horizontal="center" vertical="center"/>
    </xf>
    <xf numFmtId="0" fontId="136" fillId="4" borderId="4" xfId="0" applyFont="1" applyFill="1" applyBorder="1" applyAlignment="1">
      <alignment horizontal="center"/>
    </xf>
    <xf numFmtId="0" fontId="136" fillId="4" borderId="4" xfId="0" applyFont="1" applyFill="1" applyBorder="1" applyAlignment="1">
      <alignment horizontal="right"/>
    </xf>
    <xf numFmtId="2" fontId="157" fillId="0" borderId="4" xfId="1" applyNumberFormat="1" applyFont="1" applyFill="1" applyBorder="1" applyAlignment="1">
      <alignment horizontal="right" vertical="center"/>
    </xf>
    <xf numFmtId="195" fontId="129" fillId="0" borderId="4" xfId="1" applyNumberFormat="1" applyFont="1" applyFill="1" applyBorder="1" applyAlignment="1">
      <alignment horizontal="right" vertical="center" wrapText="1"/>
    </xf>
    <xf numFmtId="0" fontId="80" fillId="0" borderId="0" xfId="0" applyFont="1" applyFill="1" applyAlignment="1">
      <alignment horizontal="left"/>
    </xf>
    <xf numFmtId="0" fontId="80" fillId="0" borderId="0" xfId="0" applyFont="1" applyFill="1" applyAlignment="1">
      <alignment horizontal="center"/>
    </xf>
    <xf numFmtId="0" fontId="26" fillId="0" borderId="4" xfId="0" applyFont="1" applyFill="1" applyBorder="1" applyAlignment="1">
      <alignment horizontal="center" vertical="center"/>
    </xf>
    <xf numFmtId="0" fontId="26" fillId="0" borderId="4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/>
    </xf>
    <xf numFmtId="0" fontId="17" fillId="0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196" fontId="9" fillId="0" borderId="0" xfId="1" applyNumberFormat="1" applyFont="1" applyFill="1" applyAlignment="1">
      <alignment horizontal="center"/>
    </xf>
    <xf numFmtId="212" fontId="9" fillId="0" borderId="0" xfId="0" applyNumberFormat="1" applyFont="1" applyFill="1" applyAlignment="1">
      <alignment horizontal="center"/>
    </xf>
    <xf numFmtId="0" fontId="93" fillId="0" borderId="4" xfId="0" applyFont="1" applyFill="1" applyBorder="1"/>
    <xf numFmtId="3" fontId="93" fillId="0" borderId="4" xfId="0" applyNumberFormat="1" applyFont="1" applyFill="1" applyBorder="1"/>
    <xf numFmtId="3" fontId="93" fillId="0" borderId="4" xfId="0" applyNumberFormat="1" applyFont="1" applyFill="1" applyBorder="1" applyAlignment="1">
      <alignment horizontal="center"/>
    </xf>
    <xf numFmtId="9" fontId="93" fillId="0" borderId="4" xfId="21" applyFont="1" applyFill="1" applyBorder="1" applyAlignment="1">
      <alignment horizontal="center"/>
    </xf>
    <xf numFmtId="189" fontId="107" fillId="0" borderId="4" xfId="1" applyNumberFormat="1" applyFont="1" applyFill="1" applyBorder="1" applyAlignment="1">
      <alignment horizontal="right" vertical="center" shrinkToFit="1"/>
    </xf>
    <xf numFmtId="189" fontId="115" fillId="0" borderId="0" xfId="0" applyNumberFormat="1" applyFont="1" applyFill="1" applyBorder="1" applyAlignment="1">
      <alignment horizontal="center" vertical="center" shrinkToFit="1"/>
    </xf>
    <xf numFmtId="3" fontId="11" fillId="0" borderId="4" xfId="0" applyNumberFormat="1" applyFont="1" applyFill="1" applyBorder="1" applyAlignment="1">
      <alignment horizontal="left"/>
    </xf>
    <xf numFmtId="0" fontId="11" fillId="0" borderId="4" xfId="0" applyFont="1" applyFill="1" applyBorder="1"/>
    <xf numFmtId="4" fontId="11" fillId="0" borderId="4" xfId="21" applyNumberFormat="1" applyFont="1" applyFill="1" applyBorder="1" applyAlignment="1">
      <alignment horizontal="center"/>
    </xf>
    <xf numFmtId="3" fontId="11" fillId="0" borderId="4" xfId="0" applyNumberFormat="1" applyFont="1" applyFill="1" applyBorder="1" applyAlignment="1">
      <alignment horizontal="center"/>
    </xf>
    <xf numFmtId="1" fontId="119" fillId="0" borderId="4" xfId="0" applyNumberFormat="1" applyFont="1" applyFill="1" applyBorder="1" applyAlignment="1">
      <alignment horizontal="right" vertical="center"/>
    </xf>
    <xf numFmtId="0" fontId="10" fillId="0" borderId="0" xfId="0" applyFont="1" applyFill="1" applyAlignment="1">
      <alignment horizontal="center"/>
    </xf>
    <xf numFmtId="189" fontId="107" fillId="0" borderId="0" xfId="0" applyNumberFormat="1" applyFont="1" applyFill="1" applyAlignment="1">
      <alignment horizontal="left"/>
    </xf>
    <xf numFmtId="4" fontId="12" fillId="0" borderId="0" xfId="1" applyNumberFormat="1" applyFont="1" applyFill="1" applyAlignment="1">
      <alignment horizontal="center"/>
    </xf>
    <xf numFmtId="0" fontId="12" fillId="0" borderId="0" xfId="0" applyFont="1" applyFill="1" applyAlignment="1">
      <alignment horizontal="center"/>
    </xf>
    <xf numFmtId="0" fontId="10" fillId="0" borderId="0" xfId="0" applyNumberFormat="1" applyFont="1" applyFill="1" applyAlignment="1">
      <alignment horizontal="center"/>
    </xf>
    <xf numFmtId="196" fontId="10" fillId="0" borderId="4" xfId="1" applyNumberFormat="1" applyFont="1" applyFill="1" applyBorder="1" applyAlignment="1">
      <alignment horizontal="right" vertical="center"/>
    </xf>
    <xf numFmtId="196" fontId="12" fillId="0" borderId="0" xfId="1" applyNumberFormat="1" applyFont="1" applyFill="1" applyAlignment="1">
      <alignment horizontal="right"/>
    </xf>
    <xf numFmtId="0" fontId="39" fillId="0" borderId="4" xfId="18" applyFont="1" applyFill="1" applyBorder="1" applyAlignment="1">
      <alignment horizontal="center" vertical="center"/>
    </xf>
    <xf numFmtId="0" fontId="39" fillId="0" borderId="4" xfId="18" applyFont="1" applyFill="1" applyBorder="1" applyAlignment="1">
      <alignment horizontal="left" vertical="center"/>
    </xf>
    <xf numFmtId="212" fontId="11" fillId="0" borderId="0" xfId="1" applyNumberFormat="1" applyFont="1" applyFill="1" applyBorder="1" applyAlignment="1">
      <alignment horizontal="right" vertical="center" shrinkToFit="1"/>
    </xf>
    <xf numFmtId="190" fontId="12" fillId="0" borderId="0" xfId="1" applyNumberFormat="1" applyFont="1" applyFill="1"/>
    <xf numFmtId="0" fontId="35" fillId="0" borderId="4" xfId="18" applyFont="1" applyFill="1" applyBorder="1" applyAlignment="1">
      <alignment horizontal="center" vertical="center"/>
    </xf>
    <xf numFmtId="212" fontId="12" fillId="0" borderId="0" xfId="0" applyNumberFormat="1" applyFont="1" applyFill="1"/>
    <xf numFmtId="0" fontId="12" fillId="0" borderId="4" xfId="18" applyFont="1" applyFill="1" applyBorder="1" applyAlignment="1">
      <alignment horizontal="left" vertical="center"/>
    </xf>
    <xf numFmtId="214" fontId="12" fillId="0" borderId="0" xfId="0" applyNumberFormat="1" applyFont="1" applyFill="1"/>
    <xf numFmtId="216" fontId="12" fillId="0" borderId="0" xfId="1" applyNumberFormat="1" applyFont="1" applyFill="1"/>
    <xf numFmtId="196" fontId="12" fillId="0" borderId="0" xfId="0" applyNumberFormat="1" applyFont="1" applyFill="1" applyBorder="1"/>
    <xf numFmtId="4" fontId="12" fillId="0" borderId="0" xfId="0" applyNumberFormat="1" applyFont="1" applyFill="1"/>
    <xf numFmtId="3" fontId="10" fillId="0" borderId="0" xfId="0" applyNumberFormat="1" applyFont="1" applyFill="1"/>
    <xf numFmtId="0" fontId="10" fillId="0" borderId="4" xfId="18" applyFont="1" applyFill="1" applyBorder="1" applyAlignment="1">
      <alignment horizontal="center" vertical="center"/>
    </xf>
    <xf numFmtId="0" fontId="10" fillId="0" borderId="4" xfId="18" applyFont="1" applyFill="1" applyBorder="1" applyAlignment="1">
      <alignment horizontal="left" vertical="center"/>
    </xf>
    <xf numFmtId="3" fontId="10" fillId="0" borderId="0" xfId="0" applyNumberFormat="1" applyFont="1" applyFill="1" applyAlignment="1">
      <alignment horizontal="center"/>
    </xf>
    <xf numFmtId="190" fontId="12" fillId="0" borderId="0" xfId="1" applyNumberFormat="1" applyFont="1" applyFill="1" applyAlignment="1">
      <alignment horizontal="right"/>
    </xf>
    <xf numFmtId="0" fontId="88" fillId="0" borderId="0" xfId="16" applyFont="1" applyFill="1" applyAlignment="1">
      <alignment horizontal="center"/>
    </xf>
    <xf numFmtId="196" fontId="37" fillId="0" borderId="0" xfId="1" applyNumberFormat="1" applyFont="1" applyFill="1" applyAlignment="1">
      <alignment horizontal="center"/>
    </xf>
    <xf numFmtId="196" fontId="37" fillId="0" borderId="0" xfId="1" applyNumberFormat="1" applyFont="1" applyFill="1" applyAlignment="1">
      <alignment horizontal="right"/>
    </xf>
    <xf numFmtId="196" fontId="37" fillId="0" borderId="0" xfId="1" applyNumberFormat="1" applyFont="1" applyFill="1"/>
    <xf numFmtId="227" fontId="37" fillId="0" borderId="0" xfId="0" applyNumberFormat="1" applyFont="1" applyFill="1"/>
    <xf numFmtId="1" fontId="128" fillId="0" borderId="4" xfId="1" applyNumberFormat="1" applyFont="1" applyFill="1" applyBorder="1" applyAlignment="1">
      <alignment horizontal="center" vertical="center"/>
    </xf>
    <xf numFmtId="0" fontId="51" fillId="0" borderId="0" xfId="0" applyFont="1" applyFill="1" applyBorder="1" applyAlignment="1">
      <alignment horizontal="center"/>
    </xf>
    <xf numFmtId="0" fontId="41" fillId="5" borderId="4" xfId="0" applyFont="1" applyFill="1" applyBorder="1" applyAlignment="1">
      <alignment horizontal="center"/>
    </xf>
    <xf numFmtId="197" fontId="41" fillId="0" borderId="4" xfId="0" applyNumberFormat="1" applyFont="1" applyFill="1" applyBorder="1" applyAlignment="1">
      <alignment horizontal="center" vertical="center" wrapText="1"/>
    </xf>
    <xf numFmtId="197" fontId="41" fillId="0" borderId="4" xfId="0" applyNumberFormat="1" applyFont="1" applyFill="1" applyBorder="1" applyAlignment="1"/>
    <xf numFmtId="0" fontId="7" fillId="0" borderId="0" xfId="0" applyFont="1" applyFill="1" applyBorder="1" applyAlignment="1">
      <alignment vertical="center" wrapText="1"/>
    </xf>
    <xf numFmtId="0" fontId="80" fillId="0" borderId="26" xfId="18" applyFont="1" applyFill="1" applyBorder="1" applyAlignment="1">
      <alignment vertical="center" wrapText="1"/>
    </xf>
    <xf numFmtId="0" fontId="80" fillId="0" borderId="16" xfId="18" applyFont="1" applyFill="1" applyBorder="1" applyAlignment="1">
      <alignment vertical="center"/>
    </xf>
    <xf numFmtId="0" fontId="7" fillId="0" borderId="4" xfId="0" applyFont="1" applyFill="1" applyBorder="1" applyAlignment="1">
      <alignment horizontal="center" vertical="center"/>
    </xf>
    <xf numFmtId="210" fontId="165" fillId="0" borderId="0" xfId="0" applyNumberFormat="1" applyFont="1" applyFill="1" applyBorder="1" applyAlignment="1">
      <alignment vertical="center"/>
    </xf>
    <xf numFmtId="210" fontId="165" fillId="0" borderId="0" xfId="0" applyNumberFormat="1" applyFont="1" applyFill="1" applyAlignment="1">
      <alignment vertical="center"/>
    </xf>
    <xf numFmtId="236" fontId="12" fillId="0" borderId="0" xfId="1" applyNumberFormat="1" applyFont="1" applyFill="1" applyAlignment="1"/>
    <xf numFmtId="1" fontId="130" fillId="0" borderId="0" xfId="1" applyNumberFormat="1" applyFont="1" applyFill="1" applyBorder="1" applyAlignment="1">
      <alignment horizontal="center" vertical="center"/>
    </xf>
    <xf numFmtId="1" fontId="130" fillId="0" borderId="0" xfId="1" applyNumberFormat="1" applyFont="1" applyFill="1" applyBorder="1" applyAlignment="1">
      <alignment vertical="center"/>
    </xf>
    <xf numFmtId="195" fontId="128" fillId="0" borderId="10" xfId="1" applyNumberFormat="1" applyFont="1" applyFill="1" applyBorder="1" applyAlignment="1">
      <alignment horizontal="center" vertical="center"/>
    </xf>
    <xf numFmtId="195" fontId="128" fillId="0" borderId="10" xfId="1" applyNumberFormat="1" applyFont="1" applyFill="1" applyBorder="1" applyAlignment="1">
      <alignment horizontal="right" vertical="center"/>
    </xf>
    <xf numFmtId="196" fontId="128" fillId="0" borderId="10" xfId="1" applyNumberFormat="1" applyFont="1" applyFill="1" applyBorder="1" applyAlignment="1">
      <alignment vertical="center"/>
    </xf>
    <xf numFmtId="196" fontId="128" fillId="0" borderId="10" xfId="1" applyNumberFormat="1" applyFont="1" applyFill="1" applyBorder="1" applyAlignment="1">
      <alignment horizontal="right" vertical="center"/>
    </xf>
    <xf numFmtId="196" fontId="128" fillId="0" borderId="10" xfId="1" applyNumberFormat="1" applyFont="1" applyFill="1" applyBorder="1" applyAlignment="1">
      <alignment horizontal="center" vertical="center"/>
    </xf>
    <xf numFmtId="1" fontId="128" fillId="0" borderId="10" xfId="1" applyNumberFormat="1" applyFont="1" applyFill="1" applyBorder="1" applyAlignment="1">
      <alignment vertical="center"/>
    </xf>
    <xf numFmtId="1" fontId="107" fillId="0" borderId="0" xfId="1" applyNumberFormat="1" applyFont="1" applyFill="1" applyBorder="1" applyAlignment="1">
      <alignment vertical="center"/>
    </xf>
    <xf numFmtId="1" fontId="9" fillId="0" borderId="0" xfId="1" applyNumberFormat="1" applyFont="1" applyFill="1" applyBorder="1" applyAlignment="1">
      <alignment vertical="center"/>
    </xf>
    <xf numFmtId="1" fontId="129" fillId="0" borderId="0" xfId="1" applyNumberFormat="1" applyFont="1" applyFill="1" applyBorder="1" applyAlignment="1">
      <alignment vertical="center"/>
    </xf>
    <xf numFmtId="0" fontId="11" fillId="0" borderId="4" xfId="0" applyFont="1" applyFill="1" applyBorder="1" applyAlignment="1">
      <alignment horizontal="center" vertical="center"/>
    </xf>
    <xf numFmtId="0" fontId="11" fillId="0" borderId="22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 wrapText="1"/>
    </xf>
    <xf numFmtId="198" fontId="11" fillId="0" borderId="4" xfId="1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/>
    </xf>
    <xf numFmtId="0" fontId="47" fillId="0" borderId="0" xfId="0" applyFont="1" applyFill="1" applyAlignment="1">
      <alignment horizontal="center"/>
    </xf>
    <xf numFmtId="0" fontId="14" fillId="0" borderId="0" xfId="0" applyFont="1" applyFill="1" applyAlignment="1">
      <alignment horizontal="center"/>
    </xf>
    <xf numFmtId="0" fontId="48" fillId="0" borderId="4" xfId="0" applyFont="1" applyFill="1" applyBorder="1"/>
    <xf numFmtId="212" fontId="53" fillId="0" borderId="1" xfId="0" applyNumberFormat="1" applyFont="1" applyFill="1" applyBorder="1"/>
    <xf numFmtId="0" fontId="7" fillId="0" borderId="10" xfId="0" applyFont="1" applyFill="1" applyBorder="1" applyAlignment="1">
      <alignment horizontal="center" vertical="center" shrinkToFit="1"/>
    </xf>
    <xf numFmtId="0" fontId="9" fillId="6" borderId="0" xfId="0" applyFont="1" applyFill="1"/>
    <xf numFmtId="206" fontId="100" fillId="6" borderId="4" xfId="1" applyNumberFormat="1" applyFont="1" applyFill="1" applyBorder="1" applyAlignment="1">
      <alignment horizontal="center" vertical="center" wrapText="1"/>
    </xf>
    <xf numFmtId="1" fontId="11" fillId="6" borderId="4" xfId="0" applyNumberFormat="1" applyFont="1" applyFill="1" applyBorder="1" applyAlignment="1">
      <alignment horizontal="center" vertical="center"/>
    </xf>
    <xf numFmtId="2" fontId="11" fillId="6" borderId="7" xfId="0" applyNumberFormat="1" applyFont="1" applyFill="1" applyBorder="1" applyAlignment="1">
      <alignment horizontal="center" vertical="center"/>
    </xf>
    <xf numFmtId="2" fontId="100" fillId="6" borderId="7" xfId="0" applyNumberFormat="1" applyFont="1" applyFill="1" applyBorder="1" applyAlignment="1">
      <alignment horizontal="center" vertical="center"/>
    </xf>
    <xf numFmtId="2" fontId="100" fillId="6" borderId="10" xfId="0" applyNumberFormat="1" applyFont="1" applyFill="1" applyBorder="1" applyAlignment="1">
      <alignment horizontal="center" vertical="center"/>
    </xf>
    <xf numFmtId="199" fontId="11" fillId="6" borderId="10" xfId="0" applyNumberFormat="1" applyFont="1" applyFill="1" applyBorder="1" applyAlignment="1">
      <alignment horizontal="center" vertical="center" shrinkToFit="1"/>
    </xf>
    <xf numFmtId="2" fontId="11" fillId="6" borderId="10" xfId="0" applyNumberFormat="1" applyFont="1" applyFill="1" applyBorder="1" applyAlignment="1">
      <alignment horizontal="center" vertical="center"/>
    </xf>
    <xf numFmtId="231" fontId="32" fillId="6" borderId="4" xfId="0" applyNumberFormat="1" applyFont="1" applyFill="1" applyBorder="1"/>
    <xf numFmtId="0" fontId="10" fillId="6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1" fontId="11" fillId="6" borderId="7" xfId="0" applyNumberFormat="1" applyFont="1" applyFill="1" applyBorder="1" applyAlignment="1">
      <alignment horizontal="center" vertical="center"/>
    </xf>
    <xf numFmtId="206" fontId="9" fillId="0" borderId="0" xfId="0" applyNumberFormat="1" applyFont="1" applyFill="1"/>
    <xf numFmtId="0" fontId="26" fillId="0" borderId="0" xfId="0" applyFont="1" applyFill="1" applyBorder="1" applyAlignment="1">
      <alignment horizontal="center" vertical="center"/>
    </xf>
    <xf numFmtId="189" fontId="26" fillId="0" borderId="0" xfId="0" applyNumberFormat="1" applyFont="1" applyFill="1" applyAlignment="1">
      <alignment horizontal="center"/>
    </xf>
    <xf numFmtId="0" fontId="26" fillId="0" borderId="0" xfId="0" applyFont="1" applyFill="1" applyAlignment="1">
      <alignment horizontal="center"/>
    </xf>
    <xf numFmtId="0" fontId="24" fillId="0" borderId="0" xfId="16" applyFont="1" applyFill="1" applyAlignment="1"/>
    <xf numFmtId="0" fontId="26" fillId="0" borderId="3" xfId="0" applyFont="1" applyFill="1" applyBorder="1" applyAlignment="1">
      <alignment horizontal="center" vertical="center"/>
    </xf>
    <xf numFmtId="189" fontId="26" fillId="0" borderId="0" xfId="0" applyNumberFormat="1" applyFont="1" applyFill="1" applyAlignment="1">
      <alignment vertical="center"/>
    </xf>
    <xf numFmtId="4" fontId="26" fillId="0" borderId="0" xfId="0" applyNumberFormat="1" applyFont="1" applyFill="1"/>
    <xf numFmtId="189" fontId="26" fillId="0" borderId="0" xfId="0" applyNumberFormat="1" applyFont="1" applyFill="1"/>
    <xf numFmtId="210" fontId="26" fillId="0" borderId="0" xfId="0" applyNumberFormat="1" applyFont="1" applyFill="1"/>
    <xf numFmtId="0" fontId="26" fillId="4" borderId="0" xfId="0" applyFont="1" applyFill="1" applyAlignment="1">
      <alignment vertical="center"/>
    </xf>
    <xf numFmtId="0" fontId="43" fillId="0" borderId="0" xfId="0" applyFont="1" applyFill="1" applyBorder="1" applyAlignment="1">
      <alignment vertical="center"/>
    </xf>
    <xf numFmtId="3" fontId="17" fillId="0" borderId="0" xfId="0" applyNumberFormat="1" applyFont="1" applyFill="1" applyAlignment="1"/>
    <xf numFmtId="0" fontId="118" fillId="0" borderId="0" xfId="0" applyFont="1" applyFill="1" applyBorder="1" applyAlignment="1"/>
    <xf numFmtId="0" fontId="4" fillId="0" borderId="0" xfId="0" applyFont="1" applyFill="1" applyBorder="1"/>
    <xf numFmtId="196" fontId="4" fillId="0" borderId="0" xfId="1" applyNumberFormat="1" applyFont="1" applyFill="1" applyBorder="1"/>
    <xf numFmtId="0" fontId="2" fillId="0" borderId="0" xfId="0" applyFont="1" applyFill="1" applyBorder="1" applyAlignment="1"/>
    <xf numFmtId="0" fontId="90" fillId="0" borderId="0" xfId="16" applyFont="1" applyFill="1" applyAlignment="1"/>
    <xf numFmtId="0" fontId="2" fillId="0" borderId="0" xfId="0" applyFont="1" applyFill="1" applyBorder="1" applyAlignment="1">
      <alignment vertical="center"/>
    </xf>
    <xf numFmtId="199" fontId="136" fillId="4" borderId="4" xfId="0" applyNumberFormat="1" applyFont="1" applyFill="1" applyBorder="1" applyAlignment="1">
      <alignment horizontal="center"/>
    </xf>
    <xf numFmtId="1" fontId="11" fillId="0" borderId="10" xfId="0" applyNumberFormat="1" applyFont="1" applyFill="1" applyBorder="1" applyAlignment="1">
      <alignment horizontal="center" vertical="center" shrinkToFit="1"/>
    </xf>
    <xf numFmtId="207" fontId="100" fillId="0" borderId="4" xfId="1" applyNumberFormat="1" applyFont="1" applyFill="1" applyBorder="1" applyAlignment="1">
      <alignment horizontal="center" vertical="center" wrapText="1"/>
    </xf>
    <xf numFmtId="3" fontId="107" fillId="0" borderId="0" xfId="1" applyNumberFormat="1" applyFont="1" applyFill="1" applyAlignment="1">
      <alignment horizontal="center"/>
    </xf>
    <xf numFmtId="189" fontId="93" fillId="0" borderId="4" xfId="1" applyNumberFormat="1" applyFont="1" applyFill="1" applyBorder="1" applyAlignment="1">
      <alignment horizontal="center" vertical="center" wrapText="1"/>
    </xf>
    <xf numFmtId="189" fontId="93" fillId="0" borderId="4" xfId="0" applyNumberFormat="1" applyFont="1" applyFill="1" applyBorder="1" applyAlignment="1">
      <alignment horizontal="center" vertical="center" wrapText="1"/>
    </xf>
    <xf numFmtId="189" fontId="93" fillId="0" borderId="0" xfId="0" applyNumberFormat="1" applyFont="1" applyFill="1" applyAlignment="1">
      <alignment horizontal="center" vertical="center"/>
    </xf>
    <xf numFmtId="213" fontId="107" fillId="0" borderId="0" xfId="0" applyNumberFormat="1" applyFont="1" applyFill="1" applyAlignment="1">
      <alignment horizontal="center"/>
    </xf>
    <xf numFmtId="189" fontId="107" fillId="0" borderId="0" xfId="0" applyNumberFormat="1" applyFont="1" applyFill="1" applyAlignment="1">
      <alignment horizontal="center"/>
    </xf>
    <xf numFmtId="189" fontId="115" fillId="0" borderId="0" xfId="0" applyNumberFormat="1" applyFont="1" applyFill="1" applyAlignment="1">
      <alignment horizontal="center"/>
    </xf>
    <xf numFmtId="189" fontId="115" fillId="0" borderId="0" xfId="1" applyNumberFormat="1" applyFont="1" applyFill="1" applyAlignment="1">
      <alignment horizontal="center"/>
    </xf>
    <xf numFmtId="189" fontId="93" fillId="0" borderId="0" xfId="0" applyNumberFormat="1" applyFont="1" applyFill="1" applyAlignment="1">
      <alignment horizontal="center"/>
    </xf>
    <xf numFmtId="196" fontId="3" fillId="0" borderId="0" xfId="0" applyNumberFormat="1" applyFont="1" applyFill="1" applyBorder="1" applyAlignment="1">
      <alignment vertical="center"/>
    </xf>
    <xf numFmtId="214" fontId="80" fillId="0" borderId="16" xfId="0" applyNumberFormat="1" applyFont="1" applyFill="1" applyBorder="1" applyAlignment="1">
      <alignment horizontal="center" vertical="center"/>
    </xf>
    <xf numFmtId="0" fontId="80" fillId="0" borderId="26" xfId="18" applyFont="1" applyFill="1" applyBorder="1" applyAlignment="1">
      <alignment vertical="center"/>
    </xf>
    <xf numFmtId="0" fontId="166" fillId="0" borderId="4" xfId="0" applyFont="1" applyFill="1" applyBorder="1" applyAlignment="1">
      <alignment vertical="center" wrapText="1"/>
    </xf>
    <xf numFmtId="210" fontId="11" fillId="0" borderId="0" xfId="0" applyNumberFormat="1" applyFont="1" applyFill="1" applyAlignment="1">
      <alignment horizontal="center"/>
    </xf>
    <xf numFmtId="0" fontId="14" fillId="0" borderId="0" xfId="0" applyFont="1" applyFill="1" applyAlignment="1">
      <alignment horizontal="center"/>
    </xf>
    <xf numFmtId="0" fontId="12" fillId="0" borderId="0" xfId="0" applyFont="1" applyFill="1" applyAlignment="1">
      <alignment horizontal="center"/>
    </xf>
    <xf numFmtId="198" fontId="10" fillId="0" borderId="0" xfId="1" applyNumberFormat="1" applyFont="1" applyFill="1" applyAlignment="1"/>
    <xf numFmtId="198" fontId="27" fillId="0" borderId="0" xfId="1" applyNumberFormat="1" applyFont="1" applyFill="1" applyAlignment="1"/>
    <xf numFmtId="198" fontId="16" fillId="0" borderId="0" xfId="1" applyNumberFormat="1" applyFont="1" applyFill="1" applyAlignment="1"/>
    <xf numFmtId="201" fontId="16" fillId="0" borderId="0" xfId="1" applyNumberFormat="1" applyFont="1" applyFill="1" applyAlignment="1">
      <alignment horizontal="center"/>
    </xf>
    <xf numFmtId="2" fontId="20" fillId="0" borderId="0" xfId="0" applyNumberFormat="1" applyFont="1" applyFill="1"/>
    <xf numFmtId="0" fontId="17" fillId="0" borderId="0" xfId="0" applyFont="1" applyFill="1" applyBorder="1" applyAlignment="1">
      <alignment wrapText="1"/>
    </xf>
    <xf numFmtId="0" fontId="17" fillId="0" borderId="0" xfId="0" applyFont="1" applyFill="1" applyBorder="1" applyAlignment="1"/>
    <xf numFmtId="0" fontId="20" fillId="0" borderId="0" xfId="0" applyFont="1" applyFill="1" applyBorder="1" applyAlignment="1"/>
    <xf numFmtId="0" fontId="61" fillId="0" borderId="0" xfId="0" applyFont="1" applyFill="1" applyBorder="1" applyAlignment="1">
      <alignment horizontal="center"/>
    </xf>
    <xf numFmtId="189" fontId="20" fillId="0" borderId="0" xfId="0" applyNumberFormat="1" applyFont="1" applyFill="1"/>
    <xf numFmtId="195" fontId="2" fillId="0" borderId="0" xfId="0" applyNumberFormat="1" applyFont="1" applyFill="1" applyBorder="1" applyAlignment="1"/>
    <xf numFmtId="0" fontId="41" fillId="0" borderId="4" xfId="0" applyFont="1" applyFill="1" applyBorder="1" applyAlignment="1">
      <alignment horizontal="center"/>
    </xf>
    <xf numFmtId="0" fontId="80" fillId="0" borderId="0" xfId="0" applyFont="1" applyFill="1" applyAlignment="1">
      <alignment horizontal="center"/>
    </xf>
    <xf numFmtId="197" fontId="26" fillId="0" borderId="0" xfId="1" applyNumberFormat="1" applyFont="1" applyFill="1" applyBorder="1" applyAlignment="1">
      <alignment horizontal="center" vertical="center"/>
    </xf>
    <xf numFmtId="3" fontId="107" fillId="0" borderId="0" xfId="1" applyNumberFormat="1" applyFont="1" applyFill="1" applyAlignment="1">
      <alignment horizontal="center"/>
    </xf>
    <xf numFmtId="189" fontId="93" fillId="0" borderId="4" xfId="1" applyNumberFormat="1" applyFont="1" applyFill="1" applyBorder="1" applyAlignment="1">
      <alignment horizontal="center" vertical="center" wrapText="1"/>
    </xf>
    <xf numFmtId="189" fontId="93" fillId="0" borderId="4" xfId="0" applyNumberFormat="1" applyFont="1" applyFill="1" applyBorder="1" applyAlignment="1">
      <alignment horizontal="center" vertical="center" wrapText="1"/>
    </xf>
    <xf numFmtId="189" fontId="93" fillId="0" borderId="0" xfId="0" applyNumberFormat="1" applyFont="1" applyFill="1" applyAlignment="1">
      <alignment horizontal="center" vertical="center"/>
    </xf>
    <xf numFmtId="213" fontId="107" fillId="0" borderId="0" xfId="0" applyNumberFormat="1" applyFont="1" applyFill="1" applyAlignment="1">
      <alignment horizontal="center"/>
    </xf>
    <xf numFmtId="189" fontId="107" fillId="0" borderId="0" xfId="0" applyNumberFormat="1" applyFont="1" applyFill="1" applyAlignment="1">
      <alignment horizontal="center"/>
    </xf>
    <xf numFmtId="189" fontId="93" fillId="0" borderId="0" xfId="0" applyNumberFormat="1" applyFont="1" applyFill="1" applyAlignment="1">
      <alignment horizontal="center"/>
    </xf>
    <xf numFmtId="189" fontId="93" fillId="0" borderId="0" xfId="1" applyNumberFormat="1" applyFont="1" applyFill="1" applyAlignment="1">
      <alignment horizontal="center"/>
    </xf>
    <xf numFmtId="189" fontId="10" fillId="0" borderId="0" xfId="0" applyNumberFormat="1" applyFont="1" applyFill="1" applyAlignment="1">
      <alignment horizontal="center"/>
    </xf>
    <xf numFmtId="0" fontId="80" fillId="0" borderId="0" xfId="0" applyFont="1" applyFill="1" applyBorder="1" applyAlignment="1">
      <alignment horizontal="center"/>
    </xf>
    <xf numFmtId="0" fontId="80" fillId="0" borderId="22" xfId="0" quotePrefix="1" applyFont="1" applyFill="1" applyBorder="1" applyAlignment="1">
      <alignment horizontal="center" vertical="center"/>
    </xf>
    <xf numFmtId="0" fontId="80" fillId="0" borderId="22" xfId="0" applyFont="1" applyFill="1" applyBorder="1" applyAlignment="1">
      <alignment vertical="center" wrapText="1"/>
    </xf>
    <xf numFmtId="0" fontId="26" fillId="0" borderId="3" xfId="0" applyFont="1" applyFill="1" applyBorder="1" applyAlignment="1">
      <alignment horizontal="center"/>
    </xf>
    <xf numFmtId="0" fontId="80" fillId="0" borderId="4" xfId="0" applyFont="1" applyFill="1" applyBorder="1" applyAlignment="1">
      <alignment horizontal="center" vertical="center" shrinkToFit="1"/>
    </xf>
    <xf numFmtId="0" fontId="26" fillId="0" borderId="4" xfId="0" applyFont="1" applyFill="1" applyBorder="1" applyAlignment="1">
      <alignment horizontal="center" vertical="center" shrinkToFit="1"/>
    </xf>
    <xf numFmtId="0" fontId="26" fillId="0" borderId="22" xfId="0" applyFont="1" applyFill="1" applyBorder="1" applyAlignment="1">
      <alignment horizontal="center" vertical="center" shrinkToFit="1"/>
    </xf>
    <xf numFmtId="189" fontId="11" fillId="0" borderId="4" xfId="19" applyNumberFormat="1" applyFont="1" applyFill="1" applyBorder="1" applyAlignment="1">
      <alignment horizontal="center" vertical="center"/>
    </xf>
    <xf numFmtId="0" fontId="92" fillId="0" borderId="0" xfId="0" applyFont="1" applyFill="1" applyBorder="1" applyAlignment="1">
      <alignment horizontal="center"/>
    </xf>
    <xf numFmtId="0" fontId="81" fillId="0" borderId="4" xfId="0" applyFont="1" applyFill="1" applyBorder="1" applyAlignment="1">
      <alignment horizontal="center" vertical="center"/>
    </xf>
    <xf numFmtId="0" fontId="80" fillId="0" borderId="0" xfId="0" applyFont="1" applyFill="1" applyAlignment="1">
      <alignment horizontal="left"/>
    </xf>
    <xf numFmtId="0" fontId="124" fillId="0" borderId="4" xfId="0" applyFont="1" applyFill="1" applyBorder="1" applyAlignment="1">
      <alignment horizontal="center" vertical="center" shrinkToFit="1"/>
    </xf>
    <xf numFmtId="0" fontId="10" fillId="0" borderId="0" xfId="0" applyFont="1" applyFill="1" applyAlignment="1">
      <alignment horizontal="center"/>
    </xf>
    <xf numFmtId="0" fontId="80" fillId="0" borderId="0" xfId="0" applyFont="1" applyFill="1" applyBorder="1" applyAlignment="1">
      <alignment horizontal="center"/>
    </xf>
    <xf numFmtId="0" fontId="26" fillId="0" borderId="0" xfId="0" applyFont="1" applyFill="1" applyBorder="1" applyAlignment="1">
      <alignment horizontal="center" vertical="center"/>
    </xf>
    <xf numFmtId="0" fontId="80" fillId="0" borderId="0" xfId="0" applyFont="1" applyFill="1" applyAlignment="1">
      <alignment horizontal="center"/>
    </xf>
    <xf numFmtId="0" fontId="12" fillId="0" borderId="4" xfId="20" applyFont="1" applyFill="1" applyBorder="1" applyAlignment="1" applyProtection="1">
      <alignment horizontal="center" vertical="center"/>
    </xf>
    <xf numFmtId="0" fontId="12" fillId="0" borderId="4" xfId="20" applyFont="1" applyFill="1" applyBorder="1" applyAlignment="1">
      <alignment horizontal="center" vertical="center"/>
    </xf>
    <xf numFmtId="0" fontId="80" fillId="0" borderId="0" xfId="0" applyFont="1" applyFill="1" applyAlignment="1">
      <alignment horizontal="right"/>
    </xf>
    <xf numFmtId="0" fontId="81" fillId="0" borderId="4" xfId="0" applyFont="1" applyFill="1" applyBorder="1" applyAlignment="1">
      <alignment horizontal="center" vertical="center"/>
    </xf>
    <xf numFmtId="1" fontId="107" fillId="4" borderId="4" xfId="1" applyNumberFormat="1" applyFont="1" applyFill="1" applyBorder="1" applyAlignment="1">
      <alignment horizontal="center" vertical="center"/>
    </xf>
    <xf numFmtId="1" fontId="107" fillId="4" borderId="4" xfId="1" applyNumberFormat="1" applyFont="1" applyFill="1" applyBorder="1" applyAlignment="1">
      <alignment vertical="center"/>
    </xf>
    <xf numFmtId="212" fontId="151" fillId="4" borderId="4" xfId="1" applyNumberFormat="1" applyFont="1" applyFill="1" applyBorder="1" applyAlignment="1" applyProtection="1">
      <alignment horizontal="center" vertical="center"/>
    </xf>
    <xf numFmtId="196" fontId="107" fillId="4" borderId="4" xfId="1" applyNumberFormat="1" applyFont="1" applyFill="1" applyBorder="1" applyAlignment="1">
      <alignment horizontal="center" vertical="center" wrapText="1"/>
    </xf>
    <xf numFmtId="1" fontId="136" fillId="4" borderId="4" xfId="0" applyNumberFormat="1" applyFont="1" applyFill="1" applyBorder="1" applyAlignment="1">
      <alignment horizontal="center" vertical="center"/>
    </xf>
    <xf numFmtId="0" fontId="136" fillId="4" borderId="4" xfId="0" applyFont="1" applyFill="1" applyBorder="1" applyAlignment="1">
      <alignment horizontal="center" vertical="center"/>
    </xf>
    <xf numFmtId="0" fontId="26" fillId="0" borderId="4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 wrapText="1"/>
    </xf>
    <xf numFmtId="0" fontId="14" fillId="0" borderId="0" xfId="0" applyFont="1" applyFill="1" applyAlignment="1">
      <alignment horizontal="center"/>
    </xf>
    <xf numFmtId="0" fontId="41" fillId="0" borderId="4" xfId="0" applyFont="1" applyFill="1" applyBorder="1" applyAlignment="1">
      <alignment horizontal="center" vertical="center"/>
    </xf>
    <xf numFmtId="0" fontId="56" fillId="0" borderId="0" xfId="0" applyFont="1" applyFill="1" applyAlignment="1">
      <alignment horizontal="center"/>
    </xf>
    <xf numFmtId="198" fontId="43" fillId="0" borderId="0" xfId="1" applyNumberFormat="1" applyFont="1" applyFill="1" applyAlignment="1">
      <alignment horizontal="center"/>
    </xf>
    <xf numFmtId="0" fontId="43" fillId="0" borderId="0" xfId="0" applyFont="1" applyFill="1" applyAlignment="1">
      <alignment horizontal="center"/>
    </xf>
    <xf numFmtId="0" fontId="41" fillId="0" borderId="4" xfId="0" applyFont="1" applyFill="1" applyBorder="1" applyAlignment="1">
      <alignment horizontal="center"/>
    </xf>
    <xf numFmtId="0" fontId="41" fillId="0" borderId="4" xfId="0" applyFont="1" applyFill="1" applyBorder="1" applyAlignment="1">
      <alignment horizontal="center" vertical="center" wrapText="1"/>
    </xf>
    <xf numFmtId="0" fontId="39" fillId="0" borderId="0" xfId="0" applyFont="1" applyFill="1" applyAlignment="1">
      <alignment horizontal="center"/>
    </xf>
    <xf numFmtId="0" fontId="52" fillId="0" borderId="0" xfId="0" applyFont="1" applyFill="1" applyBorder="1" applyAlignment="1">
      <alignment horizontal="center" vertical="center" shrinkToFit="1"/>
    </xf>
    <xf numFmtId="0" fontId="38" fillId="0" borderId="0" xfId="0" applyFont="1" applyFill="1" applyAlignment="1">
      <alignment horizontal="left"/>
    </xf>
    <xf numFmtId="0" fontId="90" fillId="0" borderId="4" xfId="0" applyFont="1" applyBorder="1" applyAlignment="1">
      <alignment horizontal="center" vertical="center"/>
    </xf>
    <xf numFmtId="196" fontId="26" fillId="0" borderId="4" xfId="1" applyNumberFormat="1" applyFont="1" applyFill="1" applyBorder="1" applyAlignment="1">
      <alignment horizontal="right" vertical="center" wrapText="1"/>
    </xf>
    <xf numFmtId="0" fontId="127" fillId="0" borderId="4" xfId="0" applyFont="1" applyBorder="1" applyAlignment="1">
      <alignment horizontal="center" vertical="center"/>
    </xf>
    <xf numFmtId="0" fontId="26" fillId="0" borderId="0" xfId="0" applyFont="1" applyAlignment="1"/>
    <xf numFmtId="0" fontId="144" fillId="0" borderId="0" xfId="0" applyFont="1" applyFill="1" applyAlignment="1"/>
    <xf numFmtId="196" fontId="43" fillId="0" borderId="4" xfId="1" applyNumberFormat="1" applyFont="1" applyFill="1" applyBorder="1" applyAlignment="1">
      <alignment horizontal="right" vertical="center" wrapText="1"/>
    </xf>
    <xf numFmtId="196" fontId="80" fillId="0" borderId="4" xfId="0" applyNumberFormat="1" applyFont="1" applyFill="1" applyBorder="1" applyAlignment="1">
      <alignment horizontal="right" vertical="center" wrapText="1"/>
    </xf>
    <xf numFmtId="189" fontId="82" fillId="0" borderId="4" xfId="1" applyNumberFormat="1" applyFont="1" applyFill="1" applyBorder="1" applyAlignment="1">
      <alignment vertical="center" wrapText="1"/>
    </xf>
    <xf numFmtId="210" fontId="82" fillId="0" borderId="10" xfId="1" applyNumberFormat="1" applyFont="1" applyFill="1" applyBorder="1" applyAlignment="1">
      <alignment vertical="center" wrapText="1"/>
    </xf>
    <xf numFmtId="189" fontId="82" fillId="0" borderId="10" xfId="0" applyNumberFormat="1" applyFont="1" applyFill="1" applyBorder="1" applyAlignment="1">
      <alignment horizontal="center" vertical="center" wrapText="1"/>
    </xf>
    <xf numFmtId="190" fontId="82" fillId="0" borderId="4" xfId="5" applyNumberFormat="1" applyFont="1" applyFill="1" applyBorder="1" applyAlignment="1">
      <alignment horizontal="center" vertical="center" wrapText="1"/>
    </xf>
    <xf numFmtId="4" fontId="82" fillId="0" borderId="4" xfId="1" applyNumberFormat="1" applyFont="1" applyFill="1" applyBorder="1" applyAlignment="1">
      <alignment horizontal="center" vertical="center" wrapText="1"/>
    </xf>
    <xf numFmtId="189" fontId="82" fillId="0" borderId="10" xfId="1" applyNumberFormat="1" applyFont="1" applyFill="1" applyBorder="1" applyAlignment="1">
      <alignment horizontal="center" vertical="center" wrapText="1"/>
    </xf>
    <xf numFmtId="189" fontId="82" fillId="0" borderId="10" xfId="1" applyNumberFormat="1" applyFont="1" applyFill="1" applyBorder="1" applyAlignment="1">
      <alignment horizontal="center" vertical="top" wrapText="1"/>
    </xf>
    <xf numFmtId="0" fontId="82" fillId="0" borderId="10" xfId="0" applyFont="1" applyFill="1" applyBorder="1" applyAlignment="1">
      <alignment horizontal="center" vertical="top" wrapText="1"/>
    </xf>
    <xf numFmtId="3" fontId="82" fillId="0" borderId="4" xfId="5" applyNumberFormat="1" applyFont="1" applyFill="1" applyBorder="1" applyAlignment="1">
      <alignment horizontal="center" vertical="top" wrapText="1"/>
    </xf>
    <xf numFmtId="189" fontId="82" fillId="0" borderId="10" xfId="1" applyNumberFormat="1" applyFont="1" applyFill="1" applyBorder="1" applyAlignment="1">
      <alignment vertical="center" wrapText="1"/>
    </xf>
    <xf numFmtId="189" fontId="82" fillId="0" borderId="4" xfId="1" applyNumberFormat="1" applyFont="1" applyFill="1" applyBorder="1" applyAlignment="1">
      <alignment horizontal="right" vertical="center"/>
    </xf>
    <xf numFmtId="189" fontId="82" fillId="0" borderId="4" xfId="0" applyNumberFormat="1" applyFont="1" applyFill="1" applyBorder="1" applyAlignment="1">
      <alignment horizontal="center"/>
    </xf>
    <xf numFmtId="189" fontId="165" fillId="0" borderId="4" xfId="0" applyNumberFormat="1" applyFont="1" applyFill="1" applyBorder="1" applyAlignment="1">
      <alignment horizontal="center" vertical="center" shrinkToFit="1"/>
    </xf>
    <xf numFmtId="189" fontId="165" fillId="0" borderId="4" xfId="0" applyNumberFormat="1" applyFont="1" applyFill="1" applyBorder="1" applyAlignment="1">
      <alignment vertical="center" shrinkToFit="1"/>
    </xf>
    <xf numFmtId="210" fontId="165" fillId="0" borderId="4" xfId="0" applyNumberFormat="1" applyFont="1" applyFill="1" applyBorder="1" applyAlignment="1">
      <alignment horizontal="right" vertical="center" wrapText="1"/>
    </xf>
    <xf numFmtId="189" fontId="165" fillId="0" borderId="4" xfId="1" applyNumberFormat="1" applyFont="1" applyFill="1" applyBorder="1" applyAlignment="1">
      <alignment horizontal="right" vertical="center"/>
    </xf>
    <xf numFmtId="190" fontId="165" fillId="0" borderId="4" xfId="5" applyNumberFormat="1" applyFont="1" applyFill="1" applyBorder="1" applyAlignment="1">
      <alignment vertical="center"/>
    </xf>
    <xf numFmtId="189" fontId="165" fillId="0" borderId="4" xfId="1" applyNumberFormat="1" applyFont="1" applyFill="1" applyBorder="1" applyAlignment="1">
      <alignment horizontal="center" vertical="center" shrinkToFit="1"/>
    </xf>
    <xf numFmtId="196" fontId="165" fillId="0" borderId="4" xfId="1" applyNumberFormat="1" applyFont="1" applyFill="1" applyBorder="1" applyAlignment="1">
      <alignment vertical="center" shrinkToFit="1"/>
    </xf>
    <xf numFmtId="189" fontId="165" fillId="0" borderId="4" xfId="1" applyNumberFormat="1" applyFont="1" applyFill="1" applyBorder="1" applyAlignment="1">
      <alignment horizontal="right" vertical="center" shrinkToFit="1"/>
    </xf>
    <xf numFmtId="210" fontId="165" fillId="0" borderId="4" xfId="0" applyNumberFormat="1" applyFont="1" applyFill="1" applyBorder="1" applyAlignment="1">
      <alignment vertical="center" shrinkToFit="1"/>
    </xf>
    <xf numFmtId="189" fontId="165" fillId="0" borderId="4" xfId="0" applyNumberFormat="1" applyFont="1" applyFill="1" applyBorder="1" applyAlignment="1">
      <alignment horizontal="left" vertical="center"/>
    </xf>
    <xf numFmtId="189" fontId="165" fillId="0" borderId="4" xfId="0" applyNumberFormat="1" applyFont="1" applyFill="1" applyBorder="1" applyAlignment="1">
      <alignment horizontal="right" vertical="center"/>
    </xf>
    <xf numFmtId="189" fontId="82" fillId="0" borderId="4" xfId="0" applyNumberFormat="1" applyFont="1" applyFill="1" applyBorder="1" applyAlignment="1">
      <alignment vertical="center"/>
    </xf>
    <xf numFmtId="189" fontId="165" fillId="0" borderId="4" xfId="0" applyNumberFormat="1" applyFont="1" applyFill="1" applyBorder="1" applyAlignment="1">
      <alignment horizontal="left" vertical="center" shrinkToFit="1"/>
    </xf>
    <xf numFmtId="210" fontId="165" fillId="0" borderId="4" xfId="0" applyNumberFormat="1" applyFont="1" applyFill="1" applyBorder="1" applyAlignment="1">
      <alignment horizontal="left" vertical="center" wrapText="1"/>
    </xf>
    <xf numFmtId="189" fontId="165" fillId="0" borderId="4" xfId="1" applyNumberFormat="1" applyFont="1" applyFill="1" applyBorder="1" applyAlignment="1">
      <alignment horizontal="left" vertical="center"/>
    </xf>
    <xf numFmtId="210" fontId="82" fillId="0" borderId="4" xfId="1" applyNumberFormat="1" applyFont="1" applyFill="1" applyBorder="1" applyAlignment="1">
      <alignment horizontal="right" vertical="center"/>
    </xf>
    <xf numFmtId="189" fontId="165" fillId="0" borderId="4" xfId="0" applyNumberFormat="1" applyFont="1" applyFill="1" applyBorder="1" applyAlignment="1">
      <alignment vertical="center"/>
    </xf>
    <xf numFmtId="189" fontId="167" fillId="0" borderId="0" xfId="1" applyNumberFormat="1" applyFont="1" applyFill="1" applyAlignment="1">
      <alignment horizontal="center"/>
    </xf>
    <xf numFmtId="189" fontId="167" fillId="0" borderId="0" xfId="1" applyNumberFormat="1" applyFont="1" applyFill="1" applyAlignment="1"/>
    <xf numFmtId="189" fontId="165" fillId="0" borderId="0" xfId="0" applyNumberFormat="1" applyFont="1" applyFill="1"/>
    <xf numFmtId="213" fontId="168" fillId="0" borderId="0" xfId="0" applyNumberFormat="1" applyFont="1" applyFill="1" applyAlignment="1"/>
    <xf numFmtId="232" fontId="169" fillId="0" borderId="0" xfId="1" applyNumberFormat="1" applyFont="1" applyFill="1" applyAlignment="1"/>
    <xf numFmtId="189" fontId="82" fillId="0" borderId="4" xfId="1" applyNumberFormat="1" applyFont="1" applyFill="1" applyBorder="1" applyAlignment="1">
      <alignment horizontal="right" vertical="center" wrapText="1"/>
    </xf>
    <xf numFmtId="196" fontId="165" fillId="0" borderId="4" xfId="1" applyNumberFormat="1" applyFont="1" applyFill="1" applyBorder="1" applyAlignment="1">
      <alignment horizontal="right" vertical="center" wrapText="1" shrinkToFit="1"/>
    </xf>
    <xf numFmtId="0" fontId="172" fillId="0" borderId="0" xfId="0" applyFont="1" applyFill="1"/>
    <xf numFmtId="0" fontId="173" fillId="0" borderId="0" xfId="0" applyFont="1" applyFill="1" applyAlignment="1"/>
    <xf numFmtId="0" fontId="60" fillId="0" borderId="0" xfId="0" applyFont="1" applyFill="1" applyAlignment="1">
      <alignment horizontal="center"/>
    </xf>
    <xf numFmtId="0" fontId="60" fillId="0" borderId="0" xfId="0" applyFont="1" applyFill="1" applyAlignment="1"/>
    <xf numFmtId="0" fontId="170" fillId="0" borderId="0" xfId="0" applyFont="1" applyFill="1" applyAlignment="1">
      <alignment horizontal="center"/>
    </xf>
    <xf numFmtId="0" fontId="173" fillId="0" borderId="0" xfId="0" applyFont="1" applyFill="1" applyAlignment="1">
      <alignment horizontal="center"/>
    </xf>
    <xf numFmtId="0" fontId="60" fillId="0" borderId="4" xfId="0" applyFont="1" applyFill="1" applyBorder="1" applyAlignment="1">
      <alignment horizontal="center" vertical="center"/>
    </xf>
    <xf numFmtId="0" fontId="60" fillId="0" borderId="4" xfId="0" applyFont="1" applyFill="1" applyBorder="1" applyAlignment="1">
      <alignment horizontal="left" vertical="center"/>
    </xf>
    <xf numFmtId="0" fontId="60" fillId="0" borderId="16" xfId="0" applyFont="1" applyFill="1" applyBorder="1" applyAlignment="1">
      <alignment horizontal="left" vertical="center"/>
    </xf>
    <xf numFmtId="0" fontId="60" fillId="0" borderId="16" xfId="0" applyFont="1" applyFill="1" applyBorder="1" applyAlignment="1">
      <alignment horizontal="center" vertical="center"/>
    </xf>
    <xf numFmtId="0" fontId="170" fillId="0" borderId="4" xfId="0" applyFont="1" applyFill="1" applyBorder="1" applyAlignment="1">
      <alignment horizontal="center" vertical="center"/>
    </xf>
    <xf numFmtId="3" fontId="119" fillId="0" borderId="4" xfId="5" applyNumberFormat="1" applyFont="1" applyFill="1" applyBorder="1" applyAlignment="1">
      <alignment horizontal="right" vertical="center"/>
    </xf>
    <xf numFmtId="3" fontId="170" fillId="0" borderId="4" xfId="0" applyNumberFormat="1" applyFont="1" applyFill="1" applyBorder="1" applyAlignment="1">
      <alignment horizontal="center" vertical="center"/>
    </xf>
    <xf numFmtId="3" fontId="170" fillId="0" borderId="4" xfId="0" applyNumberFormat="1" applyFont="1" applyFill="1" applyBorder="1" applyAlignment="1">
      <alignment horizontal="right" vertical="center"/>
    </xf>
    <xf numFmtId="3" fontId="148" fillId="0" borderId="4" xfId="0" applyNumberFormat="1" applyFont="1" applyFill="1" applyBorder="1" applyAlignment="1">
      <alignment horizontal="right" vertical="center"/>
    </xf>
    <xf numFmtId="196" fontId="60" fillId="0" borderId="4" xfId="1" applyNumberFormat="1" applyFont="1" applyFill="1" applyBorder="1" applyAlignment="1">
      <alignment horizontal="right" vertical="center" wrapText="1"/>
    </xf>
    <xf numFmtId="196" fontId="60" fillId="0" borderId="4" xfId="0" applyNumberFormat="1" applyFont="1" applyFill="1" applyBorder="1" applyAlignment="1">
      <alignment horizontal="right" vertical="center"/>
    </xf>
    <xf numFmtId="196" fontId="60" fillId="0" borderId="4" xfId="0" applyNumberFormat="1" applyFont="1" applyFill="1" applyBorder="1" applyAlignment="1">
      <alignment horizontal="center" vertical="center" wrapText="1"/>
    </xf>
    <xf numFmtId="189" fontId="107" fillId="0" borderId="0" xfId="0" applyNumberFormat="1" applyFont="1" applyFill="1" applyBorder="1" applyAlignment="1">
      <alignment horizontal="center"/>
    </xf>
    <xf numFmtId="189" fontId="93" fillId="0" borderId="0" xfId="0" applyNumberFormat="1" applyFont="1" applyFill="1" applyAlignment="1">
      <alignment horizontal="center"/>
    </xf>
    <xf numFmtId="3" fontId="7" fillId="0" borderId="0" xfId="0" applyNumberFormat="1" applyFont="1" applyFill="1"/>
    <xf numFmtId="210" fontId="80" fillId="0" borderId="0" xfId="0" applyNumberFormat="1" applyFont="1" applyFill="1" applyAlignment="1">
      <alignment horizontal="left"/>
    </xf>
    <xf numFmtId="202" fontId="7" fillId="0" borderId="0" xfId="0" applyNumberFormat="1" applyFont="1" applyFill="1"/>
    <xf numFmtId="4" fontId="9" fillId="0" borderId="0" xfId="1" applyNumberFormat="1" applyFont="1" applyFill="1" applyBorder="1" applyAlignment="1"/>
    <xf numFmtId="189" fontId="9" fillId="0" borderId="0" xfId="1" applyNumberFormat="1" applyFont="1" applyFill="1" applyBorder="1" applyAlignment="1">
      <alignment horizontal="center"/>
    </xf>
    <xf numFmtId="189" fontId="9" fillId="0" borderId="0" xfId="1" applyNumberFormat="1" applyFont="1" applyFill="1" applyBorder="1" applyAlignment="1"/>
    <xf numFmtId="189" fontId="9" fillId="0" borderId="0" xfId="1" applyNumberFormat="1" applyFont="1" applyFill="1" applyBorder="1"/>
    <xf numFmtId="235" fontId="165" fillId="0" borderId="3" xfId="0" applyNumberFormat="1" applyFont="1" applyFill="1" applyBorder="1" applyAlignment="1">
      <alignment horizontal="center" vertical="center"/>
    </xf>
    <xf numFmtId="210" fontId="165" fillId="0" borderId="3" xfId="1" applyNumberFormat="1" applyFont="1" applyFill="1" applyBorder="1" applyAlignment="1">
      <alignment horizontal="center" vertical="center" wrapText="1"/>
    </xf>
    <xf numFmtId="210" fontId="107" fillId="4" borderId="0" xfId="0" applyNumberFormat="1" applyFont="1" applyFill="1" applyAlignment="1">
      <alignment horizontal="left"/>
    </xf>
    <xf numFmtId="202" fontId="107" fillId="4" borderId="0" xfId="0" applyNumberFormat="1" applyFont="1" applyFill="1"/>
    <xf numFmtId="4" fontId="107" fillId="4" borderId="0" xfId="1" applyNumberFormat="1" applyFont="1" applyFill="1" applyBorder="1" applyAlignment="1"/>
    <xf numFmtId="189" fontId="107" fillId="4" borderId="0" xfId="1" applyNumberFormat="1" applyFont="1" applyFill="1" applyBorder="1" applyAlignment="1">
      <alignment horizontal="center"/>
    </xf>
    <xf numFmtId="189" fontId="107" fillId="4" borderId="0" xfId="1" applyNumberFormat="1" applyFont="1" applyFill="1" applyBorder="1" applyAlignment="1"/>
    <xf numFmtId="189" fontId="107" fillId="4" borderId="0" xfId="1" applyNumberFormat="1" applyFont="1" applyFill="1" applyBorder="1"/>
    <xf numFmtId="195" fontId="107" fillId="4" borderId="3" xfId="1" applyNumberFormat="1" applyFont="1" applyFill="1" applyBorder="1" applyAlignment="1">
      <alignment horizontal="center" vertical="center" wrapText="1"/>
    </xf>
    <xf numFmtId="210" fontId="107" fillId="0" borderId="0" xfId="0" applyNumberFormat="1" applyFont="1" applyFill="1" applyAlignment="1">
      <alignment horizontal="left"/>
    </xf>
    <xf numFmtId="202" fontId="107" fillId="0" borderId="0" xfId="0" applyNumberFormat="1" applyFont="1" applyFill="1"/>
    <xf numFmtId="4" fontId="107" fillId="0" borderId="0" xfId="1" applyNumberFormat="1" applyFont="1" applyFill="1" applyBorder="1" applyAlignment="1"/>
    <xf numFmtId="189" fontId="107" fillId="0" borderId="0" xfId="1" applyNumberFormat="1" applyFont="1" applyFill="1" applyBorder="1" applyAlignment="1">
      <alignment horizontal="center"/>
    </xf>
    <xf numFmtId="189" fontId="107" fillId="0" borderId="0" xfId="1" applyNumberFormat="1" applyFont="1" applyFill="1" applyBorder="1" applyAlignment="1"/>
    <xf numFmtId="189" fontId="107" fillId="0" borderId="0" xfId="1" applyNumberFormat="1" applyFont="1" applyFill="1" applyBorder="1"/>
    <xf numFmtId="195" fontId="9" fillId="4" borderId="0" xfId="1" applyFont="1" applyFill="1"/>
    <xf numFmtId="196" fontId="107" fillId="5" borderId="4" xfId="1" applyNumberFormat="1" applyFont="1" applyFill="1" applyBorder="1" applyAlignment="1">
      <alignment vertical="center" shrinkToFit="1"/>
    </xf>
    <xf numFmtId="1" fontId="93" fillId="0" borderId="0" xfId="1" applyNumberFormat="1" applyFont="1" applyFill="1" applyAlignment="1">
      <alignment vertical="center"/>
    </xf>
    <xf numFmtId="43" fontId="9" fillId="0" borderId="0" xfId="1" applyNumberFormat="1" applyFont="1" applyFill="1" applyAlignment="1"/>
    <xf numFmtId="212" fontId="12" fillId="8" borderId="0" xfId="1" applyNumberFormat="1" applyFont="1" applyFill="1"/>
    <xf numFmtId="189" fontId="177" fillId="0" borderId="4" xfId="1" applyNumberFormat="1" applyFont="1" applyFill="1" applyBorder="1" applyAlignment="1">
      <alignment horizontal="right" vertical="center"/>
    </xf>
    <xf numFmtId="189" fontId="106" fillId="0" borderId="4" xfId="1" applyNumberFormat="1" applyFont="1" applyFill="1" applyBorder="1" applyAlignment="1">
      <alignment horizontal="right" vertical="center" wrapText="1"/>
    </xf>
    <xf numFmtId="189" fontId="110" fillId="0" borderId="0" xfId="0" applyNumberFormat="1" applyFont="1" applyFill="1" applyAlignment="1">
      <alignment horizontal="center"/>
    </xf>
    <xf numFmtId="189" fontId="93" fillId="0" borderId="0" xfId="0" applyNumberFormat="1" applyFont="1" applyFill="1" applyAlignment="1">
      <alignment horizontal="center"/>
    </xf>
    <xf numFmtId="189" fontId="82" fillId="0" borderId="4" xfId="0" applyNumberFormat="1" applyFont="1" applyFill="1" applyBorder="1" applyAlignment="1">
      <alignment horizontal="center" vertical="center" wrapText="1"/>
    </xf>
    <xf numFmtId="189" fontId="82" fillId="0" borderId="0" xfId="0" applyNumberFormat="1" applyFont="1" applyFill="1" applyAlignment="1">
      <alignment horizontal="center"/>
    </xf>
    <xf numFmtId="189" fontId="126" fillId="0" borderId="0" xfId="0" applyNumberFormat="1" applyFont="1" applyFill="1" applyBorder="1" applyAlignment="1">
      <alignment horizontal="center"/>
    </xf>
    <xf numFmtId="189" fontId="12" fillId="0" borderId="0" xfId="0" applyNumberFormat="1" applyFont="1" applyFill="1" applyAlignment="1">
      <alignment horizontal="center"/>
    </xf>
    <xf numFmtId="3" fontId="12" fillId="0" borderId="0" xfId="1" applyNumberFormat="1" applyFont="1" applyFill="1" applyAlignment="1">
      <alignment horizontal="center"/>
    </xf>
    <xf numFmtId="189" fontId="12" fillId="0" borderId="0" xfId="1" applyNumberFormat="1" applyFont="1" applyFill="1" applyAlignment="1">
      <alignment horizontal="center"/>
    </xf>
    <xf numFmtId="189" fontId="26" fillId="0" borderId="0" xfId="1" applyNumberFormat="1" applyFont="1" applyFill="1" applyAlignment="1">
      <alignment horizontal="center"/>
    </xf>
    <xf numFmtId="189" fontId="93" fillId="9" borderId="0" xfId="0" applyNumberFormat="1" applyFont="1" applyFill="1"/>
    <xf numFmtId="196" fontId="12" fillId="0" borderId="4" xfId="1" applyNumberFormat="1" applyFont="1" applyFill="1" applyBorder="1" applyAlignment="1">
      <alignment horizontal="right" vertical="center"/>
    </xf>
    <xf numFmtId="195" fontId="10" fillId="0" borderId="4" xfId="1" applyNumberFormat="1" applyFont="1" applyFill="1" applyBorder="1" applyAlignment="1">
      <alignment horizontal="right" vertical="center"/>
    </xf>
    <xf numFmtId="3" fontId="12" fillId="0" borderId="4" xfId="1" applyNumberFormat="1" applyFont="1" applyFill="1" applyBorder="1" applyAlignment="1">
      <alignment horizontal="center" vertical="center"/>
    </xf>
    <xf numFmtId="195" fontId="12" fillId="0" borderId="4" xfId="1" applyNumberFormat="1" applyFont="1" applyFill="1" applyBorder="1" applyAlignment="1">
      <alignment horizontal="right" vertical="center"/>
    </xf>
    <xf numFmtId="3" fontId="12" fillId="0" borderId="4" xfId="0" applyNumberFormat="1" applyFont="1" applyFill="1" applyBorder="1" applyAlignment="1">
      <alignment horizontal="center" vertical="center"/>
    </xf>
    <xf numFmtId="214" fontId="12" fillId="0" borderId="4" xfId="0" applyNumberFormat="1" applyFont="1" applyFill="1" applyBorder="1" applyAlignment="1">
      <alignment horizontal="center" vertical="center"/>
    </xf>
    <xf numFmtId="196" fontId="12" fillId="0" borderId="4" xfId="1" applyNumberFormat="1" applyFont="1" applyFill="1" applyBorder="1" applyAlignment="1">
      <alignment vertical="center"/>
    </xf>
    <xf numFmtId="196" fontId="12" fillId="0" borderId="4" xfId="1" applyNumberFormat="1" applyFont="1" applyFill="1" applyBorder="1" applyAlignment="1">
      <alignment horizontal="left" vertical="center" indent="1"/>
    </xf>
    <xf numFmtId="219" fontId="12" fillId="0" borderId="4" xfId="1" applyNumberFormat="1" applyFont="1" applyFill="1" applyBorder="1" applyAlignment="1">
      <alignment horizontal="left" vertical="center" indent="1"/>
    </xf>
    <xf numFmtId="195" fontId="12" fillId="0" borderId="4" xfId="1" applyNumberFormat="1" applyFont="1" applyFill="1" applyBorder="1" applyAlignment="1">
      <alignment horizontal="left" vertical="center" indent="1"/>
    </xf>
    <xf numFmtId="196" fontId="10" fillId="0" borderId="4" xfId="1" applyNumberFormat="1" applyFont="1" applyFill="1" applyBorder="1" applyAlignment="1">
      <alignment horizontal="left" vertical="center" indent="1"/>
    </xf>
    <xf numFmtId="196" fontId="142" fillId="0" borderId="4" xfId="1" applyNumberFormat="1" applyFont="1" applyFill="1" applyBorder="1" applyAlignment="1">
      <alignment horizontal="left" vertical="center" indent="1"/>
    </xf>
    <xf numFmtId="195" fontId="9" fillId="0" borderId="0" xfId="1" applyFont="1" applyFill="1"/>
    <xf numFmtId="1" fontId="93" fillId="0" borderId="4" xfId="1" applyNumberFormat="1" applyFont="1" applyFill="1" applyBorder="1" applyAlignment="1">
      <alignment horizontal="center" vertical="center"/>
    </xf>
    <xf numFmtId="1" fontId="107" fillId="0" borderId="4" xfId="1" applyNumberFormat="1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/>
    </xf>
    <xf numFmtId="0" fontId="12" fillId="0" borderId="0" xfId="0" applyFont="1" applyFill="1" applyAlignment="1">
      <alignment horizontal="center"/>
    </xf>
    <xf numFmtId="0" fontId="10" fillId="0" borderId="0" xfId="0" applyNumberFormat="1" applyFont="1" applyFill="1" applyAlignment="1">
      <alignment horizontal="center"/>
    </xf>
    <xf numFmtId="1" fontId="111" fillId="0" borderId="0" xfId="1" applyNumberFormat="1" applyFont="1" applyFill="1" applyBorder="1" applyAlignment="1">
      <alignment horizontal="center" vertical="center"/>
    </xf>
    <xf numFmtId="1" fontId="111" fillId="0" borderId="0" xfId="1" applyNumberFormat="1" applyFont="1" applyFill="1" applyBorder="1" applyAlignment="1">
      <alignment vertical="center"/>
    </xf>
    <xf numFmtId="0" fontId="126" fillId="4" borderId="3" xfId="19" applyFont="1" applyFill="1" applyBorder="1" applyAlignment="1">
      <alignment vertical="center"/>
    </xf>
    <xf numFmtId="1" fontId="93" fillId="0" borderId="0" xfId="1" applyNumberFormat="1" applyFont="1" applyFill="1" applyBorder="1" applyAlignment="1">
      <alignment horizontal="center" vertical="center"/>
    </xf>
    <xf numFmtId="1" fontId="93" fillId="0" borderId="0" xfId="1" applyNumberFormat="1" applyFont="1" applyFill="1" applyAlignment="1">
      <alignment horizontal="center" vertical="center"/>
    </xf>
    <xf numFmtId="217" fontId="107" fillId="0" borderId="0" xfId="1" applyNumberFormat="1" applyFont="1" applyFill="1" applyAlignment="1">
      <alignment vertical="center"/>
    </xf>
    <xf numFmtId="212" fontId="151" fillId="0" borderId="4" xfId="1" applyNumberFormat="1" applyFont="1" applyFill="1" applyBorder="1" applyAlignment="1" applyProtection="1">
      <alignment horizontal="center" vertical="center"/>
    </xf>
    <xf numFmtId="196" fontId="107" fillId="0" borderId="0" xfId="1" applyNumberFormat="1" applyFont="1" applyFill="1" applyAlignment="1">
      <alignment vertical="center"/>
    </xf>
    <xf numFmtId="2" fontId="136" fillId="4" borderId="4" xfId="0" applyNumberFormat="1" applyFont="1" applyFill="1" applyBorder="1" applyAlignment="1">
      <alignment horizontal="center" vertical="center"/>
    </xf>
    <xf numFmtId="1" fontId="107" fillId="4" borderId="0" xfId="1" applyNumberFormat="1" applyFont="1" applyFill="1" applyAlignment="1">
      <alignment vertical="center"/>
    </xf>
    <xf numFmtId="0" fontId="178" fillId="7" borderId="28" xfId="0" applyFont="1" applyFill="1" applyBorder="1" applyAlignment="1">
      <alignment horizontal="center" vertical="center"/>
    </xf>
    <xf numFmtId="1" fontId="93" fillId="0" borderId="14" xfId="1" applyNumberFormat="1" applyFont="1" applyFill="1" applyBorder="1" applyAlignment="1">
      <alignment vertical="center"/>
    </xf>
    <xf numFmtId="1" fontId="93" fillId="0" borderId="22" xfId="1" applyNumberFormat="1" applyFont="1" applyFill="1" applyBorder="1" applyAlignment="1">
      <alignment vertical="center"/>
    </xf>
    <xf numFmtId="1" fontId="108" fillId="0" borderId="0" xfId="1" applyNumberFormat="1" applyFont="1" applyFill="1" applyBorder="1" applyAlignment="1">
      <alignment horizontal="center" vertical="center"/>
    </xf>
    <xf numFmtId="0" fontId="93" fillId="0" borderId="0" xfId="0" applyFont="1" applyFill="1" applyBorder="1" applyAlignment="1"/>
    <xf numFmtId="0" fontId="107" fillId="0" borderId="0" xfId="0" applyFont="1" applyFill="1"/>
    <xf numFmtId="0" fontId="107" fillId="0" borderId="0" xfId="0" applyFont="1" applyFill="1" applyAlignment="1">
      <alignment horizontal="center"/>
    </xf>
    <xf numFmtId="197" fontId="107" fillId="0" borderId="0" xfId="0" applyNumberFormat="1" applyFont="1" applyFill="1"/>
    <xf numFmtId="198" fontId="107" fillId="0" borderId="0" xfId="1" applyNumberFormat="1" applyFont="1" applyFill="1"/>
    <xf numFmtId="0" fontId="107" fillId="0" borderId="0" xfId="0" applyFont="1" applyFill="1" applyAlignment="1"/>
    <xf numFmtId="1" fontId="107" fillId="0" borderId="0" xfId="1" applyNumberFormat="1" applyFont="1" applyFill="1" applyAlignment="1">
      <alignment horizontal="center" vertical="center"/>
    </xf>
    <xf numFmtId="1" fontId="107" fillId="0" borderId="0" xfId="1" applyNumberFormat="1" applyFont="1" applyFill="1"/>
    <xf numFmtId="196" fontId="107" fillId="0" borderId="0" xfId="0" applyNumberFormat="1" applyFont="1" applyFill="1"/>
    <xf numFmtId="0" fontId="18" fillId="0" borderId="4" xfId="0" applyFont="1" applyFill="1" applyBorder="1" applyAlignment="1">
      <alignment horizontal="center" vertical="top" wrapText="1"/>
    </xf>
    <xf numFmtId="0" fontId="18" fillId="0" borderId="10" xfId="0" applyFont="1" applyFill="1" applyBorder="1" applyAlignment="1">
      <alignment horizontal="center" vertical="top" wrapText="1"/>
    </xf>
    <xf numFmtId="0" fontId="18" fillId="0" borderId="16" xfId="0" applyFont="1" applyFill="1" applyBorder="1" applyAlignment="1">
      <alignment horizontal="center" vertical="top" wrapText="1"/>
    </xf>
    <xf numFmtId="0" fontId="17" fillId="0" borderId="0" xfId="0" applyFont="1" applyFill="1" applyBorder="1" applyAlignment="1">
      <alignment horizontal="center" vertical="center"/>
    </xf>
    <xf numFmtId="197" fontId="26" fillId="0" borderId="0" xfId="1" applyNumberFormat="1" applyFont="1" applyFill="1" applyBorder="1" applyAlignment="1">
      <alignment horizontal="center" vertical="center"/>
    </xf>
    <xf numFmtId="197" fontId="26" fillId="0" borderId="0" xfId="1" quotePrefix="1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33" fillId="0" borderId="0" xfId="19" applyFont="1" applyFill="1" applyAlignment="1">
      <alignment horizontal="center" vertical="center"/>
    </xf>
    <xf numFmtId="0" fontId="81" fillId="0" borderId="4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top"/>
    </xf>
    <xf numFmtId="0" fontId="80" fillId="0" borderId="0" xfId="0" applyFont="1" applyFill="1" applyAlignment="1">
      <alignment horizontal="left"/>
    </xf>
    <xf numFmtId="2" fontId="125" fillId="0" borderId="4" xfId="0" applyNumberFormat="1" applyFont="1" applyFill="1" applyBorder="1" applyAlignment="1">
      <alignment horizontal="center" vertical="center"/>
    </xf>
    <xf numFmtId="0" fontId="80" fillId="0" borderId="0" xfId="0" applyFont="1" applyFill="1" applyBorder="1" applyAlignment="1">
      <alignment horizontal="left"/>
    </xf>
    <xf numFmtId="0" fontId="80" fillId="0" borderId="0" xfId="0" applyFont="1" applyFill="1" applyAlignment="1">
      <alignment horizontal="center"/>
    </xf>
    <xf numFmtId="0" fontId="33" fillId="0" borderId="0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13" fillId="0" borderId="0" xfId="20" applyFont="1" applyFill="1" applyBorder="1" applyAlignment="1">
      <alignment horizontal="left"/>
    </xf>
    <xf numFmtId="0" fontId="43" fillId="0" borderId="0" xfId="0" applyFont="1" applyFill="1" applyBorder="1" applyAlignment="1">
      <alignment horizontal="center"/>
    </xf>
    <xf numFmtId="0" fontId="18" fillId="0" borderId="4" xfId="0" applyFont="1" applyFill="1" applyBorder="1" applyAlignment="1">
      <alignment horizontal="center" vertical="center" shrinkToFit="1"/>
    </xf>
    <xf numFmtId="0" fontId="11" fillId="0" borderId="4" xfId="0" applyFont="1" applyFill="1" applyBorder="1" applyAlignment="1">
      <alignment horizontal="center" vertical="center" shrinkToFit="1"/>
    </xf>
    <xf numFmtId="0" fontId="124" fillId="0" borderId="4" xfId="0" applyFont="1" applyFill="1" applyBorder="1" applyAlignment="1">
      <alignment horizontal="center" vertical="center" shrinkToFit="1"/>
    </xf>
    <xf numFmtId="0" fontId="124" fillId="0" borderId="14" xfId="0" applyFont="1" applyFill="1" applyBorder="1" applyAlignment="1">
      <alignment horizontal="center" vertical="center"/>
    </xf>
    <xf numFmtId="0" fontId="124" fillId="0" borderId="22" xfId="0" applyFont="1" applyFill="1" applyBorder="1" applyAlignment="1">
      <alignment horizontal="center" vertical="center"/>
    </xf>
    <xf numFmtId="0" fontId="124" fillId="0" borderId="19" xfId="0" applyFont="1" applyFill="1" applyBorder="1" applyAlignment="1">
      <alignment horizontal="center" vertical="center"/>
    </xf>
    <xf numFmtId="1" fontId="107" fillId="0" borderId="0" xfId="1" applyNumberFormat="1" applyFont="1" applyFill="1" applyAlignment="1">
      <alignment horizontal="center" vertical="center"/>
    </xf>
    <xf numFmtId="1" fontId="93" fillId="0" borderId="4" xfId="1" applyNumberFormat="1" applyFont="1" applyFill="1" applyBorder="1" applyAlignment="1">
      <alignment horizontal="center" vertical="center"/>
    </xf>
    <xf numFmtId="196" fontId="93" fillId="0" borderId="14" xfId="1" applyNumberFormat="1" applyFont="1" applyFill="1" applyBorder="1" applyAlignment="1">
      <alignment horizontal="center" vertical="center"/>
    </xf>
    <xf numFmtId="196" fontId="93" fillId="0" borderId="22" xfId="1" applyNumberFormat="1" applyFont="1" applyFill="1" applyBorder="1" applyAlignment="1">
      <alignment horizontal="center" vertical="center"/>
    </xf>
    <xf numFmtId="196" fontId="93" fillId="0" borderId="19" xfId="1" applyNumberFormat="1" applyFont="1" applyFill="1" applyBorder="1" applyAlignment="1">
      <alignment horizontal="center" vertical="center"/>
    </xf>
    <xf numFmtId="1" fontId="93" fillId="0" borderId="14" xfId="1" applyNumberFormat="1" applyFont="1" applyFill="1" applyBorder="1" applyAlignment="1">
      <alignment horizontal="center" vertical="center"/>
    </xf>
    <xf numFmtId="1" fontId="93" fillId="0" borderId="22" xfId="1" applyNumberFormat="1" applyFont="1" applyFill="1" applyBorder="1" applyAlignment="1">
      <alignment horizontal="center" vertical="center"/>
    </xf>
    <xf numFmtId="1" fontId="93" fillId="0" borderId="19" xfId="1" applyNumberFormat="1" applyFont="1" applyFill="1" applyBorder="1" applyAlignment="1">
      <alignment horizontal="center" vertical="center"/>
    </xf>
    <xf numFmtId="1" fontId="126" fillId="0" borderId="0" xfId="1" applyNumberFormat="1" applyFont="1" applyFill="1" applyBorder="1" applyAlignment="1">
      <alignment horizontal="center" vertical="center"/>
    </xf>
    <xf numFmtId="196" fontId="93" fillId="0" borderId="14" xfId="1" applyNumberFormat="1" applyFont="1" applyFill="1" applyBorder="1" applyAlignment="1">
      <alignment horizontal="center" vertical="center" wrapText="1"/>
    </xf>
    <xf numFmtId="196" fontId="93" fillId="0" borderId="22" xfId="1" applyNumberFormat="1" applyFont="1" applyFill="1" applyBorder="1" applyAlignment="1">
      <alignment horizontal="center" vertical="center" wrapText="1"/>
    </xf>
    <xf numFmtId="196" fontId="93" fillId="0" borderId="19" xfId="1" applyNumberFormat="1" applyFont="1" applyFill="1" applyBorder="1" applyAlignment="1">
      <alignment horizontal="center" vertical="center" wrapText="1"/>
    </xf>
    <xf numFmtId="195" fontId="126" fillId="0" borderId="0" xfId="1" applyFont="1" applyFill="1" applyBorder="1" applyAlignment="1">
      <alignment horizontal="center" vertical="center"/>
    </xf>
    <xf numFmtId="1" fontId="93" fillId="0" borderId="4" xfId="1" applyNumberFormat="1" applyFont="1" applyFill="1" applyBorder="1" applyAlignment="1">
      <alignment horizontal="center" vertical="center" wrapText="1"/>
    </xf>
    <xf numFmtId="0" fontId="136" fillId="0" borderId="14" xfId="0" applyFont="1" applyFill="1" applyBorder="1" applyAlignment="1">
      <alignment horizontal="center"/>
    </xf>
    <xf numFmtId="0" fontId="136" fillId="0" borderId="22" xfId="0" applyFont="1" applyFill="1" applyBorder="1" applyAlignment="1">
      <alignment horizontal="center"/>
    </xf>
    <xf numFmtId="0" fontId="136" fillId="0" borderId="19" xfId="0" applyFont="1" applyFill="1" applyBorder="1" applyAlignment="1">
      <alignment horizontal="center"/>
    </xf>
    <xf numFmtId="190" fontId="136" fillId="0" borderId="4" xfId="1" applyNumberFormat="1" applyFont="1" applyFill="1" applyBorder="1" applyAlignment="1">
      <alignment horizontal="center"/>
    </xf>
    <xf numFmtId="212" fontId="106" fillId="0" borderId="4" xfId="1" applyNumberFormat="1" applyFont="1" applyFill="1" applyBorder="1" applyAlignment="1">
      <alignment horizontal="center"/>
    </xf>
    <xf numFmtId="0" fontId="147" fillId="0" borderId="14" xfId="0" applyFont="1" applyFill="1" applyBorder="1" applyAlignment="1">
      <alignment horizontal="center"/>
    </xf>
    <xf numFmtId="0" fontId="147" fillId="0" borderId="22" xfId="0" applyFont="1" applyFill="1" applyBorder="1" applyAlignment="1">
      <alignment horizontal="center"/>
    </xf>
    <xf numFmtId="0" fontId="147" fillId="0" borderId="19" xfId="0" applyFont="1" applyFill="1" applyBorder="1" applyAlignment="1">
      <alignment horizontal="center"/>
    </xf>
    <xf numFmtId="1" fontId="93" fillId="0" borderId="10" xfId="1" applyNumberFormat="1" applyFont="1" applyFill="1" applyBorder="1" applyAlignment="1">
      <alignment horizontal="center" vertical="center" wrapText="1"/>
    </xf>
    <xf numFmtId="1" fontId="93" fillId="0" borderId="16" xfId="1" applyNumberFormat="1" applyFont="1" applyFill="1" applyBorder="1" applyAlignment="1">
      <alignment horizontal="center" vertical="center" wrapText="1"/>
    </xf>
    <xf numFmtId="1" fontId="106" fillId="0" borderId="14" xfId="1" applyNumberFormat="1" applyFont="1" applyFill="1" applyBorder="1" applyAlignment="1">
      <alignment horizontal="center" vertical="center"/>
    </xf>
    <xf numFmtId="1" fontId="106" fillId="0" borderId="22" xfId="1" applyNumberFormat="1" applyFont="1" applyFill="1" applyBorder="1" applyAlignment="1">
      <alignment horizontal="center" vertical="center"/>
    </xf>
    <xf numFmtId="0" fontId="107" fillId="0" borderId="0" xfId="0" applyFont="1" applyFill="1" applyAlignment="1">
      <alignment horizontal="center"/>
    </xf>
    <xf numFmtId="1" fontId="107" fillId="0" borderId="0" xfId="1" applyNumberFormat="1" applyFont="1" applyFill="1" applyAlignment="1">
      <alignment horizontal="left" vertical="center"/>
    </xf>
    <xf numFmtId="1" fontId="107" fillId="0" borderId="0" xfId="1" applyNumberFormat="1" applyFont="1" applyFill="1" applyBorder="1" applyAlignment="1">
      <alignment horizontal="left" vertical="center"/>
    </xf>
    <xf numFmtId="1" fontId="93" fillId="0" borderId="0" xfId="1" applyNumberFormat="1" applyFont="1" applyFill="1" applyBorder="1" applyAlignment="1">
      <alignment horizontal="center" vertical="center"/>
    </xf>
    <xf numFmtId="0" fontId="126" fillId="4" borderId="0" xfId="19" applyFont="1" applyFill="1" applyBorder="1" applyAlignment="1">
      <alignment horizontal="center" vertical="center"/>
    </xf>
    <xf numFmtId="1" fontId="93" fillId="0" borderId="3" xfId="1" applyNumberFormat="1" applyFont="1" applyFill="1" applyBorder="1" applyAlignment="1">
      <alignment horizontal="left" vertical="center"/>
    </xf>
    <xf numFmtId="196" fontId="107" fillId="0" borderId="4" xfId="1" applyNumberFormat="1" applyFont="1" applyFill="1" applyBorder="1" applyAlignment="1">
      <alignment horizontal="center" vertical="center"/>
    </xf>
    <xf numFmtId="1" fontId="107" fillId="0" borderId="14" xfId="1" applyNumberFormat="1" applyFont="1" applyFill="1" applyBorder="1" applyAlignment="1">
      <alignment horizontal="center" vertical="center"/>
    </xf>
    <xf numFmtId="1" fontId="107" fillId="0" borderId="22" xfId="1" applyNumberFormat="1" applyFont="1" applyFill="1" applyBorder="1" applyAlignment="1">
      <alignment horizontal="center" vertical="center"/>
    </xf>
    <xf numFmtId="1" fontId="107" fillId="0" borderId="19" xfId="1" applyNumberFormat="1" applyFont="1" applyFill="1" applyBorder="1" applyAlignment="1">
      <alignment horizontal="center" vertical="center"/>
    </xf>
    <xf numFmtId="196" fontId="107" fillId="0" borderId="14" xfId="1" applyNumberFormat="1" applyFont="1" applyFill="1" applyBorder="1" applyAlignment="1">
      <alignment vertical="center"/>
    </xf>
    <xf numFmtId="196" fontId="107" fillId="0" borderId="22" xfId="1" applyNumberFormat="1" applyFont="1" applyFill="1" applyBorder="1" applyAlignment="1">
      <alignment vertical="center"/>
    </xf>
    <xf numFmtId="196" fontId="107" fillId="0" borderId="19" xfId="1" applyNumberFormat="1" applyFont="1" applyFill="1" applyBorder="1" applyAlignment="1">
      <alignment vertical="center"/>
    </xf>
    <xf numFmtId="0" fontId="147" fillId="0" borderId="14" xfId="0" applyFont="1" applyFill="1" applyBorder="1" applyAlignment="1">
      <alignment horizontal="center" vertical="center"/>
    </xf>
    <xf numFmtId="0" fontId="147" fillId="0" borderId="22" xfId="0" applyFont="1" applyFill="1" applyBorder="1" applyAlignment="1">
      <alignment horizontal="center" vertical="center"/>
    </xf>
    <xf numFmtId="0" fontId="147" fillId="0" borderId="19" xfId="0" applyFont="1" applyFill="1" applyBorder="1" applyAlignment="1">
      <alignment horizontal="center" vertical="center"/>
    </xf>
    <xf numFmtId="190" fontId="147" fillId="0" borderId="4" xfId="0" applyNumberFormat="1" applyFont="1" applyFill="1" applyBorder="1" applyAlignment="1">
      <alignment horizontal="center"/>
    </xf>
    <xf numFmtId="0" fontId="147" fillId="0" borderId="4" xfId="0" applyFont="1" applyFill="1" applyBorder="1" applyAlignment="1">
      <alignment horizontal="center"/>
    </xf>
    <xf numFmtId="1" fontId="93" fillId="0" borderId="0" xfId="1" quotePrefix="1" applyNumberFormat="1" applyFont="1" applyFill="1" applyBorder="1" applyAlignment="1">
      <alignment horizontal="center" vertical="center"/>
    </xf>
    <xf numFmtId="1" fontId="107" fillId="0" borderId="4" xfId="1" applyNumberFormat="1" applyFont="1" applyFill="1" applyBorder="1" applyAlignment="1">
      <alignment horizontal="center" vertical="center"/>
    </xf>
    <xf numFmtId="3" fontId="93" fillId="0" borderId="4" xfId="1" applyNumberFormat="1" applyFont="1" applyFill="1" applyBorder="1" applyAlignment="1">
      <alignment horizontal="center" vertical="center"/>
    </xf>
    <xf numFmtId="1" fontId="107" fillId="0" borderId="0" xfId="1" applyNumberFormat="1" applyFont="1" applyFill="1" applyBorder="1" applyAlignment="1">
      <alignment horizontal="center" vertical="center"/>
    </xf>
    <xf numFmtId="0" fontId="93" fillId="0" borderId="0" xfId="0" applyFont="1" applyFill="1" applyBorder="1" applyAlignment="1">
      <alignment horizontal="center" vertical="center"/>
    </xf>
    <xf numFmtId="190" fontId="147" fillId="0" borderId="14" xfId="1" applyNumberFormat="1" applyFont="1" applyFill="1" applyBorder="1" applyAlignment="1">
      <alignment horizontal="center"/>
    </xf>
    <xf numFmtId="190" fontId="147" fillId="0" borderId="22" xfId="1" applyNumberFormat="1" applyFont="1" applyFill="1" applyBorder="1" applyAlignment="1">
      <alignment horizontal="center"/>
    </xf>
    <xf numFmtId="190" fontId="147" fillId="0" borderId="19" xfId="1" applyNumberFormat="1" applyFont="1" applyFill="1" applyBorder="1" applyAlignment="1">
      <alignment horizontal="center"/>
    </xf>
    <xf numFmtId="1" fontId="128" fillId="0" borderId="0" xfId="1" applyNumberFormat="1" applyFont="1" applyFill="1" applyBorder="1" applyAlignment="1">
      <alignment horizontal="center" vertical="center"/>
    </xf>
    <xf numFmtId="1" fontId="128" fillId="0" borderId="0" xfId="1" quotePrefix="1" applyNumberFormat="1" applyFont="1" applyFill="1" applyBorder="1" applyAlignment="1">
      <alignment horizontal="center" vertical="center"/>
    </xf>
    <xf numFmtId="1" fontId="128" fillId="0" borderId="4" xfId="1" applyNumberFormat="1" applyFont="1" applyFill="1" applyBorder="1" applyAlignment="1">
      <alignment horizontal="center" vertical="center" wrapText="1"/>
    </xf>
    <xf numFmtId="1" fontId="128" fillId="0" borderId="4" xfId="1" applyNumberFormat="1" applyFont="1" applyFill="1" applyBorder="1" applyAlignment="1">
      <alignment horizontal="center" vertical="center"/>
    </xf>
    <xf numFmtId="1" fontId="155" fillId="0" borderId="0" xfId="1" applyNumberFormat="1" applyFont="1" applyFill="1" applyBorder="1" applyAlignment="1">
      <alignment horizontal="center" vertical="center"/>
    </xf>
    <xf numFmtId="1" fontId="157" fillId="0" borderId="4" xfId="1" applyNumberFormat="1" applyFont="1" applyFill="1" applyBorder="1" applyAlignment="1">
      <alignment horizontal="center" vertical="center"/>
    </xf>
    <xf numFmtId="1" fontId="80" fillId="0" borderId="0" xfId="1" applyNumberFormat="1" applyFont="1" applyFill="1" applyAlignment="1">
      <alignment horizontal="center" vertical="center"/>
    </xf>
    <xf numFmtId="1" fontId="9" fillId="0" borderId="0" xfId="1" applyNumberFormat="1" applyFont="1" applyFill="1" applyBorder="1" applyAlignment="1">
      <alignment horizontal="left" vertical="center"/>
    </xf>
    <xf numFmtId="1" fontId="9" fillId="0" borderId="0" xfId="1" applyNumberFormat="1" applyFont="1" applyFill="1" applyAlignment="1">
      <alignment horizontal="left" vertical="center"/>
    </xf>
    <xf numFmtId="1" fontId="128" fillId="0" borderId="10" xfId="1" applyNumberFormat="1" applyFont="1" applyFill="1" applyBorder="1" applyAlignment="1">
      <alignment horizontal="center" vertical="center"/>
    </xf>
    <xf numFmtId="1" fontId="129" fillId="0" borderId="0" xfId="1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11" fillId="0" borderId="4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1" fillId="0" borderId="4" xfId="1" applyNumberFormat="1" applyFont="1" applyFill="1" applyBorder="1" applyAlignment="1">
      <alignment horizontal="center" vertical="center" wrapText="1"/>
    </xf>
    <xf numFmtId="0" fontId="48" fillId="0" borderId="4" xfId="0" applyFont="1" applyFill="1" applyBorder="1"/>
    <xf numFmtId="0" fontId="10" fillId="0" borderId="0" xfId="0" applyFont="1" applyFill="1" applyAlignment="1">
      <alignment horizontal="center"/>
    </xf>
    <xf numFmtId="0" fontId="32" fillId="0" borderId="4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 vertical="center" shrinkToFit="1"/>
    </xf>
    <xf numFmtId="0" fontId="41" fillId="6" borderId="4" xfId="0" applyFont="1" applyFill="1" applyBorder="1" applyAlignment="1">
      <alignment horizontal="center" vertical="center" wrapText="1"/>
    </xf>
    <xf numFmtId="198" fontId="10" fillId="0" borderId="0" xfId="1" applyNumberFormat="1" applyFont="1" applyFill="1" applyAlignment="1">
      <alignment horizontal="center"/>
    </xf>
    <xf numFmtId="0" fontId="47" fillId="0" borderId="0" xfId="0" applyFont="1" applyFill="1" applyAlignment="1">
      <alignment horizontal="center"/>
    </xf>
    <xf numFmtId="0" fontId="14" fillId="0" borderId="0" xfId="0" applyFont="1" applyFill="1" applyAlignment="1">
      <alignment horizontal="center"/>
    </xf>
    <xf numFmtId="198" fontId="28" fillId="0" borderId="0" xfId="1" applyNumberFormat="1" applyFont="1" applyFill="1" applyAlignment="1">
      <alignment horizontal="center"/>
    </xf>
    <xf numFmtId="0" fontId="17" fillId="0" borderId="3" xfId="0" applyFont="1" applyFill="1" applyBorder="1" applyAlignment="1">
      <alignment horizontal="center"/>
    </xf>
    <xf numFmtId="0" fontId="48" fillId="0" borderId="4" xfId="0" applyFont="1" applyFill="1" applyBorder="1" applyAlignment="1">
      <alignment wrapText="1"/>
    </xf>
    <xf numFmtId="207" fontId="11" fillId="0" borderId="4" xfId="1" applyNumberFormat="1" applyFont="1" applyFill="1" applyBorder="1" applyAlignment="1">
      <alignment horizontal="center" vertical="center" wrapText="1"/>
    </xf>
    <xf numFmtId="207" fontId="48" fillId="0" borderId="4" xfId="0" applyNumberFormat="1" applyFont="1" applyFill="1" applyBorder="1"/>
    <xf numFmtId="0" fontId="7" fillId="6" borderId="4" xfId="0" applyFont="1" applyFill="1" applyBorder="1" applyAlignment="1">
      <alignment horizontal="center" vertical="center" wrapText="1"/>
    </xf>
    <xf numFmtId="4" fontId="9" fillId="0" borderId="0" xfId="0" applyNumberFormat="1" applyFont="1" applyFill="1" applyAlignment="1">
      <alignment horizontal="center"/>
    </xf>
    <xf numFmtId="195" fontId="10" fillId="0" borderId="0" xfId="1" applyFont="1" applyFill="1" applyAlignment="1">
      <alignment horizontal="center"/>
    </xf>
    <xf numFmtId="0" fontId="11" fillId="0" borderId="14" xfId="0" applyFont="1" applyFill="1" applyBorder="1" applyAlignment="1">
      <alignment horizontal="center" vertical="center"/>
    </xf>
    <xf numFmtId="0" fontId="11" fillId="0" borderId="22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 wrapText="1"/>
    </xf>
    <xf numFmtId="198" fontId="11" fillId="0" borderId="4" xfId="1" applyNumberFormat="1" applyFont="1" applyFill="1" applyBorder="1" applyAlignment="1">
      <alignment horizontal="center" vertical="center" wrapText="1"/>
    </xf>
    <xf numFmtId="189" fontId="115" fillId="0" borderId="0" xfId="0" applyNumberFormat="1" applyFont="1" applyFill="1" applyAlignment="1">
      <alignment horizontal="center"/>
    </xf>
    <xf numFmtId="189" fontId="115" fillId="0" borderId="0" xfId="1" applyNumberFormat="1" applyFont="1" applyFill="1" applyAlignment="1">
      <alignment horizontal="center"/>
    </xf>
    <xf numFmtId="189" fontId="93" fillId="0" borderId="4" xfId="0" applyNumberFormat="1" applyFont="1" applyFill="1" applyBorder="1" applyAlignment="1">
      <alignment horizontal="center" vertical="center" wrapText="1"/>
    </xf>
    <xf numFmtId="189" fontId="110" fillId="0" borderId="0" xfId="0" applyNumberFormat="1" applyFont="1" applyFill="1" applyAlignment="1">
      <alignment horizontal="center"/>
    </xf>
    <xf numFmtId="189" fontId="93" fillId="0" borderId="0" xfId="0" applyNumberFormat="1" applyFont="1" applyFill="1" applyAlignment="1">
      <alignment horizontal="center"/>
    </xf>
    <xf numFmtId="189" fontId="93" fillId="0" borderId="14" xfId="0" applyNumberFormat="1" applyFont="1" applyFill="1" applyBorder="1" applyAlignment="1">
      <alignment horizontal="center" vertical="center" wrapText="1"/>
    </xf>
    <xf numFmtId="189" fontId="93" fillId="0" borderId="19" xfId="0" applyNumberFormat="1" applyFont="1" applyFill="1" applyBorder="1" applyAlignment="1">
      <alignment horizontal="center" vertical="center" wrapText="1"/>
    </xf>
    <xf numFmtId="189" fontId="117" fillId="0" borderId="0" xfId="0" applyNumberFormat="1" applyFont="1" applyFill="1" applyAlignment="1">
      <alignment horizontal="center"/>
    </xf>
    <xf numFmtId="189" fontId="93" fillId="0" borderId="4" xfId="1" applyNumberFormat="1" applyFont="1" applyFill="1" applyBorder="1" applyAlignment="1">
      <alignment horizontal="center" vertical="center" wrapText="1"/>
    </xf>
    <xf numFmtId="189" fontId="115" fillId="0" borderId="0" xfId="1" quotePrefix="1" applyNumberFormat="1" applyFont="1" applyFill="1" applyAlignment="1">
      <alignment horizontal="center"/>
    </xf>
    <xf numFmtId="0" fontId="164" fillId="0" borderId="0" xfId="0" applyFont="1" applyFill="1"/>
    <xf numFmtId="189" fontId="107" fillId="4" borderId="0" xfId="0" applyNumberFormat="1" applyFont="1" applyFill="1" applyBorder="1" applyAlignment="1">
      <alignment horizontal="right"/>
    </xf>
    <xf numFmtId="210" fontId="107" fillId="4" borderId="3" xfId="0" applyNumberFormat="1" applyFont="1" applyFill="1" applyBorder="1" applyAlignment="1">
      <alignment horizontal="center" vertical="center"/>
    </xf>
    <xf numFmtId="4" fontId="107" fillId="0" borderId="0" xfId="1" applyNumberFormat="1" applyFont="1" applyFill="1" applyAlignment="1">
      <alignment horizontal="center"/>
    </xf>
    <xf numFmtId="189" fontId="106" fillId="0" borderId="4" xfId="0" applyNumberFormat="1" applyFont="1" applyFill="1" applyBorder="1" applyAlignment="1">
      <alignment horizontal="center" vertical="center" shrinkToFit="1"/>
    </xf>
    <xf numFmtId="213" fontId="107" fillId="0" borderId="0" xfId="0" applyNumberFormat="1" applyFont="1" applyFill="1" applyAlignment="1">
      <alignment horizontal="center"/>
    </xf>
    <xf numFmtId="210" fontId="107" fillId="0" borderId="0" xfId="0" applyNumberFormat="1" applyFont="1" applyFill="1" applyAlignment="1">
      <alignment horizontal="center"/>
    </xf>
    <xf numFmtId="189" fontId="107" fillId="0" borderId="0" xfId="0" applyNumberFormat="1" applyFont="1" applyFill="1" applyAlignment="1">
      <alignment horizontal="center"/>
    </xf>
    <xf numFmtId="3" fontId="107" fillId="0" borderId="0" xfId="1" applyNumberFormat="1" applyFont="1" applyFill="1" applyAlignment="1">
      <alignment horizontal="center"/>
    </xf>
    <xf numFmtId="189" fontId="107" fillId="0" borderId="0" xfId="0" applyNumberFormat="1" applyFont="1" applyFill="1" applyBorder="1" applyAlignment="1">
      <alignment horizontal="center"/>
    </xf>
    <xf numFmtId="189" fontId="93" fillId="0" borderId="0" xfId="0" applyNumberFormat="1" applyFont="1" applyFill="1" applyAlignment="1">
      <alignment horizontal="center" vertical="center"/>
    </xf>
    <xf numFmtId="189" fontId="93" fillId="0" borderId="14" xfId="0" applyNumberFormat="1" applyFont="1" applyFill="1" applyBorder="1" applyAlignment="1">
      <alignment horizontal="center" vertical="center" shrinkToFit="1"/>
    </xf>
    <xf numFmtId="189" fontId="93" fillId="0" borderId="22" xfId="0" applyNumberFormat="1" applyFont="1" applyFill="1" applyBorder="1" applyAlignment="1">
      <alignment horizontal="center" vertical="center" shrinkToFit="1"/>
    </xf>
    <xf numFmtId="189" fontId="93" fillId="0" borderId="19" xfId="0" applyNumberFormat="1" applyFont="1" applyFill="1" applyBorder="1" applyAlignment="1">
      <alignment horizontal="center" vertical="center" shrinkToFit="1"/>
    </xf>
    <xf numFmtId="189" fontId="93" fillId="0" borderId="4" xfId="1" applyNumberFormat="1" applyFont="1" applyFill="1" applyBorder="1" applyAlignment="1">
      <alignment horizontal="center"/>
    </xf>
    <xf numFmtId="189" fontId="93" fillId="0" borderId="4" xfId="0" applyNumberFormat="1" applyFont="1" applyFill="1" applyBorder="1" applyAlignment="1">
      <alignment horizontal="center" vertical="center" shrinkToFit="1"/>
    </xf>
    <xf numFmtId="189" fontId="93" fillId="0" borderId="0" xfId="1" applyNumberFormat="1" applyFont="1" applyFill="1" applyAlignment="1">
      <alignment horizontal="center"/>
    </xf>
    <xf numFmtId="189" fontId="93" fillId="0" borderId="0" xfId="1" quotePrefix="1" applyNumberFormat="1" applyFont="1" applyFill="1" applyAlignment="1">
      <alignment horizontal="center"/>
    </xf>
    <xf numFmtId="189" fontId="107" fillId="0" borderId="0" xfId="0" applyNumberFormat="1" applyFont="1" applyFill="1" applyBorder="1" applyAlignment="1">
      <alignment horizontal="center" vertical="center"/>
    </xf>
    <xf numFmtId="189" fontId="107" fillId="0" borderId="0" xfId="0" applyNumberFormat="1" applyFont="1" applyFill="1" applyBorder="1" applyAlignment="1">
      <alignment horizontal="right"/>
    </xf>
    <xf numFmtId="189" fontId="93" fillId="0" borderId="14" xfId="1" applyNumberFormat="1" applyFont="1" applyFill="1" applyBorder="1" applyAlignment="1">
      <alignment horizontal="center" vertical="center" wrapText="1"/>
    </xf>
    <xf numFmtId="189" fontId="93" fillId="0" borderId="22" xfId="1" applyNumberFormat="1" applyFont="1" applyFill="1" applyBorder="1" applyAlignment="1">
      <alignment horizontal="center" vertical="center" wrapText="1"/>
    </xf>
    <xf numFmtId="189" fontId="93" fillId="0" borderId="19" xfId="1" applyNumberFormat="1" applyFont="1" applyFill="1" applyBorder="1" applyAlignment="1">
      <alignment horizontal="center" vertical="center" wrapText="1"/>
    </xf>
    <xf numFmtId="189" fontId="93" fillId="0" borderId="10" xfId="1" applyNumberFormat="1" applyFont="1" applyFill="1" applyBorder="1" applyAlignment="1">
      <alignment horizontal="center" vertical="center" wrapText="1"/>
    </xf>
    <xf numFmtId="189" fontId="93" fillId="0" borderId="11" xfId="1" applyNumberFormat="1" applyFont="1" applyFill="1" applyBorder="1" applyAlignment="1">
      <alignment horizontal="center" vertical="center" wrapText="1"/>
    </xf>
    <xf numFmtId="189" fontId="93" fillId="0" borderId="16" xfId="1" applyNumberFormat="1" applyFont="1" applyFill="1" applyBorder="1" applyAlignment="1">
      <alignment horizontal="center" vertical="center" wrapText="1"/>
    </xf>
    <xf numFmtId="189" fontId="107" fillId="0" borderId="3" xfId="0" applyNumberFormat="1" applyFont="1" applyFill="1" applyBorder="1" applyAlignment="1">
      <alignment horizontal="center" vertical="center"/>
    </xf>
    <xf numFmtId="189" fontId="107" fillId="0" borderId="15" xfId="0" applyNumberFormat="1" applyFont="1" applyFill="1" applyBorder="1" applyAlignment="1">
      <alignment horizontal="center"/>
    </xf>
    <xf numFmtId="189" fontId="12" fillId="0" borderId="0" xfId="0" applyNumberFormat="1" applyFont="1" applyFill="1" applyAlignment="1">
      <alignment horizontal="center"/>
    </xf>
    <xf numFmtId="210" fontId="12" fillId="0" borderId="0" xfId="0" applyNumberFormat="1" applyFont="1" applyFill="1" applyAlignment="1">
      <alignment horizontal="center"/>
    </xf>
    <xf numFmtId="3" fontId="12" fillId="0" borderId="0" xfId="1" applyNumberFormat="1" applyFont="1" applyFill="1" applyAlignment="1">
      <alignment horizontal="center"/>
    </xf>
    <xf numFmtId="189" fontId="9" fillId="0" borderId="0" xfId="0" applyNumberFormat="1" applyFont="1" applyFill="1" applyAlignment="1">
      <alignment horizontal="center"/>
    </xf>
    <xf numFmtId="189" fontId="12" fillId="0" borderId="0" xfId="1" applyNumberFormat="1" applyFont="1" applyFill="1" applyAlignment="1">
      <alignment horizontal="center"/>
    </xf>
    <xf numFmtId="189" fontId="82" fillId="0" borderId="4" xfId="0" applyNumberFormat="1" applyFont="1" applyFill="1" applyBorder="1" applyAlignment="1">
      <alignment horizontal="center" vertical="center" shrinkToFit="1"/>
    </xf>
    <xf numFmtId="189" fontId="126" fillId="0" borderId="0" xfId="0" applyNumberFormat="1" applyFont="1" applyFill="1" applyBorder="1" applyAlignment="1">
      <alignment horizontal="center"/>
    </xf>
    <xf numFmtId="0" fontId="11" fillId="0" borderId="6" xfId="0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horizontal="left" vertical="top" wrapText="1"/>
    </xf>
    <xf numFmtId="189" fontId="26" fillId="0" borderId="0" xfId="0" applyNumberFormat="1" applyFont="1" applyFill="1" applyAlignment="1">
      <alignment horizontal="center" vertical="center"/>
    </xf>
    <xf numFmtId="189" fontId="82" fillId="0" borderId="0" xfId="0" applyNumberFormat="1" applyFont="1" applyFill="1" applyAlignment="1">
      <alignment horizontal="left" vertical="center"/>
    </xf>
    <xf numFmtId="189" fontId="7" fillId="0" borderId="3" xfId="0" applyNumberFormat="1" applyFont="1" applyFill="1" applyBorder="1" applyAlignment="1">
      <alignment horizontal="center"/>
    </xf>
    <xf numFmtId="189" fontId="82" fillId="0" borderId="0" xfId="0" applyNumberFormat="1" applyFont="1" applyFill="1" applyAlignment="1">
      <alignment horizontal="center"/>
    </xf>
    <xf numFmtId="189" fontId="171" fillId="0" borderId="0" xfId="0" applyNumberFormat="1" applyFont="1" applyFill="1" applyAlignment="1">
      <alignment horizontal="center"/>
    </xf>
    <xf numFmtId="189" fontId="80" fillId="0" borderId="0" xfId="0" applyNumberFormat="1" applyFont="1" applyFill="1" applyBorder="1" applyAlignment="1">
      <alignment horizontal="right"/>
    </xf>
    <xf numFmtId="210" fontId="165" fillId="0" borderId="3" xfId="0" applyNumberFormat="1" applyFont="1" applyFill="1" applyBorder="1" applyAlignment="1">
      <alignment horizontal="center" vertical="center"/>
    </xf>
    <xf numFmtId="189" fontId="7" fillId="0" borderId="0" xfId="0" applyNumberFormat="1" applyFont="1" applyFill="1" applyAlignment="1">
      <alignment horizontal="center"/>
    </xf>
    <xf numFmtId="189" fontId="82" fillId="0" borderId="0" xfId="1" applyNumberFormat="1" applyFont="1" applyFill="1" applyAlignment="1">
      <alignment horizontal="center"/>
    </xf>
    <xf numFmtId="189" fontId="165" fillId="0" borderId="0" xfId="0" applyNumberFormat="1" applyFont="1" applyFill="1" applyAlignment="1">
      <alignment horizontal="center"/>
    </xf>
    <xf numFmtId="189" fontId="82" fillId="0" borderId="4" xfId="0" applyNumberFormat="1" applyFont="1" applyFill="1" applyBorder="1" applyAlignment="1">
      <alignment horizontal="center" vertical="center" wrapText="1"/>
    </xf>
    <xf numFmtId="189" fontId="82" fillId="0" borderId="4" xfId="1" applyNumberFormat="1" applyFont="1" applyFill="1" applyBorder="1" applyAlignment="1">
      <alignment horizontal="center"/>
    </xf>
    <xf numFmtId="189" fontId="82" fillId="0" borderId="4" xfId="0" applyNumberFormat="1" applyFont="1" applyFill="1" applyBorder="1" applyAlignment="1">
      <alignment horizontal="center" vertical="center"/>
    </xf>
    <xf numFmtId="189" fontId="82" fillId="0" borderId="4" xfId="1" applyNumberFormat="1" applyFont="1" applyFill="1" applyBorder="1" applyAlignment="1">
      <alignment horizontal="center" vertical="center" wrapText="1"/>
    </xf>
    <xf numFmtId="189" fontId="170" fillId="0" borderId="4" xfId="1" applyNumberFormat="1" applyFont="1" applyFill="1" applyBorder="1" applyAlignment="1">
      <alignment horizontal="center" vertical="center" wrapText="1"/>
    </xf>
    <xf numFmtId="0" fontId="170" fillId="0" borderId="4" xfId="0" applyFont="1" applyFill="1" applyBorder="1" applyAlignment="1">
      <alignment horizontal="center" vertical="center"/>
    </xf>
    <xf numFmtId="0" fontId="174" fillId="0" borderId="14" xfId="0" applyFont="1" applyFill="1" applyBorder="1" applyAlignment="1">
      <alignment horizontal="center" vertical="center"/>
    </xf>
    <xf numFmtId="0" fontId="148" fillId="0" borderId="22" xfId="0" applyFont="1" applyFill="1" applyBorder="1" applyAlignment="1">
      <alignment horizontal="center" vertical="center"/>
    </xf>
    <xf numFmtId="0" fontId="148" fillId="0" borderId="19" xfId="0" applyFont="1" applyFill="1" applyBorder="1" applyAlignment="1">
      <alignment horizontal="center" vertical="center"/>
    </xf>
    <xf numFmtId="0" fontId="176" fillId="0" borderId="0" xfId="0" applyFont="1" applyFill="1" applyBorder="1" applyAlignment="1">
      <alignment horizontal="center" vertical="center"/>
    </xf>
    <xf numFmtId="0" fontId="170" fillId="0" borderId="10" xfId="0" applyFont="1" applyFill="1" applyBorder="1" applyAlignment="1">
      <alignment horizontal="center" vertical="center" wrapText="1"/>
    </xf>
    <xf numFmtId="0" fontId="170" fillId="0" borderId="16" xfId="0" applyFont="1" applyFill="1" applyBorder="1" applyAlignment="1">
      <alignment horizontal="center" vertical="center" wrapText="1"/>
    </xf>
    <xf numFmtId="0" fontId="172" fillId="0" borderId="15" xfId="0" applyFont="1" applyFill="1" applyBorder="1" applyAlignment="1">
      <alignment horizontal="center"/>
    </xf>
    <xf numFmtId="198" fontId="170" fillId="0" borderId="0" xfId="1" applyNumberFormat="1" applyFont="1" applyFill="1" applyAlignment="1">
      <alignment horizontal="center"/>
    </xf>
    <xf numFmtId="198" fontId="170" fillId="0" borderId="0" xfId="1" quotePrefix="1" applyNumberFormat="1" applyFont="1" applyFill="1" applyAlignment="1">
      <alignment horizontal="center"/>
    </xf>
    <xf numFmtId="0" fontId="115" fillId="0" borderId="0" xfId="0" applyFont="1" applyFill="1" applyAlignment="1">
      <alignment horizontal="center" vertical="center" wrapText="1"/>
    </xf>
    <xf numFmtId="0" fontId="115" fillId="0" borderId="0" xfId="0" applyFont="1" applyFill="1" applyAlignment="1">
      <alignment horizontal="center" vertical="center"/>
    </xf>
    <xf numFmtId="0" fontId="170" fillId="0" borderId="4" xfId="0" applyFont="1" applyFill="1" applyBorder="1" applyAlignment="1">
      <alignment horizontal="center" vertical="center" wrapText="1"/>
    </xf>
    <xf numFmtId="0" fontId="60" fillId="0" borderId="0" xfId="0" applyFont="1" applyFill="1" applyAlignment="1">
      <alignment horizontal="center"/>
    </xf>
    <xf numFmtId="0" fontId="170" fillId="0" borderId="0" xfId="0" applyFont="1" applyFill="1" applyAlignment="1">
      <alignment horizontal="center"/>
    </xf>
    <xf numFmtId="0" fontId="43" fillId="0" borderId="0" xfId="0" applyFont="1" applyFill="1" applyBorder="1" applyAlignment="1">
      <alignment horizontal="center" vertical="center"/>
    </xf>
    <xf numFmtId="0" fontId="90" fillId="0" borderId="0" xfId="0" applyFont="1" applyAlignment="1">
      <alignment horizontal="center"/>
    </xf>
    <xf numFmtId="198" fontId="26" fillId="0" borderId="0" xfId="1" applyNumberFormat="1" applyFont="1" applyFill="1" applyAlignment="1">
      <alignment horizontal="center"/>
    </xf>
    <xf numFmtId="198" fontId="26" fillId="0" borderId="0" xfId="1" quotePrefix="1" applyNumberFormat="1" applyFont="1" applyFill="1" applyAlignment="1">
      <alignment horizontal="center"/>
    </xf>
    <xf numFmtId="0" fontId="26" fillId="0" borderId="0" xfId="0" applyFont="1" applyFill="1" applyAlignment="1">
      <alignment horizontal="center"/>
    </xf>
    <xf numFmtId="0" fontId="82" fillId="0" borderId="0" xfId="0" applyFont="1" applyFill="1" applyAlignment="1">
      <alignment horizontal="center" vertical="center" wrapText="1"/>
    </xf>
    <xf numFmtId="0" fontId="82" fillId="0" borderId="0" xfId="0" applyFont="1" applyFill="1" applyAlignment="1">
      <alignment horizontal="center" vertical="center"/>
    </xf>
    <xf numFmtId="0" fontId="26" fillId="0" borderId="4" xfId="0" applyFont="1" applyFill="1" applyBorder="1" applyAlignment="1">
      <alignment horizontal="center" vertical="center"/>
    </xf>
    <xf numFmtId="0" fontId="43" fillId="0" borderId="4" xfId="0" applyFont="1" applyFill="1" applyBorder="1" applyAlignment="1">
      <alignment horizontal="center" vertical="center"/>
    </xf>
    <xf numFmtId="189" fontId="26" fillId="0" borderId="4" xfId="1" applyNumberFormat="1" applyFont="1" applyFill="1" applyBorder="1" applyAlignment="1">
      <alignment horizontal="center" vertical="center" wrapText="1"/>
    </xf>
    <xf numFmtId="0" fontId="114" fillId="0" borderId="4" xfId="0" applyFont="1" applyBorder="1" applyAlignment="1">
      <alignment horizontal="center" vertical="center"/>
    </xf>
    <xf numFmtId="0" fontId="104" fillId="0" borderId="4" xfId="0" applyFont="1" applyBorder="1" applyAlignment="1">
      <alignment horizontal="center" vertical="center"/>
    </xf>
    <xf numFmtId="0" fontId="26" fillId="0" borderId="4" xfId="0" applyFont="1" applyFill="1" applyBorder="1" applyAlignment="1">
      <alignment horizontal="center" vertical="center" wrapText="1"/>
    </xf>
    <xf numFmtId="0" fontId="26" fillId="0" borderId="4" xfId="0" applyFont="1" applyFill="1" applyBorder="1" applyAlignment="1">
      <alignment horizontal="center" vertical="justify" wrapText="1"/>
    </xf>
    <xf numFmtId="0" fontId="61" fillId="0" borderId="15" xfId="0" applyFont="1" applyBorder="1" applyAlignment="1">
      <alignment horizontal="center"/>
    </xf>
    <xf numFmtId="0" fontId="26" fillId="0" borderId="0" xfId="0" applyFont="1" applyAlignment="1">
      <alignment horizontal="center"/>
    </xf>
    <xf numFmtId="189" fontId="26" fillId="0" borderId="0" xfId="1" applyNumberFormat="1" applyFont="1" applyFill="1" applyAlignment="1">
      <alignment horizontal="center"/>
    </xf>
    <xf numFmtId="0" fontId="17" fillId="0" borderId="0" xfId="0" applyFont="1" applyFill="1" applyAlignment="1">
      <alignment horizontal="center"/>
    </xf>
    <xf numFmtId="0" fontId="12" fillId="0" borderId="0" xfId="0" applyFont="1" applyFill="1" applyAlignment="1">
      <alignment horizontal="center"/>
    </xf>
    <xf numFmtId="189" fontId="26" fillId="0" borderId="0" xfId="1" quotePrefix="1" applyNumberFormat="1" applyFont="1" applyFill="1" applyAlignment="1">
      <alignment horizontal="center"/>
    </xf>
    <xf numFmtId="0" fontId="82" fillId="0" borderId="0" xfId="0" applyFont="1" applyFill="1" applyAlignment="1">
      <alignment horizontal="center"/>
    </xf>
    <xf numFmtId="0" fontId="26" fillId="0" borderId="4" xfId="0" applyFont="1" applyFill="1" applyBorder="1" applyAlignment="1">
      <alignment horizontal="left" vertical="center"/>
    </xf>
    <xf numFmtId="0" fontId="26" fillId="0" borderId="4" xfId="0" applyFont="1" applyFill="1" applyBorder="1" applyAlignment="1">
      <alignment horizontal="left" vertical="center" wrapText="1"/>
    </xf>
    <xf numFmtId="1" fontId="26" fillId="0" borderId="14" xfId="0" applyNumberFormat="1" applyFont="1" applyFill="1" applyBorder="1" applyAlignment="1">
      <alignment horizontal="left" vertical="center"/>
    </xf>
    <xf numFmtId="0" fontId="26" fillId="0" borderId="22" xfId="0" applyFont="1" applyFill="1" applyBorder="1" applyAlignment="1">
      <alignment horizontal="left" vertical="center"/>
    </xf>
    <xf numFmtId="0" fontId="26" fillId="0" borderId="19" xfId="0" applyFont="1" applyFill="1" applyBorder="1" applyAlignment="1">
      <alignment horizontal="left" vertical="center"/>
    </xf>
    <xf numFmtId="1" fontId="26" fillId="0" borderId="14" xfId="0" applyNumberFormat="1" applyFont="1" applyFill="1" applyBorder="1" applyAlignment="1">
      <alignment horizontal="left" vertical="center" wrapText="1"/>
    </xf>
    <xf numFmtId="1" fontId="26" fillId="0" borderId="22" xfId="0" applyNumberFormat="1" applyFont="1" applyFill="1" applyBorder="1" applyAlignment="1">
      <alignment horizontal="left" vertical="center" wrapText="1"/>
    </xf>
    <xf numFmtId="1" fontId="26" fillId="0" borderId="19" xfId="0" applyNumberFormat="1" applyFont="1" applyFill="1" applyBorder="1" applyAlignment="1">
      <alignment horizontal="left" vertical="center" wrapText="1"/>
    </xf>
    <xf numFmtId="0" fontId="26" fillId="4" borderId="0" xfId="0" applyFont="1" applyFill="1" applyAlignment="1">
      <alignment horizontal="center" vertical="center"/>
    </xf>
    <xf numFmtId="0" fontId="104" fillId="4" borderId="4" xfId="0" applyFont="1" applyFill="1" applyBorder="1" applyAlignment="1">
      <alignment horizontal="center" vertical="center"/>
    </xf>
    <xf numFmtId="196" fontId="17" fillId="0" borderId="0" xfId="0" applyNumberFormat="1" applyFont="1" applyFill="1" applyAlignment="1">
      <alignment horizontal="center"/>
    </xf>
    <xf numFmtId="197" fontId="9" fillId="0" borderId="0" xfId="0" applyNumberFormat="1" applyFont="1" applyFill="1" applyAlignment="1">
      <alignment horizontal="center"/>
    </xf>
    <xf numFmtId="0" fontId="9" fillId="0" borderId="0" xfId="0" applyFont="1" applyFill="1" applyAlignment="1">
      <alignment horizontal="center"/>
    </xf>
    <xf numFmtId="3" fontId="9" fillId="0" borderId="0" xfId="0" applyNumberFormat="1" applyFont="1" applyFill="1" applyAlignment="1">
      <alignment horizontal="center"/>
    </xf>
    <xf numFmtId="0" fontId="33" fillId="0" borderId="15" xfId="0" applyFont="1" applyFill="1" applyBorder="1" applyAlignment="1">
      <alignment horizontal="center"/>
    </xf>
    <xf numFmtId="0" fontId="118" fillId="0" borderId="0" xfId="0" applyFont="1" applyFill="1" applyBorder="1" applyAlignment="1">
      <alignment horizontal="center"/>
    </xf>
    <xf numFmtId="0" fontId="79" fillId="0" borderId="0" xfId="0" applyFont="1" applyFill="1" applyBorder="1" applyAlignment="1">
      <alignment horizontal="center" vertical="center"/>
    </xf>
    <xf numFmtId="0" fontId="118" fillId="0" borderId="14" xfId="0" applyFont="1" applyFill="1" applyBorder="1" applyAlignment="1">
      <alignment horizontal="center" vertical="center"/>
    </xf>
    <xf numFmtId="0" fontId="118" fillId="0" borderId="22" xfId="0" applyFont="1" applyFill="1" applyBorder="1" applyAlignment="1">
      <alignment horizontal="center" vertical="center"/>
    </xf>
    <xf numFmtId="0" fontId="118" fillId="0" borderId="19" xfId="0" applyFont="1" applyFill="1" applyBorder="1" applyAlignment="1">
      <alignment horizontal="center" vertical="center"/>
    </xf>
    <xf numFmtId="0" fontId="120" fillId="0" borderId="15" xfId="0" applyFont="1" applyFill="1" applyBorder="1" applyAlignment="1">
      <alignment horizontal="right" vertical="center"/>
    </xf>
    <xf numFmtId="0" fontId="118" fillId="0" borderId="0" xfId="0" applyFont="1" applyFill="1" applyBorder="1" applyAlignment="1">
      <alignment horizontal="left"/>
    </xf>
    <xf numFmtId="0" fontId="103" fillId="0" borderId="0" xfId="0" applyFont="1" applyFill="1" applyBorder="1" applyAlignment="1">
      <alignment horizontal="center" vertical="center"/>
    </xf>
    <xf numFmtId="0" fontId="77" fillId="0" borderId="0" xfId="0" applyFont="1" applyFill="1" applyBorder="1" applyAlignment="1">
      <alignment horizontal="center"/>
    </xf>
    <xf numFmtId="0" fontId="77" fillId="0" borderId="0" xfId="0" quotePrefix="1" applyFont="1" applyFill="1" applyBorder="1" applyAlignment="1">
      <alignment horizontal="center"/>
    </xf>
    <xf numFmtId="0" fontId="74" fillId="0" borderId="0" xfId="0" applyFont="1" applyFill="1" applyBorder="1" applyAlignment="1">
      <alignment horizontal="center"/>
    </xf>
    <xf numFmtId="0" fontId="10" fillId="0" borderId="0" xfId="0" quotePrefix="1" applyFont="1" applyFill="1" applyAlignment="1">
      <alignment horizontal="center"/>
    </xf>
    <xf numFmtId="0" fontId="12" fillId="0" borderId="0" xfId="0" applyNumberFormat="1" applyFont="1" applyFill="1" applyAlignment="1">
      <alignment horizontal="center"/>
    </xf>
    <xf numFmtId="0" fontId="10" fillId="0" borderId="0" xfId="0" applyNumberFormat="1" applyFont="1" applyFill="1" applyAlignment="1">
      <alignment horizontal="center"/>
    </xf>
    <xf numFmtId="3" fontId="17" fillId="0" borderId="0" xfId="0" applyNumberFormat="1" applyFont="1" applyFill="1" applyAlignment="1">
      <alignment horizontal="center"/>
    </xf>
    <xf numFmtId="0" fontId="84" fillId="0" borderId="0" xfId="16" applyFont="1" applyFill="1" applyAlignment="1">
      <alignment horizontal="center"/>
    </xf>
    <xf numFmtId="196" fontId="21" fillId="0" borderId="0" xfId="1" applyNumberFormat="1" applyFont="1" applyFill="1" applyAlignment="1">
      <alignment horizontal="center"/>
    </xf>
    <xf numFmtId="0" fontId="82" fillId="0" borderId="0" xfId="0" applyNumberFormat="1" applyFont="1" applyFill="1" applyAlignment="1">
      <alignment horizontal="center"/>
    </xf>
    <xf numFmtId="0" fontId="69" fillId="0" borderId="0" xfId="0" applyFont="1" applyFill="1" applyAlignment="1">
      <alignment horizontal="center"/>
    </xf>
    <xf numFmtId="0" fontId="89" fillId="0" borderId="0" xfId="0" applyFont="1" applyFill="1" applyAlignment="1">
      <alignment horizontal="center"/>
    </xf>
    <xf numFmtId="196" fontId="12" fillId="0" borderId="3" xfId="1" applyNumberFormat="1" applyFont="1" applyFill="1" applyBorder="1" applyAlignment="1">
      <alignment horizontal="center"/>
    </xf>
    <xf numFmtId="0" fontId="10" fillId="0" borderId="4" xfId="0" applyFont="1" applyFill="1" applyBorder="1" applyAlignment="1">
      <alignment horizontal="center" vertical="center"/>
    </xf>
    <xf numFmtId="0" fontId="142" fillId="0" borderId="14" xfId="0" applyFont="1" applyFill="1" applyBorder="1" applyAlignment="1">
      <alignment horizontal="center" vertical="center"/>
    </xf>
    <xf numFmtId="0" fontId="142" fillId="0" borderId="22" xfId="0" applyFont="1" applyFill="1" applyBorder="1" applyAlignment="1">
      <alignment horizontal="center" vertical="center"/>
    </xf>
    <xf numFmtId="0" fontId="142" fillId="0" borderId="19" xfId="0" applyFont="1" applyFill="1" applyBorder="1" applyAlignment="1">
      <alignment horizontal="center" vertical="center"/>
    </xf>
    <xf numFmtId="0" fontId="24" fillId="0" borderId="0" xfId="16" applyFont="1" applyFill="1" applyAlignment="1">
      <alignment horizontal="center"/>
    </xf>
    <xf numFmtId="3" fontId="17" fillId="0" borderId="0" xfId="0" applyNumberFormat="1" applyFont="1" applyFill="1" applyAlignment="1"/>
    <xf numFmtId="0" fontId="76" fillId="0" borderId="0" xfId="0" applyFont="1" applyFill="1" applyBorder="1" applyAlignment="1">
      <alignment horizontal="left"/>
    </xf>
    <xf numFmtId="0" fontId="76" fillId="0" borderId="0" xfId="0" applyFont="1" applyFill="1" applyBorder="1" applyAlignment="1">
      <alignment horizontal="center"/>
    </xf>
    <xf numFmtId="0" fontId="17" fillId="0" borderId="0" xfId="0" applyFont="1" applyFill="1" applyBorder="1" applyAlignment="1">
      <alignment horizontal="center" wrapText="1"/>
    </xf>
    <xf numFmtId="0" fontId="33" fillId="0" borderId="3" xfId="0" applyFont="1" applyFill="1" applyBorder="1" applyAlignment="1">
      <alignment horizontal="center"/>
    </xf>
    <xf numFmtId="0" fontId="90" fillId="0" borderId="14" xfId="0" applyFont="1" applyFill="1" applyBorder="1" applyAlignment="1">
      <alignment horizontal="center" vertical="center"/>
    </xf>
    <xf numFmtId="0" fontId="90" fillId="0" borderId="19" xfId="0" applyFont="1" applyFill="1" applyBorder="1" applyAlignment="1">
      <alignment horizontal="center" vertical="center"/>
    </xf>
    <xf numFmtId="0" fontId="109" fillId="0" borderId="0" xfId="0" applyFont="1" applyFill="1" applyBorder="1" applyAlignment="1">
      <alignment horizontal="center"/>
    </xf>
    <xf numFmtId="0" fontId="114" fillId="0" borderId="14" xfId="0" applyFont="1" applyBorder="1" applyAlignment="1">
      <alignment horizontal="center" vertical="center"/>
    </xf>
    <xf numFmtId="0" fontId="104" fillId="0" borderId="22" xfId="0" applyFont="1" applyBorder="1" applyAlignment="1">
      <alignment horizontal="center" vertical="center"/>
    </xf>
    <xf numFmtId="0" fontId="104" fillId="0" borderId="19" xfId="0" applyFont="1" applyBorder="1" applyAlignment="1">
      <alignment horizontal="center" vertical="center"/>
    </xf>
    <xf numFmtId="0" fontId="61" fillId="0" borderId="0" xfId="0" applyFont="1" applyBorder="1" applyAlignment="1">
      <alignment horizontal="right"/>
    </xf>
    <xf numFmtId="0" fontId="17" fillId="0" borderId="0" xfId="0" applyFont="1" applyFill="1" applyAlignment="1">
      <alignment horizontal="center" vertical="center" wrapText="1"/>
    </xf>
    <xf numFmtId="0" fontId="17" fillId="0" borderId="0" xfId="0" applyFont="1" applyFill="1" applyAlignment="1">
      <alignment horizontal="center" vertical="center"/>
    </xf>
    <xf numFmtId="203" fontId="11" fillId="0" borderId="14" xfId="0" applyNumberFormat="1" applyFont="1" applyFill="1" applyBorder="1" applyAlignment="1">
      <alignment horizontal="center" vertical="center"/>
    </xf>
    <xf numFmtId="203" fontId="11" fillId="0" borderId="22" xfId="0" applyNumberFormat="1" applyFont="1" applyFill="1" applyBorder="1" applyAlignment="1">
      <alignment horizontal="center" vertical="center"/>
    </xf>
    <xf numFmtId="203" fontId="11" fillId="0" borderId="19" xfId="0" applyNumberFormat="1" applyFont="1" applyFill="1" applyBorder="1" applyAlignment="1">
      <alignment horizontal="center" vertical="center"/>
    </xf>
    <xf numFmtId="0" fontId="138" fillId="0" borderId="22" xfId="0" applyFont="1" applyFill="1" applyBorder="1" applyAlignment="1">
      <alignment vertical="center"/>
    </xf>
    <xf numFmtId="0" fontId="138" fillId="0" borderId="19" xfId="0" applyFont="1" applyFill="1" applyBorder="1" applyAlignment="1">
      <alignment vertical="center"/>
    </xf>
    <xf numFmtId="0" fontId="6" fillId="0" borderId="0" xfId="0" applyFont="1" applyFill="1" applyAlignment="1">
      <alignment horizontal="center" vertical="center"/>
    </xf>
    <xf numFmtId="0" fontId="6" fillId="0" borderId="25" xfId="0" applyFont="1" applyFill="1" applyBorder="1" applyAlignment="1">
      <alignment horizontal="center" vertical="center"/>
    </xf>
    <xf numFmtId="203" fontId="11" fillId="0" borderId="0" xfId="0" applyNumberFormat="1" applyFont="1" applyFill="1" applyBorder="1" applyAlignment="1">
      <alignment horizontal="center" vertical="center"/>
    </xf>
    <xf numFmtId="203" fontId="11" fillId="0" borderId="4" xfId="0" applyNumberFormat="1" applyFont="1" applyFill="1" applyBorder="1" applyAlignment="1">
      <alignment horizontal="center" vertical="center"/>
    </xf>
    <xf numFmtId="218" fontId="33" fillId="4" borderId="0" xfId="5" applyNumberFormat="1" applyFont="1" applyFill="1" applyAlignment="1">
      <alignment horizontal="right"/>
    </xf>
    <xf numFmtId="0" fontId="26" fillId="4" borderId="0" xfId="0" applyFont="1" applyFill="1" applyAlignment="1">
      <alignment horizontal="center"/>
    </xf>
    <xf numFmtId="0" fontId="26" fillId="4" borderId="0" xfId="0" quotePrefix="1" applyFont="1" applyFill="1" applyAlignment="1">
      <alignment horizontal="center"/>
    </xf>
    <xf numFmtId="0" fontId="82" fillId="4" borderId="0" xfId="0" applyFont="1" applyFill="1" applyAlignment="1">
      <alignment horizontal="center"/>
    </xf>
    <xf numFmtId="0" fontId="26" fillId="4" borderId="23" xfId="0" applyFont="1" applyFill="1" applyBorder="1" applyAlignment="1">
      <alignment horizontal="center" vertical="center"/>
    </xf>
    <xf numFmtId="0" fontId="26" fillId="4" borderId="24" xfId="0" applyFont="1" applyFill="1" applyBorder="1" applyAlignment="1">
      <alignment horizontal="center" vertical="center"/>
    </xf>
    <xf numFmtId="0" fontId="26" fillId="4" borderId="4" xfId="0" applyFont="1" applyFill="1" applyBorder="1" applyAlignment="1">
      <alignment horizontal="center" vertical="center"/>
    </xf>
    <xf numFmtId="0" fontId="114" fillId="4" borderId="14" xfId="0" applyFont="1" applyFill="1" applyBorder="1" applyAlignment="1">
      <alignment horizontal="center" vertical="center"/>
    </xf>
    <xf numFmtId="0" fontId="114" fillId="4" borderId="22" xfId="0" applyFont="1" applyFill="1" applyBorder="1" applyAlignment="1">
      <alignment horizontal="center" vertical="center"/>
    </xf>
    <xf numFmtId="0" fontId="114" fillId="4" borderId="19" xfId="0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42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27" fillId="0" borderId="0" xfId="0" applyFont="1" applyFill="1" applyAlignment="1">
      <alignment horizontal="center"/>
    </xf>
    <xf numFmtId="0" fontId="17" fillId="0" borderId="3" xfId="0" applyFont="1" applyFill="1" applyBorder="1" applyAlignment="1">
      <alignment horizontal="center" vertical="center" wrapText="1" shrinkToFit="1"/>
    </xf>
    <xf numFmtId="198" fontId="2" fillId="2" borderId="4" xfId="1" applyNumberFormat="1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45" fillId="0" borderId="14" xfId="0" applyFont="1" applyBorder="1" applyAlignment="1">
      <alignment horizontal="center" vertical="center"/>
    </xf>
    <xf numFmtId="0" fontId="45" fillId="0" borderId="22" xfId="0" applyFont="1" applyBorder="1" applyAlignment="1">
      <alignment horizontal="center" vertical="center"/>
    </xf>
    <xf numFmtId="0" fontId="45" fillId="0" borderId="19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 shrinkToFi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16" xfId="0" applyFont="1" applyFill="1" applyBorder="1" applyAlignment="1">
      <alignment horizontal="center" vertical="center" wrapText="1"/>
    </xf>
    <xf numFmtId="0" fontId="82" fillId="0" borderId="0" xfId="0" applyFont="1" applyFill="1" applyBorder="1" applyAlignment="1">
      <alignment horizontal="center" vertical="center" wrapText="1"/>
    </xf>
    <xf numFmtId="0" fontId="132" fillId="0" borderId="0" xfId="0" applyFont="1" applyFill="1" applyBorder="1"/>
    <xf numFmtId="198" fontId="26" fillId="0" borderId="0" xfId="1" applyNumberFormat="1" applyFont="1" applyFill="1" applyBorder="1" applyAlignment="1">
      <alignment horizontal="center"/>
    </xf>
    <xf numFmtId="198" fontId="26" fillId="0" borderId="0" xfId="1" quotePrefix="1" applyNumberFormat="1" applyFont="1" applyFill="1" applyBorder="1" applyAlignment="1">
      <alignment horizontal="center"/>
    </xf>
    <xf numFmtId="0" fontId="80" fillId="0" borderId="0" xfId="0" applyFont="1" applyFill="1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43" fillId="0" borderId="0" xfId="0" applyFont="1" applyFill="1" applyBorder="1" applyAlignment="1">
      <alignment horizontal="left" vertical="center"/>
    </xf>
    <xf numFmtId="0" fontId="131" fillId="0" borderId="0" xfId="0" applyFont="1" applyFill="1" applyBorder="1" applyAlignment="1">
      <alignment horizontal="center"/>
    </xf>
    <xf numFmtId="0" fontId="26" fillId="0" borderId="4" xfId="0" applyFont="1" applyFill="1" applyBorder="1" applyAlignment="1">
      <alignment horizontal="center" vertical="center" shrinkToFit="1"/>
    </xf>
    <xf numFmtId="0" fontId="26" fillId="0" borderId="10" xfId="0" applyFont="1" applyFill="1" applyBorder="1" applyAlignment="1">
      <alignment horizontal="center" vertical="center" shrinkToFit="1"/>
    </xf>
    <xf numFmtId="0" fontId="26" fillId="0" borderId="16" xfId="0" applyFont="1" applyFill="1" applyBorder="1" applyAlignment="1">
      <alignment horizontal="center" vertical="center" shrinkToFit="1"/>
    </xf>
    <xf numFmtId="0" fontId="0" fillId="0" borderId="16" xfId="0" applyFill="1" applyBorder="1"/>
    <xf numFmtId="197" fontId="26" fillId="0" borderId="10" xfId="1" applyNumberFormat="1" applyFont="1" applyFill="1" applyBorder="1" applyAlignment="1">
      <alignment horizontal="center" vertical="center" shrinkToFit="1"/>
    </xf>
    <xf numFmtId="0" fontId="80" fillId="0" borderId="0" xfId="0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center" vertical="center"/>
    </xf>
    <xf numFmtId="0" fontId="26" fillId="0" borderId="14" xfId="0" applyFont="1" applyFill="1" applyBorder="1" applyAlignment="1">
      <alignment horizontal="center" vertical="center"/>
    </xf>
    <xf numFmtId="0" fontId="26" fillId="0" borderId="22" xfId="0" applyFont="1" applyFill="1" applyBorder="1" applyAlignment="1">
      <alignment horizontal="center" vertical="center"/>
    </xf>
    <xf numFmtId="0" fontId="26" fillId="0" borderId="19" xfId="0" applyFont="1" applyFill="1" applyBorder="1" applyAlignment="1">
      <alignment horizontal="center" vertical="center"/>
    </xf>
    <xf numFmtId="197" fontId="81" fillId="0" borderId="0" xfId="0" applyNumberFormat="1" applyFont="1" applyFill="1" applyAlignment="1">
      <alignment horizontal="center"/>
    </xf>
    <xf numFmtId="0" fontId="33" fillId="0" borderId="15" xfId="0" applyFont="1" applyFill="1" applyBorder="1" applyAlignment="1">
      <alignment horizontal="center" vertical="center"/>
    </xf>
    <xf numFmtId="0" fontId="65" fillId="0" borderId="4" xfId="0" applyFont="1" applyFill="1" applyBorder="1" applyAlignment="1">
      <alignment horizontal="center"/>
    </xf>
    <xf numFmtId="0" fontId="121" fillId="0" borderId="4" xfId="0" applyFont="1" applyFill="1" applyBorder="1" applyAlignment="1">
      <alignment horizontal="center"/>
    </xf>
    <xf numFmtId="195" fontId="72" fillId="0" borderId="0" xfId="1" applyFont="1" applyFill="1" applyAlignment="1">
      <alignment horizontal="center"/>
    </xf>
    <xf numFmtId="196" fontId="1" fillId="0" borderId="0" xfId="1" applyNumberFormat="1" applyFont="1" applyFill="1" applyAlignment="1">
      <alignment horizontal="center"/>
    </xf>
    <xf numFmtId="196" fontId="72" fillId="0" borderId="0" xfId="1" applyNumberFormat="1" applyFont="1" applyFill="1" applyAlignment="1">
      <alignment horizontal="center"/>
    </xf>
    <xf numFmtId="212" fontId="0" fillId="0" borderId="0" xfId="0" applyNumberFormat="1" applyFill="1" applyAlignment="1">
      <alignment horizontal="center"/>
    </xf>
    <xf numFmtId="0" fontId="39" fillId="0" borderId="4" xfId="0" applyFont="1" applyFill="1" applyBorder="1" applyAlignment="1">
      <alignment horizontal="center"/>
    </xf>
    <xf numFmtId="0" fontId="65" fillId="0" borderId="10" xfId="0" applyFont="1" applyFill="1" applyBorder="1" applyAlignment="1">
      <alignment horizontal="center"/>
    </xf>
    <xf numFmtId="0" fontId="35" fillId="0" borderId="4" xfId="0" applyFont="1" applyFill="1" applyBorder="1" applyAlignment="1">
      <alignment horizontal="center"/>
    </xf>
    <xf numFmtId="0" fontId="59" fillId="0" borderId="4" xfId="0" applyFont="1" applyFill="1" applyBorder="1" applyAlignment="1">
      <alignment horizontal="center"/>
    </xf>
    <xf numFmtId="0" fontId="64" fillId="0" borderId="4" xfId="0" applyFont="1" applyFill="1" applyBorder="1" applyAlignment="1">
      <alignment horizontal="center"/>
    </xf>
    <xf numFmtId="0" fontId="10" fillId="0" borderId="14" xfId="18" applyFont="1" applyFill="1" applyBorder="1" applyAlignment="1">
      <alignment horizontal="left" vertical="center"/>
    </xf>
    <xf numFmtId="0" fontId="10" fillId="0" borderId="19" xfId="18" applyFont="1" applyFill="1" applyBorder="1" applyAlignment="1">
      <alignment horizontal="left" vertical="center"/>
    </xf>
    <xf numFmtId="0" fontId="105" fillId="0" borderId="14" xfId="0" applyFont="1" applyFill="1" applyBorder="1" applyAlignment="1">
      <alignment horizontal="center" vertical="center"/>
    </xf>
    <xf numFmtId="0" fontId="105" fillId="0" borderId="22" xfId="0" applyFont="1" applyFill="1" applyBorder="1" applyAlignment="1">
      <alignment horizontal="center" vertical="center"/>
    </xf>
    <xf numFmtId="0" fontId="105" fillId="0" borderId="19" xfId="0" applyFont="1" applyFill="1" applyBorder="1" applyAlignment="1">
      <alignment horizontal="center" vertical="center"/>
    </xf>
    <xf numFmtId="0" fontId="74" fillId="0" borderId="0" xfId="16" applyFont="1" applyFill="1" applyBorder="1" applyAlignment="1">
      <alignment horizontal="right"/>
    </xf>
    <xf numFmtId="0" fontId="41" fillId="0" borderId="4" xfId="0" applyFont="1" applyFill="1" applyBorder="1" applyAlignment="1">
      <alignment horizontal="center" vertical="center" wrapText="1"/>
    </xf>
    <xf numFmtId="0" fontId="41" fillId="0" borderId="4" xfId="0" applyFont="1" applyFill="1" applyBorder="1" applyAlignment="1">
      <alignment horizontal="center" vertical="center"/>
    </xf>
    <xf numFmtId="0" fontId="52" fillId="0" borderId="0" xfId="0" applyFont="1" applyFill="1" applyBorder="1" applyAlignment="1">
      <alignment horizontal="center" vertical="center" shrinkToFit="1"/>
    </xf>
    <xf numFmtId="0" fontId="38" fillId="0" borderId="0" xfId="0" applyFont="1" applyFill="1" applyBorder="1" applyAlignment="1">
      <alignment horizontal="left" vertical="center" shrinkToFit="1"/>
    </xf>
    <xf numFmtId="0" fontId="41" fillId="0" borderId="4" xfId="0" applyFont="1" applyFill="1" applyBorder="1" applyAlignment="1">
      <alignment horizontal="center"/>
    </xf>
    <xf numFmtId="0" fontId="51" fillId="0" borderId="3" xfId="0" applyFont="1" applyFill="1" applyBorder="1" applyAlignment="1">
      <alignment horizontal="center"/>
    </xf>
    <xf numFmtId="0" fontId="56" fillId="0" borderId="0" xfId="0" applyFont="1" applyFill="1" applyAlignment="1">
      <alignment horizontal="center"/>
    </xf>
    <xf numFmtId="198" fontId="43" fillId="0" borderId="0" xfId="1" applyNumberFormat="1" applyFont="1" applyFill="1" applyAlignment="1">
      <alignment horizontal="center"/>
    </xf>
    <xf numFmtId="0" fontId="43" fillId="0" borderId="0" xfId="0" quotePrefix="1" applyFont="1" applyFill="1" applyAlignment="1">
      <alignment horizontal="center"/>
    </xf>
    <xf numFmtId="0" fontId="43" fillId="0" borderId="0" xfId="0" applyFont="1" applyFill="1" applyAlignment="1">
      <alignment horizontal="center"/>
    </xf>
    <xf numFmtId="0" fontId="52" fillId="0" borderId="15" xfId="0" applyFont="1" applyFill="1" applyBorder="1" applyAlignment="1">
      <alignment horizontal="center" vertical="center" shrinkToFit="1"/>
    </xf>
    <xf numFmtId="0" fontId="38" fillId="0" borderId="0" xfId="0" applyFont="1" applyFill="1" applyAlignment="1">
      <alignment horizontal="left"/>
    </xf>
    <xf numFmtId="0" fontId="52" fillId="0" borderId="0" xfId="0" applyFont="1" applyFill="1" applyAlignment="1">
      <alignment horizontal="left"/>
    </xf>
    <xf numFmtId="0" fontId="41" fillId="0" borderId="0" xfId="0" applyFont="1" applyFill="1" applyBorder="1" applyAlignment="1">
      <alignment horizontal="left" vertical="center"/>
    </xf>
    <xf numFmtId="0" fontId="51" fillId="0" borderId="0" xfId="0" applyFont="1" applyFill="1" applyAlignment="1">
      <alignment horizontal="center"/>
    </xf>
    <xf numFmtId="0" fontId="39" fillId="0" borderId="0" xfId="0" applyFont="1" applyFill="1" applyAlignment="1">
      <alignment horizontal="center"/>
    </xf>
    <xf numFmtId="0" fontId="50" fillId="0" borderId="0" xfId="0" applyFont="1" applyFill="1" applyBorder="1" applyAlignment="1">
      <alignment horizontal="center" vertical="center" shrinkToFit="1"/>
    </xf>
    <xf numFmtId="0" fontId="159" fillId="0" borderId="0" xfId="0" applyFont="1" applyAlignment="1">
      <alignment horizontal="center" vertical="center"/>
    </xf>
    <xf numFmtId="0" fontId="159" fillId="0" borderId="4" xfId="0" applyFont="1" applyBorder="1" applyAlignment="1">
      <alignment horizontal="center" vertical="center"/>
    </xf>
    <xf numFmtId="0" fontId="159" fillId="0" borderId="4" xfId="0" applyFont="1" applyBorder="1" applyAlignment="1">
      <alignment horizontal="center"/>
    </xf>
    <xf numFmtId="0" fontId="159" fillId="0" borderId="14" xfId="0" applyFont="1" applyBorder="1" applyAlignment="1">
      <alignment horizontal="center"/>
    </xf>
    <xf numFmtId="0" fontId="159" fillId="0" borderId="22" xfId="0" applyFont="1" applyBorder="1" applyAlignment="1">
      <alignment horizontal="center"/>
    </xf>
    <xf numFmtId="0" fontId="159" fillId="0" borderId="19" xfId="0" applyFont="1" applyBorder="1" applyAlignment="1">
      <alignment horizontal="center"/>
    </xf>
    <xf numFmtId="0" fontId="160" fillId="0" borderId="0" xfId="0" applyFont="1" applyAlignment="1">
      <alignment horizontal="center" vertical="center"/>
    </xf>
    <xf numFmtId="0" fontId="159" fillId="0" borderId="0" xfId="0" applyFont="1" applyAlignment="1">
      <alignment horizontal="center"/>
    </xf>
    <xf numFmtId="0" fontId="159" fillId="0" borderId="14" xfId="0" applyFont="1" applyBorder="1" applyAlignment="1">
      <alignment horizontal="center" vertical="center"/>
    </xf>
    <xf numFmtId="0" fontId="159" fillId="0" borderId="22" xfId="0" applyFont="1" applyBorder="1" applyAlignment="1">
      <alignment horizontal="center" vertical="center"/>
    </xf>
    <xf numFmtId="0" fontId="159" fillId="0" borderId="19" xfId="0" applyFont="1" applyBorder="1" applyAlignment="1">
      <alignment horizontal="center" vertical="center"/>
    </xf>
    <xf numFmtId="0" fontId="147" fillId="0" borderId="0" xfId="0" applyFont="1" applyAlignment="1">
      <alignment horizontal="center" vertical="center"/>
    </xf>
    <xf numFmtId="0" fontId="74" fillId="0" borderId="0" xfId="16" applyFont="1" applyFill="1" applyBorder="1" applyAlignment="1">
      <alignment horizontal="center"/>
    </xf>
  </cellXfs>
  <cellStyles count="27">
    <cellStyle name="Comma" xfId="1" builtinId="3"/>
    <cellStyle name="Comma [0] 2" xfId="2"/>
    <cellStyle name="Comma 19" xfId="3"/>
    <cellStyle name="Comma 2" xfId="4"/>
    <cellStyle name="Comma 2 2" xfId="5"/>
    <cellStyle name="Comma 3" xfId="6"/>
    <cellStyle name="Comma 5" xfId="24"/>
    <cellStyle name="Currency" xfId="7" builtinId="4"/>
    <cellStyle name="Normal" xfId="0" builtinId="0"/>
    <cellStyle name="Normal 10" xfId="8"/>
    <cellStyle name="Normal 16" xfId="9"/>
    <cellStyle name="Normal 2" xfId="10"/>
    <cellStyle name="Normal 2 2" xfId="11"/>
    <cellStyle name="Normal 2 2 2" xfId="12"/>
    <cellStyle name="Normal 2 2 2 2" xfId="13"/>
    <cellStyle name="Normal 2 2 2 2 2 2" xfId="23"/>
    <cellStyle name="Normal 21" xfId="25"/>
    <cellStyle name="Normal 24" xfId="26"/>
    <cellStyle name="Normal 3" xfId="14"/>
    <cellStyle name="Normal 3 6" xfId="15"/>
    <cellStyle name="Normal 4" xfId="16"/>
    <cellStyle name="Normal 5" xfId="17"/>
    <cellStyle name="Normal_KE HOACH SAN XUAT HANG THANG NAM 2016" xfId="18"/>
    <cellStyle name="Normal_Sheet1" xfId="19"/>
    <cellStyle name="Normal_Sheet1 2" xfId="20"/>
    <cellStyle name="Percent" xfId="21" builtinId="5"/>
    <cellStyle name="Percent 2" xfId="22"/>
  </cellStyles>
  <dxfs count="19718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</dxfs>
  <tableStyles count="1" defaultTableStyle="TableStyleMedium2" defaultPivotStyle="PivotStyleLight16">
    <tableStyle name="Châm Công Phụ Cấp -style" pivot="0" count="2">
      <tableStyleElement type="firstRowStripe" dxfId="19717"/>
      <tableStyleElement type="secondRowStripe" dxfId="197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249891</xdr:colOff>
      <xdr:row>5</xdr:row>
      <xdr:rowOff>203200</xdr:rowOff>
    </xdr:from>
    <xdr:to>
      <xdr:col>8</xdr:col>
      <xdr:colOff>259416</xdr:colOff>
      <xdr:row>5</xdr:row>
      <xdr:rowOff>204788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CxnSpPr/>
      </xdr:nvCxnSpPr>
      <xdr:spPr>
        <a:xfrm>
          <a:off x="1932641" y="1139825"/>
          <a:ext cx="115252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984685</xdr:colOff>
      <xdr:row>7</xdr:row>
      <xdr:rowOff>102052</xdr:rowOff>
    </xdr:from>
    <xdr:to>
      <xdr:col>9</xdr:col>
      <xdr:colOff>724913</xdr:colOff>
      <xdr:row>7</xdr:row>
      <xdr:rowOff>103640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0400-000004000000}"/>
            </a:ext>
          </a:extLst>
        </xdr:cNvPr>
        <xdr:cNvCxnSpPr/>
      </xdr:nvCxnSpPr>
      <xdr:spPr>
        <a:xfrm>
          <a:off x="6985435" y="2769052"/>
          <a:ext cx="2740603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298885</xdr:colOff>
      <xdr:row>7</xdr:row>
      <xdr:rowOff>102052</xdr:rowOff>
    </xdr:from>
    <xdr:to>
      <xdr:col>9</xdr:col>
      <xdr:colOff>39113</xdr:colOff>
      <xdr:row>7</xdr:row>
      <xdr:rowOff>103640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400-000004000000}"/>
            </a:ext>
          </a:extLst>
        </xdr:cNvPr>
        <xdr:cNvCxnSpPr/>
      </xdr:nvCxnSpPr>
      <xdr:spPr>
        <a:xfrm>
          <a:off x="6509185" y="3111952"/>
          <a:ext cx="2712028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23813</xdr:rowOff>
    </xdr:from>
    <xdr:to>
      <xdr:col>5</xdr:col>
      <xdr:colOff>23813</xdr:colOff>
      <xdr:row>7</xdr:row>
      <xdr:rowOff>25401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0A00-000005000000}"/>
            </a:ext>
          </a:extLst>
        </xdr:cNvPr>
        <xdr:cNvCxnSpPr/>
      </xdr:nvCxnSpPr>
      <xdr:spPr>
        <a:xfrm>
          <a:off x="3929063" y="1881188"/>
          <a:ext cx="252412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744703</xdr:colOff>
      <xdr:row>7</xdr:row>
      <xdr:rowOff>86590</xdr:rowOff>
    </xdr:from>
    <xdr:to>
      <xdr:col>5</xdr:col>
      <xdr:colOff>51976</xdr:colOff>
      <xdr:row>7</xdr:row>
      <xdr:rowOff>86590</xdr:rowOff>
    </xdr:to>
    <xdr:cxnSp macro="">
      <xdr:nvCxnSpPr>
        <xdr:cNvPr id="3" name="Straight Connector 2"/>
        <xdr:cNvCxnSpPr/>
      </xdr:nvCxnSpPr>
      <xdr:spPr>
        <a:xfrm>
          <a:off x="3913930" y="2303317"/>
          <a:ext cx="242454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1350820</xdr:colOff>
      <xdr:row>7</xdr:row>
      <xdr:rowOff>69272</xdr:rowOff>
    </xdr:from>
    <xdr:to>
      <xdr:col>5</xdr:col>
      <xdr:colOff>346365</xdr:colOff>
      <xdr:row>7</xdr:row>
      <xdr:rowOff>69272</xdr:rowOff>
    </xdr:to>
    <xdr:cxnSp macro="">
      <xdr:nvCxnSpPr>
        <xdr:cNvPr id="3" name="Straight Connector 2"/>
        <xdr:cNvCxnSpPr/>
      </xdr:nvCxnSpPr>
      <xdr:spPr>
        <a:xfrm>
          <a:off x="3342411" y="2182090"/>
          <a:ext cx="213013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109225</xdr:colOff>
      <xdr:row>7</xdr:row>
      <xdr:rowOff>51955</xdr:rowOff>
    </xdr:from>
    <xdr:to>
      <xdr:col>5</xdr:col>
      <xdr:colOff>207815</xdr:colOff>
      <xdr:row>7</xdr:row>
      <xdr:rowOff>51955</xdr:rowOff>
    </xdr:to>
    <xdr:cxnSp macro="">
      <xdr:nvCxnSpPr>
        <xdr:cNvPr id="2" name="Straight Connector 1"/>
        <xdr:cNvCxnSpPr/>
      </xdr:nvCxnSpPr>
      <xdr:spPr>
        <a:xfrm>
          <a:off x="2273998" y="2060864"/>
          <a:ext cx="176113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697507</xdr:colOff>
      <xdr:row>7</xdr:row>
      <xdr:rowOff>24849</xdr:rowOff>
    </xdr:from>
    <xdr:to>
      <xdr:col>3</xdr:col>
      <xdr:colOff>1008697</xdr:colOff>
      <xdr:row>7</xdr:row>
      <xdr:rowOff>26437</xdr:rowOff>
    </xdr:to>
    <xdr:cxnSp macro="">
      <xdr:nvCxnSpPr>
        <xdr:cNvPr id="4" name="Straight Connector 3"/>
        <xdr:cNvCxnSpPr/>
      </xdr:nvCxnSpPr>
      <xdr:spPr>
        <a:xfrm>
          <a:off x="2031007" y="1535242"/>
          <a:ext cx="130451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1152525</xdr:colOff>
      <xdr:row>7</xdr:row>
      <xdr:rowOff>9525</xdr:rowOff>
    </xdr:from>
    <xdr:to>
      <xdr:col>3</xdr:col>
      <xdr:colOff>209550</xdr:colOff>
      <xdr:row>7</xdr:row>
      <xdr:rowOff>11113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0F00-000004000000}"/>
            </a:ext>
          </a:extLst>
        </xdr:cNvPr>
        <xdr:cNvCxnSpPr/>
      </xdr:nvCxnSpPr>
      <xdr:spPr>
        <a:xfrm>
          <a:off x="1485900" y="1476375"/>
          <a:ext cx="127635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154642</xdr:colOff>
      <xdr:row>6</xdr:row>
      <xdr:rowOff>58834</xdr:rowOff>
    </xdr:from>
    <xdr:to>
      <xdr:col>6</xdr:col>
      <xdr:colOff>759760</xdr:colOff>
      <xdr:row>6</xdr:row>
      <xdr:rowOff>60422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1000-000004000000}"/>
            </a:ext>
          </a:extLst>
        </xdr:cNvPr>
        <xdr:cNvCxnSpPr/>
      </xdr:nvCxnSpPr>
      <xdr:spPr>
        <a:xfrm>
          <a:off x="2451848" y="1549216"/>
          <a:ext cx="2207559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1187824</xdr:colOff>
      <xdr:row>5</xdr:row>
      <xdr:rowOff>22411</xdr:rowOff>
    </xdr:from>
    <xdr:to>
      <xdr:col>4</xdr:col>
      <xdr:colOff>67236</xdr:colOff>
      <xdr:row>5</xdr:row>
      <xdr:rowOff>23999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500-000005000000}"/>
            </a:ext>
          </a:extLst>
        </xdr:cNvPr>
        <xdr:cNvCxnSpPr/>
      </xdr:nvCxnSpPr>
      <xdr:spPr>
        <a:xfrm>
          <a:off x="1540249" y="1213036"/>
          <a:ext cx="2165537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1195917</xdr:colOff>
      <xdr:row>7</xdr:row>
      <xdr:rowOff>1</xdr:rowOff>
    </xdr:from>
    <xdr:to>
      <xdr:col>1</xdr:col>
      <xdr:colOff>2402417</xdr:colOff>
      <xdr:row>7</xdr:row>
      <xdr:rowOff>21167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A00-000002000000}"/>
            </a:ext>
          </a:extLst>
        </xdr:cNvPr>
        <xdr:cNvCxnSpPr/>
      </xdr:nvCxnSpPr>
      <xdr:spPr>
        <a:xfrm flipV="1">
          <a:off x="1587500" y="1397001"/>
          <a:ext cx="1206500" cy="2116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1195917</xdr:colOff>
      <xdr:row>7</xdr:row>
      <xdr:rowOff>1</xdr:rowOff>
    </xdr:from>
    <xdr:to>
      <xdr:col>1</xdr:col>
      <xdr:colOff>2402417</xdr:colOff>
      <xdr:row>7</xdr:row>
      <xdr:rowOff>21167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A00-000002000000}"/>
            </a:ext>
          </a:extLst>
        </xdr:cNvPr>
        <xdr:cNvCxnSpPr/>
      </xdr:nvCxnSpPr>
      <xdr:spPr>
        <a:xfrm flipV="1">
          <a:off x="1586442" y="1390651"/>
          <a:ext cx="1206500" cy="2116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1344704</xdr:colOff>
      <xdr:row>7</xdr:row>
      <xdr:rowOff>11206</xdr:rowOff>
    </xdr:from>
    <xdr:to>
      <xdr:col>1</xdr:col>
      <xdr:colOff>2319615</xdr:colOff>
      <xdr:row>7</xdr:row>
      <xdr:rowOff>11206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1687604" y="1430431"/>
          <a:ext cx="97491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1344704</xdr:colOff>
      <xdr:row>7</xdr:row>
      <xdr:rowOff>11206</xdr:rowOff>
    </xdr:from>
    <xdr:to>
      <xdr:col>1</xdr:col>
      <xdr:colOff>2319615</xdr:colOff>
      <xdr:row>7</xdr:row>
      <xdr:rowOff>11206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1687604" y="1430431"/>
          <a:ext cx="97491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409084</xdr:colOff>
      <xdr:row>7</xdr:row>
      <xdr:rowOff>19050</xdr:rowOff>
    </xdr:from>
    <xdr:to>
      <xdr:col>2</xdr:col>
      <xdr:colOff>261790</xdr:colOff>
      <xdr:row>7</xdr:row>
      <xdr:rowOff>20638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885334" y="1343025"/>
          <a:ext cx="1300506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1552575</xdr:colOff>
      <xdr:row>5</xdr:row>
      <xdr:rowOff>28575</xdr:rowOff>
    </xdr:from>
    <xdr:to>
      <xdr:col>4</xdr:col>
      <xdr:colOff>1009650</xdr:colOff>
      <xdr:row>5</xdr:row>
      <xdr:rowOff>28575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7C3D51FB-6328-4884-8289-69CDCCA49D28}"/>
            </a:ext>
          </a:extLst>
        </xdr:cNvPr>
        <xdr:cNvCxnSpPr/>
      </xdr:nvCxnSpPr>
      <xdr:spPr>
        <a:xfrm>
          <a:off x="1952625" y="1076325"/>
          <a:ext cx="14287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1403985</xdr:colOff>
      <xdr:row>6</xdr:row>
      <xdr:rowOff>19050</xdr:rowOff>
    </xdr:from>
    <xdr:to>
      <xdr:col>3</xdr:col>
      <xdr:colOff>278177</xdr:colOff>
      <xdr:row>6</xdr:row>
      <xdr:rowOff>19844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600-000005000000}"/>
            </a:ext>
          </a:extLst>
        </xdr:cNvPr>
        <xdr:cNvCxnSpPr/>
      </xdr:nvCxnSpPr>
      <xdr:spPr>
        <a:xfrm>
          <a:off x="1739265" y="1299210"/>
          <a:ext cx="1152572" cy="79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356906</xdr:colOff>
      <xdr:row>8</xdr:row>
      <xdr:rowOff>9525</xdr:rowOff>
    </xdr:from>
    <xdr:to>
      <xdr:col>3</xdr:col>
      <xdr:colOff>23531</xdr:colOff>
      <xdr:row>8</xdr:row>
      <xdr:rowOff>11113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B00-000002000000}"/>
            </a:ext>
          </a:extLst>
        </xdr:cNvPr>
        <xdr:cNvCxnSpPr/>
      </xdr:nvCxnSpPr>
      <xdr:spPr>
        <a:xfrm>
          <a:off x="2831165" y="1569384"/>
          <a:ext cx="921684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269504</xdr:colOff>
      <xdr:row>7</xdr:row>
      <xdr:rowOff>3362</xdr:rowOff>
    </xdr:from>
    <xdr:to>
      <xdr:col>5</xdr:col>
      <xdr:colOff>163609</xdr:colOff>
      <xdr:row>7</xdr:row>
      <xdr:rowOff>4950</xdr:rowOff>
    </xdr:to>
    <xdr:cxnSp macro="">
      <xdr:nvCxnSpPr>
        <xdr:cNvPr id="3" name="Straight Connector 2"/>
        <xdr:cNvCxnSpPr/>
      </xdr:nvCxnSpPr>
      <xdr:spPr>
        <a:xfrm>
          <a:off x="1916769" y="1650627"/>
          <a:ext cx="1137958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1390650</xdr:colOff>
      <xdr:row>7</xdr:row>
      <xdr:rowOff>28575</xdr:rowOff>
    </xdr:from>
    <xdr:to>
      <xdr:col>2</xdr:col>
      <xdr:colOff>400050</xdr:colOff>
      <xdr:row>7</xdr:row>
      <xdr:rowOff>30163</xdr:rowOff>
    </xdr:to>
    <xdr:cxnSp macro="">
      <xdr:nvCxnSpPr>
        <xdr:cNvPr id="4" name="Straight Connector 3"/>
        <xdr:cNvCxnSpPr/>
      </xdr:nvCxnSpPr>
      <xdr:spPr>
        <a:xfrm>
          <a:off x="1781175" y="1419225"/>
          <a:ext cx="124777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914400</xdr:colOff>
      <xdr:row>6</xdr:row>
      <xdr:rowOff>28575</xdr:rowOff>
    </xdr:from>
    <xdr:to>
      <xdr:col>4</xdr:col>
      <xdr:colOff>161925</xdr:colOff>
      <xdr:row>6</xdr:row>
      <xdr:rowOff>30163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700-000003000000}"/>
            </a:ext>
          </a:extLst>
        </xdr:cNvPr>
        <xdr:cNvCxnSpPr/>
      </xdr:nvCxnSpPr>
      <xdr:spPr>
        <a:xfrm>
          <a:off x="1162050" y="1266825"/>
          <a:ext cx="126682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914400</xdr:colOff>
      <xdr:row>6</xdr:row>
      <xdr:rowOff>28575</xdr:rowOff>
    </xdr:from>
    <xdr:to>
      <xdr:col>4</xdr:col>
      <xdr:colOff>161925</xdr:colOff>
      <xdr:row>6</xdr:row>
      <xdr:rowOff>30163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700-000003000000}"/>
            </a:ext>
          </a:extLst>
        </xdr:cNvPr>
        <xdr:cNvCxnSpPr/>
      </xdr:nvCxnSpPr>
      <xdr:spPr>
        <a:xfrm>
          <a:off x="1162050" y="1266825"/>
          <a:ext cx="126682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914400</xdr:colOff>
      <xdr:row>6</xdr:row>
      <xdr:rowOff>28575</xdr:rowOff>
    </xdr:from>
    <xdr:to>
      <xdr:col>4</xdr:col>
      <xdr:colOff>161925</xdr:colOff>
      <xdr:row>6</xdr:row>
      <xdr:rowOff>30163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800-000002000000}"/>
            </a:ext>
          </a:extLst>
        </xdr:cNvPr>
        <xdr:cNvCxnSpPr/>
      </xdr:nvCxnSpPr>
      <xdr:spPr>
        <a:xfrm>
          <a:off x="1120140" y="1255395"/>
          <a:ext cx="119824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519785</xdr:colOff>
      <xdr:row>7</xdr:row>
      <xdr:rowOff>28575</xdr:rowOff>
    </xdr:from>
    <xdr:to>
      <xdr:col>5</xdr:col>
      <xdr:colOff>66666</xdr:colOff>
      <xdr:row>7</xdr:row>
      <xdr:rowOff>30163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800-000002000000}"/>
            </a:ext>
          </a:extLst>
        </xdr:cNvPr>
        <xdr:cNvCxnSpPr/>
      </xdr:nvCxnSpPr>
      <xdr:spPr>
        <a:xfrm>
          <a:off x="2533642" y="1824718"/>
          <a:ext cx="2159453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1209675</xdr:colOff>
      <xdr:row>6</xdr:row>
      <xdr:rowOff>47625</xdr:rowOff>
    </xdr:from>
    <xdr:to>
      <xdr:col>2</xdr:col>
      <xdr:colOff>590550</xdr:colOff>
      <xdr:row>6</xdr:row>
      <xdr:rowOff>49213</xdr:rowOff>
    </xdr:to>
    <xdr:cxnSp macro="">
      <xdr:nvCxnSpPr>
        <xdr:cNvPr id="4" name="Straight Connector 3"/>
        <xdr:cNvCxnSpPr/>
      </xdr:nvCxnSpPr>
      <xdr:spPr>
        <a:xfrm>
          <a:off x="1600200" y="1304925"/>
          <a:ext cx="120967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733425</xdr:colOff>
      <xdr:row>8</xdr:row>
      <xdr:rowOff>9525</xdr:rowOff>
    </xdr:from>
    <xdr:to>
      <xdr:col>4</xdr:col>
      <xdr:colOff>400050</xdr:colOff>
      <xdr:row>8</xdr:row>
      <xdr:rowOff>11113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B00-000002000000}"/>
            </a:ext>
          </a:extLst>
        </xdr:cNvPr>
        <xdr:cNvCxnSpPr/>
      </xdr:nvCxnSpPr>
      <xdr:spPr>
        <a:xfrm>
          <a:off x="2066925" y="1562100"/>
          <a:ext cx="124777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ovo/Desktop/Hung/M&#227;%20s&#7889;%20nh&#226;n%20vi&#234;n%20c&#244;ng%20nh&#226;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an/Documents/Zalo%20Received%20Files/&#272;&#7896;I%201%20TH&#193;NG%208%20N&#258;M%202024%20(5)%20(3)%20(3)%20(4)%20(3)%20(1)%20(2)%20(8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L&#432;&#417;ng%20T5%20%20&#272;&#7897;i%204%201%20b&#7843;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ể làm HD NĂM 2024"/>
      <sheetName val="Sheet1"/>
      <sheetName val="NT 2"/>
      <sheetName val="Sheet2"/>
    </sheetNames>
    <sheetDataSet>
      <sheetData sheetId="0"/>
      <sheetData sheetId="1"/>
      <sheetData sheetId="2">
        <row r="2">
          <cell r="C2" t="str">
            <v>T. Vôn</v>
          </cell>
          <cell r="D2" t="str">
            <v>ທ້າວ ໂວນ</v>
          </cell>
          <cell r="E2">
            <v>2004</v>
          </cell>
          <cell r="F2" t="str">
            <v>Nam</v>
          </cell>
          <cell r="H2" t="str">
            <v>Bản Khăm Xe Y, Huyện Phìn, Tỉnh Savannakhet</v>
          </cell>
          <cell r="I2" t="str">
            <v>ບ້ານ ຄຳສະອີ, ເມືອງ ພີນ, ເເຂວງ ສະຫວັນນະເຂດ</v>
          </cell>
          <cell r="J2" t="str">
            <v>03456</v>
          </cell>
        </row>
        <row r="3">
          <cell r="C3" t="str">
            <v>T. Ô Vên</v>
          </cell>
          <cell r="D3" t="str">
            <v>ທ້າວ ໂອເວັນ</v>
          </cell>
          <cell r="E3">
            <v>1976</v>
          </cell>
          <cell r="F3" t="str">
            <v>Nam</v>
          </cell>
          <cell r="H3" t="str">
            <v>Huyện Văng Viêng, Tỉnh Viêng Chăn</v>
          </cell>
          <cell r="I3" t="str">
            <v>ເມືອງວັງວຽງ, ເເຂວງວຽງຈັນ</v>
          </cell>
          <cell r="J3" t="str">
            <v>03457</v>
          </cell>
        </row>
        <row r="4">
          <cell r="C4" t="str">
            <v>N. Pheng Mi</v>
          </cell>
          <cell r="D4" t="str">
            <v>ນາງ ເເພງມີ</v>
          </cell>
          <cell r="E4">
            <v>1990</v>
          </cell>
          <cell r="F4" t="str">
            <v>Nữ</v>
          </cell>
          <cell r="H4" t="str">
            <v>Bản Khăm Xe Y, Huyện Phìn, Tỉnh Savannakhet</v>
          </cell>
          <cell r="I4" t="str">
            <v>ບ້ານ ຄຳສະອີ, ເມືອງ ພີນ, ເເຂວງ ສະຫວັນນະເຂດ</v>
          </cell>
          <cell r="J4" t="str">
            <v>03458</v>
          </cell>
        </row>
        <row r="5">
          <cell r="C5" t="str">
            <v>N. Vạt</v>
          </cell>
          <cell r="D5" t="str">
            <v>ນາງ ວາດ</v>
          </cell>
          <cell r="E5">
            <v>2001</v>
          </cell>
          <cell r="F5" t="str">
            <v>Nữ</v>
          </cell>
          <cell r="H5" t="str">
            <v>Bản Khăm Xe Y, Huyện Phìn, Tỉnh Savannakhet</v>
          </cell>
          <cell r="I5" t="str">
            <v>ບ້ານ ຄຳສະອີ, ເມືອງ ພີນ, ເເຂວງ ສະຫວັນນະເຂດ</v>
          </cell>
          <cell r="J5" t="str">
            <v>03459</v>
          </cell>
        </row>
        <row r="6">
          <cell r="C6" t="str">
            <v>T. Tích</v>
          </cell>
          <cell r="D6" t="str">
            <v>ທ້າວ ຕິກ</v>
          </cell>
          <cell r="E6">
            <v>1994</v>
          </cell>
          <cell r="F6" t="str">
            <v>Nam</v>
          </cell>
          <cell r="H6" t="str">
            <v>Bản Khăm Xe Y, Huyện Phìn, Tỉnh Savannakhet</v>
          </cell>
          <cell r="I6" t="str">
            <v>ບ້ານ ຄຳສະອີ, ເມືອງ ພີນ, ເເຂວງ ສະຫວັນນະເຂດ</v>
          </cell>
          <cell r="J6" t="str">
            <v>03460</v>
          </cell>
        </row>
        <row r="7">
          <cell r="C7" t="str">
            <v>T. Bi Ly</v>
          </cell>
          <cell r="D7" t="str">
            <v>ທ້າວ ບີລີ</v>
          </cell>
          <cell r="E7">
            <v>2003</v>
          </cell>
          <cell r="F7" t="str">
            <v>Nam</v>
          </cell>
          <cell r="H7" t="str">
            <v>Bản Khăm Xe Y, Huyện Phìn, Tỉnh Savannakhet</v>
          </cell>
          <cell r="I7" t="str">
            <v>ບ້ານ ຄຳສະອີ, ເມືອງ ພີນ, ເເຂວງ ສະຫວັນນະເຂດ</v>
          </cell>
          <cell r="J7" t="str">
            <v>03461</v>
          </cell>
        </row>
        <row r="8">
          <cell r="C8" t="str">
            <v>T . Bua Ngân</v>
          </cell>
          <cell r="D8" t="str">
            <v>ທ້າວ ບົວເງີນ</v>
          </cell>
          <cell r="E8">
            <v>1980</v>
          </cell>
          <cell r="F8" t="str">
            <v>Nam</v>
          </cell>
          <cell r="H8" t="str">
            <v>Bản Khăm Xe Y, Huyện Phìn, Tỉnh Savannakhet</v>
          </cell>
          <cell r="I8" t="str">
            <v>ບ້ານ ຄຳສະອີ, ເມືອງ ພີນ, ເເຂວງ ສະຫວັນນະເຂດ</v>
          </cell>
          <cell r="J8" t="str">
            <v>03462</v>
          </cell>
        </row>
        <row r="9">
          <cell r="C9" t="str">
            <v>T Căng</v>
          </cell>
          <cell r="D9" t="str">
            <v>ທ້າວ ກັງ</v>
          </cell>
          <cell r="E9">
            <v>1980</v>
          </cell>
          <cell r="F9" t="str">
            <v>Nam</v>
          </cell>
          <cell r="H9" t="str">
            <v>Bản Khăm Xe Y, Huyện Phìn, Tỉnh Savannakhet</v>
          </cell>
          <cell r="I9" t="str">
            <v>ບ້ານ ຄຳສະອີ, ເມືອງ ພີນ, ເເຂວງ ສະຫວັນນະເຂດ</v>
          </cell>
          <cell r="J9" t="str">
            <v>03463</v>
          </cell>
        </row>
        <row r="10">
          <cell r="C10" t="str">
            <v>N. Phôn 1</v>
          </cell>
          <cell r="D10" t="str">
            <v>ນາງ ພອນ 1</v>
          </cell>
          <cell r="E10">
            <v>1990</v>
          </cell>
          <cell r="F10" t="str">
            <v>Nữ</v>
          </cell>
          <cell r="H10" t="str">
            <v>Bản Khăm Xe Y, Huyện Phìn, Tỉnh Savannakhet</v>
          </cell>
          <cell r="I10" t="str">
            <v>ບ້ານ ຄຳສະອີ, ເມືອງ ພີນ, ເເຂວງ ສະຫວັນນະເຂດ</v>
          </cell>
          <cell r="J10" t="str">
            <v>03464</v>
          </cell>
        </row>
        <row r="11">
          <cell r="C11" t="str">
            <v>T. In Păn</v>
          </cell>
          <cell r="D11" t="str">
            <v>ທ້າວ ອິນປັນ</v>
          </cell>
          <cell r="E11">
            <v>1996</v>
          </cell>
          <cell r="F11" t="str">
            <v>Nam</v>
          </cell>
          <cell r="H11" t="str">
            <v>Bản Khăm Xe Y, Huyện Phìn, Tỉnh Savannakhet</v>
          </cell>
          <cell r="I11" t="str">
            <v>ບ້ານ ຄຳສະອີ, ເມືອງ ພີນ, ເເຂວງ ສະຫວັນນະເຂດ</v>
          </cell>
          <cell r="J11" t="str">
            <v>03465</v>
          </cell>
        </row>
        <row r="12">
          <cell r="C12" t="str">
            <v>N. Keo</v>
          </cell>
          <cell r="D12" t="str">
            <v>ນາງ ແກ້ວ</v>
          </cell>
          <cell r="E12">
            <v>1988</v>
          </cell>
          <cell r="F12" t="str">
            <v>Nữ</v>
          </cell>
          <cell r="H12" t="str">
            <v>Bản Khăm Xe Y, Huyện Phìn, Tỉnh Savannakhet</v>
          </cell>
          <cell r="I12" t="str">
            <v>ບ້ານ ຄຳສະອີ, ເມືອງ ພີນ, ເເຂວງ ສະຫວັນນະເຂດ</v>
          </cell>
          <cell r="J12" t="str">
            <v>03466</v>
          </cell>
        </row>
        <row r="13">
          <cell r="C13" t="str">
            <v>T. Hin</v>
          </cell>
          <cell r="D13" t="str">
            <v>ທ້າວ ຫິນ</v>
          </cell>
          <cell r="E13">
            <v>1976</v>
          </cell>
          <cell r="F13" t="str">
            <v>Nam</v>
          </cell>
          <cell r="H13" t="str">
            <v>Bản Khăm Xe Y, Huyện Phìn, Tỉnh Savannakhet</v>
          </cell>
          <cell r="I13" t="str">
            <v>ບ້ານ ຄຳສະອີ, ເມືອງ ພີນ, ເເຂວງ ສະຫວັນນະເຂດ</v>
          </cell>
          <cell r="J13" t="str">
            <v>03467</v>
          </cell>
        </row>
        <row r="14">
          <cell r="C14" t="str">
            <v>T. Son</v>
          </cell>
          <cell r="D14" t="str">
            <v>ທ້າວ ສອນ</v>
          </cell>
          <cell r="E14">
            <v>1992</v>
          </cell>
          <cell r="F14" t="str">
            <v>Nam</v>
          </cell>
          <cell r="H14" t="str">
            <v>Bản Tha He, Tỉnh Viêng Chăn</v>
          </cell>
          <cell r="I14" t="str">
            <v>ບ້ານ ທາເເຮ່, ເເຂວງວຽງຈັນ</v>
          </cell>
          <cell r="J14" t="str">
            <v>03468</v>
          </cell>
        </row>
        <row r="15">
          <cell r="C15" t="str">
            <v>T. Xôm Va Nít</v>
          </cell>
          <cell r="D15" t="str">
            <v>ທ້າວ ສົມວັນນິດ</v>
          </cell>
          <cell r="E15">
            <v>1978</v>
          </cell>
          <cell r="F15" t="str">
            <v>Nam</v>
          </cell>
          <cell r="H15" t="str">
            <v>Bản Khăm Xe Y, Huyện Phìn, Tỉnh Savannakhet</v>
          </cell>
          <cell r="I15" t="str">
            <v>ບ້ານ ຄຳສະອີ, ເມືອງ ພີນ, ເເຂວງ ສະຫວັນນະເຂດ</v>
          </cell>
          <cell r="J15" t="str">
            <v>03469</v>
          </cell>
        </row>
        <row r="16">
          <cell r="C16" t="str">
            <v>T. Lọi</v>
          </cell>
          <cell r="D16" t="str">
            <v>ທ້າວ ລອຍ</v>
          </cell>
          <cell r="E16">
            <v>1999</v>
          </cell>
          <cell r="F16" t="str">
            <v>Nam</v>
          </cell>
          <cell r="H16" t="str">
            <v>Bản Khăm Xe Y, Huyện Phìn, Tỉnh Savannakhet</v>
          </cell>
          <cell r="I16" t="str">
            <v>ບ້ານ ຄຳສະອີ, ເມືອງ ພີນ, ເເຂວງ ສະຫວັນນະເຂດ</v>
          </cell>
          <cell r="J16" t="str">
            <v>03470</v>
          </cell>
        </row>
        <row r="17">
          <cell r="C17" t="str">
            <v>T. Phô Thong</v>
          </cell>
          <cell r="D17" t="str">
            <v>ທ້າວ ໂພທອງ</v>
          </cell>
          <cell r="E17">
            <v>1979</v>
          </cell>
          <cell r="F17" t="str">
            <v>Nam</v>
          </cell>
          <cell r="H17" t="str">
            <v>Bản Khăm Xe Y, Huyện Phìn, Tỉnh Savannakhet</v>
          </cell>
          <cell r="I17" t="str">
            <v>ບ້ານ ຄຳສະອີ, ເມືອງ ພີນ, ເເຂວງ ສະຫວັນນະເຂດ</v>
          </cell>
          <cell r="J17" t="str">
            <v>03471</v>
          </cell>
        </row>
        <row r="18">
          <cell r="C18" t="str">
            <v>N. Soi</v>
          </cell>
          <cell r="D18" t="str">
            <v>ນາງ ສອຍ</v>
          </cell>
          <cell r="E18">
            <v>1975</v>
          </cell>
          <cell r="F18" t="str">
            <v>Nữ</v>
          </cell>
          <cell r="H18" t="str">
            <v>Bản Khăm Xe Y, Huyện Phìn, Tỉnh Savannakhet</v>
          </cell>
          <cell r="I18" t="str">
            <v>ບ້ານ ຄຳສະອີ, ເມືອງ ພີນ, ເເຂວງ ສະຫວັນນະເຂດ</v>
          </cell>
          <cell r="J18" t="str">
            <v>03472</v>
          </cell>
        </row>
        <row r="19">
          <cell r="C19" t="str">
            <v>N. Me Kha La</v>
          </cell>
          <cell r="D19" t="str">
            <v>ນາງ ເມຄາລາ</v>
          </cell>
          <cell r="E19">
            <v>2004</v>
          </cell>
          <cell r="F19" t="str">
            <v>Nữ</v>
          </cell>
          <cell r="H19" t="str">
            <v>Bản Na phu khăm, Huyện Phìn, Tỉnh Savannakhet</v>
          </cell>
          <cell r="I19" t="str">
            <v>ບ້ານ ນາພູຄຳ, ເມືອງ ພີນ, ເເຂວງສະຫວັນນະເຂດ</v>
          </cell>
          <cell r="J19" t="str">
            <v>03473</v>
          </cell>
        </row>
        <row r="20">
          <cell r="C20" t="str">
            <v>N. Mon Khăm</v>
          </cell>
          <cell r="D20" t="str">
            <v>ນາງ ມອນຄຳ</v>
          </cell>
          <cell r="E20">
            <v>2000</v>
          </cell>
          <cell r="F20" t="str">
            <v>Nữ</v>
          </cell>
          <cell r="H20" t="str">
            <v>Bản Khăm Xe Y, Huyện Phìn, Tỉnh Savannakhet</v>
          </cell>
          <cell r="I20" t="str">
            <v>ບ້ານ ຄຳສະອີ, ເມືອງ ພີນ, ເເຂວງ ສະຫວັນນະເຂດ</v>
          </cell>
          <cell r="J20" t="str">
            <v>03474</v>
          </cell>
        </row>
        <row r="21">
          <cell r="C21" t="str">
            <v>T. In</v>
          </cell>
          <cell r="D21" t="str">
            <v>ທ້າວ ອິນ</v>
          </cell>
          <cell r="E21">
            <v>1982</v>
          </cell>
          <cell r="F21" t="str">
            <v>Nam</v>
          </cell>
          <cell r="H21" t="str">
            <v>Bản Sôm Sa At, Huyện Phìn, Tỉnh Savannakhet</v>
          </cell>
          <cell r="I21" t="str">
            <v>ບ້ານ ສົມສະອາດ, ເມືອງພີນ, ເເຂວງ ສະຫວັນນະເຂດ</v>
          </cell>
          <cell r="J21" t="str">
            <v>03475</v>
          </cell>
        </row>
        <row r="22">
          <cell r="C22" t="str">
            <v>T. Bin Ly.</v>
          </cell>
          <cell r="D22" t="str">
            <v>ມ້າວ ບິນລີ</v>
          </cell>
          <cell r="E22">
            <v>1991</v>
          </cell>
          <cell r="F22" t="str">
            <v>Nam</v>
          </cell>
          <cell r="H22" t="str">
            <v>Bản Khăm Xe Y, Huyện Phìn, Tỉnh Savannakhet</v>
          </cell>
          <cell r="I22" t="str">
            <v>ບ້ານ ຄຳສະອີ, ເມືອງ ພີນ, ເເຂວງ ສະຫວັນນະເຂດ</v>
          </cell>
          <cell r="J22" t="str">
            <v>03476</v>
          </cell>
        </row>
        <row r="23">
          <cell r="C23" t="str">
            <v>N. Phim Phon.</v>
          </cell>
          <cell r="D23" t="str">
            <v>ນາງ ພີມພອນ</v>
          </cell>
          <cell r="E23">
            <v>1984</v>
          </cell>
          <cell r="F23" t="str">
            <v>Nữ</v>
          </cell>
          <cell r="H23" t="str">
            <v>Bản Sôm Sa At, Huyện Phìn, Tỉnh Savannakhet</v>
          </cell>
          <cell r="I23" t="str">
            <v>ບ້ານ ສົມສະອາດ, ເມືອງພີນ, ເເຂວງ ສະຫວັນນະເຂດ</v>
          </cell>
          <cell r="J23" t="str">
            <v>03477</v>
          </cell>
        </row>
        <row r="24">
          <cell r="C24" t="str">
            <v>N. Nong</v>
          </cell>
          <cell r="D24" t="str">
            <v>ນາງ ນອງ</v>
          </cell>
          <cell r="E24">
            <v>1996</v>
          </cell>
          <cell r="F24" t="str">
            <v>Nữ</v>
          </cell>
          <cell r="H24" t="str">
            <v>Bản Na phu khăm, Huyện Phìn, Tỉnh Savannakhet</v>
          </cell>
          <cell r="I24" t="str">
            <v>ບ້ານ ນາພູຄຳ, ເມືອງ ພີນ, ເເຂວງສະຫວັນນະເຂດ</v>
          </cell>
          <cell r="J24" t="str">
            <v>03478</v>
          </cell>
        </row>
        <row r="25">
          <cell r="C25" t="str">
            <v>N. Tun 1</v>
          </cell>
          <cell r="D25" t="str">
            <v>ນາງ ຕູນ 1</v>
          </cell>
          <cell r="E25">
            <v>1995</v>
          </cell>
          <cell r="F25" t="str">
            <v>Nữ</v>
          </cell>
          <cell r="H25" t="str">
            <v>Bản Khăm Xe Y, Huyện Phìn, Tỉnh Savannakhet</v>
          </cell>
          <cell r="I25" t="str">
            <v>ບ້ານ ຄຳສະອີ, ເມືອງ ພີນ, ເເຂວງ ສະຫວັນນະເຂດ</v>
          </cell>
          <cell r="J25" t="str">
            <v>03479</v>
          </cell>
        </row>
        <row r="26">
          <cell r="C26" t="str">
            <v>T . Lốc</v>
          </cell>
          <cell r="D26" t="str">
            <v>ທ້າວ ລັອກ</v>
          </cell>
          <cell r="E26">
            <v>1993</v>
          </cell>
          <cell r="F26" t="str">
            <v>Nam</v>
          </cell>
          <cell r="H26" t="str">
            <v>Bản Khăm Xe Y, Huyện Phìn, Tỉnh Savannakhet</v>
          </cell>
          <cell r="I26" t="str">
            <v>ບ້ານ ຄຳສະອີ, ເມືອງ ພີນ, ເເຂວງ ສະຫວັນນະເຂດ</v>
          </cell>
          <cell r="J26" t="str">
            <v>03480</v>
          </cell>
        </row>
        <row r="27">
          <cell r="C27" t="str">
            <v>N . Khâm (1)</v>
          </cell>
          <cell r="D27" t="str">
            <v>ນາງ ຄຳ 1</v>
          </cell>
          <cell r="E27">
            <v>1997</v>
          </cell>
          <cell r="F27" t="str">
            <v>Nữ</v>
          </cell>
          <cell r="H27" t="str">
            <v>Bản Xi Bun Hương, Huyện Phìn, Tinh Savannakhet</v>
          </cell>
          <cell r="I27" t="str">
            <v>ບ້ານສີບຸນເຮືອງ, ເມືອງພີນ, ເເຂວງ ສະຫວຫນນະເຂດ</v>
          </cell>
          <cell r="J27" t="str">
            <v>03481</v>
          </cell>
        </row>
        <row r="28">
          <cell r="C28" t="str">
            <v>T . Phết</v>
          </cell>
          <cell r="D28" t="str">
            <v>ທ້າວ ເພັດ</v>
          </cell>
          <cell r="E28">
            <v>1992</v>
          </cell>
          <cell r="F28" t="str">
            <v>Nam</v>
          </cell>
          <cell r="H28" t="str">
            <v>Bản Xi Bun Hương, Huyện Phìn, Tinh Savannakhet</v>
          </cell>
          <cell r="I28" t="str">
            <v>ບ້ານສີບຸນເຮືອງ, ເມືອງພີນ, ເເຂວງ ສະຫວຫນນະເຂດ</v>
          </cell>
          <cell r="J28" t="str">
            <v>03482</v>
          </cell>
        </row>
        <row r="29">
          <cell r="C29" t="str">
            <v>T. Viêng Sa Văn</v>
          </cell>
          <cell r="D29" t="str">
            <v>ທ້າວ ວຽງສະວັນ</v>
          </cell>
          <cell r="E29">
            <v>2001</v>
          </cell>
          <cell r="F29" t="str">
            <v>Nam</v>
          </cell>
          <cell r="H29" t="str">
            <v>Bản Khăm Xe Y, Huyện Phìn, Tỉnh Savannakhet</v>
          </cell>
          <cell r="I29" t="str">
            <v>ບ້ານ ຄຳສະອີ, ເມືອງ ພີນ, ເເຂວງ ສະຫວັນນະເຂດ</v>
          </cell>
          <cell r="J29" t="str">
            <v>03483</v>
          </cell>
        </row>
        <row r="30">
          <cell r="C30" t="str">
            <v>T. Ca Te</v>
          </cell>
          <cell r="D30" t="str">
            <v>ທ້າວ ກາແຕ</v>
          </cell>
          <cell r="E30">
            <v>1990</v>
          </cell>
          <cell r="F30" t="str">
            <v>Nam</v>
          </cell>
          <cell r="H30" t="str">
            <v>Bản Na phu khăm, Huyện Phìn, Tỉnh Savannakhet</v>
          </cell>
          <cell r="I30" t="str">
            <v>ບ້ານ ນາພູຄຳ, ເມືອງ ພີນ, ເເຂວງສະຫວັນນະເຂດ</v>
          </cell>
          <cell r="J30" t="str">
            <v>03484</v>
          </cell>
        </row>
        <row r="31">
          <cell r="C31" t="str">
            <v>T. Lâm Phon</v>
          </cell>
          <cell r="D31" t="str">
            <v>ທ້າວ ເລີມພອນ</v>
          </cell>
          <cell r="E31">
            <v>1978</v>
          </cell>
          <cell r="F31" t="str">
            <v>Nam</v>
          </cell>
          <cell r="H31" t="str">
            <v>Bản Khăm Xe Y, Huyện Phìn, Tỉnh Savannakhet</v>
          </cell>
          <cell r="I31" t="str">
            <v>ບ້ານ ຄຳສະອີ, ເມືອງ ພີນ, ເເຂວງ ສະຫວັນນະເຂດ</v>
          </cell>
          <cell r="J31" t="str">
            <v>03485</v>
          </cell>
        </row>
        <row r="32">
          <cell r="C32" t="str">
            <v>N. Tinh</v>
          </cell>
          <cell r="D32" t="str">
            <v>ນາງ ຕີງ</v>
          </cell>
          <cell r="E32">
            <v>2004</v>
          </cell>
          <cell r="F32" t="str">
            <v>Nữ</v>
          </cell>
          <cell r="H32" t="str">
            <v>Bản Khăm Xe Y, Huyện Phìn, Tỉnh Savannakhet</v>
          </cell>
          <cell r="I32" t="str">
            <v>ບ້ານ ຄຳສະອີ, ເມືອງ ພີນ, ເເຂວງ ສະຫວັນນະເຂດ</v>
          </cell>
          <cell r="J32" t="str">
            <v>03486</v>
          </cell>
        </row>
        <row r="33">
          <cell r="C33" t="str">
            <v>N. Ba Say</v>
          </cell>
          <cell r="D33" t="str">
            <v>ນາງ ບາໃສ</v>
          </cell>
          <cell r="E33">
            <v>1988</v>
          </cell>
          <cell r="F33" t="str">
            <v>Nữ</v>
          </cell>
          <cell r="H33" t="str">
            <v>Bản Khăm Xe Y, Huyện Phìn, Tỉnh Savannakhet</v>
          </cell>
          <cell r="I33" t="str">
            <v>ບ້ານ ຄຳສະອີ, ເມືອງ ພີນ, ເເຂວງ ສະຫວັນນະເຂດ</v>
          </cell>
          <cell r="J33" t="str">
            <v>03487</v>
          </cell>
        </row>
        <row r="34">
          <cell r="C34" t="str">
            <v>N. Đeng</v>
          </cell>
          <cell r="D34" t="str">
            <v>ນາງ ເເດງ</v>
          </cell>
          <cell r="E34">
            <v>1994</v>
          </cell>
          <cell r="F34" t="str">
            <v>Nữ</v>
          </cell>
          <cell r="H34" t="str">
            <v>Bản Na phu khăm, Huyện Phìn, Tỉnh Savannakhet</v>
          </cell>
          <cell r="I34" t="str">
            <v>ບ້ານ ນາພູຄຳ, ເມືອງ ພີນ, ເເຂວງສະຫວັນນະເຂດ</v>
          </cell>
          <cell r="J34" t="str">
            <v>03488</v>
          </cell>
        </row>
        <row r="35">
          <cell r="C35" t="str">
            <v>T. Tinh</v>
          </cell>
          <cell r="D35" t="str">
            <v>ທ້າວ ຕີງ</v>
          </cell>
          <cell r="E35">
            <v>1982</v>
          </cell>
          <cell r="F35" t="str">
            <v>Nam</v>
          </cell>
          <cell r="H35" t="str">
            <v>Bản Khăm Xe Y, Huyện Phìn, Tỉnh Savannakhet</v>
          </cell>
          <cell r="I35" t="str">
            <v>ບ້ານ ຄຳສະອີ, ເມືອງ ພີນ, ເເຂວງ ສະຫວັນນະເຂດ</v>
          </cell>
          <cell r="J35" t="str">
            <v>03489</v>
          </cell>
        </row>
        <row r="36">
          <cell r="C36" t="str">
            <v>T. Pheng Ma</v>
          </cell>
          <cell r="D36" t="str">
            <v>ທ້າວ ເເພງມາ</v>
          </cell>
          <cell r="E36">
            <v>1980</v>
          </cell>
          <cell r="F36" t="str">
            <v>Nam</v>
          </cell>
          <cell r="H36" t="str">
            <v>Bản Khăm Xe Y, Huyện Phìn, Tỉnh Savannakhet</v>
          </cell>
          <cell r="I36" t="str">
            <v>ບ້ານ ຄຳສະອີ, ເມືອງ ພີນ, ເເຂວງ ສະຫວັນນະເຂດ</v>
          </cell>
          <cell r="J36" t="str">
            <v>03490</v>
          </cell>
        </row>
        <row r="37">
          <cell r="C37" t="str">
            <v>Lăm Ngân</v>
          </cell>
          <cell r="D37" t="str">
            <v>ທ້າວ ລຳເງີນ</v>
          </cell>
          <cell r="E37">
            <v>1989</v>
          </cell>
          <cell r="F37" t="str">
            <v>Nam</v>
          </cell>
          <cell r="H37" t="str">
            <v>Bản Na phu khăm, Huyện Phìn, Tỉnh Savannakhet</v>
          </cell>
          <cell r="I37" t="str">
            <v>ບ້ານ ນາພູຄຳ, ເມືອງ ພີນ, ເເຂວງສະຫວັນນະເຂດ</v>
          </cell>
          <cell r="J37" t="str">
            <v>03491</v>
          </cell>
        </row>
        <row r="38">
          <cell r="C38" t="str">
            <v>T. Lem</v>
          </cell>
          <cell r="D38" t="str">
            <v>ທ້າວ ເເລມ</v>
          </cell>
          <cell r="E38">
            <v>2004</v>
          </cell>
          <cell r="F38" t="str">
            <v>Nam</v>
          </cell>
          <cell r="H38" t="str">
            <v>Bản Khăm Xe Y, Huyện Phìn, Tỉnh Savannakhet</v>
          </cell>
          <cell r="I38" t="str">
            <v>ບ້ານ ຄຳສະອີ, ເມືອງ ພີນ, ເເຂວງ ສະຫວັນນະເຂດ</v>
          </cell>
          <cell r="J38" t="str">
            <v>03492</v>
          </cell>
        </row>
        <row r="39">
          <cell r="C39" t="str">
            <v>T. Pông</v>
          </cell>
          <cell r="D39" t="str">
            <v>ທ້າວ ປົງ</v>
          </cell>
          <cell r="E39">
            <v>2005</v>
          </cell>
          <cell r="F39" t="str">
            <v>Nam</v>
          </cell>
          <cell r="H39" t="str">
            <v>Bản Khăm Xe Y, Huyện Phìn, Tỉnh Savannakhet</v>
          </cell>
          <cell r="I39" t="str">
            <v>ບ້ານ ຄຳສະອີ, ເມືອງ ພີນ, ເເຂວງ ສະຫວັນນະເຂດ</v>
          </cell>
          <cell r="J39" t="str">
            <v>03493</v>
          </cell>
        </row>
        <row r="40">
          <cell r="C40" t="str">
            <v>T. Đi</v>
          </cell>
          <cell r="D40" t="str">
            <v>ທ້າວ ດີ</v>
          </cell>
          <cell r="E40">
            <v>1992</v>
          </cell>
          <cell r="F40" t="str">
            <v>Nam</v>
          </cell>
          <cell r="H40" t="str">
            <v>Bản Khăm Xe Y, Huyện Phìn, Tỉnh Savannakhet</v>
          </cell>
          <cell r="I40" t="str">
            <v>ບ້ານ ຄຳສະອີ, ເມືອງ ພີນ, ເເຂວງ ສະຫວັນນະເຂດ</v>
          </cell>
          <cell r="J40" t="str">
            <v>03494</v>
          </cell>
        </row>
        <row r="41">
          <cell r="C41" t="str">
            <v>N. On Xi</v>
          </cell>
          <cell r="D41" t="str">
            <v>ທ້າວ ອອນສີ</v>
          </cell>
          <cell r="E41">
            <v>1994</v>
          </cell>
          <cell r="F41" t="str">
            <v>Nữ</v>
          </cell>
          <cell r="H41" t="str">
            <v>Bản Khăm Xe Y, Huyện Phìn, Tỉnh Savannakhet</v>
          </cell>
          <cell r="I41" t="str">
            <v>ບ້ານ ຄຳສະອີ, ເມືອງ ພີນ, ເເຂວງ ສະຫວັນນະເຂດ</v>
          </cell>
          <cell r="J41" t="str">
            <v>03495</v>
          </cell>
        </row>
        <row r="42">
          <cell r="C42" t="str">
            <v>T. Lốp</v>
          </cell>
          <cell r="D42" t="str">
            <v>ທ້າວ ໂລບ</v>
          </cell>
          <cell r="E42">
            <v>2003</v>
          </cell>
          <cell r="F42" t="str">
            <v>Nam</v>
          </cell>
          <cell r="H42" t="str">
            <v>Bản Khăm Xe Y, Huyện Phìn, Tỉnh Savannakhet</v>
          </cell>
          <cell r="I42" t="str">
            <v>ບ້ານ ຄຳສະອີ, ເມືອງ ພີນ, ເເຂວງ ສະຫວັນນະເຂດ</v>
          </cell>
          <cell r="J42" t="str">
            <v>03496</v>
          </cell>
        </row>
        <row r="43">
          <cell r="C43" t="str">
            <v>T. Son Xay</v>
          </cell>
          <cell r="D43" t="str">
            <v>ທ້າວ ສອນໄຊ</v>
          </cell>
          <cell r="E43">
            <v>2001</v>
          </cell>
          <cell r="F43" t="str">
            <v>Nam</v>
          </cell>
          <cell r="H43" t="str">
            <v>Bản Khăm Xe Y, Huyện Phìn, Tỉnh Savannakhet</v>
          </cell>
          <cell r="I43" t="str">
            <v>ບ້ານ ຄຳສະອີ, ເມືອງ ພີນ, ເເຂວງ ສະຫວັນນະເຂດ</v>
          </cell>
          <cell r="J43" t="str">
            <v>03497</v>
          </cell>
        </row>
        <row r="44">
          <cell r="C44" t="str">
            <v>N. Lăm Phay</v>
          </cell>
          <cell r="D44" t="str">
            <v>ນາງ ລຳໄພ</v>
          </cell>
          <cell r="E44">
            <v>2005</v>
          </cell>
          <cell r="F44" t="str">
            <v>Nữ</v>
          </cell>
          <cell r="H44" t="str">
            <v>Bản Khăm Xe Y, Huyện Phìn, Tỉnh Savannakhet</v>
          </cell>
          <cell r="I44" t="str">
            <v>ບ້ານ ຄຳສະອີ, ເມືອງ ພີນ, ເເຂວງ ສະຫວັນນະເຂດ</v>
          </cell>
          <cell r="J44" t="str">
            <v>03498</v>
          </cell>
        </row>
        <row r="45">
          <cell r="C45" t="str">
            <v>N. In Ton</v>
          </cell>
          <cell r="D45" t="str">
            <v>ນາງ ອິນຕອນ</v>
          </cell>
          <cell r="E45">
            <v>2002</v>
          </cell>
          <cell r="F45" t="str">
            <v>Nữ</v>
          </cell>
          <cell r="H45" t="str">
            <v>Bản Khăm Xe Y, Huyện Phìn, Tỉnh Savannakhet</v>
          </cell>
          <cell r="I45" t="str">
            <v>ບ້ານ ຄຳສະອີ, ເມືອງ ພີນ, ເເຂວງ ສະຫວັນນະເຂດ</v>
          </cell>
          <cell r="J45" t="str">
            <v>03499</v>
          </cell>
        </row>
        <row r="46">
          <cell r="C46" t="str">
            <v>N. Si Khay</v>
          </cell>
          <cell r="D46" t="str">
            <v>ນາງ ສີໄຄ</v>
          </cell>
          <cell r="E46">
            <v>1995</v>
          </cell>
          <cell r="F46" t="str">
            <v>Nữ</v>
          </cell>
          <cell r="H46" t="str">
            <v>Bản Khăm Xe Y, Huyện Phìn, Tỉnh Savannakhet</v>
          </cell>
          <cell r="I46" t="str">
            <v>ບ້ານ ຄຳສະອີ, ເມືອງ ພີນ, ເເຂວງ ສະຫວັນນະເຂດ</v>
          </cell>
          <cell r="J46" t="str">
            <v>03500</v>
          </cell>
        </row>
        <row r="47">
          <cell r="C47" t="str">
            <v>T Dăn</v>
          </cell>
          <cell r="D47" t="str">
            <v>ທ້າວ ດັນ</v>
          </cell>
          <cell r="E47">
            <v>2006</v>
          </cell>
          <cell r="F47" t="str">
            <v>Nam</v>
          </cell>
          <cell r="H47" t="str">
            <v>Bản Khăm Xe Y, Huyện Phìn, Tỉnh Savannakhet</v>
          </cell>
          <cell r="I47" t="str">
            <v>ບ້ານ ຄຳສະອີ, ເມືອງ ພີນ, ເເຂວງ ສະຫວັນນະເຂດ</v>
          </cell>
          <cell r="J47" t="str">
            <v>03501</v>
          </cell>
        </row>
        <row r="48">
          <cell r="C48" t="str">
            <v>T. Xợt</v>
          </cell>
          <cell r="D48" t="str">
            <v>ທ້າວ ເສີດ</v>
          </cell>
          <cell r="E48">
            <v>1983</v>
          </cell>
          <cell r="F48" t="str">
            <v>Nam</v>
          </cell>
          <cell r="H48" t="str">
            <v>Bản Khăm Xe Y, Huyện Phìn, Tỉnh Savannakhet</v>
          </cell>
          <cell r="I48" t="str">
            <v>ບ້ານ ຄຳສະອີ, ເມືອງ ພີນ, ເເຂວງ ສະຫວັນນະເຂດ</v>
          </cell>
          <cell r="J48" t="str">
            <v>03502</v>
          </cell>
        </row>
        <row r="49">
          <cell r="C49" t="str">
            <v>T. Lăm Thong</v>
          </cell>
          <cell r="D49" t="str">
            <v>ທ້າວ ລຳທອງ</v>
          </cell>
          <cell r="E49">
            <v>1974</v>
          </cell>
          <cell r="F49" t="str">
            <v>Nam</v>
          </cell>
          <cell r="H49" t="str">
            <v>Bản Huội Xai, Huyện Phìn, Tỉnh Savannakhet</v>
          </cell>
          <cell r="I49" t="str">
            <v>ບ້ານ ຫ້ວຍຊາຍ, ເມືອງ ພີນ, ເເຂວງ ສະຫວັນນະເຂດ</v>
          </cell>
          <cell r="J49" t="str">
            <v>03503</v>
          </cell>
        </row>
        <row r="50">
          <cell r="C50" t="str">
            <v>T. Cạp</v>
          </cell>
          <cell r="D50" t="str">
            <v>ທ້າວ ກາບ</v>
          </cell>
          <cell r="E50">
            <v>1992</v>
          </cell>
          <cell r="F50" t="str">
            <v>Nam</v>
          </cell>
          <cell r="H50" t="str">
            <v>Bản Khăm Xe Y, Huyện Phìn, Tỉnh Savannakhet</v>
          </cell>
          <cell r="I50" t="str">
            <v>ບ້ານ ຄຳສະອີ, ເມືອງ ພີນ, ເເຂວງ ສະຫວັນນະເຂດ</v>
          </cell>
          <cell r="J50" t="str">
            <v>03504</v>
          </cell>
        </row>
        <row r="51">
          <cell r="C51" t="str">
            <v>N. Phết</v>
          </cell>
          <cell r="D51" t="str">
            <v>ນາງ ເພັດ</v>
          </cell>
          <cell r="E51">
            <v>1980</v>
          </cell>
          <cell r="F51" t="str">
            <v>Nữ</v>
          </cell>
          <cell r="H51" t="str">
            <v>Bản Khăm Xe Y, Huyện Phìn, Tỉnh Savannakhet</v>
          </cell>
          <cell r="I51" t="str">
            <v>ບ້ານ ຄຳສະອີ, ເມືອງ ພີນ, ເເຂວງ ສະຫວັນນະເຂດ</v>
          </cell>
          <cell r="J51" t="str">
            <v>03505</v>
          </cell>
        </row>
        <row r="52">
          <cell r="C52" t="str">
            <v>N. Bua Hom</v>
          </cell>
          <cell r="D52" t="str">
            <v>ນາງ ບົວຫອມ</v>
          </cell>
          <cell r="E52">
            <v>1981</v>
          </cell>
          <cell r="F52" t="str">
            <v>Nữ</v>
          </cell>
          <cell r="H52" t="str">
            <v>Bản Khăm Xe Y, Huyện Phìn, Tỉnh Savannakhet</v>
          </cell>
          <cell r="I52" t="str">
            <v>ບ້ານ ຄຳສະອີ, ເມືອງ ພີນ, ເເຂວງ ສະຫວັນນະເຂດ</v>
          </cell>
          <cell r="J52" t="str">
            <v>03506</v>
          </cell>
        </row>
        <row r="53">
          <cell r="C53" t="str">
            <v>N. Không</v>
          </cell>
          <cell r="D53" t="str">
            <v>ນາງຄົງ</v>
          </cell>
          <cell r="E53">
            <v>1991</v>
          </cell>
          <cell r="F53" t="str">
            <v>Nữ</v>
          </cell>
          <cell r="H53" t="str">
            <v>Bản Sôm Sa At, Huyện Phìn, Tỉnh Savannakhet</v>
          </cell>
          <cell r="I53" t="str">
            <v>ບ້ານ ສົມສະອາດ, ເມືອງພີນ, ເເຂວງ ສະຫວັນນະເຂດ</v>
          </cell>
          <cell r="J53" t="str">
            <v>03507</v>
          </cell>
        </row>
        <row r="54">
          <cell r="C54" t="str">
            <v>T. Đèng</v>
          </cell>
          <cell r="D54" t="str">
            <v>ທ້າວ ແດງ</v>
          </cell>
          <cell r="E54">
            <v>2006</v>
          </cell>
          <cell r="F54" t="str">
            <v>Nam</v>
          </cell>
          <cell r="H54" t="str">
            <v>Bản Sôm Sa At, Huyện Phìn, Tỉnh Savannakhet</v>
          </cell>
          <cell r="I54" t="str">
            <v>ບ້ານ ສົມສະອາດ, ເມືອງພີນ, ເເຂວງ ສະຫວັນນະເຂດ</v>
          </cell>
          <cell r="J54" t="str">
            <v>03508</v>
          </cell>
        </row>
        <row r="55">
          <cell r="C55" t="str">
            <v>T. May</v>
          </cell>
          <cell r="D55" t="str">
            <v>ທ້າວ ໄມ</v>
          </cell>
          <cell r="E55">
            <v>1998</v>
          </cell>
          <cell r="F55" t="str">
            <v>Nam</v>
          </cell>
          <cell r="H55" t="str">
            <v>Bản Khăm Xe Y, Huyện Phìn, Tỉnh Savannakhet</v>
          </cell>
          <cell r="I55" t="str">
            <v>ບ້ານ ຄຳສະອີ, ເມືອງ ພີນ, ເເຂວງ ສະຫວັນນະເຂດ</v>
          </cell>
          <cell r="J55" t="str">
            <v>03509</v>
          </cell>
        </row>
        <row r="56">
          <cell r="C56" t="str">
            <v>T. Văn Say</v>
          </cell>
          <cell r="D56" t="str">
            <v>ມ້າວ ວັນໄຊ</v>
          </cell>
          <cell r="E56">
            <v>2002</v>
          </cell>
          <cell r="F56" t="str">
            <v>Nam</v>
          </cell>
          <cell r="H56" t="str">
            <v>Bản Khăm Xe Y, Huyện Phìn, Tỉnh Savannakhet</v>
          </cell>
          <cell r="I56" t="str">
            <v>ບ້ານ ຄຳສະອີ, ເມືອງ ພີນ, ເເຂວງ ສະຫວັນນະເຂດ</v>
          </cell>
          <cell r="J56" t="str">
            <v>03510</v>
          </cell>
        </row>
        <row r="57">
          <cell r="C57" t="str">
            <v>T. Khăm Pao</v>
          </cell>
          <cell r="D57" t="str">
            <v>ທ້າວ ຄຳປາວ</v>
          </cell>
          <cell r="E57">
            <v>1993</v>
          </cell>
          <cell r="F57" t="str">
            <v>Nam</v>
          </cell>
          <cell r="H57" t="str">
            <v>Bản Nông luông, Huyện Phìn, Tỉnh Savannakhet</v>
          </cell>
          <cell r="I57" t="str">
            <v>ບ້ານ ໜອງຫຼວງ, ເມືອງ ພີນ, ເເຂວງ ສະຫວັນນະເຂດ</v>
          </cell>
          <cell r="J57" t="str">
            <v>03511</v>
          </cell>
        </row>
        <row r="58">
          <cell r="C58" t="str">
            <v>N. Đon</v>
          </cell>
          <cell r="D58" t="str">
            <v>ນາງ ດອນ</v>
          </cell>
          <cell r="E58">
            <v>1990</v>
          </cell>
          <cell r="F58" t="str">
            <v>Nữ</v>
          </cell>
          <cell r="H58" t="str">
            <v>Bản Sôm Sa At, Huyện Phìn, Tỉnh Savannakhet</v>
          </cell>
          <cell r="I58" t="str">
            <v>ບ້ານ ສົມສະອາດ, ເມືອງພີນ, ເເຂວງ ສະຫວັນນະເຂດ</v>
          </cell>
          <cell r="J58" t="str">
            <v>03512</v>
          </cell>
        </row>
        <row r="59">
          <cell r="C59" t="str">
            <v>T. Keo Ma Ni Son</v>
          </cell>
          <cell r="D59" t="str">
            <v>ທ້າວ ແກ້ວນິສອນ</v>
          </cell>
          <cell r="E59">
            <v>2001</v>
          </cell>
          <cell r="F59" t="str">
            <v>Nam</v>
          </cell>
          <cell r="H59" t="str">
            <v>Bản Khăm Xe Y, Huyện Phìn, Tỉnh Savannakhet</v>
          </cell>
          <cell r="I59" t="str">
            <v>ບ້ານ ຄຳສະອີ, ເມືອງ ພີນ, ເເຂວງ ສະຫວັນນະເຂດ</v>
          </cell>
          <cell r="J59" t="str">
            <v>03513</v>
          </cell>
        </row>
        <row r="60">
          <cell r="C60" t="str">
            <v>N. Son</v>
          </cell>
          <cell r="D60" t="str">
            <v>ນາງ ສອນ</v>
          </cell>
          <cell r="E60">
            <v>1990</v>
          </cell>
          <cell r="F60" t="str">
            <v>Nữ</v>
          </cell>
          <cell r="H60" t="str">
            <v>Bản Sôm Sa At, Huyện Phìn, Tỉnh Savannakhet</v>
          </cell>
          <cell r="I60" t="str">
            <v>ບ້ານ ສົມສະອາດ, ເມືອງພີນ, ເເຂວງ ສະຫວັນນະເຂດ</v>
          </cell>
          <cell r="J60" t="str">
            <v>03514</v>
          </cell>
        </row>
        <row r="61">
          <cell r="C61" t="str">
            <v>N. Xi</v>
          </cell>
          <cell r="D61" t="str">
            <v>ນາງ ສີ</v>
          </cell>
          <cell r="E61">
            <v>1986</v>
          </cell>
          <cell r="F61" t="str">
            <v>Nữ</v>
          </cell>
          <cell r="H61" t="str">
            <v>Bản Khăm Xe Y, Huyện Phìn, Tỉnh Savannakhet</v>
          </cell>
          <cell r="I61" t="str">
            <v>ບ້ານ ຄຳສະອີ, ເມືອງ ພີນ, ເເຂວງ ສະຫວັນນະເຂດ</v>
          </cell>
          <cell r="J61" t="str">
            <v>03515</v>
          </cell>
        </row>
        <row r="62">
          <cell r="C62" t="str">
            <v>N. Chay</v>
          </cell>
          <cell r="D62" t="str">
            <v>ນາງ ໃຈ</v>
          </cell>
          <cell r="E62">
            <v>1995</v>
          </cell>
          <cell r="F62" t="str">
            <v>Nữ</v>
          </cell>
          <cell r="H62" t="str">
            <v>Bản Khăm Xe Y, Huyện Phìn, Tỉnh Savannakhet</v>
          </cell>
          <cell r="I62" t="str">
            <v>ບ້ານ ຄຳສະອີ, ເມືອງ ພີນ, ເເຂວງ ສະຫວັນນະເຂດ</v>
          </cell>
          <cell r="J62" t="str">
            <v>03516</v>
          </cell>
        </row>
        <row r="63">
          <cell r="C63" t="str">
            <v>KhămPhườn</v>
          </cell>
          <cell r="D63" t="str">
            <v>ທ້າວ ຄຳເຟືອນ</v>
          </cell>
          <cell r="E63">
            <v>1905</v>
          </cell>
          <cell r="F63" t="str">
            <v>nam</v>
          </cell>
          <cell r="H63" t="str">
            <v>Bản Huội Xai, Huyện Phìn, Tỉnh Savannakhet</v>
          </cell>
          <cell r="I63" t="str">
            <v>ບ້ານ ຫ້ວຍຊາຍ, ເມືອງ ພີນ, ເເຂວງ ສະຫວັນນະເຂດ</v>
          </cell>
          <cell r="J63" t="str">
            <v>03517</v>
          </cell>
        </row>
        <row r="64">
          <cell r="C64" t="str">
            <v>T. Đôn Ma</v>
          </cell>
          <cell r="D64" t="str">
            <v>ທ້າວ ດົນມາ</v>
          </cell>
          <cell r="E64">
            <v>1991</v>
          </cell>
          <cell r="F64" t="str">
            <v>nam</v>
          </cell>
          <cell r="H64" t="str">
            <v>Bản Khăm Xe Y, Huyện Phìn, Tỉnh Savannakhet</v>
          </cell>
          <cell r="I64" t="str">
            <v>ບ້ານ ຄຳສະອີ, ເມືອງ ພີນ, ເເຂວງ ສະຫວັນນະເຂດ</v>
          </cell>
          <cell r="J64" t="str">
            <v>03518</v>
          </cell>
        </row>
        <row r="65">
          <cell r="C65" t="str">
            <v>T Nôn</v>
          </cell>
          <cell r="D65" t="str">
            <v>ນາງ ນົນ</v>
          </cell>
          <cell r="E65">
            <v>1989</v>
          </cell>
          <cell r="F65" t="str">
            <v>nam</v>
          </cell>
          <cell r="H65" t="str">
            <v>Bản Khăm Xe Y, Huyện Phìn, Tỉnh Savannakhet</v>
          </cell>
          <cell r="I65" t="str">
            <v>ບ້ານ ຄຳສະອີ, ເມືອງ ພີນ, ເເຂວງ ສະຫວັນນະເຂດ</v>
          </cell>
          <cell r="J65" t="str">
            <v>03519</v>
          </cell>
        </row>
        <row r="66">
          <cell r="C66" t="str">
            <v>N. Khăm..</v>
          </cell>
          <cell r="D66" t="str">
            <v>ນາງ ຄຳ</v>
          </cell>
          <cell r="E66">
            <v>1991</v>
          </cell>
          <cell r="F66" t="str">
            <v>nữ</v>
          </cell>
          <cell r="H66" t="str">
            <v>Bản Huội Xai , Huyện Phìn, Tỉnh Savannakhet</v>
          </cell>
          <cell r="I66" t="str">
            <v>ບ້ານ ຫ້ວຍຊາຍ, ເມືອງ ພີນ, ເເຂວງ ສະຫວັນນະເຂດ</v>
          </cell>
          <cell r="J66" t="str">
            <v>03520</v>
          </cell>
        </row>
        <row r="67">
          <cell r="C67" t="str">
            <v>Nang La Ty</v>
          </cell>
          <cell r="D67" t="str">
            <v>ນາງ ລາຕີ</v>
          </cell>
          <cell r="E67">
            <v>1989</v>
          </cell>
          <cell r="F67" t="str">
            <v>nữ</v>
          </cell>
          <cell r="H67" t="str">
            <v>Bản Khăm Xe Y, Huyện Phìn, Tỉnh Savannakhet</v>
          </cell>
          <cell r="I67" t="str">
            <v>ບ້ານ ຄຳສະອີ, ເມືອງ ພີນ, ເເຂວງ ສະຫວັນນະເຂດ</v>
          </cell>
          <cell r="J67" t="str">
            <v>03521</v>
          </cell>
        </row>
        <row r="68">
          <cell r="C68" t="str">
            <v>N.T.T Trang (1)</v>
          </cell>
          <cell r="D68" t="str">
            <v>ນາງ ຈາງ</v>
          </cell>
          <cell r="E68">
            <v>1987</v>
          </cell>
          <cell r="F68" t="str">
            <v>nữ</v>
          </cell>
          <cell r="H68" t="str">
            <v>Xã Thanh Tuyền, Huyện Dầu Tiếng, Tỉnh Bình Dương</v>
          </cell>
          <cell r="I68" t="str">
            <v>ບ້ານ ແທັງ ຕວຽນ, ເມືອງ ເຢົາ ຕຽງ, ເເຂວງ ບີງ ເຢືອງ</v>
          </cell>
          <cell r="J68" t="str">
            <v>03522</v>
          </cell>
        </row>
        <row r="69">
          <cell r="C69" t="str">
            <v>T. Ni On</v>
          </cell>
          <cell r="D69" t="str">
            <v>ທ້າວ ນິອອນ</v>
          </cell>
          <cell r="E69">
            <v>1997</v>
          </cell>
          <cell r="F69" t="str">
            <v>nam</v>
          </cell>
          <cell r="H69" t="str">
            <v>Bản Khăm Xe Y, Huyện Phìn, Tỉnh Savannakhet</v>
          </cell>
          <cell r="I69" t="str">
            <v>ບ້ານ ຄຳສະອີ, ເມືອງ ພີນ, ເເຂວງ ສະຫວັນນະເຂດ</v>
          </cell>
          <cell r="J69" t="str">
            <v>03523</v>
          </cell>
        </row>
        <row r="70">
          <cell r="C70" t="str">
            <v>T. Nả</v>
          </cell>
          <cell r="D70" t="str">
            <v>ທ້າວ ນະ</v>
          </cell>
          <cell r="E70">
            <v>1995</v>
          </cell>
          <cell r="F70" t="str">
            <v>nam</v>
          </cell>
          <cell r="H70" t="str">
            <v>Bản Khăm Xe Y, Huyện Phìn, Tỉnh Savannakhet</v>
          </cell>
          <cell r="I70" t="str">
            <v>ບ້ານ ຄຳສະອີ, ເມືອງ ພີນ, ເເຂວງ ສະຫວັນນະເຂດ</v>
          </cell>
          <cell r="J70" t="str">
            <v>03524</v>
          </cell>
        </row>
        <row r="71">
          <cell r="C71" t="str">
            <v>N. Sa Văn</v>
          </cell>
          <cell r="D71" t="str">
            <v>ນາງ ສະວັນ</v>
          </cell>
          <cell r="E71">
            <v>1995</v>
          </cell>
          <cell r="F71" t="str">
            <v>nữ</v>
          </cell>
          <cell r="H71" t="str">
            <v>Bản Na phô khăm, Huyện Phìn, Tỉnh Savannakhet</v>
          </cell>
          <cell r="I71" t="str">
            <v>ບ້ານ ນາພູຄຳ, ເມືອງ ພີນ, ເເຂວງສະຫວັນນະເຂດ</v>
          </cell>
          <cell r="J71" t="str">
            <v>03525</v>
          </cell>
        </row>
        <row r="72">
          <cell r="C72" t="str">
            <v>N. Chăn</v>
          </cell>
          <cell r="D72" t="str">
            <v>ນາງ ຈັນ</v>
          </cell>
          <cell r="E72">
            <v>1986</v>
          </cell>
          <cell r="F72" t="str">
            <v>nữ</v>
          </cell>
          <cell r="H72" t="str">
            <v>Bản Khăm Xe Y, Huyện Phìn, Tỉnh Savannakhet</v>
          </cell>
          <cell r="I72" t="str">
            <v>ບ້ານ ຄຳສະອີ, ເມືອງ ພີນ, ເເຂວງ ສະຫວັນນະເຂດ</v>
          </cell>
          <cell r="J72" t="str">
            <v>03526</v>
          </cell>
        </row>
        <row r="73">
          <cell r="C73" t="str">
            <v>T Núc</v>
          </cell>
          <cell r="D73" t="str">
            <v>ນາງ ນຸກ</v>
          </cell>
          <cell r="E73">
            <v>2001</v>
          </cell>
          <cell r="F73" t="str">
            <v>nam</v>
          </cell>
          <cell r="H73" t="str">
            <v>Bản Khăm Xe Y, Huyện Phìn, Tỉnh Savannakhet</v>
          </cell>
          <cell r="I73" t="str">
            <v>ບ້ານ ຄຳສະອີ, ເມືອງ ພີນ, ເເຂວງ ສະຫວັນນະເຂດ</v>
          </cell>
          <cell r="J73" t="str">
            <v>03527</v>
          </cell>
        </row>
        <row r="74">
          <cell r="C74" t="str">
            <v>T. Cô</v>
          </cell>
          <cell r="D74" t="str">
            <v>ທ້າວ ໂກ</v>
          </cell>
          <cell r="E74">
            <v>1990</v>
          </cell>
          <cell r="F74" t="str">
            <v>nam</v>
          </cell>
          <cell r="H74" t="str">
            <v>Bản Na Phô Khăm, Huyện Phìn, Tỉnh Savannakhet</v>
          </cell>
          <cell r="I74" t="str">
            <v>ບ້ານ ນາພູຄຳ, ເມືອງ ພີນ, ເເຂວງສະຫວັນນະເຂດ</v>
          </cell>
          <cell r="J74" t="str">
            <v>03528</v>
          </cell>
        </row>
        <row r="75">
          <cell r="C75" t="str">
            <v>N. Khoăn Ta</v>
          </cell>
          <cell r="D75" t="str">
            <v>ນາງ ຂວັນຕາ</v>
          </cell>
          <cell r="E75">
            <v>2002</v>
          </cell>
          <cell r="F75" t="str">
            <v>nữ</v>
          </cell>
          <cell r="H75" t="str">
            <v>Bản Khăm Xe Y, Huyện Phìn, Tỉnh Savannakhet</v>
          </cell>
          <cell r="I75" t="str">
            <v>ບ້ານ ຄຳສະອີ, ເມືອງ ພີນ, ເເຂວງ ສະຫວັນນະເຂດ</v>
          </cell>
          <cell r="J75" t="str">
            <v>03529</v>
          </cell>
        </row>
        <row r="76">
          <cell r="C76" t="str">
            <v>T . Tom</v>
          </cell>
          <cell r="D76" t="str">
            <v>ທ້າວ ຕ້ອມ</v>
          </cell>
          <cell r="E76">
            <v>2004</v>
          </cell>
          <cell r="F76" t="str">
            <v>nữ</v>
          </cell>
          <cell r="H76" t="str">
            <v>Bản Khăm Xe Y, Huyện Phìn, Tỉnh Savannakhet</v>
          </cell>
          <cell r="I76" t="str">
            <v>ບ້ານ ຄຳສະອີ, ເມືອງ ພີນ, ເເຂວງ ສະຫວັນນະເຂດ</v>
          </cell>
          <cell r="J76" t="str">
            <v>03530</v>
          </cell>
        </row>
        <row r="77">
          <cell r="C77" t="str">
            <v>T. Son Sa May</v>
          </cell>
          <cell r="D77" t="str">
            <v>ທ້າວ ສອນສະວັນ</v>
          </cell>
          <cell r="E77">
            <v>1989</v>
          </cell>
          <cell r="F77" t="str">
            <v>nam</v>
          </cell>
          <cell r="H77" t="str">
            <v>Bản Khăm Xe Y, Huyện Phìn, Tỉnh Savannakhet</v>
          </cell>
          <cell r="I77" t="str">
            <v>ບ້ານ ຄຳສະອີ, ເມືອງ ພີນ, ເເຂວງ ສະຫວັນນະເຂດ</v>
          </cell>
          <cell r="J77" t="str">
            <v>03531</v>
          </cell>
        </row>
        <row r="78">
          <cell r="C78" t="str">
            <v>N. Túc</v>
          </cell>
          <cell r="D78" t="str">
            <v>ນາງ ຕຸກ</v>
          </cell>
          <cell r="E78">
            <v>1999</v>
          </cell>
          <cell r="F78" t="str">
            <v>nữ</v>
          </cell>
          <cell r="H78" t="str">
            <v>Bản Khăm Xe Y, Huyện Phìn, Tỉnh Savannakhet</v>
          </cell>
          <cell r="I78" t="str">
            <v>ບ້ານ ຄຳສະອີ, ເມືອງ ພີນ, ເເຂວງ ສະຫວັນນະເຂດ</v>
          </cell>
          <cell r="J78" t="str">
            <v>03532</v>
          </cell>
        </row>
        <row r="79">
          <cell r="C79" t="str">
            <v>T. Pha Đi</v>
          </cell>
          <cell r="D79" t="str">
            <v>ທ້າວ ພາດີ</v>
          </cell>
          <cell r="E79">
            <v>1995</v>
          </cell>
          <cell r="F79" t="str">
            <v>nam</v>
          </cell>
          <cell r="H79" t="str">
            <v>Bản Khăm Xe Y, Huyện Phìn, Tỉnh Savannakhet</v>
          </cell>
          <cell r="I79" t="str">
            <v>ບ້ານ ຄຳສະອີ, ເມືອງ ພີນ, ເເຂວງ ສະຫວັນນະເຂດ</v>
          </cell>
          <cell r="J79" t="str">
            <v>03533</v>
          </cell>
        </row>
        <row r="80">
          <cell r="C80" t="str">
            <v>T. Un</v>
          </cell>
          <cell r="D80" t="str">
            <v>ທ້າວ ອຸນ</v>
          </cell>
          <cell r="E80">
            <v>1995</v>
          </cell>
          <cell r="F80" t="str">
            <v>nam</v>
          </cell>
          <cell r="H80" t="str">
            <v>Bản Khăm Xe Y, Huyện Phìn, Tỉnh Savannakhet</v>
          </cell>
          <cell r="I80" t="str">
            <v>ບ້ານ ຄຳສະອີ, ເມືອງ ພີນ, ເເຂວງ ສະຫວັນນະເຂດ</v>
          </cell>
          <cell r="J80" t="str">
            <v>03534</v>
          </cell>
        </row>
        <row r="81">
          <cell r="C81" t="str">
            <v>T. Ôn</v>
          </cell>
          <cell r="D81" t="str">
            <v>ທ້າວ ອົ້ນ</v>
          </cell>
          <cell r="E81">
            <v>2004</v>
          </cell>
          <cell r="F81" t="str">
            <v>nam</v>
          </cell>
          <cell r="H81" t="str">
            <v>Bản Khăm Xe Y, Huyện Phìn, Tỉnh Savannakhet</v>
          </cell>
          <cell r="I81" t="str">
            <v>ບ້ານ ຄຳສະອີ, ເມືອງ ພີນ, ເເຂວງ ສະຫວັນນະເຂດ</v>
          </cell>
          <cell r="J81" t="str">
            <v>03535</v>
          </cell>
        </row>
        <row r="82">
          <cell r="C82" t="str">
            <v>N. Num</v>
          </cell>
          <cell r="D82" t="str">
            <v>ນາງ ຍຸມ</v>
          </cell>
          <cell r="E82">
            <v>2003</v>
          </cell>
          <cell r="F82" t="str">
            <v>nữ</v>
          </cell>
          <cell r="H82" t="str">
            <v>Bản Na Ka Pung, Huyện Phìn, Tỉnh Savannakhet</v>
          </cell>
          <cell r="I82" t="str">
            <v>ບ້ານ ນາກະປູງ, ເມືອງ ພີນ, ເເຂວງສະຫວັນນະເຂດ</v>
          </cell>
          <cell r="J82" t="str">
            <v>03536</v>
          </cell>
        </row>
        <row r="83">
          <cell r="C83" t="str">
            <v>Văn Đi</v>
          </cell>
          <cell r="D83" t="str">
            <v>ທ້າວ ວັນດີ</v>
          </cell>
          <cell r="E83">
            <v>1999</v>
          </cell>
          <cell r="F83" t="str">
            <v>nam</v>
          </cell>
          <cell r="H83" t="str">
            <v>Bản Khăm Xe Y, Huyện Phìn, Tỉnh Savannakhet</v>
          </cell>
          <cell r="I83" t="str">
            <v>ບ້ານ ຄຳສະອີ, ເມືອງ ພີນ, ເເຂວງ ສະຫວັນນະເຂດ</v>
          </cell>
          <cell r="J83" t="str">
            <v>03537</v>
          </cell>
        </row>
        <row r="84">
          <cell r="C84" t="str">
            <v>T. U Đôm</v>
          </cell>
          <cell r="D84" t="str">
            <v>ທ້າວ ອູດົມ</v>
          </cell>
          <cell r="E84">
            <v>2000</v>
          </cell>
          <cell r="F84" t="str">
            <v>nam</v>
          </cell>
          <cell r="H84" t="str">
            <v>Bản Khăm Xe Y, Huyện Phìn, Tỉnh Savannakhet</v>
          </cell>
          <cell r="I84" t="str">
            <v>ບ້ານ ຄຳສະອີ, ເມືອງ ພີນ, ເເຂວງ ສະຫວັນນະເຂດ</v>
          </cell>
          <cell r="J84" t="str">
            <v>03538</v>
          </cell>
        </row>
        <row r="85">
          <cell r="C85" t="str">
            <v>T . Nè</v>
          </cell>
          <cell r="D85" t="str">
            <v>ທ້າວ ເນ</v>
          </cell>
          <cell r="E85">
            <v>2004</v>
          </cell>
          <cell r="F85" t="str">
            <v>nam</v>
          </cell>
          <cell r="H85" t="str">
            <v>Bản Na Ka Pung, Huyện Phìn, Tỉnh Savannakhet</v>
          </cell>
          <cell r="I85" t="str">
            <v>ບ້ານ ນາກະປູງ, ເມືອງ ພີນ, ເເຂວງສະຫວັນນະເຂດ</v>
          </cell>
          <cell r="J85" t="str">
            <v>03539</v>
          </cell>
        </row>
        <row r="86">
          <cell r="C86" t="str">
            <v>N. Seng</v>
          </cell>
          <cell r="D86" t="str">
            <v>ທ້າວ ເເສງ</v>
          </cell>
          <cell r="E86">
            <v>2005</v>
          </cell>
          <cell r="F86" t="str">
            <v>nữ</v>
          </cell>
          <cell r="H86" t="str">
            <v>Bản Na Ka Pung, Huyện Phìn, Tỉnh Savannakhet</v>
          </cell>
          <cell r="I86" t="str">
            <v>ບ້ານ ນາກະປູງ, ເມືອງ ພີນ, ເເຂວງສະຫວັນນະເຂດ</v>
          </cell>
          <cell r="J86" t="str">
            <v>03540</v>
          </cell>
        </row>
        <row r="87">
          <cell r="C87" t="str">
            <v>T Đeng</v>
          </cell>
          <cell r="D87" t="str">
            <v>ທ້າວ ແດງ</v>
          </cell>
          <cell r="E87">
            <v>1999</v>
          </cell>
          <cell r="F87" t="str">
            <v>nam</v>
          </cell>
          <cell r="H87" t="str">
            <v>Bản Na Ka Pung, Huyện Phìn, Tỉnh Savannakhet</v>
          </cell>
          <cell r="I87" t="str">
            <v>ບ້ານ ນາກະປູງ, ເມືອງ ພີນ, ເເຂວງສະຫວັນນະເຂດ</v>
          </cell>
          <cell r="J87" t="str">
            <v>03541</v>
          </cell>
        </row>
        <row r="88">
          <cell r="C88" t="str">
            <v>T . Keo</v>
          </cell>
          <cell r="D88" t="str">
            <v>ທ້າວ ແກ້ວ</v>
          </cell>
          <cell r="E88">
            <v>1988</v>
          </cell>
          <cell r="F88" t="str">
            <v>nam</v>
          </cell>
          <cell r="H88" t="str">
            <v>Bản Khăm Xe Y, Huyện Phìn, Tỉnh Savannakhet</v>
          </cell>
          <cell r="I88" t="str">
            <v>ບ້ານ ຄຳສະອີ, ເມືອງ ພີນ, ເເຂວງ ສະຫວັນນະເຂດ</v>
          </cell>
          <cell r="J88" t="str">
            <v>03542</v>
          </cell>
        </row>
        <row r="89">
          <cell r="C89" t="str">
            <v>Văn Na Nọi</v>
          </cell>
          <cell r="D89" t="str">
            <v>ທ້າວ ວັນນານ້ອຍ</v>
          </cell>
          <cell r="E89">
            <v>1994</v>
          </cell>
          <cell r="F89" t="str">
            <v>nam</v>
          </cell>
          <cell r="H89" t="str">
            <v>Bản Khăm Xe Y, Huyện Phìn, Tỉnh Savannakhet</v>
          </cell>
          <cell r="I89" t="str">
            <v>ບ້ານ ຄຳສະອີ, ເມືອງ ພີນ, ເເຂວງ ສະຫວັນນະເຂດ</v>
          </cell>
          <cell r="J89" t="str">
            <v>03543</v>
          </cell>
        </row>
        <row r="90">
          <cell r="C90" t="str">
            <v>T. Ta</v>
          </cell>
          <cell r="D90" t="str">
            <v>ທ້າວ ຕາ</v>
          </cell>
          <cell r="E90">
            <v>1996</v>
          </cell>
          <cell r="F90" t="str">
            <v>nam</v>
          </cell>
          <cell r="H90" t="str">
            <v>Bản Khăm Xe Y, Huyện Phìn, Tỉnh Savannakhet</v>
          </cell>
          <cell r="I90" t="str">
            <v>ບ້ານ ຄຳສະອີ, ເມືອງ ພີນ, ເເຂວງ ສະຫວັນນະເຂດ</v>
          </cell>
          <cell r="J90" t="str">
            <v>03544</v>
          </cell>
        </row>
        <row r="91">
          <cell r="C91" t="str">
            <v>Phon Xa Văn</v>
          </cell>
          <cell r="D91" t="str">
            <v>ນາງ ພອນສະວັນ</v>
          </cell>
          <cell r="E91">
            <v>1999</v>
          </cell>
          <cell r="F91" t="str">
            <v>nữ</v>
          </cell>
          <cell r="H91" t="str">
            <v>Bản Khăm Xe Y, Huyện Phìn, Tỉnh Savannakhet</v>
          </cell>
          <cell r="I91" t="str">
            <v>ບ້ານ ຄຳສະອີ, ເມືອງ ພີນ, ເເຂວງ ສະຫວັນນະເຂດ</v>
          </cell>
          <cell r="J91" t="str">
            <v>03545</v>
          </cell>
        </row>
        <row r="92">
          <cell r="C92" t="str">
            <v>T. Nọi</v>
          </cell>
          <cell r="D92" t="str">
            <v>ທ້າວ ນ້ອຍ</v>
          </cell>
          <cell r="E92">
            <v>1994</v>
          </cell>
          <cell r="F92" t="str">
            <v>nam</v>
          </cell>
          <cell r="H92" t="str">
            <v>Bản Na Phô Khăm, Huyện Phìn, Tỉnh Savannakhet</v>
          </cell>
          <cell r="I92" t="str">
            <v>ບ້ານ ນາໂພຄຳ, ເມືອງ ພີນ, ເເຂວງ ສະຫວັນນະເຂດ</v>
          </cell>
          <cell r="J92" t="str">
            <v>03546</v>
          </cell>
        </row>
        <row r="93">
          <cell r="C93" t="str">
            <v>N. Nôn</v>
          </cell>
          <cell r="D93" t="str">
            <v>ນາງ ນົນ</v>
          </cell>
          <cell r="E93">
            <v>1989</v>
          </cell>
          <cell r="F93" t="str">
            <v>nữ</v>
          </cell>
          <cell r="H93" t="str">
            <v>Bản Khăm Xe Y, Huyện Phìn, Tỉnh Savannakhet</v>
          </cell>
          <cell r="I93" t="str">
            <v>ບ້ານ ຄຳສະອີ, ເມືອງ ພີນ, ເເຂວງ ສະຫວັນນະເຂດ</v>
          </cell>
          <cell r="J93" t="str">
            <v>03547</v>
          </cell>
        </row>
        <row r="94">
          <cell r="C94" t="str">
            <v>T. Om</v>
          </cell>
          <cell r="D94" t="str">
            <v>ທ້າວ ອອມ</v>
          </cell>
          <cell r="E94">
            <v>1990</v>
          </cell>
          <cell r="F94" t="str">
            <v>nam</v>
          </cell>
          <cell r="H94" t="str">
            <v>Bản Khăm Xe Y, Huyện Phìn, Tỉnh Savannakhet</v>
          </cell>
          <cell r="I94" t="str">
            <v>ບ້ານ ຄຳສະອີ, ເມືອງ ພີນ, ເເຂວງ ສະຫວັນນະເຂດ</v>
          </cell>
          <cell r="J94" t="str">
            <v>03548</v>
          </cell>
        </row>
        <row r="95">
          <cell r="C95" t="str">
            <v>N. Xi Xộm</v>
          </cell>
          <cell r="D95" t="str">
            <v>ນາງ ສີສົມ</v>
          </cell>
          <cell r="E95">
            <v>1999</v>
          </cell>
          <cell r="F95" t="str">
            <v>nữ</v>
          </cell>
          <cell r="H95" t="str">
            <v>Bản Khăm Xe Y, Huyện Phìn, Tỉnh Savannakhet</v>
          </cell>
          <cell r="I95" t="str">
            <v>ບ້ານ ຄຳສະອີ, ເມືອງ ພີນ, ເເຂວງ ສະຫວັນນະເຂດ</v>
          </cell>
          <cell r="J95" t="str">
            <v>03549</v>
          </cell>
        </row>
        <row r="96">
          <cell r="C96" t="str">
            <v>T. Đuông</v>
          </cell>
          <cell r="D96" t="str">
            <v>ທ້າວ ດວງ</v>
          </cell>
          <cell r="E96">
            <v>1998</v>
          </cell>
          <cell r="F96" t="str">
            <v>nam</v>
          </cell>
          <cell r="H96" t="str">
            <v>Bản Khăm Xe Y, Huyện Phìn, Tỉnh Savannakhet</v>
          </cell>
          <cell r="I96" t="str">
            <v>ບ້ານ ຄຳສະອີ, ເມືອງ ພີນ, ເເຂວງ ສະຫວັນນະເຂດ</v>
          </cell>
          <cell r="J96" t="str">
            <v>03550</v>
          </cell>
        </row>
        <row r="97">
          <cell r="C97" t="str">
            <v>T . Pheng</v>
          </cell>
          <cell r="D97" t="str">
            <v>ທ້າວ ແພງ</v>
          </cell>
          <cell r="E97">
            <v>1996</v>
          </cell>
          <cell r="F97" t="str">
            <v>nam</v>
          </cell>
          <cell r="H97" t="str">
            <v>Bản Huội Xai, Huyện Phìn, Tỉnh Savannakhet</v>
          </cell>
          <cell r="I97" t="str">
            <v>ບ້ານ ຫ້ວຍຊາຍ, ເມືອງ ພີນ, ເເຂວງ ສະຫວັນນະເຂດ</v>
          </cell>
          <cell r="J97" t="str">
            <v>03551</v>
          </cell>
        </row>
        <row r="98">
          <cell r="C98" t="str">
            <v>Cong Ma Ni</v>
          </cell>
          <cell r="D98" t="str">
            <v>ທ້າວ ກອງມານີ</v>
          </cell>
          <cell r="E98">
            <v>2000</v>
          </cell>
          <cell r="F98" t="str">
            <v>nam</v>
          </cell>
          <cell r="H98" t="str">
            <v>Bản Khăm Xe Y, Huyện Phìn, Tỉnh Savannakhet</v>
          </cell>
          <cell r="I98" t="str">
            <v>ບ້ານ ຄຳສະອີ, ເມືອງ ພີນ, ເເຂວງ ສະຫວັນນະເຂດ</v>
          </cell>
          <cell r="J98" t="str">
            <v>03552</v>
          </cell>
        </row>
        <row r="99">
          <cell r="C99" t="str">
            <v>A Tền</v>
          </cell>
          <cell r="D99" t="str">
            <v>ທ້າວ ອາຕຽນ</v>
          </cell>
          <cell r="E99">
            <v>2006</v>
          </cell>
          <cell r="F99" t="str">
            <v>nam</v>
          </cell>
          <cell r="H99" t="str">
            <v>Bản Na Ka Pung, Huyện Phìn, Tỉnh Savannakhet</v>
          </cell>
          <cell r="I99" t="str">
            <v>ບ້ານ ນາກະປູງ, ເມືອງ ພີນ, ເເຂວງສະຫວັນນະເຂດ</v>
          </cell>
          <cell r="J99" t="str">
            <v>03553</v>
          </cell>
        </row>
        <row r="100">
          <cell r="C100" t="str">
            <v>N. Phon 1</v>
          </cell>
          <cell r="D100" t="str">
            <v>ນາງ ພອນ 1</v>
          </cell>
          <cell r="E100">
            <v>1999</v>
          </cell>
          <cell r="F100" t="str">
            <v>nữ</v>
          </cell>
          <cell r="H100" t="str">
            <v>Bản Huội Xai, Huyện Phìn, Tỉnh Savannakhet</v>
          </cell>
          <cell r="I100" t="str">
            <v>ບ້ານ ຫ້ວຍຊາຍ, ເມືອງ ພີນ, ເເຂວງ ສະຫວັນນະເຂດ</v>
          </cell>
          <cell r="J100" t="str">
            <v>03554</v>
          </cell>
        </row>
        <row r="101">
          <cell r="C101" t="str">
            <v>C. Trang 1</v>
          </cell>
          <cell r="D101" t="str">
            <v>ນາງ ຈາງ 1</v>
          </cell>
          <cell r="E101">
            <v>1987</v>
          </cell>
          <cell r="F101" t="str">
            <v>nữ</v>
          </cell>
          <cell r="H101" t="str">
            <v>Ấp 3 Suối Ngô, Huyện Tân Châu, Tỉnh Tây Ninh</v>
          </cell>
          <cell r="I101" t="str">
            <v>ເອີບ 3 ໂຊຍ ໂຊ, ບ້ານ ເຕີນ ເຈົາ, ເເຂວງ ເຕີຍ ນີງ</v>
          </cell>
          <cell r="J101" t="str">
            <v>03555</v>
          </cell>
        </row>
        <row r="102">
          <cell r="C102" t="str">
            <v>T. Mi</v>
          </cell>
          <cell r="D102" t="str">
            <v>ທ້າວ ມີ</v>
          </cell>
          <cell r="E102">
            <v>1999</v>
          </cell>
          <cell r="F102" t="str">
            <v>nam</v>
          </cell>
          <cell r="H102" t="str">
            <v>Bản Na Ka Pung, Huyện Phìn, Tỉnh Savannakhet</v>
          </cell>
          <cell r="I102" t="str">
            <v>ບ້ານ ນາກະປູງ, ເມືອງ ພີນ, ເເຂວງສະຫວັນນະເຂດ</v>
          </cell>
          <cell r="J102" t="str">
            <v>03556</v>
          </cell>
        </row>
        <row r="103">
          <cell r="C103" t="str">
            <v>T. Phù</v>
          </cell>
          <cell r="D103" t="str">
            <v>ທ້າວ ພູ</v>
          </cell>
          <cell r="E103">
            <v>1988</v>
          </cell>
          <cell r="F103" t="str">
            <v>nam</v>
          </cell>
          <cell r="H103" t="str">
            <v>Bản Khăm Xe Y, Huyện Phìn, Tỉnh Savannakhet</v>
          </cell>
          <cell r="I103" t="str">
            <v>ບ້ານ ຄຳສະອີ, ເມືອງ ພີນ, ເເຂວງ ສະຫວັນນະເຂດ</v>
          </cell>
          <cell r="J103" t="str">
            <v>03557</v>
          </cell>
        </row>
        <row r="104">
          <cell r="C104" t="str">
            <v>N, . Mon</v>
          </cell>
          <cell r="D104" t="str">
            <v>ນາງ ມອນ</v>
          </cell>
          <cell r="E104">
            <v>1989</v>
          </cell>
          <cell r="F104" t="str">
            <v>nữ</v>
          </cell>
          <cell r="H104" t="str">
            <v>Bản Khăm Xe Y, Huyện Phìn, Tỉnh Savannakhet</v>
          </cell>
          <cell r="I104" t="str">
            <v>ບ້ານ ຄຳສະອີ, ເມືອງ ພີນ, ເເຂວງ ສະຫວັນນະເຂດ</v>
          </cell>
          <cell r="J104" t="str">
            <v>03558</v>
          </cell>
        </row>
        <row r="105">
          <cell r="C105" t="str">
            <v>Viêng Khăm</v>
          </cell>
          <cell r="D105" t="str">
            <v>ທ້າວ ວຽງຄຳ</v>
          </cell>
          <cell r="E105">
            <v>1989</v>
          </cell>
          <cell r="F105" t="str">
            <v>nam</v>
          </cell>
          <cell r="H105" t="str">
            <v>Bản Pha Lu, Huyện Phìn, Tỉnh Savannakhet</v>
          </cell>
          <cell r="I105" t="str">
            <v>ບ້ານ ພາລູ, ເມືອງ ພີນ, ເເຂວງ ສະຫວັນນະເຂດ</v>
          </cell>
          <cell r="J105" t="str">
            <v>03559</v>
          </cell>
        </row>
        <row r="106">
          <cell r="C106" t="str">
            <v>Veo Khăm</v>
          </cell>
          <cell r="D106" t="str">
            <v>ທ້າວ ເເວວຄຳ</v>
          </cell>
          <cell r="E106">
            <v>1997</v>
          </cell>
          <cell r="F106" t="str">
            <v>nam</v>
          </cell>
          <cell r="H106" t="str">
            <v>Bản Pha Lu, Huyện Phìn, Tỉnh Savannakhet</v>
          </cell>
          <cell r="I106" t="str">
            <v>ບ້ານ ພາລູ, ເມືອງ ພີນ, ເເຂວງ ສະຫວັນນະເຂດ</v>
          </cell>
          <cell r="J106" t="str">
            <v>03560</v>
          </cell>
        </row>
        <row r="107">
          <cell r="C107" t="str">
            <v>T . Khon</v>
          </cell>
          <cell r="D107" t="str">
            <v>ທ້າວ ຄອນ</v>
          </cell>
          <cell r="E107">
            <v>1989</v>
          </cell>
          <cell r="F107" t="str">
            <v>nam</v>
          </cell>
          <cell r="H107" t="str">
            <v>Bản Huội Xai, Huyện Phìn, Tỉnh Savannakhet</v>
          </cell>
          <cell r="I107" t="str">
            <v>ບ້ານ ຫ້ວຍຊາຍ, ເມືອງ ພີນ, ເເຂວງ ສະຫວັນນະເຂດ</v>
          </cell>
          <cell r="J107" t="str">
            <v>03561</v>
          </cell>
        </row>
        <row r="108">
          <cell r="C108" t="str">
            <v>N. Nun</v>
          </cell>
          <cell r="D108" t="str">
            <v>ທ້າວ ນູນ</v>
          </cell>
          <cell r="E108">
            <v>2006</v>
          </cell>
          <cell r="F108" t="str">
            <v>nữ</v>
          </cell>
          <cell r="H108" t="str">
            <v>Bản Na Ka Pung, Huyện Phìn, Tỉnh Savannakhet</v>
          </cell>
          <cell r="I108" t="str">
            <v>ບ້ານ ນາກະປູງ, ເມືອງ ພີນ, ເເຂວງສະຫວັນນະເຂດ</v>
          </cell>
          <cell r="J108" t="str">
            <v>03562</v>
          </cell>
        </row>
        <row r="109">
          <cell r="C109" t="str">
            <v>In Pông</v>
          </cell>
          <cell r="D109" t="str">
            <v>ທ້າວ ອິນປົງ</v>
          </cell>
          <cell r="E109">
            <v>1998</v>
          </cell>
          <cell r="F109" t="str">
            <v>nam</v>
          </cell>
          <cell r="H109" t="str">
            <v>Bản Khăm Xe Y, Huyện Phìn, Tỉnh Savannakhet</v>
          </cell>
          <cell r="I109" t="str">
            <v>ບ້ານ ຄຳສະອີ, ເມືອງ ພີນ, ເເຂວງ ສະຫວັນນະເຂດ</v>
          </cell>
          <cell r="J109" t="str">
            <v>03563</v>
          </cell>
        </row>
        <row r="110">
          <cell r="C110" t="str">
            <v>A Nóc</v>
          </cell>
          <cell r="D110" t="str">
            <v>ທ້າວ ອານອກ</v>
          </cell>
          <cell r="E110">
            <v>1990</v>
          </cell>
          <cell r="F110" t="str">
            <v>nam</v>
          </cell>
          <cell r="H110" t="str">
            <v>Bản Huội Xai, Huyện Phìn, Tỉnh Savannakhet</v>
          </cell>
          <cell r="I110" t="str">
            <v>ບ້ານ ຫ້ວຍຊາຍ, ເມືອງ ພີນ, ເເຂວງ ສະຫວັນນະເຂດ</v>
          </cell>
          <cell r="J110" t="str">
            <v>03564</v>
          </cell>
        </row>
        <row r="111">
          <cell r="C111" t="str">
            <v>N. Lạ</v>
          </cell>
          <cell r="D111" t="str">
            <v>ນາງ ລະ</v>
          </cell>
          <cell r="E111">
            <v>1989</v>
          </cell>
          <cell r="F111" t="str">
            <v>nam</v>
          </cell>
          <cell r="H111" t="str">
            <v>Bản Khăm Xe Y, Huyện Phìn, Tỉnh Savannakhet</v>
          </cell>
          <cell r="I111" t="str">
            <v>ບ້ານ ຄຳສະອີ, ເມືອງ ພີນ, ເເຂວງ ສະຫວັນນະເຂດ</v>
          </cell>
          <cell r="J111" t="str">
            <v>03565</v>
          </cell>
        </row>
        <row r="112">
          <cell r="C112" t="str">
            <v>T. Xôm Phon</v>
          </cell>
          <cell r="D112" t="str">
            <v>ທ້າວ ສົມພອນ</v>
          </cell>
          <cell r="E112">
            <v>1991</v>
          </cell>
          <cell r="F112" t="str">
            <v>nam</v>
          </cell>
          <cell r="H112" t="str">
            <v>Bản Huội Xai, Huyện Phìn, Tỉnh Savannakhet</v>
          </cell>
          <cell r="I112" t="str">
            <v>ບ້ານ ຫ້ວຍຊາຍ, ເມືອງ ພີນ, ເເຂວງ ສະຫວັນນະເຂດ</v>
          </cell>
          <cell r="J112" t="str">
            <v>03566</v>
          </cell>
        </row>
        <row r="113">
          <cell r="C113" t="str">
            <v>Khăm Phiêng</v>
          </cell>
          <cell r="D113" t="str">
            <v>ນາງ ຄຳພຽງ</v>
          </cell>
          <cell r="E113">
            <v>2001</v>
          </cell>
          <cell r="F113" t="str">
            <v>nữ</v>
          </cell>
          <cell r="H113" t="str">
            <v>Bản Pha Lu, Huyện Phìn, Tỉnh Savannakhet</v>
          </cell>
          <cell r="I113" t="str">
            <v>ບ້ານ ພາລູ, ເມືອງ ພີນ, ເເຂວງ ສະຫວັນນະເຂດ</v>
          </cell>
          <cell r="J113" t="str">
            <v>03567</v>
          </cell>
        </row>
        <row r="114">
          <cell r="C114" t="str">
            <v>Khiêng Khăm</v>
          </cell>
          <cell r="D114" t="str">
            <v>ນາງ ຄຽງຄຳ</v>
          </cell>
          <cell r="E114">
            <v>2005</v>
          </cell>
          <cell r="F114" t="str">
            <v>nữ</v>
          </cell>
          <cell r="H114" t="str">
            <v>Bản Pha Lu, Huyện Phìn, Tỉnh Savannakhet</v>
          </cell>
          <cell r="I114" t="str">
            <v>ບ້ານ ພາລູ, ເມືອງ ພີນ, ເເຂວງ ສະຫວັນນະເຂດ</v>
          </cell>
          <cell r="J114" t="str">
            <v>03568</v>
          </cell>
        </row>
        <row r="115">
          <cell r="C115" t="str">
            <v>T. Kỷ</v>
          </cell>
          <cell r="D115" t="str">
            <v>ທ້າວ ກີ້</v>
          </cell>
          <cell r="E115">
            <v>1988</v>
          </cell>
          <cell r="F115" t="str">
            <v>nam</v>
          </cell>
          <cell r="H115" t="str">
            <v>Bản Khăm Xe Y, Huyện Phìn, Tỉnh Savannakhet</v>
          </cell>
          <cell r="I115" t="str">
            <v>ບ້ານ ຄຳສະອີ, ເມືອງ ພີນ, ເເຂວງ ສະຫວັນນະເຂດ</v>
          </cell>
          <cell r="J115" t="str">
            <v>03569</v>
          </cell>
        </row>
        <row r="116">
          <cell r="C116" t="str">
            <v>T. Vi Lai Văn</v>
          </cell>
          <cell r="D116" t="str">
            <v>ທ້າວ ວິໄລວັນ</v>
          </cell>
          <cell r="E116">
            <v>2000</v>
          </cell>
          <cell r="F116" t="str">
            <v>nam</v>
          </cell>
          <cell r="H116" t="str">
            <v>Bản Na Phô Khăm, Huyện Phìn, Tỉnh Savannakhet</v>
          </cell>
          <cell r="I116" t="str">
            <v>ບ້ານ ນາໂພຄຳ, ເມືອງ ພີນ, ເເຂວງ ສະຫວັນນະເຂດ</v>
          </cell>
          <cell r="J116" t="str">
            <v>03570</v>
          </cell>
        </row>
        <row r="117">
          <cell r="C117" t="str">
            <v>T. Ê</v>
          </cell>
          <cell r="D117" t="str">
            <v>ທ້າວ ເອ</v>
          </cell>
          <cell r="E117">
            <v>1987</v>
          </cell>
          <cell r="F117" t="str">
            <v>nam</v>
          </cell>
          <cell r="H117" t="str">
            <v>Bản Khăm Xe Y, Huyện Phìn, Tỉnh Savannakhet</v>
          </cell>
          <cell r="I117" t="str">
            <v>ບ້ານ ຄຳສະອີ, ເມືອງ ພີນ, ເເຂວງ ສະຫວັນນະເຂດ</v>
          </cell>
          <cell r="J117" t="str">
            <v>03571</v>
          </cell>
        </row>
        <row r="118">
          <cell r="C118" t="str">
            <v>N. Lắt Đa</v>
          </cell>
          <cell r="D118" t="str">
            <v>ນາງ ລັດດາ</v>
          </cell>
          <cell r="E118">
            <v>1991</v>
          </cell>
          <cell r="F118" t="str">
            <v>nữ</v>
          </cell>
          <cell r="H118" t="str">
            <v>Bản Khăm Xe Y, Huyện Phìn, Tỉnh Savannakhet</v>
          </cell>
          <cell r="I118" t="str">
            <v>ບ້ານ ຄຳສະອີ, ເມືອງ ພີນ, ເເຂວງ ສະຫວັນນະເຂດ</v>
          </cell>
          <cell r="J118" t="str">
            <v>03572</v>
          </cell>
        </row>
        <row r="119">
          <cell r="C119" t="str">
            <v>N. Tieng Na</v>
          </cell>
          <cell r="D119" t="str">
            <v>ນາງ ຕຽງນາ</v>
          </cell>
          <cell r="E119">
            <v>1999</v>
          </cell>
          <cell r="F119" t="str">
            <v>nữ</v>
          </cell>
          <cell r="H119" t="str">
            <v>Bản Pha Lu, Huyện Phìn, Tỉnh Savannakhet</v>
          </cell>
          <cell r="I119" t="str">
            <v>ບ້ານ ພາລູ, ເມືອງ ພີນ, ເເຂວງ ສະຫວັນນະເຂດ</v>
          </cell>
          <cell r="J119" t="str">
            <v>03573</v>
          </cell>
        </row>
        <row r="120">
          <cell r="C120" t="str">
            <v>T. Đăm</v>
          </cell>
          <cell r="D120" t="str">
            <v>ທ້າວ ດຳ</v>
          </cell>
          <cell r="E120">
            <v>1991</v>
          </cell>
          <cell r="F120" t="str">
            <v>nam</v>
          </cell>
          <cell r="H120" t="str">
            <v>Bản Khăm Xe Y, Huyện Phìn, Tỉnh Savannakhet</v>
          </cell>
          <cell r="I120" t="str">
            <v>ບ້ານ ຄຳສະອີ, ເມືອງ ພີນ, ເເຂວງ ສະຫວັນນະເຂດ</v>
          </cell>
          <cell r="J120" t="str">
            <v>03574</v>
          </cell>
        </row>
        <row r="121">
          <cell r="C121" t="str">
            <v>T. Công</v>
          </cell>
          <cell r="D121" t="str">
            <v>ທ້າວ ກົງ</v>
          </cell>
          <cell r="E121">
            <v>1979</v>
          </cell>
          <cell r="F121" t="str">
            <v>nam</v>
          </cell>
          <cell r="H121" t="str">
            <v>Bản Na Phô Khăm, Huyện Phìn, Tỉnh Savannakhet</v>
          </cell>
          <cell r="I121" t="str">
            <v>ບ້ານ ນາໂພຄຳ, ເມືອງ ພີນ, ເເຂວງ ສະຫວັນນະເຂດ</v>
          </cell>
          <cell r="J121" t="str">
            <v>03575</v>
          </cell>
        </row>
        <row r="122">
          <cell r="C122" t="str">
            <v>T. Sinh</v>
          </cell>
          <cell r="D122" t="str">
            <v>ທ້າວ ສີງ</v>
          </cell>
          <cell r="E122">
            <v>1990</v>
          </cell>
          <cell r="F122" t="str">
            <v>nam</v>
          </cell>
          <cell r="H122" t="str">
            <v>Bản Xe Tha Mouk, Huyện Phìn, Tỉnh Savannakhet</v>
          </cell>
          <cell r="I122" t="str">
            <v>ບ້ານ ເຊທ່າມວກ, ເມືອງ ພີນ, ເເຂວງ ສະຫວັນນະເຂດ</v>
          </cell>
          <cell r="J122" t="str">
            <v>03576</v>
          </cell>
        </row>
        <row r="123">
          <cell r="C123" t="str">
            <v>T. Da</v>
          </cell>
          <cell r="D123" t="str">
            <v>ທ້າວ ຍາ</v>
          </cell>
          <cell r="E123">
            <v>1992</v>
          </cell>
          <cell r="F123" t="str">
            <v>nam</v>
          </cell>
          <cell r="H123" t="str">
            <v>Bản Khăm Xe Y, Huyện Phìn, Tỉnh Savannakhet</v>
          </cell>
          <cell r="I123" t="str">
            <v>ບ້ານ ຄຳສະອີ, ເມືອງ ພີນ, ເເຂວງ ສະຫວັນນະເຂດ</v>
          </cell>
          <cell r="J123" t="str">
            <v>03577</v>
          </cell>
        </row>
        <row r="124">
          <cell r="C124" t="str">
            <v>T. Ngon</v>
          </cell>
          <cell r="D124" t="str">
            <v>ທ້າວ ງອນ</v>
          </cell>
          <cell r="E124">
            <v>1997</v>
          </cell>
          <cell r="F124" t="str">
            <v>nam</v>
          </cell>
          <cell r="H124" t="str">
            <v>Bản Khăm Xe Y, Huyện Phìn, Tỉnh Savannakhet</v>
          </cell>
          <cell r="I124" t="str">
            <v>ບ້ານ ຄຳສະອີ, ເມືອງ ພີນ, ເເຂວງ ສະຫວັນນະເຂດ</v>
          </cell>
          <cell r="J124" t="str">
            <v>03578</v>
          </cell>
        </row>
        <row r="125">
          <cell r="C125" t="str">
            <v>T. Thong</v>
          </cell>
          <cell r="D125" t="str">
            <v>ທ້າວ ທອງ</v>
          </cell>
          <cell r="E125">
            <v>1994</v>
          </cell>
          <cell r="F125" t="str">
            <v>nam</v>
          </cell>
          <cell r="H125" t="str">
            <v>Bản Na Ka Pung, Huyện Phìn, Tỉnh Savannakhet</v>
          </cell>
          <cell r="I125" t="str">
            <v>ບ້ານ ນາກະປູງ, ເມືອງ ພີນ, ເເຂວງສະຫວັນນະເຂດ</v>
          </cell>
          <cell r="J125" t="str">
            <v>03579</v>
          </cell>
        </row>
        <row r="126">
          <cell r="C126" t="str">
            <v>T Pỉ</v>
          </cell>
          <cell r="D126" t="str">
            <v>ທ້າວ ປີ້</v>
          </cell>
          <cell r="E126">
            <v>1980</v>
          </cell>
          <cell r="F126" t="str">
            <v>nam</v>
          </cell>
          <cell r="H126" t="str">
            <v>Bản Khăm Xe Y, Huyện Phìn, Tỉnh Savannakhet</v>
          </cell>
          <cell r="I126" t="str">
            <v>ບ້ານ ຄຳສະອີ, ເມືອງ ພີນ, ເເຂວງ ສະຫວັນນະເຂດ</v>
          </cell>
          <cell r="J126" t="str">
            <v>03580</v>
          </cell>
        </row>
        <row r="127">
          <cell r="C127" t="str">
            <v>Chăn Đen</v>
          </cell>
          <cell r="D127" t="str">
            <v>ນາງ ຈັນເເດນ</v>
          </cell>
          <cell r="E127">
            <v>1984</v>
          </cell>
          <cell r="F127" t="str">
            <v>nữ</v>
          </cell>
          <cell r="H127" t="str">
            <v>Bản Huội Xai, Huyện Phìn, Tỉnh Savannakhet</v>
          </cell>
          <cell r="I127" t="str">
            <v>ບ້ານ ຫ້ວຍຊາຍ, ເມືອງ ພີນ, ເເຂວງ ສະຫວັນນະເຂດ</v>
          </cell>
          <cell r="J127" t="str">
            <v>03581</v>
          </cell>
        </row>
        <row r="128">
          <cell r="C128" t="str">
            <v>T. Vôn</v>
          </cell>
          <cell r="D128" t="str">
            <v>ທ້າວ ວົນ</v>
          </cell>
          <cell r="E128">
            <v>1982</v>
          </cell>
          <cell r="F128" t="str">
            <v>nam</v>
          </cell>
          <cell r="H128" t="str">
            <v>Bản Khăm Xe Y, Huyện Phìn, Tỉnh Savannakhet</v>
          </cell>
          <cell r="I128" t="str">
            <v>ບ້ານ ຄຳສະອີ, ເມືອງ ພີນ, ເເຂວງ ສະຫວັນນະເຂດ</v>
          </cell>
          <cell r="J128" t="str">
            <v>03582</v>
          </cell>
        </row>
        <row r="129">
          <cell r="C129" t="str">
            <v>Đa Ly</v>
          </cell>
          <cell r="D129" t="str">
            <v>ທ້າວ ດາລີ</v>
          </cell>
          <cell r="E129">
            <v>1991</v>
          </cell>
          <cell r="F129" t="str">
            <v>nữ</v>
          </cell>
          <cell r="H129" t="str">
            <v>Bản Khăm Xe Y, Huyện Phìn, Tỉnh Savannakhet</v>
          </cell>
          <cell r="I129" t="str">
            <v>ບ້ານ ຄຳສະອີ, ເມືອງ ພີນ, ເເຂວງ ສະຫວັນນະເຂດ</v>
          </cell>
          <cell r="J129" t="str">
            <v>03583</v>
          </cell>
        </row>
        <row r="130">
          <cell r="C130" t="str">
            <v>Na Ly</v>
          </cell>
          <cell r="D130" t="str">
            <v>ນາງ ນາລີ</v>
          </cell>
          <cell r="E130">
            <v>1988</v>
          </cell>
          <cell r="F130" t="str">
            <v>nữ</v>
          </cell>
          <cell r="H130" t="str">
            <v>Bản Khăm Xe Y, Huyện Phìn, Tỉnh Savannakhet</v>
          </cell>
          <cell r="I130" t="str">
            <v>ບ້ານ ຄຳສະອີ, ເມືອງ ພີນ, ເເຂວງ ສະຫວັນນະເຂດ</v>
          </cell>
          <cell r="J130" t="str">
            <v>03584</v>
          </cell>
        </row>
        <row r="131">
          <cell r="C131" t="str">
            <v>Lắc Xa Mi</v>
          </cell>
          <cell r="D131" t="str">
            <v>ນາງ ລັດສະໝີ</v>
          </cell>
          <cell r="E131">
            <v>1993</v>
          </cell>
          <cell r="F131" t="str">
            <v>nữ</v>
          </cell>
          <cell r="H131" t="str">
            <v>Bản Khăm Xe Y, Huyện Phìn, Tỉnh Savannakhet</v>
          </cell>
          <cell r="I131" t="str">
            <v>ບ້ານ ຄຳສະອີ, ເມືອງ ພີນ, ເເຂວງ ສະຫວັນນະເຂດ</v>
          </cell>
          <cell r="J131" t="str">
            <v>03585</v>
          </cell>
        </row>
        <row r="132">
          <cell r="C132" t="str">
            <v>N. Phôn Say</v>
          </cell>
          <cell r="D132" t="str">
            <v>ນາງ ພອນໄຊ</v>
          </cell>
          <cell r="E132">
            <v>1998</v>
          </cell>
          <cell r="F132" t="str">
            <v>nữ</v>
          </cell>
          <cell r="H132" t="str">
            <v>Bản Huội Xai, Huyện Phìn, Tỉnh Savannakhet</v>
          </cell>
          <cell r="I132" t="str">
            <v>ບ້ານ ຫ້ວຍຊາຍ, ເມືອງ ພີນ, ເເຂວງ ສະຫວັນນະເຂດ</v>
          </cell>
          <cell r="J132" t="str">
            <v>03586</v>
          </cell>
        </row>
        <row r="133">
          <cell r="C133" t="str">
            <v>N. Mom</v>
          </cell>
          <cell r="D133" t="str">
            <v>ນາງ ມອມ</v>
          </cell>
          <cell r="E133">
            <v>1995</v>
          </cell>
          <cell r="F133" t="str">
            <v>nữ</v>
          </cell>
          <cell r="H133" t="str">
            <v>Bản Huội Xai, Huyện Phìn, Tỉnh Savannakhet</v>
          </cell>
          <cell r="I133" t="str">
            <v>ບ້ານ ຫ້ວຍຊາຍ, ເມືອງ ພີນ, ເເຂວງ ສະຫວັນນະເຂດ</v>
          </cell>
          <cell r="J133" t="str">
            <v>03587</v>
          </cell>
        </row>
        <row r="134">
          <cell r="C134" t="str">
            <v>T.Son say A</v>
          </cell>
          <cell r="D134" t="str">
            <v>ທ້າວ ສອນໄຊ ເອ</v>
          </cell>
          <cell r="E134">
            <v>1998</v>
          </cell>
          <cell r="F134" t="str">
            <v>Nam</v>
          </cell>
          <cell r="H134" t="str">
            <v>Bản Pha Lu, Huyện Phìn, Tỉnh Savannakhet</v>
          </cell>
          <cell r="I134" t="str">
            <v>ບ້ານ ພາລູ, ເມືອງ ພີນ, ເເຂວງ ສະຫວັນນະເຂດ</v>
          </cell>
          <cell r="J134" t="str">
            <v>03588</v>
          </cell>
        </row>
        <row r="135">
          <cell r="C135" t="str">
            <v>N. Keo</v>
          </cell>
          <cell r="D135" t="str">
            <v>ນາງ ແກ້ວ</v>
          </cell>
          <cell r="E135">
            <v>2002</v>
          </cell>
          <cell r="F135" t="str">
            <v>Nữ</v>
          </cell>
          <cell r="H135" t="str">
            <v>Bản Pha Lu, Huyện Phìn, Tỉnh Savannakhet</v>
          </cell>
          <cell r="I135" t="str">
            <v>ບ້ານ ພາລູ, ເມືອງ ພີນ, ເເຂວງ ສະຫວັນນະເຂດ</v>
          </cell>
          <cell r="J135" t="str">
            <v>03589</v>
          </cell>
        </row>
        <row r="136">
          <cell r="C136" t="str">
            <v>T .Nhum</v>
          </cell>
          <cell r="D136" t="str">
            <v>ທ້າວ ຍຸມ</v>
          </cell>
          <cell r="E136">
            <v>1996</v>
          </cell>
          <cell r="F136" t="str">
            <v>Nam</v>
          </cell>
          <cell r="H136" t="str">
            <v>Bản Na Ka Pung, Huyện Phìn, Tỉnh Savannakhet</v>
          </cell>
          <cell r="I136" t="str">
            <v>ບ້ານ ນາກະປູງ, ເມືອງ ພີນ, ເເຂວງສະຫວັນນະເຂດ</v>
          </cell>
          <cell r="J136" t="str">
            <v>03590</v>
          </cell>
        </row>
        <row r="137">
          <cell r="C137" t="str">
            <v>N.Vông Ma Ni</v>
          </cell>
          <cell r="D137" t="str">
            <v>ນາງ ວົງມານິ</v>
          </cell>
          <cell r="E137">
            <v>2006</v>
          </cell>
          <cell r="F137" t="str">
            <v>Nữ</v>
          </cell>
          <cell r="H137" t="str">
            <v>Bản Na Ka Pung, Huyện Phìn, Tỉnh Savannakhet</v>
          </cell>
          <cell r="I137" t="str">
            <v>ບ້ານ ນາກະປູງ, ເມືອງ ພີນ, ເເຂວງສະຫວັນນະເຂດ</v>
          </cell>
          <cell r="J137" t="str">
            <v>03591</v>
          </cell>
        </row>
        <row r="138">
          <cell r="C138" t="str">
            <v>Đao Hương</v>
          </cell>
          <cell r="D138" t="str">
            <v>ທ້າວ ດາວເຮືອງ</v>
          </cell>
          <cell r="E138">
            <v>1994</v>
          </cell>
          <cell r="F138" t="str">
            <v>Nam</v>
          </cell>
          <cell r="H138" t="str">
            <v>Bản Na Ka Pung, Huyện Phìn, Tỉnh Savannakhet</v>
          </cell>
          <cell r="I138" t="str">
            <v>ບ້ານ ນາກະປູງ, ເມືອງ ພີນ, ເເຂວງສະຫວັນນະເຂດ</v>
          </cell>
          <cell r="J138" t="str">
            <v>03592</v>
          </cell>
        </row>
        <row r="139">
          <cell r="C139" t="str">
            <v>T. Xi Nun</v>
          </cell>
          <cell r="D139" t="str">
            <v>ທ້າວ ສີນູນ</v>
          </cell>
          <cell r="E139">
            <v>2006</v>
          </cell>
          <cell r="F139" t="str">
            <v>Nam</v>
          </cell>
          <cell r="H139" t="str">
            <v>Bản Huội Xai, Huyện Phìn, Tỉnh Savannakhet</v>
          </cell>
          <cell r="I139" t="str">
            <v>ບ້ານ ຫ້ວຍຊາຍ, ເມືອງ ພີນ, ເເຂວງ ສະຫວັນນະເຂດ</v>
          </cell>
          <cell r="J139" t="str">
            <v>03593</v>
          </cell>
        </row>
        <row r="140">
          <cell r="C140" t="str">
            <v>T. Bun Hinh</v>
          </cell>
          <cell r="D140" t="str">
            <v>ທ້າວ ບູນຫີງ</v>
          </cell>
          <cell r="E140">
            <v>1989</v>
          </cell>
          <cell r="F140" t="str">
            <v>Nam</v>
          </cell>
          <cell r="H140" t="str">
            <v>Bản Huội Xai, Huyện Phìn, Tỉnh Savannakhet</v>
          </cell>
          <cell r="I140" t="str">
            <v>ບ້ານ ຫ້ວຍຊາຍ, ເມືອງ ພີນ, ເເຂວງ ສະຫວັນນະເຂດ</v>
          </cell>
          <cell r="J140" t="str">
            <v>03594</v>
          </cell>
        </row>
        <row r="141">
          <cell r="C141" t="str">
            <v>N. Lăm</v>
          </cell>
          <cell r="D141" t="str">
            <v>ນາງ ລຳ</v>
          </cell>
          <cell r="E141">
            <v>1998</v>
          </cell>
          <cell r="F141" t="str">
            <v>Nữ</v>
          </cell>
          <cell r="H141" t="str">
            <v>Bản Huội Xai, Huyện Phìn, Tỉnh Savannakhet</v>
          </cell>
          <cell r="I141" t="str">
            <v>ບ້ານ ຫ້ວຍຊາຍ, ເມືອງ ພີນ, ເເຂວງ ສະຫວັນນະເຂດ</v>
          </cell>
          <cell r="J141" t="str">
            <v>03595</v>
          </cell>
        </row>
        <row r="142">
          <cell r="C142" t="str">
            <v>N. Xúc</v>
          </cell>
          <cell r="D142" t="str">
            <v>ນາງ ສຸກ</v>
          </cell>
          <cell r="E142">
            <v>1999</v>
          </cell>
          <cell r="F142" t="str">
            <v>Nữ</v>
          </cell>
          <cell r="H142" t="str">
            <v>Bản Huội Xai, Huyện Phìn, Tỉnh Savannakhet</v>
          </cell>
          <cell r="I142" t="str">
            <v>ບ້ານ ຫ້ວຍຊາຍ, ເມືອງ ພີນ, ເເຂວງ ສະຫວັນນະເຂດ</v>
          </cell>
          <cell r="J142" t="str">
            <v>03596</v>
          </cell>
        </row>
        <row r="143">
          <cell r="C143" t="str">
            <v>N. Lẹ</v>
          </cell>
          <cell r="D143" t="str">
            <v>ນາງ ເເຫຼ້</v>
          </cell>
          <cell r="E143">
            <v>2000</v>
          </cell>
          <cell r="F143" t="str">
            <v>Nữ</v>
          </cell>
          <cell r="H143" t="str">
            <v>Bản Na Ka Pung, Huyện Phìn, Tỉnh Savannakhet</v>
          </cell>
          <cell r="I143" t="str">
            <v>ບ້ານ ນາກະປູງ, ເມືອງ ພີນ, ເເຂວງສະຫວັນນະເຂດ</v>
          </cell>
          <cell r="J143" t="str">
            <v>03597</v>
          </cell>
        </row>
        <row r="144">
          <cell r="C144" t="str">
            <v>N . Thích</v>
          </cell>
          <cell r="D144" t="str">
            <v>ນາງ ທິກ</v>
          </cell>
          <cell r="E144">
            <v>1997</v>
          </cell>
          <cell r="F144" t="str">
            <v>Nữ</v>
          </cell>
          <cell r="H144" t="str">
            <v>Bản Na Ka Pung, Huyện Phìn, Tỉnh Savannakhet</v>
          </cell>
          <cell r="I144" t="str">
            <v>ບ້ານ ນາກະປູງ, ເມືອງ ພີນ, ເເຂວງສະຫວັນນະເຂດ</v>
          </cell>
          <cell r="J144" t="str">
            <v>03598</v>
          </cell>
        </row>
        <row r="145">
          <cell r="C145" t="str">
            <v>N. Cong Mi</v>
          </cell>
          <cell r="D145" t="str">
            <v>ນາງ ກອງມີ</v>
          </cell>
          <cell r="E145">
            <v>1992</v>
          </cell>
          <cell r="F145" t="str">
            <v>Nữ</v>
          </cell>
          <cell r="H145" t="str">
            <v>Bản Huội Xai, Huyện Phìn, Tỉnh Savannakhet</v>
          </cell>
          <cell r="I145" t="str">
            <v>ບ້ານ ຫ້ວຍຊາຍ, ເມືອງ ພີນ, ເເຂວງ ສະຫວັນນະເຂດ</v>
          </cell>
          <cell r="J145" t="str">
            <v>03599</v>
          </cell>
        </row>
        <row r="146">
          <cell r="C146" t="str">
            <v>T . Vay</v>
          </cell>
          <cell r="D146" t="str">
            <v>ທ້າວ ໄວ</v>
          </cell>
          <cell r="E146">
            <v>1996</v>
          </cell>
          <cell r="F146" t="str">
            <v>Nam</v>
          </cell>
          <cell r="H146" t="str">
            <v>Bản Huội Xai, Huyện Phìn, Tỉnh Savannakhet</v>
          </cell>
          <cell r="I146" t="str">
            <v>ບ້ານ ຫ້ວຍຊາຍ, ເມືອງ ພີນ, ເເຂວງ ສະຫວັນນະເຂດ</v>
          </cell>
          <cell r="J146" t="str">
            <v>03600</v>
          </cell>
        </row>
        <row r="147">
          <cell r="C147" t="str">
            <v>T. Khăm Mặn</v>
          </cell>
          <cell r="D147" t="str">
            <v>ທ້າວ ຄຳໝັ້ນ</v>
          </cell>
          <cell r="E147">
            <v>1983</v>
          </cell>
          <cell r="F147" t="str">
            <v>Nam</v>
          </cell>
          <cell r="H147" t="str">
            <v>Bản Khăm Xe Y, Huyện Phìn, Tỉnh Savannakhet</v>
          </cell>
          <cell r="I147" t="str">
            <v>ບ້ານ ຄຳສະອີ, ເມືອງ ພີນ, ເເຂວງ ສະຫວັນນະເຂດ</v>
          </cell>
          <cell r="J147" t="str">
            <v>03601</v>
          </cell>
        </row>
        <row r="148">
          <cell r="C148" t="str">
            <v>T . In Tong</v>
          </cell>
          <cell r="D148" t="str">
            <v>ທ້າວ ອິນຕອງ</v>
          </cell>
          <cell r="E148">
            <v>1992</v>
          </cell>
          <cell r="F148" t="str">
            <v>Nam</v>
          </cell>
          <cell r="H148" t="str">
            <v>Bản Na Ka Pung, Huyện Phìn, Tỉnh Savannakhet</v>
          </cell>
          <cell r="I148" t="str">
            <v>ບ້ານ ນາກະປູງ, ເມືອງ ພີນ, ເເຂວງສະຫວັນນະເຂດ</v>
          </cell>
          <cell r="J148" t="str">
            <v>03602</v>
          </cell>
        </row>
        <row r="149">
          <cell r="C149" t="str">
            <v>T. Sòn</v>
          </cell>
          <cell r="D149" t="str">
            <v>ທ້າວ ສອນ</v>
          </cell>
          <cell r="E149">
            <v>1994</v>
          </cell>
          <cell r="F149" t="str">
            <v>Nam</v>
          </cell>
          <cell r="H149" t="str">
            <v>Bản Na Ka Pung, Huyện Phìn, Tỉnh Savannakhet</v>
          </cell>
          <cell r="I149" t="str">
            <v>ບ້ານ ນາກະປູງ, ເມືອງ ພີນ, ເເຂວງສະຫວັນນະເຂດ</v>
          </cell>
          <cell r="J149" t="str">
            <v>03603</v>
          </cell>
        </row>
        <row r="150">
          <cell r="C150" t="str">
            <v>T. Lăm Phêng</v>
          </cell>
          <cell r="D150" t="str">
            <v>ທ້າວ ລຳພຽງ</v>
          </cell>
          <cell r="E150">
            <v>1983</v>
          </cell>
          <cell r="F150" t="str">
            <v>Nam</v>
          </cell>
          <cell r="H150" t="str">
            <v>Bản Khăm Xe Y, Huyện Phìn, Tỉnh Savannakhet</v>
          </cell>
          <cell r="I150" t="str">
            <v>ບ້ານ ຄຳສະອີ, ເມືອງ ພີນ, ເເຂວງ ສະຫວັນນະເຂດ</v>
          </cell>
          <cell r="J150" t="str">
            <v>03604</v>
          </cell>
        </row>
        <row r="151">
          <cell r="C151" t="str">
            <v>T Xôn</v>
          </cell>
          <cell r="D151" t="str">
            <v>ທ້າວ ສົນ</v>
          </cell>
          <cell r="E151">
            <v>1984</v>
          </cell>
          <cell r="F151" t="str">
            <v>Nam</v>
          </cell>
          <cell r="H151" t="str">
            <v>Bản Khăm Xe Y, Huyện Phìn, Tỉnh Savannakhet</v>
          </cell>
          <cell r="I151" t="str">
            <v>ບ້ານ ຄຳສະອີ, ເມືອງ ພີນ, ເເຂວງ ສະຫວັນນະເຂດ</v>
          </cell>
          <cell r="J151" t="str">
            <v>03605</v>
          </cell>
        </row>
        <row r="152">
          <cell r="C152" t="str">
            <v>N. Phăn</v>
          </cell>
          <cell r="D152" t="str">
            <v>ນາງ ພັນ</v>
          </cell>
          <cell r="E152">
            <v>1997</v>
          </cell>
          <cell r="F152" t="str">
            <v>Nam</v>
          </cell>
          <cell r="H152" t="str">
            <v>Bản Na Ka Pung, Huyện Phìn, Tỉnh Savannakhet</v>
          </cell>
          <cell r="I152" t="str">
            <v>ບ້ານ ນາກະປູງ, ເມືອງ ພີນ, ເເຂວງສະຫວັນນະເຂດ</v>
          </cell>
          <cell r="J152" t="str">
            <v>03606</v>
          </cell>
        </row>
        <row r="153">
          <cell r="C153" t="str">
            <v>T. Huôn</v>
          </cell>
          <cell r="D153" t="str">
            <v>ທ້າວ ຫວນ</v>
          </cell>
          <cell r="E153">
            <v>1994</v>
          </cell>
          <cell r="F153" t="str">
            <v>Nam</v>
          </cell>
          <cell r="H153" t="str">
            <v>Bản Khăm Xe Y, Huyện Phìn, Tỉnh Savannakhet</v>
          </cell>
          <cell r="I153" t="str">
            <v>ບ້ານ ຄຳສະອີ, ເມືອງ ພີນ, ເເຂວງ ສະຫວັນນະເຂດ</v>
          </cell>
          <cell r="J153" t="str">
            <v>03607</v>
          </cell>
        </row>
        <row r="154">
          <cell r="C154" t="str">
            <v>N. Pon</v>
          </cell>
          <cell r="D154" t="str">
            <v>ນາງ ປອນ</v>
          </cell>
          <cell r="E154">
            <v>2004</v>
          </cell>
          <cell r="F154" t="str">
            <v>Nữ</v>
          </cell>
          <cell r="H154" t="str">
            <v>Bản Huội Xai, Huyện Phìn, Tỉnh Savannakhet</v>
          </cell>
          <cell r="I154" t="str">
            <v>ບ້ານ ຫ້ວຍຊາຍ, ເມືອງ ພີນ, ເເຂວງ ສະຫວັນນະເຂດ</v>
          </cell>
          <cell r="J154" t="str">
            <v>03608</v>
          </cell>
        </row>
        <row r="155">
          <cell r="C155" t="str">
            <v>N. Bun Đi</v>
          </cell>
          <cell r="D155" t="str">
            <v>ນາງ ບຸນດີ</v>
          </cell>
          <cell r="E155">
            <v>1999</v>
          </cell>
          <cell r="F155" t="str">
            <v>Nữ</v>
          </cell>
          <cell r="H155" t="str">
            <v>Bản Pha Lu, Huyện Phìn, Tỉnh Savannakhet</v>
          </cell>
          <cell r="I155" t="str">
            <v>ບ້ານ ພາລູ, ເມືອງ ພີນ, ເເຂວງ ສະຫວັນນະເຂດ</v>
          </cell>
          <cell r="J155" t="str">
            <v>03609</v>
          </cell>
        </row>
        <row r="156">
          <cell r="C156" t="str">
            <v>N. Phon</v>
          </cell>
          <cell r="D156" t="str">
            <v>ນາງ ພອນ</v>
          </cell>
          <cell r="E156">
            <v>2000</v>
          </cell>
          <cell r="F156" t="str">
            <v>Nữ</v>
          </cell>
          <cell r="H156" t="str">
            <v>Bản Pha Lu, Huyện Phìn, Tỉnh Savannakhet</v>
          </cell>
          <cell r="I156" t="str">
            <v>ບ້ານ ພາລູ, ເມືອງ ພີນ, ເເຂວງ ສະຫວັນນະເຂດ</v>
          </cell>
          <cell r="J156" t="str">
            <v>03610</v>
          </cell>
        </row>
        <row r="157">
          <cell r="C157" t="str">
            <v>T. Cỏ</v>
          </cell>
          <cell r="D157" t="str">
            <v>ທ້າວ ເກາະ</v>
          </cell>
          <cell r="E157">
            <v>1999</v>
          </cell>
          <cell r="F157" t="str">
            <v>Nam</v>
          </cell>
          <cell r="H157" t="str">
            <v>Bản Khăm Xe Y, Huyện Phìn, Tỉnh Savannakhet</v>
          </cell>
          <cell r="I157" t="str">
            <v>ບ້ານ ຄຳສະອີ, ເມືອງ ພີນ, ເເຂວງ ສະຫວັນນະເຂດ</v>
          </cell>
          <cell r="J157" t="str">
            <v>03611</v>
          </cell>
        </row>
        <row r="158">
          <cell r="C158" t="str">
            <v>N. Phu Văn</v>
          </cell>
          <cell r="D158" t="str">
            <v>ນາງ ພູວັນ</v>
          </cell>
          <cell r="E158">
            <v>1989</v>
          </cell>
          <cell r="F158" t="str">
            <v>Nữ</v>
          </cell>
          <cell r="H158" t="str">
            <v>Bản Khăm Xe Y, Huyện Phìn, Tỉnh Savannakhet</v>
          </cell>
          <cell r="I158" t="str">
            <v>ບ້ານ ຄຳສະອີ, ເມືອງ ພີນ, ເເຂວງ ສະຫວັນນະເຂດ</v>
          </cell>
          <cell r="J158" t="str">
            <v>03612</v>
          </cell>
        </row>
        <row r="159">
          <cell r="C159" t="str">
            <v>N. Lỷ</v>
          </cell>
          <cell r="D159" t="str">
            <v>ນາງ ລີ້</v>
          </cell>
          <cell r="E159">
            <v>2006</v>
          </cell>
          <cell r="F159" t="str">
            <v>Nữ</v>
          </cell>
          <cell r="H159" t="str">
            <v>Bản Khăm Xe Y, Huyện Phìn, Tỉnh Savannakhet</v>
          </cell>
          <cell r="I159" t="str">
            <v>ບ້ານ ຄຳສະອີ, ເມືອງ ພີນ, ເເຂວງ ສະຫວັນນະເຂດ</v>
          </cell>
          <cell r="J159" t="str">
            <v>03613</v>
          </cell>
        </row>
        <row r="160">
          <cell r="C160" t="str">
            <v>T. Vy</v>
          </cell>
          <cell r="D160" t="str">
            <v>ທ້າວ ວີ</v>
          </cell>
          <cell r="E160">
            <v>1983</v>
          </cell>
          <cell r="F160" t="str">
            <v>Nam</v>
          </cell>
          <cell r="H160" t="str">
            <v>Bản Khăm Xe Y, Huyện Phìn, Tỉnh Savannakhet</v>
          </cell>
          <cell r="I160" t="str">
            <v>ບ້ານ ຄຳສະອີ, ເມືອງ ພີນ, ເເຂວງ ສະຫວັນນະເຂດ</v>
          </cell>
          <cell r="J160" t="str">
            <v>03614</v>
          </cell>
        </row>
        <row r="161">
          <cell r="C161" t="str">
            <v>T. Xi Nuôn</v>
          </cell>
          <cell r="D161" t="str">
            <v>ທ້າວ ສີນວນ</v>
          </cell>
          <cell r="E161">
            <v>1996</v>
          </cell>
          <cell r="F161" t="str">
            <v>Nam</v>
          </cell>
          <cell r="H161" t="str">
            <v>Bản Pha Lu, Huyện Phìn, Tỉnh Savannakhet</v>
          </cell>
          <cell r="I161" t="str">
            <v>ບ້ານ ພາລູ, ເມືອງ ພີນ, ເເຂວງ ສະຫວັນນະເຂດ</v>
          </cell>
          <cell r="J161" t="str">
            <v>03615</v>
          </cell>
        </row>
        <row r="162">
          <cell r="C162" t="str">
            <v>N. Ốc</v>
          </cell>
          <cell r="D162" t="str">
            <v>ນາງ ອັອກ</v>
          </cell>
          <cell r="E162">
            <v>1986</v>
          </cell>
          <cell r="F162" t="str">
            <v>Nữ</v>
          </cell>
          <cell r="H162" t="str">
            <v>Bản Khăm Xe Y, Huyện Phìn, Tỉnh Savannakhet</v>
          </cell>
          <cell r="I162" t="str">
            <v>ບ້ານ ຄຳສະອີ, ເມືອງ ພີນ, ເເຂວງ ສະຫວັນນະເຂດ</v>
          </cell>
          <cell r="J162" t="str">
            <v>03616</v>
          </cell>
        </row>
        <row r="163">
          <cell r="C163" t="str">
            <v>T. Văn Nô</v>
          </cell>
          <cell r="D163" t="str">
            <v>ທ້າວ ວັນໂນ</v>
          </cell>
          <cell r="E163">
            <v>1980</v>
          </cell>
          <cell r="F163" t="str">
            <v>Nam</v>
          </cell>
          <cell r="H163" t="str">
            <v>Bản Khăm Xe Y, Huyện Phìn, Tỉnh Savannakhet</v>
          </cell>
          <cell r="I163" t="str">
            <v>ບ້ານ ຄຳສະອີ, ເມືອງ ພີນ, ເເຂວງ ສະຫວັນນະເຂດ</v>
          </cell>
          <cell r="J163" t="str">
            <v>03617</v>
          </cell>
        </row>
        <row r="164">
          <cell r="C164" t="str">
            <v>N. Văn Ta</v>
          </cell>
          <cell r="D164" t="str">
            <v>ນາງ ວັນຕາ</v>
          </cell>
          <cell r="E164">
            <v>2000</v>
          </cell>
          <cell r="F164" t="str">
            <v>Nữ</v>
          </cell>
          <cell r="H164" t="str">
            <v>Bản Khăm Xe Y, Huyện Phìn, Tỉnh Savannakhet</v>
          </cell>
          <cell r="I164" t="str">
            <v>ບ້ານ ຄຳສະອີ, ເມືອງ ພີນ, ເເຂວງ ສະຫວັນນະເຂດ</v>
          </cell>
          <cell r="J164" t="str">
            <v>03618</v>
          </cell>
        </row>
        <row r="165">
          <cell r="C165" t="str">
            <v>T. Thon</v>
          </cell>
          <cell r="D165" t="str">
            <v>ທ້າວ ທອນ</v>
          </cell>
          <cell r="E165">
            <v>2004</v>
          </cell>
          <cell r="F165" t="str">
            <v>Nam</v>
          </cell>
          <cell r="H165" t="str">
            <v>Bản Pha Lu, Huyện Phìn, Tỉnh Savannakhet</v>
          </cell>
          <cell r="I165" t="str">
            <v>ບ້ານ ພາລູ, ເມືອງ ພີນ, ເເຂວງ ສະຫວັນນະເຂດ</v>
          </cell>
          <cell r="J165" t="str">
            <v>03619</v>
          </cell>
        </row>
        <row r="166">
          <cell r="C166" t="str">
            <v>Bun Thon</v>
          </cell>
          <cell r="D166" t="str">
            <v>ທ້າວ ບຸນທອນ</v>
          </cell>
          <cell r="E166">
            <v>1999</v>
          </cell>
          <cell r="F166" t="str">
            <v>Nam</v>
          </cell>
          <cell r="H166" t="str">
            <v>Bản Huội Xai, Huyện Phìn, Tỉnh Savannakhet</v>
          </cell>
          <cell r="I166" t="str">
            <v>ບ້ານ ຫ້ວຍຊາຍ, ເມືອງ ພີນ, ເເຂວງ ສະຫວັນນະເຂດ</v>
          </cell>
          <cell r="J166" t="str">
            <v>03620</v>
          </cell>
        </row>
        <row r="167">
          <cell r="C167" t="str">
            <v>N. Túc</v>
          </cell>
          <cell r="D167" t="str">
            <v>ນາງ ຕຸກ</v>
          </cell>
          <cell r="E167">
            <v>1998</v>
          </cell>
          <cell r="F167" t="str">
            <v>Nữ</v>
          </cell>
          <cell r="H167" t="str">
            <v>Bản Huội Xai, Huyện Phìn, Tỉnh Savannakhet</v>
          </cell>
          <cell r="I167" t="str">
            <v>ບ້ານ ຫ້ວຍຊາຍ, ເມືອງ ພີນ, ເເຂວງ ສະຫວັນນະເຂດ</v>
          </cell>
          <cell r="J167" t="str">
            <v>03621</v>
          </cell>
        </row>
        <row r="168">
          <cell r="C168" t="str">
            <v>N. Xeo Khăm</v>
          </cell>
          <cell r="D168" t="str">
            <v>ນາງ ແຊວຄຳ</v>
          </cell>
          <cell r="E168">
            <v>2000</v>
          </cell>
          <cell r="F168" t="str">
            <v>Nữ</v>
          </cell>
          <cell r="H168" t="str">
            <v>Bản Khăm Xe Y, Huyện Phìn, Tỉnh Savannakhet</v>
          </cell>
          <cell r="I168" t="str">
            <v>ບ້ານ ຄຳສະອີ, ເມືອງ ພີນ, ເເຂວງ ສະຫວັນນະເຂດ</v>
          </cell>
          <cell r="J168" t="str">
            <v>03622</v>
          </cell>
        </row>
        <row r="169">
          <cell r="C169" t="str">
            <v>T. Khăm...</v>
          </cell>
          <cell r="D169" t="str">
            <v>ທ້າວ ຄຳ</v>
          </cell>
          <cell r="E169">
            <v>2001</v>
          </cell>
          <cell r="F169" t="str">
            <v>Nam</v>
          </cell>
          <cell r="H169" t="str">
            <v>Bản Huội Xai, Huyện Phìn, Tỉnh Savannakhet</v>
          </cell>
          <cell r="I169" t="str">
            <v>ບ້ານ ຫ້ວຍຊາຍ, ເມືອງ ພີນ, ເເຂວງ ສະຫວັນນະເຂດ</v>
          </cell>
          <cell r="J169" t="str">
            <v>03623</v>
          </cell>
        </row>
        <row r="170">
          <cell r="C170" t="str">
            <v>T. Luương thong</v>
          </cell>
          <cell r="D170" t="str">
            <v>ທ້າວ ເລືອງທອງ</v>
          </cell>
          <cell r="E170">
            <v>1996</v>
          </cell>
          <cell r="F170" t="str">
            <v>Nam</v>
          </cell>
          <cell r="H170" t="str">
            <v>Bản Na Ka Pung, Huyện Phìn, Tỉnh Savannakhet</v>
          </cell>
          <cell r="I170" t="str">
            <v>ບ້ານ ນາກະປູງ, ເມືອງ ພີນ, ເເຂວງສະຫວັນນະເຂດ</v>
          </cell>
          <cell r="J170" t="str">
            <v>03624</v>
          </cell>
        </row>
        <row r="171">
          <cell r="C171" t="str">
            <v>N. Pheng</v>
          </cell>
          <cell r="D171" t="str">
            <v>ນາງ ແພງ</v>
          </cell>
          <cell r="E171">
            <v>1990</v>
          </cell>
          <cell r="F171" t="str">
            <v>Nữ</v>
          </cell>
          <cell r="H171" t="str">
            <v>Bản Khăm Xe Y, Huyện Phìn, Tỉnh Savannakhet</v>
          </cell>
          <cell r="I171" t="str">
            <v>ບ້ານ ຄຳສະອີ, ເມືອງ ພີນ, ເເຂວງ ສະຫວັນນະເຂດ</v>
          </cell>
          <cell r="J171" t="str">
            <v>03625</v>
          </cell>
        </row>
        <row r="172">
          <cell r="C172" t="str">
            <v>N. Mom</v>
          </cell>
          <cell r="D172" t="str">
            <v>ນາງ ມອມ</v>
          </cell>
          <cell r="E172">
            <v>1982</v>
          </cell>
          <cell r="F172" t="str">
            <v>Nữ</v>
          </cell>
          <cell r="H172" t="str">
            <v>Bản Khăm Xe Y, Huyện Phìn, Tỉnh Savannakhet</v>
          </cell>
          <cell r="I172" t="str">
            <v>ບ້ານ ຄຳສະອີ, ເມືອງ ພີນ, ເເຂວງ ສະຫວັນນະເຂດ</v>
          </cell>
          <cell r="J172" t="str">
            <v>03626</v>
          </cell>
        </row>
        <row r="173">
          <cell r="C173" t="str">
            <v>Phắt Ta Na</v>
          </cell>
          <cell r="D173" t="str">
            <v>ທ້າວ ເພັດຕະນາ</v>
          </cell>
          <cell r="E173">
            <v>1997</v>
          </cell>
          <cell r="F173" t="str">
            <v>Nam</v>
          </cell>
          <cell r="H173" t="str">
            <v>Bản Khăm Xe Y, Huyện Phìn, Tỉnh Savannakhet</v>
          </cell>
          <cell r="I173" t="str">
            <v>ບ້ານ ຄຳສະອີ, ເມືອງ ພີນ, ເເຂວງ ສະຫວັນນະເຂດ</v>
          </cell>
          <cell r="J173" t="str">
            <v>03627</v>
          </cell>
        </row>
        <row r="174">
          <cell r="C174" t="str">
            <v>Khăn Hạ</v>
          </cell>
          <cell r="D174" t="str">
            <v>ທ້າວ ຄຳຫະ</v>
          </cell>
          <cell r="E174">
            <v>1983</v>
          </cell>
          <cell r="F174" t="str">
            <v>Nam</v>
          </cell>
          <cell r="H174" t="str">
            <v>Bản Pha Lu, Huyện Phìn, Tỉnh Savannakhet</v>
          </cell>
          <cell r="I174" t="str">
            <v>ບ້ານ ພາລູ, ເມືອງ ພີນ, ເເຂວງ ສະຫວັນນະເຂດ</v>
          </cell>
          <cell r="J174" t="str">
            <v>03628</v>
          </cell>
        </row>
        <row r="175">
          <cell r="C175" t="str">
            <v>T. Chăn La .</v>
          </cell>
          <cell r="D175" t="str">
            <v>ທ້າວ ຈັນລາ</v>
          </cell>
          <cell r="E175">
            <v>2006</v>
          </cell>
          <cell r="F175" t="str">
            <v>Nam</v>
          </cell>
          <cell r="H175" t="str">
            <v>Bản Huội Xai, Huyện Phìn, Tỉnh Savannakhet</v>
          </cell>
          <cell r="I175" t="str">
            <v>ບ້ານ ຫ້ວຍຊາຍ, ເມືອງ ພີນ, ເເຂວງ ສະຫວັນນະເຂດ</v>
          </cell>
          <cell r="J175" t="str">
            <v>03629</v>
          </cell>
        </row>
        <row r="176">
          <cell r="C176" t="str">
            <v>T. Nú</v>
          </cell>
          <cell r="D176" t="str">
            <v>ທ້າວ ນຸ</v>
          </cell>
          <cell r="E176">
            <v>2000</v>
          </cell>
          <cell r="F176" t="str">
            <v>Nam</v>
          </cell>
          <cell r="H176" t="str">
            <v>Bản Pha Lu, Huyện Phìn, Tỉnh Savannakhet</v>
          </cell>
          <cell r="I176" t="str">
            <v>ບ້ານ ພາລູ, ເມືອງ ພີນ, ເເຂວງ ສະຫວັນນະເຂດ</v>
          </cell>
          <cell r="J176" t="str">
            <v>03630</v>
          </cell>
        </row>
        <row r="177">
          <cell r="C177" t="str">
            <v>T. Xan Nha</v>
          </cell>
          <cell r="D177" t="str">
            <v>ທ້າວ ສັນຍາ</v>
          </cell>
          <cell r="E177">
            <v>2006</v>
          </cell>
          <cell r="F177" t="str">
            <v>Nam</v>
          </cell>
          <cell r="H177" t="str">
            <v>Bản Huội Xai, Huyện Phìn, Tỉnh Savannakhet</v>
          </cell>
          <cell r="I177" t="str">
            <v>ບ້ານ ຫ້ວຍຊາຍ, ເມືອງ ພີນ, ເເຂວງ ສະຫວັນນະເຂດ</v>
          </cell>
          <cell r="J177" t="str">
            <v>03631</v>
          </cell>
        </row>
        <row r="178">
          <cell r="C178" t="str">
            <v>T. A lem</v>
          </cell>
          <cell r="D178" t="str">
            <v>ທ້າວ ອາ ເເລມ</v>
          </cell>
          <cell r="E178">
            <v>1990</v>
          </cell>
          <cell r="F178" t="str">
            <v>Nam</v>
          </cell>
          <cell r="H178" t="str">
            <v>Bản Huội Xai, Huyện Phìn, Tỉnh Savannakhet</v>
          </cell>
          <cell r="I178" t="str">
            <v>ບ້ານ ຫ້ວຍຊາຍ, ເມືອງ ພີນ, ເເຂວງ ສະຫວັນນະເຂດ</v>
          </cell>
          <cell r="J178" t="str">
            <v>03632</v>
          </cell>
        </row>
        <row r="179">
          <cell r="C179" t="str">
            <v>T. Chăn</v>
          </cell>
          <cell r="D179" t="str">
            <v>ທ້າວ ຈັນ</v>
          </cell>
          <cell r="E179">
            <v>2006</v>
          </cell>
          <cell r="F179" t="str">
            <v>Nam</v>
          </cell>
          <cell r="H179" t="str">
            <v>Bản Pha Lu, Huyện Phìn, Tỉnh Savannakhet</v>
          </cell>
          <cell r="I179" t="str">
            <v>ບ້ານ ພາລູ, ເມືອງ ພີນ, ເເຂວງ ສະຫວັນນະເຂດ</v>
          </cell>
          <cell r="J179" t="str">
            <v>03633</v>
          </cell>
        </row>
        <row r="180">
          <cell r="C180" t="str">
            <v>T . Cổ</v>
          </cell>
          <cell r="D180" t="str">
            <v>ທ້າວ ໂກ໋</v>
          </cell>
          <cell r="E180">
            <v>2000</v>
          </cell>
          <cell r="F180" t="str">
            <v>Nam</v>
          </cell>
          <cell r="H180" t="str">
            <v>Bản Pha Lu, Huyện Phìn, Tỉnh Savannakhet</v>
          </cell>
          <cell r="I180" t="str">
            <v>ບ້ານ ພາລູ, ເມືອງ ພີນ, ເເຂວງ ສະຫວັນນະເຂດ</v>
          </cell>
          <cell r="J180" t="str">
            <v>03634</v>
          </cell>
        </row>
        <row r="181">
          <cell r="C181" t="str">
            <v>N. Phim Pha</v>
          </cell>
          <cell r="D181" t="str">
            <v>ນາງ ພີມພາ</v>
          </cell>
          <cell r="E181">
            <v>1994</v>
          </cell>
          <cell r="F181" t="str">
            <v>Nữ</v>
          </cell>
          <cell r="H181" t="str">
            <v>Bản Huội Xai, Huyện Phìn, Tỉnh Savannakhet</v>
          </cell>
          <cell r="I181" t="str">
            <v>ບ້ານ ຫ້ວຍຊາຍ, ເມືອງ ພີນ, ເເຂວງ ສະຫວັນນະເຂດ</v>
          </cell>
          <cell r="J181" t="str">
            <v>03635</v>
          </cell>
        </row>
        <row r="182">
          <cell r="C182" t="str">
            <v>T. Xeng</v>
          </cell>
          <cell r="D182" t="str">
            <v>ທ້າວ ແສງ</v>
          </cell>
          <cell r="E182">
            <v>2005</v>
          </cell>
          <cell r="F182" t="str">
            <v>Nam</v>
          </cell>
          <cell r="H182" t="str">
            <v>Bản Huội Xai, Huyện Phìn, Tỉnh Savannakhet</v>
          </cell>
          <cell r="I182" t="str">
            <v>ບ້ານ ຫ້ວຍຊາຍ, ເມືອງ ພີນ, ເເຂວງ ສະຫວັນນະເຂດ</v>
          </cell>
          <cell r="J182" t="str">
            <v>03636</v>
          </cell>
        </row>
        <row r="183">
          <cell r="C183" t="str">
            <v>T. Vạt</v>
          </cell>
          <cell r="D183" t="str">
            <v>ທ້າວ ວາດ</v>
          </cell>
          <cell r="E183">
            <v>2002</v>
          </cell>
          <cell r="F183" t="str">
            <v>Nam</v>
          </cell>
          <cell r="H183" t="str">
            <v>Bản Huội Xai, Huyện Phìn, Tỉnh Savannakhet</v>
          </cell>
          <cell r="I183" t="str">
            <v>ບ້ານ ຫ້ວຍຊາຍ, ເມືອງ ພີນ, ເເຂວງ ສະຫວັນນະເຂດ</v>
          </cell>
          <cell r="J183" t="str">
            <v>03637</v>
          </cell>
        </row>
        <row r="184">
          <cell r="C184" t="str">
            <v>T. Lay</v>
          </cell>
          <cell r="D184" t="str">
            <v>ທ້າວ ໄລ</v>
          </cell>
          <cell r="E184">
            <v>2003</v>
          </cell>
          <cell r="F184" t="str">
            <v>Nam</v>
          </cell>
          <cell r="H184" t="str">
            <v>Bản Huội Xai, Huyện Phìn, Tỉnh Savannakhet</v>
          </cell>
          <cell r="I184" t="str">
            <v>ບ້ານ ຫ້ວຍຊາຍ, ເມືອງ ພີນ, ເເຂວງ ສະຫວັນນະເຂດ</v>
          </cell>
          <cell r="J184" t="str">
            <v>03638</v>
          </cell>
        </row>
        <row r="185">
          <cell r="C185" t="str">
            <v>Lăm Thon</v>
          </cell>
          <cell r="D185" t="str">
            <v>ທ້າວ ລຳທອນ</v>
          </cell>
          <cell r="E185">
            <v>1998</v>
          </cell>
          <cell r="F185" t="str">
            <v>Nam</v>
          </cell>
          <cell r="H185" t="str">
            <v>Bản Huội Xai, Huyện Phìn, Tỉnh Savannakhet</v>
          </cell>
          <cell r="I185" t="str">
            <v>ບ້ານ ຫ້ວຍຊາຍ, ເມືອງ ພີນ, ເເຂວງ ສະຫວັນນະເຂດ</v>
          </cell>
          <cell r="J185" t="str">
            <v>03639</v>
          </cell>
        </row>
        <row r="186">
          <cell r="C186" t="str">
            <v>T. Bun Xi</v>
          </cell>
          <cell r="D186" t="str">
            <v>ທ້າວ ບຸນສີ</v>
          </cell>
          <cell r="E186">
            <v>2003</v>
          </cell>
          <cell r="F186" t="str">
            <v>Nam</v>
          </cell>
          <cell r="H186" t="str">
            <v>Bản Huội Xai, Huyện Phìn, Tỉnh Savannakhet</v>
          </cell>
          <cell r="I186" t="str">
            <v>ບ້ານ ຫ້ວຍຊາຍ, ເມືອງ ພີນ, ເເຂວງ ສະຫວັນນະເຂດ</v>
          </cell>
          <cell r="J186" t="str">
            <v>03640</v>
          </cell>
        </row>
        <row r="187">
          <cell r="C187" t="str">
            <v>Xô La</v>
          </cell>
          <cell r="D187" t="str">
            <v>ທ້າວ ໂຊລາ</v>
          </cell>
          <cell r="E187">
            <v>2006</v>
          </cell>
          <cell r="F187" t="str">
            <v>Nam</v>
          </cell>
          <cell r="H187" t="str">
            <v>Bản Huội Xai, Huyện Phìn, Tỉnh Savannakhet</v>
          </cell>
          <cell r="I187" t="str">
            <v>ບ້ານ ຫ້ວຍຊາຍ, ເມືອງ ພີນ, ເເຂວງ ສະຫວັນນະເຂດ</v>
          </cell>
          <cell r="J187" t="str">
            <v>03641</v>
          </cell>
        </row>
        <row r="188">
          <cell r="C188" t="str">
            <v>T. Xơn</v>
          </cell>
          <cell r="D188" t="str">
            <v>ທ້າວ ເຊີນ</v>
          </cell>
          <cell r="E188">
            <v>1999</v>
          </cell>
          <cell r="F188" t="str">
            <v>Nam</v>
          </cell>
          <cell r="H188" t="str">
            <v>Bản Huội Xai, Huyện Phìn, Tỉnh Savannakhet</v>
          </cell>
          <cell r="I188" t="str">
            <v>ບ້ານ ຫ້ວຍຊາຍ, ເມືອງ ພີນ, ເເຂວງ ສະຫວັນນະເຂດ</v>
          </cell>
          <cell r="J188" t="str">
            <v>03642</v>
          </cell>
        </row>
        <row r="189">
          <cell r="C189" t="str">
            <v>T. K Đăm</v>
          </cell>
          <cell r="D189" t="str">
            <v>ທ້າວ ກາດຳ</v>
          </cell>
          <cell r="E189">
            <v>2006</v>
          </cell>
          <cell r="F189" t="str">
            <v>Nam</v>
          </cell>
          <cell r="H189" t="str">
            <v>Bản Huội Xai, Huyện Phìn, Tỉnh Savannakhet</v>
          </cell>
          <cell r="I189" t="str">
            <v>ບ້ານ ຫ້ວຍຊາຍ, ເມືອງ ພີນ, ເເຂວງ ສະຫວັນນະເຂດ</v>
          </cell>
          <cell r="J189" t="str">
            <v>03643</v>
          </cell>
        </row>
        <row r="190">
          <cell r="C190" t="str">
            <v>N. Nô La</v>
          </cell>
          <cell r="D190" t="str">
            <v>ນາງ ໂນລາ</v>
          </cell>
          <cell r="E190">
            <v>1993</v>
          </cell>
          <cell r="F190" t="str">
            <v>Nữ</v>
          </cell>
          <cell r="H190" t="str">
            <v>Bản Huội Xai, Huyện Phìn, Tỉnh Savannakhet</v>
          </cell>
          <cell r="I190" t="str">
            <v>ບ້ານ ຫ້ວຍຊາຍ, ເມືອງ ພີນ, ເເຂວງ ສະຫວັນນະເຂດ</v>
          </cell>
          <cell r="J190" t="str">
            <v>03644</v>
          </cell>
        </row>
        <row r="191">
          <cell r="C191" t="str">
            <v>N. Teo</v>
          </cell>
          <cell r="D191" t="str">
            <v>ນາງ ເເຕວ</v>
          </cell>
          <cell r="E191">
            <v>2001</v>
          </cell>
          <cell r="F191" t="str">
            <v>Nữ</v>
          </cell>
          <cell r="H191" t="str">
            <v>Bản Faloong, Huyện Phìn, Tỉnh Savannakhet</v>
          </cell>
          <cell r="I191" t="str">
            <v>ບ້ານ ພະລອງ, ເມືອງ ພີນ, ເເຂວງ ສະຫວັນນະເຂດ</v>
          </cell>
          <cell r="J191" t="str">
            <v>03645</v>
          </cell>
        </row>
        <row r="192">
          <cell r="C192" t="str">
            <v>T . Thau</v>
          </cell>
          <cell r="D192" t="str">
            <v>ທ້າວ ເທົາ</v>
          </cell>
          <cell r="E192">
            <v>2002</v>
          </cell>
          <cell r="F192" t="str">
            <v>Nam</v>
          </cell>
          <cell r="H192" t="str">
            <v>Bản Faloong, Huyện Phìn, Tỉnh Savannakhet</v>
          </cell>
          <cell r="I192" t="str">
            <v>ບ້ານ ພາລອງ, ເມືອງ ພີນ, ເເຂວງ ສະຫວັນນະເຂດ</v>
          </cell>
          <cell r="J192" t="str">
            <v>03646</v>
          </cell>
        </row>
        <row r="193">
          <cell r="C193" t="str">
            <v>T. Vi</v>
          </cell>
          <cell r="D193" t="str">
            <v>ທ້າວ ວີ</v>
          </cell>
          <cell r="E193">
            <v>2006</v>
          </cell>
          <cell r="F193" t="str">
            <v>Nam</v>
          </cell>
          <cell r="H193" t="str">
            <v>Bản Faloong, Huyện Phìn, Tỉnh Savannakhet</v>
          </cell>
          <cell r="I193" t="str">
            <v>ບ້ານ ພາລອງ, ເມືອງ ພີນ, ເເຂວງ ສະຫວັນນະເຂດ</v>
          </cell>
          <cell r="J193" t="str">
            <v>03647</v>
          </cell>
        </row>
        <row r="194">
          <cell r="C194" t="str">
            <v>Khâm Đi</v>
          </cell>
          <cell r="D194" t="str">
            <v>ທ້າວ ຄຳດີ</v>
          </cell>
          <cell r="E194">
            <v>2006</v>
          </cell>
          <cell r="F194" t="str">
            <v>Nam</v>
          </cell>
          <cell r="H194" t="str">
            <v>Bản Faloong, Huyện Phìn, Tỉnh Savannakhet</v>
          </cell>
          <cell r="I194" t="str">
            <v>ບ້ານ ພາລອງ, ເມືອງ ພີນ, ເເຂວງ ສະຫວັນນະເຂດ</v>
          </cell>
          <cell r="J194" t="str">
            <v>03648</v>
          </cell>
        </row>
        <row r="195">
          <cell r="C195" t="str">
            <v>T. Ve</v>
          </cell>
          <cell r="D195" t="str">
            <v>ທ້າວ ເເວ</v>
          </cell>
          <cell r="E195">
            <v>2004</v>
          </cell>
          <cell r="F195" t="str">
            <v>Nam</v>
          </cell>
          <cell r="H195" t="str">
            <v>Bản Faloong, Huyện Phìn, Tỉnh Savannakhet</v>
          </cell>
          <cell r="I195" t="str">
            <v>ບ້ານ ພາລອງ, ເມືອງ ພີນ, ເເຂວງ ສະຫວັນນະເຂດ</v>
          </cell>
          <cell r="J195" t="str">
            <v>03649</v>
          </cell>
        </row>
        <row r="196">
          <cell r="C196" t="str">
            <v>T. Thèo</v>
          </cell>
          <cell r="D196" t="str">
            <v>ທ້າວ ແຖວ</v>
          </cell>
          <cell r="E196">
            <v>2002</v>
          </cell>
          <cell r="F196" t="str">
            <v>Nam</v>
          </cell>
          <cell r="H196" t="str">
            <v>Bản Faloong, Huyện Phìn, Tỉnh Savannakhet</v>
          </cell>
          <cell r="I196" t="str">
            <v>ບ້ານ ພາລອງ, ເມືອງ ພີນ, ເເຂວງ ສະຫວັນນະເຂດ</v>
          </cell>
          <cell r="J196" t="str">
            <v>03650</v>
          </cell>
        </row>
        <row r="197">
          <cell r="C197" t="str">
            <v>Kèo Xột</v>
          </cell>
          <cell r="D197" t="str">
            <v>ທ້າວ ແກ້ວໂຊດ</v>
          </cell>
          <cell r="E197">
            <v>1999</v>
          </cell>
          <cell r="F197" t="str">
            <v>Nam</v>
          </cell>
          <cell r="H197" t="str">
            <v>Bản Faloong, Huyện Phìn, Tỉnh Savannakhet</v>
          </cell>
          <cell r="I197" t="str">
            <v>ບ້ານ ພາລອງ, ເມືອງ ພີນ, ເເຂວງ ສະຫວັນນະເຂດ</v>
          </cell>
          <cell r="J197" t="str">
            <v>03651</v>
          </cell>
        </row>
        <row r="198">
          <cell r="C198" t="str">
            <v>N. Chít</v>
          </cell>
          <cell r="D198" t="str">
            <v>ນາງ ຈຸດ</v>
          </cell>
          <cell r="E198">
            <v>1998</v>
          </cell>
          <cell r="F198" t="str">
            <v>Nữ</v>
          </cell>
          <cell r="H198" t="str">
            <v>Bản Faloong, Huyện Phìn, Tỉnh Savannakhet</v>
          </cell>
          <cell r="I198" t="str">
            <v>ບ້ານ ພາລອງ, ເມືອງ ພີນ, ເເຂວງ ສະຫວັນນະເຂດ</v>
          </cell>
          <cell r="J198" t="str">
            <v>03652</v>
          </cell>
        </row>
        <row r="199">
          <cell r="C199" t="str">
            <v>N. Căn Da</v>
          </cell>
          <cell r="D199" t="str">
            <v>ນາງ ຈັນດີ</v>
          </cell>
          <cell r="E199">
            <v>2005</v>
          </cell>
          <cell r="F199" t="str">
            <v>Nữ</v>
          </cell>
          <cell r="H199" t="str">
            <v>Bản Lavay, Huyện Phìn, Tỉnh Savannakhet</v>
          </cell>
          <cell r="I199" t="str">
            <v>ບ້ານ ລາໄວ, ເມືອງ ພີນ, ເເຂວງ ສະຫວັນນະເຂດ</v>
          </cell>
          <cell r="J199" t="str">
            <v>03653</v>
          </cell>
        </row>
        <row r="200">
          <cell r="C200" t="str">
            <v>T. Phim</v>
          </cell>
          <cell r="D200" t="str">
            <v>ທ້າວ ພີມ</v>
          </cell>
          <cell r="E200">
            <v>2004</v>
          </cell>
          <cell r="F200" t="str">
            <v>Nam</v>
          </cell>
          <cell r="H200" t="str">
            <v>Bản Lavay, Huyện Phìn, Tỉnh Savannakhet</v>
          </cell>
          <cell r="I200" t="str">
            <v>ບ້ານ ລາໄວ, ເມືອງ ພີນ, ເເຂວງ ສະຫວັນນະເຂດ</v>
          </cell>
          <cell r="J200" t="str">
            <v>03654</v>
          </cell>
        </row>
        <row r="201">
          <cell r="C201" t="str">
            <v>T Chăn Thi</v>
          </cell>
          <cell r="D201" t="str">
            <v>ທ້າວ ຈັນທີ</v>
          </cell>
          <cell r="E201">
            <v>2002</v>
          </cell>
          <cell r="F201" t="str">
            <v>Nam</v>
          </cell>
          <cell r="H201" t="str">
            <v>Bản Faloong, Huyện Phìn, Tỉnh Savannakhet</v>
          </cell>
          <cell r="I201" t="str">
            <v>ບ້ານ ພາລອງ, ເມືອງ ພີນ, ເເຂວງ ສະຫວັນນະເຂດ</v>
          </cell>
          <cell r="J201" t="str">
            <v>03655</v>
          </cell>
        </row>
        <row r="202">
          <cell r="C202" t="str">
            <v>N. Văn Thong</v>
          </cell>
          <cell r="D202" t="str">
            <v>ນາງ ວັນທອງ</v>
          </cell>
          <cell r="E202">
            <v>1995</v>
          </cell>
          <cell r="F202" t="str">
            <v>Nữ</v>
          </cell>
          <cell r="H202" t="str">
            <v>Bản Lavay, Huyện Phìn, Tỉnh Savannakhet</v>
          </cell>
          <cell r="I202" t="str">
            <v>ບ້ານ ລາໄວ, ເມືອງ ພີນ, ເເຂວງ ສະຫວັນນະເຂດ</v>
          </cell>
          <cell r="J202" t="str">
            <v>03656</v>
          </cell>
        </row>
        <row r="203">
          <cell r="C203" t="str">
            <v>Cong Khăm</v>
          </cell>
          <cell r="D203" t="str">
            <v>ທ້າວ ກົງຄຳ</v>
          </cell>
          <cell r="E203">
            <v>1998</v>
          </cell>
          <cell r="F203" t="str">
            <v>Nam</v>
          </cell>
          <cell r="H203" t="str">
            <v>Bản Lavay, Huyện Phìn, Tỉnh Savannakhet</v>
          </cell>
          <cell r="I203" t="str">
            <v>ບ້ານ ລາໄວ, ເມືອງ ພີນ, ເເຂວງ ສະຫວັນນະເຂດ</v>
          </cell>
          <cell r="J203" t="str">
            <v>03657</v>
          </cell>
        </row>
        <row r="204">
          <cell r="C204" t="str">
            <v>T. Dở</v>
          </cell>
          <cell r="D204" t="str">
            <v>ທ້າວ ເຢີ</v>
          </cell>
          <cell r="E204">
            <v>1991</v>
          </cell>
          <cell r="F204" t="str">
            <v>Nam</v>
          </cell>
          <cell r="H204" t="str">
            <v>Bản Lavay, Huyện Phìn, Tỉnh Savannakhet</v>
          </cell>
          <cell r="I204" t="str">
            <v>ບ້ານ ລາໄວ, ເມືອງ ພີນ, ເເຂວງ ສະຫວັນນະເຂດ</v>
          </cell>
          <cell r="J204" t="str">
            <v>03658</v>
          </cell>
        </row>
        <row r="205">
          <cell r="C205" t="str">
            <v>N. Sủm</v>
          </cell>
          <cell r="D205" t="str">
            <v>ນາງ ສູນ</v>
          </cell>
          <cell r="E205">
            <v>1998</v>
          </cell>
          <cell r="F205" t="str">
            <v>Nữ</v>
          </cell>
          <cell r="H205" t="str">
            <v>Bản Faloong, Huyện Phìn, Tỉnh Savannakhet</v>
          </cell>
          <cell r="I205" t="str">
            <v>ບ້ານ ພາລອງ, ເມືອງ ພີນ, ເເຂວງ ສະຫວັນນະເຂດ</v>
          </cell>
          <cell r="J205" t="str">
            <v>03659</v>
          </cell>
        </row>
        <row r="206">
          <cell r="C206" t="str">
            <v>T. Tắt</v>
          </cell>
          <cell r="D206" t="str">
            <v>ທ້າວ ຕັດ</v>
          </cell>
          <cell r="E206">
            <v>2001</v>
          </cell>
          <cell r="F206" t="str">
            <v>Nam</v>
          </cell>
          <cell r="H206" t="str">
            <v>Bản Faloong, Huyện Phìn, Tỉnh Savannakhet</v>
          </cell>
          <cell r="I206" t="str">
            <v>ບ້ານ ພາລອງ, ເມືອງ ພີນ, ເເຂວງ ສະຫວັນນະເຂດ</v>
          </cell>
          <cell r="J206" t="str">
            <v>03660</v>
          </cell>
        </row>
        <row r="207">
          <cell r="C207" t="str">
            <v>T Viêng</v>
          </cell>
          <cell r="D207" t="str">
            <v>ທ້າວ ວຽງ</v>
          </cell>
          <cell r="E207">
            <v>1996</v>
          </cell>
          <cell r="F207" t="str">
            <v>Nam</v>
          </cell>
          <cell r="H207" t="str">
            <v>Bản Faloong, Huyện Phìn, Tỉnh Savannakhet</v>
          </cell>
          <cell r="I207" t="str">
            <v>ບ້ານ ພາລອງ, ເມືອງ ພີນ, ເເຂວງ ສະຫວັນນະເຂດ</v>
          </cell>
          <cell r="J207" t="str">
            <v>03661</v>
          </cell>
        </row>
        <row r="208">
          <cell r="C208" t="str">
            <v>T.Xê</v>
          </cell>
          <cell r="D208" t="str">
            <v>ທ້າວ ເຊີ</v>
          </cell>
          <cell r="E208">
            <v>1994</v>
          </cell>
          <cell r="F208" t="str">
            <v>Nam</v>
          </cell>
          <cell r="H208" t="str">
            <v>Bản Faloong, Huyện Phìn, Tỉnh Savannakhet</v>
          </cell>
          <cell r="I208" t="str">
            <v>ບ້ານ ພາລອງ, ເມືອງ ພີນ, ເເຂວງ ສະຫວັນນະເຂດ</v>
          </cell>
          <cell r="J208" t="str">
            <v>03662</v>
          </cell>
        </row>
        <row r="209">
          <cell r="C209" t="str">
            <v>T. Hách</v>
          </cell>
          <cell r="D209" t="str">
            <v>ທ້າວ ແຫັກ</v>
          </cell>
          <cell r="E209">
            <v>2005</v>
          </cell>
          <cell r="F209" t="str">
            <v>Nam</v>
          </cell>
          <cell r="H209" t="str">
            <v>Bản Lavay, Huyện Phìn, Tỉnh Savannakhet</v>
          </cell>
          <cell r="I209" t="str">
            <v>ບ້ານ ລາໄວ, ເມືອງ ພີນ, ເເຂວງ ສະຫວັນນະເຂດ</v>
          </cell>
          <cell r="J209" t="str">
            <v>03663</v>
          </cell>
        </row>
        <row r="210">
          <cell r="C210" t="str">
            <v>Khay Khăm</v>
          </cell>
          <cell r="D210" t="str">
            <v>ທ້າວ ໃຄຄຳ</v>
          </cell>
          <cell r="E210">
            <v>1989</v>
          </cell>
          <cell r="F210" t="str">
            <v>Nam</v>
          </cell>
          <cell r="H210" t="str">
            <v>Bản Faloong, Huyện Phìn, Tỉnh Savannakhet</v>
          </cell>
          <cell r="I210" t="str">
            <v>ບ້ານ ພາລອງ, ເມືອງ ພີນ, ເເຂວງ ສະຫວັນນະເຂດ</v>
          </cell>
          <cell r="J210" t="str">
            <v>03664</v>
          </cell>
        </row>
        <row r="211">
          <cell r="C211" t="str">
            <v>N. Kẻ</v>
          </cell>
          <cell r="D211" t="str">
            <v>ນາງ ແກະ</v>
          </cell>
          <cell r="E211">
            <v>1990</v>
          </cell>
          <cell r="F211" t="str">
            <v>Nữ</v>
          </cell>
          <cell r="H211" t="str">
            <v>Bản Faloong, Huyện Phìn, Tỉnh Savannakhet</v>
          </cell>
          <cell r="I211" t="str">
            <v>ບ້ານ ພາລອງ, ເມືອງ ພີນ, ເເຂວງ ສະຫວັນນະເຂດ</v>
          </cell>
          <cell r="J211" t="str">
            <v>03665</v>
          </cell>
        </row>
        <row r="212">
          <cell r="C212" t="str">
            <v>T. Chăn (4)</v>
          </cell>
          <cell r="D212" t="str">
            <v>ທ້າວ ຈັນ</v>
          </cell>
          <cell r="E212">
            <v>1997</v>
          </cell>
          <cell r="F212" t="str">
            <v>Nam</v>
          </cell>
          <cell r="H212" t="str">
            <v>Bản Lavay, Huyện Phìn, Tỉnh Savannakhet</v>
          </cell>
          <cell r="I212" t="str">
            <v>ບ້ານ ລາໄວ, ເມືອງ ພີນ, ເເຂວງ ສະຫວັນນະເຂດ</v>
          </cell>
          <cell r="J212" t="str">
            <v>03666</v>
          </cell>
        </row>
        <row r="213">
          <cell r="C213" t="str">
            <v>T.Mon</v>
          </cell>
          <cell r="D213" t="str">
            <v>ທ້າວ ມອນ</v>
          </cell>
          <cell r="E213">
            <v>1998</v>
          </cell>
          <cell r="F213" t="str">
            <v>Nam</v>
          </cell>
          <cell r="H213" t="str">
            <v>Bản Lavay, Huyện Phìn, Tỉnh Savannakhet</v>
          </cell>
          <cell r="I213" t="str">
            <v>ບ້ານ ລາໄວ, ເມືອງ ພີນ, ເເຂວງ ສະຫວັນນະເຂດ</v>
          </cell>
          <cell r="J213" t="str">
            <v>03667</v>
          </cell>
        </row>
        <row r="214">
          <cell r="C214" t="str">
            <v>N. Đeng</v>
          </cell>
          <cell r="D214" t="str">
            <v>ນາງ ແດງ</v>
          </cell>
          <cell r="E214">
            <v>1987</v>
          </cell>
          <cell r="F214" t="str">
            <v>Nữ</v>
          </cell>
          <cell r="H214" t="str">
            <v>Bản Lavay, Huyện Phìn, Tỉnh Savannakhet</v>
          </cell>
          <cell r="I214" t="str">
            <v>ບ້ານ ລາໄວ, ເມືອງ ພີນ, ເເຂວງ ສະຫວັນນະເຂດ</v>
          </cell>
          <cell r="J214" t="str">
            <v>03668</v>
          </cell>
        </row>
        <row r="215">
          <cell r="C215" t="str">
            <v>T. Cơ</v>
          </cell>
          <cell r="D215" t="str">
            <v>ທ້າວ ເກີ</v>
          </cell>
          <cell r="E215">
            <v>1995</v>
          </cell>
          <cell r="F215" t="str">
            <v>Nam</v>
          </cell>
          <cell r="H215" t="str">
            <v>Bản Faloong, Huyện Phìn, Tỉnh Savannakhet</v>
          </cell>
          <cell r="I215" t="str">
            <v>ບ້ານ ພາລອງ, ເມືອງ ພີນ, ເເຂວງ ສະຫວັນນະເຂດ</v>
          </cell>
          <cell r="J215" t="str">
            <v>03669</v>
          </cell>
        </row>
        <row r="216">
          <cell r="C216" t="str">
            <v>T Phết</v>
          </cell>
          <cell r="D216" t="str">
            <v>ທ້າວ ເພັດ</v>
          </cell>
          <cell r="E216">
            <v>1993</v>
          </cell>
          <cell r="F216" t="str">
            <v>Nam</v>
          </cell>
          <cell r="H216" t="str">
            <v>Bản Faloong, Huyện Phìn, Tỉnh Savannakhet</v>
          </cell>
          <cell r="I216" t="str">
            <v>ບ້ານ ພາລອງ, ເມືອງ ພີນ, ເເຂວງ ສະຫວັນນະເຂດ</v>
          </cell>
          <cell r="J216" t="str">
            <v>03670</v>
          </cell>
        </row>
        <row r="217">
          <cell r="C217" t="str">
            <v>N. Chay</v>
          </cell>
          <cell r="D217" t="str">
            <v>ນາງ ໃຈ</v>
          </cell>
          <cell r="E217">
            <v>1995</v>
          </cell>
          <cell r="F217" t="str">
            <v>Nữ</v>
          </cell>
          <cell r="H217" t="str">
            <v>Bản Faloong, Huyện Phìn, Tỉnh Savannakhet</v>
          </cell>
          <cell r="I217" t="str">
            <v>ບ້ານ ພາລອງ, ເມືອງ ພີນ, ເເຂວງ ສະຫວັນນະເຂດ</v>
          </cell>
          <cell r="J217" t="str">
            <v>03671</v>
          </cell>
        </row>
        <row r="218">
          <cell r="C218" t="str">
            <v>T. Sắc</v>
          </cell>
          <cell r="D218" t="str">
            <v>ທ້າວ ສັກ</v>
          </cell>
          <cell r="E218">
            <v>1998</v>
          </cell>
          <cell r="F218" t="str">
            <v>Nam</v>
          </cell>
          <cell r="H218" t="str">
            <v>Bản Faloong, Huyện Phìn, Tỉnh Savannakhet</v>
          </cell>
          <cell r="I218" t="str">
            <v>ບ້ານ ພາລອງ, ເມືອງ ພີນ, ເເຂວງ ສະຫວັນນະເຂດ</v>
          </cell>
          <cell r="J218" t="str">
            <v>03672</v>
          </cell>
        </row>
        <row r="219">
          <cell r="C219" t="str">
            <v>T. Đông</v>
          </cell>
          <cell r="D219" t="str">
            <v>ທ້າວ ດົງ</v>
          </cell>
          <cell r="E219">
            <v>1989</v>
          </cell>
          <cell r="F219" t="str">
            <v>Nam</v>
          </cell>
          <cell r="H219" t="str">
            <v>Bản Faloong, Huyện Phìn, Tỉnh Savannakhet</v>
          </cell>
          <cell r="I219" t="str">
            <v>ບ້ານ ພາລອງ, ເມືອງ ພີນ, ເເຂວງ ສະຫວັນນະເຂດ</v>
          </cell>
          <cell r="J219" t="str">
            <v>03673</v>
          </cell>
        </row>
        <row r="220">
          <cell r="C220" t="str">
            <v>N. Lao</v>
          </cell>
          <cell r="D220" t="str">
            <v>ນາງ ລາວ</v>
          </cell>
          <cell r="E220">
            <v>1992</v>
          </cell>
          <cell r="F220" t="str">
            <v>Nữ</v>
          </cell>
          <cell r="H220" t="str">
            <v>Bản Faloong, Huyện Phìn, Tỉnh Savannakhet</v>
          </cell>
          <cell r="I220" t="str">
            <v>ບ້ານ ພາລອງ, ເມືອງ ພີນ, ເເຂວງ ສະຫວັນນະເຂດ</v>
          </cell>
          <cell r="J220" t="str">
            <v>03674</v>
          </cell>
        </row>
        <row r="221">
          <cell r="C221" t="str">
            <v>N. Xum Xi</v>
          </cell>
          <cell r="D221" t="str">
            <v>ນາງ ສົມສີ</v>
          </cell>
          <cell r="E221">
            <v>2000</v>
          </cell>
          <cell r="F221" t="str">
            <v>Nữ</v>
          </cell>
          <cell r="H221" t="str">
            <v>Bản Faloong, Huyện Phìn, Tỉnh Savannakhet</v>
          </cell>
          <cell r="I221" t="str">
            <v>ບ້ານ ພາລອງ, ເມືອງ ພີນ, ເເຂວງ ສະຫວັນນະເຂດ</v>
          </cell>
          <cell r="J221" t="str">
            <v>03675</v>
          </cell>
        </row>
        <row r="222">
          <cell r="C222" t="str">
            <v>T. Xi</v>
          </cell>
          <cell r="D222" t="str">
            <v>ທ້າວ ຊີ</v>
          </cell>
          <cell r="E222">
            <v>2001</v>
          </cell>
          <cell r="F222" t="str">
            <v>Nam</v>
          </cell>
          <cell r="H222" t="str">
            <v>Bản Faloong, Huyện Phìn, Tỉnh Savannakhet</v>
          </cell>
          <cell r="I222" t="str">
            <v>ບ້ານ ພາລອງ, ເມືອງ ພີນ, ເເຂວງ ສະຫວັນນະເຂດ</v>
          </cell>
          <cell r="J222" t="str">
            <v>03676</v>
          </cell>
        </row>
        <row r="223">
          <cell r="C223" t="str">
            <v>T Pết</v>
          </cell>
          <cell r="D223" t="str">
            <v>ທ້າວ ເປັດ</v>
          </cell>
          <cell r="E223">
            <v>1987</v>
          </cell>
          <cell r="F223" t="str">
            <v>Nam</v>
          </cell>
          <cell r="H223" t="str">
            <v>Bản Faloong, Huyện Phìn, Tỉnh Savannakhet</v>
          </cell>
          <cell r="I223" t="str">
            <v>ບ້ານ ພາລອງ, ເມືອງ ພີນ, ເເຂວງ ສະຫວັນນະເຂດ</v>
          </cell>
          <cell r="J223" t="str">
            <v>03677</v>
          </cell>
        </row>
        <row r="224">
          <cell r="C224" t="str">
            <v>T. Von</v>
          </cell>
          <cell r="D224" t="str">
            <v>ທ້າວ ວອນ</v>
          </cell>
          <cell r="E224">
            <v>2000</v>
          </cell>
          <cell r="F224" t="str">
            <v>Nam</v>
          </cell>
          <cell r="H224" t="str">
            <v>Bản Faloong, Huyện Phìn, Tỉnh Savannakhet</v>
          </cell>
          <cell r="I224" t="str">
            <v>ບ້ານ ພາລອງ, ເມືອງ ພີນ, ເເຂວງ ສະຫວັນນະເຂດ</v>
          </cell>
          <cell r="J224" t="str">
            <v>03678</v>
          </cell>
        </row>
        <row r="225">
          <cell r="C225" t="str">
            <v>Khăm Xúc</v>
          </cell>
          <cell r="D225" t="str">
            <v>ທ້າວ ຄຳສຸກ</v>
          </cell>
          <cell r="E225">
            <v>1997</v>
          </cell>
          <cell r="F225" t="str">
            <v>Nam</v>
          </cell>
          <cell r="H225" t="str">
            <v>Bản Faloong, Huyện Phìn, Tỉnh Savannakhet</v>
          </cell>
          <cell r="I225" t="str">
            <v>ບ້ານ ພາລອງ, ເມືອງ ພີນ, ເເຂວງ ສະຫວັນນະເຂດ</v>
          </cell>
          <cell r="J225" t="str">
            <v>03679</v>
          </cell>
        </row>
        <row r="226">
          <cell r="C226" t="str">
            <v>T. Phút</v>
          </cell>
          <cell r="D226" t="str">
            <v>ທ້າວ ພຸດ</v>
          </cell>
          <cell r="E226">
            <v>1998</v>
          </cell>
          <cell r="F226" t="str">
            <v>Nam</v>
          </cell>
          <cell r="H226" t="str">
            <v>Bản Faloong, Huyện Phìn, Tỉnh Savannakhet</v>
          </cell>
          <cell r="I226" t="str">
            <v>ບ້ານ ພາລອງ, ເມືອງ ພີນ, ເເຂວງ ສະຫວັນນະເຂດ</v>
          </cell>
          <cell r="J226" t="str">
            <v>03680</v>
          </cell>
        </row>
        <row r="227">
          <cell r="C227" t="str">
            <v>T. Be</v>
          </cell>
          <cell r="D227" t="str">
            <v>ທ້າວ ບີ</v>
          </cell>
          <cell r="E227">
            <v>1997</v>
          </cell>
          <cell r="F227" t="str">
            <v>Nam</v>
          </cell>
          <cell r="H227" t="str">
            <v>Bản Lavay, Huyện Phìn, Tỉnh Savannakhet</v>
          </cell>
          <cell r="I227" t="str">
            <v>ບ້ານ ລາໄວ, ເມືອງ ພີນ, ເເຂວງ ສະຫວັນນະເຂດ</v>
          </cell>
          <cell r="J227" t="str">
            <v>03681</v>
          </cell>
        </row>
        <row r="228">
          <cell r="C228" t="str">
            <v>T . Mưn</v>
          </cell>
          <cell r="D228" t="str">
            <v>ທ້າວ ມືນ</v>
          </cell>
          <cell r="E228">
            <v>2000</v>
          </cell>
          <cell r="F228" t="str">
            <v>Nam</v>
          </cell>
          <cell r="H228" t="str">
            <v>Bản Faloong, Huyện Phìn, Tỉnh Savannakhet</v>
          </cell>
          <cell r="I228" t="str">
            <v>ບ້ານ ພາລອງ, ເມືອງ ພີນ, ເເຂວງ ສະຫວັນນະເຂດ</v>
          </cell>
          <cell r="J228" t="str">
            <v>03682</v>
          </cell>
        </row>
        <row r="229">
          <cell r="C229" t="str">
            <v>T. Ô</v>
          </cell>
          <cell r="D229" t="str">
            <v>ທ້າວ ໂອ</v>
          </cell>
          <cell r="E229">
            <v>1990</v>
          </cell>
          <cell r="F229" t="str">
            <v>Nam</v>
          </cell>
          <cell r="H229" t="str">
            <v>Bản Lavay, Huyện Phìn, Tỉnh Savannakhet</v>
          </cell>
          <cell r="I229" t="str">
            <v>ບ້ານ ລາໄວ, ເມືອງ ພີນ, ເເຂວງ ສະຫວັນນະເຂດ</v>
          </cell>
          <cell r="J229" t="str">
            <v>03683</v>
          </cell>
        </row>
        <row r="230">
          <cell r="C230" t="str">
            <v>N. Lem</v>
          </cell>
          <cell r="D230" t="str">
            <v>ນາງ ເເລມ</v>
          </cell>
          <cell r="E230">
            <v>2001</v>
          </cell>
          <cell r="F230" t="str">
            <v>Nữ</v>
          </cell>
          <cell r="H230" t="str">
            <v>Bản Faloong, Huyện Phìn, Tỉnh Savannakhet</v>
          </cell>
          <cell r="I230" t="str">
            <v>ບ້ານ ພາລອງ, ເມືອງ ພີນ, ເເຂວງ ສະຫວັນນະເຂດ</v>
          </cell>
          <cell r="J230" t="str">
            <v>03684</v>
          </cell>
        </row>
        <row r="231">
          <cell r="C231" t="str">
            <v>T. Nọi (4)</v>
          </cell>
          <cell r="D231" t="str">
            <v>ທ້າວ ນ້ອຍ</v>
          </cell>
          <cell r="E231">
            <v>2003</v>
          </cell>
          <cell r="F231" t="str">
            <v>Nam</v>
          </cell>
          <cell r="H231" t="str">
            <v>Bản Faloong, Huyện Phìn, Tỉnh Savannakhet</v>
          </cell>
          <cell r="I231" t="str">
            <v>ບ້ານ ພາລອງ, ເມືອງ ພີນ, ເເຂວງ ສະຫວັນນະເຂດ</v>
          </cell>
          <cell r="J231" t="str">
            <v>03685</v>
          </cell>
        </row>
        <row r="232">
          <cell r="C232" t="str">
            <v>T. Mi</v>
          </cell>
          <cell r="D232" t="str">
            <v>ທ້າວ ມີ</v>
          </cell>
          <cell r="E232">
            <v>1993</v>
          </cell>
          <cell r="F232" t="str">
            <v>Nam</v>
          </cell>
          <cell r="H232" t="str">
            <v>Bản Lavay, Huyện Phìn, Tỉnh Savannakhet</v>
          </cell>
          <cell r="I232" t="str">
            <v>ບ້ານ ລາໄວ, ເມືອງ ພີນ, ເເຂວງ ສະຫວັນນະເຂດ</v>
          </cell>
          <cell r="J232" t="str">
            <v>03686</v>
          </cell>
        </row>
        <row r="233">
          <cell r="C233" t="str">
            <v>T. Lẹ</v>
          </cell>
          <cell r="D233" t="str">
            <v>ທ້າວ ເເຫຼ້</v>
          </cell>
          <cell r="E233">
            <v>2000</v>
          </cell>
          <cell r="F233" t="str">
            <v>Nam</v>
          </cell>
          <cell r="H233" t="str">
            <v>Bản Faloong, Huyện Phìn, Tỉnh Savannakhet</v>
          </cell>
          <cell r="I233" t="str">
            <v>ບ້ານ ພາລອງ, ເມືອງ ພີນ, ເເຂວງ ສະຫວັນນະເຂດ</v>
          </cell>
          <cell r="J233" t="str">
            <v>03687</v>
          </cell>
        </row>
        <row r="234">
          <cell r="C234" t="str">
            <v>N. Sum Kang</v>
          </cell>
          <cell r="D234" t="str">
            <v>ນາງ ສຸມກາງ</v>
          </cell>
          <cell r="E234">
            <v>1999</v>
          </cell>
          <cell r="F234" t="str">
            <v>Nữ</v>
          </cell>
          <cell r="H234" t="str">
            <v>Bản Faloong, Huyện Phìn, Tỉnh Savannakhet</v>
          </cell>
          <cell r="I234" t="str">
            <v>ບ້ານ ພາລອງ, ເມືອງ ພີນ, ເເຂວງ ສະຫວັນນະເຂດ</v>
          </cell>
          <cell r="J234" t="str">
            <v>03688</v>
          </cell>
        </row>
        <row r="235">
          <cell r="C235" t="str">
            <v>N. Khăm (4)</v>
          </cell>
          <cell r="D235" t="str">
            <v>ນາງ ຄຳ</v>
          </cell>
          <cell r="E235">
            <v>1998</v>
          </cell>
          <cell r="F235" t="str">
            <v>Nữ</v>
          </cell>
          <cell r="H235" t="str">
            <v>Bản Lavay, Huyện Phìn, Tỉnh Savannakhet</v>
          </cell>
          <cell r="I235" t="str">
            <v>ບ້ານ ລາໄວ, ເມືອງ ພີນ, ເເຂວງ ສະຫວັນນະເຂດ</v>
          </cell>
          <cell r="J235" t="str">
            <v>03689</v>
          </cell>
        </row>
        <row r="236">
          <cell r="C236" t="str">
            <v>T. Xủm</v>
          </cell>
          <cell r="D236" t="str">
            <v>ທ້າວ ສຸ່ມ</v>
          </cell>
          <cell r="E236">
            <v>2002</v>
          </cell>
          <cell r="F236" t="str">
            <v>Nam</v>
          </cell>
          <cell r="H236" t="str">
            <v>Bản Lavay, Huyện Phìn, Tỉnh Savannakhet</v>
          </cell>
          <cell r="I236" t="str">
            <v>ບ້ານ ລາໄວ, ເມືອງ ພີນ, ເເຂວງ ສະຫວັນນະເຂດ</v>
          </cell>
          <cell r="J236" t="str">
            <v>03690</v>
          </cell>
        </row>
        <row r="237">
          <cell r="C237" t="str">
            <v>N. Keo Khăm</v>
          </cell>
          <cell r="D237" t="str">
            <v>ນາງ ແກ້ວຄຳ</v>
          </cell>
          <cell r="E237">
            <v>2002</v>
          </cell>
          <cell r="F237" t="str">
            <v>Nữ</v>
          </cell>
          <cell r="H237" t="str">
            <v>Bản Na Phu Khăm, Huyện Phìn, Tỉnh Savannakhet</v>
          </cell>
          <cell r="I237" t="str">
            <v>ບ້ານ ນາພູຄຳ, ເມືອງ ພີນ, ເເຂວງສະຫວັນນະເຂດ</v>
          </cell>
          <cell r="J237" t="str">
            <v>03691</v>
          </cell>
        </row>
        <row r="238">
          <cell r="C238" t="str">
            <v>T. Choi</v>
          </cell>
          <cell r="D238" t="str">
            <v>ທ້າວ ຈອຍ</v>
          </cell>
          <cell r="E238">
            <v>2003</v>
          </cell>
          <cell r="F238" t="str">
            <v>Nam</v>
          </cell>
          <cell r="H238" t="str">
            <v>Bản Lavay, Huyện Phìn, Tỉnh Savannakhet</v>
          </cell>
          <cell r="I238" t="str">
            <v>ບ້ານ ລາໄວ, ເມືອງ ພີນ, ເເຂວງ ສະຫວັນນະເຂດ</v>
          </cell>
          <cell r="J238" t="str">
            <v>03692</v>
          </cell>
        </row>
        <row r="239">
          <cell r="C239" t="str">
            <v>N. Phút</v>
          </cell>
          <cell r="D239" t="str">
            <v>ນາງ ພຸດ</v>
          </cell>
          <cell r="E239">
            <v>2001</v>
          </cell>
          <cell r="F239" t="str">
            <v>Nữ</v>
          </cell>
          <cell r="H239" t="str">
            <v>Bản Faloong, Huyện Phìn, Tỉnh Savannakhet</v>
          </cell>
          <cell r="I239" t="str">
            <v>ບ້ານ ພາລອງ, ເມືອງ ພີນ, ເເຂວງ ສະຫວັນນະເຂດ</v>
          </cell>
          <cell r="J239" t="str">
            <v>03693</v>
          </cell>
        </row>
        <row r="240">
          <cell r="C240" t="str">
            <v>Vông Chăn</v>
          </cell>
          <cell r="D240" t="str">
            <v>ທ້າວ ວົງຈັນ</v>
          </cell>
          <cell r="E240">
            <v>1997</v>
          </cell>
          <cell r="F240" t="str">
            <v>Nam</v>
          </cell>
          <cell r="H240" t="str">
            <v>Bản Faloong, Huyện Phìn, Tỉnh Savannakhet</v>
          </cell>
          <cell r="I240" t="str">
            <v>ບ້ານ ພາລອງ, ເມືອງ ພີນ, ເເຂວງ ສະຫວັນນະເຂດ</v>
          </cell>
          <cell r="J240" t="str">
            <v>03694</v>
          </cell>
        </row>
        <row r="241">
          <cell r="C241" t="str">
            <v>T. Mựt</v>
          </cell>
          <cell r="D241" t="str">
            <v>ທ້າວ ມຸດ</v>
          </cell>
          <cell r="E241">
            <v>2004</v>
          </cell>
          <cell r="F241" t="str">
            <v>Nam</v>
          </cell>
          <cell r="H241" t="str">
            <v>Bản Faloong, Huyện Phìn, Tỉnh Savannakhet</v>
          </cell>
          <cell r="I241" t="str">
            <v>ບ້ານ ພາລອງ, ເມືອງ ພີນ, ເເຂວງ ສະຫວັນນະເຂດ</v>
          </cell>
          <cell r="J241" t="str">
            <v>03695</v>
          </cell>
        </row>
        <row r="242">
          <cell r="C242" t="str">
            <v>Bun Lôm</v>
          </cell>
          <cell r="D242" t="str">
            <v>ທ້າວ ບຸນລົມ</v>
          </cell>
          <cell r="E242">
            <v>1991</v>
          </cell>
          <cell r="F242" t="str">
            <v>Nam</v>
          </cell>
          <cell r="H242" t="str">
            <v>Bản Faloong, Huyện Phìn, Tỉnh Savannakhet</v>
          </cell>
          <cell r="I242" t="str">
            <v>ບ້ານ ພາລອງ, ເມືອງ ພີນ, ເເຂວງ ສະຫວັນນະເຂດ</v>
          </cell>
          <cell r="J242" t="str">
            <v>03696</v>
          </cell>
        </row>
        <row r="243">
          <cell r="C243" t="str">
            <v>T. Nhã</v>
          </cell>
          <cell r="D243" t="str">
            <v>ທ້າວ ຍ໋າ</v>
          </cell>
          <cell r="E243">
            <v>2000</v>
          </cell>
          <cell r="F243" t="str">
            <v>Nam</v>
          </cell>
          <cell r="H243" t="str">
            <v>Bản Faloong, Huyện Phìn, Tỉnh Savannakhet</v>
          </cell>
          <cell r="I243" t="str">
            <v>ບ້ານ ພາລອງ, ເມືອງ ພີນ, ເເຂວງ ສະຫວັນນະເຂດ</v>
          </cell>
          <cell r="J243" t="str">
            <v>03697</v>
          </cell>
        </row>
        <row r="244">
          <cell r="C244" t="str">
            <v>T. Sa Văn</v>
          </cell>
          <cell r="D244" t="str">
            <v>ທ້າວ ສະວັນ</v>
          </cell>
          <cell r="E244">
            <v>2003</v>
          </cell>
          <cell r="F244" t="str">
            <v>Nam</v>
          </cell>
          <cell r="H244" t="str">
            <v>Bản Văng Cup, Huyện SePon, Tỉnh Savannakhet</v>
          </cell>
          <cell r="I244" t="str">
            <v>ບ້ານ ວັງ ກູບ, ເມືອງ ເຊໂປນ, ເເຂວງສະຫວັນນະເຂດ</v>
          </cell>
          <cell r="J244" t="str">
            <v>02725</v>
          </cell>
        </row>
        <row r="245">
          <cell r="C245" t="str">
            <v>T. Thong Đon</v>
          </cell>
          <cell r="D245" t="str">
            <v>ທ້າວ ທອງດອນ</v>
          </cell>
          <cell r="E245">
            <v>2000</v>
          </cell>
          <cell r="F245" t="str">
            <v>Nam</v>
          </cell>
          <cell r="H245" t="str">
            <v>Bản Nông luông, Huyện Phìn, Tỉnh Savannakhet</v>
          </cell>
          <cell r="I245" t="str">
            <v>ບ້ານ ໜອງຫຼວງ, ເມືອງ ພີນ, ເເຂວງ ສະຫວັນນະເຂດ</v>
          </cell>
          <cell r="J245" t="str">
            <v>02727</v>
          </cell>
        </row>
        <row r="246">
          <cell r="C246" t="str">
            <v>T. Sô Đa</v>
          </cell>
          <cell r="D246" t="str">
            <v>ທ້າວ ໂຊດາ</v>
          </cell>
          <cell r="E246">
            <v>2003</v>
          </cell>
          <cell r="F246" t="str">
            <v>Nam</v>
          </cell>
          <cell r="H246" t="str">
            <v>Bản Khăm Xe Y, Huyện Phìn, Tỉnh Savannakhet</v>
          </cell>
          <cell r="I246" t="str">
            <v>ບ້ານ ຄຳສະອີ, ເມືອງ ພີນ, ເເຂວງ ສະຫວັນນະເຂດ</v>
          </cell>
          <cell r="J246" t="str">
            <v>02712</v>
          </cell>
        </row>
        <row r="247">
          <cell r="C247" t="str">
            <v>T. Phu Ngân</v>
          </cell>
          <cell r="D247" t="str">
            <v>ທ້າວ ພູເງີນ</v>
          </cell>
          <cell r="E247">
            <v>1981</v>
          </cell>
          <cell r="F247" t="str">
            <v>Nam</v>
          </cell>
          <cell r="H247" t="str">
            <v>Bản Khăm Xe Y, Huyện Phìn, Tỉnh Savannakhet</v>
          </cell>
          <cell r="I247" t="str">
            <v>ບ້ານ ຄຳສະອີ, ເມືອງ ພີນ, ເເຂວງ ສະຫວັນນະເຂດ</v>
          </cell>
          <cell r="J247" t="str">
            <v>02722</v>
          </cell>
        </row>
        <row r="248">
          <cell r="C248" t="str">
            <v>N. Tủn</v>
          </cell>
          <cell r="D248" t="str">
            <v>ນາງ ຕູ້ນ</v>
          </cell>
          <cell r="E248">
            <v>1990</v>
          </cell>
          <cell r="F248" t="str">
            <v>Nữ</v>
          </cell>
          <cell r="H248" t="str">
            <v>Bản Khăm Xe Y, Huyện Phìn, Tỉnh Savannakhet</v>
          </cell>
          <cell r="I248" t="str">
            <v>ບ້ານ ຄຳສະອີ, ເມືອງ ພີນ, ເເຂວງ ສະຫວັນນະເຂດ</v>
          </cell>
          <cell r="J248" t="str">
            <v>02714</v>
          </cell>
        </row>
        <row r="249">
          <cell r="C249" t="str">
            <v>T. Lung</v>
          </cell>
          <cell r="D249" t="str">
            <v>ທ້າວ ລູງ</v>
          </cell>
          <cell r="E249">
            <v>1986</v>
          </cell>
          <cell r="F249" t="str">
            <v>Nam</v>
          </cell>
          <cell r="H249" t="str">
            <v>Bản Khăm Xe Y, Huyện Phìn, Tỉnh Savannakhet</v>
          </cell>
          <cell r="I249" t="str">
            <v>ບ້ານ ຄຳສະອີ, ເມືອງ ພີນ, ເເຂວງ ສະຫວັນນະເຂດ</v>
          </cell>
          <cell r="J249" t="str">
            <v>02713</v>
          </cell>
        </row>
        <row r="250">
          <cell r="C250" t="str">
            <v>N. Ting</v>
          </cell>
          <cell r="D250" t="str">
            <v>ທ້າວ ຕີງ</v>
          </cell>
          <cell r="E250">
            <v>1995</v>
          </cell>
          <cell r="F250" t="str">
            <v>Nữ</v>
          </cell>
          <cell r="H250" t="str">
            <v>Bản Na phu khăm, Huyện Phìn, Tỉnh Savannakhet</v>
          </cell>
          <cell r="I250" t="str">
            <v>ບ້ານ ນາພູຄຳ, ເມືອງ ພີນ, ເເຂວງສະຫວັນນະເຂດ</v>
          </cell>
          <cell r="J250" t="str">
            <v>02715</v>
          </cell>
        </row>
        <row r="251">
          <cell r="C251" t="str">
            <v>T. Chít</v>
          </cell>
          <cell r="D251" t="str">
            <v>ທ້າວ ຈິດ</v>
          </cell>
          <cell r="E251">
            <v>1980</v>
          </cell>
          <cell r="F251" t="str">
            <v>Nam</v>
          </cell>
          <cell r="H251" t="str">
            <v>Bản Khăm Xe Y, Huyện Phìn, Tỉnh Savannakhet</v>
          </cell>
          <cell r="I251" t="str">
            <v>ບ້ານ ຄຳສະອີ, ເມືອງ ພີນ, ເເຂວງ ສະຫວັນນະເຂດ</v>
          </cell>
          <cell r="J251" t="str">
            <v>02721</v>
          </cell>
        </row>
        <row r="252">
          <cell r="C252" t="str">
            <v>N. La</v>
          </cell>
          <cell r="D252" t="str">
            <v>ນາງ ລາ</v>
          </cell>
          <cell r="E252">
            <v>1984</v>
          </cell>
          <cell r="F252" t="str">
            <v>Nữ</v>
          </cell>
          <cell r="H252" t="str">
            <v>Bản Khăm Xe Y, Huyện Phìn, Tỉnh Savannakhet</v>
          </cell>
          <cell r="I252" t="str">
            <v>ບ້ານ ຄຳສະອີ, ເມືອງ ພີນ, ເເຂວງ ສະຫວັນນະເຂດ</v>
          </cell>
          <cell r="J252" t="str">
            <v>02720</v>
          </cell>
        </row>
        <row r="253">
          <cell r="C253" t="str">
            <v>T. Nhung</v>
          </cell>
          <cell r="D253" t="str">
            <v>ທ້າວ ຍູງ</v>
          </cell>
          <cell r="E253">
            <v>1980</v>
          </cell>
          <cell r="F253" t="str">
            <v>Nam</v>
          </cell>
          <cell r="H253" t="str">
            <v>Bản Khăm Xe Y, Huyện Phìn, Tỉnh Savannakhet</v>
          </cell>
          <cell r="I253" t="str">
            <v>ບ້ານ ຄຳສະອີ, ເມືອງ ພີນ, ເເຂວງ ສະຫວັນນະເຂດ</v>
          </cell>
          <cell r="J253" t="str">
            <v>02706</v>
          </cell>
        </row>
        <row r="254">
          <cell r="C254" t="str">
            <v>N. Khăm</v>
          </cell>
          <cell r="D254" t="str">
            <v>ນາງ ຄຳ</v>
          </cell>
          <cell r="E254">
            <v>1987</v>
          </cell>
          <cell r="F254" t="str">
            <v>Nữ</v>
          </cell>
          <cell r="H254" t="str">
            <v>Bản Huội Xai, Huyện Phìn, Tỉnh Savannakhet</v>
          </cell>
          <cell r="I254" t="str">
            <v>ບ້ານ ຫ້ວຍຊາຍ, ເມືອງ ພີນ, ເເຂວງ ສະຫວັນນະເຂດ</v>
          </cell>
          <cell r="J254" t="str">
            <v>02732</v>
          </cell>
        </row>
        <row r="255">
          <cell r="C255" t="str">
            <v>N. Phôn</v>
          </cell>
          <cell r="D255" t="str">
            <v>ນາງ ພອນ</v>
          </cell>
          <cell r="E255">
            <v>1989</v>
          </cell>
          <cell r="F255" t="str">
            <v>Nữ</v>
          </cell>
          <cell r="H255" t="str">
            <v>Bản Huội Xai, Huyện Phìn, Tỉnh Savannakhet</v>
          </cell>
          <cell r="I255" t="str">
            <v>ບ້ານ ຫ້ວຍຊາຍ, ເມືອງ ພີນ, ເເຂວງ ສະຫວັນນະເຂດ</v>
          </cell>
          <cell r="J255" t="str">
            <v>02733</v>
          </cell>
        </row>
        <row r="256">
          <cell r="C256" t="str">
            <v>Nang On Teng</v>
          </cell>
          <cell r="D256" t="str">
            <v>ນາງ ອອນເເຕງ</v>
          </cell>
          <cell r="E256">
            <v>1905</v>
          </cell>
          <cell r="F256" t="str">
            <v>nữ</v>
          </cell>
          <cell r="H256" t="str">
            <v>Bản Khăm Xe Y, Huyện Phìn, Tỉnh Savannakhet</v>
          </cell>
          <cell r="I256" t="str">
            <v>ບ້ານ ຄຳສະອີ, ເມືອງ ພີນ, ເເຂວງ ສະຫວັນນະເຂດ</v>
          </cell>
          <cell r="J256" t="str">
            <v>02735</v>
          </cell>
        </row>
        <row r="257">
          <cell r="C257" t="str">
            <v>Thảo Lẹ</v>
          </cell>
          <cell r="D257" t="str">
            <v>ທ້າວ ເເຫຼ້</v>
          </cell>
          <cell r="E257">
            <v>1988</v>
          </cell>
          <cell r="F257" t="str">
            <v>nam</v>
          </cell>
          <cell r="H257" t="str">
            <v>Bản Khăm Xe Y, Huyện Phìn, Tỉnh Savannakhet</v>
          </cell>
          <cell r="I257" t="str">
            <v>ບ້ານ ຄຳສະອີ, ເມືອງ ພີນ, ເເຂວງ ສະຫວັນນະເຂດ</v>
          </cell>
          <cell r="J257" t="str">
            <v>02739</v>
          </cell>
        </row>
        <row r="258">
          <cell r="C258" t="str">
            <v>T. Say</v>
          </cell>
          <cell r="D258" t="str">
            <v>ທ້າວ ໄຊ</v>
          </cell>
          <cell r="E258">
            <v>1997</v>
          </cell>
          <cell r="F258" t="str">
            <v>nam</v>
          </cell>
          <cell r="H258" t="str">
            <v>Bản Khăm Xe Y, Huyện Phìn, Tỉnh Savannakhet</v>
          </cell>
          <cell r="I258" t="str">
            <v>ບ້ານ ຄຳສະອີ, ເມືອງ ພີນ, ເເຂວງ ສະຫວັນນະເຂດ</v>
          </cell>
          <cell r="J258" t="str">
            <v>02709</v>
          </cell>
        </row>
        <row r="259">
          <cell r="C259" t="str">
            <v>N. Lay</v>
          </cell>
          <cell r="D259" t="str">
            <v>ນາງ ໄລ</v>
          </cell>
          <cell r="E259">
            <v>2006</v>
          </cell>
          <cell r="F259" t="str">
            <v>Nữ</v>
          </cell>
          <cell r="H259" t="str">
            <v>Bản Khăm Xe Y, Huyện Phìn, Tỉnh Savannakhet</v>
          </cell>
          <cell r="I259" t="str">
            <v>ບ້ານ ຄຳສະອີ, ເມືອງ ພີນ, ເເຂວງ ສະຫວັນນະເຂດ</v>
          </cell>
          <cell r="J259" t="str">
            <v>02729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xit đánh đông"/>
      <sheetName val="BẢNG CHẤM CÔNG"/>
      <sheetName val="LÁT A"/>
      <sheetName val="Trang_tính1"/>
      <sheetName val="LÁT B"/>
      <sheetName val="LÁT C"/>
      <sheetName val="LÁT D"/>
      <sheetName val="MỦ DÂY"/>
      <sheetName val="TH MỦ CN"/>
      <sheetName val="LŨY KẾ MỦ"/>
      <sheetName val="bôi thuốc"/>
      <sheetName val="kỷ thuật"/>
      <sheetName val="phụ cấp gạo nếp"/>
      <sheetName val="CHẤM CÔNG BV"/>
      <sheetName val="LƯƠNG K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ấm công KT"/>
      <sheetName val="BTH mủ tạp"/>
      <sheetName val="BTH mủ Sỉum"/>
      <sheetName val="TONGHOPCONGDOI"/>
      <sheetName val="TRẠM 1"/>
      <sheetName val="TRẠM 2"/>
      <sheetName val="CNKT "/>
      <sheetName val="Lương bảo vệ "/>
      <sheetName val="lương gián tiếp"/>
      <sheetName val="LƯƠNG CN TRỰC TIẾP "/>
      <sheetName val="Tỉ lệ hoàn thành "/>
      <sheetName val="Phân toán  "/>
      <sheetName val="BTH CVK"/>
      <sheetName val="TT CVK"/>
      <sheetName val="PLcon (2)"/>
      <sheetName val="DSN Thuê"/>
      <sheetName val="tiền TB "/>
      <sheetName val="Thanh toán XX"/>
      <sheetName val="PC xăng xe T5"/>
      <sheetName val="Thanh toán BVTV"/>
      <sheetName val="Bảng CCBV thời vụ "/>
      <sheetName val="BL Bảo vệ,tạp vụ"/>
      <sheetName val="PLcon NT"/>
      <sheetName val="Phân Toán CVK"/>
      <sheetName val="Bảng CC TX, BV  "/>
      <sheetName val="Bảng ĐP - BV  "/>
      <sheetName val="Bảng CC vn 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>
        <row r="97">
          <cell r="L97">
            <v>199200470</v>
          </cell>
        </row>
      </sheetData>
      <sheetData sheetId="5">
        <row r="82">
          <cell r="L82">
            <v>184150425</v>
          </cell>
        </row>
      </sheetData>
      <sheetData sheetId="6">
        <row r="163">
          <cell r="L163">
            <v>383350895</v>
          </cell>
        </row>
      </sheetData>
      <sheetData sheetId="7"/>
      <sheetData sheetId="8"/>
      <sheetData sheetId="9"/>
      <sheetData sheetId="10"/>
      <sheetData sheetId="11">
        <row r="37">
          <cell r="G37">
            <v>836685056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92D050"/>
  </sheetPr>
  <dimension ref="A1:AZ179"/>
  <sheetViews>
    <sheetView view="pageBreakPreview" topLeftCell="A127" zoomScale="60" zoomScaleNormal="85" workbookViewId="0">
      <selection activeCell="A94" sqref="A94:B155"/>
    </sheetView>
  </sheetViews>
  <sheetFormatPr defaultColWidth="5.28515625" defaultRowHeight="12.75"/>
  <cols>
    <col min="1" max="2" width="3.85546875" style="172" customWidth="1"/>
    <col min="3" max="3" width="17.7109375" style="172" customWidth="1"/>
    <col min="4" max="4" width="7.5703125" style="13" hidden="1" customWidth="1"/>
    <col min="5" max="33" width="4.28515625" style="172" customWidth="1"/>
    <col min="34" max="34" width="5" style="172" customWidth="1"/>
    <col min="35" max="35" width="5.7109375" style="172" customWidth="1"/>
    <col min="36" max="36" width="6.7109375" style="172" customWidth="1"/>
    <col min="37" max="37" width="8.28515625" style="172" customWidth="1"/>
    <col min="38" max="38" width="7.42578125" style="172" hidden="1" customWidth="1"/>
    <col min="39" max="39" width="6.85546875" style="172" hidden="1" customWidth="1"/>
    <col min="40" max="41" width="7.42578125" style="172" hidden="1" customWidth="1"/>
    <col min="42" max="42" width="8.7109375" style="172" customWidth="1"/>
    <col min="43" max="43" width="15" style="173" customWidth="1"/>
    <col min="44" max="44" width="5.28515625" style="172"/>
    <col min="45" max="45" width="9.7109375" style="172" customWidth="1"/>
    <col min="46" max="46" width="9" style="575" customWidth="1"/>
    <col min="47" max="16384" width="5.28515625" style="172"/>
  </cols>
  <sheetData>
    <row r="1" spans="1:52" ht="16.5">
      <c r="B1" s="1355" t="s">
        <v>56</v>
      </c>
      <c r="C1" s="1355"/>
      <c r="D1" s="1355"/>
      <c r="E1" s="1355"/>
      <c r="F1" s="1355"/>
      <c r="G1" s="1355"/>
      <c r="H1" s="1355"/>
      <c r="I1" s="1355"/>
      <c r="J1" s="1355"/>
      <c r="K1" s="1355"/>
      <c r="L1" s="1355"/>
      <c r="M1" s="1355"/>
      <c r="N1" s="1355"/>
      <c r="O1" s="1355"/>
      <c r="P1" s="1355"/>
      <c r="Q1" s="1355"/>
      <c r="R1" s="1355"/>
      <c r="S1" s="1355"/>
      <c r="T1" s="1355"/>
      <c r="U1" s="1355"/>
      <c r="V1" s="1355"/>
      <c r="W1" s="1355"/>
      <c r="X1" s="1355"/>
      <c r="Y1" s="1355"/>
      <c r="Z1" s="1355"/>
      <c r="AA1" s="1355"/>
      <c r="AB1" s="1355"/>
      <c r="AC1" s="1355"/>
      <c r="AD1" s="1355"/>
      <c r="AE1" s="1355"/>
      <c r="AF1" s="1355"/>
      <c r="AG1" s="1355"/>
      <c r="AH1" s="1355"/>
      <c r="AI1" s="1355"/>
      <c r="AJ1" s="1355"/>
      <c r="AK1" s="1355"/>
      <c r="AL1" s="1355"/>
      <c r="AM1" s="1355"/>
      <c r="AN1" s="1355"/>
      <c r="AO1" s="1355"/>
      <c r="AP1" s="1355"/>
    </row>
    <row r="2" spans="1:52" ht="16.5">
      <c r="B2" s="1355" t="s">
        <v>57</v>
      </c>
      <c r="C2" s="1355"/>
      <c r="D2" s="1355"/>
      <c r="E2" s="1355"/>
      <c r="F2" s="1355"/>
      <c r="G2" s="1355"/>
      <c r="H2" s="1355"/>
      <c r="I2" s="1355"/>
      <c r="J2" s="1355"/>
      <c r="K2" s="1355"/>
      <c r="L2" s="1355"/>
      <c r="M2" s="1355"/>
      <c r="N2" s="1355"/>
      <c r="O2" s="1355"/>
      <c r="P2" s="1355"/>
      <c r="Q2" s="1355"/>
      <c r="R2" s="1355"/>
      <c r="S2" s="1355"/>
      <c r="T2" s="1355"/>
      <c r="U2" s="1355"/>
      <c r="V2" s="1355"/>
      <c r="W2" s="1355"/>
      <c r="X2" s="1355"/>
      <c r="Y2" s="1355"/>
      <c r="Z2" s="1355"/>
      <c r="AA2" s="1355"/>
      <c r="AB2" s="1355"/>
      <c r="AC2" s="1355"/>
      <c r="AD2" s="1355"/>
      <c r="AE2" s="1355"/>
      <c r="AF2" s="1355"/>
      <c r="AG2" s="1355"/>
      <c r="AH2" s="1355"/>
      <c r="AI2" s="1355"/>
      <c r="AJ2" s="1355"/>
      <c r="AK2" s="1355"/>
      <c r="AL2" s="1355"/>
      <c r="AM2" s="1355"/>
      <c r="AN2" s="1355"/>
      <c r="AO2" s="1355"/>
      <c r="AP2" s="1355"/>
    </row>
    <row r="3" spans="1:52" ht="16.5">
      <c r="B3" s="1356" t="s">
        <v>294</v>
      </c>
      <c r="C3" s="1355"/>
      <c r="D3" s="1355"/>
      <c r="E3" s="1355"/>
      <c r="F3" s="1355"/>
      <c r="G3" s="1355"/>
      <c r="H3" s="1355"/>
      <c r="I3" s="1355"/>
      <c r="J3" s="1355"/>
      <c r="K3" s="1355"/>
      <c r="L3" s="1355"/>
      <c r="M3" s="1355"/>
      <c r="N3" s="1355"/>
      <c r="O3" s="1355"/>
      <c r="P3" s="1355"/>
      <c r="Q3" s="1355"/>
      <c r="R3" s="1355"/>
      <c r="S3" s="1355"/>
      <c r="T3" s="1355"/>
      <c r="U3" s="1355"/>
      <c r="V3" s="1355"/>
      <c r="W3" s="1355"/>
      <c r="X3" s="1355"/>
      <c r="Y3" s="1355"/>
      <c r="Z3" s="1355"/>
      <c r="AA3" s="1355"/>
      <c r="AB3" s="1355"/>
      <c r="AC3" s="1355"/>
      <c r="AD3" s="1355"/>
      <c r="AE3" s="1355"/>
      <c r="AF3" s="1355"/>
      <c r="AG3" s="1355"/>
      <c r="AH3" s="1355"/>
      <c r="AI3" s="1355"/>
      <c r="AJ3" s="1355"/>
      <c r="AK3" s="1355"/>
      <c r="AL3" s="1355"/>
      <c r="AM3" s="1355"/>
      <c r="AN3" s="1355"/>
      <c r="AO3" s="1355"/>
      <c r="AP3" s="1355"/>
    </row>
    <row r="4" spans="1:52" ht="9" customHeight="1">
      <c r="B4" s="333"/>
      <c r="C4" s="333"/>
      <c r="D4" s="576"/>
      <c r="E4" s="333"/>
      <c r="F4" s="333"/>
      <c r="G4" s="333"/>
      <c r="H4" s="333"/>
      <c r="I4" s="333"/>
      <c r="J4" s="333"/>
      <c r="K4" s="333"/>
      <c r="L4" s="333"/>
      <c r="M4" s="329"/>
      <c r="N4" s="329"/>
      <c r="O4" s="329"/>
      <c r="P4" s="329"/>
      <c r="Q4" s="329"/>
      <c r="R4" s="329"/>
      <c r="S4" s="329"/>
      <c r="T4" s="329"/>
      <c r="U4" s="329"/>
      <c r="V4" s="329"/>
      <c r="W4" s="329"/>
      <c r="X4" s="329"/>
      <c r="Y4" s="329"/>
      <c r="Z4" s="329"/>
      <c r="AA4" s="329"/>
      <c r="AB4" s="329"/>
      <c r="AC4" s="329"/>
      <c r="AD4" s="329"/>
      <c r="AE4" s="329"/>
      <c r="AF4" s="329"/>
      <c r="AG4" s="329"/>
      <c r="AH4" s="329"/>
      <c r="AI4" s="329"/>
      <c r="AJ4" s="272"/>
      <c r="AK4" s="272"/>
      <c r="AL4" s="272"/>
      <c r="AM4" s="272"/>
      <c r="AN4" s="272"/>
      <c r="AO4" s="272"/>
      <c r="AP4" s="272"/>
    </row>
    <row r="5" spans="1:52" ht="16.5">
      <c r="B5" s="1357" t="s">
        <v>276</v>
      </c>
      <c r="C5" s="1357"/>
      <c r="D5" s="1357"/>
      <c r="E5" s="1357"/>
      <c r="F5" s="1357"/>
      <c r="G5" s="1357"/>
      <c r="H5" s="1357"/>
      <c r="I5" s="1357"/>
      <c r="J5" s="1357"/>
      <c r="K5" s="1357"/>
      <c r="L5" s="1357"/>
      <c r="M5" s="1357"/>
      <c r="N5" s="1357"/>
      <c r="O5" s="1357"/>
      <c r="P5" s="329"/>
      <c r="Q5" s="329"/>
      <c r="R5" s="329"/>
      <c r="S5" s="329"/>
      <c r="T5" s="329"/>
      <c r="U5" s="329"/>
      <c r="V5" s="329"/>
      <c r="W5" s="329"/>
      <c r="X5" s="329"/>
      <c r="Y5" s="329"/>
      <c r="Z5" s="329"/>
      <c r="AA5" s="329"/>
      <c r="AB5" s="329"/>
      <c r="AC5" s="329"/>
      <c r="AD5" s="329"/>
      <c r="AE5" s="329"/>
      <c r="AF5" s="329"/>
      <c r="AG5" s="329"/>
      <c r="AH5" s="329"/>
      <c r="AI5" s="329"/>
      <c r="AJ5" s="272"/>
      <c r="AK5" s="272"/>
      <c r="AL5" s="272"/>
      <c r="AM5" s="272"/>
      <c r="AN5" s="272"/>
      <c r="AO5" s="272"/>
      <c r="AP5" s="272"/>
    </row>
    <row r="6" spans="1:52" ht="16.5">
      <c r="B6" s="1357" t="s">
        <v>658</v>
      </c>
      <c r="C6" s="1357"/>
      <c r="D6" s="1357"/>
      <c r="E6" s="1357"/>
      <c r="F6" s="1357"/>
      <c r="G6" s="1357"/>
      <c r="H6" s="1357"/>
      <c r="I6" s="1357"/>
      <c r="J6" s="1357"/>
      <c r="K6" s="1357"/>
      <c r="L6" s="1357"/>
      <c r="M6" s="1357"/>
      <c r="N6" s="1357"/>
      <c r="O6" s="1357"/>
      <c r="P6" s="329"/>
      <c r="Q6" s="329"/>
      <c r="R6" s="329"/>
      <c r="S6" s="329"/>
      <c r="T6" s="329"/>
      <c r="U6" s="329"/>
      <c r="V6" s="329"/>
      <c r="W6" s="329"/>
      <c r="X6" s="329"/>
      <c r="Y6" s="329"/>
      <c r="Z6" s="329"/>
      <c r="AA6" s="329"/>
      <c r="AB6" s="329"/>
      <c r="AC6" s="329"/>
      <c r="AD6" s="329"/>
      <c r="AE6" s="329"/>
      <c r="AF6" s="329"/>
      <c r="AG6" s="329"/>
      <c r="AH6" s="329"/>
      <c r="AI6" s="329"/>
      <c r="AJ6" s="272"/>
      <c r="AK6" s="272"/>
      <c r="AL6" s="272"/>
      <c r="AM6" s="272"/>
      <c r="AN6" s="272"/>
      <c r="AO6" s="272"/>
      <c r="AP6" s="272"/>
    </row>
    <row r="7" spans="1:52" ht="25.5" customHeight="1">
      <c r="B7" s="1354" t="s">
        <v>629</v>
      </c>
      <c r="C7" s="1354"/>
      <c r="D7" s="1354"/>
      <c r="E7" s="1354"/>
      <c r="F7" s="1354"/>
      <c r="G7" s="1354"/>
      <c r="H7" s="1354"/>
      <c r="I7" s="1354"/>
      <c r="J7" s="1354"/>
      <c r="K7" s="1354"/>
      <c r="L7" s="1354"/>
      <c r="M7" s="1354"/>
      <c r="N7" s="1354"/>
      <c r="O7" s="1354"/>
      <c r="P7" s="1354"/>
      <c r="Q7" s="1354"/>
      <c r="R7" s="1354"/>
      <c r="S7" s="1354"/>
      <c r="T7" s="1354"/>
      <c r="U7" s="1354"/>
      <c r="V7" s="1354"/>
      <c r="W7" s="1354"/>
      <c r="X7" s="1354"/>
      <c r="Y7" s="1354"/>
      <c r="Z7" s="1354"/>
      <c r="AA7" s="1354"/>
      <c r="AB7" s="1354"/>
      <c r="AC7" s="1354"/>
      <c r="AD7" s="1354"/>
      <c r="AE7" s="1354"/>
      <c r="AF7" s="1354"/>
      <c r="AG7" s="1354"/>
      <c r="AH7" s="1354"/>
      <c r="AI7" s="1354"/>
      <c r="AJ7" s="1354"/>
      <c r="AK7" s="1354"/>
      <c r="AL7" s="1354"/>
      <c r="AM7" s="1354"/>
      <c r="AN7" s="1354"/>
      <c r="AO7" s="1354"/>
      <c r="AP7" s="1354"/>
    </row>
    <row r="8" spans="1:52" ht="21" customHeight="1">
      <c r="A8" s="1358" t="s">
        <v>655</v>
      </c>
      <c r="B8" s="1358"/>
      <c r="C8" s="1358"/>
      <c r="D8" s="1358"/>
      <c r="E8" s="1358"/>
      <c r="F8" s="1358"/>
      <c r="G8" s="1358"/>
      <c r="H8" s="1358"/>
      <c r="I8" s="1358"/>
      <c r="J8" s="1358"/>
      <c r="K8" s="1358"/>
      <c r="L8" s="1358"/>
      <c r="M8" s="1358"/>
      <c r="N8" s="1358"/>
      <c r="O8" s="1358"/>
      <c r="P8" s="1358"/>
      <c r="Q8" s="1358"/>
      <c r="R8" s="1358"/>
      <c r="S8" s="1358"/>
      <c r="T8" s="1358"/>
      <c r="U8" s="1358"/>
      <c r="V8" s="1358"/>
      <c r="W8" s="1358"/>
      <c r="X8" s="1358"/>
      <c r="Y8" s="1358"/>
      <c r="Z8" s="1358"/>
      <c r="AA8" s="1358"/>
      <c r="AB8" s="1358"/>
      <c r="AC8" s="1358"/>
      <c r="AD8" s="1358"/>
      <c r="AE8" s="1358"/>
      <c r="AF8" s="1358"/>
      <c r="AG8" s="1358"/>
      <c r="AH8" s="1358"/>
      <c r="AI8" s="1358"/>
      <c r="AJ8" s="1358"/>
      <c r="AK8" s="1358"/>
      <c r="AL8" s="1358"/>
      <c r="AM8" s="1358"/>
      <c r="AN8" s="1358"/>
      <c r="AO8" s="1358"/>
      <c r="AP8" s="1358"/>
      <c r="AQ8" s="1358"/>
    </row>
    <row r="9" spans="1:52" ht="25.5" customHeight="1">
      <c r="B9" s="1114"/>
      <c r="C9" s="1114"/>
      <c r="D9" s="1114"/>
      <c r="E9" s="1114"/>
      <c r="F9" s="1114"/>
      <c r="G9" s="1114"/>
      <c r="H9" s="1114"/>
      <c r="I9" s="1114"/>
      <c r="J9" s="1114"/>
      <c r="K9" s="1114"/>
      <c r="L9" s="1114"/>
      <c r="M9" s="1114"/>
      <c r="N9" s="1114"/>
      <c r="O9" s="1114"/>
      <c r="P9" s="1114"/>
      <c r="Q9" s="1114"/>
      <c r="R9" s="1114"/>
      <c r="S9" s="1114"/>
      <c r="T9" s="1114"/>
      <c r="U9" s="1114"/>
      <c r="V9" s="1114"/>
      <c r="W9" s="1114"/>
      <c r="X9" s="1114"/>
      <c r="Y9" s="1114"/>
      <c r="Z9" s="1114"/>
      <c r="AA9" s="1114"/>
      <c r="AB9" s="1114"/>
      <c r="AC9" s="1114"/>
      <c r="AD9" s="1114"/>
      <c r="AE9" s="1114"/>
      <c r="AF9" s="1114"/>
      <c r="AG9" s="1114"/>
      <c r="AH9" s="1114"/>
      <c r="AI9" s="1114"/>
      <c r="AJ9" s="1114"/>
      <c r="AK9" s="1114"/>
      <c r="AL9" s="1114"/>
      <c r="AM9" s="1184"/>
      <c r="AN9" s="1184"/>
      <c r="AO9" s="1184"/>
      <c r="AP9" s="1114"/>
    </row>
    <row r="10" spans="1:52" ht="15.75" customHeight="1">
      <c r="A10" s="1359" t="s">
        <v>6</v>
      </c>
      <c r="B10" s="1371" t="s">
        <v>6</v>
      </c>
      <c r="C10" s="1369" t="s">
        <v>59</v>
      </c>
      <c r="D10" s="1370" t="s">
        <v>60</v>
      </c>
      <c r="E10" s="1372" t="s">
        <v>62</v>
      </c>
      <c r="F10" s="1373"/>
      <c r="G10" s="1373"/>
      <c r="H10" s="1373"/>
      <c r="I10" s="1373"/>
      <c r="J10" s="1373"/>
      <c r="K10" s="1373"/>
      <c r="L10" s="1373"/>
      <c r="M10" s="1373"/>
      <c r="N10" s="1373"/>
      <c r="O10" s="1373"/>
      <c r="P10" s="1373"/>
      <c r="Q10" s="1373"/>
      <c r="R10" s="1373"/>
      <c r="S10" s="1373"/>
      <c r="T10" s="1373"/>
      <c r="U10" s="1373"/>
      <c r="V10" s="1373"/>
      <c r="W10" s="1373"/>
      <c r="X10" s="1373"/>
      <c r="Y10" s="1373"/>
      <c r="Z10" s="1373"/>
      <c r="AA10" s="1373"/>
      <c r="AB10" s="1373"/>
      <c r="AC10" s="1373"/>
      <c r="AD10" s="1373"/>
      <c r="AE10" s="1373"/>
      <c r="AF10" s="1373"/>
      <c r="AG10" s="1373"/>
      <c r="AH10" s="1373"/>
      <c r="AI10" s="1374"/>
      <c r="AJ10" s="1351" t="s">
        <v>259</v>
      </c>
      <c r="AK10" s="1351" t="s">
        <v>260</v>
      </c>
      <c r="AL10" s="1351" t="s">
        <v>464</v>
      </c>
      <c r="AM10" s="1352" t="s">
        <v>469</v>
      </c>
      <c r="AN10" s="1352" t="s">
        <v>462</v>
      </c>
      <c r="AO10" s="1352" t="s">
        <v>463</v>
      </c>
      <c r="AP10" s="1351" t="s">
        <v>35</v>
      </c>
      <c r="AQ10" s="1360" t="s">
        <v>397</v>
      </c>
      <c r="AU10" s="671" t="s">
        <v>259</v>
      </c>
      <c r="AV10" s="671" t="s">
        <v>260</v>
      </c>
      <c r="AW10" s="671" t="s">
        <v>464</v>
      </c>
      <c r="AX10" s="671" t="s">
        <v>469</v>
      </c>
      <c r="AY10" s="671" t="s">
        <v>462</v>
      </c>
      <c r="AZ10" s="671" t="s">
        <v>463</v>
      </c>
    </row>
    <row r="11" spans="1:52" ht="44.25" customHeight="1">
      <c r="A11" s="1359"/>
      <c r="B11" s="1371"/>
      <c r="C11" s="1369"/>
      <c r="D11" s="1370"/>
      <c r="E11" s="1181">
        <v>1</v>
      </c>
      <c r="F11" s="534">
        <v>2</v>
      </c>
      <c r="G11" s="1181">
        <v>3</v>
      </c>
      <c r="H11" s="534">
        <v>4</v>
      </c>
      <c r="I11" s="1181">
        <v>5</v>
      </c>
      <c r="J11" s="534">
        <v>6</v>
      </c>
      <c r="K11" s="1181">
        <v>7</v>
      </c>
      <c r="L11" s="534">
        <v>8</v>
      </c>
      <c r="M11" s="1181">
        <v>9</v>
      </c>
      <c r="N11" s="534">
        <v>10</v>
      </c>
      <c r="O11" s="1181">
        <v>11</v>
      </c>
      <c r="P11" s="534">
        <v>12</v>
      </c>
      <c r="Q11" s="1181">
        <v>13</v>
      </c>
      <c r="R11" s="534">
        <v>14</v>
      </c>
      <c r="S11" s="1181">
        <v>15</v>
      </c>
      <c r="T11" s="534">
        <v>16</v>
      </c>
      <c r="U11" s="1181">
        <v>17</v>
      </c>
      <c r="V11" s="534">
        <v>18</v>
      </c>
      <c r="W11" s="1181">
        <v>19</v>
      </c>
      <c r="X11" s="534">
        <v>20</v>
      </c>
      <c r="Y11" s="1181">
        <v>21</v>
      </c>
      <c r="Z11" s="534">
        <v>22</v>
      </c>
      <c r="AA11" s="1181">
        <v>23</v>
      </c>
      <c r="AB11" s="534">
        <v>24</v>
      </c>
      <c r="AC11" s="1181">
        <v>25</v>
      </c>
      <c r="AD11" s="534">
        <v>26</v>
      </c>
      <c r="AE11" s="1181">
        <v>27</v>
      </c>
      <c r="AF11" s="534">
        <v>28</v>
      </c>
      <c r="AG11" s="1181">
        <v>29</v>
      </c>
      <c r="AH11" s="534">
        <v>30</v>
      </c>
      <c r="AI11" s="1181">
        <v>31</v>
      </c>
      <c r="AJ11" s="1351"/>
      <c r="AK11" s="1351"/>
      <c r="AL11" s="1351"/>
      <c r="AM11" s="1353"/>
      <c r="AN11" s="1353"/>
      <c r="AO11" s="1353"/>
      <c r="AP11" s="1351"/>
      <c r="AQ11" s="1360"/>
      <c r="AU11" s="672"/>
      <c r="AV11" s="672"/>
      <c r="AW11" s="672"/>
      <c r="AX11" s="672"/>
      <c r="AY11" s="672"/>
      <c r="AZ11" s="672"/>
    </row>
    <row r="12" spans="1:52" s="740" customFormat="1" ht="15.75" customHeight="1">
      <c r="A12" s="742"/>
      <c r="B12" s="1369" t="s">
        <v>630</v>
      </c>
      <c r="C12" s="1369"/>
      <c r="D12" s="1369"/>
      <c r="E12" s="743">
        <f t="shared" ref="E12:AH12" si="0">SUM(COUNTIF(E13:E92,"x"))+(COUNTIF(E13:E92,"cn"))+(COUNTIF(E13:E92,"gt"))+(COUNTIF(E13:E92,"ct"))</f>
        <v>66</v>
      </c>
      <c r="F12" s="743">
        <f t="shared" si="0"/>
        <v>60</v>
      </c>
      <c r="G12" s="743">
        <f t="shared" si="0"/>
        <v>60</v>
      </c>
      <c r="H12" s="743">
        <f t="shared" si="0"/>
        <v>59</v>
      </c>
      <c r="I12" s="743">
        <f t="shared" si="0"/>
        <v>65</v>
      </c>
      <c r="J12" s="743">
        <f t="shared" si="0"/>
        <v>58</v>
      </c>
      <c r="K12" s="743">
        <f t="shared" si="0"/>
        <v>52</v>
      </c>
      <c r="L12" s="743">
        <f t="shared" si="0"/>
        <v>67</v>
      </c>
      <c r="M12" s="743">
        <f t="shared" si="0"/>
        <v>68</v>
      </c>
      <c r="N12" s="743">
        <f t="shared" si="0"/>
        <v>67</v>
      </c>
      <c r="O12" s="743">
        <f t="shared" si="0"/>
        <v>71</v>
      </c>
      <c r="P12" s="743">
        <f t="shared" si="0"/>
        <v>73</v>
      </c>
      <c r="Q12" s="743">
        <f t="shared" si="0"/>
        <v>71</v>
      </c>
      <c r="R12" s="743">
        <f t="shared" si="0"/>
        <v>66</v>
      </c>
      <c r="S12" s="743">
        <f t="shared" si="0"/>
        <v>66</v>
      </c>
      <c r="T12" s="743">
        <f t="shared" si="0"/>
        <v>70</v>
      </c>
      <c r="U12" s="743">
        <f t="shared" si="0"/>
        <v>73</v>
      </c>
      <c r="V12" s="743">
        <f t="shared" si="0"/>
        <v>68</v>
      </c>
      <c r="W12" s="743">
        <f t="shared" si="0"/>
        <v>72</v>
      </c>
      <c r="X12" s="743">
        <f t="shared" si="0"/>
        <v>71</v>
      </c>
      <c r="Y12" s="743">
        <f t="shared" si="0"/>
        <v>72</v>
      </c>
      <c r="Z12" s="743">
        <f t="shared" si="0"/>
        <v>70</v>
      </c>
      <c r="AA12" s="743">
        <f t="shared" si="0"/>
        <v>73</v>
      </c>
      <c r="AB12" s="743">
        <f t="shared" si="0"/>
        <v>73</v>
      </c>
      <c r="AC12" s="743">
        <f t="shared" si="0"/>
        <v>73</v>
      </c>
      <c r="AD12" s="743">
        <f t="shared" si="0"/>
        <v>72</v>
      </c>
      <c r="AE12" s="743">
        <f t="shared" si="0"/>
        <v>72</v>
      </c>
      <c r="AF12" s="743">
        <f t="shared" si="0"/>
        <v>71</v>
      </c>
      <c r="AG12" s="743">
        <f t="shared" si="0"/>
        <v>70</v>
      </c>
      <c r="AH12" s="743">
        <f t="shared" si="0"/>
        <v>71</v>
      </c>
      <c r="AI12" s="743">
        <f>SUM(COUNTIF(AI13:AI92,"x"))+(COUNTIF(AI13:AI92,"cn"))+(COUNTIF(AI13:AI92,"đ"))</f>
        <v>73</v>
      </c>
      <c r="AJ12" s="914">
        <f t="shared" ref="AJ12:AP12" si="1">SUM(AJ13:AJ92)</f>
        <v>1842</v>
      </c>
      <c r="AK12" s="914">
        <f t="shared" si="1"/>
        <v>271</v>
      </c>
      <c r="AL12" s="914">
        <f t="shared" si="1"/>
        <v>0</v>
      </c>
      <c r="AM12" s="914">
        <f t="shared" si="1"/>
        <v>0</v>
      </c>
      <c r="AN12" s="914">
        <f t="shared" si="1"/>
        <v>0</v>
      </c>
      <c r="AO12" s="914">
        <f t="shared" si="1"/>
        <v>0</v>
      </c>
      <c r="AP12" s="914">
        <f t="shared" si="1"/>
        <v>2113</v>
      </c>
      <c r="AQ12" s="1179"/>
      <c r="AS12" s="740" t="str">
        <f>VLOOKUP(C13,'[1]NT 2'!$C$2:$J$259,8,0)</f>
        <v>03456</v>
      </c>
      <c r="AT12" s="741">
        <f t="shared" ref="AT12:AT43" si="2">D13-AS12</f>
        <v>0</v>
      </c>
    </row>
    <row r="13" spans="1:52" ht="24.75" customHeight="1">
      <c r="A13" s="1179">
        <v>1</v>
      </c>
      <c r="B13" s="1072">
        <v>1</v>
      </c>
      <c r="C13" s="881" t="s">
        <v>326</v>
      </c>
      <c r="D13" s="13" t="str">
        <f>VLOOKUP(C13,'[1]NT 2'!$C$2:$J$259,8,0)</f>
        <v>03456</v>
      </c>
      <c r="E13" s="1186" t="s">
        <v>55</v>
      </c>
      <c r="F13" s="1186" t="s">
        <v>55</v>
      </c>
      <c r="G13" s="1186"/>
      <c r="H13" s="1186" t="s">
        <v>118</v>
      </c>
      <c r="I13" s="1186" t="s">
        <v>55</v>
      </c>
      <c r="J13" s="1186" t="s">
        <v>55</v>
      </c>
      <c r="K13" s="1186" t="s">
        <v>55</v>
      </c>
      <c r="L13" s="1186" t="s">
        <v>55</v>
      </c>
      <c r="M13" s="1186" t="s">
        <v>55</v>
      </c>
      <c r="N13" s="1186" t="s">
        <v>55</v>
      </c>
      <c r="O13" s="1186" t="s">
        <v>118</v>
      </c>
      <c r="P13" s="1186" t="s">
        <v>55</v>
      </c>
      <c r="Q13" s="1186" t="s">
        <v>55</v>
      </c>
      <c r="R13" s="1186" t="s">
        <v>55</v>
      </c>
      <c r="S13" s="1186"/>
      <c r="T13" s="1186" t="s">
        <v>55</v>
      </c>
      <c r="U13" s="1186" t="s">
        <v>55</v>
      </c>
      <c r="V13" s="1186" t="s">
        <v>118</v>
      </c>
      <c r="W13" s="1186" t="s">
        <v>55</v>
      </c>
      <c r="X13" s="1186" t="s">
        <v>55</v>
      </c>
      <c r="Y13" s="1186" t="s">
        <v>55</v>
      </c>
      <c r="Z13" s="1186" t="s">
        <v>55</v>
      </c>
      <c r="AA13" s="1186" t="s">
        <v>55</v>
      </c>
      <c r="AB13" s="1186" t="s">
        <v>678</v>
      </c>
      <c r="AC13" s="1186" t="s">
        <v>118</v>
      </c>
      <c r="AD13" s="1186" t="s">
        <v>55</v>
      </c>
      <c r="AE13" s="1186" t="s">
        <v>55</v>
      </c>
      <c r="AF13" s="1186" t="s">
        <v>55</v>
      </c>
      <c r="AG13" s="1186" t="s">
        <v>55</v>
      </c>
      <c r="AH13" s="1186" t="s">
        <v>55</v>
      </c>
      <c r="AI13" s="908" t="s">
        <v>678</v>
      </c>
      <c r="AJ13" s="633">
        <f>SUM(COUNTIF(E13:AI13,"x"))</f>
        <v>23</v>
      </c>
      <c r="AK13" s="634">
        <f>SUM(COUNTIF(E13:AI13,"cn"))</f>
        <v>4</v>
      </c>
      <c r="AL13" s="633">
        <f>SUM(COUNTIF(E13:AI13,"đ"))</f>
        <v>0</v>
      </c>
      <c r="AM13" s="633">
        <f>SUM(COUNTIF(E13:AI13,"đc"))</f>
        <v>0</v>
      </c>
      <c r="AN13" s="633">
        <f>SUM(COUNTIF(E13:AI13,"gt"))</f>
        <v>0</v>
      </c>
      <c r="AO13" s="634">
        <f>SUM(COUNTIF(E13:AI13,"ct"))</f>
        <v>0</v>
      </c>
      <c r="AP13" s="635">
        <f>AJ13+AK13+AL13+AM13+AN13+AO13</f>
        <v>27</v>
      </c>
      <c r="AQ13" s="535"/>
      <c r="AR13" s="174"/>
      <c r="AS13" s="172" t="e">
        <f>VLOOKUP(C14,'[1]NT 2'!$C$2:$J$259,8,0)</f>
        <v>#N/A</v>
      </c>
      <c r="AT13" s="575" t="e">
        <f t="shared" si="2"/>
        <v>#N/A</v>
      </c>
    </row>
    <row r="14" spans="1:52" ht="24.75" customHeight="1">
      <c r="A14" s="1179">
        <v>2</v>
      </c>
      <c r="B14" s="1072">
        <v>2</v>
      </c>
      <c r="C14" s="499" t="s">
        <v>407</v>
      </c>
      <c r="E14" s="1186" t="s">
        <v>55</v>
      </c>
      <c r="F14" s="1186" t="s">
        <v>55</v>
      </c>
      <c r="G14" s="1186" t="s">
        <v>55</v>
      </c>
      <c r="H14" s="1186" t="s">
        <v>118</v>
      </c>
      <c r="I14" s="1186" t="s">
        <v>55</v>
      </c>
      <c r="J14" s="1186"/>
      <c r="K14" s="1186"/>
      <c r="L14" s="1186" t="s">
        <v>55</v>
      </c>
      <c r="M14" s="1186" t="s">
        <v>55</v>
      </c>
      <c r="N14" s="1186"/>
      <c r="O14" s="1186" t="s">
        <v>118</v>
      </c>
      <c r="P14" s="1186" t="s">
        <v>55</v>
      </c>
      <c r="Q14" s="1186" t="s">
        <v>55</v>
      </c>
      <c r="R14" s="1186" t="s">
        <v>55</v>
      </c>
      <c r="S14" s="1186" t="s">
        <v>55</v>
      </c>
      <c r="T14" s="1186" t="s">
        <v>55</v>
      </c>
      <c r="U14" s="1186" t="s">
        <v>55</v>
      </c>
      <c r="V14" s="1186" t="s">
        <v>118</v>
      </c>
      <c r="W14" s="1186" t="s">
        <v>55</v>
      </c>
      <c r="X14" s="1186" t="s">
        <v>55</v>
      </c>
      <c r="Y14" s="1186" t="s">
        <v>55</v>
      </c>
      <c r="Z14" s="1186" t="s">
        <v>55</v>
      </c>
      <c r="AA14" s="1186" t="s">
        <v>55</v>
      </c>
      <c r="AB14" s="1186" t="s">
        <v>55</v>
      </c>
      <c r="AC14" s="1186" t="s">
        <v>118</v>
      </c>
      <c r="AD14" s="1186" t="s">
        <v>55</v>
      </c>
      <c r="AE14" s="1186" t="s">
        <v>55</v>
      </c>
      <c r="AF14" s="1186"/>
      <c r="AG14" s="1186" t="s">
        <v>55</v>
      </c>
      <c r="AH14" s="1186" t="s">
        <v>55</v>
      </c>
      <c r="AI14" s="908" t="s">
        <v>55</v>
      </c>
      <c r="AJ14" s="633">
        <f t="shared" ref="AJ14:AJ77" si="3">SUM(COUNTIF(E14:AI14,"x"))</f>
        <v>23</v>
      </c>
      <c r="AK14" s="634">
        <f t="shared" ref="AK14:AK77" si="4">SUM(COUNTIF(E14:AI14,"cn"))</f>
        <v>4</v>
      </c>
      <c r="AL14" s="633">
        <f t="shared" ref="AL14:AL77" si="5">SUM(COUNTIF(E14:AI14,"đ"))</f>
        <v>0</v>
      </c>
      <c r="AM14" s="633">
        <f t="shared" ref="AM14:AM77" si="6">SUM(COUNTIF(E14:AI14,"đc"))</f>
        <v>0</v>
      </c>
      <c r="AN14" s="633">
        <f t="shared" ref="AN14:AN77" si="7">SUM(COUNTIF(E14:AI14,"gt"))</f>
        <v>0</v>
      </c>
      <c r="AO14" s="634">
        <f>SUM(COUNTIF(E14:AI14,"ct"))</f>
        <v>0</v>
      </c>
      <c r="AP14" s="635">
        <f t="shared" ref="AP14:AP77" si="8">AJ14+AK14+AL14+AM14+AN14+AO14</f>
        <v>27</v>
      </c>
      <c r="AQ14" s="535"/>
      <c r="AR14" s="174"/>
      <c r="AS14" s="172" t="str">
        <f>VLOOKUP(C15,'[1]NT 2'!$C$2:$J$259,8,0)</f>
        <v>02725</v>
      </c>
      <c r="AT14" s="575">
        <f t="shared" si="2"/>
        <v>0</v>
      </c>
    </row>
    <row r="15" spans="1:52" ht="24.75" customHeight="1">
      <c r="A15" s="1179">
        <v>3</v>
      </c>
      <c r="B15" s="1072">
        <v>3</v>
      </c>
      <c r="C15" s="499" t="s">
        <v>216</v>
      </c>
      <c r="D15" s="13" t="str">
        <f>VLOOKUP(C15,'[1]NT 2'!$C$2:$J$259,8,0)</f>
        <v>02725</v>
      </c>
      <c r="E15" s="1186" t="s">
        <v>55</v>
      </c>
      <c r="F15" s="1186" t="s">
        <v>55</v>
      </c>
      <c r="G15" s="1186" t="s">
        <v>55</v>
      </c>
      <c r="H15" s="1186" t="s">
        <v>118</v>
      </c>
      <c r="I15" s="1186"/>
      <c r="J15" s="1186" t="s">
        <v>55</v>
      </c>
      <c r="K15" s="1186" t="s">
        <v>55</v>
      </c>
      <c r="L15" s="1186" t="s">
        <v>55</v>
      </c>
      <c r="M15" s="1186" t="s">
        <v>55</v>
      </c>
      <c r="N15" s="1186" t="s">
        <v>55</v>
      </c>
      <c r="O15" s="1186" t="s">
        <v>118</v>
      </c>
      <c r="P15" s="1186" t="s">
        <v>55</v>
      </c>
      <c r="Q15" s="1186" t="s">
        <v>55</v>
      </c>
      <c r="R15" s="1186" t="s">
        <v>55</v>
      </c>
      <c r="S15" s="1186" t="s">
        <v>55</v>
      </c>
      <c r="T15" s="1186" t="s">
        <v>55</v>
      </c>
      <c r="U15" s="1186" t="s">
        <v>55</v>
      </c>
      <c r="V15" s="1186" t="s">
        <v>118</v>
      </c>
      <c r="W15" s="1186" t="s">
        <v>55</v>
      </c>
      <c r="X15" s="1186" t="s">
        <v>55</v>
      </c>
      <c r="Y15" s="1186" t="s">
        <v>55</v>
      </c>
      <c r="Z15" s="1186" t="s">
        <v>55</v>
      </c>
      <c r="AA15" s="1186" t="s">
        <v>55</v>
      </c>
      <c r="AB15" s="1186" t="s">
        <v>55</v>
      </c>
      <c r="AC15" s="1186" t="s">
        <v>118</v>
      </c>
      <c r="AD15" s="1186" t="s">
        <v>55</v>
      </c>
      <c r="AE15" s="1186" t="s">
        <v>55</v>
      </c>
      <c r="AF15" s="1186" t="s">
        <v>55</v>
      </c>
      <c r="AG15" s="1186" t="s">
        <v>55</v>
      </c>
      <c r="AH15" s="1186" t="s">
        <v>55</v>
      </c>
      <c r="AI15" s="908" t="s">
        <v>55</v>
      </c>
      <c r="AJ15" s="633">
        <f t="shared" si="3"/>
        <v>26</v>
      </c>
      <c r="AK15" s="634">
        <f t="shared" si="4"/>
        <v>4</v>
      </c>
      <c r="AL15" s="633">
        <f t="shared" si="5"/>
        <v>0</v>
      </c>
      <c r="AM15" s="633">
        <f t="shared" si="6"/>
        <v>0</v>
      </c>
      <c r="AN15" s="633">
        <f t="shared" si="7"/>
        <v>0</v>
      </c>
      <c r="AO15" s="634">
        <f t="shared" ref="AO15:AO77" si="9">SUM(COUNTIF(E15:AI15,"ct"))</f>
        <v>0</v>
      </c>
      <c r="AP15" s="635">
        <f t="shared" si="8"/>
        <v>30</v>
      </c>
      <c r="AQ15" s="564"/>
      <c r="AR15" s="174"/>
      <c r="AS15" s="172" t="e">
        <f>VLOOKUP(C16,'[1]NT 2'!$C$2:$J$259,8,0)</f>
        <v>#N/A</v>
      </c>
      <c r="AT15" s="575" t="e">
        <f t="shared" si="2"/>
        <v>#N/A</v>
      </c>
    </row>
    <row r="16" spans="1:52" ht="24.75" customHeight="1">
      <c r="A16" s="1179">
        <v>4</v>
      </c>
      <c r="B16" s="1072">
        <v>4</v>
      </c>
      <c r="C16" s="881" t="s">
        <v>602</v>
      </c>
      <c r="D16" s="13" t="e">
        <f>VLOOKUP(C16,'[1]NT 2'!$C$2:$J$259,8,0)</f>
        <v>#N/A</v>
      </c>
      <c r="E16" s="1186" t="s">
        <v>55</v>
      </c>
      <c r="F16" s="1186" t="s">
        <v>55</v>
      </c>
      <c r="G16" s="1186" t="s">
        <v>55</v>
      </c>
      <c r="H16" s="1186" t="s">
        <v>118</v>
      </c>
      <c r="I16" s="1186" t="s">
        <v>55</v>
      </c>
      <c r="J16" s="1186" t="s">
        <v>55</v>
      </c>
      <c r="K16" s="1186" t="s">
        <v>55</v>
      </c>
      <c r="L16" s="1186" t="s">
        <v>55</v>
      </c>
      <c r="M16" s="1186" t="s">
        <v>55</v>
      </c>
      <c r="N16" s="1186" t="s">
        <v>55</v>
      </c>
      <c r="O16" s="1186" t="s">
        <v>118</v>
      </c>
      <c r="P16" s="1186" t="s">
        <v>55</v>
      </c>
      <c r="Q16" s="1186" t="s">
        <v>55</v>
      </c>
      <c r="R16" s="1186"/>
      <c r="S16" s="1186" t="s">
        <v>55</v>
      </c>
      <c r="T16" s="1186" t="s">
        <v>55</v>
      </c>
      <c r="U16" s="1186" t="s">
        <v>55</v>
      </c>
      <c r="V16" s="1186" t="s">
        <v>118</v>
      </c>
      <c r="W16" s="1186" t="s">
        <v>55</v>
      </c>
      <c r="X16" s="1186" t="s">
        <v>55</v>
      </c>
      <c r="Y16" s="1186" t="s">
        <v>55</v>
      </c>
      <c r="Z16" s="1186"/>
      <c r="AA16" s="1186" t="s">
        <v>55</v>
      </c>
      <c r="AB16" s="1186" t="s">
        <v>55</v>
      </c>
      <c r="AC16" s="1186" t="s">
        <v>118</v>
      </c>
      <c r="AD16" s="1186" t="s">
        <v>55</v>
      </c>
      <c r="AE16" s="1186" t="s">
        <v>55</v>
      </c>
      <c r="AF16" s="1186" t="s">
        <v>55</v>
      </c>
      <c r="AG16" s="1186" t="s">
        <v>55</v>
      </c>
      <c r="AH16" s="1186" t="s">
        <v>55</v>
      </c>
      <c r="AI16" s="908" t="s">
        <v>55</v>
      </c>
      <c r="AJ16" s="633">
        <f t="shared" si="3"/>
        <v>25</v>
      </c>
      <c r="AK16" s="634">
        <f t="shared" si="4"/>
        <v>4</v>
      </c>
      <c r="AL16" s="633">
        <f t="shared" si="5"/>
        <v>0</v>
      </c>
      <c r="AM16" s="633">
        <f t="shared" si="6"/>
        <v>0</v>
      </c>
      <c r="AN16" s="633">
        <f t="shared" si="7"/>
        <v>0</v>
      </c>
      <c r="AO16" s="634">
        <f t="shared" si="9"/>
        <v>0</v>
      </c>
      <c r="AP16" s="635">
        <f t="shared" si="8"/>
        <v>29</v>
      </c>
      <c r="AQ16" s="535"/>
      <c r="AR16" s="174"/>
      <c r="AS16" s="172" t="str">
        <f>VLOOKUP(C17,'[1]NT 2'!$C$2:$J$259,8,0)</f>
        <v>03459</v>
      </c>
      <c r="AT16" s="575">
        <f t="shared" si="2"/>
        <v>0</v>
      </c>
    </row>
    <row r="17" spans="1:46" ht="24.75" customHeight="1">
      <c r="A17" s="1179">
        <v>5</v>
      </c>
      <c r="B17" s="1072">
        <v>5</v>
      </c>
      <c r="C17" s="135" t="s">
        <v>240</v>
      </c>
      <c r="D17" s="13" t="str">
        <f>VLOOKUP(C17,'[1]NT 2'!$C$2:$J$259,8,0)</f>
        <v>03459</v>
      </c>
      <c r="E17" s="1186" t="s">
        <v>55</v>
      </c>
      <c r="F17" s="1186"/>
      <c r="G17" s="1186" t="s">
        <v>55</v>
      </c>
      <c r="H17" s="1186" t="s">
        <v>118</v>
      </c>
      <c r="I17" s="1186"/>
      <c r="J17" s="1186"/>
      <c r="K17" s="1186"/>
      <c r="L17" s="1186" t="s">
        <v>55</v>
      </c>
      <c r="M17" s="1186" t="s">
        <v>55</v>
      </c>
      <c r="N17" s="1186" t="s">
        <v>55</v>
      </c>
      <c r="O17" s="1186" t="s">
        <v>118</v>
      </c>
      <c r="P17" s="1186" t="s">
        <v>55</v>
      </c>
      <c r="Q17" s="1186" t="s">
        <v>55</v>
      </c>
      <c r="R17" s="1186" t="s">
        <v>55</v>
      </c>
      <c r="S17" s="1186"/>
      <c r="T17" s="1186"/>
      <c r="U17" s="1186" t="s">
        <v>55</v>
      </c>
      <c r="V17" s="1186"/>
      <c r="W17" s="1186" t="s">
        <v>55</v>
      </c>
      <c r="X17" s="1186" t="s">
        <v>55</v>
      </c>
      <c r="Y17" s="1186" t="s">
        <v>55</v>
      </c>
      <c r="Z17" s="1186" t="s">
        <v>678</v>
      </c>
      <c r="AA17" s="1186" t="s">
        <v>55</v>
      </c>
      <c r="AB17" s="1186" t="s">
        <v>55</v>
      </c>
      <c r="AC17" s="1186" t="s">
        <v>118</v>
      </c>
      <c r="AD17" s="1186" t="s">
        <v>55</v>
      </c>
      <c r="AE17" s="1186" t="s">
        <v>55</v>
      </c>
      <c r="AF17" s="1186" t="s">
        <v>55</v>
      </c>
      <c r="AG17" s="1186" t="s">
        <v>55</v>
      </c>
      <c r="AH17" s="1186" t="s">
        <v>55</v>
      </c>
      <c r="AI17" s="908" t="s">
        <v>55</v>
      </c>
      <c r="AJ17" s="633">
        <f t="shared" si="3"/>
        <v>20</v>
      </c>
      <c r="AK17" s="634">
        <f t="shared" si="4"/>
        <v>3</v>
      </c>
      <c r="AL17" s="633">
        <f t="shared" si="5"/>
        <v>0</v>
      </c>
      <c r="AM17" s="633">
        <f t="shared" si="6"/>
        <v>0</v>
      </c>
      <c r="AN17" s="633">
        <f t="shared" si="7"/>
        <v>0</v>
      </c>
      <c r="AO17" s="634">
        <f t="shared" si="9"/>
        <v>0</v>
      </c>
      <c r="AP17" s="635">
        <f t="shared" si="8"/>
        <v>23</v>
      </c>
      <c r="AQ17" s="565"/>
      <c r="AR17" s="174"/>
      <c r="AS17" s="172" t="e">
        <f>VLOOKUP(C18,'[1]NT 2'!$C$2:$J$259,8,0)</f>
        <v>#N/A</v>
      </c>
      <c r="AT17" s="575" t="e">
        <f t="shared" si="2"/>
        <v>#N/A</v>
      </c>
    </row>
    <row r="18" spans="1:46" ht="24.75" customHeight="1">
      <c r="A18" s="1179">
        <v>6</v>
      </c>
      <c r="B18" s="1072">
        <v>6</v>
      </c>
      <c r="C18" s="499" t="s">
        <v>603</v>
      </c>
      <c r="D18" s="13" t="e">
        <f>VLOOKUP(C18,'[1]NT 2'!$C$2:$J$259,8,0)</f>
        <v>#N/A</v>
      </c>
      <c r="E18" s="1186" t="s">
        <v>55</v>
      </c>
      <c r="F18" s="1186" t="s">
        <v>55</v>
      </c>
      <c r="G18" s="1186"/>
      <c r="H18" s="1186"/>
      <c r="I18" s="1186" t="s">
        <v>55</v>
      </c>
      <c r="J18" s="1186"/>
      <c r="K18" s="1186"/>
      <c r="L18" s="1186"/>
      <c r="M18" s="1186" t="s">
        <v>55</v>
      </c>
      <c r="N18" s="1186" t="s">
        <v>55</v>
      </c>
      <c r="O18" s="1186" t="s">
        <v>118</v>
      </c>
      <c r="P18" s="1186" t="s">
        <v>55</v>
      </c>
      <c r="Q18" s="1186" t="s">
        <v>55</v>
      </c>
      <c r="R18" s="1186"/>
      <c r="S18" s="1186" t="s">
        <v>55</v>
      </c>
      <c r="T18" s="1186" t="s">
        <v>55</v>
      </c>
      <c r="U18" s="1186" t="s">
        <v>55</v>
      </c>
      <c r="V18" s="1186" t="s">
        <v>118</v>
      </c>
      <c r="W18" s="1186" t="s">
        <v>55</v>
      </c>
      <c r="X18" s="1186" t="s">
        <v>55</v>
      </c>
      <c r="Y18" s="1186" t="s">
        <v>55</v>
      </c>
      <c r="Z18" s="1186" t="s">
        <v>55</v>
      </c>
      <c r="AA18" s="1186" t="s">
        <v>55</v>
      </c>
      <c r="AB18" s="1186" t="s">
        <v>55</v>
      </c>
      <c r="AC18" s="1186" t="s">
        <v>118</v>
      </c>
      <c r="AD18" s="1186" t="s">
        <v>55</v>
      </c>
      <c r="AE18" s="1186" t="s">
        <v>55</v>
      </c>
      <c r="AF18" s="1186" t="s">
        <v>55</v>
      </c>
      <c r="AG18" s="1186" t="s">
        <v>55</v>
      </c>
      <c r="AH18" s="1186" t="s">
        <v>55</v>
      </c>
      <c r="AI18" s="908" t="s">
        <v>55</v>
      </c>
      <c r="AJ18" s="633">
        <f t="shared" si="3"/>
        <v>22</v>
      </c>
      <c r="AK18" s="634">
        <f t="shared" si="4"/>
        <v>3</v>
      </c>
      <c r="AL18" s="633">
        <f t="shared" si="5"/>
        <v>0</v>
      </c>
      <c r="AM18" s="633">
        <f t="shared" si="6"/>
        <v>0</v>
      </c>
      <c r="AN18" s="633">
        <f t="shared" si="7"/>
        <v>0</v>
      </c>
      <c r="AO18" s="634">
        <f t="shared" si="9"/>
        <v>0</v>
      </c>
      <c r="AP18" s="635">
        <f t="shared" si="8"/>
        <v>25</v>
      </c>
      <c r="AQ18" s="566"/>
      <c r="AR18" s="174"/>
      <c r="AS18" s="172" t="e">
        <f>VLOOKUP(C19,'[1]NT 2'!$C$2:$J$259,8,0)</f>
        <v>#N/A</v>
      </c>
      <c r="AT18" s="575" t="e">
        <f t="shared" si="2"/>
        <v>#N/A</v>
      </c>
    </row>
    <row r="19" spans="1:46" ht="24.75" customHeight="1">
      <c r="A19" s="1179">
        <v>7</v>
      </c>
      <c r="B19" s="1072">
        <v>7</v>
      </c>
      <c r="C19" s="759" t="s">
        <v>604</v>
      </c>
      <c r="D19" s="13" t="e">
        <f>VLOOKUP(C19,'[1]NT 2'!$C$2:$J$259,8,0)</f>
        <v>#N/A</v>
      </c>
      <c r="E19" s="1186" t="s">
        <v>55</v>
      </c>
      <c r="F19" s="1186" t="s">
        <v>55</v>
      </c>
      <c r="G19" s="1186" t="s">
        <v>55</v>
      </c>
      <c r="H19" s="1186" t="s">
        <v>118</v>
      </c>
      <c r="I19" s="1186" t="s">
        <v>55</v>
      </c>
      <c r="J19" s="1186" t="s">
        <v>55</v>
      </c>
      <c r="K19" s="1186" t="s">
        <v>55</v>
      </c>
      <c r="L19" s="1186" t="s">
        <v>55</v>
      </c>
      <c r="M19" s="1186" t="s">
        <v>55</v>
      </c>
      <c r="N19" s="1186" t="s">
        <v>55</v>
      </c>
      <c r="O19" s="1186" t="s">
        <v>118</v>
      </c>
      <c r="P19" s="1186" t="s">
        <v>55</v>
      </c>
      <c r="Q19" s="1186" t="s">
        <v>55</v>
      </c>
      <c r="R19" s="1186" t="s">
        <v>55</v>
      </c>
      <c r="S19" s="1186" t="s">
        <v>55</v>
      </c>
      <c r="T19" s="1186" t="s">
        <v>55</v>
      </c>
      <c r="U19" s="1186" t="s">
        <v>55</v>
      </c>
      <c r="V19" s="1186" t="s">
        <v>118</v>
      </c>
      <c r="W19" s="1186" t="s">
        <v>55</v>
      </c>
      <c r="X19" s="1186" t="s">
        <v>55</v>
      </c>
      <c r="Y19" s="1186" t="s">
        <v>55</v>
      </c>
      <c r="Z19" s="1186" t="s">
        <v>55</v>
      </c>
      <c r="AA19" s="1186" t="s">
        <v>55</v>
      </c>
      <c r="AB19" s="1186" t="s">
        <v>55</v>
      </c>
      <c r="AC19" s="1186" t="s">
        <v>118</v>
      </c>
      <c r="AD19" s="1186" t="s">
        <v>55</v>
      </c>
      <c r="AE19" s="1186" t="s">
        <v>55</v>
      </c>
      <c r="AF19" s="1186" t="s">
        <v>55</v>
      </c>
      <c r="AG19" s="1186" t="s">
        <v>55</v>
      </c>
      <c r="AH19" s="1186" t="s">
        <v>55</v>
      </c>
      <c r="AI19" s="908" t="s">
        <v>55</v>
      </c>
      <c r="AJ19" s="633">
        <f t="shared" si="3"/>
        <v>27</v>
      </c>
      <c r="AK19" s="634">
        <f t="shared" si="4"/>
        <v>4</v>
      </c>
      <c r="AL19" s="633">
        <f t="shared" si="5"/>
        <v>0</v>
      </c>
      <c r="AM19" s="633">
        <f t="shared" si="6"/>
        <v>0</v>
      </c>
      <c r="AN19" s="633">
        <f t="shared" si="7"/>
        <v>0</v>
      </c>
      <c r="AO19" s="634">
        <f t="shared" si="9"/>
        <v>0</v>
      </c>
      <c r="AP19" s="635">
        <f t="shared" si="8"/>
        <v>31</v>
      </c>
      <c r="AQ19" s="535"/>
      <c r="AR19" s="174"/>
      <c r="AS19" s="172" t="str">
        <f>VLOOKUP(C20,'[1]NT 2'!$C$2:$J$259,8,0)</f>
        <v>03462</v>
      </c>
      <c r="AT19" s="575">
        <f t="shared" si="2"/>
        <v>0</v>
      </c>
    </row>
    <row r="20" spans="1:46" ht="24.75" customHeight="1">
      <c r="A20" s="1179">
        <v>8</v>
      </c>
      <c r="B20" s="1072">
        <v>8</v>
      </c>
      <c r="C20" s="135" t="s">
        <v>327</v>
      </c>
      <c r="D20" s="13" t="str">
        <f>VLOOKUP(C20,'[1]NT 2'!$C$2:$J$259,8,0)</f>
        <v>03462</v>
      </c>
      <c r="E20" s="1186" t="s">
        <v>55</v>
      </c>
      <c r="F20" s="1186" t="s">
        <v>55</v>
      </c>
      <c r="G20" s="1186" t="s">
        <v>55</v>
      </c>
      <c r="H20" s="1186" t="s">
        <v>118</v>
      </c>
      <c r="I20" s="1186" t="s">
        <v>55</v>
      </c>
      <c r="J20" s="1186" t="s">
        <v>55</v>
      </c>
      <c r="K20" s="1186" t="s">
        <v>55</v>
      </c>
      <c r="L20" s="1186" t="s">
        <v>55</v>
      </c>
      <c r="M20" s="1186" t="s">
        <v>55</v>
      </c>
      <c r="N20" s="1186" t="s">
        <v>55</v>
      </c>
      <c r="O20" s="1186" t="s">
        <v>118</v>
      </c>
      <c r="P20" s="1186" t="s">
        <v>55</v>
      </c>
      <c r="Q20" s="1186"/>
      <c r="R20" s="1186" t="s">
        <v>55</v>
      </c>
      <c r="S20" s="1186" t="s">
        <v>55</v>
      </c>
      <c r="T20" s="1186" t="s">
        <v>55</v>
      </c>
      <c r="U20" s="1186" t="s">
        <v>55</v>
      </c>
      <c r="V20" s="1186"/>
      <c r="W20" s="1186" t="s">
        <v>55</v>
      </c>
      <c r="X20" s="1186" t="s">
        <v>55</v>
      </c>
      <c r="Y20" s="1186" t="s">
        <v>55</v>
      </c>
      <c r="Z20" s="1186" t="s">
        <v>55</v>
      </c>
      <c r="AA20" s="1186" t="s">
        <v>55</v>
      </c>
      <c r="AB20" s="1186" t="s">
        <v>55</v>
      </c>
      <c r="AC20" s="1186" t="s">
        <v>118</v>
      </c>
      <c r="AD20" s="1186" t="s">
        <v>55</v>
      </c>
      <c r="AE20" s="1186" t="s">
        <v>55</v>
      </c>
      <c r="AF20" s="1186" t="s">
        <v>55</v>
      </c>
      <c r="AG20" s="1186" t="s">
        <v>55</v>
      </c>
      <c r="AH20" s="1186" t="s">
        <v>55</v>
      </c>
      <c r="AI20" s="908" t="s">
        <v>55</v>
      </c>
      <c r="AJ20" s="633">
        <f t="shared" si="3"/>
        <v>26</v>
      </c>
      <c r="AK20" s="634">
        <f t="shared" si="4"/>
        <v>3</v>
      </c>
      <c r="AL20" s="633">
        <f t="shared" si="5"/>
        <v>0</v>
      </c>
      <c r="AM20" s="633">
        <f t="shared" si="6"/>
        <v>0</v>
      </c>
      <c r="AN20" s="633">
        <f t="shared" si="7"/>
        <v>0</v>
      </c>
      <c r="AO20" s="634">
        <f t="shared" si="9"/>
        <v>0</v>
      </c>
      <c r="AP20" s="635">
        <f t="shared" si="8"/>
        <v>29</v>
      </c>
      <c r="AQ20" s="535"/>
      <c r="AR20" s="174"/>
      <c r="AS20" s="172" t="str">
        <f>VLOOKUP(C21,'[1]NT 2'!$C$2:$J$259,8,0)</f>
        <v>03463</v>
      </c>
      <c r="AT20" s="575">
        <f t="shared" si="2"/>
        <v>0</v>
      </c>
    </row>
    <row r="21" spans="1:46" ht="24.75" customHeight="1">
      <c r="A21" s="1179">
        <v>9</v>
      </c>
      <c r="B21" s="1072">
        <v>9</v>
      </c>
      <c r="C21" s="499" t="s">
        <v>242</v>
      </c>
      <c r="D21" s="13" t="str">
        <f>VLOOKUP(C21,'[1]NT 2'!$C$2:$J$259,8,0)</f>
        <v>03463</v>
      </c>
      <c r="E21" s="1186" t="s">
        <v>55</v>
      </c>
      <c r="F21" s="1186" t="s">
        <v>55</v>
      </c>
      <c r="G21" s="1186" t="s">
        <v>55</v>
      </c>
      <c r="H21" s="1186"/>
      <c r="I21" s="1186" t="s">
        <v>55</v>
      </c>
      <c r="J21" s="1186" t="s">
        <v>55</v>
      </c>
      <c r="K21" s="1186" t="s">
        <v>55</v>
      </c>
      <c r="L21" s="1186" t="s">
        <v>55</v>
      </c>
      <c r="M21" s="1186" t="s">
        <v>55</v>
      </c>
      <c r="N21" s="1186" t="s">
        <v>55</v>
      </c>
      <c r="O21" s="1186" t="s">
        <v>118</v>
      </c>
      <c r="P21" s="1186" t="s">
        <v>55</v>
      </c>
      <c r="Q21" s="1186" t="s">
        <v>55</v>
      </c>
      <c r="R21" s="1186" t="s">
        <v>55</v>
      </c>
      <c r="S21" s="1186" t="s">
        <v>55</v>
      </c>
      <c r="T21" s="1186" t="s">
        <v>55</v>
      </c>
      <c r="U21" s="1186" t="s">
        <v>55</v>
      </c>
      <c r="V21" s="1186" t="s">
        <v>118</v>
      </c>
      <c r="W21" s="1186" t="s">
        <v>55</v>
      </c>
      <c r="X21" s="1186" t="s">
        <v>55</v>
      </c>
      <c r="Y21" s="1186" t="s">
        <v>55</v>
      </c>
      <c r="Z21" s="1186" t="s">
        <v>55</v>
      </c>
      <c r="AA21" s="1186" t="s">
        <v>55</v>
      </c>
      <c r="AB21" s="1186" t="s">
        <v>55</v>
      </c>
      <c r="AC21" s="1186" t="s">
        <v>118</v>
      </c>
      <c r="AD21" s="1186" t="s">
        <v>55</v>
      </c>
      <c r="AE21" s="1186" t="s">
        <v>55</v>
      </c>
      <c r="AF21" s="1186" t="s">
        <v>55</v>
      </c>
      <c r="AG21" s="1186" t="s">
        <v>55</v>
      </c>
      <c r="AH21" s="1186" t="s">
        <v>55</v>
      </c>
      <c r="AI21" s="908" t="s">
        <v>55</v>
      </c>
      <c r="AJ21" s="633">
        <f t="shared" si="3"/>
        <v>27</v>
      </c>
      <c r="AK21" s="634">
        <f t="shared" si="4"/>
        <v>3</v>
      </c>
      <c r="AL21" s="633">
        <f t="shared" si="5"/>
        <v>0</v>
      </c>
      <c r="AM21" s="633">
        <f t="shared" si="6"/>
        <v>0</v>
      </c>
      <c r="AN21" s="633">
        <f t="shared" si="7"/>
        <v>0</v>
      </c>
      <c r="AO21" s="634">
        <f t="shared" si="9"/>
        <v>0</v>
      </c>
      <c r="AP21" s="635">
        <f t="shared" si="8"/>
        <v>30</v>
      </c>
      <c r="AQ21" s="535"/>
      <c r="AR21" s="174"/>
      <c r="AS21" s="172" t="str">
        <f>VLOOKUP(C22,'[1]NT 2'!$C$2:$J$259,8,0)</f>
        <v>03464</v>
      </c>
      <c r="AT21" s="575">
        <f t="shared" si="2"/>
        <v>0</v>
      </c>
    </row>
    <row r="22" spans="1:46" ht="24.75" customHeight="1">
      <c r="A22" s="1179">
        <v>10</v>
      </c>
      <c r="B22" s="1072">
        <v>10</v>
      </c>
      <c r="C22" s="499" t="s">
        <v>241</v>
      </c>
      <c r="D22" s="13" t="str">
        <f>VLOOKUP(C22,'[1]NT 2'!$C$2:$J$259,8,0)</f>
        <v>03464</v>
      </c>
      <c r="E22" s="1186" t="s">
        <v>55</v>
      </c>
      <c r="F22" s="1186" t="s">
        <v>55</v>
      </c>
      <c r="G22" s="1186" t="s">
        <v>55</v>
      </c>
      <c r="H22" s="1186"/>
      <c r="I22" s="1186" t="s">
        <v>55</v>
      </c>
      <c r="J22" s="1186" t="s">
        <v>55</v>
      </c>
      <c r="K22" s="1186" t="s">
        <v>55</v>
      </c>
      <c r="L22" s="1186" t="s">
        <v>55</v>
      </c>
      <c r="M22" s="1186" t="s">
        <v>55</v>
      </c>
      <c r="N22" s="1186" t="s">
        <v>55</v>
      </c>
      <c r="O22" s="1186" t="s">
        <v>118</v>
      </c>
      <c r="P22" s="1186" t="s">
        <v>55</v>
      </c>
      <c r="Q22" s="1186" t="s">
        <v>55</v>
      </c>
      <c r="R22" s="1186" t="s">
        <v>55</v>
      </c>
      <c r="S22" s="1186" t="s">
        <v>55</v>
      </c>
      <c r="T22" s="1186" t="s">
        <v>55</v>
      </c>
      <c r="U22" s="1186" t="s">
        <v>55</v>
      </c>
      <c r="V22" s="1186" t="s">
        <v>118</v>
      </c>
      <c r="W22" s="1186" t="s">
        <v>55</v>
      </c>
      <c r="X22" s="1186" t="s">
        <v>55</v>
      </c>
      <c r="Y22" s="1186" t="s">
        <v>55</v>
      </c>
      <c r="Z22" s="1186" t="s">
        <v>55</v>
      </c>
      <c r="AA22" s="1186" t="s">
        <v>55</v>
      </c>
      <c r="AB22" s="1186" t="s">
        <v>55</v>
      </c>
      <c r="AC22" s="1186" t="s">
        <v>118</v>
      </c>
      <c r="AD22" s="1186" t="s">
        <v>55</v>
      </c>
      <c r="AE22" s="1186" t="s">
        <v>55</v>
      </c>
      <c r="AF22" s="1186" t="s">
        <v>55</v>
      </c>
      <c r="AG22" s="1186" t="s">
        <v>55</v>
      </c>
      <c r="AH22" s="1186" t="s">
        <v>55</v>
      </c>
      <c r="AI22" s="908" t="s">
        <v>55</v>
      </c>
      <c r="AJ22" s="633">
        <f t="shared" si="3"/>
        <v>27</v>
      </c>
      <c r="AK22" s="634">
        <f t="shared" si="4"/>
        <v>3</v>
      </c>
      <c r="AL22" s="633">
        <f t="shared" si="5"/>
        <v>0</v>
      </c>
      <c r="AM22" s="633">
        <f t="shared" si="6"/>
        <v>0</v>
      </c>
      <c r="AN22" s="633">
        <f t="shared" si="7"/>
        <v>0</v>
      </c>
      <c r="AO22" s="634">
        <f t="shared" si="9"/>
        <v>0</v>
      </c>
      <c r="AP22" s="635">
        <f t="shared" si="8"/>
        <v>30</v>
      </c>
      <c r="AQ22" s="535"/>
      <c r="AR22" s="174"/>
      <c r="AS22" s="172" t="str">
        <f>VLOOKUP(C23,'[1]NT 2'!$C$2:$J$259,8,0)</f>
        <v>03465</v>
      </c>
      <c r="AT22" s="575">
        <f t="shared" si="2"/>
        <v>0</v>
      </c>
    </row>
    <row r="23" spans="1:46" ht="24.75" customHeight="1">
      <c r="A23" s="1179">
        <v>11</v>
      </c>
      <c r="B23" s="1072">
        <v>11</v>
      </c>
      <c r="C23" s="499" t="s">
        <v>243</v>
      </c>
      <c r="D23" s="13" t="str">
        <f>VLOOKUP(C23,'[1]NT 2'!$C$2:$J$259,8,0)</f>
        <v>03465</v>
      </c>
      <c r="E23" s="1186"/>
      <c r="F23" s="1186" t="s">
        <v>55</v>
      </c>
      <c r="G23" s="1186"/>
      <c r="H23" s="1186" t="s">
        <v>118</v>
      </c>
      <c r="I23" s="1186" t="s">
        <v>55</v>
      </c>
      <c r="J23" s="1186" t="s">
        <v>55</v>
      </c>
      <c r="K23" s="1186"/>
      <c r="L23" s="1186" t="s">
        <v>55</v>
      </c>
      <c r="M23" s="1186" t="s">
        <v>55</v>
      </c>
      <c r="N23" s="1186" t="s">
        <v>55</v>
      </c>
      <c r="O23" s="1186" t="s">
        <v>118</v>
      </c>
      <c r="P23" s="1186" t="s">
        <v>55</v>
      </c>
      <c r="Q23" s="1186" t="s">
        <v>55</v>
      </c>
      <c r="R23" s="1186" t="s">
        <v>55</v>
      </c>
      <c r="S23" s="1186" t="s">
        <v>55</v>
      </c>
      <c r="T23" s="1186" t="s">
        <v>55</v>
      </c>
      <c r="U23" s="1186" t="s">
        <v>55</v>
      </c>
      <c r="V23" s="1186" t="s">
        <v>118</v>
      </c>
      <c r="W23" s="1186" t="s">
        <v>55</v>
      </c>
      <c r="X23" s="1186" t="s">
        <v>55</v>
      </c>
      <c r="Y23" s="1186" t="s">
        <v>55</v>
      </c>
      <c r="Z23" s="1186" t="s">
        <v>55</v>
      </c>
      <c r="AA23" s="1186" t="s">
        <v>55</v>
      </c>
      <c r="AB23" s="1186" t="s">
        <v>55</v>
      </c>
      <c r="AC23" s="1186" t="s">
        <v>118</v>
      </c>
      <c r="AD23" s="1186" t="s">
        <v>55</v>
      </c>
      <c r="AE23" s="1186" t="s">
        <v>55</v>
      </c>
      <c r="AF23" s="1186" t="s">
        <v>55</v>
      </c>
      <c r="AG23" s="1186" t="s">
        <v>55</v>
      </c>
      <c r="AH23" s="1186" t="s">
        <v>55</v>
      </c>
      <c r="AI23" s="908" t="s">
        <v>678</v>
      </c>
      <c r="AJ23" s="633">
        <f t="shared" si="3"/>
        <v>23</v>
      </c>
      <c r="AK23" s="634">
        <f t="shared" si="4"/>
        <v>4</v>
      </c>
      <c r="AL23" s="633">
        <f t="shared" si="5"/>
        <v>0</v>
      </c>
      <c r="AM23" s="633">
        <f t="shared" si="6"/>
        <v>0</v>
      </c>
      <c r="AN23" s="633">
        <f t="shared" si="7"/>
        <v>0</v>
      </c>
      <c r="AO23" s="634">
        <f t="shared" si="9"/>
        <v>0</v>
      </c>
      <c r="AP23" s="635">
        <f t="shared" si="8"/>
        <v>27</v>
      </c>
      <c r="AQ23" s="535"/>
      <c r="AR23" s="174"/>
      <c r="AS23" s="172" t="str">
        <f>VLOOKUP(C24,'[1]NT 2'!$C$2:$J$259,8,0)</f>
        <v>03466</v>
      </c>
      <c r="AT23" s="575">
        <f t="shared" si="2"/>
        <v>0</v>
      </c>
    </row>
    <row r="24" spans="1:46" ht="24.75" customHeight="1">
      <c r="A24" s="1179">
        <v>12</v>
      </c>
      <c r="B24" s="1072">
        <v>12</v>
      </c>
      <c r="C24" s="135" t="s">
        <v>250</v>
      </c>
      <c r="D24" s="13" t="str">
        <f>VLOOKUP(C24,'[1]NT 2'!$C$2:$J$259,8,0)</f>
        <v>03466</v>
      </c>
      <c r="E24" s="1186" t="s">
        <v>55</v>
      </c>
      <c r="F24" s="1186" t="s">
        <v>55</v>
      </c>
      <c r="G24" s="1186"/>
      <c r="H24" s="1186" t="s">
        <v>118</v>
      </c>
      <c r="I24" s="1186" t="s">
        <v>55</v>
      </c>
      <c r="J24" s="1186" t="s">
        <v>55</v>
      </c>
      <c r="K24" s="1186" t="s">
        <v>55</v>
      </c>
      <c r="L24" s="1186" t="s">
        <v>55</v>
      </c>
      <c r="M24" s="1186" t="s">
        <v>55</v>
      </c>
      <c r="N24" s="1186" t="s">
        <v>55</v>
      </c>
      <c r="O24" s="1186" t="s">
        <v>118</v>
      </c>
      <c r="P24" s="1186" t="s">
        <v>55</v>
      </c>
      <c r="Q24" s="1186" t="s">
        <v>55</v>
      </c>
      <c r="R24" s="1186" t="s">
        <v>55</v>
      </c>
      <c r="S24" s="1186" t="s">
        <v>55</v>
      </c>
      <c r="T24" s="1186" t="s">
        <v>55</v>
      </c>
      <c r="U24" s="1186" t="s">
        <v>55</v>
      </c>
      <c r="V24" s="1186" t="s">
        <v>118</v>
      </c>
      <c r="W24" s="1186" t="s">
        <v>55</v>
      </c>
      <c r="X24" s="1186" t="s">
        <v>55</v>
      </c>
      <c r="Y24" s="1186" t="s">
        <v>55</v>
      </c>
      <c r="Z24" s="1186" t="s">
        <v>55</v>
      </c>
      <c r="AA24" s="1186" t="s">
        <v>55</v>
      </c>
      <c r="AB24" s="1186" t="s">
        <v>55</v>
      </c>
      <c r="AC24" s="1186" t="s">
        <v>118</v>
      </c>
      <c r="AD24" s="1186" t="s">
        <v>55</v>
      </c>
      <c r="AE24" s="1186" t="s">
        <v>55</v>
      </c>
      <c r="AF24" s="1186" t="s">
        <v>55</v>
      </c>
      <c r="AG24" s="1186" t="s">
        <v>55</v>
      </c>
      <c r="AH24" s="1186" t="s">
        <v>55</v>
      </c>
      <c r="AI24" s="908" t="s">
        <v>55</v>
      </c>
      <c r="AJ24" s="633">
        <f t="shared" si="3"/>
        <v>26</v>
      </c>
      <c r="AK24" s="634">
        <f t="shared" si="4"/>
        <v>4</v>
      </c>
      <c r="AL24" s="633">
        <f t="shared" si="5"/>
        <v>0</v>
      </c>
      <c r="AM24" s="633">
        <f t="shared" si="6"/>
        <v>0</v>
      </c>
      <c r="AN24" s="633">
        <f t="shared" si="7"/>
        <v>0</v>
      </c>
      <c r="AO24" s="634">
        <f t="shared" si="9"/>
        <v>0</v>
      </c>
      <c r="AP24" s="635">
        <f t="shared" si="8"/>
        <v>30</v>
      </c>
      <c r="AQ24" s="535"/>
      <c r="AR24" s="174"/>
      <c r="AS24" s="172" t="str">
        <f>VLOOKUP(C25,'[1]NT 2'!$C$2:$J$259,8,0)</f>
        <v>02727</v>
      </c>
      <c r="AT24" s="575">
        <f t="shared" si="2"/>
        <v>0</v>
      </c>
    </row>
    <row r="25" spans="1:46" ht="24.75" customHeight="1">
      <c r="A25" s="1179">
        <v>13</v>
      </c>
      <c r="B25" s="1072">
        <v>13</v>
      </c>
      <c r="C25" s="759" t="s">
        <v>231</v>
      </c>
      <c r="D25" s="13" t="str">
        <f>VLOOKUP(C25,'[1]NT 2'!$C$2:$J$259,8,0)</f>
        <v>02727</v>
      </c>
      <c r="E25" s="1186" t="s">
        <v>55</v>
      </c>
      <c r="F25" s="1186"/>
      <c r="G25" s="1186"/>
      <c r="H25" s="1186"/>
      <c r="I25" s="1186" t="s">
        <v>55</v>
      </c>
      <c r="J25" s="1186" t="s">
        <v>55</v>
      </c>
      <c r="K25" s="1186" t="s">
        <v>55</v>
      </c>
      <c r="L25" s="1186" t="s">
        <v>55</v>
      </c>
      <c r="M25" s="1186" t="s">
        <v>55</v>
      </c>
      <c r="N25" s="1186" t="s">
        <v>55</v>
      </c>
      <c r="O25" s="1186" t="s">
        <v>118</v>
      </c>
      <c r="P25" s="1186" t="s">
        <v>55</v>
      </c>
      <c r="Q25" s="1186" t="s">
        <v>55</v>
      </c>
      <c r="R25" s="1186" t="s">
        <v>55</v>
      </c>
      <c r="S25" s="1186" t="s">
        <v>55</v>
      </c>
      <c r="T25" s="1186" t="s">
        <v>55</v>
      </c>
      <c r="U25" s="1186" t="s">
        <v>55</v>
      </c>
      <c r="V25" s="1186" t="s">
        <v>118</v>
      </c>
      <c r="W25" s="1186" t="s">
        <v>55</v>
      </c>
      <c r="X25" s="1186" t="s">
        <v>55</v>
      </c>
      <c r="Y25" s="1186" t="s">
        <v>55</v>
      </c>
      <c r="Z25" s="1186" t="s">
        <v>55</v>
      </c>
      <c r="AA25" s="1186" t="s">
        <v>55</v>
      </c>
      <c r="AB25" s="1186" t="s">
        <v>678</v>
      </c>
      <c r="AC25" s="1186" t="s">
        <v>118</v>
      </c>
      <c r="AD25" s="1186" t="s">
        <v>55</v>
      </c>
      <c r="AE25" s="1186" t="s">
        <v>55</v>
      </c>
      <c r="AF25" s="1186" t="s">
        <v>55</v>
      </c>
      <c r="AG25" s="1186" t="s">
        <v>55</v>
      </c>
      <c r="AH25" s="1186" t="s">
        <v>55</v>
      </c>
      <c r="AI25" s="908" t="s">
        <v>55</v>
      </c>
      <c r="AJ25" s="633">
        <f t="shared" si="3"/>
        <v>24</v>
      </c>
      <c r="AK25" s="634">
        <f t="shared" si="4"/>
        <v>3</v>
      </c>
      <c r="AL25" s="633">
        <f t="shared" si="5"/>
        <v>0</v>
      </c>
      <c r="AM25" s="633">
        <f t="shared" si="6"/>
        <v>0</v>
      </c>
      <c r="AN25" s="633">
        <f t="shared" si="7"/>
        <v>0</v>
      </c>
      <c r="AO25" s="634">
        <f t="shared" si="9"/>
        <v>0</v>
      </c>
      <c r="AP25" s="635">
        <f t="shared" si="8"/>
        <v>27</v>
      </c>
      <c r="AQ25" s="535"/>
      <c r="AR25" s="174"/>
      <c r="AS25" s="172" t="str">
        <f>VLOOKUP(C26,'[1]NT 2'!$C$2:$J$259,8,0)</f>
        <v>03467</v>
      </c>
      <c r="AT25" s="575">
        <f t="shared" si="2"/>
        <v>0</v>
      </c>
    </row>
    <row r="26" spans="1:46" ht="24.75" customHeight="1">
      <c r="A26" s="1179">
        <v>14</v>
      </c>
      <c r="B26" s="1072">
        <v>14</v>
      </c>
      <c r="C26" s="881" t="s">
        <v>220</v>
      </c>
      <c r="D26" s="13" t="str">
        <f>VLOOKUP(C26,'[1]NT 2'!$C$2:$J$259,8,0)</f>
        <v>03467</v>
      </c>
      <c r="E26" s="1186" t="s">
        <v>55</v>
      </c>
      <c r="F26" s="1186" t="s">
        <v>55</v>
      </c>
      <c r="G26" s="1186" t="s">
        <v>55</v>
      </c>
      <c r="H26" s="1186" t="s">
        <v>118</v>
      </c>
      <c r="I26" s="1186" t="s">
        <v>55</v>
      </c>
      <c r="J26" s="1186" t="s">
        <v>55</v>
      </c>
      <c r="K26" s="1186" t="s">
        <v>55</v>
      </c>
      <c r="L26" s="1186" t="s">
        <v>55</v>
      </c>
      <c r="M26" s="1186" t="s">
        <v>55</v>
      </c>
      <c r="N26" s="1186" t="s">
        <v>55</v>
      </c>
      <c r="O26" s="1186" t="s">
        <v>118</v>
      </c>
      <c r="P26" s="1186" t="s">
        <v>55</v>
      </c>
      <c r="Q26" s="1186" t="s">
        <v>55</v>
      </c>
      <c r="R26" s="1186" t="s">
        <v>55</v>
      </c>
      <c r="S26" s="1186" t="s">
        <v>55</v>
      </c>
      <c r="T26" s="1186" t="s">
        <v>55</v>
      </c>
      <c r="U26" s="1186" t="s">
        <v>55</v>
      </c>
      <c r="V26" s="1186" t="s">
        <v>118</v>
      </c>
      <c r="W26" s="1186" t="s">
        <v>55</v>
      </c>
      <c r="X26" s="1186" t="s">
        <v>55</v>
      </c>
      <c r="Y26" s="1186" t="s">
        <v>55</v>
      </c>
      <c r="Z26" s="1186" t="s">
        <v>55</v>
      </c>
      <c r="AA26" s="1186" t="s">
        <v>55</v>
      </c>
      <c r="AB26" s="1186" t="s">
        <v>55</v>
      </c>
      <c r="AC26" s="1186" t="s">
        <v>118</v>
      </c>
      <c r="AD26" s="1186" t="s">
        <v>55</v>
      </c>
      <c r="AE26" s="1186" t="s">
        <v>55</v>
      </c>
      <c r="AF26" s="1186" t="s">
        <v>55</v>
      </c>
      <c r="AG26" s="1186" t="s">
        <v>55</v>
      </c>
      <c r="AH26" s="1186" t="s">
        <v>55</v>
      </c>
      <c r="AI26" s="908" t="s">
        <v>55</v>
      </c>
      <c r="AJ26" s="633">
        <f t="shared" si="3"/>
        <v>27</v>
      </c>
      <c r="AK26" s="634">
        <f t="shared" si="4"/>
        <v>4</v>
      </c>
      <c r="AL26" s="633">
        <f t="shared" si="5"/>
        <v>0</v>
      </c>
      <c r="AM26" s="633">
        <f t="shared" si="6"/>
        <v>0</v>
      </c>
      <c r="AN26" s="633">
        <f t="shared" si="7"/>
        <v>0</v>
      </c>
      <c r="AO26" s="634">
        <f t="shared" si="9"/>
        <v>0</v>
      </c>
      <c r="AP26" s="635">
        <f t="shared" si="8"/>
        <v>31</v>
      </c>
      <c r="AQ26" s="535"/>
      <c r="AR26" s="174"/>
      <c r="AS26" s="172" t="e">
        <f>VLOOKUP(C27,'[1]NT 2'!$C$2:$J$259,8,0)</f>
        <v>#N/A</v>
      </c>
      <c r="AT26" s="575" t="e">
        <f t="shared" si="2"/>
        <v>#N/A</v>
      </c>
    </row>
    <row r="27" spans="1:46" ht="24.75" customHeight="1">
      <c r="A27" s="1179">
        <v>15</v>
      </c>
      <c r="B27" s="1072">
        <v>15</v>
      </c>
      <c r="C27" s="499" t="s">
        <v>605</v>
      </c>
      <c r="D27" s="13" t="e">
        <f>VLOOKUP(C27,'[1]NT 2'!$C$2:$J$259,8,0)</f>
        <v>#N/A</v>
      </c>
      <c r="E27" s="1186" t="s">
        <v>55</v>
      </c>
      <c r="F27" s="1186" t="s">
        <v>55</v>
      </c>
      <c r="G27" s="1186" t="s">
        <v>55</v>
      </c>
      <c r="H27" s="1186" t="s">
        <v>118</v>
      </c>
      <c r="I27" s="1186" t="s">
        <v>55</v>
      </c>
      <c r="J27" s="1186" t="s">
        <v>55</v>
      </c>
      <c r="K27" s="1186" t="s">
        <v>55</v>
      </c>
      <c r="L27" s="1186" t="s">
        <v>55</v>
      </c>
      <c r="M27" s="1186" t="s">
        <v>55</v>
      </c>
      <c r="N27" s="1186" t="s">
        <v>55</v>
      </c>
      <c r="O27" s="1186" t="s">
        <v>118</v>
      </c>
      <c r="P27" s="1186" t="s">
        <v>55</v>
      </c>
      <c r="Q27" s="1186" t="s">
        <v>55</v>
      </c>
      <c r="R27" s="1186" t="s">
        <v>55</v>
      </c>
      <c r="S27" s="1186" t="s">
        <v>55</v>
      </c>
      <c r="T27" s="1186" t="s">
        <v>55</v>
      </c>
      <c r="U27" s="1186" t="s">
        <v>55</v>
      </c>
      <c r="V27" s="1186" t="s">
        <v>118</v>
      </c>
      <c r="W27" s="1186" t="s">
        <v>55</v>
      </c>
      <c r="X27" s="1186" t="s">
        <v>55</v>
      </c>
      <c r="Y27" s="1186" t="s">
        <v>55</v>
      </c>
      <c r="Z27" s="1186" t="s">
        <v>55</v>
      </c>
      <c r="AA27" s="1186" t="s">
        <v>55</v>
      </c>
      <c r="AB27" s="1186" t="s">
        <v>55</v>
      </c>
      <c r="AC27" s="1186" t="s">
        <v>118</v>
      </c>
      <c r="AD27" s="1186" t="s">
        <v>55</v>
      </c>
      <c r="AE27" s="1186" t="s">
        <v>55</v>
      </c>
      <c r="AF27" s="1186" t="s">
        <v>55</v>
      </c>
      <c r="AG27" s="1186" t="s">
        <v>55</v>
      </c>
      <c r="AH27" s="1186" t="s">
        <v>55</v>
      </c>
      <c r="AI27" s="908" t="s">
        <v>55</v>
      </c>
      <c r="AJ27" s="633">
        <f t="shared" si="3"/>
        <v>27</v>
      </c>
      <c r="AK27" s="634">
        <f t="shared" si="4"/>
        <v>4</v>
      </c>
      <c r="AL27" s="633">
        <f t="shared" si="5"/>
        <v>0</v>
      </c>
      <c r="AM27" s="633">
        <f t="shared" si="6"/>
        <v>0</v>
      </c>
      <c r="AN27" s="633">
        <f t="shared" si="7"/>
        <v>0</v>
      </c>
      <c r="AO27" s="634">
        <f t="shared" si="9"/>
        <v>0</v>
      </c>
      <c r="AP27" s="635">
        <f t="shared" si="8"/>
        <v>31</v>
      </c>
      <c r="AQ27" s="535"/>
      <c r="AR27" s="174"/>
      <c r="AS27" s="172" t="str">
        <f>VLOOKUP(C28,'[1]NT 2'!$C$2:$J$259,8,0)</f>
        <v>03469</v>
      </c>
      <c r="AT27" s="575">
        <f t="shared" si="2"/>
        <v>0</v>
      </c>
    </row>
    <row r="28" spans="1:46" ht="24.75" customHeight="1">
      <c r="A28" s="1179">
        <v>16</v>
      </c>
      <c r="B28" s="1072">
        <v>16</v>
      </c>
      <c r="C28" s="499" t="s">
        <v>221</v>
      </c>
      <c r="D28" s="13" t="str">
        <f>VLOOKUP(C28,'[1]NT 2'!$C$2:$J$259,8,0)</f>
        <v>03469</v>
      </c>
      <c r="E28" s="1186" t="s">
        <v>55</v>
      </c>
      <c r="F28" s="1186" t="s">
        <v>55</v>
      </c>
      <c r="G28" s="1186"/>
      <c r="H28" s="1186" t="s">
        <v>118</v>
      </c>
      <c r="I28" s="1186" t="s">
        <v>55</v>
      </c>
      <c r="J28" s="1186" t="s">
        <v>55</v>
      </c>
      <c r="K28" s="1186" t="s">
        <v>55</v>
      </c>
      <c r="L28" s="1186" t="s">
        <v>55</v>
      </c>
      <c r="M28" s="1186" t="s">
        <v>55</v>
      </c>
      <c r="N28" s="1186" t="s">
        <v>55</v>
      </c>
      <c r="O28" s="1186" t="s">
        <v>118</v>
      </c>
      <c r="P28" s="1186" t="s">
        <v>55</v>
      </c>
      <c r="Q28" s="1186" t="s">
        <v>55</v>
      </c>
      <c r="R28" s="1186" t="s">
        <v>55</v>
      </c>
      <c r="S28" s="1186" t="s">
        <v>55</v>
      </c>
      <c r="T28" s="1186" t="s">
        <v>55</v>
      </c>
      <c r="U28" s="1186" t="s">
        <v>55</v>
      </c>
      <c r="V28" s="1186" t="s">
        <v>118</v>
      </c>
      <c r="W28" s="1186" t="s">
        <v>55</v>
      </c>
      <c r="X28" s="1186" t="s">
        <v>55</v>
      </c>
      <c r="Y28" s="1186" t="s">
        <v>55</v>
      </c>
      <c r="Z28" s="1186" t="s">
        <v>55</v>
      </c>
      <c r="AA28" s="1186" t="s">
        <v>55</v>
      </c>
      <c r="AB28" s="1186" t="s">
        <v>55</v>
      </c>
      <c r="AC28" s="1186" t="s">
        <v>118</v>
      </c>
      <c r="AD28" s="1186" t="s">
        <v>55</v>
      </c>
      <c r="AE28" s="1186" t="s">
        <v>55</v>
      </c>
      <c r="AF28" s="1186" t="s">
        <v>55</v>
      </c>
      <c r="AG28" s="1186" t="s">
        <v>55</v>
      </c>
      <c r="AH28" s="1186" t="s">
        <v>55</v>
      </c>
      <c r="AI28" s="908" t="s">
        <v>55</v>
      </c>
      <c r="AJ28" s="633">
        <f t="shared" si="3"/>
        <v>26</v>
      </c>
      <c r="AK28" s="634">
        <f t="shared" si="4"/>
        <v>4</v>
      </c>
      <c r="AL28" s="633">
        <f t="shared" si="5"/>
        <v>0</v>
      </c>
      <c r="AM28" s="633">
        <f t="shared" si="6"/>
        <v>0</v>
      </c>
      <c r="AN28" s="633">
        <f t="shared" si="7"/>
        <v>0</v>
      </c>
      <c r="AO28" s="634">
        <f t="shared" si="9"/>
        <v>0</v>
      </c>
      <c r="AP28" s="635">
        <f t="shared" si="8"/>
        <v>30</v>
      </c>
      <c r="AQ28" s="535"/>
      <c r="AR28" s="174"/>
      <c r="AS28" s="172" t="str">
        <f>VLOOKUP(C29,'[1]NT 2'!$C$2:$J$259,8,0)</f>
        <v>03470</v>
      </c>
      <c r="AT28" s="575">
        <f t="shared" si="2"/>
        <v>0</v>
      </c>
    </row>
    <row r="29" spans="1:46" ht="24.75" customHeight="1">
      <c r="A29" s="1179">
        <v>17</v>
      </c>
      <c r="B29" s="1072">
        <v>17</v>
      </c>
      <c r="C29" s="276" t="s">
        <v>222</v>
      </c>
      <c r="D29" s="13" t="str">
        <f>VLOOKUP(C29,'[1]NT 2'!$C$2:$J$259,8,0)</f>
        <v>03470</v>
      </c>
      <c r="E29" s="1186" t="s">
        <v>55</v>
      </c>
      <c r="F29" s="1186"/>
      <c r="G29" s="1186" t="s">
        <v>55</v>
      </c>
      <c r="H29" s="1186" t="s">
        <v>118</v>
      </c>
      <c r="I29" s="1186"/>
      <c r="J29" s="1186"/>
      <c r="K29" s="1186"/>
      <c r="L29" s="1186" t="s">
        <v>55</v>
      </c>
      <c r="M29" s="1186" t="s">
        <v>55</v>
      </c>
      <c r="N29" s="1186" t="s">
        <v>55</v>
      </c>
      <c r="O29" s="1186" t="s">
        <v>118</v>
      </c>
      <c r="P29" s="1186" t="s">
        <v>55</v>
      </c>
      <c r="Q29" s="1186" t="s">
        <v>55</v>
      </c>
      <c r="R29" s="1186" t="s">
        <v>55</v>
      </c>
      <c r="S29" s="1186" t="s">
        <v>55</v>
      </c>
      <c r="T29" s="1186"/>
      <c r="U29" s="1186" t="s">
        <v>678</v>
      </c>
      <c r="V29" s="1186"/>
      <c r="W29" s="1186" t="s">
        <v>55</v>
      </c>
      <c r="X29" s="1186" t="s">
        <v>55</v>
      </c>
      <c r="Y29" s="1186" t="s">
        <v>55</v>
      </c>
      <c r="Z29" s="1186" t="s">
        <v>678</v>
      </c>
      <c r="AA29" s="1186" t="s">
        <v>55</v>
      </c>
      <c r="AB29" s="1186" t="s">
        <v>55</v>
      </c>
      <c r="AC29" s="1186" t="s">
        <v>118</v>
      </c>
      <c r="AD29" s="1186" t="s">
        <v>55</v>
      </c>
      <c r="AE29" s="1186" t="s">
        <v>55</v>
      </c>
      <c r="AF29" s="1186" t="s">
        <v>55</v>
      </c>
      <c r="AG29" s="1186" t="s">
        <v>55</v>
      </c>
      <c r="AH29" s="1186" t="s">
        <v>55</v>
      </c>
      <c r="AI29" s="908" t="s">
        <v>55</v>
      </c>
      <c r="AJ29" s="633">
        <f t="shared" si="3"/>
        <v>20</v>
      </c>
      <c r="AK29" s="634">
        <f t="shared" si="4"/>
        <v>3</v>
      </c>
      <c r="AL29" s="633">
        <f t="shared" si="5"/>
        <v>0</v>
      </c>
      <c r="AM29" s="633">
        <f t="shared" si="6"/>
        <v>0</v>
      </c>
      <c r="AN29" s="633">
        <f t="shared" si="7"/>
        <v>0</v>
      </c>
      <c r="AO29" s="634">
        <f t="shared" si="9"/>
        <v>0</v>
      </c>
      <c r="AP29" s="635">
        <f t="shared" si="8"/>
        <v>23</v>
      </c>
      <c r="AQ29" s="535"/>
      <c r="AR29" s="174"/>
      <c r="AS29" s="172" t="str">
        <f>VLOOKUP(C30,'[1]NT 2'!$C$2:$J$259,8,0)</f>
        <v>03471</v>
      </c>
      <c r="AT29" s="575">
        <f t="shared" si="2"/>
        <v>0</v>
      </c>
    </row>
    <row r="30" spans="1:46" ht="24.75" customHeight="1">
      <c r="A30" s="1179">
        <v>18</v>
      </c>
      <c r="B30" s="1072">
        <v>18</v>
      </c>
      <c r="C30" s="759" t="s">
        <v>202</v>
      </c>
      <c r="D30" s="13" t="str">
        <f>VLOOKUP(C30,'[1]NT 2'!$C$2:$J$259,8,0)</f>
        <v>03471</v>
      </c>
      <c r="E30" s="1186" t="s">
        <v>55</v>
      </c>
      <c r="F30" s="1186" t="s">
        <v>55</v>
      </c>
      <c r="G30" s="1186" t="s">
        <v>55</v>
      </c>
      <c r="H30" s="1186" t="s">
        <v>118</v>
      </c>
      <c r="I30" s="1186" t="s">
        <v>55</v>
      </c>
      <c r="J30" s="1186" t="s">
        <v>55</v>
      </c>
      <c r="K30" s="1186" t="s">
        <v>55</v>
      </c>
      <c r="L30" s="1186" t="s">
        <v>55</v>
      </c>
      <c r="M30" s="1186" t="s">
        <v>55</v>
      </c>
      <c r="N30" s="1186" t="s">
        <v>55</v>
      </c>
      <c r="O30" s="1186" t="s">
        <v>118</v>
      </c>
      <c r="P30" s="1186" t="s">
        <v>55</v>
      </c>
      <c r="Q30" s="1186" t="s">
        <v>55</v>
      </c>
      <c r="R30" s="1186" t="s">
        <v>55</v>
      </c>
      <c r="S30" s="1186" t="s">
        <v>55</v>
      </c>
      <c r="T30" s="1186" t="s">
        <v>55</v>
      </c>
      <c r="U30" s="1186" t="s">
        <v>55</v>
      </c>
      <c r="V30" s="1186" t="s">
        <v>118</v>
      </c>
      <c r="W30" s="1186" t="s">
        <v>55</v>
      </c>
      <c r="X30" s="1186" t="s">
        <v>55</v>
      </c>
      <c r="Y30" s="1186" t="s">
        <v>55</v>
      </c>
      <c r="Z30" s="1186" t="s">
        <v>55</v>
      </c>
      <c r="AA30" s="1186" t="s">
        <v>55</v>
      </c>
      <c r="AB30" s="1186" t="s">
        <v>55</v>
      </c>
      <c r="AC30" s="1186" t="s">
        <v>118</v>
      </c>
      <c r="AD30" s="1186" t="s">
        <v>55</v>
      </c>
      <c r="AE30" s="1186" t="s">
        <v>55</v>
      </c>
      <c r="AF30" s="1186" t="s">
        <v>55</v>
      </c>
      <c r="AG30" s="1186" t="s">
        <v>55</v>
      </c>
      <c r="AH30" s="1186" t="s">
        <v>55</v>
      </c>
      <c r="AI30" s="908" t="s">
        <v>55</v>
      </c>
      <c r="AJ30" s="633">
        <f t="shared" si="3"/>
        <v>27</v>
      </c>
      <c r="AK30" s="634">
        <f t="shared" si="4"/>
        <v>4</v>
      </c>
      <c r="AL30" s="633">
        <f t="shared" si="5"/>
        <v>0</v>
      </c>
      <c r="AM30" s="633">
        <f t="shared" si="6"/>
        <v>0</v>
      </c>
      <c r="AN30" s="633">
        <f t="shared" si="7"/>
        <v>0</v>
      </c>
      <c r="AO30" s="634">
        <f t="shared" si="9"/>
        <v>0</v>
      </c>
      <c r="AP30" s="635">
        <f t="shared" si="8"/>
        <v>31</v>
      </c>
      <c r="AQ30" s="535"/>
      <c r="AR30" s="174"/>
      <c r="AS30" s="172" t="str">
        <f>VLOOKUP(C31,'[1]NT 2'!$C$2:$J$259,8,0)</f>
        <v>03472</v>
      </c>
      <c r="AT30" s="575">
        <f t="shared" si="2"/>
        <v>0</v>
      </c>
    </row>
    <row r="31" spans="1:46" ht="24.75" customHeight="1">
      <c r="A31" s="1179">
        <v>19</v>
      </c>
      <c r="B31" s="1072">
        <v>19</v>
      </c>
      <c r="C31" s="881" t="s">
        <v>236</v>
      </c>
      <c r="D31" s="13" t="str">
        <f>VLOOKUP(C31,'[1]NT 2'!$C$2:$J$259,8,0)</f>
        <v>03472</v>
      </c>
      <c r="E31" s="1186" t="s">
        <v>55</v>
      </c>
      <c r="F31" s="1186" t="s">
        <v>55</v>
      </c>
      <c r="G31" s="1186" t="s">
        <v>55</v>
      </c>
      <c r="H31" s="1186"/>
      <c r="I31" s="1186" t="s">
        <v>55</v>
      </c>
      <c r="J31" s="1186" t="s">
        <v>55</v>
      </c>
      <c r="K31" s="1186" t="s">
        <v>55</v>
      </c>
      <c r="L31" s="1186" t="s">
        <v>55</v>
      </c>
      <c r="M31" s="1186" t="s">
        <v>55</v>
      </c>
      <c r="N31" s="1186" t="s">
        <v>55</v>
      </c>
      <c r="O31" s="1186" t="s">
        <v>118</v>
      </c>
      <c r="P31" s="1186" t="s">
        <v>55</v>
      </c>
      <c r="Q31" s="1186" t="s">
        <v>55</v>
      </c>
      <c r="R31" s="1186" t="s">
        <v>55</v>
      </c>
      <c r="S31" s="1186" t="s">
        <v>55</v>
      </c>
      <c r="T31" s="1186" t="s">
        <v>55</v>
      </c>
      <c r="U31" s="1186" t="s">
        <v>55</v>
      </c>
      <c r="V31" s="1186" t="s">
        <v>118</v>
      </c>
      <c r="W31" s="1186" t="s">
        <v>55</v>
      </c>
      <c r="X31" s="1186" t="s">
        <v>55</v>
      </c>
      <c r="Y31" s="1186" t="s">
        <v>55</v>
      </c>
      <c r="Z31" s="1186" t="s">
        <v>55</v>
      </c>
      <c r="AA31" s="1186" t="s">
        <v>55</v>
      </c>
      <c r="AB31" s="1186" t="s">
        <v>55</v>
      </c>
      <c r="AC31" s="1186" t="s">
        <v>118</v>
      </c>
      <c r="AD31" s="1186" t="s">
        <v>55</v>
      </c>
      <c r="AE31" s="1186" t="s">
        <v>55</v>
      </c>
      <c r="AF31" s="1186" t="s">
        <v>55</v>
      </c>
      <c r="AG31" s="1186" t="s">
        <v>55</v>
      </c>
      <c r="AH31" s="1186" t="s">
        <v>55</v>
      </c>
      <c r="AI31" s="908" t="s">
        <v>55</v>
      </c>
      <c r="AJ31" s="633">
        <f t="shared" si="3"/>
        <v>27</v>
      </c>
      <c r="AK31" s="634">
        <f t="shared" si="4"/>
        <v>3</v>
      </c>
      <c r="AL31" s="633">
        <f t="shared" si="5"/>
        <v>0</v>
      </c>
      <c r="AM31" s="633">
        <f t="shared" si="6"/>
        <v>0</v>
      </c>
      <c r="AN31" s="633">
        <f t="shared" si="7"/>
        <v>0</v>
      </c>
      <c r="AO31" s="634">
        <f t="shared" si="9"/>
        <v>0</v>
      </c>
      <c r="AP31" s="635">
        <f t="shared" si="8"/>
        <v>30</v>
      </c>
      <c r="AQ31" s="535"/>
      <c r="AR31" s="174"/>
      <c r="AS31" s="172" t="str">
        <f>VLOOKUP(C32,'[1]NT 2'!$C$2:$J$259,8,0)</f>
        <v>03473</v>
      </c>
      <c r="AT31" s="575">
        <f t="shared" si="2"/>
        <v>0</v>
      </c>
    </row>
    <row r="32" spans="1:46" ht="24.75" customHeight="1">
      <c r="A32" s="1179">
        <v>20</v>
      </c>
      <c r="B32" s="1072">
        <v>20</v>
      </c>
      <c r="C32" s="499" t="s">
        <v>244</v>
      </c>
      <c r="D32" s="13" t="str">
        <f>VLOOKUP(C32,'[1]NT 2'!$C$2:$J$259,8,0)</f>
        <v>03473</v>
      </c>
      <c r="E32" s="1186" t="s">
        <v>55</v>
      </c>
      <c r="F32" s="1186" t="s">
        <v>55</v>
      </c>
      <c r="G32" s="1186" t="s">
        <v>55</v>
      </c>
      <c r="H32" s="1186" t="s">
        <v>118</v>
      </c>
      <c r="I32" s="1186"/>
      <c r="J32" s="1186" t="s">
        <v>55</v>
      </c>
      <c r="K32" s="1186" t="s">
        <v>55</v>
      </c>
      <c r="L32" s="1186" t="s">
        <v>55</v>
      </c>
      <c r="M32" s="1186" t="s">
        <v>55</v>
      </c>
      <c r="N32" s="1186" t="s">
        <v>55</v>
      </c>
      <c r="O32" s="1186" t="s">
        <v>118</v>
      </c>
      <c r="P32" s="1186" t="s">
        <v>55</v>
      </c>
      <c r="Q32" s="1186" t="s">
        <v>55</v>
      </c>
      <c r="R32" s="1186" t="s">
        <v>55</v>
      </c>
      <c r="S32" s="1186" t="s">
        <v>55</v>
      </c>
      <c r="T32" s="1186" t="s">
        <v>55</v>
      </c>
      <c r="U32" s="1186" t="s">
        <v>55</v>
      </c>
      <c r="V32" s="1186" t="s">
        <v>118</v>
      </c>
      <c r="W32" s="1186" t="s">
        <v>55</v>
      </c>
      <c r="X32" s="1186" t="s">
        <v>55</v>
      </c>
      <c r="Y32" s="1186" t="s">
        <v>55</v>
      </c>
      <c r="Z32" s="1186" t="s">
        <v>55</v>
      </c>
      <c r="AA32" s="1186" t="s">
        <v>55</v>
      </c>
      <c r="AB32" s="1186" t="s">
        <v>55</v>
      </c>
      <c r="AC32" s="1186" t="s">
        <v>118</v>
      </c>
      <c r="AD32" s="1186" t="s">
        <v>55</v>
      </c>
      <c r="AE32" s="1186" t="s">
        <v>55</v>
      </c>
      <c r="AF32" s="1186" t="s">
        <v>55</v>
      </c>
      <c r="AG32" s="1186" t="s">
        <v>55</v>
      </c>
      <c r="AH32" s="1186" t="s">
        <v>55</v>
      </c>
      <c r="AI32" s="908" t="s">
        <v>55</v>
      </c>
      <c r="AJ32" s="633">
        <f t="shared" si="3"/>
        <v>26</v>
      </c>
      <c r="AK32" s="634">
        <f t="shared" si="4"/>
        <v>4</v>
      </c>
      <c r="AL32" s="633">
        <f t="shared" si="5"/>
        <v>0</v>
      </c>
      <c r="AM32" s="633">
        <f t="shared" si="6"/>
        <v>0</v>
      </c>
      <c r="AN32" s="633">
        <f t="shared" si="7"/>
        <v>0</v>
      </c>
      <c r="AO32" s="634">
        <f t="shared" si="9"/>
        <v>0</v>
      </c>
      <c r="AP32" s="635">
        <f t="shared" si="8"/>
        <v>30</v>
      </c>
      <c r="AQ32" s="535"/>
      <c r="AR32" s="174"/>
      <c r="AS32" s="172" t="str">
        <f>VLOOKUP(C33,'[1]NT 2'!$C$2:$J$259,8,0)</f>
        <v>03474</v>
      </c>
      <c r="AT32" s="575">
        <f t="shared" si="2"/>
        <v>0</v>
      </c>
    </row>
    <row r="33" spans="1:46" ht="24.75" customHeight="1">
      <c r="A33" s="1179">
        <v>21</v>
      </c>
      <c r="B33" s="1072">
        <v>21</v>
      </c>
      <c r="C33" s="135" t="s">
        <v>219</v>
      </c>
      <c r="D33" s="13" t="str">
        <f>VLOOKUP(C33,'[1]NT 2'!$C$2:$J$259,8,0)</f>
        <v>03474</v>
      </c>
      <c r="E33" s="1186"/>
      <c r="F33" s="1186" t="s">
        <v>55</v>
      </c>
      <c r="G33" s="1186"/>
      <c r="H33" s="1186" t="s">
        <v>118</v>
      </c>
      <c r="I33" s="1186" t="s">
        <v>55</v>
      </c>
      <c r="J33" s="1186" t="s">
        <v>55</v>
      </c>
      <c r="K33" s="1186"/>
      <c r="L33" s="1186" t="s">
        <v>55</v>
      </c>
      <c r="M33" s="1186" t="s">
        <v>55</v>
      </c>
      <c r="N33" s="1186" t="s">
        <v>55</v>
      </c>
      <c r="O33" s="1186" t="s">
        <v>118</v>
      </c>
      <c r="P33" s="1186" t="s">
        <v>55</v>
      </c>
      <c r="Q33" s="1186" t="s">
        <v>55</v>
      </c>
      <c r="R33" s="1186" t="s">
        <v>55</v>
      </c>
      <c r="S33" s="1186" t="s">
        <v>55</v>
      </c>
      <c r="T33" s="1186" t="s">
        <v>55</v>
      </c>
      <c r="U33" s="1186" t="s">
        <v>55</v>
      </c>
      <c r="V33" s="1186" t="s">
        <v>118</v>
      </c>
      <c r="W33" s="1186" t="s">
        <v>55</v>
      </c>
      <c r="X33" s="1186" t="s">
        <v>55</v>
      </c>
      <c r="Y33" s="1186" t="s">
        <v>55</v>
      </c>
      <c r="Z33" s="1186" t="s">
        <v>55</v>
      </c>
      <c r="AA33" s="1186" t="s">
        <v>55</v>
      </c>
      <c r="AB33" s="1186" t="s">
        <v>55</v>
      </c>
      <c r="AC33" s="1186" t="s">
        <v>118</v>
      </c>
      <c r="AD33" s="1186" t="s">
        <v>55</v>
      </c>
      <c r="AE33" s="1186" t="s">
        <v>55</v>
      </c>
      <c r="AF33" s="1186" t="s">
        <v>55</v>
      </c>
      <c r="AG33" s="1186" t="s">
        <v>55</v>
      </c>
      <c r="AH33" s="1186" t="s">
        <v>55</v>
      </c>
      <c r="AI33" s="908" t="s">
        <v>55</v>
      </c>
      <c r="AJ33" s="633">
        <f t="shared" si="3"/>
        <v>24</v>
      </c>
      <c r="AK33" s="634">
        <f t="shared" si="4"/>
        <v>4</v>
      </c>
      <c r="AL33" s="633">
        <f t="shared" si="5"/>
        <v>0</v>
      </c>
      <c r="AM33" s="633">
        <f t="shared" si="6"/>
        <v>0</v>
      </c>
      <c r="AN33" s="633">
        <f t="shared" si="7"/>
        <v>0</v>
      </c>
      <c r="AO33" s="634">
        <f t="shared" si="9"/>
        <v>0</v>
      </c>
      <c r="AP33" s="635">
        <f t="shared" si="8"/>
        <v>28</v>
      </c>
      <c r="AQ33" s="535"/>
      <c r="AR33" s="174"/>
      <c r="AS33" s="172" t="e">
        <f>VLOOKUP(C34,'[1]NT 2'!$C$2:$J$259,8,0)</f>
        <v>#N/A</v>
      </c>
      <c r="AT33" s="575" t="e">
        <f t="shared" si="2"/>
        <v>#N/A</v>
      </c>
    </row>
    <row r="34" spans="1:46" ht="24.75" customHeight="1">
      <c r="A34" s="1179">
        <v>22</v>
      </c>
      <c r="B34" s="1072">
        <v>22</v>
      </c>
      <c r="C34" s="759" t="s">
        <v>606</v>
      </c>
      <c r="D34" s="13" t="e">
        <f>VLOOKUP(C34,'[1]NT 2'!$C$2:$J$259,8,0)</f>
        <v>#N/A</v>
      </c>
      <c r="E34" s="1186" t="s">
        <v>55</v>
      </c>
      <c r="F34" s="1186" t="s">
        <v>55</v>
      </c>
      <c r="G34" s="1186" t="s">
        <v>55</v>
      </c>
      <c r="H34" s="1186" t="s">
        <v>118</v>
      </c>
      <c r="I34" s="1186" t="s">
        <v>55</v>
      </c>
      <c r="J34" s="1186" t="s">
        <v>55</v>
      </c>
      <c r="K34" s="1186" t="s">
        <v>55</v>
      </c>
      <c r="L34" s="1186" t="s">
        <v>55</v>
      </c>
      <c r="M34" s="1186" t="s">
        <v>55</v>
      </c>
      <c r="N34" s="1186" t="s">
        <v>55</v>
      </c>
      <c r="O34" s="1186" t="s">
        <v>118</v>
      </c>
      <c r="P34" s="1186" t="s">
        <v>55</v>
      </c>
      <c r="Q34" s="1186" t="s">
        <v>55</v>
      </c>
      <c r="R34" s="1186" t="s">
        <v>55</v>
      </c>
      <c r="S34" s="1186" t="s">
        <v>55</v>
      </c>
      <c r="T34" s="1186" t="s">
        <v>55</v>
      </c>
      <c r="U34" s="1186" t="s">
        <v>55</v>
      </c>
      <c r="V34" s="1186" t="s">
        <v>118</v>
      </c>
      <c r="W34" s="1186" t="s">
        <v>55</v>
      </c>
      <c r="X34" s="1186" t="s">
        <v>55</v>
      </c>
      <c r="Y34" s="1186"/>
      <c r="Z34" s="1186" t="s">
        <v>55</v>
      </c>
      <c r="AA34" s="1186" t="s">
        <v>55</v>
      </c>
      <c r="AB34" s="1186" t="s">
        <v>55</v>
      </c>
      <c r="AC34" s="1186" t="s">
        <v>118</v>
      </c>
      <c r="AD34" s="1186" t="s">
        <v>55</v>
      </c>
      <c r="AE34" s="1186" t="s">
        <v>55</v>
      </c>
      <c r="AF34" s="1186" t="s">
        <v>55</v>
      </c>
      <c r="AG34" s="1186"/>
      <c r="AH34" s="1186"/>
      <c r="AI34" s="908" t="s">
        <v>678</v>
      </c>
      <c r="AJ34" s="633">
        <f t="shared" si="3"/>
        <v>23</v>
      </c>
      <c r="AK34" s="634">
        <f t="shared" si="4"/>
        <v>4</v>
      </c>
      <c r="AL34" s="633">
        <f t="shared" si="5"/>
        <v>0</v>
      </c>
      <c r="AM34" s="633">
        <f t="shared" si="6"/>
        <v>0</v>
      </c>
      <c r="AN34" s="633">
        <f t="shared" si="7"/>
        <v>0</v>
      </c>
      <c r="AO34" s="634">
        <f t="shared" si="9"/>
        <v>0</v>
      </c>
      <c r="AP34" s="635">
        <f t="shared" si="8"/>
        <v>27</v>
      </c>
      <c r="AQ34" s="535"/>
      <c r="AR34" s="174"/>
      <c r="AS34" s="172" t="str">
        <f>VLOOKUP(C35,'[1]NT 2'!$C$2:$J$259,8,0)</f>
        <v>03476</v>
      </c>
      <c r="AT34" s="575">
        <f t="shared" si="2"/>
        <v>0</v>
      </c>
    </row>
    <row r="35" spans="1:46" ht="24.75" customHeight="1">
      <c r="A35" s="1179">
        <v>23</v>
      </c>
      <c r="B35" s="1072">
        <v>23</v>
      </c>
      <c r="C35" s="759" t="s">
        <v>245</v>
      </c>
      <c r="D35" s="13" t="str">
        <f>VLOOKUP(C35,'[1]NT 2'!$C$2:$J$259,8,0)</f>
        <v>03476</v>
      </c>
      <c r="E35" s="1186" t="s">
        <v>55</v>
      </c>
      <c r="F35" s="1186" t="s">
        <v>55</v>
      </c>
      <c r="G35" s="1186" t="s">
        <v>55</v>
      </c>
      <c r="H35" s="1186" t="s">
        <v>118</v>
      </c>
      <c r="I35" s="1186" t="s">
        <v>55</v>
      </c>
      <c r="J35" s="1186" t="s">
        <v>55</v>
      </c>
      <c r="K35" s="1186" t="s">
        <v>55</v>
      </c>
      <c r="L35" s="1186" t="s">
        <v>55</v>
      </c>
      <c r="M35" s="1186" t="s">
        <v>55</v>
      </c>
      <c r="N35" s="1186" t="s">
        <v>55</v>
      </c>
      <c r="O35" s="1186" t="s">
        <v>118</v>
      </c>
      <c r="P35" s="1186" t="s">
        <v>55</v>
      </c>
      <c r="Q35" s="1186" t="s">
        <v>55</v>
      </c>
      <c r="R35" s="1186" t="s">
        <v>55</v>
      </c>
      <c r="S35" s="1186" t="s">
        <v>55</v>
      </c>
      <c r="T35" s="1186" t="s">
        <v>55</v>
      </c>
      <c r="U35" s="1186" t="s">
        <v>55</v>
      </c>
      <c r="V35" s="1186" t="s">
        <v>118</v>
      </c>
      <c r="W35" s="1186" t="s">
        <v>55</v>
      </c>
      <c r="X35" s="1186" t="s">
        <v>55</v>
      </c>
      <c r="Y35" s="1186" t="s">
        <v>55</v>
      </c>
      <c r="Z35" s="1186" t="s">
        <v>55</v>
      </c>
      <c r="AA35" s="1186" t="s">
        <v>55</v>
      </c>
      <c r="AB35" s="1186" t="s">
        <v>55</v>
      </c>
      <c r="AC35" s="1186" t="s">
        <v>118</v>
      </c>
      <c r="AD35" s="1186" t="s">
        <v>55</v>
      </c>
      <c r="AE35" s="1186" t="s">
        <v>55</v>
      </c>
      <c r="AF35" s="1186" t="s">
        <v>55</v>
      </c>
      <c r="AG35" s="1186" t="s">
        <v>55</v>
      </c>
      <c r="AH35" s="1186" t="s">
        <v>55</v>
      </c>
      <c r="AI35" s="908" t="s">
        <v>55</v>
      </c>
      <c r="AJ35" s="633">
        <f t="shared" si="3"/>
        <v>27</v>
      </c>
      <c r="AK35" s="634">
        <f t="shared" si="4"/>
        <v>4</v>
      </c>
      <c r="AL35" s="633">
        <f t="shared" si="5"/>
        <v>0</v>
      </c>
      <c r="AM35" s="633">
        <f t="shared" si="6"/>
        <v>0</v>
      </c>
      <c r="AN35" s="633">
        <f t="shared" si="7"/>
        <v>0</v>
      </c>
      <c r="AO35" s="634">
        <f t="shared" si="9"/>
        <v>0</v>
      </c>
      <c r="AP35" s="635">
        <f t="shared" si="8"/>
        <v>31</v>
      </c>
      <c r="AQ35" s="535"/>
      <c r="AR35" s="174"/>
      <c r="AS35" s="172" t="str">
        <f>VLOOKUP(C36,'[1]NT 2'!$C$2:$J$259,8,0)</f>
        <v>03477</v>
      </c>
      <c r="AT35" s="575">
        <f t="shared" si="2"/>
        <v>0</v>
      </c>
    </row>
    <row r="36" spans="1:46" ht="24.75" customHeight="1">
      <c r="A36" s="1179">
        <v>24</v>
      </c>
      <c r="B36" s="1072">
        <v>24</v>
      </c>
      <c r="C36" s="499" t="s">
        <v>246</v>
      </c>
      <c r="D36" s="13" t="str">
        <f>VLOOKUP(C36,'[1]NT 2'!$C$2:$J$259,8,0)</f>
        <v>03477</v>
      </c>
      <c r="E36" s="1186" t="s">
        <v>55</v>
      </c>
      <c r="F36" s="1186"/>
      <c r="G36" s="1186" t="s">
        <v>55</v>
      </c>
      <c r="H36" s="1186" t="s">
        <v>118</v>
      </c>
      <c r="I36" s="1186" t="s">
        <v>55</v>
      </c>
      <c r="J36" s="1186" t="s">
        <v>55</v>
      </c>
      <c r="K36" s="1186" t="s">
        <v>55</v>
      </c>
      <c r="L36" s="1186" t="s">
        <v>55</v>
      </c>
      <c r="M36" s="1186" t="s">
        <v>55</v>
      </c>
      <c r="N36" s="1186" t="s">
        <v>55</v>
      </c>
      <c r="O36" s="1186" t="s">
        <v>118</v>
      </c>
      <c r="P36" s="1186" t="s">
        <v>55</v>
      </c>
      <c r="Q36" s="1186" t="s">
        <v>55</v>
      </c>
      <c r="R36" s="1186" t="s">
        <v>55</v>
      </c>
      <c r="S36" s="1186" t="s">
        <v>55</v>
      </c>
      <c r="T36" s="1186" t="s">
        <v>55</v>
      </c>
      <c r="U36" s="1186" t="s">
        <v>55</v>
      </c>
      <c r="V36" s="1186"/>
      <c r="W36" s="1186" t="s">
        <v>55</v>
      </c>
      <c r="X36" s="1186" t="s">
        <v>55</v>
      </c>
      <c r="Y36" s="1186" t="s">
        <v>55</v>
      </c>
      <c r="Z36" s="1186" t="s">
        <v>55</v>
      </c>
      <c r="AA36" s="1186" t="s">
        <v>55</v>
      </c>
      <c r="AB36" s="1186" t="s">
        <v>55</v>
      </c>
      <c r="AC36" s="1186" t="s">
        <v>118</v>
      </c>
      <c r="AD36" s="1186"/>
      <c r="AE36" s="1186" t="s">
        <v>55</v>
      </c>
      <c r="AF36" s="1186" t="s">
        <v>55</v>
      </c>
      <c r="AG36" s="1186"/>
      <c r="AH36" s="1186"/>
      <c r="AI36" s="908" t="s">
        <v>55</v>
      </c>
      <c r="AJ36" s="633">
        <f t="shared" si="3"/>
        <v>23</v>
      </c>
      <c r="AK36" s="634">
        <f t="shared" si="4"/>
        <v>3</v>
      </c>
      <c r="AL36" s="633">
        <f t="shared" si="5"/>
        <v>0</v>
      </c>
      <c r="AM36" s="633">
        <f t="shared" si="6"/>
        <v>0</v>
      </c>
      <c r="AN36" s="633">
        <f t="shared" si="7"/>
        <v>0</v>
      </c>
      <c r="AO36" s="634">
        <f t="shared" si="9"/>
        <v>0</v>
      </c>
      <c r="AP36" s="635">
        <f t="shared" si="8"/>
        <v>26</v>
      </c>
      <c r="AQ36" s="535"/>
      <c r="AR36" s="174"/>
      <c r="AS36" s="172" t="str">
        <f>VLOOKUP(C37,'[1]NT 2'!$C$2:$J$259,8,0)</f>
        <v>03478</v>
      </c>
      <c r="AT36" s="575">
        <f t="shared" si="2"/>
        <v>0</v>
      </c>
    </row>
    <row r="37" spans="1:46" ht="24.75" customHeight="1">
      <c r="A37" s="1179">
        <v>25</v>
      </c>
      <c r="B37" s="1072">
        <v>25</v>
      </c>
      <c r="C37" s="881" t="s">
        <v>328</v>
      </c>
      <c r="D37" s="13" t="str">
        <f>VLOOKUP(C37,'[1]NT 2'!$C$2:$J$259,8,0)</f>
        <v>03478</v>
      </c>
      <c r="E37" s="1186" t="s">
        <v>55</v>
      </c>
      <c r="F37" s="1186" t="s">
        <v>55</v>
      </c>
      <c r="G37" s="1186" t="s">
        <v>55</v>
      </c>
      <c r="H37" s="1186"/>
      <c r="I37" s="1186" t="s">
        <v>55</v>
      </c>
      <c r="J37" s="1186" t="s">
        <v>55</v>
      </c>
      <c r="K37" s="1186" t="s">
        <v>55</v>
      </c>
      <c r="L37" s="1186" t="s">
        <v>55</v>
      </c>
      <c r="M37" s="1186" t="s">
        <v>55</v>
      </c>
      <c r="N37" s="1186" t="s">
        <v>55</v>
      </c>
      <c r="O37" s="1186" t="s">
        <v>118</v>
      </c>
      <c r="P37" s="1186" t="s">
        <v>55</v>
      </c>
      <c r="Q37" s="1186" t="s">
        <v>55</v>
      </c>
      <c r="R37" s="1186" t="s">
        <v>55</v>
      </c>
      <c r="S37" s="1186" t="s">
        <v>55</v>
      </c>
      <c r="T37" s="1186" t="s">
        <v>55</v>
      </c>
      <c r="U37" s="1186" t="s">
        <v>55</v>
      </c>
      <c r="V37" s="1186" t="s">
        <v>118</v>
      </c>
      <c r="W37" s="1186" t="s">
        <v>55</v>
      </c>
      <c r="X37" s="1186" t="s">
        <v>55</v>
      </c>
      <c r="Y37" s="1186" t="s">
        <v>55</v>
      </c>
      <c r="Z37" s="1186" t="s">
        <v>55</v>
      </c>
      <c r="AA37" s="1186" t="s">
        <v>55</v>
      </c>
      <c r="AB37" s="1186" t="s">
        <v>55</v>
      </c>
      <c r="AC37" s="1186" t="s">
        <v>118</v>
      </c>
      <c r="AD37" s="1186" t="s">
        <v>55</v>
      </c>
      <c r="AE37" s="1186" t="s">
        <v>55</v>
      </c>
      <c r="AF37" s="1186" t="s">
        <v>55</v>
      </c>
      <c r="AG37" s="1186" t="s">
        <v>55</v>
      </c>
      <c r="AH37" s="1186" t="s">
        <v>55</v>
      </c>
      <c r="AI37" s="908" t="s">
        <v>55</v>
      </c>
      <c r="AJ37" s="633">
        <f t="shared" si="3"/>
        <v>27</v>
      </c>
      <c r="AK37" s="634">
        <f t="shared" si="4"/>
        <v>3</v>
      </c>
      <c r="AL37" s="633">
        <f t="shared" si="5"/>
        <v>0</v>
      </c>
      <c r="AM37" s="633">
        <f t="shared" si="6"/>
        <v>0</v>
      </c>
      <c r="AN37" s="633">
        <f t="shared" si="7"/>
        <v>0</v>
      </c>
      <c r="AO37" s="634">
        <f t="shared" si="9"/>
        <v>0</v>
      </c>
      <c r="AP37" s="635">
        <f t="shared" si="8"/>
        <v>30</v>
      </c>
      <c r="AQ37" s="535"/>
      <c r="AR37" s="174"/>
      <c r="AS37" s="172" t="str">
        <f>VLOOKUP(C38,'[1]NT 2'!$C$2:$J$259,8,0)</f>
        <v>03479</v>
      </c>
      <c r="AT37" s="575">
        <f t="shared" si="2"/>
        <v>0</v>
      </c>
    </row>
    <row r="38" spans="1:46" ht="24.75" customHeight="1">
      <c r="A38" s="1179">
        <v>26</v>
      </c>
      <c r="B38" s="1072">
        <v>26</v>
      </c>
      <c r="C38" s="499" t="s">
        <v>194</v>
      </c>
      <c r="D38" s="13" t="str">
        <f>VLOOKUP(C38,'[1]NT 2'!$C$2:$J$259,8,0)</f>
        <v>03479</v>
      </c>
      <c r="E38" s="1186" t="s">
        <v>55</v>
      </c>
      <c r="F38" s="1186" t="s">
        <v>55</v>
      </c>
      <c r="G38" s="1186" t="s">
        <v>55</v>
      </c>
      <c r="H38" s="1186" t="s">
        <v>118</v>
      </c>
      <c r="I38" s="1186" t="s">
        <v>55</v>
      </c>
      <c r="J38" s="1186"/>
      <c r="K38" s="1186" t="s">
        <v>55</v>
      </c>
      <c r="L38" s="1186" t="s">
        <v>55</v>
      </c>
      <c r="M38" s="1186" t="s">
        <v>55</v>
      </c>
      <c r="N38" s="1186" t="s">
        <v>55</v>
      </c>
      <c r="O38" s="1186" t="s">
        <v>118</v>
      </c>
      <c r="P38" s="1186" t="s">
        <v>55</v>
      </c>
      <c r="Q38" s="1186" t="s">
        <v>55</v>
      </c>
      <c r="R38" s="1186" t="s">
        <v>55</v>
      </c>
      <c r="S38" s="1186" t="s">
        <v>55</v>
      </c>
      <c r="T38" s="1186" t="s">
        <v>55</v>
      </c>
      <c r="U38" s="1186" t="s">
        <v>55</v>
      </c>
      <c r="V38" s="1186" t="s">
        <v>118</v>
      </c>
      <c r="W38" s="1186" t="s">
        <v>55</v>
      </c>
      <c r="X38" s="1186" t="s">
        <v>55</v>
      </c>
      <c r="Y38" s="1186" t="s">
        <v>55</v>
      </c>
      <c r="Z38" s="1186" t="s">
        <v>55</v>
      </c>
      <c r="AA38" s="1186" t="s">
        <v>55</v>
      </c>
      <c r="AB38" s="1186" t="s">
        <v>55</v>
      </c>
      <c r="AC38" s="1186" t="s">
        <v>118</v>
      </c>
      <c r="AD38" s="1186" t="s">
        <v>55</v>
      </c>
      <c r="AE38" s="1186" t="s">
        <v>55</v>
      </c>
      <c r="AF38" s="1186" t="s">
        <v>55</v>
      </c>
      <c r="AG38" s="1186" t="s">
        <v>55</v>
      </c>
      <c r="AH38" s="1186" t="s">
        <v>55</v>
      </c>
      <c r="AI38" s="908" t="s">
        <v>55</v>
      </c>
      <c r="AJ38" s="633">
        <f t="shared" si="3"/>
        <v>26</v>
      </c>
      <c r="AK38" s="634">
        <f t="shared" si="4"/>
        <v>4</v>
      </c>
      <c r="AL38" s="633">
        <f t="shared" si="5"/>
        <v>0</v>
      </c>
      <c r="AM38" s="633">
        <f t="shared" si="6"/>
        <v>0</v>
      </c>
      <c r="AN38" s="633">
        <f t="shared" si="7"/>
        <v>0</v>
      </c>
      <c r="AO38" s="634">
        <f t="shared" si="9"/>
        <v>0</v>
      </c>
      <c r="AP38" s="635">
        <f t="shared" si="8"/>
        <v>30</v>
      </c>
      <c r="AQ38" s="535"/>
      <c r="AR38" s="174"/>
      <c r="AS38" s="172" t="str">
        <f>VLOOKUP(C39,'[1]NT 2'!$C$2:$J$259,8,0)</f>
        <v>03480</v>
      </c>
      <c r="AT38" s="575">
        <f t="shared" si="2"/>
        <v>0</v>
      </c>
    </row>
    <row r="39" spans="1:46" ht="24.75" customHeight="1">
      <c r="A39" s="1179">
        <v>27</v>
      </c>
      <c r="B39" s="1072">
        <v>27</v>
      </c>
      <c r="C39" s="499" t="s">
        <v>192</v>
      </c>
      <c r="D39" s="13" t="str">
        <f>VLOOKUP(C39,'[1]NT 2'!$C$2:$J$259,8,0)</f>
        <v>03480</v>
      </c>
      <c r="E39" s="1186" t="s">
        <v>55</v>
      </c>
      <c r="F39" s="1186" t="s">
        <v>55</v>
      </c>
      <c r="G39" s="1186" t="s">
        <v>55</v>
      </c>
      <c r="H39" s="1186" t="s">
        <v>118</v>
      </c>
      <c r="I39" s="1186" t="s">
        <v>55</v>
      </c>
      <c r="J39" s="1186"/>
      <c r="K39" s="1186" t="s">
        <v>55</v>
      </c>
      <c r="L39" s="1186" t="s">
        <v>55</v>
      </c>
      <c r="M39" s="1186" t="s">
        <v>55</v>
      </c>
      <c r="N39" s="1186" t="s">
        <v>55</v>
      </c>
      <c r="O39" s="1186" t="s">
        <v>118</v>
      </c>
      <c r="P39" s="1186" t="s">
        <v>55</v>
      </c>
      <c r="Q39" s="1186" t="s">
        <v>55</v>
      </c>
      <c r="R39" s="1186" t="s">
        <v>55</v>
      </c>
      <c r="S39" s="1186" t="s">
        <v>55</v>
      </c>
      <c r="T39" s="1186" t="s">
        <v>55</v>
      </c>
      <c r="U39" s="1186" t="s">
        <v>55</v>
      </c>
      <c r="V39" s="1186" t="s">
        <v>118</v>
      </c>
      <c r="W39" s="1186" t="s">
        <v>55</v>
      </c>
      <c r="X39" s="1186" t="s">
        <v>55</v>
      </c>
      <c r="Y39" s="1186" t="s">
        <v>55</v>
      </c>
      <c r="Z39" s="1186" t="s">
        <v>55</v>
      </c>
      <c r="AA39" s="1186" t="s">
        <v>55</v>
      </c>
      <c r="AB39" s="1186" t="s">
        <v>55</v>
      </c>
      <c r="AC39" s="1186" t="s">
        <v>118</v>
      </c>
      <c r="AD39" s="1186" t="s">
        <v>55</v>
      </c>
      <c r="AE39" s="1186" t="s">
        <v>55</v>
      </c>
      <c r="AF39" s="1186" t="s">
        <v>55</v>
      </c>
      <c r="AG39" s="1186" t="s">
        <v>55</v>
      </c>
      <c r="AH39" s="1186" t="s">
        <v>55</v>
      </c>
      <c r="AI39" s="908" t="s">
        <v>55</v>
      </c>
      <c r="AJ39" s="633">
        <f t="shared" si="3"/>
        <v>26</v>
      </c>
      <c r="AK39" s="634">
        <f t="shared" si="4"/>
        <v>4</v>
      </c>
      <c r="AL39" s="633">
        <f t="shared" si="5"/>
        <v>0</v>
      </c>
      <c r="AM39" s="633">
        <f t="shared" si="6"/>
        <v>0</v>
      </c>
      <c r="AN39" s="633">
        <f t="shared" si="7"/>
        <v>0</v>
      </c>
      <c r="AO39" s="634">
        <f t="shared" si="9"/>
        <v>0</v>
      </c>
      <c r="AP39" s="635">
        <f t="shared" si="8"/>
        <v>30</v>
      </c>
      <c r="AQ39" s="535"/>
      <c r="AR39" s="174"/>
      <c r="AS39" s="172" t="str">
        <f>VLOOKUP(C40,'[1]NT 2'!$C$2:$J$259,8,0)</f>
        <v>03481</v>
      </c>
      <c r="AT39" s="575">
        <f t="shared" si="2"/>
        <v>0</v>
      </c>
    </row>
    <row r="40" spans="1:46" ht="24.75" customHeight="1">
      <c r="A40" s="1179">
        <v>28</v>
      </c>
      <c r="B40" s="1072">
        <v>28</v>
      </c>
      <c r="C40" s="135" t="s">
        <v>171</v>
      </c>
      <c r="D40" s="13" t="str">
        <f>VLOOKUP(C40,'[1]NT 2'!$C$2:$J$259,8,0)</f>
        <v>03481</v>
      </c>
      <c r="E40" s="1186"/>
      <c r="F40" s="1186"/>
      <c r="G40" s="1186" t="s">
        <v>55</v>
      </c>
      <c r="H40" s="1186" t="s">
        <v>118</v>
      </c>
      <c r="I40" s="1186" t="s">
        <v>55</v>
      </c>
      <c r="J40" s="1186" t="s">
        <v>55</v>
      </c>
      <c r="K40" s="1186" t="s">
        <v>55</v>
      </c>
      <c r="L40" s="1186" t="s">
        <v>55</v>
      </c>
      <c r="M40" s="1186" t="s">
        <v>55</v>
      </c>
      <c r="N40" s="1186" t="s">
        <v>55</v>
      </c>
      <c r="O40" s="1186" t="s">
        <v>118</v>
      </c>
      <c r="P40" s="1186" t="s">
        <v>55</v>
      </c>
      <c r="Q40" s="1186" t="s">
        <v>55</v>
      </c>
      <c r="R40" s="1186" t="s">
        <v>55</v>
      </c>
      <c r="S40" s="1186" t="s">
        <v>55</v>
      </c>
      <c r="T40" s="1186" t="s">
        <v>55</v>
      </c>
      <c r="U40" s="1186" t="s">
        <v>678</v>
      </c>
      <c r="V40" s="1186" t="s">
        <v>118</v>
      </c>
      <c r="W40" s="1186" t="s">
        <v>55</v>
      </c>
      <c r="X40" s="1186" t="s">
        <v>55</v>
      </c>
      <c r="Y40" s="1186" t="s">
        <v>55</v>
      </c>
      <c r="Z40" s="1186" t="s">
        <v>55</v>
      </c>
      <c r="AA40" s="1186" t="s">
        <v>55</v>
      </c>
      <c r="AB40" s="1186" t="s">
        <v>55</v>
      </c>
      <c r="AC40" s="1186" t="s">
        <v>118</v>
      </c>
      <c r="AD40" s="1186" t="s">
        <v>55</v>
      </c>
      <c r="AE40" s="1186" t="s">
        <v>55</v>
      </c>
      <c r="AF40" s="1186" t="s">
        <v>55</v>
      </c>
      <c r="AG40" s="1186" t="s">
        <v>55</v>
      </c>
      <c r="AH40" s="1186" t="s">
        <v>55</v>
      </c>
      <c r="AI40" s="908" t="s">
        <v>55</v>
      </c>
      <c r="AJ40" s="633">
        <f t="shared" si="3"/>
        <v>24</v>
      </c>
      <c r="AK40" s="634">
        <f t="shared" si="4"/>
        <v>4</v>
      </c>
      <c r="AL40" s="633">
        <f t="shared" si="5"/>
        <v>0</v>
      </c>
      <c r="AM40" s="633">
        <f t="shared" si="6"/>
        <v>0</v>
      </c>
      <c r="AN40" s="633">
        <f t="shared" si="7"/>
        <v>0</v>
      </c>
      <c r="AO40" s="634">
        <f t="shared" si="9"/>
        <v>0</v>
      </c>
      <c r="AP40" s="635">
        <f t="shared" si="8"/>
        <v>28</v>
      </c>
      <c r="AQ40" s="535"/>
      <c r="AR40" s="174"/>
      <c r="AS40" s="172" t="str">
        <f>VLOOKUP(C41,'[1]NT 2'!$C$2:$J$259,8,0)</f>
        <v>03482</v>
      </c>
      <c r="AT40" s="575">
        <f t="shared" si="2"/>
        <v>0</v>
      </c>
    </row>
    <row r="41" spans="1:46" ht="24.75" customHeight="1">
      <c r="A41" s="1179">
        <v>29</v>
      </c>
      <c r="B41" s="1072">
        <v>29</v>
      </c>
      <c r="C41" s="499" t="s">
        <v>170</v>
      </c>
      <c r="D41" s="13" t="str">
        <f>VLOOKUP(C41,'[1]NT 2'!$C$2:$J$259,8,0)</f>
        <v>03482</v>
      </c>
      <c r="E41" s="1186"/>
      <c r="F41" s="1186"/>
      <c r="G41" s="1186" t="s">
        <v>55</v>
      </c>
      <c r="H41" s="1186" t="s">
        <v>118</v>
      </c>
      <c r="I41" s="1186" t="s">
        <v>55</v>
      </c>
      <c r="J41" s="1186" t="s">
        <v>55</v>
      </c>
      <c r="K41" s="1186" t="s">
        <v>55</v>
      </c>
      <c r="L41" s="1186" t="s">
        <v>55</v>
      </c>
      <c r="M41" s="1186" t="s">
        <v>55</v>
      </c>
      <c r="N41" s="1186" t="s">
        <v>55</v>
      </c>
      <c r="O41" s="1186" t="s">
        <v>118</v>
      </c>
      <c r="P41" s="1186" t="s">
        <v>55</v>
      </c>
      <c r="Q41" s="1186" t="s">
        <v>55</v>
      </c>
      <c r="R41" s="1186" t="s">
        <v>55</v>
      </c>
      <c r="S41" s="1186" t="s">
        <v>55</v>
      </c>
      <c r="T41" s="1186" t="s">
        <v>55</v>
      </c>
      <c r="U41" s="1186" t="s">
        <v>678</v>
      </c>
      <c r="V41" s="1186" t="s">
        <v>118</v>
      </c>
      <c r="W41" s="1186" t="s">
        <v>55</v>
      </c>
      <c r="X41" s="1186" t="s">
        <v>55</v>
      </c>
      <c r="Y41" s="1186" t="s">
        <v>55</v>
      </c>
      <c r="Z41" s="1186" t="s">
        <v>55</v>
      </c>
      <c r="AA41" s="1186" t="s">
        <v>55</v>
      </c>
      <c r="AB41" s="1186" t="s">
        <v>55</v>
      </c>
      <c r="AC41" s="1186" t="s">
        <v>118</v>
      </c>
      <c r="AD41" s="1186" t="s">
        <v>55</v>
      </c>
      <c r="AE41" s="1186" t="s">
        <v>55</v>
      </c>
      <c r="AF41" s="1186" t="s">
        <v>55</v>
      </c>
      <c r="AG41" s="1186" t="s">
        <v>55</v>
      </c>
      <c r="AH41" s="1186" t="s">
        <v>55</v>
      </c>
      <c r="AI41" s="908" t="s">
        <v>55</v>
      </c>
      <c r="AJ41" s="633">
        <f t="shared" si="3"/>
        <v>24</v>
      </c>
      <c r="AK41" s="634">
        <f t="shared" si="4"/>
        <v>4</v>
      </c>
      <c r="AL41" s="633">
        <f t="shared" si="5"/>
        <v>0</v>
      </c>
      <c r="AM41" s="633">
        <f t="shared" si="6"/>
        <v>0</v>
      </c>
      <c r="AN41" s="633">
        <f t="shared" si="7"/>
        <v>0</v>
      </c>
      <c r="AO41" s="634">
        <f t="shared" si="9"/>
        <v>0</v>
      </c>
      <c r="AP41" s="635">
        <f t="shared" si="8"/>
        <v>28</v>
      </c>
      <c r="AQ41" s="535"/>
      <c r="AR41" s="174"/>
      <c r="AS41" s="172" t="str">
        <f>VLOOKUP(C42,'[1]NT 2'!$C$2:$J$259,8,0)</f>
        <v>03483</v>
      </c>
      <c r="AT41" s="575">
        <f t="shared" si="2"/>
        <v>0</v>
      </c>
    </row>
    <row r="42" spans="1:46" ht="24.75" customHeight="1">
      <c r="A42" s="1179">
        <v>30</v>
      </c>
      <c r="B42" s="1072">
        <v>30</v>
      </c>
      <c r="C42" s="276" t="s">
        <v>232</v>
      </c>
      <c r="D42" s="13" t="str">
        <f>VLOOKUP(C42,'[1]NT 2'!$C$2:$J$259,8,0)</f>
        <v>03483</v>
      </c>
      <c r="E42" s="1186" t="s">
        <v>55</v>
      </c>
      <c r="F42" s="1186"/>
      <c r="G42" s="1186"/>
      <c r="H42" s="1186" t="s">
        <v>118</v>
      </c>
      <c r="I42" s="1186" t="s">
        <v>55</v>
      </c>
      <c r="J42" s="1186" t="s">
        <v>55</v>
      </c>
      <c r="K42" s="1186" t="s">
        <v>55</v>
      </c>
      <c r="L42" s="1186" t="s">
        <v>55</v>
      </c>
      <c r="M42" s="1186" t="s">
        <v>55</v>
      </c>
      <c r="N42" s="1186" t="s">
        <v>55</v>
      </c>
      <c r="O42" s="1186" t="s">
        <v>118</v>
      </c>
      <c r="P42" s="1186" t="s">
        <v>55</v>
      </c>
      <c r="Q42" s="1186" t="s">
        <v>55</v>
      </c>
      <c r="R42" s="1186" t="s">
        <v>55</v>
      </c>
      <c r="S42" s="1186" t="s">
        <v>55</v>
      </c>
      <c r="T42" s="1186" t="s">
        <v>55</v>
      </c>
      <c r="U42" s="1186" t="s">
        <v>55</v>
      </c>
      <c r="V42" s="1186" t="s">
        <v>118</v>
      </c>
      <c r="W42" s="1186" t="s">
        <v>55</v>
      </c>
      <c r="X42" s="1186" t="s">
        <v>55</v>
      </c>
      <c r="Y42" s="1186" t="s">
        <v>55</v>
      </c>
      <c r="Z42" s="1186" t="s">
        <v>55</v>
      </c>
      <c r="AA42" s="1186" t="s">
        <v>55</v>
      </c>
      <c r="AB42" s="1186" t="s">
        <v>55</v>
      </c>
      <c r="AC42" s="1186" t="s">
        <v>118</v>
      </c>
      <c r="AD42" s="1186" t="s">
        <v>55</v>
      </c>
      <c r="AE42" s="1186" t="s">
        <v>55</v>
      </c>
      <c r="AF42" s="1186" t="s">
        <v>55</v>
      </c>
      <c r="AG42" s="1186" t="s">
        <v>55</v>
      </c>
      <c r="AH42" s="1186" t="s">
        <v>55</v>
      </c>
      <c r="AI42" s="908" t="s">
        <v>55</v>
      </c>
      <c r="AJ42" s="633">
        <f t="shared" si="3"/>
        <v>25</v>
      </c>
      <c r="AK42" s="634">
        <f t="shared" si="4"/>
        <v>4</v>
      </c>
      <c r="AL42" s="633">
        <f t="shared" si="5"/>
        <v>0</v>
      </c>
      <c r="AM42" s="633">
        <f t="shared" si="6"/>
        <v>0</v>
      </c>
      <c r="AN42" s="633">
        <f t="shared" si="7"/>
        <v>0</v>
      </c>
      <c r="AO42" s="634">
        <f t="shared" si="9"/>
        <v>0</v>
      </c>
      <c r="AP42" s="635">
        <f t="shared" si="8"/>
        <v>29</v>
      </c>
      <c r="AQ42" s="535"/>
      <c r="AR42" s="174"/>
      <c r="AS42" s="172" t="str">
        <f>VLOOKUP(C43,'[1]NT 2'!$C$2:$J$259,8,0)</f>
        <v>03484</v>
      </c>
      <c r="AT42" s="575">
        <f t="shared" si="2"/>
        <v>0</v>
      </c>
    </row>
    <row r="43" spans="1:46" ht="24.75" customHeight="1">
      <c r="A43" s="1179">
        <v>31</v>
      </c>
      <c r="B43" s="1072">
        <v>31</v>
      </c>
      <c r="C43" s="759" t="s">
        <v>223</v>
      </c>
      <c r="D43" s="13" t="str">
        <f>VLOOKUP(C43,'[1]NT 2'!$C$2:$J$259,8,0)</f>
        <v>03484</v>
      </c>
      <c r="E43" s="1186" t="s">
        <v>55</v>
      </c>
      <c r="F43" s="1186" t="s">
        <v>55</v>
      </c>
      <c r="G43" s="1186" t="s">
        <v>55</v>
      </c>
      <c r="H43" s="1186"/>
      <c r="I43" s="1186" t="s">
        <v>55</v>
      </c>
      <c r="J43" s="1186" t="s">
        <v>55</v>
      </c>
      <c r="K43" s="1186" t="s">
        <v>55</v>
      </c>
      <c r="L43" s="1186" t="s">
        <v>55</v>
      </c>
      <c r="M43" s="1186" t="s">
        <v>55</v>
      </c>
      <c r="N43" s="1186" t="s">
        <v>55</v>
      </c>
      <c r="O43" s="1186" t="s">
        <v>118</v>
      </c>
      <c r="P43" s="1186" t="s">
        <v>55</v>
      </c>
      <c r="Q43" s="1186" t="s">
        <v>55</v>
      </c>
      <c r="R43" s="1186" t="s">
        <v>55</v>
      </c>
      <c r="S43" s="1186" t="s">
        <v>55</v>
      </c>
      <c r="T43" s="1186" t="s">
        <v>55</v>
      </c>
      <c r="U43" s="1186" t="s">
        <v>55</v>
      </c>
      <c r="V43" s="1186" t="s">
        <v>118</v>
      </c>
      <c r="W43" s="1186" t="s">
        <v>55</v>
      </c>
      <c r="X43" s="1186" t="s">
        <v>55</v>
      </c>
      <c r="Y43" s="1186" t="s">
        <v>55</v>
      </c>
      <c r="Z43" s="1186" t="s">
        <v>55</v>
      </c>
      <c r="AA43" s="1186" t="s">
        <v>55</v>
      </c>
      <c r="AB43" s="1186" t="s">
        <v>55</v>
      </c>
      <c r="AC43" s="1186" t="s">
        <v>118</v>
      </c>
      <c r="AD43" s="1186" t="s">
        <v>55</v>
      </c>
      <c r="AE43" s="1186" t="s">
        <v>55</v>
      </c>
      <c r="AF43" s="1186" t="s">
        <v>55</v>
      </c>
      <c r="AG43" s="1186" t="s">
        <v>55</v>
      </c>
      <c r="AH43" s="1186" t="s">
        <v>55</v>
      </c>
      <c r="AI43" s="908" t="s">
        <v>55</v>
      </c>
      <c r="AJ43" s="633">
        <f t="shared" si="3"/>
        <v>27</v>
      </c>
      <c r="AK43" s="634">
        <f t="shared" si="4"/>
        <v>3</v>
      </c>
      <c r="AL43" s="633">
        <f t="shared" si="5"/>
        <v>0</v>
      </c>
      <c r="AM43" s="633">
        <f t="shared" si="6"/>
        <v>0</v>
      </c>
      <c r="AN43" s="633">
        <f t="shared" si="7"/>
        <v>0</v>
      </c>
      <c r="AO43" s="634">
        <f t="shared" si="9"/>
        <v>0</v>
      </c>
      <c r="AP43" s="635">
        <f t="shared" si="8"/>
        <v>30</v>
      </c>
      <c r="AQ43" s="535"/>
      <c r="AR43" s="174"/>
      <c r="AS43" s="172" t="str">
        <f>VLOOKUP(C44,'[1]NT 2'!$C$2:$J$259,8,0)</f>
        <v>03485</v>
      </c>
      <c r="AT43" s="575">
        <f t="shared" si="2"/>
        <v>0</v>
      </c>
    </row>
    <row r="44" spans="1:46" ht="24.75" customHeight="1">
      <c r="A44" s="1179">
        <v>32</v>
      </c>
      <c r="B44" s="1072">
        <v>32</v>
      </c>
      <c r="C44" s="759" t="s">
        <v>224</v>
      </c>
      <c r="D44" s="13" t="str">
        <f>VLOOKUP(C44,'[1]NT 2'!$C$2:$J$259,8,0)</f>
        <v>03485</v>
      </c>
      <c r="E44" s="1186" t="s">
        <v>55</v>
      </c>
      <c r="F44" s="1186" t="s">
        <v>55</v>
      </c>
      <c r="G44" s="1186" t="s">
        <v>55</v>
      </c>
      <c r="H44" s="1186" t="s">
        <v>118</v>
      </c>
      <c r="I44" s="1186" t="s">
        <v>55</v>
      </c>
      <c r="J44" s="1186" t="s">
        <v>55</v>
      </c>
      <c r="K44" s="1186"/>
      <c r="L44" s="1186" t="s">
        <v>55</v>
      </c>
      <c r="M44" s="1186" t="s">
        <v>55</v>
      </c>
      <c r="N44" s="1186" t="s">
        <v>55</v>
      </c>
      <c r="O44" s="1186" t="s">
        <v>118</v>
      </c>
      <c r="P44" s="1186" t="s">
        <v>55</v>
      </c>
      <c r="Q44" s="1186" t="s">
        <v>55</v>
      </c>
      <c r="R44" s="1186" t="s">
        <v>55</v>
      </c>
      <c r="S44" s="1186" t="s">
        <v>55</v>
      </c>
      <c r="T44" s="1186" t="s">
        <v>55</v>
      </c>
      <c r="U44" s="1186" t="s">
        <v>55</v>
      </c>
      <c r="V44" s="1186" t="s">
        <v>118</v>
      </c>
      <c r="W44" s="1186" t="s">
        <v>55</v>
      </c>
      <c r="X44" s="1186" t="s">
        <v>55</v>
      </c>
      <c r="Y44" s="1186" t="s">
        <v>55</v>
      </c>
      <c r="Z44" s="1186" t="s">
        <v>55</v>
      </c>
      <c r="AA44" s="1186" t="s">
        <v>55</v>
      </c>
      <c r="AB44" s="1186" t="s">
        <v>55</v>
      </c>
      <c r="AC44" s="1186" t="s">
        <v>118</v>
      </c>
      <c r="AD44" s="1186" t="s">
        <v>55</v>
      </c>
      <c r="AE44" s="1186" t="s">
        <v>55</v>
      </c>
      <c r="AF44" s="1186" t="s">
        <v>55</v>
      </c>
      <c r="AG44" s="1186" t="s">
        <v>55</v>
      </c>
      <c r="AH44" s="1186" t="s">
        <v>55</v>
      </c>
      <c r="AI44" s="908" t="s">
        <v>55</v>
      </c>
      <c r="AJ44" s="633">
        <f t="shared" si="3"/>
        <v>26</v>
      </c>
      <c r="AK44" s="634">
        <f t="shared" si="4"/>
        <v>4</v>
      </c>
      <c r="AL44" s="633">
        <f t="shared" si="5"/>
        <v>0</v>
      </c>
      <c r="AM44" s="633">
        <f t="shared" si="6"/>
        <v>0</v>
      </c>
      <c r="AN44" s="633">
        <f t="shared" si="7"/>
        <v>0</v>
      </c>
      <c r="AO44" s="634">
        <f t="shared" si="9"/>
        <v>0</v>
      </c>
      <c r="AP44" s="635">
        <f t="shared" si="8"/>
        <v>30</v>
      </c>
      <c r="AQ44" s="535"/>
      <c r="AR44" s="174"/>
      <c r="AS44" s="172" t="str">
        <f>VLOOKUP(C45,'[1]NT 2'!$C$2:$J$259,8,0)</f>
        <v>02712</v>
      </c>
      <c r="AT44" s="575">
        <f t="shared" ref="AT44:AT75" si="10">D45-AS44</f>
        <v>0</v>
      </c>
    </row>
    <row r="45" spans="1:46" ht="24.75" customHeight="1">
      <c r="A45" s="1179">
        <v>33</v>
      </c>
      <c r="B45" s="1072">
        <v>33</v>
      </c>
      <c r="C45" s="500" t="s">
        <v>203</v>
      </c>
      <c r="D45" s="13" t="str">
        <f>VLOOKUP(C45,'[1]NT 2'!$C$2:$J$259,8,0)</f>
        <v>02712</v>
      </c>
      <c r="E45" s="1186" t="s">
        <v>55</v>
      </c>
      <c r="F45" s="1186" t="s">
        <v>55</v>
      </c>
      <c r="G45" s="1186" t="s">
        <v>55</v>
      </c>
      <c r="H45" s="1186" t="s">
        <v>118</v>
      </c>
      <c r="I45" s="1186" t="s">
        <v>55</v>
      </c>
      <c r="J45" s="1186" t="s">
        <v>55</v>
      </c>
      <c r="K45" s="1186" t="s">
        <v>55</v>
      </c>
      <c r="L45" s="1186" t="s">
        <v>55</v>
      </c>
      <c r="M45" s="1186" t="s">
        <v>55</v>
      </c>
      <c r="N45" s="1186"/>
      <c r="O45" s="1186"/>
      <c r="P45" s="1186" t="s">
        <v>55</v>
      </c>
      <c r="Q45" s="1186" t="s">
        <v>55</v>
      </c>
      <c r="R45" s="1186" t="s">
        <v>55</v>
      </c>
      <c r="S45" s="1186" t="s">
        <v>55</v>
      </c>
      <c r="T45" s="1186" t="s">
        <v>55</v>
      </c>
      <c r="U45" s="1186" t="s">
        <v>55</v>
      </c>
      <c r="V45" s="1186" t="s">
        <v>118</v>
      </c>
      <c r="W45" s="1186" t="s">
        <v>55</v>
      </c>
      <c r="X45" s="1186" t="s">
        <v>55</v>
      </c>
      <c r="Y45" s="1186" t="s">
        <v>55</v>
      </c>
      <c r="Z45" s="1186" t="s">
        <v>55</v>
      </c>
      <c r="AA45" s="1186" t="s">
        <v>55</v>
      </c>
      <c r="AB45" s="1186" t="s">
        <v>55</v>
      </c>
      <c r="AC45" s="1186" t="s">
        <v>118</v>
      </c>
      <c r="AD45" s="1186" t="s">
        <v>55</v>
      </c>
      <c r="AE45" s="1186" t="s">
        <v>55</v>
      </c>
      <c r="AF45" s="1186" t="s">
        <v>55</v>
      </c>
      <c r="AG45" s="1186" t="s">
        <v>55</v>
      </c>
      <c r="AH45" s="1186" t="s">
        <v>55</v>
      </c>
      <c r="AI45" s="908" t="s">
        <v>55</v>
      </c>
      <c r="AJ45" s="633">
        <f t="shared" si="3"/>
        <v>26</v>
      </c>
      <c r="AK45" s="634">
        <f t="shared" si="4"/>
        <v>3</v>
      </c>
      <c r="AL45" s="633">
        <f t="shared" si="5"/>
        <v>0</v>
      </c>
      <c r="AM45" s="633">
        <f t="shared" si="6"/>
        <v>0</v>
      </c>
      <c r="AN45" s="633">
        <f t="shared" si="7"/>
        <v>0</v>
      </c>
      <c r="AO45" s="634">
        <f t="shared" si="9"/>
        <v>0</v>
      </c>
      <c r="AP45" s="635">
        <f t="shared" si="8"/>
        <v>29</v>
      </c>
      <c r="AQ45" s="535"/>
      <c r="AR45" s="174"/>
      <c r="AS45" s="172" t="str">
        <f>VLOOKUP(C46,'[1]NT 2'!$C$2:$J$259,8,0)</f>
        <v>02722</v>
      </c>
      <c r="AT45" s="575">
        <f t="shared" si="10"/>
        <v>0</v>
      </c>
    </row>
    <row r="46" spans="1:46" ht="24.75" customHeight="1">
      <c r="A46" s="1179">
        <v>34</v>
      </c>
      <c r="B46" s="1072">
        <v>34</v>
      </c>
      <c r="C46" s="499" t="s">
        <v>247</v>
      </c>
      <c r="D46" s="13" t="str">
        <f>VLOOKUP(C46,'[1]NT 2'!$C$2:$J$259,8,0)</f>
        <v>02722</v>
      </c>
      <c r="E46" s="1186" t="s">
        <v>55</v>
      </c>
      <c r="F46" s="1186" t="s">
        <v>55</v>
      </c>
      <c r="G46" s="1186" t="s">
        <v>55</v>
      </c>
      <c r="H46" s="1186" t="s">
        <v>118</v>
      </c>
      <c r="I46" s="1186" t="s">
        <v>55</v>
      </c>
      <c r="J46" s="1186" t="s">
        <v>55</v>
      </c>
      <c r="K46" s="1186"/>
      <c r="L46" s="1186" t="s">
        <v>55</v>
      </c>
      <c r="M46" s="1186" t="s">
        <v>55</v>
      </c>
      <c r="N46" s="1186" t="s">
        <v>55</v>
      </c>
      <c r="O46" s="1186" t="s">
        <v>118</v>
      </c>
      <c r="P46" s="1186" t="s">
        <v>55</v>
      </c>
      <c r="Q46" s="1186" t="s">
        <v>55</v>
      </c>
      <c r="R46" s="1186" t="s">
        <v>55</v>
      </c>
      <c r="S46" s="1186" t="s">
        <v>55</v>
      </c>
      <c r="T46" s="1186" t="s">
        <v>55</v>
      </c>
      <c r="U46" s="1186" t="s">
        <v>55</v>
      </c>
      <c r="V46" s="1186" t="s">
        <v>118</v>
      </c>
      <c r="W46" s="1186" t="s">
        <v>55</v>
      </c>
      <c r="X46" s="1186" t="s">
        <v>55</v>
      </c>
      <c r="Y46" s="1186" t="s">
        <v>55</v>
      </c>
      <c r="Z46" s="1186" t="s">
        <v>55</v>
      </c>
      <c r="AA46" s="1186" t="s">
        <v>55</v>
      </c>
      <c r="AB46" s="1186" t="s">
        <v>55</v>
      </c>
      <c r="AC46" s="1186" t="s">
        <v>118</v>
      </c>
      <c r="AD46" s="1186" t="s">
        <v>55</v>
      </c>
      <c r="AE46" s="1186" t="s">
        <v>55</v>
      </c>
      <c r="AF46" s="1186" t="s">
        <v>55</v>
      </c>
      <c r="AG46" s="1186" t="s">
        <v>55</v>
      </c>
      <c r="AH46" s="1186" t="s">
        <v>55</v>
      </c>
      <c r="AI46" s="908" t="s">
        <v>55</v>
      </c>
      <c r="AJ46" s="633">
        <f t="shared" si="3"/>
        <v>26</v>
      </c>
      <c r="AK46" s="634">
        <f t="shared" si="4"/>
        <v>4</v>
      </c>
      <c r="AL46" s="633">
        <f t="shared" si="5"/>
        <v>0</v>
      </c>
      <c r="AM46" s="633">
        <f t="shared" si="6"/>
        <v>0</v>
      </c>
      <c r="AN46" s="633">
        <f t="shared" si="7"/>
        <v>0</v>
      </c>
      <c r="AO46" s="634">
        <f t="shared" si="9"/>
        <v>0</v>
      </c>
      <c r="AP46" s="635">
        <f t="shared" si="8"/>
        <v>30</v>
      </c>
      <c r="AQ46" s="535"/>
      <c r="AR46" s="174"/>
      <c r="AS46" s="172" t="str">
        <f>VLOOKUP(C47,'[1]NT 2'!$C$2:$J$259,8,0)</f>
        <v>02714</v>
      </c>
      <c r="AT46" s="575">
        <f t="shared" si="10"/>
        <v>0</v>
      </c>
    </row>
    <row r="47" spans="1:46" ht="24.75" customHeight="1">
      <c r="A47" s="1179">
        <v>35</v>
      </c>
      <c r="B47" s="1072">
        <v>35</v>
      </c>
      <c r="C47" s="499" t="s">
        <v>204</v>
      </c>
      <c r="D47" s="13" t="str">
        <f>VLOOKUP(C47,'[1]NT 2'!$C$2:$J$259,8,0)</f>
        <v>02714</v>
      </c>
      <c r="E47" s="1186" t="s">
        <v>55</v>
      </c>
      <c r="F47" s="1186" t="s">
        <v>55</v>
      </c>
      <c r="G47" s="1186" t="s">
        <v>55</v>
      </c>
      <c r="H47" s="1186" t="s">
        <v>118</v>
      </c>
      <c r="I47" s="1186" t="s">
        <v>55</v>
      </c>
      <c r="J47" s="1186" t="s">
        <v>55</v>
      </c>
      <c r="K47" s="1186" t="s">
        <v>55</v>
      </c>
      <c r="L47" s="1186" t="s">
        <v>55</v>
      </c>
      <c r="M47" s="1186" t="s">
        <v>55</v>
      </c>
      <c r="N47" s="1186" t="s">
        <v>55</v>
      </c>
      <c r="O47" s="1186" t="s">
        <v>118</v>
      </c>
      <c r="P47" s="1186" t="s">
        <v>55</v>
      </c>
      <c r="Q47" s="1186" t="s">
        <v>55</v>
      </c>
      <c r="R47" s="1186" t="s">
        <v>55</v>
      </c>
      <c r="S47" s="1186" t="s">
        <v>55</v>
      </c>
      <c r="T47" s="1186" t="s">
        <v>55</v>
      </c>
      <c r="U47" s="1186" t="s">
        <v>55</v>
      </c>
      <c r="V47" s="1186" t="s">
        <v>118</v>
      </c>
      <c r="W47" s="1186" t="s">
        <v>55</v>
      </c>
      <c r="X47" s="1186" t="s">
        <v>55</v>
      </c>
      <c r="Y47" s="1186" t="s">
        <v>55</v>
      </c>
      <c r="Z47" s="1186" t="s">
        <v>55</v>
      </c>
      <c r="AA47" s="1186" t="s">
        <v>55</v>
      </c>
      <c r="AB47" s="1186" t="s">
        <v>55</v>
      </c>
      <c r="AC47" s="1186" t="s">
        <v>118</v>
      </c>
      <c r="AD47" s="1186" t="s">
        <v>55</v>
      </c>
      <c r="AE47" s="1186" t="s">
        <v>55</v>
      </c>
      <c r="AF47" s="1186" t="s">
        <v>55</v>
      </c>
      <c r="AG47" s="1186" t="s">
        <v>55</v>
      </c>
      <c r="AH47" s="1186" t="s">
        <v>55</v>
      </c>
      <c r="AI47" s="908" t="s">
        <v>55</v>
      </c>
      <c r="AJ47" s="633">
        <f t="shared" si="3"/>
        <v>27</v>
      </c>
      <c r="AK47" s="634">
        <f t="shared" si="4"/>
        <v>4</v>
      </c>
      <c r="AL47" s="633">
        <f t="shared" si="5"/>
        <v>0</v>
      </c>
      <c r="AM47" s="633">
        <f t="shared" si="6"/>
        <v>0</v>
      </c>
      <c r="AN47" s="633">
        <f t="shared" si="7"/>
        <v>0</v>
      </c>
      <c r="AO47" s="634">
        <f t="shared" si="9"/>
        <v>0</v>
      </c>
      <c r="AP47" s="635">
        <f t="shared" si="8"/>
        <v>31</v>
      </c>
      <c r="AQ47" s="535"/>
      <c r="AR47" s="174"/>
      <c r="AS47" s="172" t="str">
        <f>VLOOKUP(C48,'[1]NT 2'!$C$2:$J$259,8,0)</f>
        <v>02713</v>
      </c>
      <c r="AT47" s="575">
        <f t="shared" si="10"/>
        <v>0</v>
      </c>
    </row>
    <row r="48" spans="1:46" ht="24.75" customHeight="1">
      <c r="A48" s="1179">
        <v>36</v>
      </c>
      <c r="B48" s="1072">
        <v>36</v>
      </c>
      <c r="C48" s="759" t="s">
        <v>205</v>
      </c>
      <c r="D48" s="13" t="str">
        <f>VLOOKUP(C48,'[1]NT 2'!$C$2:$J$259,8,0)</f>
        <v>02713</v>
      </c>
      <c r="E48" s="1186" t="s">
        <v>55</v>
      </c>
      <c r="F48" s="1186" t="s">
        <v>55</v>
      </c>
      <c r="G48" s="1186" t="s">
        <v>55</v>
      </c>
      <c r="H48" s="1186" t="s">
        <v>118</v>
      </c>
      <c r="I48" s="1186" t="s">
        <v>55</v>
      </c>
      <c r="J48" s="1186" t="s">
        <v>55</v>
      </c>
      <c r="K48" s="1186" t="s">
        <v>55</v>
      </c>
      <c r="L48" s="1186" t="s">
        <v>55</v>
      </c>
      <c r="M48" s="1186" t="s">
        <v>55</v>
      </c>
      <c r="N48" s="1186" t="s">
        <v>55</v>
      </c>
      <c r="O48" s="1186" t="s">
        <v>118</v>
      </c>
      <c r="P48" s="1186" t="s">
        <v>55</v>
      </c>
      <c r="Q48" s="1186" t="s">
        <v>55</v>
      </c>
      <c r="R48" s="1186" t="s">
        <v>55</v>
      </c>
      <c r="S48" s="1186" t="s">
        <v>55</v>
      </c>
      <c r="T48" s="1186" t="s">
        <v>55</v>
      </c>
      <c r="U48" s="1186" t="s">
        <v>55</v>
      </c>
      <c r="V48" s="1186" t="s">
        <v>118</v>
      </c>
      <c r="W48" s="1186" t="s">
        <v>55</v>
      </c>
      <c r="X48" s="1186" t="s">
        <v>55</v>
      </c>
      <c r="Y48" s="1186" t="s">
        <v>55</v>
      </c>
      <c r="Z48" s="1186" t="s">
        <v>55</v>
      </c>
      <c r="AA48" s="1186" t="s">
        <v>55</v>
      </c>
      <c r="AB48" s="1186" t="s">
        <v>55</v>
      </c>
      <c r="AC48" s="1186" t="s">
        <v>118</v>
      </c>
      <c r="AD48" s="1186" t="s">
        <v>55</v>
      </c>
      <c r="AE48" s="1186" t="s">
        <v>55</v>
      </c>
      <c r="AF48" s="1186" t="s">
        <v>55</v>
      </c>
      <c r="AG48" s="1186" t="s">
        <v>55</v>
      </c>
      <c r="AH48" s="1186" t="s">
        <v>55</v>
      </c>
      <c r="AI48" s="908" t="s">
        <v>55</v>
      </c>
      <c r="AJ48" s="633">
        <f t="shared" si="3"/>
        <v>27</v>
      </c>
      <c r="AK48" s="634">
        <f t="shared" si="4"/>
        <v>4</v>
      </c>
      <c r="AL48" s="633">
        <f t="shared" si="5"/>
        <v>0</v>
      </c>
      <c r="AM48" s="633">
        <f t="shared" si="6"/>
        <v>0</v>
      </c>
      <c r="AN48" s="633">
        <f t="shared" si="7"/>
        <v>0</v>
      </c>
      <c r="AO48" s="634">
        <f t="shared" si="9"/>
        <v>0</v>
      </c>
      <c r="AP48" s="635">
        <f t="shared" si="8"/>
        <v>31</v>
      </c>
      <c r="AQ48" s="535"/>
      <c r="AR48" s="174"/>
      <c r="AS48" s="172" t="e">
        <f>VLOOKUP(C49,'[1]NT 2'!$C$2:$J$259,8,0)</f>
        <v>#N/A</v>
      </c>
      <c r="AT48" s="575" t="e">
        <f t="shared" si="10"/>
        <v>#N/A</v>
      </c>
    </row>
    <row r="49" spans="1:46" ht="24.75" customHeight="1">
      <c r="A49" s="1179">
        <v>37</v>
      </c>
      <c r="B49" s="1072">
        <v>37</v>
      </c>
      <c r="C49" s="499" t="s">
        <v>626</v>
      </c>
      <c r="D49" s="13" t="e">
        <f>VLOOKUP(C49,'[1]NT 2'!$C$2:$J$259,8,0)</f>
        <v>#N/A</v>
      </c>
      <c r="E49" s="1186" t="s">
        <v>55</v>
      </c>
      <c r="F49" s="1186" t="s">
        <v>55</v>
      </c>
      <c r="G49" s="1186" t="s">
        <v>55</v>
      </c>
      <c r="H49" s="1186" t="s">
        <v>118</v>
      </c>
      <c r="I49" s="1186" t="s">
        <v>55</v>
      </c>
      <c r="J49" s="1186" t="s">
        <v>55</v>
      </c>
      <c r="K49" s="1186" t="s">
        <v>55</v>
      </c>
      <c r="L49" s="1186" t="s">
        <v>55</v>
      </c>
      <c r="M49" s="1186" t="s">
        <v>55</v>
      </c>
      <c r="N49" s="1186" t="s">
        <v>55</v>
      </c>
      <c r="O49" s="1186" t="s">
        <v>118</v>
      </c>
      <c r="P49" s="1186" t="s">
        <v>55</v>
      </c>
      <c r="Q49" s="1186" t="s">
        <v>55</v>
      </c>
      <c r="R49" s="1186" t="s">
        <v>55</v>
      </c>
      <c r="S49" s="1186" t="s">
        <v>55</v>
      </c>
      <c r="T49" s="1186" t="s">
        <v>55</v>
      </c>
      <c r="U49" s="1186" t="s">
        <v>55</v>
      </c>
      <c r="V49" s="1186" t="s">
        <v>118</v>
      </c>
      <c r="W49" s="1186" t="s">
        <v>55</v>
      </c>
      <c r="X49" s="1186" t="s">
        <v>55</v>
      </c>
      <c r="Y49" s="1186" t="s">
        <v>55</v>
      </c>
      <c r="Z49" s="1186" t="s">
        <v>55</v>
      </c>
      <c r="AA49" s="1186" t="s">
        <v>55</v>
      </c>
      <c r="AB49" s="1186" t="s">
        <v>55</v>
      </c>
      <c r="AC49" s="1186" t="s">
        <v>118</v>
      </c>
      <c r="AD49" s="1186" t="s">
        <v>55</v>
      </c>
      <c r="AE49" s="1186" t="s">
        <v>55</v>
      </c>
      <c r="AF49" s="1186" t="s">
        <v>55</v>
      </c>
      <c r="AG49" s="1186" t="s">
        <v>55</v>
      </c>
      <c r="AH49" s="1186" t="s">
        <v>55</v>
      </c>
      <c r="AI49" s="908" t="s">
        <v>55</v>
      </c>
      <c r="AJ49" s="633">
        <f t="shared" si="3"/>
        <v>27</v>
      </c>
      <c r="AK49" s="634">
        <f t="shared" si="4"/>
        <v>4</v>
      </c>
      <c r="AL49" s="633">
        <f t="shared" si="5"/>
        <v>0</v>
      </c>
      <c r="AM49" s="633">
        <f t="shared" si="6"/>
        <v>0</v>
      </c>
      <c r="AN49" s="633">
        <f t="shared" si="7"/>
        <v>0</v>
      </c>
      <c r="AO49" s="634">
        <f t="shared" si="9"/>
        <v>0</v>
      </c>
      <c r="AP49" s="635">
        <f t="shared" si="8"/>
        <v>31</v>
      </c>
      <c r="AQ49" s="535"/>
      <c r="AR49" s="174"/>
      <c r="AS49" s="172" t="str">
        <f>VLOOKUP(C50,'[1]NT 2'!$C$2:$J$259,8,0)</f>
        <v>03487</v>
      </c>
      <c r="AT49" s="575">
        <f t="shared" si="10"/>
        <v>0</v>
      </c>
    </row>
    <row r="50" spans="1:46" ht="24.75" customHeight="1">
      <c r="A50" s="1179">
        <v>38</v>
      </c>
      <c r="B50" s="1072">
        <v>38</v>
      </c>
      <c r="C50" s="276" t="s">
        <v>248</v>
      </c>
      <c r="D50" s="13" t="str">
        <f>VLOOKUP(C50,'[1]NT 2'!$C$2:$J$259,8,0)</f>
        <v>03487</v>
      </c>
      <c r="E50" s="1186" t="s">
        <v>55</v>
      </c>
      <c r="F50" s="1186" t="s">
        <v>55</v>
      </c>
      <c r="G50" s="1186" t="s">
        <v>55</v>
      </c>
      <c r="H50" s="1186"/>
      <c r="I50" s="1186" t="s">
        <v>55</v>
      </c>
      <c r="J50" s="1186" t="s">
        <v>55</v>
      </c>
      <c r="K50" s="1186"/>
      <c r="L50" s="1186" t="s">
        <v>55</v>
      </c>
      <c r="M50" s="1186"/>
      <c r="N50" s="1186" t="s">
        <v>55</v>
      </c>
      <c r="O50" s="1186" t="s">
        <v>118</v>
      </c>
      <c r="P50" s="1186" t="s">
        <v>55</v>
      </c>
      <c r="Q50" s="1186" t="s">
        <v>55</v>
      </c>
      <c r="R50" s="1186"/>
      <c r="S50" s="1186"/>
      <c r="T50" s="1186" t="s">
        <v>55</v>
      </c>
      <c r="U50" s="1186" t="s">
        <v>55</v>
      </c>
      <c r="V50" s="1186" t="s">
        <v>118</v>
      </c>
      <c r="W50" s="1186"/>
      <c r="X50" s="1186" t="s">
        <v>55</v>
      </c>
      <c r="Y50" s="1186" t="s">
        <v>55</v>
      </c>
      <c r="Z50" s="1186" t="s">
        <v>55</v>
      </c>
      <c r="AA50" s="1186" t="s">
        <v>55</v>
      </c>
      <c r="AB50" s="1186" t="s">
        <v>55</v>
      </c>
      <c r="AC50" s="1186" t="s">
        <v>118</v>
      </c>
      <c r="AD50" s="1186" t="s">
        <v>55</v>
      </c>
      <c r="AE50" s="1186" t="s">
        <v>55</v>
      </c>
      <c r="AF50" s="1186" t="s">
        <v>55</v>
      </c>
      <c r="AG50" s="1186" t="s">
        <v>55</v>
      </c>
      <c r="AH50" s="1186" t="s">
        <v>55</v>
      </c>
      <c r="AI50" s="908" t="s">
        <v>55</v>
      </c>
      <c r="AJ50" s="633">
        <f t="shared" si="3"/>
        <v>22</v>
      </c>
      <c r="AK50" s="634">
        <f t="shared" si="4"/>
        <v>3</v>
      </c>
      <c r="AL50" s="633">
        <f t="shared" si="5"/>
        <v>0</v>
      </c>
      <c r="AM50" s="633">
        <f t="shared" si="6"/>
        <v>0</v>
      </c>
      <c r="AN50" s="633">
        <f t="shared" si="7"/>
        <v>0</v>
      </c>
      <c r="AO50" s="634">
        <f t="shared" si="9"/>
        <v>0</v>
      </c>
      <c r="AP50" s="635">
        <f t="shared" si="8"/>
        <v>25</v>
      </c>
      <c r="AQ50" s="535"/>
      <c r="AR50" s="174"/>
      <c r="AS50" s="172" t="str">
        <f>VLOOKUP(C51,'[1]NT 2'!$C$2:$J$259,8,0)</f>
        <v>03488</v>
      </c>
      <c r="AT50" s="575">
        <f t="shared" si="10"/>
        <v>0</v>
      </c>
    </row>
    <row r="51" spans="1:46" ht="24.75" customHeight="1">
      <c r="A51" s="1179">
        <v>39</v>
      </c>
      <c r="B51" s="1072">
        <v>39</v>
      </c>
      <c r="C51" s="499" t="s">
        <v>225</v>
      </c>
      <c r="D51" s="13" t="str">
        <f>VLOOKUP(C51,'[1]NT 2'!$C$2:$J$259,8,0)</f>
        <v>03488</v>
      </c>
      <c r="E51" s="1186" t="s">
        <v>55</v>
      </c>
      <c r="F51" s="1186" t="s">
        <v>55</v>
      </c>
      <c r="G51" s="1186" t="s">
        <v>55</v>
      </c>
      <c r="H51" s="1186" t="s">
        <v>118</v>
      </c>
      <c r="I51" s="1186" t="s">
        <v>55</v>
      </c>
      <c r="J51" s="1186" t="s">
        <v>55</v>
      </c>
      <c r="K51" s="1186" t="s">
        <v>55</v>
      </c>
      <c r="L51" s="1186" t="s">
        <v>55</v>
      </c>
      <c r="M51" s="1186" t="s">
        <v>55</v>
      </c>
      <c r="N51" s="1186" t="s">
        <v>55</v>
      </c>
      <c r="O51" s="1186" t="s">
        <v>118</v>
      </c>
      <c r="P51" s="1186" t="s">
        <v>55</v>
      </c>
      <c r="Q51" s="1186" t="s">
        <v>55</v>
      </c>
      <c r="R51" s="1186" t="s">
        <v>55</v>
      </c>
      <c r="S51" s="1186" t="s">
        <v>55</v>
      </c>
      <c r="T51" s="1186" t="s">
        <v>55</v>
      </c>
      <c r="U51" s="1186" t="s">
        <v>55</v>
      </c>
      <c r="V51" s="1186" t="s">
        <v>118</v>
      </c>
      <c r="W51" s="1186" t="s">
        <v>55</v>
      </c>
      <c r="X51" s="1186" t="s">
        <v>55</v>
      </c>
      <c r="Y51" s="1186" t="s">
        <v>55</v>
      </c>
      <c r="Z51" s="1186" t="s">
        <v>55</v>
      </c>
      <c r="AA51" s="1186" t="s">
        <v>55</v>
      </c>
      <c r="AB51" s="1186" t="s">
        <v>55</v>
      </c>
      <c r="AC51" s="1186" t="s">
        <v>118</v>
      </c>
      <c r="AD51" s="1186" t="s">
        <v>55</v>
      </c>
      <c r="AE51" s="1186" t="s">
        <v>55</v>
      </c>
      <c r="AF51" s="1186" t="s">
        <v>55</v>
      </c>
      <c r="AG51" s="1186" t="s">
        <v>55</v>
      </c>
      <c r="AH51" s="1186" t="s">
        <v>55</v>
      </c>
      <c r="AI51" s="908" t="s">
        <v>55</v>
      </c>
      <c r="AJ51" s="633">
        <f t="shared" si="3"/>
        <v>27</v>
      </c>
      <c r="AK51" s="634">
        <f t="shared" si="4"/>
        <v>4</v>
      </c>
      <c r="AL51" s="633">
        <f t="shared" si="5"/>
        <v>0</v>
      </c>
      <c r="AM51" s="633">
        <f t="shared" si="6"/>
        <v>0</v>
      </c>
      <c r="AN51" s="633">
        <f t="shared" si="7"/>
        <v>0</v>
      </c>
      <c r="AO51" s="634">
        <f t="shared" si="9"/>
        <v>0</v>
      </c>
      <c r="AP51" s="635">
        <f t="shared" si="8"/>
        <v>31</v>
      </c>
      <c r="AQ51" s="535"/>
      <c r="AR51" s="174"/>
      <c r="AS51" s="172" t="str">
        <f>VLOOKUP(C52,'[1]NT 2'!$C$2:$J$259,8,0)</f>
        <v>03489</v>
      </c>
      <c r="AT51" s="575">
        <f t="shared" si="10"/>
        <v>0</v>
      </c>
    </row>
    <row r="52" spans="1:46" ht="24.75" customHeight="1">
      <c r="A52" s="1179">
        <v>40</v>
      </c>
      <c r="B52" s="1072">
        <v>40</v>
      </c>
      <c r="C52" s="759" t="s">
        <v>233</v>
      </c>
      <c r="D52" s="13" t="str">
        <f>VLOOKUP(C52,'[1]NT 2'!$C$2:$J$259,8,0)</f>
        <v>03489</v>
      </c>
      <c r="E52" s="1186" t="s">
        <v>55</v>
      </c>
      <c r="F52" s="1186" t="s">
        <v>55</v>
      </c>
      <c r="G52" s="1186" t="s">
        <v>55</v>
      </c>
      <c r="H52" s="1186"/>
      <c r="I52" s="1186" t="s">
        <v>55</v>
      </c>
      <c r="J52" s="1186" t="s">
        <v>55</v>
      </c>
      <c r="K52" s="1186"/>
      <c r="L52" s="1186" t="s">
        <v>55</v>
      </c>
      <c r="M52" s="1186"/>
      <c r="N52" s="1186" t="s">
        <v>55</v>
      </c>
      <c r="O52" s="1186" t="s">
        <v>118</v>
      </c>
      <c r="P52" s="1186" t="s">
        <v>55</v>
      </c>
      <c r="Q52" s="1186" t="s">
        <v>55</v>
      </c>
      <c r="R52" s="1186"/>
      <c r="S52" s="1186"/>
      <c r="T52" s="1186" t="s">
        <v>55</v>
      </c>
      <c r="U52" s="1186" t="s">
        <v>55</v>
      </c>
      <c r="V52" s="1186" t="s">
        <v>118</v>
      </c>
      <c r="W52" s="1186" t="s">
        <v>55</v>
      </c>
      <c r="X52" s="1186" t="s">
        <v>55</v>
      </c>
      <c r="Y52" s="1186" t="s">
        <v>55</v>
      </c>
      <c r="Z52" s="1186" t="s">
        <v>55</v>
      </c>
      <c r="AA52" s="1186" t="s">
        <v>55</v>
      </c>
      <c r="AB52" s="1186" t="s">
        <v>55</v>
      </c>
      <c r="AC52" s="1186" t="s">
        <v>118</v>
      </c>
      <c r="AD52" s="1186" t="s">
        <v>55</v>
      </c>
      <c r="AE52" s="1186" t="s">
        <v>55</v>
      </c>
      <c r="AF52" s="1186" t="s">
        <v>55</v>
      </c>
      <c r="AG52" s="1186" t="s">
        <v>55</v>
      </c>
      <c r="AH52" s="1186" t="s">
        <v>55</v>
      </c>
      <c r="AI52" s="908" t="s">
        <v>55</v>
      </c>
      <c r="AJ52" s="633">
        <f t="shared" si="3"/>
        <v>23</v>
      </c>
      <c r="AK52" s="634">
        <f t="shared" si="4"/>
        <v>3</v>
      </c>
      <c r="AL52" s="633">
        <f t="shared" si="5"/>
        <v>0</v>
      </c>
      <c r="AM52" s="633">
        <f t="shared" si="6"/>
        <v>0</v>
      </c>
      <c r="AN52" s="633">
        <f t="shared" si="7"/>
        <v>0</v>
      </c>
      <c r="AO52" s="634">
        <f t="shared" si="9"/>
        <v>0</v>
      </c>
      <c r="AP52" s="635">
        <f t="shared" si="8"/>
        <v>26</v>
      </c>
      <c r="AQ52" s="535"/>
      <c r="AR52" s="174"/>
      <c r="AS52" s="172" t="e">
        <f>VLOOKUP(C53,'[1]NT 2'!$C$2:$J$259,8,0)</f>
        <v>#N/A</v>
      </c>
      <c r="AT52" s="575" t="e">
        <f t="shared" si="10"/>
        <v>#N/A</v>
      </c>
    </row>
    <row r="53" spans="1:46" ht="24.75" customHeight="1">
      <c r="A53" s="1179">
        <v>41</v>
      </c>
      <c r="B53" s="1072">
        <v>41</v>
      </c>
      <c r="C53" s="760" t="s">
        <v>477</v>
      </c>
      <c r="E53" s="1186" t="s">
        <v>55</v>
      </c>
      <c r="F53" s="1186" t="s">
        <v>55</v>
      </c>
      <c r="G53" s="1186" t="s">
        <v>55</v>
      </c>
      <c r="H53" s="1186" t="s">
        <v>118</v>
      </c>
      <c r="I53" s="1186" t="s">
        <v>55</v>
      </c>
      <c r="J53" s="1186" t="s">
        <v>55</v>
      </c>
      <c r="K53" s="1186" t="s">
        <v>55</v>
      </c>
      <c r="L53" s="1186" t="s">
        <v>55</v>
      </c>
      <c r="M53" s="1186" t="s">
        <v>55</v>
      </c>
      <c r="N53" s="1186" t="s">
        <v>55</v>
      </c>
      <c r="O53" s="1186" t="s">
        <v>118</v>
      </c>
      <c r="P53" s="1186" t="s">
        <v>55</v>
      </c>
      <c r="Q53" s="1186" t="s">
        <v>55</v>
      </c>
      <c r="R53" s="1186" t="s">
        <v>55</v>
      </c>
      <c r="S53" s="1186" t="s">
        <v>55</v>
      </c>
      <c r="T53" s="1186" t="s">
        <v>55</v>
      </c>
      <c r="U53" s="1186" t="s">
        <v>55</v>
      </c>
      <c r="V53" s="1186" t="s">
        <v>118</v>
      </c>
      <c r="W53" s="1186" t="s">
        <v>55</v>
      </c>
      <c r="X53" s="1186" t="s">
        <v>55</v>
      </c>
      <c r="Y53" s="1186" t="s">
        <v>55</v>
      </c>
      <c r="Z53" s="1186" t="s">
        <v>55</v>
      </c>
      <c r="AA53" s="1186" t="s">
        <v>55</v>
      </c>
      <c r="AB53" s="1186" t="s">
        <v>55</v>
      </c>
      <c r="AC53" s="1186" t="s">
        <v>118</v>
      </c>
      <c r="AD53" s="1186" t="s">
        <v>55</v>
      </c>
      <c r="AE53" s="1186" t="s">
        <v>55</v>
      </c>
      <c r="AF53" s="1186" t="s">
        <v>55</v>
      </c>
      <c r="AG53" s="1186" t="s">
        <v>55</v>
      </c>
      <c r="AH53" s="1186" t="s">
        <v>55</v>
      </c>
      <c r="AI53" s="908" t="s">
        <v>55</v>
      </c>
      <c r="AJ53" s="633">
        <f t="shared" si="3"/>
        <v>27</v>
      </c>
      <c r="AK53" s="634">
        <f t="shared" si="4"/>
        <v>4</v>
      </c>
      <c r="AL53" s="633">
        <f t="shared" si="5"/>
        <v>0</v>
      </c>
      <c r="AM53" s="633">
        <f t="shared" si="6"/>
        <v>0</v>
      </c>
      <c r="AN53" s="633">
        <f t="shared" si="7"/>
        <v>0</v>
      </c>
      <c r="AO53" s="634">
        <f t="shared" si="9"/>
        <v>0</v>
      </c>
      <c r="AP53" s="635">
        <f t="shared" si="8"/>
        <v>31</v>
      </c>
      <c r="AQ53" s="535"/>
      <c r="AR53" s="174"/>
      <c r="AS53" s="172" t="str">
        <f>VLOOKUP(C54,'[1]NT 2'!$C$2:$J$259,8,0)</f>
        <v>03491</v>
      </c>
      <c r="AT53" s="575">
        <f t="shared" si="10"/>
        <v>0</v>
      </c>
    </row>
    <row r="54" spans="1:46" ht="24.75" customHeight="1">
      <c r="A54" s="1179">
        <v>42</v>
      </c>
      <c r="B54" s="1072">
        <v>42</v>
      </c>
      <c r="C54" s="135" t="s">
        <v>217</v>
      </c>
      <c r="D54" s="13" t="str">
        <f>VLOOKUP(C54,'[1]NT 2'!$C$2:$J$259,8,0)</f>
        <v>03491</v>
      </c>
      <c r="E54" s="1186" t="s">
        <v>55</v>
      </c>
      <c r="F54" s="1186" t="s">
        <v>55</v>
      </c>
      <c r="G54" s="1186" t="s">
        <v>55</v>
      </c>
      <c r="H54" s="1186" t="s">
        <v>118</v>
      </c>
      <c r="I54" s="1186" t="s">
        <v>55</v>
      </c>
      <c r="J54" s="1186" t="s">
        <v>55</v>
      </c>
      <c r="K54" s="1186" t="s">
        <v>55</v>
      </c>
      <c r="L54" s="1186" t="s">
        <v>55</v>
      </c>
      <c r="M54" s="1186" t="s">
        <v>55</v>
      </c>
      <c r="N54" s="1186" t="s">
        <v>55</v>
      </c>
      <c r="O54" s="1186" t="s">
        <v>118</v>
      </c>
      <c r="P54" s="1186" t="s">
        <v>55</v>
      </c>
      <c r="Q54" s="1186" t="s">
        <v>55</v>
      </c>
      <c r="R54" s="1186" t="s">
        <v>55</v>
      </c>
      <c r="S54" s="1186" t="s">
        <v>55</v>
      </c>
      <c r="T54" s="1186" t="s">
        <v>55</v>
      </c>
      <c r="U54" s="1186" t="s">
        <v>55</v>
      </c>
      <c r="V54" s="1186" t="s">
        <v>118</v>
      </c>
      <c r="W54" s="1186" t="s">
        <v>55</v>
      </c>
      <c r="X54" s="1186" t="s">
        <v>55</v>
      </c>
      <c r="Y54" s="1186" t="s">
        <v>55</v>
      </c>
      <c r="Z54" s="1186" t="s">
        <v>55</v>
      </c>
      <c r="AA54" s="1186" t="s">
        <v>55</v>
      </c>
      <c r="AB54" s="1186" t="s">
        <v>55</v>
      </c>
      <c r="AC54" s="1186" t="s">
        <v>118</v>
      </c>
      <c r="AD54" s="1186" t="s">
        <v>55</v>
      </c>
      <c r="AE54" s="1186" t="s">
        <v>55</v>
      </c>
      <c r="AF54" s="1186" t="s">
        <v>55</v>
      </c>
      <c r="AG54" s="1186" t="s">
        <v>55</v>
      </c>
      <c r="AH54" s="1186" t="s">
        <v>55</v>
      </c>
      <c r="AI54" s="908" t="s">
        <v>55</v>
      </c>
      <c r="AJ54" s="633">
        <f t="shared" si="3"/>
        <v>27</v>
      </c>
      <c r="AK54" s="634">
        <f t="shared" si="4"/>
        <v>4</v>
      </c>
      <c r="AL54" s="633">
        <f t="shared" si="5"/>
        <v>0</v>
      </c>
      <c r="AM54" s="633">
        <f t="shared" si="6"/>
        <v>0</v>
      </c>
      <c r="AN54" s="633">
        <f t="shared" si="7"/>
        <v>0</v>
      </c>
      <c r="AO54" s="634">
        <f t="shared" si="9"/>
        <v>0</v>
      </c>
      <c r="AP54" s="635">
        <f t="shared" si="8"/>
        <v>31</v>
      </c>
      <c r="AQ54" s="535"/>
      <c r="AR54" s="174"/>
      <c r="AS54" s="172" t="e">
        <f>VLOOKUP(C55,'[1]NT 2'!$C$2:$J$259,8,0)</f>
        <v>#N/A</v>
      </c>
      <c r="AT54" s="575" t="e">
        <f t="shared" si="10"/>
        <v>#N/A</v>
      </c>
    </row>
    <row r="55" spans="1:46" ht="24.75" customHeight="1">
      <c r="A55" s="1179">
        <v>43</v>
      </c>
      <c r="B55" s="1072">
        <v>43</v>
      </c>
      <c r="C55" s="759" t="s">
        <v>607</v>
      </c>
      <c r="D55" s="13" t="e">
        <f>VLOOKUP(C55,'[1]NT 2'!$C$2:$J$259,8,0)</f>
        <v>#N/A</v>
      </c>
      <c r="E55" s="1186" t="s">
        <v>55</v>
      </c>
      <c r="F55" s="1186" t="s">
        <v>55</v>
      </c>
      <c r="G55" s="1186" t="s">
        <v>55</v>
      </c>
      <c r="H55" s="1186" t="s">
        <v>118</v>
      </c>
      <c r="I55" s="1186" t="s">
        <v>55</v>
      </c>
      <c r="J55" s="1186" t="s">
        <v>55</v>
      </c>
      <c r="K55" s="1186" t="s">
        <v>55</v>
      </c>
      <c r="L55" s="1186" t="s">
        <v>55</v>
      </c>
      <c r="M55" s="1186" t="s">
        <v>55</v>
      </c>
      <c r="N55" s="1186" t="s">
        <v>55</v>
      </c>
      <c r="O55" s="1186" t="s">
        <v>118</v>
      </c>
      <c r="P55" s="1186" t="s">
        <v>55</v>
      </c>
      <c r="Q55" s="1186" t="s">
        <v>55</v>
      </c>
      <c r="R55" s="1186" t="s">
        <v>55</v>
      </c>
      <c r="S55" s="1186" t="s">
        <v>55</v>
      </c>
      <c r="T55" s="1186" t="s">
        <v>55</v>
      </c>
      <c r="U55" s="1186" t="s">
        <v>55</v>
      </c>
      <c r="V55" s="1186" t="s">
        <v>118</v>
      </c>
      <c r="W55" s="1186" t="s">
        <v>55</v>
      </c>
      <c r="X55" s="1186" t="s">
        <v>55</v>
      </c>
      <c r="Y55" s="1186" t="s">
        <v>55</v>
      </c>
      <c r="Z55" s="1186" t="s">
        <v>55</v>
      </c>
      <c r="AA55" s="1186" t="s">
        <v>55</v>
      </c>
      <c r="AB55" s="1186" t="s">
        <v>55</v>
      </c>
      <c r="AC55" s="1186" t="s">
        <v>118</v>
      </c>
      <c r="AD55" s="1186" t="s">
        <v>55</v>
      </c>
      <c r="AE55" s="1186" t="s">
        <v>55</v>
      </c>
      <c r="AF55" s="1186" t="s">
        <v>55</v>
      </c>
      <c r="AG55" s="1186" t="s">
        <v>55</v>
      </c>
      <c r="AH55" s="1186" t="s">
        <v>55</v>
      </c>
      <c r="AI55" s="908" t="s">
        <v>55</v>
      </c>
      <c r="AJ55" s="633">
        <f t="shared" si="3"/>
        <v>27</v>
      </c>
      <c r="AK55" s="634">
        <f t="shared" si="4"/>
        <v>4</v>
      </c>
      <c r="AL55" s="633">
        <f t="shared" si="5"/>
        <v>0</v>
      </c>
      <c r="AM55" s="633">
        <f t="shared" si="6"/>
        <v>0</v>
      </c>
      <c r="AN55" s="633">
        <f t="shared" si="7"/>
        <v>0</v>
      </c>
      <c r="AO55" s="634">
        <f t="shared" si="9"/>
        <v>0</v>
      </c>
      <c r="AP55" s="635">
        <f t="shared" si="8"/>
        <v>31</v>
      </c>
      <c r="AQ55" s="535"/>
      <c r="AR55" s="174"/>
      <c r="AS55" s="172" t="str">
        <f>VLOOKUP(C56,'[1]NT 2'!$C$2:$J$259,8,0)</f>
        <v>03492</v>
      </c>
      <c r="AT55" s="575">
        <f t="shared" si="10"/>
        <v>0</v>
      </c>
    </row>
    <row r="56" spans="1:46" ht="24.75" customHeight="1">
      <c r="A56" s="1179">
        <v>44</v>
      </c>
      <c r="B56" s="1072">
        <v>44</v>
      </c>
      <c r="C56" s="759" t="s">
        <v>256</v>
      </c>
      <c r="D56" s="13" t="str">
        <f>VLOOKUP(C56,'[1]NT 2'!$C$2:$J$259,8,0)</f>
        <v>03492</v>
      </c>
      <c r="E56" s="1186" t="s">
        <v>55</v>
      </c>
      <c r="F56" s="1186" t="s">
        <v>55</v>
      </c>
      <c r="G56" s="1186" t="s">
        <v>55</v>
      </c>
      <c r="H56" s="1186" t="s">
        <v>118</v>
      </c>
      <c r="I56" s="1186" t="s">
        <v>55</v>
      </c>
      <c r="J56" s="1186"/>
      <c r="K56" s="1186"/>
      <c r="L56" s="1186" t="s">
        <v>55</v>
      </c>
      <c r="M56" s="1186" t="s">
        <v>55</v>
      </c>
      <c r="N56" s="1186" t="s">
        <v>55</v>
      </c>
      <c r="O56" s="1186" t="s">
        <v>118</v>
      </c>
      <c r="P56" s="1186" t="s">
        <v>55</v>
      </c>
      <c r="Q56" s="1186" t="s">
        <v>55</v>
      </c>
      <c r="R56" s="1186" t="s">
        <v>55</v>
      </c>
      <c r="S56" s="1186" t="s">
        <v>55</v>
      </c>
      <c r="T56" s="1186" t="s">
        <v>55</v>
      </c>
      <c r="U56" s="1186" t="s">
        <v>55</v>
      </c>
      <c r="V56" s="1186" t="s">
        <v>118</v>
      </c>
      <c r="W56" s="1186" t="s">
        <v>55</v>
      </c>
      <c r="X56" s="1186" t="s">
        <v>55</v>
      </c>
      <c r="Y56" s="1186" t="s">
        <v>55</v>
      </c>
      <c r="Z56" s="1186" t="s">
        <v>55</v>
      </c>
      <c r="AA56" s="1186" t="s">
        <v>55</v>
      </c>
      <c r="AB56" s="1186" t="s">
        <v>55</v>
      </c>
      <c r="AC56" s="1186" t="s">
        <v>118</v>
      </c>
      <c r="AD56" s="1186" t="s">
        <v>55</v>
      </c>
      <c r="AE56" s="1186" t="s">
        <v>55</v>
      </c>
      <c r="AF56" s="1186" t="s">
        <v>55</v>
      </c>
      <c r="AG56" s="1186" t="s">
        <v>55</v>
      </c>
      <c r="AH56" s="1186" t="s">
        <v>55</v>
      </c>
      <c r="AI56" s="908" t="s">
        <v>55</v>
      </c>
      <c r="AJ56" s="633">
        <f t="shared" si="3"/>
        <v>25</v>
      </c>
      <c r="AK56" s="634">
        <f t="shared" si="4"/>
        <v>4</v>
      </c>
      <c r="AL56" s="633">
        <f t="shared" si="5"/>
        <v>0</v>
      </c>
      <c r="AM56" s="633">
        <f t="shared" si="6"/>
        <v>0</v>
      </c>
      <c r="AN56" s="633">
        <f t="shared" si="7"/>
        <v>0</v>
      </c>
      <c r="AO56" s="634">
        <f t="shared" si="9"/>
        <v>0</v>
      </c>
      <c r="AP56" s="635">
        <f t="shared" si="8"/>
        <v>29</v>
      </c>
      <c r="AQ56" s="535"/>
      <c r="AR56" s="174"/>
      <c r="AS56" s="172" t="str">
        <f>VLOOKUP(C57,'[1]NT 2'!$C$2:$J$259,8,0)</f>
        <v>03493</v>
      </c>
      <c r="AT56" s="575">
        <f t="shared" si="10"/>
        <v>0</v>
      </c>
    </row>
    <row r="57" spans="1:46" ht="24.75" customHeight="1">
      <c r="A57" s="1179">
        <v>45</v>
      </c>
      <c r="B57" s="1072">
        <v>45</v>
      </c>
      <c r="C57" s="499" t="s">
        <v>226</v>
      </c>
      <c r="D57" s="13" t="str">
        <f>VLOOKUP(C57,'[1]NT 2'!$C$2:$J$259,8,0)</f>
        <v>03493</v>
      </c>
      <c r="E57" s="1186" t="s">
        <v>55</v>
      </c>
      <c r="F57" s="1186" t="s">
        <v>55</v>
      </c>
      <c r="G57" s="1186" t="s">
        <v>55</v>
      </c>
      <c r="H57" s="1186" t="s">
        <v>118</v>
      </c>
      <c r="I57" s="1186" t="s">
        <v>55</v>
      </c>
      <c r="J57" s="1186" t="s">
        <v>55</v>
      </c>
      <c r="K57" s="1186"/>
      <c r="L57" s="1186" t="s">
        <v>55</v>
      </c>
      <c r="M57" s="1186" t="s">
        <v>55</v>
      </c>
      <c r="N57" s="1186" t="s">
        <v>55</v>
      </c>
      <c r="O57" s="1186" t="s">
        <v>118</v>
      </c>
      <c r="P57" s="1186" t="s">
        <v>55</v>
      </c>
      <c r="Q57" s="1186" t="s">
        <v>55</v>
      </c>
      <c r="R57" s="1186" t="s">
        <v>55</v>
      </c>
      <c r="S57" s="1186" t="s">
        <v>55</v>
      </c>
      <c r="T57" s="1186" t="s">
        <v>55</v>
      </c>
      <c r="U57" s="1186" t="s">
        <v>55</v>
      </c>
      <c r="V57" s="1186" t="s">
        <v>118</v>
      </c>
      <c r="W57" s="1186" t="s">
        <v>55</v>
      </c>
      <c r="X57" s="1186" t="s">
        <v>55</v>
      </c>
      <c r="Y57" s="1186" t="s">
        <v>55</v>
      </c>
      <c r="Z57" s="1186" t="s">
        <v>55</v>
      </c>
      <c r="AA57" s="1186" t="s">
        <v>55</v>
      </c>
      <c r="AB57" s="1186" t="s">
        <v>55</v>
      </c>
      <c r="AC57" s="1186" t="s">
        <v>118</v>
      </c>
      <c r="AD57" s="1186" t="s">
        <v>55</v>
      </c>
      <c r="AE57" s="1186" t="s">
        <v>55</v>
      </c>
      <c r="AF57" s="1186" t="s">
        <v>55</v>
      </c>
      <c r="AG57" s="1186" t="s">
        <v>55</v>
      </c>
      <c r="AH57" s="1186" t="s">
        <v>55</v>
      </c>
      <c r="AI57" s="908" t="s">
        <v>55</v>
      </c>
      <c r="AJ57" s="633">
        <f t="shared" si="3"/>
        <v>26</v>
      </c>
      <c r="AK57" s="634">
        <f t="shared" si="4"/>
        <v>4</v>
      </c>
      <c r="AL57" s="633">
        <f t="shared" si="5"/>
        <v>0</v>
      </c>
      <c r="AM57" s="633">
        <f t="shared" si="6"/>
        <v>0</v>
      </c>
      <c r="AN57" s="633">
        <f t="shared" si="7"/>
        <v>0</v>
      </c>
      <c r="AO57" s="634">
        <f t="shared" si="9"/>
        <v>0</v>
      </c>
      <c r="AP57" s="635">
        <f t="shared" si="8"/>
        <v>30</v>
      </c>
      <c r="AQ57" s="535"/>
      <c r="AR57" s="174"/>
      <c r="AS57" s="172" t="str">
        <f>VLOOKUP(C58,'[1]NT 2'!$C$2:$J$259,8,0)</f>
        <v>03496</v>
      </c>
      <c r="AT57" s="575">
        <f t="shared" si="10"/>
        <v>0</v>
      </c>
    </row>
    <row r="58" spans="1:46" ht="24.75" customHeight="1">
      <c r="A58" s="1179">
        <v>46</v>
      </c>
      <c r="B58" s="1072">
        <v>46</v>
      </c>
      <c r="C58" s="499" t="s">
        <v>330</v>
      </c>
      <c r="D58" s="13" t="str">
        <f>VLOOKUP(C58,'[1]NT 2'!$C$2:$J$259,8,0)</f>
        <v>03496</v>
      </c>
      <c r="E58" s="1186" t="s">
        <v>55</v>
      </c>
      <c r="F58" s="1186"/>
      <c r="G58" s="1186" t="s">
        <v>55</v>
      </c>
      <c r="H58" s="1186" t="s">
        <v>118</v>
      </c>
      <c r="I58" s="1186" t="s">
        <v>55</v>
      </c>
      <c r="J58" s="1186" t="s">
        <v>55</v>
      </c>
      <c r="K58" s="1186" t="s">
        <v>55</v>
      </c>
      <c r="L58" s="1186" t="s">
        <v>55</v>
      </c>
      <c r="M58" s="1186" t="s">
        <v>55</v>
      </c>
      <c r="N58" s="1186"/>
      <c r="O58" s="1186" t="s">
        <v>118</v>
      </c>
      <c r="P58" s="1186" t="s">
        <v>55</v>
      </c>
      <c r="Q58" s="1186" t="s">
        <v>55</v>
      </c>
      <c r="R58" s="1186" t="s">
        <v>55</v>
      </c>
      <c r="S58" s="1186" t="s">
        <v>55</v>
      </c>
      <c r="T58" s="1186" t="s">
        <v>55</v>
      </c>
      <c r="U58" s="1186" t="s">
        <v>55</v>
      </c>
      <c r="V58" s="1186" t="s">
        <v>118</v>
      </c>
      <c r="W58" s="1186" t="s">
        <v>55</v>
      </c>
      <c r="X58" s="1186" t="s">
        <v>55</v>
      </c>
      <c r="Y58" s="1186" t="s">
        <v>678</v>
      </c>
      <c r="Z58" s="1186" t="s">
        <v>55</v>
      </c>
      <c r="AA58" s="1186" t="s">
        <v>55</v>
      </c>
      <c r="AB58" s="1186" t="s">
        <v>55</v>
      </c>
      <c r="AC58" s="1186" t="s">
        <v>118</v>
      </c>
      <c r="AD58" s="1186" t="s">
        <v>55</v>
      </c>
      <c r="AE58" s="1186" t="s">
        <v>55</v>
      </c>
      <c r="AF58" s="1186" t="s">
        <v>55</v>
      </c>
      <c r="AG58" s="1186" t="s">
        <v>55</v>
      </c>
      <c r="AH58" s="1186" t="s">
        <v>55</v>
      </c>
      <c r="AI58" s="908" t="s">
        <v>55</v>
      </c>
      <c r="AJ58" s="633">
        <f t="shared" si="3"/>
        <v>24</v>
      </c>
      <c r="AK58" s="634">
        <f t="shared" si="4"/>
        <v>4</v>
      </c>
      <c r="AL58" s="633">
        <f t="shared" si="5"/>
        <v>0</v>
      </c>
      <c r="AM58" s="633">
        <f t="shared" si="6"/>
        <v>0</v>
      </c>
      <c r="AN58" s="633">
        <f t="shared" si="7"/>
        <v>0</v>
      </c>
      <c r="AO58" s="634">
        <f t="shared" si="9"/>
        <v>0</v>
      </c>
      <c r="AP58" s="635">
        <f t="shared" si="8"/>
        <v>28</v>
      </c>
      <c r="AQ58" s="535"/>
      <c r="AR58" s="174"/>
      <c r="AS58" s="172" t="e">
        <f>VLOOKUP(C59,'[1]NT 2'!$C$2:$J$259,8,0)</f>
        <v>#N/A</v>
      </c>
      <c r="AT58" s="575" t="e">
        <f t="shared" si="10"/>
        <v>#N/A</v>
      </c>
    </row>
    <row r="59" spans="1:46" ht="24.75" customHeight="1">
      <c r="A59" s="1179">
        <v>47</v>
      </c>
      <c r="B59" s="1072">
        <v>47</v>
      </c>
      <c r="C59" s="759" t="s">
        <v>608</v>
      </c>
      <c r="D59" s="13" t="e">
        <f>VLOOKUP(C59,'[1]NT 2'!$C$2:$J$259,8,0)</f>
        <v>#N/A</v>
      </c>
      <c r="E59" s="1186" t="s">
        <v>55</v>
      </c>
      <c r="F59" s="1186"/>
      <c r="G59" s="1186" t="s">
        <v>55</v>
      </c>
      <c r="H59" s="1186" t="s">
        <v>118</v>
      </c>
      <c r="I59" s="1186" t="s">
        <v>55</v>
      </c>
      <c r="J59" s="1186" t="s">
        <v>55</v>
      </c>
      <c r="K59" s="1186" t="s">
        <v>55</v>
      </c>
      <c r="L59" s="1186" t="s">
        <v>55</v>
      </c>
      <c r="M59" s="1186" t="s">
        <v>55</v>
      </c>
      <c r="N59" s="1186"/>
      <c r="O59" s="1186" t="s">
        <v>118</v>
      </c>
      <c r="P59" s="1186" t="s">
        <v>55</v>
      </c>
      <c r="Q59" s="1186" t="s">
        <v>55</v>
      </c>
      <c r="R59" s="1186" t="s">
        <v>55</v>
      </c>
      <c r="S59" s="1186" t="s">
        <v>55</v>
      </c>
      <c r="T59" s="1186" t="s">
        <v>55</v>
      </c>
      <c r="U59" s="1186" t="s">
        <v>55</v>
      </c>
      <c r="V59" s="1186" t="s">
        <v>118</v>
      </c>
      <c r="W59" s="1186" t="s">
        <v>55</v>
      </c>
      <c r="X59" s="1186" t="s">
        <v>55</v>
      </c>
      <c r="Y59" s="1186" t="s">
        <v>678</v>
      </c>
      <c r="Z59" s="1186" t="s">
        <v>55</v>
      </c>
      <c r="AA59" s="1186" t="s">
        <v>55</v>
      </c>
      <c r="AB59" s="1186" t="s">
        <v>55</v>
      </c>
      <c r="AC59" s="1186" t="s">
        <v>118</v>
      </c>
      <c r="AD59" s="1186" t="s">
        <v>55</v>
      </c>
      <c r="AE59" s="1186" t="s">
        <v>55</v>
      </c>
      <c r="AF59" s="1186" t="s">
        <v>55</v>
      </c>
      <c r="AG59" s="1186" t="s">
        <v>55</v>
      </c>
      <c r="AH59" s="1186" t="s">
        <v>55</v>
      </c>
      <c r="AI59" s="908" t="s">
        <v>55</v>
      </c>
      <c r="AJ59" s="633">
        <f t="shared" si="3"/>
        <v>24</v>
      </c>
      <c r="AK59" s="634">
        <f t="shared" si="4"/>
        <v>4</v>
      </c>
      <c r="AL59" s="633">
        <f t="shared" si="5"/>
        <v>0</v>
      </c>
      <c r="AM59" s="633">
        <f t="shared" si="6"/>
        <v>0</v>
      </c>
      <c r="AN59" s="633">
        <f t="shared" si="7"/>
        <v>0</v>
      </c>
      <c r="AO59" s="634">
        <f t="shared" si="9"/>
        <v>0</v>
      </c>
      <c r="AP59" s="635">
        <f t="shared" si="8"/>
        <v>28</v>
      </c>
      <c r="AQ59" s="535"/>
      <c r="AR59" s="174"/>
      <c r="AS59" s="172" t="str">
        <f>VLOOKUP(C60,'[1]NT 2'!$C$2:$J$259,8,0)</f>
        <v>03494</v>
      </c>
      <c r="AT59" s="575">
        <f t="shared" si="10"/>
        <v>0</v>
      </c>
    </row>
    <row r="60" spans="1:46" ht="24.75" customHeight="1">
      <c r="A60" s="1179">
        <v>48</v>
      </c>
      <c r="B60" s="1072">
        <v>48</v>
      </c>
      <c r="C60" s="499" t="s">
        <v>147</v>
      </c>
      <c r="D60" s="13" t="str">
        <f>VLOOKUP(C60,'[1]NT 2'!$C$2:$J$259,8,0)</f>
        <v>03494</v>
      </c>
      <c r="E60" s="1186" t="s">
        <v>55</v>
      </c>
      <c r="F60" s="1186" t="s">
        <v>55</v>
      </c>
      <c r="G60" s="1186" t="s">
        <v>55</v>
      </c>
      <c r="H60" s="1186" t="s">
        <v>118</v>
      </c>
      <c r="I60" s="1186" t="s">
        <v>55</v>
      </c>
      <c r="J60" s="1186" t="s">
        <v>55</v>
      </c>
      <c r="K60" s="1186"/>
      <c r="L60" s="1186" t="s">
        <v>55</v>
      </c>
      <c r="M60" s="1186" t="s">
        <v>55</v>
      </c>
      <c r="N60" s="1186" t="s">
        <v>55</v>
      </c>
      <c r="O60" s="1186" t="s">
        <v>118</v>
      </c>
      <c r="P60" s="1186" t="s">
        <v>55</v>
      </c>
      <c r="Q60" s="1186" t="s">
        <v>55</v>
      </c>
      <c r="R60" s="1186" t="s">
        <v>55</v>
      </c>
      <c r="S60" s="1186" t="s">
        <v>55</v>
      </c>
      <c r="T60" s="1186" t="s">
        <v>55</v>
      </c>
      <c r="U60" s="1186" t="s">
        <v>55</v>
      </c>
      <c r="V60" s="1186" t="s">
        <v>118</v>
      </c>
      <c r="W60" s="1186" t="s">
        <v>55</v>
      </c>
      <c r="X60" s="1186"/>
      <c r="Y60" s="1186" t="s">
        <v>55</v>
      </c>
      <c r="Z60" s="1186" t="s">
        <v>55</v>
      </c>
      <c r="AA60" s="1186" t="s">
        <v>55</v>
      </c>
      <c r="AB60" s="1186" t="s">
        <v>55</v>
      </c>
      <c r="AC60" s="1186" t="s">
        <v>118</v>
      </c>
      <c r="AD60" s="1186" t="s">
        <v>55</v>
      </c>
      <c r="AE60" s="1186" t="s">
        <v>55</v>
      </c>
      <c r="AF60" s="1186" t="s">
        <v>55</v>
      </c>
      <c r="AG60" s="1186" t="s">
        <v>55</v>
      </c>
      <c r="AH60" s="1186" t="s">
        <v>55</v>
      </c>
      <c r="AI60" s="908" t="s">
        <v>55</v>
      </c>
      <c r="AJ60" s="633">
        <f t="shared" si="3"/>
        <v>25</v>
      </c>
      <c r="AK60" s="634">
        <f t="shared" si="4"/>
        <v>4</v>
      </c>
      <c r="AL60" s="633">
        <f t="shared" si="5"/>
        <v>0</v>
      </c>
      <c r="AM60" s="633">
        <f t="shared" si="6"/>
        <v>0</v>
      </c>
      <c r="AN60" s="633">
        <f t="shared" si="7"/>
        <v>0</v>
      </c>
      <c r="AO60" s="634">
        <f t="shared" si="9"/>
        <v>0</v>
      </c>
      <c r="AP60" s="635">
        <f t="shared" si="8"/>
        <v>29</v>
      </c>
      <c r="AQ60" s="535"/>
      <c r="AR60" s="174"/>
      <c r="AS60" s="172" t="str">
        <f>VLOOKUP(C61,'[1]NT 2'!$C$2:$J$259,8,0)</f>
        <v>03495</v>
      </c>
      <c r="AT60" s="575">
        <f t="shared" si="10"/>
        <v>0</v>
      </c>
    </row>
    <row r="61" spans="1:46" ht="24.75" customHeight="1">
      <c r="A61" s="1179">
        <v>49</v>
      </c>
      <c r="B61" s="1072">
        <v>49</v>
      </c>
      <c r="C61" s="499" t="s">
        <v>329</v>
      </c>
      <c r="D61" s="13" t="str">
        <f>VLOOKUP(C61,'[1]NT 2'!$C$2:$J$259,8,0)</f>
        <v>03495</v>
      </c>
      <c r="E61" s="1186" t="s">
        <v>55</v>
      </c>
      <c r="F61" s="1186" t="s">
        <v>55</v>
      </c>
      <c r="G61" s="1186" t="s">
        <v>55</v>
      </c>
      <c r="H61" s="1186" t="s">
        <v>118</v>
      </c>
      <c r="I61" s="1186" t="s">
        <v>55</v>
      </c>
      <c r="J61" s="1186"/>
      <c r="K61" s="1186"/>
      <c r="L61" s="1186"/>
      <c r="M61" s="1186" t="s">
        <v>55</v>
      </c>
      <c r="N61" s="1186"/>
      <c r="O61" s="1186" t="s">
        <v>118</v>
      </c>
      <c r="P61" s="1186" t="s">
        <v>55</v>
      </c>
      <c r="Q61" s="1186" t="s">
        <v>55</v>
      </c>
      <c r="R61" s="1186" t="s">
        <v>55</v>
      </c>
      <c r="S61" s="1186" t="s">
        <v>55</v>
      </c>
      <c r="T61" s="1186" t="s">
        <v>55</v>
      </c>
      <c r="U61" s="1186" t="s">
        <v>55</v>
      </c>
      <c r="V61" s="1186" t="s">
        <v>118</v>
      </c>
      <c r="W61" s="1186" t="s">
        <v>55</v>
      </c>
      <c r="X61" s="1186" t="s">
        <v>55</v>
      </c>
      <c r="Y61" s="1186" t="s">
        <v>55</v>
      </c>
      <c r="Z61" s="1186" t="s">
        <v>55</v>
      </c>
      <c r="AA61" s="1186" t="s">
        <v>55</v>
      </c>
      <c r="AB61" s="1186" t="s">
        <v>55</v>
      </c>
      <c r="AC61" s="1186" t="s">
        <v>118</v>
      </c>
      <c r="AD61" s="1186" t="s">
        <v>55</v>
      </c>
      <c r="AE61" s="1186" t="s">
        <v>55</v>
      </c>
      <c r="AF61" s="1186"/>
      <c r="AG61" s="1186" t="s">
        <v>55</v>
      </c>
      <c r="AH61" s="1186" t="s">
        <v>55</v>
      </c>
      <c r="AI61" s="908" t="s">
        <v>55</v>
      </c>
      <c r="AJ61" s="633">
        <f t="shared" si="3"/>
        <v>22</v>
      </c>
      <c r="AK61" s="634">
        <f t="shared" si="4"/>
        <v>4</v>
      </c>
      <c r="AL61" s="633">
        <f t="shared" si="5"/>
        <v>0</v>
      </c>
      <c r="AM61" s="633">
        <f t="shared" si="6"/>
        <v>0</v>
      </c>
      <c r="AN61" s="633">
        <f t="shared" si="7"/>
        <v>0</v>
      </c>
      <c r="AO61" s="634">
        <f t="shared" si="9"/>
        <v>0</v>
      </c>
      <c r="AP61" s="635">
        <f t="shared" si="8"/>
        <v>26</v>
      </c>
      <c r="AQ61" s="535"/>
      <c r="AR61" s="174"/>
      <c r="AS61" s="172" t="e">
        <f>VLOOKUP(C62,'[1]NT 2'!$C$2:$J$259,8,0)</f>
        <v>#N/A</v>
      </c>
      <c r="AT61" s="575" t="e">
        <f t="shared" si="10"/>
        <v>#N/A</v>
      </c>
    </row>
    <row r="62" spans="1:46" ht="24.75" customHeight="1">
      <c r="A62" s="1179">
        <v>50</v>
      </c>
      <c r="B62" s="1072">
        <v>50</v>
      </c>
      <c r="C62" s="499" t="s">
        <v>609</v>
      </c>
      <c r="D62" s="13" t="e">
        <f>VLOOKUP(C62,'[1]NT 2'!$C$2:$J$259,8,0)</f>
        <v>#N/A</v>
      </c>
      <c r="E62" s="1186" t="s">
        <v>55</v>
      </c>
      <c r="F62" s="1186" t="s">
        <v>55</v>
      </c>
      <c r="G62" s="1186" t="s">
        <v>55</v>
      </c>
      <c r="H62" s="1186" t="s">
        <v>118</v>
      </c>
      <c r="I62" s="1186" t="s">
        <v>55</v>
      </c>
      <c r="J62" s="1186" t="s">
        <v>55</v>
      </c>
      <c r="K62" s="1186" t="s">
        <v>55</v>
      </c>
      <c r="L62" s="1186" t="s">
        <v>55</v>
      </c>
      <c r="M62" s="1186" t="s">
        <v>55</v>
      </c>
      <c r="N62" s="1186" t="s">
        <v>55</v>
      </c>
      <c r="O62" s="1186" t="s">
        <v>118</v>
      </c>
      <c r="P62" s="1186" t="s">
        <v>55</v>
      </c>
      <c r="Q62" s="1186" t="s">
        <v>55</v>
      </c>
      <c r="R62" s="1186" t="s">
        <v>55</v>
      </c>
      <c r="S62" s="1186" t="s">
        <v>55</v>
      </c>
      <c r="T62" s="1186" t="s">
        <v>55</v>
      </c>
      <c r="U62" s="1186" t="s">
        <v>55</v>
      </c>
      <c r="V62" s="1186" t="s">
        <v>118</v>
      </c>
      <c r="W62" s="1186" t="s">
        <v>55</v>
      </c>
      <c r="X62" s="1186" t="s">
        <v>55</v>
      </c>
      <c r="Y62" s="1186" t="s">
        <v>55</v>
      </c>
      <c r="Z62" s="1186" t="s">
        <v>55</v>
      </c>
      <c r="AA62" s="1186" t="s">
        <v>55</v>
      </c>
      <c r="AB62" s="1186" t="s">
        <v>55</v>
      </c>
      <c r="AC62" s="1186" t="s">
        <v>118</v>
      </c>
      <c r="AD62" s="1186" t="s">
        <v>55</v>
      </c>
      <c r="AE62" s="1186" t="s">
        <v>55</v>
      </c>
      <c r="AF62" s="1186" t="s">
        <v>55</v>
      </c>
      <c r="AG62" s="1186" t="s">
        <v>55</v>
      </c>
      <c r="AH62" s="1186" t="s">
        <v>55</v>
      </c>
      <c r="AI62" s="908" t="s">
        <v>55</v>
      </c>
      <c r="AJ62" s="633">
        <f t="shared" si="3"/>
        <v>27</v>
      </c>
      <c r="AK62" s="634">
        <f t="shared" si="4"/>
        <v>4</v>
      </c>
      <c r="AL62" s="633">
        <f t="shared" si="5"/>
        <v>0</v>
      </c>
      <c r="AM62" s="633">
        <f t="shared" si="6"/>
        <v>0</v>
      </c>
      <c r="AN62" s="633">
        <f t="shared" si="7"/>
        <v>0</v>
      </c>
      <c r="AO62" s="634">
        <f t="shared" si="9"/>
        <v>0</v>
      </c>
      <c r="AP62" s="635">
        <f t="shared" si="8"/>
        <v>31</v>
      </c>
      <c r="AQ62" s="535"/>
      <c r="AR62" s="174"/>
      <c r="AS62" s="172" t="str">
        <f>VLOOKUP(C63,'[1]NT 2'!$C$2:$J$259,8,0)</f>
        <v>03497</v>
      </c>
      <c r="AT62" s="575">
        <f t="shared" si="10"/>
        <v>0</v>
      </c>
    </row>
    <row r="63" spans="1:46" ht="24.75" customHeight="1">
      <c r="A63" s="1179">
        <v>51</v>
      </c>
      <c r="B63" s="1072">
        <v>51</v>
      </c>
      <c r="C63" s="499" t="s">
        <v>218</v>
      </c>
      <c r="D63" s="13" t="str">
        <f>VLOOKUP(C63,'[1]NT 2'!$C$2:$J$259,8,0)</f>
        <v>03497</v>
      </c>
      <c r="E63" s="1186" t="s">
        <v>55</v>
      </c>
      <c r="F63" s="1186" t="s">
        <v>55</v>
      </c>
      <c r="G63" s="1186"/>
      <c r="H63" s="1186" t="s">
        <v>118</v>
      </c>
      <c r="I63" s="1186"/>
      <c r="J63" s="1186" t="s">
        <v>55</v>
      </c>
      <c r="K63" s="1186" t="s">
        <v>55</v>
      </c>
      <c r="L63" s="1186" t="s">
        <v>55</v>
      </c>
      <c r="M63" s="1186" t="s">
        <v>55</v>
      </c>
      <c r="N63" s="1186" t="s">
        <v>55</v>
      </c>
      <c r="O63" s="1186" t="s">
        <v>118</v>
      </c>
      <c r="P63" s="1186" t="s">
        <v>55</v>
      </c>
      <c r="Q63" s="1186" t="s">
        <v>55</v>
      </c>
      <c r="R63" s="1186" t="s">
        <v>55</v>
      </c>
      <c r="S63" s="1186" t="s">
        <v>55</v>
      </c>
      <c r="T63" s="1186" t="s">
        <v>55</v>
      </c>
      <c r="U63" s="1186" t="s">
        <v>55</v>
      </c>
      <c r="V63" s="1186" t="s">
        <v>118</v>
      </c>
      <c r="W63" s="1186" t="s">
        <v>55</v>
      </c>
      <c r="X63" s="1186" t="s">
        <v>55</v>
      </c>
      <c r="Y63" s="1186" t="s">
        <v>55</v>
      </c>
      <c r="Z63" s="1186" t="s">
        <v>55</v>
      </c>
      <c r="AA63" s="1186" t="s">
        <v>55</v>
      </c>
      <c r="AB63" s="1186" t="s">
        <v>55</v>
      </c>
      <c r="AC63" s="1186" t="s">
        <v>118</v>
      </c>
      <c r="AD63" s="1186" t="s">
        <v>55</v>
      </c>
      <c r="AE63" s="1186" t="s">
        <v>55</v>
      </c>
      <c r="AF63" s="1186" t="s">
        <v>55</v>
      </c>
      <c r="AG63" s="1186" t="s">
        <v>55</v>
      </c>
      <c r="AH63" s="1186" t="s">
        <v>55</v>
      </c>
      <c r="AI63" s="908" t="s">
        <v>55</v>
      </c>
      <c r="AJ63" s="633">
        <f t="shared" si="3"/>
        <v>25</v>
      </c>
      <c r="AK63" s="634">
        <f t="shared" si="4"/>
        <v>4</v>
      </c>
      <c r="AL63" s="633">
        <f t="shared" si="5"/>
        <v>0</v>
      </c>
      <c r="AM63" s="633">
        <f t="shared" si="6"/>
        <v>0</v>
      </c>
      <c r="AN63" s="633">
        <f t="shared" si="7"/>
        <v>0</v>
      </c>
      <c r="AO63" s="634">
        <f t="shared" si="9"/>
        <v>0</v>
      </c>
      <c r="AP63" s="635">
        <f t="shared" si="8"/>
        <v>29</v>
      </c>
      <c r="AQ63" s="535"/>
      <c r="AR63" s="174"/>
      <c r="AS63" s="172" t="str">
        <f>VLOOKUP(C64,'[1]NT 2'!$C$2:$J$259,8,0)</f>
        <v>03498</v>
      </c>
      <c r="AT63" s="575">
        <f t="shared" si="10"/>
        <v>0</v>
      </c>
    </row>
    <row r="64" spans="1:46" ht="24.75" customHeight="1">
      <c r="A64" s="1179">
        <v>52</v>
      </c>
      <c r="B64" s="1072">
        <v>52</v>
      </c>
      <c r="C64" s="759" t="s">
        <v>331</v>
      </c>
      <c r="D64" s="13" t="str">
        <f>VLOOKUP(C64,'[1]NT 2'!$C$2:$J$259,8,0)</f>
        <v>03498</v>
      </c>
      <c r="E64" s="1186" t="s">
        <v>55</v>
      </c>
      <c r="F64" s="1186" t="s">
        <v>55</v>
      </c>
      <c r="G64" s="1186"/>
      <c r="H64" s="1186" t="s">
        <v>118</v>
      </c>
      <c r="I64" s="1186"/>
      <c r="J64" s="1186" t="s">
        <v>55</v>
      </c>
      <c r="K64" s="1186" t="s">
        <v>55</v>
      </c>
      <c r="L64" s="1186" t="s">
        <v>55</v>
      </c>
      <c r="M64" s="1186" t="s">
        <v>55</v>
      </c>
      <c r="N64" s="1186" t="s">
        <v>55</v>
      </c>
      <c r="O64" s="1186" t="s">
        <v>118</v>
      </c>
      <c r="P64" s="1186" t="s">
        <v>55</v>
      </c>
      <c r="Q64" s="1186" t="s">
        <v>55</v>
      </c>
      <c r="R64" s="1186" t="s">
        <v>55</v>
      </c>
      <c r="S64" s="1186" t="s">
        <v>55</v>
      </c>
      <c r="T64" s="1186" t="s">
        <v>55</v>
      </c>
      <c r="U64" s="1186" t="s">
        <v>55</v>
      </c>
      <c r="V64" s="1186" t="s">
        <v>118</v>
      </c>
      <c r="W64" s="1186" t="s">
        <v>55</v>
      </c>
      <c r="X64" s="1186" t="s">
        <v>55</v>
      </c>
      <c r="Y64" s="1186" t="s">
        <v>55</v>
      </c>
      <c r="Z64" s="1186" t="s">
        <v>55</v>
      </c>
      <c r="AA64" s="1186" t="s">
        <v>55</v>
      </c>
      <c r="AB64" s="1186" t="s">
        <v>55</v>
      </c>
      <c r="AC64" s="1186" t="s">
        <v>118</v>
      </c>
      <c r="AD64" s="1186" t="s">
        <v>55</v>
      </c>
      <c r="AE64" s="1186" t="s">
        <v>55</v>
      </c>
      <c r="AF64" s="1186" t="s">
        <v>55</v>
      </c>
      <c r="AG64" s="1186" t="s">
        <v>55</v>
      </c>
      <c r="AH64" s="1186" t="s">
        <v>55</v>
      </c>
      <c r="AI64" s="908" t="s">
        <v>55</v>
      </c>
      <c r="AJ64" s="633">
        <f t="shared" si="3"/>
        <v>25</v>
      </c>
      <c r="AK64" s="634">
        <f t="shared" si="4"/>
        <v>4</v>
      </c>
      <c r="AL64" s="633">
        <f t="shared" si="5"/>
        <v>0</v>
      </c>
      <c r="AM64" s="633">
        <f t="shared" si="6"/>
        <v>0</v>
      </c>
      <c r="AN64" s="633">
        <f t="shared" si="7"/>
        <v>0</v>
      </c>
      <c r="AO64" s="634">
        <f t="shared" si="9"/>
        <v>0</v>
      </c>
      <c r="AP64" s="635">
        <f t="shared" si="8"/>
        <v>29</v>
      </c>
      <c r="AQ64" s="535"/>
      <c r="AR64" s="174"/>
      <c r="AS64" s="172" t="str">
        <f>VLOOKUP(C65,'[1]NT 2'!$C$2:$J$259,8,0)</f>
        <v>02706</v>
      </c>
      <c r="AT64" s="575">
        <f t="shared" si="10"/>
        <v>0</v>
      </c>
    </row>
    <row r="65" spans="1:46" ht="24.75" customHeight="1">
      <c r="A65" s="1179">
        <v>53</v>
      </c>
      <c r="B65" s="1072">
        <v>53</v>
      </c>
      <c r="C65" s="759" t="s">
        <v>148</v>
      </c>
      <c r="D65" s="13" t="str">
        <f>VLOOKUP(C65,'[1]NT 2'!$C$2:$J$259,8,0)</f>
        <v>02706</v>
      </c>
      <c r="E65" s="1186" t="s">
        <v>55</v>
      </c>
      <c r="F65" s="1186" t="s">
        <v>55</v>
      </c>
      <c r="G65" s="1186" t="s">
        <v>55</v>
      </c>
      <c r="H65" s="1186" t="s">
        <v>118</v>
      </c>
      <c r="I65" s="1186" t="s">
        <v>55</v>
      </c>
      <c r="J65" s="1186"/>
      <c r="K65" s="1186"/>
      <c r="L65" s="1186" t="s">
        <v>55</v>
      </c>
      <c r="M65" s="1186" t="s">
        <v>55</v>
      </c>
      <c r="N65" s="1186" t="s">
        <v>55</v>
      </c>
      <c r="O65" s="1186" t="s">
        <v>118</v>
      </c>
      <c r="P65" s="1186" t="s">
        <v>55</v>
      </c>
      <c r="Q65" s="1186" t="s">
        <v>55</v>
      </c>
      <c r="R65" s="1186" t="s">
        <v>55</v>
      </c>
      <c r="S65" s="1186" t="s">
        <v>55</v>
      </c>
      <c r="T65" s="1186" t="s">
        <v>55</v>
      </c>
      <c r="U65" s="1186" t="s">
        <v>55</v>
      </c>
      <c r="V65" s="1186" t="s">
        <v>118</v>
      </c>
      <c r="W65" s="1186" t="s">
        <v>55</v>
      </c>
      <c r="X65" s="1186" t="s">
        <v>55</v>
      </c>
      <c r="Y65" s="1186" t="s">
        <v>55</v>
      </c>
      <c r="Z65" s="1186" t="s">
        <v>55</v>
      </c>
      <c r="AA65" s="1186" t="s">
        <v>55</v>
      </c>
      <c r="AB65" s="1186" t="s">
        <v>55</v>
      </c>
      <c r="AC65" s="1186" t="s">
        <v>118</v>
      </c>
      <c r="AD65" s="1186" t="s">
        <v>55</v>
      </c>
      <c r="AE65" s="1186" t="s">
        <v>55</v>
      </c>
      <c r="AF65" s="1186" t="s">
        <v>55</v>
      </c>
      <c r="AG65" s="1186" t="s">
        <v>55</v>
      </c>
      <c r="AH65" s="1186" t="s">
        <v>55</v>
      </c>
      <c r="AI65" s="908" t="s">
        <v>55</v>
      </c>
      <c r="AJ65" s="633">
        <f t="shared" si="3"/>
        <v>25</v>
      </c>
      <c r="AK65" s="634">
        <f t="shared" si="4"/>
        <v>4</v>
      </c>
      <c r="AL65" s="633">
        <f t="shared" si="5"/>
        <v>0</v>
      </c>
      <c r="AM65" s="633">
        <f t="shared" si="6"/>
        <v>0</v>
      </c>
      <c r="AN65" s="633">
        <f t="shared" si="7"/>
        <v>0</v>
      </c>
      <c r="AO65" s="634">
        <f t="shared" si="9"/>
        <v>0</v>
      </c>
      <c r="AP65" s="635">
        <f t="shared" si="8"/>
        <v>29</v>
      </c>
      <c r="AQ65" s="535"/>
      <c r="AR65" s="174"/>
      <c r="AS65" s="172" t="e">
        <f>VLOOKUP(C66,'[1]NT 2'!$C$2:$J$259,8,0)</f>
        <v>#N/A</v>
      </c>
      <c r="AT65" s="575" t="e">
        <f t="shared" si="10"/>
        <v>#N/A</v>
      </c>
    </row>
    <row r="66" spans="1:46" ht="24.75" customHeight="1">
      <c r="A66" s="1179">
        <v>54</v>
      </c>
      <c r="B66" s="1072">
        <v>54</v>
      </c>
      <c r="C66" s="499" t="s">
        <v>610</v>
      </c>
      <c r="D66" s="13" t="e">
        <f>VLOOKUP(C66,'[1]NT 2'!$C$2:$J$259,8,0)</f>
        <v>#N/A</v>
      </c>
      <c r="E66" s="1186" t="s">
        <v>55</v>
      </c>
      <c r="F66" s="1186"/>
      <c r="G66" s="1186"/>
      <c r="H66" s="1186"/>
      <c r="I66" s="1186" t="s">
        <v>55</v>
      </c>
      <c r="J66" s="1186"/>
      <c r="K66" s="1186" t="s">
        <v>55</v>
      </c>
      <c r="L66" s="1186" t="s">
        <v>55</v>
      </c>
      <c r="M66" s="1186"/>
      <c r="N66" s="1186" t="s">
        <v>55</v>
      </c>
      <c r="O66" s="1186"/>
      <c r="P66" s="1186" t="s">
        <v>55</v>
      </c>
      <c r="Q66" s="1186" t="s">
        <v>55</v>
      </c>
      <c r="R66" s="1186" t="s">
        <v>55</v>
      </c>
      <c r="S66" s="1186" t="s">
        <v>55</v>
      </c>
      <c r="T66" s="1186" t="s">
        <v>55</v>
      </c>
      <c r="U66" s="1186" t="s">
        <v>55</v>
      </c>
      <c r="V66" s="1186" t="s">
        <v>118</v>
      </c>
      <c r="W66" s="1186" t="s">
        <v>55</v>
      </c>
      <c r="X66" s="1186" t="s">
        <v>55</v>
      </c>
      <c r="Y66" s="1186" t="s">
        <v>55</v>
      </c>
      <c r="Z66" s="1186" t="s">
        <v>55</v>
      </c>
      <c r="AA66" s="1186" t="s">
        <v>55</v>
      </c>
      <c r="AB66" s="1186" t="s">
        <v>55</v>
      </c>
      <c r="AC66" s="1186" t="s">
        <v>118</v>
      </c>
      <c r="AD66" s="1186" t="s">
        <v>55</v>
      </c>
      <c r="AE66" s="1186" t="s">
        <v>55</v>
      </c>
      <c r="AF66" s="1186" t="s">
        <v>55</v>
      </c>
      <c r="AG66" s="1186" t="s">
        <v>55</v>
      </c>
      <c r="AH66" s="1186" t="s">
        <v>55</v>
      </c>
      <c r="AI66" s="908" t="s">
        <v>55</v>
      </c>
      <c r="AJ66" s="633">
        <f t="shared" si="3"/>
        <v>23</v>
      </c>
      <c r="AK66" s="634">
        <f t="shared" si="4"/>
        <v>2</v>
      </c>
      <c r="AL66" s="633">
        <f t="shared" si="5"/>
        <v>0</v>
      </c>
      <c r="AM66" s="633">
        <f t="shared" si="6"/>
        <v>0</v>
      </c>
      <c r="AN66" s="633">
        <f t="shared" si="7"/>
        <v>0</v>
      </c>
      <c r="AO66" s="634">
        <f t="shared" si="9"/>
        <v>0</v>
      </c>
      <c r="AP66" s="635">
        <f t="shared" si="8"/>
        <v>25</v>
      </c>
      <c r="AQ66" s="535"/>
      <c r="AR66" s="174"/>
      <c r="AS66" s="172" t="e">
        <f>VLOOKUP(C67,'[1]NT 2'!$C$2:$J$259,8,0)</f>
        <v>#N/A</v>
      </c>
      <c r="AT66" s="575" t="e">
        <f t="shared" si="10"/>
        <v>#N/A</v>
      </c>
    </row>
    <row r="67" spans="1:46" ht="24.75" customHeight="1">
      <c r="A67" s="1179">
        <v>55</v>
      </c>
      <c r="B67" s="1072">
        <v>55</v>
      </c>
      <c r="C67" s="499" t="s">
        <v>356</v>
      </c>
      <c r="E67" s="1186" t="s">
        <v>55</v>
      </c>
      <c r="F67" s="1186" t="s">
        <v>55</v>
      </c>
      <c r="G67" s="1186" t="s">
        <v>55</v>
      </c>
      <c r="H67" s="1186" t="s">
        <v>118</v>
      </c>
      <c r="I67" s="1186" t="s">
        <v>55</v>
      </c>
      <c r="J67" s="1186" t="s">
        <v>55</v>
      </c>
      <c r="K67" s="1186" t="s">
        <v>55</v>
      </c>
      <c r="L67" s="1186" t="s">
        <v>55</v>
      </c>
      <c r="M67" s="1186" t="s">
        <v>55</v>
      </c>
      <c r="N67" s="1186" t="s">
        <v>55</v>
      </c>
      <c r="O67" s="1186" t="s">
        <v>118</v>
      </c>
      <c r="P67" s="1186" t="s">
        <v>55</v>
      </c>
      <c r="Q67" s="1186" t="s">
        <v>55</v>
      </c>
      <c r="R67" s="1186" t="s">
        <v>55</v>
      </c>
      <c r="S67" s="1186" t="s">
        <v>55</v>
      </c>
      <c r="T67" s="1186" t="s">
        <v>55</v>
      </c>
      <c r="U67" s="1186" t="s">
        <v>55</v>
      </c>
      <c r="V67" s="1186" t="s">
        <v>118</v>
      </c>
      <c r="W67" s="1186" t="s">
        <v>55</v>
      </c>
      <c r="X67" s="1186" t="s">
        <v>55</v>
      </c>
      <c r="Y67" s="1186" t="s">
        <v>55</v>
      </c>
      <c r="Z67" s="1186" t="s">
        <v>55</v>
      </c>
      <c r="AA67" s="1186" t="s">
        <v>55</v>
      </c>
      <c r="AB67" s="1186" t="s">
        <v>55</v>
      </c>
      <c r="AC67" s="1186" t="s">
        <v>118</v>
      </c>
      <c r="AD67" s="1186" t="s">
        <v>55</v>
      </c>
      <c r="AE67" s="1186" t="s">
        <v>55</v>
      </c>
      <c r="AF67" s="1186" t="s">
        <v>55</v>
      </c>
      <c r="AG67" s="1186" t="s">
        <v>55</v>
      </c>
      <c r="AH67" s="1186" t="s">
        <v>55</v>
      </c>
      <c r="AI67" s="908" t="s">
        <v>55</v>
      </c>
      <c r="AJ67" s="633">
        <f t="shared" si="3"/>
        <v>27</v>
      </c>
      <c r="AK67" s="634">
        <f t="shared" si="4"/>
        <v>4</v>
      </c>
      <c r="AL67" s="633">
        <f t="shared" si="5"/>
        <v>0</v>
      </c>
      <c r="AM67" s="633">
        <f t="shared" si="6"/>
        <v>0</v>
      </c>
      <c r="AN67" s="633">
        <f t="shared" si="7"/>
        <v>0</v>
      </c>
      <c r="AO67" s="634">
        <f t="shared" si="9"/>
        <v>0</v>
      </c>
      <c r="AP67" s="635">
        <f t="shared" si="8"/>
        <v>31</v>
      </c>
      <c r="AQ67" s="535"/>
      <c r="AR67" s="174"/>
      <c r="AS67" s="172" t="str">
        <f>VLOOKUP(C68,'[1]NT 2'!$C$2:$J$259,8,0)</f>
        <v>03501</v>
      </c>
      <c r="AT67" s="575">
        <f t="shared" si="10"/>
        <v>0</v>
      </c>
    </row>
    <row r="68" spans="1:46" ht="24.75" customHeight="1">
      <c r="A68" s="1179">
        <v>56</v>
      </c>
      <c r="B68" s="1072">
        <v>56</v>
      </c>
      <c r="C68" s="499" t="s">
        <v>332</v>
      </c>
      <c r="D68" s="13" t="str">
        <f>VLOOKUP(C68,'[1]NT 2'!$C$2:$J$259,8,0)</f>
        <v>03501</v>
      </c>
      <c r="E68" s="1186" t="s">
        <v>55</v>
      </c>
      <c r="F68" s="1186" t="s">
        <v>55</v>
      </c>
      <c r="G68" s="1186" t="s">
        <v>55</v>
      </c>
      <c r="H68" s="1186" t="s">
        <v>118</v>
      </c>
      <c r="I68" s="1186" t="s">
        <v>55</v>
      </c>
      <c r="J68" s="1186" t="s">
        <v>55</v>
      </c>
      <c r="K68" s="1186" t="s">
        <v>55</v>
      </c>
      <c r="L68" s="1186" t="s">
        <v>55</v>
      </c>
      <c r="M68" s="1186" t="s">
        <v>55</v>
      </c>
      <c r="N68" s="1186" t="s">
        <v>55</v>
      </c>
      <c r="O68" s="1186" t="s">
        <v>118</v>
      </c>
      <c r="P68" s="1186" t="s">
        <v>55</v>
      </c>
      <c r="Q68" s="1186"/>
      <c r="R68" s="1186" t="s">
        <v>55</v>
      </c>
      <c r="S68" s="1186" t="s">
        <v>55</v>
      </c>
      <c r="T68" s="1186" t="s">
        <v>55</v>
      </c>
      <c r="U68" s="1186" t="s">
        <v>55</v>
      </c>
      <c r="V68" s="1186"/>
      <c r="W68" s="1186" t="s">
        <v>55</v>
      </c>
      <c r="X68" s="1186" t="s">
        <v>55</v>
      </c>
      <c r="Y68" s="1186" t="s">
        <v>55</v>
      </c>
      <c r="Z68" s="1186" t="s">
        <v>55</v>
      </c>
      <c r="AA68" s="1186" t="s">
        <v>55</v>
      </c>
      <c r="AB68" s="1186" t="s">
        <v>55</v>
      </c>
      <c r="AC68" s="1186" t="s">
        <v>118</v>
      </c>
      <c r="AD68" s="1186" t="s">
        <v>55</v>
      </c>
      <c r="AE68" s="1186" t="s">
        <v>55</v>
      </c>
      <c r="AF68" s="1186" t="s">
        <v>55</v>
      </c>
      <c r="AG68" s="1186" t="s">
        <v>55</v>
      </c>
      <c r="AH68" s="1186" t="s">
        <v>55</v>
      </c>
      <c r="AI68" s="908" t="s">
        <v>55</v>
      </c>
      <c r="AJ68" s="633">
        <f t="shared" si="3"/>
        <v>26</v>
      </c>
      <c r="AK68" s="634">
        <f t="shared" si="4"/>
        <v>3</v>
      </c>
      <c r="AL68" s="633">
        <f t="shared" si="5"/>
        <v>0</v>
      </c>
      <c r="AM68" s="633">
        <f t="shared" si="6"/>
        <v>0</v>
      </c>
      <c r="AN68" s="633">
        <f t="shared" si="7"/>
        <v>0</v>
      </c>
      <c r="AO68" s="634">
        <f t="shared" si="9"/>
        <v>0</v>
      </c>
      <c r="AP68" s="635">
        <f t="shared" si="8"/>
        <v>29</v>
      </c>
      <c r="AQ68" s="535"/>
      <c r="AR68" s="174"/>
      <c r="AS68" s="172" t="str">
        <f>VLOOKUP(C69,'[1]NT 2'!$C$2:$J$259,8,0)</f>
        <v>03502</v>
      </c>
      <c r="AT68" s="575">
        <f t="shared" si="10"/>
        <v>0</v>
      </c>
    </row>
    <row r="69" spans="1:46" ht="24.75" customHeight="1">
      <c r="A69" s="1179">
        <v>57</v>
      </c>
      <c r="B69" s="1072">
        <v>57</v>
      </c>
      <c r="C69" s="759" t="s">
        <v>333</v>
      </c>
      <c r="D69" s="13" t="str">
        <f>VLOOKUP(C69,'[1]NT 2'!$C$2:$J$259,8,0)</f>
        <v>03502</v>
      </c>
      <c r="E69" s="1186" t="s">
        <v>55</v>
      </c>
      <c r="F69" s="1186" t="s">
        <v>55</v>
      </c>
      <c r="G69" s="1186" t="s">
        <v>55</v>
      </c>
      <c r="H69" s="1186" t="s">
        <v>118</v>
      </c>
      <c r="I69" s="1186" t="s">
        <v>55</v>
      </c>
      <c r="J69" s="1186" t="s">
        <v>55</v>
      </c>
      <c r="K69" s="1186" t="s">
        <v>55</v>
      </c>
      <c r="L69" s="1186" t="s">
        <v>55</v>
      </c>
      <c r="M69" s="1186" t="s">
        <v>55</v>
      </c>
      <c r="N69" s="1186" t="s">
        <v>55</v>
      </c>
      <c r="O69" s="1186" t="s">
        <v>118</v>
      </c>
      <c r="P69" s="1186" t="s">
        <v>55</v>
      </c>
      <c r="Q69" s="1186" t="s">
        <v>55</v>
      </c>
      <c r="R69" s="1186" t="s">
        <v>55</v>
      </c>
      <c r="S69" s="1186" t="s">
        <v>55</v>
      </c>
      <c r="T69" s="1186" t="s">
        <v>55</v>
      </c>
      <c r="U69" s="1186" t="s">
        <v>55</v>
      </c>
      <c r="V69" s="1186" t="s">
        <v>118</v>
      </c>
      <c r="W69" s="1186" t="s">
        <v>55</v>
      </c>
      <c r="X69" s="1186" t="s">
        <v>55</v>
      </c>
      <c r="Y69" s="1186" t="s">
        <v>55</v>
      </c>
      <c r="Z69" s="1186" t="s">
        <v>678</v>
      </c>
      <c r="AA69" s="1186" t="s">
        <v>55</v>
      </c>
      <c r="AB69" s="1186" t="s">
        <v>55</v>
      </c>
      <c r="AC69" s="1186" t="s">
        <v>118</v>
      </c>
      <c r="AD69" s="1186" t="s">
        <v>55</v>
      </c>
      <c r="AE69" s="1186" t="s">
        <v>55</v>
      </c>
      <c r="AF69" s="1186" t="s">
        <v>55</v>
      </c>
      <c r="AG69" s="1186" t="s">
        <v>55</v>
      </c>
      <c r="AH69" s="1186" t="s">
        <v>55</v>
      </c>
      <c r="AI69" s="908" t="s">
        <v>55</v>
      </c>
      <c r="AJ69" s="633">
        <f t="shared" si="3"/>
        <v>26</v>
      </c>
      <c r="AK69" s="634">
        <f t="shared" si="4"/>
        <v>4</v>
      </c>
      <c r="AL69" s="633">
        <f t="shared" si="5"/>
        <v>0</v>
      </c>
      <c r="AM69" s="633">
        <f t="shared" si="6"/>
        <v>0</v>
      </c>
      <c r="AN69" s="633">
        <f t="shared" si="7"/>
        <v>0</v>
      </c>
      <c r="AO69" s="634">
        <f t="shared" si="9"/>
        <v>0</v>
      </c>
      <c r="AP69" s="635">
        <f t="shared" si="8"/>
        <v>30</v>
      </c>
      <c r="AQ69" s="535"/>
      <c r="AR69" s="174"/>
      <c r="AS69" s="172" t="e">
        <f>VLOOKUP(C70,'[1]NT 2'!$C$2:$J$259,8,0)</f>
        <v>#N/A</v>
      </c>
      <c r="AT69" s="575" t="e">
        <f t="shared" si="10"/>
        <v>#N/A</v>
      </c>
    </row>
    <row r="70" spans="1:46" ht="24.75" customHeight="1">
      <c r="A70" s="1179">
        <v>58</v>
      </c>
      <c r="B70" s="1072">
        <v>58</v>
      </c>
      <c r="C70" s="276" t="s">
        <v>512</v>
      </c>
      <c r="D70" s="13" t="e">
        <f>VLOOKUP(C70,'[1]NT 2'!$C$2:$J$259,8,0)</f>
        <v>#N/A</v>
      </c>
      <c r="E70" s="1186" t="s">
        <v>55</v>
      </c>
      <c r="F70" s="1186" t="s">
        <v>55</v>
      </c>
      <c r="G70" s="1186" t="s">
        <v>55</v>
      </c>
      <c r="H70" s="1186" t="s">
        <v>118</v>
      </c>
      <c r="I70" s="1186" t="s">
        <v>55</v>
      </c>
      <c r="J70" s="1186" t="s">
        <v>55</v>
      </c>
      <c r="K70" s="1186"/>
      <c r="L70" s="1186" t="s">
        <v>55</v>
      </c>
      <c r="M70" s="1186" t="s">
        <v>55</v>
      </c>
      <c r="N70" s="1186" t="s">
        <v>55</v>
      </c>
      <c r="O70" s="1186" t="s">
        <v>118</v>
      </c>
      <c r="P70" s="1186" t="s">
        <v>55</v>
      </c>
      <c r="Q70" s="1186" t="s">
        <v>55</v>
      </c>
      <c r="R70" s="1186" t="s">
        <v>55</v>
      </c>
      <c r="S70" s="1186" t="s">
        <v>55</v>
      </c>
      <c r="T70" s="1186" t="s">
        <v>55</v>
      </c>
      <c r="U70" s="1186" t="s">
        <v>55</v>
      </c>
      <c r="V70" s="1186" t="s">
        <v>118</v>
      </c>
      <c r="W70" s="1186" t="s">
        <v>55</v>
      </c>
      <c r="X70" s="1186" t="s">
        <v>55</v>
      </c>
      <c r="Y70" s="1186" t="s">
        <v>55</v>
      </c>
      <c r="Z70" s="1186" t="s">
        <v>55</v>
      </c>
      <c r="AA70" s="1186" t="s">
        <v>55</v>
      </c>
      <c r="AB70" s="1186" t="s">
        <v>55</v>
      </c>
      <c r="AC70" s="1186" t="s">
        <v>118</v>
      </c>
      <c r="AD70" s="1186" t="s">
        <v>55</v>
      </c>
      <c r="AE70" s="1186" t="s">
        <v>55</v>
      </c>
      <c r="AF70" s="1186" t="s">
        <v>55</v>
      </c>
      <c r="AG70" s="1186" t="s">
        <v>55</v>
      </c>
      <c r="AH70" s="1186" t="s">
        <v>55</v>
      </c>
      <c r="AI70" s="908" t="s">
        <v>55</v>
      </c>
      <c r="AJ70" s="633">
        <f t="shared" si="3"/>
        <v>26</v>
      </c>
      <c r="AK70" s="634">
        <f t="shared" si="4"/>
        <v>4</v>
      </c>
      <c r="AL70" s="633">
        <f t="shared" si="5"/>
        <v>0</v>
      </c>
      <c r="AM70" s="633">
        <f t="shared" si="6"/>
        <v>0</v>
      </c>
      <c r="AN70" s="633">
        <f t="shared" si="7"/>
        <v>0</v>
      </c>
      <c r="AO70" s="634">
        <f t="shared" si="9"/>
        <v>0</v>
      </c>
      <c r="AP70" s="635">
        <f t="shared" si="8"/>
        <v>30</v>
      </c>
      <c r="AQ70" s="535"/>
      <c r="AR70" s="174"/>
      <c r="AS70" s="172" t="str">
        <f>VLOOKUP(C71,'[1]NT 2'!$C$2:$J$259,8,0)</f>
        <v>03504</v>
      </c>
      <c r="AT70" s="575">
        <f t="shared" si="10"/>
        <v>0</v>
      </c>
    </row>
    <row r="71" spans="1:46" ht="24.75" customHeight="1">
      <c r="A71" s="1179">
        <v>59</v>
      </c>
      <c r="B71" s="1072">
        <v>59</v>
      </c>
      <c r="C71" s="499" t="s">
        <v>235</v>
      </c>
      <c r="D71" s="13" t="str">
        <f>VLOOKUP(C71,'[1]NT 2'!$C$2:$J$259,8,0)</f>
        <v>03504</v>
      </c>
      <c r="E71" s="1186" t="s">
        <v>55</v>
      </c>
      <c r="F71" s="1186" t="s">
        <v>55</v>
      </c>
      <c r="G71" s="1186" t="s">
        <v>55</v>
      </c>
      <c r="H71" s="1186" t="s">
        <v>118</v>
      </c>
      <c r="I71" s="1186" t="s">
        <v>55</v>
      </c>
      <c r="J71" s="1186" t="s">
        <v>55</v>
      </c>
      <c r="K71" s="1186" t="s">
        <v>55</v>
      </c>
      <c r="L71" s="1186" t="s">
        <v>55</v>
      </c>
      <c r="M71" s="1186" t="s">
        <v>55</v>
      </c>
      <c r="N71" s="1186" t="s">
        <v>55</v>
      </c>
      <c r="O71" s="1186" t="s">
        <v>118</v>
      </c>
      <c r="P71" s="1186" t="s">
        <v>55</v>
      </c>
      <c r="Q71" s="1186" t="s">
        <v>55</v>
      </c>
      <c r="R71" s="1186" t="s">
        <v>55</v>
      </c>
      <c r="S71" s="1186"/>
      <c r="T71" s="1186" t="s">
        <v>55</v>
      </c>
      <c r="U71" s="1186" t="s">
        <v>55</v>
      </c>
      <c r="V71" s="1186" t="s">
        <v>118</v>
      </c>
      <c r="W71" s="1186" t="s">
        <v>55</v>
      </c>
      <c r="X71" s="1186" t="s">
        <v>55</v>
      </c>
      <c r="Y71" s="1186" t="s">
        <v>55</v>
      </c>
      <c r="Z71" s="1186" t="s">
        <v>55</v>
      </c>
      <c r="AA71" s="1186" t="s">
        <v>55</v>
      </c>
      <c r="AB71" s="1186" t="s">
        <v>55</v>
      </c>
      <c r="AC71" s="1186" t="s">
        <v>118</v>
      </c>
      <c r="AD71" s="1186" t="s">
        <v>55</v>
      </c>
      <c r="AE71" s="1186" t="s">
        <v>55</v>
      </c>
      <c r="AF71" s="1186" t="s">
        <v>55</v>
      </c>
      <c r="AG71" s="1186" t="s">
        <v>55</v>
      </c>
      <c r="AH71" s="1186" t="s">
        <v>55</v>
      </c>
      <c r="AI71" s="908" t="s">
        <v>55</v>
      </c>
      <c r="AJ71" s="633">
        <f t="shared" si="3"/>
        <v>26</v>
      </c>
      <c r="AK71" s="634">
        <f t="shared" si="4"/>
        <v>4</v>
      </c>
      <c r="AL71" s="633">
        <f t="shared" si="5"/>
        <v>0</v>
      </c>
      <c r="AM71" s="633">
        <f t="shared" si="6"/>
        <v>0</v>
      </c>
      <c r="AN71" s="633">
        <f t="shared" si="7"/>
        <v>0</v>
      </c>
      <c r="AO71" s="634">
        <f t="shared" si="9"/>
        <v>0</v>
      </c>
      <c r="AP71" s="635">
        <f t="shared" si="8"/>
        <v>30</v>
      </c>
      <c r="AQ71" s="535"/>
      <c r="AR71" s="174"/>
      <c r="AS71" s="172" t="e">
        <f>VLOOKUP(C72,'[1]NT 2'!$C$2:$J$259,8,0)</f>
        <v>#N/A</v>
      </c>
      <c r="AT71" s="575" t="e">
        <f t="shared" si="10"/>
        <v>#N/A</v>
      </c>
    </row>
    <row r="72" spans="1:46" ht="24.75" customHeight="1">
      <c r="A72" s="1179">
        <v>60</v>
      </c>
      <c r="B72" s="1072">
        <v>60</v>
      </c>
      <c r="C72" s="499" t="s">
        <v>611</v>
      </c>
      <c r="D72" s="13" t="e">
        <f>VLOOKUP(C72,'[1]NT 2'!$C$2:$J$259,8,0)</f>
        <v>#N/A</v>
      </c>
      <c r="E72" s="1186" t="s">
        <v>55</v>
      </c>
      <c r="F72" s="1186"/>
      <c r="G72" s="1186" t="s">
        <v>55</v>
      </c>
      <c r="H72" s="1186" t="s">
        <v>118</v>
      </c>
      <c r="I72" s="1186" t="s">
        <v>55</v>
      </c>
      <c r="J72" s="1186" t="s">
        <v>55</v>
      </c>
      <c r="K72" s="1186" t="s">
        <v>55</v>
      </c>
      <c r="L72" s="1186" t="s">
        <v>55</v>
      </c>
      <c r="M72" s="1186" t="s">
        <v>55</v>
      </c>
      <c r="N72" s="1186" t="s">
        <v>55</v>
      </c>
      <c r="O72" s="1186" t="s">
        <v>118</v>
      </c>
      <c r="P72" s="1186" t="s">
        <v>55</v>
      </c>
      <c r="Q72" s="1186" t="s">
        <v>55</v>
      </c>
      <c r="R72" s="1186" t="s">
        <v>55</v>
      </c>
      <c r="S72" s="1186"/>
      <c r="T72" s="1186" t="s">
        <v>55</v>
      </c>
      <c r="U72" s="1186" t="s">
        <v>55</v>
      </c>
      <c r="V72" s="1186" t="s">
        <v>118</v>
      </c>
      <c r="W72" s="1186" t="s">
        <v>55</v>
      </c>
      <c r="X72" s="1186" t="s">
        <v>55</v>
      </c>
      <c r="Y72" s="1186" t="s">
        <v>55</v>
      </c>
      <c r="Z72" s="1186" t="s">
        <v>55</v>
      </c>
      <c r="AA72" s="1186" t="s">
        <v>55</v>
      </c>
      <c r="AB72" s="1186" t="s">
        <v>55</v>
      </c>
      <c r="AC72" s="1186" t="s">
        <v>118</v>
      </c>
      <c r="AD72" s="1186" t="s">
        <v>55</v>
      </c>
      <c r="AE72" s="1186" t="s">
        <v>55</v>
      </c>
      <c r="AF72" s="1186" t="s">
        <v>55</v>
      </c>
      <c r="AG72" s="1186" t="s">
        <v>55</v>
      </c>
      <c r="AH72" s="1186" t="s">
        <v>55</v>
      </c>
      <c r="AI72" s="908" t="s">
        <v>55</v>
      </c>
      <c r="AJ72" s="633">
        <f t="shared" si="3"/>
        <v>25</v>
      </c>
      <c r="AK72" s="634">
        <f t="shared" si="4"/>
        <v>4</v>
      </c>
      <c r="AL72" s="633">
        <f t="shared" si="5"/>
        <v>0</v>
      </c>
      <c r="AM72" s="633">
        <f t="shared" si="6"/>
        <v>0</v>
      </c>
      <c r="AN72" s="633">
        <f t="shared" si="7"/>
        <v>0</v>
      </c>
      <c r="AO72" s="634">
        <f t="shared" si="9"/>
        <v>0</v>
      </c>
      <c r="AP72" s="635">
        <f t="shared" si="8"/>
        <v>29</v>
      </c>
      <c r="AQ72" s="535"/>
      <c r="AR72" s="174"/>
      <c r="AS72" s="172" t="str">
        <f>VLOOKUP(C73,'[1]NT 2'!$C$2:$J$259,8,0)</f>
        <v>03506</v>
      </c>
      <c r="AT72" s="575">
        <f t="shared" si="10"/>
        <v>0</v>
      </c>
    </row>
    <row r="73" spans="1:46" ht="24.75" customHeight="1">
      <c r="A73" s="1179">
        <v>61</v>
      </c>
      <c r="B73" s="1072">
        <v>61</v>
      </c>
      <c r="C73" s="135" t="s">
        <v>257</v>
      </c>
      <c r="D73" s="13" t="str">
        <f>VLOOKUP(C73,'[1]NT 2'!$C$2:$J$259,8,0)</f>
        <v>03506</v>
      </c>
      <c r="E73" s="1186" t="s">
        <v>55</v>
      </c>
      <c r="F73" s="1186" t="s">
        <v>55</v>
      </c>
      <c r="G73" s="1186" t="s">
        <v>55</v>
      </c>
      <c r="H73" s="1186" t="s">
        <v>118</v>
      </c>
      <c r="I73" s="1186" t="s">
        <v>55</v>
      </c>
      <c r="J73" s="1186"/>
      <c r="K73" s="1186"/>
      <c r="L73" s="1186" t="s">
        <v>55</v>
      </c>
      <c r="M73" s="1186" t="s">
        <v>55</v>
      </c>
      <c r="N73" s="1186" t="s">
        <v>55</v>
      </c>
      <c r="O73" s="1186" t="s">
        <v>118</v>
      </c>
      <c r="P73" s="1186" t="s">
        <v>55</v>
      </c>
      <c r="Q73" s="1186" t="s">
        <v>55</v>
      </c>
      <c r="R73" s="1186" t="s">
        <v>55</v>
      </c>
      <c r="S73" s="1186" t="s">
        <v>55</v>
      </c>
      <c r="T73" s="1186" t="s">
        <v>55</v>
      </c>
      <c r="U73" s="1186" t="s">
        <v>55</v>
      </c>
      <c r="V73" s="1186" t="s">
        <v>118</v>
      </c>
      <c r="W73" s="1186" t="s">
        <v>55</v>
      </c>
      <c r="X73" s="1186" t="s">
        <v>55</v>
      </c>
      <c r="Y73" s="1186" t="s">
        <v>55</v>
      </c>
      <c r="Z73" s="1186" t="s">
        <v>55</v>
      </c>
      <c r="AA73" s="1186" t="s">
        <v>55</v>
      </c>
      <c r="AB73" s="1186" t="s">
        <v>55</v>
      </c>
      <c r="AC73" s="1186" t="s">
        <v>118</v>
      </c>
      <c r="AD73" s="1186" t="s">
        <v>55</v>
      </c>
      <c r="AE73" s="1186" t="s">
        <v>55</v>
      </c>
      <c r="AF73" s="1186" t="s">
        <v>55</v>
      </c>
      <c r="AG73" s="1186" t="s">
        <v>55</v>
      </c>
      <c r="AH73" s="1186" t="s">
        <v>55</v>
      </c>
      <c r="AI73" s="908" t="s">
        <v>55</v>
      </c>
      <c r="AJ73" s="633">
        <f t="shared" si="3"/>
        <v>25</v>
      </c>
      <c r="AK73" s="634">
        <f t="shared" si="4"/>
        <v>4</v>
      </c>
      <c r="AL73" s="633">
        <f t="shared" si="5"/>
        <v>0</v>
      </c>
      <c r="AM73" s="633">
        <f t="shared" si="6"/>
        <v>0</v>
      </c>
      <c r="AN73" s="633">
        <f t="shared" si="7"/>
        <v>0</v>
      </c>
      <c r="AO73" s="634">
        <f t="shared" si="9"/>
        <v>0</v>
      </c>
      <c r="AP73" s="635">
        <f t="shared" si="8"/>
        <v>29</v>
      </c>
      <c r="AQ73" s="535"/>
      <c r="AR73" s="174"/>
      <c r="AS73" s="172" t="e">
        <f>VLOOKUP(C74,'[1]NT 2'!$C$2:$J$259,8,0)</f>
        <v>#N/A</v>
      </c>
      <c r="AT73" s="575" t="e">
        <f t="shared" si="10"/>
        <v>#N/A</v>
      </c>
    </row>
    <row r="74" spans="1:46" ht="24.75" customHeight="1">
      <c r="A74" s="1179">
        <v>62</v>
      </c>
      <c r="B74" s="1072">
        <v>62</v>
      </c>
      <c r="C74" s="135" t="s">
        <v>612</v>
      </c>
      <c r="D74" s="13" t="e">
        <f>VLOOKUP(C74,'[1]NT 2'!$C$2:$J$259,8,0)</f>
        <v>#N/A</v>
      </c>
      <c r="E74" s="1186" t="s">
        <v>55</v>
      </c>
      <c r="F74" s="1186" t="s">
        <v>55</v>
      </c>
      <c r="G74" s="1186" t="s">
        <v>55</v>
      </c>
      <c r="H74" s="1186" t="s">
        <v>118</v>
      </c>
      <c r="I74" s="1186" t="s">
        <v>55</v>
      </c>
      <c r="J74" s="1186" t="s">
        <v>55</v>
      </c>
      <c r="K74" s="1186" t="s">
        <v>55</v>
      </c>
      <c r="L74" s="1186" t="s">
        <v>55</v>
      </c>
      <c r="M74" s="1186" t="s">
        <v>55</v>
      </c>
      <c r="N74" s="1186" t="s">
        <v>55</v>
      </c>
      <c r="O74" s="1186" t="s">
        <v>118</v>
      </c>
      <c r="P74" s="1186" t="s">
        <v>55</v>
      </c>
      <c r="Q74" s="1186" t="s">
        <v>55</v>
      </c>
      <c r="R74" s="1186"/>
      <c r="S74" s="1186" t="s">
        <v>55</v>
      </c>
      <c r="T74" s="1186" t="s">
        <v>55</v>
      </c>
      <c r="U74" s="1186" t="s">
        <v>55</v>
      </c>
      <c r="V74" s="1186" t="s">
        <v>118</v>
      </c>
      <c r="W74" s="1186" t="s">
        <v>55</v>
      </c>
      <c r="X74" s="1186" t="s">
        <v>55</v>
      </c>
      <c r="Y74" s="1186" t="s">
        <v>55</v>
      </c>
      <c r="Z74" s="1186"/>
      <c r="AA74" s="1186" t="s">
        <v>55</v>
      </c>
      <c r="AB74" s="1186" t="s">
        <v>55</v>
      </c>
      <c r="AC74" s="1186" t="s">
        <v>118</v>
      </c>
      <c r="AD74" s="1186" t="s">
        <v>55</v>
      </c>
      <c r="AE74" s="1186" t="s">
        <v>55</v>
      </c>
      <c r="AF74" s="1186" t="s">
        <v>55</v>
      </c>
      <c r="AG74" s="1186" t="s">
        <v>55</v>
      </c>
      <c r="AH74" s="1186" t="s">
        <v>55</v>
      </c>
      <c r="AI74" s="908" t="s">
        <v>55</v>
      </c>
      <c r="AJ74" s="633">
        <f t="shared" si="3"/>
        <v>25</v>
      </c>
      <c r="AK74" s="634">
        <f t="shared" si="4"/>
        <v>4</v>
      </c>
      <c r="AL74" s="633">
        <f t="shared" si="5"/>
        <v>0</v>
      </c>
      <c r="AM74" s="633">
        <f t="shared" si="6"/>
        <v>0</v>
      </c>
      <c r="AN74" s="633">
        <f t="shared" si="7"/>
        <v>0</v>
      </c>
      <c r="AO74" s="634">
        <f t="shared" si="9"/>
        <v>0</v>
      </c>
      <c r="AP74" s="635">
        <f t="shared" si="8"/>
        <v>29</v>
      </c>
      <c r="AQ74" s="535"/>
      <c r="AR74" s="174"/>
      <c r="AS74" s="172" t="str">
        <f>VLOOKUP(C75,'[1]NT 2'!$C$2:$J$259,8,0)</f>
        <v>03508</v>
      </c>
      <c r="AT74" s="575">
        <f t="shared" si="10"/>
        <v>0</v>
      </c>
    </row>
    <row r="75" spans="1:46" ht="24.75" customHeight="1">
      <c r="A75" s="1179">
        <v>63</v>
      </c>
      <c r="B75" s="1072">
        <v>63</v>
      </c>
      <c r="C75" s="276" t="s">
        <v>334</v>
      </c>
      <c r="D75" s="13" t="str">
        <f>VLOOKUP(C75,'[1]NT 2'!$C$2:$J$259,8,0)</f>
        <v>03508</v>
      </c>
      <c r="E75" s="1186"/>
      <c r="F75" s="1186"/>
      <c r="G75" s="1186"/>
      <c r="H75" s="1186"/>
      <c r="I75" s="1186"/>
      <c r="J75" s="1186"/>
      <c r="K75" s="1186"/>
      <c r="L75" s="1186"/>
      <c r="M75" s="1186"/>
      <c r="N75" s="1186" t="s">
        <v>55</v>
      </c>
      <c r="O75" s="1186" t="s">
        <v>118</v>
      </c>
      <c r="P75" s="1186" t="s">
        <v>55</v>
      </c>
      <c r="Q75" s="1186" t="s">
        <v>55</v>
      </c>
      <c r="R75" s="1186"/>
      <c r="S75" s="1186" t="s">
        <v>55</v>
      </c>
      <c r="T75" s="1186" t="s">
        <v>55</v>
      </c>
      <c r="U75" s="1186" t="s">
        <v>55</v>
      </c>
      <c r="V75" s="1186" t="s">
        <v>118</v>
      </c>
      <c r="W75" s="1186" t="s">
        <v>55</v>
      </c>
      <c r="X75" s="1186" t="s">
        <v>55</v>
      </c>
      <c r="Y75" s="1186" t="s">
        <v>55</v>
      </c>
      <c r="Z75" s="1186" t="s">
        <v>55</v>
      </c>
      <c r="AA75" s="1186" t="s">
        <v>55</v>
      </c>
      <c r="AB75" s="1186" t="s">
        <v>55</v>
      </c>
      <c r="AC75" s="1186" t="s">
        <v>118</v>
      </c>
      <c r="AD75" s="1186" t="s">
        <v>55</v>
      </c>
      <c r="AE75" s="1186" t="s">
        <v>55</v>
      </c>
      <c r="AF75" s="1186" t="s">
        <v>55</v>
      </c>
      <c r="AG75" s="1186" t="s">
        <v>55</v>
      </c>
      <c r="AH75" s="1186" t="s">
        <v>55</v>
      </c>
      <c r="AI75" s="908" t="s">
        <v>55</v>
      </c>
      <c r="AJ75" s="633">
        <f t="shared" si="3"/>
        <v>18</v>
      </c>
      <c r="AK75" s="634">
        <f t="shared" si="4"/>
        <v>3</v>
      </c>
      <c r="AL75" s="633">
        <f t="shared" si="5"/>
        <v>0</v>
      </c>
      <c r="AM75" s="633">
        <f t="shared" si="6"/>
        <v>0</v>
      </c>
      <c r="AN75" s="633">
        <f t="shared" si="7"/>
        <v>0</v>
      </c>
      <c r="AO75" s="634">
        <f t="shared" si="9"/>
        <v>0</v>
      </c>
      <c r="AP75" s="635">
        <f t="shared" si="8"/>
        <v>21</v>
      </c>
      <c r="AQ75" s="535"/>
      <c r="AR75" s="174"/>
      <c r="AS75" s="172" t="str">
        <f>VLOOKUP(C76,'[1]NT 2'!$C$2:$J$259,8,0)</f>
        <v>03512</v>
      </c>
      <c r="AT75" s="575">
        <f t="shared" si="10"/>
        <v>0</v>
      </c>
    </row>
    <row r="76" spans="1:46" ht="24.75" customHeight="1">
      <c r="A76" s="1179">
        <v>64</v>
      </c>
      <c r="B76" s="1072">
        <v>64</v>
      </c>
      <c r="C76" s="499" t="s">
        <v>335</v>
      </c>
      <c r="D76" s="13" t="str">
        <f>VLOOKUP(C76,'[1]NT 2'!$C$2:$J$259,8,0)</f>
        <v>03512</v>
      </c>
      <c r="E76" s="1186" t="s">
        <v>55</v>
      </c>
      <c r="F76" s="1186" t="s">
        <v>55</v>
      </c>
      <c r="G76" s="1186" t="s">
        <v>55</v>
      </c>
      <c r="H76" s="1186" t="s">
        <v>118</v>
      </c>
      <c r="I76" s="1186" t="s">
        <v>55</v>
      </c>
      <c r="J76" s="1186"/>
      <c r="K76" s="1186"/>
      <c r="L76" s="1186"/>
      <c r="M76" s="1186" t="s">
        <v>55</v>
      </c>
      <c r="N76" s="1186" t="s">
        <v>55</v>
      </c>
      <c r="O76" s="1186" t="s">
        <v>118</v>
      </c>
      <c r="P76" s="1186" t="s">
        <v>55</v>
      </c>
      <c r="Q76" s="1186" t="s">
        <v>55</v>
      </c>
      <c r="R76" s="1186" t="s">
        <v>55</v>
      </c>
      <c r="S76" s="1186" t="s">
        <v>55</v>
      </c>
      <c r="T76" s="1186" t="s">
        <v>55</v>
      </c>
      <c r="U76" s="1186" t="s">
        <v>55</v>
      </c>
      <c r="V76" s="1186" t="s">
        <v>118</v>
      </c>
      <c r="W76" s="1186" t="s">
        <v>55</v>
      </c>
      <c r="X76" s="1186" t="s">
        <v>55</v>
      </c>
      <c r="Y76" s="1186" t="s">
        <v>55</v>
      </c>
      <c r="Z76" s="1186" t="s">
        <v>55</v>
      </c>
      <c r="AA76" s="1186" t="s">
        <v>55</v>
      </c>
      <c r="AB76" s="1186" t="s">
        <v>55</v>
      </c>
      <c r="AC76" s="1186" t="s">
        <v>118</v>
      </c>
      <c r="AD76" s="1186" t="s">
        <v>55</v>
      </c>
      <c r="AE76" s="1186" t="s">
        <v>55</v>
      </c>
      <c r="AF76" s="1186" t="s">
        <v>55</v>
      </c>
      <c r="AG76" s="1186" t="s">
        <v>55</v>
      </c>
      <c r="AH76" s="1186" t="s">
        <v>55</v>
      </c>
      <c r="AI76" s="908" t="s">
        <v>55</v>
      </c>
      <c r="AJ76" s="633">
        <f t="shared" si="3"/>
        <v>24</v>
      </c>
      <c r="AK76" s="634">
        <f t="shared" si="4"/>
        <v>4</v>
      </c>
      <c r="AL76" s="633">
        <f t="shared" si="5"/>
        <v>0</v>
      </c>
      <c r="AM76" s="633">
        <f t="shared" si="6"/>
        <v>0</v>
      </c>
      <c r="AN76" s="633">
        <f t="shared" si="7"/>
        <v>0</v>
      </c>
      <c r="AO76" s="634">
        <f t="shared" si="9"/>
        <v>0</v>
      </c>
      <c r="AP76" s="635">
        <f t="shared" si="8"/>
        <v>28</v>
      </c>
      <c r="AQ76" s="535"/>
      <c r="AR76" s="174"/>
      <c r="AS76" s="172" t="e">
        <f>VLOOKUP(C77,'[1]NT 2'!$C$2:$J$259,8,0)</f>
        <v>#N/A</v>
      </c>
      <c r="AT76" s="575" t="e">
        <f t="shared" ref="AT76:AT87" si="11">D77-AS76</f>
        <v>#N/A</v>
      </c>
    </row>
    <row r="77" spans="1:46" ht="24.75" customHeight="1">
      <c r="A77" s="1179">
        <v>65</v>
      </c>
      <c r="B77" s="1072">
        <v>65</v>
      </c>
      <c r="C77" s="499" t="s">
        <v>408</v>
      </c>
      <c r="E77" s="1186" t="s">
        <v>55</v>
      </c>
      <c r="F77" s="1186" t="s">
        <v>55</v>
      </c>
      <c r="G77" s="1186" t="s">
        <v>55</v>
      </c>
      <c r="H77" s="1186"/>
      <c r="I77" s="1186" t="s">
        <v>55</v>
      </c>
      <c r="J77" s="1186" t="s">
        <v>55</v>
      </c>
      <c r="K77" s="1186" t="s">
        <v>55</v>
      </c>
      <c r="L77" s="1186" t="s">
        <v>55</v>
      </c>
      <c r="M77" s="1186" t="s">
        <v>55</v>
      </c>
      <c r="N77" s="1186"/>
      <c r="O77" s="1186" t="s">
        <v>118</v>
      </c>
      <c r="P77" s="1186" t="s">
        <v>55</v>
      </c>
      <c r="Q77" s="1186" t="s">
        <v>55</v>
      </c>
      <c r="R77" s="1186" t="s">
        <v>55</v>
      </c>
      <c r="S77" s="1186" t="s">
        <v>55</v>
      </c>
      <c r="T77" s="1186" t="s">
        <v>55</v>
      </c>
      <c r="U77" s="1186" t="s">
        <v>55</v>
      </c>
      <c r="V77" s="1186" t="s">
        <v>118</v>
      </c>
      <c r="W77" s="1186" t="s">
        <v>55</v>
      </c>
      <c r="X77" s="1186" t="s">
        <v>55</v>
      </c>
      <c r="Y77" s="1186" t="s">
        <v>55</v>
      </c>
      <c r="Z77" s="1186" t="s">
        <v>55</v>
      </c>
      <c r="AA77" s="1186" t="s">
        <v>55</v>
      </c>
      <c r="AB77" s="1186" t="s">
        <v>55</v>
      </c>
      <c r="AC77" s="1186" t="s">
        <v>118</v>
      </c>
      <c r="AD77" s="1186" t="s">
        <v>55</v>
      </c>
      <c r="AE77" s="1186" t="s">
        <v>55</v>
      </c>
      <c r="AF77" s="1186" t="s">
        <v>55</v>
      </c>
      <c r="AG77" s="1186" t="s">
        <v>55</v>
      </c>
      <c r="AH77" s="1186" t="s">
        <v>55</v>
      </c>
      <c r="AI77" s="908" t="s">
        <v>55</v>
      </c>
      <c r="AJ77" s="633">
        <f t="shared" si="3"/>
        <v>26</v>
      </c>
      <c r="AK77" s="634">
        <f t="shared" si="4"/>
        <v>3</v>
      </c>
      <c r="AL77" s="633">
        <f t="shared" si="5"/>
        <v>0</v>
      </c>
      <c r="AM77" s="633">
        <f t="shared" si="6"/>
        <v>0</v>
      </c>
      <c r="AN77" s="633">
        <f t="shared" si="7"/>
        <v>0</v>
      </c>
      <c r="AO77" s="634">
        <f t="shared" si="9"/>
        <v>0</v>
      </c>
      <c r="AP77" s="635">
        <f t="shared" si="8"/>
        <v>29</v>
      </c>
      <c r="AQ77" s="535"/>
      <c r="AR77" s="174"/>
      <c r="AS77" s="172" t="e">
        <f>VLOOKUP(C78,'[1]NT 2'!$C$2:$J$259,8,0)</f>
        <v>#N/A</v>
      </c>
      <c r="AT77" s="575" t="e">
        <f t="shared" si="11"/>
        <v>#N/A</v>
      </c>
    </row>
    <row r="78" spans="1:46" ht="24.75" customHeight="1">
      <c r="A78" s="1179">
        <v>66</v>
      </c>
      <c r="B78" s="1072">
        <v>66</v>
      </c>
      <c r="C78" s="499" t="s">
        <v>443</v>
      </c>
      <c r="E78" s="1186" t="s">
        <v>55</v>
      </c>
      <c r="F78" s="1186" t="s">
        <v>55</v>
      </c>
      <c r="G78" s="1186" t="s">
        <v>55</v>
      </c>
      <c r="H78" s="1186" t="s">
        <v>118</v>
      </c>
      <c r="I78" s="1186" t="s">
        <v>55</v>
      </c>
      <c r="J78" s="1186"/>
      <c r="K78" s="1186"/>
      <c r="L78" s="1186"/>
      <c r="M78" s="1186" t="s">
        <v>55</v>
      </c>
      <c r="N78" s="1186" t="s">
        <v>55</v>
      </c>
      <c r="O78" s="1186" t="s">
        <v>118</v>
      </c>
      <c r="P78" s="1186" t="s">
        <v>55</v>
      </c>
      <c r="Q78" s="1186" t="s">
        <v>55</v>
      </c>
      <c r="R78" s="1186" t="s">
        <v>55</v>
      </c>
      <c r="S78" s="1186" t="s">
        <v>55</v>
      </c>
      <c r="T78" s="1186" t="s">
        <v>55</v>
      </c>
      <c r="U78" s="1186" t="s">
        <v>55</v>
      </c>
      <c r="V78" s="1186" t="s">
        <v>118</v>
      </c>
      <c r="W78" s="1186" t="s">
        <v>55</v>
      </c>
      <c r="X78" s="1186" t="s">
        <v>55</v>
      </c>
      <c r="Y78" s="1186" t="s">
        <v>55</v>
      </c>
      <c r="Z78" s="1186" t="s">
        <v>55</v>
      </c>
      <c r="AA78" s="1186" t="s">
        <v>55</v>
      </c>
      <c r="AB78" s="1186" t="s">
        <v>55</v>
      </c>
      <c r="AC78" s="1186" t="s">
        <v>118</v>
      </c>
      <c r="AD78" s="1186" t="s">
        <v>55</v>
      </c>
      <c r="AE78" s="1186" t="s">
        <v>55</v>
      </c>
      <c r="AF78" s="1186" t="s">
        <v>55</v>
      </c>
      <c r="AG78" s="1186" t="s">
        <v>55</v>
      </c>
      <c r="AH78" s="1186" t="s">
        <v>55</v>
      </c>
      <c r="AI78" s="908" t="s">
        <v>55</v>
      </c>
      <c r="AJ78" s="633">
        <f t="shared" ref="AJ78:AJ91" si="12">SUM(COUNTIF(E78:AI78,"x"))</f>
        <v>24</v>
      </c>
      <c r="AK78" s="634">
        <f t="shared" ref="AK78:AK91" si="13">SUM(COUNTIF(E78:AI78,"cn"))</f>
        <v>4</v>
      </c>
      <c r="AL78" s="633">
        <f t="shared" ref="AL78:AL91" si="14">SUM(COUNTIF(E78:AI78,"đ"))</f>
        <v>0</v>
      </c>
      <c r="AM78" s="633">
        <f t="shared" ref="AM78:AM91" si="15">SUM(COUNTIF(E78:AI78,"đc"))</f>
        <v>0</v>
      </c>
      <c r="AN78" s="633">
        <f t="shared" ref="AN78:AN91" si="16">SUM(COUNTIF(E78:AI78,"gt"))</f>
        <v>0</v>
      </c>
      <c r="AO78" s="634">
        <f t="shared" ref="AO78:AO91" si="17">SUM(COUNTIF(E78:AI78,"ct"))</f>
        <v>0</v>
      </c>
      <c r="AP78" s="635">
        <f t="shared" ref="AP78:AP91" si="18">AJ78+AK78+AL78+AM78+AN78+AO78</f>
        <v>28</v>
      </c>
      <c r="AQ78" s="535"/>
      <c r="AR78" s="174"/>
      <c r="AS78" s="172" t="str">
        <f>VLOOKUP(C79,'[1]NT 2'!$C$2:$J$259,8,0)</f>
        <v>03546</v>
      </c>
      <c r="AT78" s="575">
        <f t="shared" si="11"/>
        <v>0</v>
      </c>
    </row>
    <row r="79" spans="1:46" ht="24.75" customHeight="1">
      <c r="A79" s="1179">
        <v>67</v>
      </c>
      <c r="B79" s="1072">
        <v>67</v>
      </c>
      <c r="C79" s="499" t="s">
        <v>214</v>
      </c>
      <c r="D79" s="13" t="str">
        <f>VLOOKUP(C79,'[1]NT 2'!$C$2:$J$259,8,0)</f>
        <v>03546</v>
      </c>
      <c r="E79" s="1186" t="s">
        <v>55</v>
      </c>
      <c r="F79" s="1186" t="s">
        <v>55</v>
      </c>
      <c r="G79" s="1186" t="s">
        <v>55</v>
      </c>
      <c r="H79" s="1186" t="s">
        <v>118</v>
      </c>
      <c r="I79" s="1186" t="s">
        <v>55</v>
      </c>
      <c r="J79" s="1186" t="s">
        <v>55</v>
      </c>
      <c r="K79" s="1186" t="s">
        <v>55</v>
      </c>
      <c r="L79" s="1186" t="s">
        <v>55</v>
      </c>
      <c r="M79" s="1186" t="s">
        <v>55</v>
      </c>
      <c r="N79" s="1186" t="s">
        <v>55</v>
      </c>
      <c r="O79" s="1186" t="s">
        <v>118</v>
      </c>
      <c r="P79" s="1186" t="s">
        <v>55</v>
      </c>
      <c r="Q79" s="1186" t="s">
        <v>55</v>
      </c>
      <c r="R79" s="1186" t="s">
        <v>55</v>
      </c>
      <c r="S79" s="1186" t="s">
        <v>55</v>
      </c>
      <c r="T79" s="1186" t="s">
        <v>55</v>
      </c>
      <c r="U79" s="1186" t="s">
        <v>55</v>
      </c>
      <c r="V79" s="1186" t="s">
        <v>118</v>
      </c>
      <c r="W79" s="1186" t="s">
        <v>55</v>
      </c>
      <c r="X79" s="1186" t="s">
        <v>55</v>
      </c>
      <c r="Y79" s="1186" t="s">
        <v>55</v>
      </c>
      <c r="Z79" s="1186" t="s">
        <v>55</v>
      </c>
      <c r="AA79" s="1186" t="s">
        <v>55</v>
      </c>
      <c r="AB79" s="1186" t="s">
        <v>55</v>
      </c>
      <c r="AC79" s="1186" t="s">
        <v>118</v>
      </c>
      <c r="AD79" s="1186" t="s">
        <v>55</v>
      </c>
      <c r="AE79" s="1186" t="s">
        <v>55</v>
      </c>
      <c r="AF79" s="1186" t="s">
        <v>55</v>
      </c>
      <c r="AG79" s="1186" t="s">
        <v>55</v>
      </c>
      <c r="AH79" s="1186" t="s">
        <v>55</v>
      </c>
      <c r="AI79" s="908" t="s">
        <v>55</v>
      </c>
      <c r="AJ79" s="633">
        <f t="shared" si="12"/>
        <v>27</v>
      </c>
      <c r="AK79" s="634">
        <f t="shared" si="13"/>
        <v>4</v>
      </c>
      <c r="AL79" s="633">
        <f t="shared" si="14"/>
        <v>0</v>
      </c>
      <c r="AM79" s="633">
        <f t="shared" si="15"/>
        <v>0</v>
      </c>
      <c r="AN79" s="633">
        <f t="shared" si="16"/>
        <v>0</v>
      </c>
      <c r="AO79" s="634">
        <f t="shared" si="17"/>
        <v>0</v>
      </c>
      <c r="AP79" s="635">
        <f t="shared" si="18"/>
        <v>31</v>
      </c>
      <c r="AQ79" s="535"/>
      <c r="AR79" s="174"/>
      <c r="AS79" s="172" t="str">
        <f>VLOOKUP(C80,'[1]NT 2'!$C$2:$J$259,8,0)</f>
        <v>03571</v>
      </c>
      <c r="AT79" s="575">
        <f t="shared" si="11"/>
        <v>0</v>
      </c>
    </row>
    <row r="80" spans="1:46" ht="24.75" customHeight="1">
      <c r="A80" s="1179">
        <v>68</v>
      </c>
      <c r="B80" s="1072">
        <v>68</v>
      </c>
      <c r="C80" s="499" t="s">
        <v>316</v>
      </c>
      <c r="D80" s="13" t="str">
        <f>VLOOKUP(C80,'[1]NT 2'!$C$2:$J$259,8,0)</f>
        <v>03571</v>
      </c>
      <c r="E80" s="1186"/>
      <c r="F80" s="1186"/>
      <c r="G80" s="1186"/>
      <c r="H80" s="1186"/>
      <c r="I80" s="1186"/>
      <c r="J80" s="1186"/>
      <c r="K80" s="1186"/>
      <c r="L80" s="1186"/>
      <c r="M80" s="1186"/>
      <c r="N80" s="1186" t="s">
        <v>55</v>
      </c>
      <c r="O80" s="1186" t="s">
        <v>118</v>
      </c>
      <c r="P80" s="1186" t="s">
        <v>55</v>
      </c>
      <c r="Q80" s="1186" t="s">
        <v>55</v>
      </c>
      <c r="R80" s="1186"/>
      <c r="S80" s="1186" t="s">
        <v>55</v>
      </c>
      <c r="T80" s="1186" t="s">
        <v>55</v>
      </c>
      <c r="U80" s="1186" t="s">
        <v>55</v>
      </c>
      <c r="V80" s="1186" t="s">
        <v>118</v>
      </c>
      <c r="W80" s="1186" t="s">
        <v>55</v>
      </c>
      <c r="X80" s="1186" t="s">
        <v>55</v>
      </c>
      <c r="Y80" s="1186" t="s">
        <v>55</v>
      </c>
      <c r="Z80" s="1186" t="s">
        <v>55</v>
      </c>
      <c r="AA80" s="1186" t="s">
        <v>55</v>
      </c>
      <c r="AB80" s="1186" t="s">
        <v>55</v>
      </c>
      <c r="AC80" s="1186" t="s">
        <v>118</v>
      </c>
      <c r="AD80" s="1186" t="s">
        <v>55</v>
      </c>
      <c r="AE80" s="1186" t="s">
        <v>55</v>
      </c>
      <c r="AF80" s="1186" t="s">
        <v>55</v>
      </c>
      <c r="AG80" s="1186" t="s">
        <v>55</v>
      </c>
      <c r="AH80" s="1186" t="s">
        <v>55</v>
      </c>
      <c r="AI80" s="908" t="s">
        <v>55</v>
      </c>
      <c r="AJ80" s="633">
        <f t="shared" si="12"/>
        <v>18</v>
      </c>
      <c r="AK80" s="634">
        <f t="shared" si="13"/>
        <v>3</v>
      </c>
      <c r="AL80" s="633">
        <f t="shared" si="14"/>
        <v>0</v>
      </c>
      <c r="AM80" s="633">
        <f t="shared" si="15"/>
        <v>0</v>
      </c>
      <c r="AN80" s="633">
        <f t="shared" si="16"/>
        <v>0</v>
      </c>
      <c r="AO80" s="634">
        <f t="shared" si="17"/>
        <v>0</v>
      </c>
      <c r="AP80" s="635">
        <f t="shared" si="18"/>
        <v>21</v>
      </c>
      <c r="AQ80" s="535"/>
      <c r="AR80" s="174"/>
      <c r="AS80" s="172" t="e">
        <f>VLOOKUP(C81,'[1]NT 2'!$C$2:$J$259,8,0)</f>
        <v>#N/A</v>
      </c>
      <c r="AT80" s="575" t="e">
        <f t="shared" si="11"/>
        <v>#N/A</v>
      </c>
    </row>
    <row r="81" spans="1:47" ht="24.75" customHeight="1">
      <c r="A81" s="1179">
        <v>69</v>
      </c>
      <c r="B81" s="1072">
        <v>69</v>
      </c>
      <c r="C81" s="499" t="s">
        <v>349</v>
      </c>
      <c r="E81" s="1186"/>
      <c r="F81" s="1186" t="s">
        <v>55</v>
      </c>
      <c r="G81" s="1186" t="s">
        <v>55</v>
      </c>
      <c r="H81" s="1186"/>
      <c r="I81" s="1186" t="s">
        <v>55</v>
      </c>
      <c r="J81" s="1186" t="s">
        <v>55</v>
      </c>
      <c r="K81" s="1186" t="s">
        <v>55</v>
      </c>
      <c r="L81" s="1186" t="s">
        <v>55</v>
      </c>
      <c r="M81" s="1186" t="s">
        <v>55</v>
      </c>
      <c r="N81" s="1186" t="s">
        <v>55</v>
      </c>
      <c r="O81" s="1186" t="s">
        <v>118</v>
      </c>
      <c r="P81" s="1186" t="s">
        <v>55</v>
      </c>
      <c r="Q81" s="1186" t="s">
        <v>55</v>
      </c>
      <c r="R81" s="1186" t="s">
        <v>55</v>
      </c>
      <c r="S81" s="1186"/>
      <c r="T81" s="1186"/>
      <c r="U81" s="1186" t="s">
        <v>55</v>
      </c>
      <c r="V81" s="1186" t="s">
        <v>118</v>
      </c>
      <c r="W81" s="1186" t="s">
        <v>55</v>
      </c>
      <c r="X81" s="1186" t="s">
        <v>55</v>
      </c>
      <c r="Y81" s="1186" t="s">
        <v>55</v>
      </c>
      <c r="Z81" s="1186" t="s">
        <v>55</v>
      </c>
      <c r="AA81" s="1186" t="s">
        <v>55</v>
      </c>
      <c r="AB81" s="1186" t="s">
        <v>55</v>
      </c>
      <c r="AC81" s="1186" t="s">
        <v>118</v>
      </c>
      <c r="AD81" s="1186" t="s">
        <v>55</v>
      </c>
      <c r="AE81" s="1186" t="s">
        <v>55</v>
      </c>
      <c r="AF81" s="1186" t="s">
        <v>55</v>
      </c>
      <c r="AG81" s="1186"/>
      <c r="AH81" s="1186" t="s">
        <v>55</v>
      </c>
      <c r="AI81" s="908" t="s">
        <v>55</v>
      </c>
      <c r="AJ81" s="633">
        <f t="shared" si="12"/>
        <v>23</v>
      </c>
      <c r="AK81" s="634">
        <f t="shared" si="13"/>
        <v>3</v>
      </c>
      <c r="AL81" s="633">
        <f t="shared" si="14"/>
        <v>0</v>
      </c>
      <c r="AM81" s="633">
        <f t="shared" si="15"/>
        <v>0</v>
      </c>
      <c r="AN81" s="633">
        <f t="shared" si="16"/>
        <v>0</v>
      </c>
      <c r="AO81" s="634">
        <f t="shared" si="17"/>
        <v>0</v>
      </c>
      <c r="AP81" s="635">
        <f t="shared" si="18"/>
        <v>26</v>
      </c>
      <c r="AQ81" s="535"/>
      <c r="AR81" s="174"/>
      <c r="AS81" s="172" t="str">
        <f>VLOOKUP(C82,'[1]NT 2'!$C$2:$J$259,8,0)</f>
        <v>03515</v>
      </c>
      <c r="AT81" s="575">
        <f t="shared" si="11"/>
        <v>0</v>
      </c>
    </row>
    <row r="82" spans="1:47" ht="24.75" customHeight="1">
      <c r="A82" s="1179">
        <v>70</v>
      </c>
      <c r="B82" s="1072">
        <v>70</v>
      </c>
      <c r="C82" s="499" t="s">
        <v>336</v>
      </c>
      <c r="D82" s="13" t="str">
        <f>VLOOKUP(C82,'[1]NT 2'!$C$2:$J$259,8,0)</f>
        <v>03515</v>
      </c>
      <c r="E82" s="1186" t="s">
        <v>55</v>
      </c>
      <c r="F82" s="1186" t="s">
        <v>55</v>
      </c>
      <c r="G82" s="1186" t="s">
        <v>55</v>
      </c>
      <c r="H82" s="1186" t="s">
        <v>118</v>
      </c>
      <c r="I82" s="1186" t="s">
        <v>55</v>
      </c>
      <c r="J82" s="1186" t="s">
        <v>55</v>
      </c>
      <c r="K82" s="1186" t="s">
        <v>55</v>
      </c>
      <c r="L82" s="1186" t="s">
        <v>55</v>
      </c>
      <c r="M82" s="1186" t="s">
        <v>55</v>
      </c>
      <c r="N82" s="1186" t="s">
        <v>55</v>
      </c>
      <c r="O82" s="1186" t="s">
        <v>118</v>
      </c>
      <c r="P82" s="1186" t="s">
        <v>55</v>
      </c>
      <c r="Q82" s="1186" t="s">
        <v>55</v>
      </c>
      <c r="R82" s="1186" t="s">
        <v>55</v>
      </c>
      <c r="S82" s="1186" t="s">
        <v>55</v>
      </c>
      <c r="T82" s="1186" t="s">
        <v>55</v>
      </c>
      <c r="U82" s="1186" t="s">
        <v>55</v>
      </c>
      <c r="V82" s="1186" t="s">
        <v>118</v>
      </c>
      <c r="W82" s="1186" t="s">
        <v>55</v>
      </c>
      <c r="X82" s="1186" t="s">
        <v>55</v>
      </c>
      <c r="Y82" s="1186" t="s">
        <v>55</v>
      </c>
      <c r="Z82" s="1186" t="s">
        <v>678</v>
      </c>
      <c r="AA82" s="1186" t="s">
        <v>55</v>
      </c>
      <c r="AB82" s="1186" t="s">
        <v>55</v>
      </c>
      <c r="AC82" s="1186" t="s">
        <v>118</v>
      </c>
      <c r="AD82" s="1186" t="s">
        <v>55</v>
      </c>
      <c r="AE82" s="1186" t="s">
        <v>55</v>
      </c>
      <c r="AF82" s="1186" t="s">
        <v>55</v>
      </c>
      <c r="AG82" s="1186" t="s">
        <v>55</v>
      </c>
      <c r="AH82" s="1186" t="s">
        <v>55</v>
      </c>
      <c r="AI82" s="908" t="s">
        <v>55</v>
      </c>
      <c r="AJ82" s="633">
        <f t="shared" si="12"/>
        <v>26</v>
      </c>
      <c r="AK82" s="634">
        <f t="shared" si="13"/>
        <v>4</v>
      </c>
      <c r="AL82" s="633">
        <f t="shared" si="14"/>
        <v>0</v>
      </c>
      <c r="AM82" s="633">
        <f t="shared" si="15"/>
        <v>0</v>
      </c>
      <c r="AN82" s="633">
        <f t="shared" si="16"/>
        <v>0</v>
      </c>
      <c r="AO82" s="634">
        <f t="shared" si="17"/>
        <v>0</v>
      </c>
      <c r="AP82" s="635">
        <f t="shared" si="18"/>
        <v>30</v>
      </c>
      <c r="AQ82" s="535"/>
      <c r="AR82" s="174"/>
      <c r="AS82" s="172" t="str">
        <f>VLOOKUP(C83,'[1]NT 2'!$C$2:$J$259,8,0)</f>
        <v>03516</v>
      </c>
      <c r="AT82" s="575">
        <f t="shared" si="11"/>
        <v>0</v>
      </c>
    </row>
    <row r="83" spans="1:47" ht="24.75" customHeight="1">
      <c r="A83" s="1179">
        <v>71</v>
      </c>
      <c r="B83" s="1072">
        <v>71</v>
      </c>
      <c r="C83" s="499" t="s">
        <v>234</v>
      </c>
      <c r="D83" s="13" t="str">
        <f>VLOOKUP(C83,'[1]NT 2'!$C$2:$J$259,8,0)</f>
        <v>03516</v>
      </c>
      <c r="E83" s="1186" t="s">
        <v>55</v>
      </c>
      <c r="F83" s="1186" t="s">
        <v>55</v>
      </c>
      <c r="G83" s="1186" t="s">
        <v>55</v>
      </c>
      <c r="H83" s="1186" t="s">
        <v>118</v>
      </c>
      <c r="I83" s="1186" t="s">
        <v>55</v>
      </c>
      <c r="J83" s="1186" t="s">
        <v>55</v>
      </c>
      <c r="K83" s="1186" t="s">
        <v>55</v>
      </c>
      <c r="L83" s="1186" t="s">
        <v>55</v>
      </c>
      <c r="M83" s="1186" t="s">
        <v>55</v>
      </c>
      <c r="N83" s="1186" t="s">
        <v>55</v>
      </c>
      <c r="O83" s="1186" t="s">
        <v>118</v>
      </c>
      <c r="P83" s="1186" t="s">
        <v>55</v>
      </c>
      <c r="Q83" s="1186" t="s">
        <v>55</v>
      </c>
      <c r="R83" s="1186" t="s">
        <v>55</v>
      </c>
      <c r="S83" s="1186" t="s">
        <v>55</v>
      </c>
      <c r="T83" s="1186" t="s">
        <v>55</v>
      </c>
      <c r="U83" s="1186" t="s">
        <v>55</v>
      </c>
      <c r="V83" s="1186" t="s">
        <v>118</v>
      </c>
      <c r="W83" s="1186" t="s">
        <v>55</v>
      </c>
      <c r="X83" s="1186"/>
      <c r="Y83" s="1186" t="s">
        <v>55</v>
      </c>
      <c r="Z83" s="1186" t="s">
        <v>55</v>
      </c>
      <c r="AA83" s="1186" t="s">
        <v>55</v>
      </c>
      <c r="AB83" s="1186" t="s">
        <v>55</v>
      </c>
      <c r="AC83" s="1186" t="s">
        <v>118</v>
      </c>
      <c r="AD83" s="1186" t="s">
        <v>55</v>
      </c>
      <c r="AE83" s="1186"/>
      <c r="AF83" s="1186" t="s">
        <v>55</v>
      </c>
      <c r="AG83" s="1186" t="s">
        <v>55</v>
      </c>
      <c r="AH83" s="1186" t="s">
        <v>55</v>
      </c>
      <c r="AI83" s="908" t="s">
        <v>55</v>
      </c>
      <c r="AJ83" s="633">
        <f t="shared" si="12"/>
        <v>25</v>
      </c>
      <c r="AK83" s="634">
        <f t="shared" si="13"/>
        <v>4</v>
      </c>
      <c r="AL83" s="633">
        <f t="shared" si="14"/>
        <v>0</v>
      </c>
      <c r="AM83" s="633">
        <f t="shared" si="15"/>
        <v>0</v>
      </c>
      <c r="AN83" s="633">
        <f t="shared" si="16"/>
        <v>0</v>
      </c>
      <c r="AO83" s="634">
        <f t="shared" si="17"/>
        <v>0</v>
      </c>
      <c r="AP83" s="635">
        <f t="shared" si="18"/>
        <v>29</v>
      </c>
      <c r="AQ83" s="535"/>
      <c r="AR83" s="174"/>
      <c r="AS83" s="172" t="str">
        <f>VLOOKUP(C84,'[1]NT 2'!$C$2:$J$259,8,0)</f>
        <v>03544</v>
      </c>
      <c r="AT83" s="575">
        <f t="shared" si="11"/>
        <v>0</v>
      </c>
    </row>
    <row r="84" spans="1:47" ht="24.75" customHeight="1">
      <c r="A84" s="1179">
        <v>72</v>
      </c>
      <c r="B84" s="1072">
        <v>72</v>
      </c>
      <c r="C84" s="499" t="s">
        <v>274</v>
      </c>
      <c r="D84" s="13" t="str">
        <f>VLOOKUP(C84,'[1]NT 2'!$C$2:$J$259,8,0)</f>
        <v>03544</v>
      </c>
      <c r="E84" s="1186" t="s">
        <v>55</v>
      </c>
      <c r="F84" s="1186" t="s">
        <v>55</v>
      </c>
      <c r="G84" s="1186" t="s">
        <v>55</v>
      </c>
      <c r="H84" s="1186" t="s">
        <v>118</v>
      </c>
      <c r="I84" s="1186" t="s">
        <v>55</v>
      </c>
      <c r="J84" s="1186" t="s">
        <v>55</v>
      </c>
      <c r="K84" s="1186" t="s">
        <v>55</v>
      </c>
      <c r="L84" s="1186" t="s">
        <v>55</v>
      </c>
      <c r="M84" s="1186" t="s">
        <v>55</v>
      </c>
      <c r="N84" s="1186" t="s">
        <v>55</v>
      </c>
      <c r="O84" s="1186" t="s">
        <v>118</v>
      </c>
      <c r="P84" s="1186" t="s">
        <v>55</v>
      </c>
      <c r="Q84" s="1186" t="s">
        <v>55</v>
      </c>
      <c r="R84" s="1186" t="s">
        <v>55</v>
      </c>
      <c r="S84" s="1186" t="s">
        <v>55</v>
      </c>
      <c r="T84" s="1186" t="s">
        <v>55</v>
      </c>
      <c r="U84" s="1186" t="s">
        <v>55</v>
      </c>
      <c r="V84" s="1186" t="s">
        <v>118</v>
      </c>
      <c r="W84" s="1186" t="s">
        <v>55</v>
      </c>
      <c r="X84" s="1186" t="s">
        <v>55</v>
      </c>
      <c r="Y84" s="1186" t="s">
        <v>55</v>
      </c>
      <c r="Z84" s="1186" t="s">
        <v>55</v>
      </c>
      <c r="AA84" s="1186" t="s">
        <v>55</v>
      </c>
      <c r="AB84" s="1186" t="s">
        <v>55</v>
      </c>
      <c r="AC84" s="1186" t="s">
        <v>118</v>
      </c>
      <c r="AD84" s="1186" t="s">
        <v>55</v>
      </c>
      <c r="AE84" s="1186" t="s">
        <v>55</v>
      </c>
      <c r="AF84" s="1186" t="s">
        <v>55</v>
      </c>
      <c r="AG84" s="1186" t="s">
        <v>55</v>
      </c>
      <c r="AH84" s="1186" t="s">
        <v>55</v>
      </c>
      <c r="AI84" s="908" t="s">
        <v>55</v>
      </c>
      <c r="AJ84" s="633">
        <f t="shared" si="12"/>
        <v>27</v>
      </c>
      <c r="AK84" s="634">
        <f t="shared" si="13"/>
        <v>4</v>
      </c>
      <c r="AL84" s="633">
        <f t="shared" si="14"/>
        <v>0</v>
      </c>
      <c r="AM84" s="633">
        <f t="shared" si="15"/>
        <v>0</v>
      </c>
      <c r="AN84" s="633">
        <f t="shared" si="16"/>
        <v>0</v>
      </c>
      <c r="AO84" s="634">
        <f t="shared" si="17"/>
        <v>0</v>
      </c>
      <c r="AP84" s="635">
        <f t="shared" si="18"/>
        <v>31</v>
      </c>
      <c r="AQ84" s="535"/>
      <c r="AR84" s="174"/>
      <c r="AS84" s="172" t="e">
        <f>VLOOKUP(C85,'[1]NT 2'!$C$2:$J$259,8,0)</f>
        <v>#N/A</v>
      </c>
      <c r="AT84" s="575" t="e">
        <f t="shared" si="11"/>
        <v>#N/A</v>
      </c>
    </row>
    <row r="85" spans="1:47" ht="24.75" customHeight="1">
      <c r="A85" s="1179">
        <v>73</v>
      </c>
      <c r="B85" s="1072">
        <v>73</v>
      </c>
      <c r="C85" s="499" t="s">
        <v>613</v>
      </c>
      <c r="D85" s="13" t="e">
        <f>VLOOKUP(C85,'[1]NT 2'!$C$2:$J$259,8,0)</f>
        <v>#N/A</v>
      </c>
      <c r="E85" s="1186" t="s">
        <v>55</v>
      </c>
      <c r="F85" s="1186" t="s">
        <v>55</v>
      </c>
      <c r="G85" s="1186" t="s">
        <v>55</v>
      </c>
      <c r="H85" s="1186" t="s">
        <v>118</v>
      </c>
      <c r="I85" s="1186" t="s">
        <v>55</v>
      </c>
      <c r="J85" s="1186" t="s">
        <v>55</v>
      </c>
      <c r="K85" s="1186" t="s">
        <v>55</v>
      </c>
      <c r="L85" s="1186" t="s">
        <v>55</v>
      </c>
      <c r="M85" s="1186" t="s">
        <v>55</v>
      </c>
      <c r="N85" s="1186" t="s">
        <v>55</v>
      </c>
      <c r="O85" s="1186" t="s">
        <v>118</v>
      </c>
      <c r="P85" s="1186" t="s">
        <v>55</v>
      </c>
      <c r="Q85" s="1186" t="s">
        <v>55</v>
      </c>
      <c r="R85" s="1186" t="s">
        <v>55</v>
      </c>
      <c r="S85" s="1186" t="s">
        <v>55</v>
      </c>
      <c r="T85" s="1186" t="s">
        <v>55</v>
      </c>
      <c r="U85" s="1186" t="s">
        <v>55</v>
      </c>
      <c r="V85" s="1186" t="s">
        <v>118</v>
      </c>
      <c r="W85" s="1186" t="s">
        <v>55</v>
      </c>
      <c r="X85" s="1186" t="s">
        <v>55</v>
      </c>
      <c r="Y85" s="1186" t="s">
        <v>55</v>
      </c>
      <c r="Z85" s="1186" t="s">
        <v>55</v>
      </c>
      <c r="AA85" s="1186" t="s">
        <v>55</v>
      </c>
      <c r="AB85" s="1186" t="s">
        <v>55</v>
      </c>
      <c r="AC85" s="1186" t="s">
        <v>118</v>
      </c>
      <c r="AD85" s="1186" t="s">
        <v>55</v>
      </c>
      <c r="AE85" s="1186" t="s">
        <v>55</v>
      </c>
      <c r="AF85" s="1186" t="s">
        <v>55</v>
      </c>
      <c r="AG85" s="1186" t="s">
        <v>55</v>
      </c>
      <c r="AH85" s="1186" t="s">
        <v>55</v>
      </c>
      <c r="AI85" s="908" t="s">
        <v>55</v>
      </c>
      <c r="AJ85" s="633">
        <f t="shared" si="12"/>
        <v>27</v>
      </c>
      <c r="AK85" s="634">
        <f t="shared" si="13"/>
        <v>4</v>
      </c>
      <c r="AL85" s="633">
        <f t="shared" si="14"/>
        <v>0</v>
      </c>
      <c r="AM85" s="633">
        <f t="shared" si="15"/>
        <v>0</v>
      </c>
      <c r="AN85" s="633">
        <f t="shared" si="16"/>
        <v>0</v>
      </c>
      <c r="AO85" s="634">
        <f t="shared" si="17"/>
        <v>0</v>
      </c>
      <c r="AP85" s="635">
        <f t="shared" si="18"/>
        <v>31</v>
      </c>
      <c r="AQ85" s="535"/>
      <c r="AR85" s="174"/>
      <c r="AS85" s="172" t="e">
        <f>VLOOKUP(C86,'[1]NT 2'!$C$2:$J$259,8,0)</f>
        <v>#N/A</v>
      </c>
      <c r="AT85" s="575" t="e">
        <f t="shared" si="11"/>
        <v>#N/A</v>
      </c>
    </row>
    <row r="86" spans="1:47" ht="24.75" hidden="1" customHeight="1">
      <c r="A86" s="1179">
        <v>74</v>
      </c>
      <c r="B86" s="1072">
        <v>74</v>
      </c>
      <c r="C86" s="499" t="s">
        <v>521</v>
      </c>
      <c r="E86" s="1186"/>
      <c r="F86" s="1186"/>
      <c r="G86" s="1186"/>
      <c r="H86" s="1186"/>
      <c r="I86" s="1186"/>
      <c r="J86" s="1186"/>
      <c r="K86" s="1186"/>
      <c r="L86" s="1186"/>
      <c r="M86" s="1186"/>
      <c r="N86" s="1186"/>
      <c r="O86" s="1186"/>
      <c r="P86" s="1186"/>
      <c r="Q86" s="1186"/>
      <c r="R86" s="1186"/>
      <c r="S86" s="1186"/>
      <c r="T86" s="1186"/>
      <c r="U86" s="1186"/>
      <c r="V86" s="1186"/>
      <c r="W86" s="1186"/>
      <c r="X86" s="1186"/>
      <c r="Y86" s="1186"/>
      <c r="Z86" s="1186"/>
      <c r="AA86" s="1186"/>
      <c r="AB86" s="1186"/>
      <c r="AC86" s="1186"/>
      <c r="AD86" s="1186"/>
      <c r="AE86" s="1186"/>
      <c r="AF86" s="1186"/>
      <c r="AG86" s="908"/>
      <c r="AH86" s="908"/>
      <c r="AI86" s="908"/>
      <c r="AJ86" s="633">
        <f t="shared" si="12"/>
        <v>0</v>
      </c>
      <c r="AK86" s="634">
        <f t="shared" si="13"/>
        <v>0</v>
      </c>
      <c r="AL86" s="633">
        <f t="shared" si="14"/>
        <v>0</v>
      </c>
      <c r="AM86" s="633">
        <f t="shared" si="15"/>
        <v>0</v>
      </c>
      <c r="AN86" s="633">
        <f t="shared" si="16"/>
        <v>0</v>
      </c>
      <c r="AO86" s="634">
        <f t="shared" si="17"/>
        <v>0</v>
      </c>
      <c r="AP86" s="635">
        <f t="shared" si="18"/>
        <v>0</v>
      </c>
      <c r="AQ86" s="535"/>
      <c r="AR86" s="174"/>
      <c r="AT86" s="575">
        <f t="shared" si="11"/>
        <v>0</v>
      </c>
    </row>
    <row r="87" spans="1:47" ht="24.75" customHeight="1">
      <c r="A87" s="1179">
        <v>74</v>
      </c>
      <c r="B87" s="1072">
        <v>74</v>
      </c>
      <c r="C87" s="499" t="s">
        <v>680</v>
      </c>
      <c r="E87" s="908"/>
      <c r="F87" s="908"/>
      <c r="G87" s="908"/>
      <c r="H87" s="908"/>
      <c r="I87" s="908"/>
      <c r="J87" s="908"/>
      <c r="K87" s="908"/>
      <c r="L87" s="908"/>
      <c r="M87" s="908"/>
      <c r="N87" s="908"/>
      <c r="O87" s="908"/>
      <c r="P87" s="908"/>
      <c r="Q87" s="908"/>
      <c r="R87" s="908"/>
      <c r="S87" s="908"/>
      <c r="T87" s="908"/>
      <c r="U87" s="908" t="s">
        <v>55</v>
      </c>
      <c r="V87" s="908"/>
      <c r="W87" s="908"/>
      <c r="X87" s="908"/>
      <c r="Y87" s="908" t="s">
        <v>55</v>
      </c>
      <c r="Z87" s="908" t="s">
        <v>55</v>
      </c>
      <c r="AA87" s="908"/>
      <c r="AB87" s="908" t="s">
        <v>55</v>
      </c>
      <c r="AC87" s="908"/>
      <c r="AD87" s="908"/>
      <c r="AE87" s="908"/>
      <c r="AF87" s="908"/>
      <c r="AG87" s="908"/>
      <c r="AH87" s="908"/>
      <c r="AI87" s="908" t="s">
        <v>55</v>
      </c>
      <c r="AJ87" s="633">
        <f t="shared" si="12"/>
        <v>5</v>
      </c>
      <c r="AK87" s="634">
        <f t="shared" si="13"/>
        <v>0</v>
      </c>
      <c r="AL87" s="633">
        <f t="shared" si="14"/>
        <v>0</v>
      </c>
      <c r="AM87" s="633">
        <f t="shared" si="15"/>
        <v>0</v>
      </c>
      <c r="AN87" s="633">
        <f t="shared" si="16"/>
        <v>0</v>
      </c>
      <c r="AO87" s="634">
        <f t="shared" si="17"/>
        <v>0</v>
      </c>
      <c r="AP87" s="635">
        <f t="shared" si="18"/>
        <v>5</v>
      </c>
      <c r="AQ87" s="535"/>
      <c r="AR87" s="174"/>
      <c r="AT87" s="575">
        <f t="shared" si="11"/>
        <v>0</v>
      </c>
    </row>
    <row r="88" spans="1:47" ht="24.75" customHeight="1">
      <c r="A88" s="1179">
        <v>75</v>
      </c>
      <c r="B88" s="1072">
        <v>75</v>
      </c>
      <c r="C88" s="499" t="s">
        <v>679</v>
      </c>
      <c r="E88" s="908"/>
      <c r="F88" s="908"/>
      <c r="G88" s="908"/>
      <c r="H88" s="908"/>
      <c r="I88" s="908"/>
      <c r="J88" s="908"/>
      <c r="K88" s="908"/>
      <c r="L88" s="908"/>
      <c r="M88" s="908"/>
      <c r="N88" s="908"/>
      <c r="O88" s="908"/>
      <c r="P88" s="908"/>
      <c r="Q88" s="908"/>
      <c r="R88" s="908"/>
      <c r="S88" s="908"/>
      <c r="T88" s="908"/>
      <c r="U88" s="908" t="s">
        <v>55</v>
      </c>
      <c r="V88" s="908"/>
      <c r="W88" s="908"/>
      <c r="X88" s="908"/>
      <c r="Y88" s="908" t="s">
        <v>55</v>
      </c>
      <c r="Z88" s="908" t="s">
        <v>55</v>
      </c>
      <c r="AA88" s="908"/>
      <c r="AB88" s="908" t="s">
        <v>55</v>
      </c>
      <c r="AC88" s="908"/>
      <c r="AD88" s="908"/>
      <c r="AE88" s="908"/>
      <c r="AF88" s="908"/>
      <c r="AG88" s="908"/>
      <c r="AH88" s="908"/>
      <c r="AI88" s="908" t="s">
        <v>55</v>
      </c>
      <c r="AJ88" s="633">
        <f t="shared" si="12"/>
        <v>5</v>
      </c>
      <c r="AK88" s="634">
        <f t="shared" si="13"/>
        <v>0</v>
      </c>
      <c r="AL88" s="633">
        <f t="shared" si="14"/>
        <v>0</v>
      </c>
      <c r="AM88" s="633">
        <f t="shared" si="15"/>
        <v>0</v>
      </c>
      <c r="AN88" s="633">
        <f t="shared" si="16"/>
        <v>0</v>
      </c>
      <c r="AO88" s="634">
        <f t="shared" si="17"/>
        <v>0</v>
      </c>
      <c r="AP88" s="635">
        <f t="shared" si="18"/>
        <v>5</v>
      </c>
      <c r="AQ88" s="535"/>
      <c r="AR88" s="174"/>
      <c r="AT88" s="575" t="e">
        <f>#REF!-AS88</f>
        <v>#REF!</v>
      </c>
    </row>
    <row r="89" spans="1:47" ht="24.75" customHeight="1">
      <c r="A89" s="1179">
        <v>76</v>
      </c>
      <c r="B89" s="1072">
        <v>76</v>
      </c>
      <c r="C89" s="918" t="s">
        <v>451</v>
      </c>
      <c r="E89" s="908"/>
      <c r="F89" s="908"/>
      <c r="G89" s="908"/>
      <c r="H89" s="908"/>
      <c r="I89" s="908"/>
      <c r="J89" s="908"/>
      <c r="K89" s="908"/>
      <c r="L89" s="908"/>
      <c r="M89" s="908"/>
      <c r="N89" s="908"/>
      <c r="O89" s="908"/>
      <c r="P89" s="908"/>
      <c r="Q89" s="908"/>
      <c r="R89" s="908"/>
      <c r="S89" s="908"/>
      <c r="T89" s="908"/>
      <c r="U89" s="908" t="s">
        <v>55</v>
      </c>
      <c r="V89" s="908"/>
      <c r="W89" s="908"/>
      <c r="X89" s="908"/>
      <c r="Y89" s="908"/>
      <c r="Z89" s="908" t="s">
        <v>55</v>
      </c>
      <c r="AA89" s="908"/>
      <c r="AB89" s="908"/>
      <c r="AC89" s="908"/>
      <c r="AD89" s="908"/>
      <c r="AE89" s="908"/>
      <c r="AF89" s="908"/>
      <c r="AG89" s="908"/>
      <c r="AH89" s="908"/>
      <c r="AI89" s="908" t="s">
        <v>55</v>
      </c>
      <c r="AJ89" s="633">
        <f t="shared" si="12"/>
        <v>3</v>
      </c>
      <c r="AK89" s="634">
        <f t="shared" si="13"/>
        <v>0</v>
      </c>
      <c r="AL89" s="633">
        <f t="shared" si="14"/>
        <v>0</v>
      </c>
      <c r="AM89" s="633">
        <f t="shared" si="15"/>
        <v>0</v>
      </c>
      <c r="AN89" s="633">
        <f t="shared" si="16"/>
        <v>0</v>
      </c>
      <c r="AO89" s="634">
        <f t="shared" si="17"/>
        <v>0</v>
      </c>
      <c r="AP89" s="635">
        <f t="shared" si="18"/>
        <v>3</v>
      </c>
      <c r="AQ89" s="535"/>
      <c r="AR89" s="174"/>
    </row>
    <row r="90" spans="1:47" ht="24.75" hidden="1" customHeight="1">
      <c r="A90" s="1179">
        <v>78</v>
      </c>
      <c r="B90" s="1072">
        <v>77</v>
      </c>
      <c r="C90" s="919" t="s">
        <v>452</v>
      </c>
      <c r="E90" s="908"/>
      <c r="F90" s="908"/>
      <c r="G90" s="908"/>
      <c r="H90" s="908"/>
      <c r="I90" s="908"/>
      <c r="J90" s="908"/>
      <c r="K90" s="908"/>
      <c r="L90" s="908"/>
      <c r="M90" s="908"/>
      <c r="N90" s="908"/>
      <c r="O90" s="908"/>
      <c r="P90" s="908"/>
      <c r="Q90" s="908"/>
      <c r="R90" s="908"/>
      <c r="S90" s="908"/>
      <c r="T90" s="908"/>
      <c r="U90" s="908"/>
      <c r="V90" s="908"/>
      <c r="W90" s="908"/>
      <c r="X90" s="908"/>
      <c r="Y90" s="908"/>
      <c r="Z90" s="908"/>
      <c r="AA90" s="908"/>
      <c r="AB90" s="908"/>
      <c r="AC90" s="908"/>
      <c r="AD90" s="908"/>
      <c r="AE90" s="908"/>
      <c r="AF90" s="908"/>
      <c r="AG90" s="908"/>
      <c r="AH90" s="908"/>
      <c r="AI90" s="908"/>
      <c r="AJ90" s="633">
        <f t="shared" si="12"/>
        <v>0</v>
      </c>
      <c r="AK90" s="634">
        <f t="shared" si="13"/>
        <v>0</v>
      </c>
      <c r="AL90" s="633">
        <f t="shared" si="14"/>
        <v>0</v>
      </c>
      <c r="AM90" s="633">
        <f t="shared" si="15"/>
        <v>0</v>
      </c>
      <c r="AN90" s="633">
        <f t="shared" si="16"/>
        <v>0</v>
      </c>
      <c r="AO90" s="634">
        <f t="shared" si="17"/>
        <v>0</v>
      </c>
      <c r="AP90" s="635">
        <f t="shared" si="18"/>
        <v>0</v>
      </c>
      <c r="AQ90" s="535"/>
      <c r="AR90" s="174"/>
      <c r="AT90" s="575">
        <f>D91-AS90</f>
        <v>0</v>
      </c>
    </row>
    <row r="91" spans="1:47" ht="24.75" hidden="1" customHeight="1">
      <c r="A91" s="1179">
        <v>79</v>
      </c>
      <c r="B91" s="1072">
        <v>78</v>
      </c>
      <c r="C91" s="919" t="s">
        <v>453</v>
      </c>
      <c r="E91" s="908"/>
      <c r="F91" s="908"/>
      <c r="G91" s="908"/>
      <c r="H91" s="908"/>
      <c r="I91" s="908"/>
      <c r="J91" s="908"/>
      <c r="K91" s="908"/>
      <c r="L91" s="908"/>
      <c r="M91" s="908"/>
      <c r="N91" s="908"/>
      <c r="O91" s="908"/>
      <c r="P91" s="908"/>
      <c r="Q91" s="908"/>
      <c r="R91" s="908"/>
      <c r="S91" s="908"/>
      <c r="T91" s="908"/>
      <c r="U91" s="908"/>
      <c r="V91" s="908"/>
      <c r="W91" s="908"/>
      <c r="X91" s="908"/>
      <c r="Y91" s="908"/>
      <c r="Z91" s="908"/>
      <c r="AA91" s="908"/>
      <c r="AB91" s="908"/>
      <c r="AC91" s="908"/>
      <c r="AD91" s="908"/>
      <c r="AE91" s="908"/>
      <c r="AF91" s="908"/>
      <c r="AG91" s="908"/>
      <c r="AH91" s="908"/>
      <c r="AI91" s="908"/>
      <c r="AJ91" s="633">
        <f t="shared" si="12"/>
        <v>0</v>
      </c>
      <c r="AK91" s="634">
        <f t="shared" si="13"/>
        <v>0</v>
      </c>
      <c r="AL91" s="633">
        <f t="shared" si="14"/>
        <v>0</v>
      </c>
      <c r="AM91" s="633">
        <f t="shared" si="15"/>
        <v>0</v>
      </c>
      <c r="AN91" s="633">
        <f t="shared" si="16"/>
        <v>0</v>
      </c>
      <c r="AO91" s="634">
        <f t="shared" si="17"/>
        <v>0</v>
      </c>
      <c r="AP91" s="635">
        <f t="shared" si="18"/>
        <v>0</v>
      </c>
      <c r="AQ91" s="535"/>
      <c r="AR91" s="174"/>
      <c r="AT91" s="575" t="e">
        <f>#REF!-AS91</f>
        <v>#REF!</v>
      </c>
    </row>
    <row r="92" spans="1:47" ht="24.75" hidden="1" customHeight="1">
      <c r="A92" s="1179">
        <v>80</v>
      </c>
      <c r="B92" s="1072">
        <v>79</v>
      </c>
      <c r="C92" s="761" t="s">
        <v>510</v>
      </c>
      <c r="E92" s="908"/>
      <c r="F92" s="908"/>
      <c r="G92" s="908"/>
      <c r="H92" s="908"/>
      <c r="I92" s="908"/>
      <c r="J92" s="908"/>
      <c r="K92" s="908"/>
      <c r="L92" s="908"/>
      <c r="M92" s="908"/>
      <c r="N92" s="908"/>
      <c r="O92" s="908"/>
      <c r="P92" s="908"/>
      <c r="Q92" s="908"/>
      <c r="R92" s="908"/>
      <c r="S92" s="908"/>
      <c r="T92" s="908"/>
      <c r="U92" s="908"/>
      <c r="V92" s="908"/>
      <c r="W92" s="908"/>
      <c r="X92" s="908"/>
      <c r="Y92" s="908"/>
      <c r="Z92" s="908"/>
      <c r="AA92" s="908"/>
      <c r="AB92" s="908"/>
      <c r="AC92" s="908"/>
      <c r="AD92" s="908"/>
      <c r="AE92" s="908"/>
      <c r="AF92" s="908"/>
      <c r="AG92" s="908"/>
      <c r="AH92" s="908"/>
      <c r="AI92" s="908"/>
      <c r="AJ92" s="633">
        <f>SUM(COUNTIF(E92:AI92,"x"))</f>
        <v>0</v>
      </c>
      <c r="AK92" s="634">
        <f>SUM(COUNTIF(E92:AI92,"cn"))</f>
        <v>0</v>
      </c>
      <c r="AL92" s="633">
        <f>SUM(COUNTIF(E92:AI92,"đ"))</f>
        <v>0</v>
      </c>
      <c r="AM92" s="633">
        <f>SUM(COUNTIF(E92:AI92,"đc"))</f>
        <v>0</v>
      </c>
      <c r="AN92" s="633">
        <f>SUM(COUNTIF(E92:AI92,"gt"))</f>
        <v>0</v>
      </c>
      <c r="AO92" s="634">
        <f>SUM(COUNTIF(E92:AI92,"ct"))</f>
        <v>0</v>
      </c>
      <c r="AP92" s="635">
        <f>AJ92+AK92+AL92+AM92+AN92+AO92</f>
        <v>0</v>
      </c>
      <c r="AQ92" s="535"/>
      <c r="AR92" s="174"/>
    </row>
    <row r="93" spans="1:47" s="738" customFormat="1" ht="24.75" customHeight="1">
      <c r="A93" s="734"/>
      <c r="B93" s="1366" t="s">
        <v>631</v>
      </c>
      <c r="C93" s="1366"/>
      <c r="D93" s="735"/>
      <c r="E93" s="736">
        <f>SUM(COUNTIF(E94:E155,"x"))+(COUNTIF(E94:E155,"cn"))+(COUNTIF(E94:E155,"cnđ"))+(COUNTIF(E94:E155,"đ"))</f>
        <v>57</v>
      </c>
      <c r="F93" s="736">
        <f t="shared" ref="F93:AH93" si="19">SUM(COUNTIF(F94:F155,"x"))+(COUNTIF(F94:F155,"cn"))+(COUNTIF(F94:F155,"cnđ"))+(COUNTIF(F94:F155,"đ"))</f>
        <v>52</v>
      </c>
      <c r="G93" s="736">
        <f t="shared" si="19"/>
        <v>53</v>
      </c>
      <c r="H93" s="736">
        <f t="shared" si="19"/>
        <v>54</v>
      </c>
      <c r="I93" s="736">
        <f t="shared" si="19"/>
        <v>51</v>
      </c>
      <c r="J93" s="736">
        <f t="shared" si="19"/>
        <v>52</v>
      </c>
      <c r="K93" s="736">
        <f t="shared" si="19"/>
        <v>51</v>
      </c>
      <c r="L93" s="736">
        <f t="shared" si="19"/>
        <v>53</v>
      </c>
      <c r="M93" s="736">
        <f t="shared" si="19"/>
        <v>55</v>
      </c>
      <c r="N93" s="736">
        <f t="shared" si="19"/>
        <v>53</v>
      </c>
      <c r="O93" s="736">
        <f t="shared" si="19"/>
        <v>51</v>
      </c>
      <c r="P93" s="736">
        <f t="shared" si="19"/>
        <v>55</v>
      </c>
      <c r="Q93" s="736">
        <f t="shared" si="19"/>
        <v>56</v>
      </c>
      <c r="R93" s="736">
        <f t="shared" si="19"/>
        <v>58</v>
      </c>
      <c r="S93" s="736">
        <f t="shared" si="19"/>
        <v>56</v>
      </c>
      <c r="T93" s="736">
        <f t="shared" si="19"/>
        <v>58</v>
      </c>
      <c r="U93" s="736">
        <f t="shared" si="19"/>
        <v>58</v>
      </c>
      <c r="V93" s="736">
        <f t="shared" si="19"/>
        <v>58</v>
      </c>
      <c r="W93" s="736">
        <f t="shared" si="19"/>
        <v>56</v>
      </c>
      <c r="X93" s="736">
        <f t="shared" si="19"/>
        <v>58</v>
      </c>
      <c r="Y93" s="736">
        <f t="shared" si="19"/>
        <v>58</v>
      </c>
      <c r="Z93" s="736">
        <f t="shared" si="19"/>
        <v>56</v>
      </c>
      <c r="AA93" s="736">
        <f t="shared" si="19"/>
        <v>58</v>
      </c>
      <c r="AB93" s="736">
        <f t="shared" si="19"/>
        <v>58</v>
      </c>
      <c r="AC93" s="736">
        <f t="shared" si="19"/>
        <v>57</v>
      </c>
      <c r="AD93" s="736">
        <f t="shared" si="19"/>
        <v>58</v>
      </c>
      <c r="AE93" s="736">
        <f t="shared" si="19"/>
        <v>58</v>
      </c>
      <c r="AF93" s="736">
        <f t="shared" si="19"/>
        <v>58</v>
      </c>
      <c r="AG93" s="736">
        <f t="shared" si="19"/>
        <v>58</v>
      </c>
      <c r="AH93" s="736">
        <f t="shared" si="19"/>
        <v>58</v>
      </c>
      <c r="AI93" s="736">
        <f>SUM(COUNTIF(AI94:AI155,"x"))+(COUNTIF(AI94:AI155,"cn"))</f>
        <v>58</v>
      </c>
      <c r="AJ93" s="618">
        <f>SUM(AJ94:AJ155)</f>
        <v>1510</v>
      </c>
      <c r="AK93" s="618">
        <f t="shared" ref="AK93:AP93" si="20">SUM(AK94:AK155)</f>
        <v>220</v>
      </c>
      <c r="AL93" s="618">
        <f t="shared" si="20"/>
        <v>0</v>
      </c>
      <c r="AM93" s="618">
        <f t="shared" si="20"/>
        <v>0</v>
      </c>
      <c r="AN93" s="618">
        <f t="shared" si="20"/>
        <v>0</v>
      </c>
      <c r="AO93" s="618">
        <f t="shared" si="20"/>
        <v>0</v>
      </c>
      <c r="AP93" s="618">
        <f t="shared" si="20"/>
        <v>1730</v>
      </c>
      <c r="AQ93" s="734"/>
      <c r="AR93" s="737"/>
      <c r="AS93" s="738" t="e">
        <f>VLOOKUP(C94,'[1]NT 2'!$C$2:$J$259,8,0)</f>
        <v>#N/A</v>
      </c>
      <c r="AT93" s="739" t="e">
        <f t="shared" ref="AT93:AT140" si="21">D94-AS93</f>
        <v>#N/A</v>
      </c>
      <c r="AU93" s="738">
        <v>869</v>
      </c>
    </row>
    <row r="94" spans="1:47" ht="24.75" customHeight="1">
      <c r="A94" s="1179">
        <v>77</v>
      </c>
      <c r="B94" s="636">
        <v>1</v>
      </c>
      <c r="C94" s="135" t="s">
        <v>614</v>
      </c>
      <c r="D94" s="13" t="e">
        <f>VLOOKUP(C94,'[1]NT 2'!$C$2:$J$259,8,0)</f>
        <v>#N/A</v>
      </c>
      <c r="E94" s="1187" t="s">
        <v>55</v>
      </c>
      <c r="F94" s="1187" t="s">
        <v>55</v>
      </c>
      <c r="G94" s="1187" t="s">
        <v>55</v>
      </c>
      <c r="H94" s="1187" t="s">
        <v>118</v>
      </c>
      <c r="I94" s="1187" t="s">
        <v>55</v>
      </c>
      <c r="J94" s="1187" t="s">
        <v>55</v>
      </c>
      <c r="K94" s="1187"/>
      <c r="L94" s="1187" t="s">
        <v>55</v>
      </c>
      <c r="M94" s="1187" t="s">
        <v>55</v>
      </c>
      <c r="N94" s="1187" t="s">
        <v>55</v>
      </c>
      <c r="O94" s="1187" t="s">
        <v>118</v>
      </c>
      <c r="P94" s="1187" t="s">
        <v>55</v>
      </c>
      <c r="Q94" s="1187" t="s">
        <v>55</v>
      </c>
      <c r="R94" s="1187" t="s">
        <v>55</v>
      </c>
      <c r="S94" s="1187" t="s">
        <v>55</v>
      </c>
      <c r="T94" s="1187" t="s">
        <v>55</v>
      </c>
      <c r="U94" s="1187" t="s">
        <v>55</v>
      </c>
      <c r="V94" s="1187" t="s">
        <v>118</v>
      </c>
      <c r="W94" s="1187" t="s">
        <v>55</v>
      </c>
      <c r="X94" s="1187" t="s">
        <v>55</v>
      </c>
      <c r="Y94" s="1187" t="s">
        <v>55</v>
      </c>
      <c r="Z94" s="1187" t="s">
        <v>55</v>
      </c>
      <c r="AA94" s="1187" t="s">
        <v>55</v>
      </c>
      <c r="AB94" s="1187" t="s">
        <v>55</v>
      </c>
      <c r="AC94" s="1187" t="s">
        <v>118</v>
      </c>
      <c r="AD94" s="1187" t="s">
        <v>55</v>
      </c>
      <c r="AE94" s="1187" t="s">
        <v>55</v>
      </c>
      <c r="AF94" s="1187" t="s">
        <v>55</v>
      </c>
      <c r="AG94" s="1187" t="s">
        <v>55</v>
      </c>
      <c r="AH94" s="1187" t="s">
        <v>55</v>
      </c>
      <c r="AI94" s="909" t="s">
        <v>55</v>
      </c>
      <c r="AJ94" s="633">
        <f>SUM(COUNTIF(E94:AI94,"x"))</f>
        <v>26</v>
      </c>
      <c r="AK94" s="634">
        <f>SUM(COUNTIF(E94:AI94,"cn"))</f>
        <v>4</v>
      </c>
      <c r="AL94" s="633">
        <f>SUM(COUNTIF(E94:AI94,"đ"))</f>
        <v>0</v>
      </c>
      <c r="AM94" s="633">
        <f>SUM(COUNTIF(E94:AI94,"đc"))</f>
        <v>0</v>
      </c>
      <c r="AN94" s="633">
        <f>SUM(COUNTIF(E94:AI94,"gt"))</f>
        <v>0</v>
      </c>
      <c r="AO94" s="634">
        <f>SUM(COUNTIF(E94:AI94,"ct"))</f>
        <v>0</v>
      </c>
      <c r="AP94" s="635">
        <f>AJ94+AK94+AL94+AM94+AN94+AO94</f>
        <v>30</v>
      </c>
      <c r="AQ94" s="535"/>
      <c r="AR94" s="174"/>
      <c r="AS94" s="172" t="str">
        <f>VLOOKUP(C95,'[1]NT 2'!$C$2:$J$259,8,0)</f>
        <v>03466</v>
      </c>
      <c r="AT94" s="575">
        <f t="shared" si="21"/>
        <v>0</v>
      </c>
      <c r="AU94" s="172">
        <v>129</v>
      </c>
    </row>
    <row r="95" spans="1:47" ht="24.75" customHeight="1">
      <c r="A95" s="1179">
        <v>78</v>
      </c>
      <c r="B95" s="636">
        <v>2</v>
      </c>
      <c r="C95" s="135" t="s">
        <v>250</v>
      </c>
      <c r="D95" s="13" t="str">
        <f>VLOOKUP(C95,'[1]NT 2'!$C$2:$J$259,8,0)</f>
        <v>03466</v>
      </c>
      <c r="E95" s="1187" t="s">
        <v>55</v>
      </c>
      <c r="F95" s="1187" t="s">
        <v>55</v>
      </c>
      <c r="G95" s="1187" t="s">
        <v>55</v>
      </c>
      <c r="H95" s="1187" t="s">
        <v>118</v>
      </c>
      <c r="I95" s="1187" t="s">
        <v>55</v>
      </c>
      <c r="J95" s="1187" t="s">
        <v>55</v>
      </c>
      <c r="K95" s="1187" t="s">
        <v>55</v>
      </c>
      <c r="L95" s="1187" t="s">
        <v>55</v>
      </c>
      <c r="M95" s="1187" t="s">
        <v>55</v>
      </c>
      <c r="N95" s="1187" t="s">
        <v>55</v>
      </c>
      <c r="O95" s="1187" t="s">
        <v>678</v>
      </c>
      <c r="P95" s="1187" t="s">
        <v>55</v>
      </c>
      <c r="Q95" s="1187" t="s">
        <v>55</v>
      </c>
      <c r="R95" s="1187" t="s">
        <v>55</v>
      </c>
      <c r="S95" s="1187" t="s">
        <v>55</v>
      </c>
      <c r="T95" s="1187" t="s">
        <v>55</v>
      </c>
      <c r="U95" s="1187" t="s">
        <v>55</v>
      </c>
      <c r="V95" s="1187" t="s">
        <v>118</v>
      </c>
      <c r="W95" s="1187" t="s">
        <v>55</v>
      </c>
      <c r="X95" s="1187" t="s">
        <v>55</v>
      </c>
      <c r="Y95" s="1187" t="s">
        <v>678</v>
      </c>
      <c r="Z95" s="1187" t="s">
        <v>55</v>
      </c>
      <c r="AA95" s="1187" t="s">
        <v>55</v>
      </c>
      <c r="AB95" s="1187" t="s">
        <v>55</v>
      </c>
      <c r="AC95" s="1187" t="s">
        <v>118</v>
      </c>
      <c r="AD95" s="1187" t="s">
        <v>55</v>
      </c>
      <c r="AE95" s="1187" t="s">
        <v>55</v>
      </c>
      <c r="AF95" s="1187" t="s">
        <v>55</v>
      </c>
      <c r="AG95" s="1187" t="s">
        <v>55</v>
      </c>
      <c r="AH95" s="1187" t="s">
        <v>55</v>
      </c>
      <c r="AI95" s="909" t="s">
        <v>55</v>
      </c>
      <c r="AJ95" s="633">
        <f t="shared" ref="AJ95:AJ155" si="22">SUM(COUNTIF(E95:AI95,"x"))</f>
        <v>26</v>
      </c>
      <c r="AK95" s="634">
        <f t="shared" ref="AK95:AK155" si="23">SUM(COUNTIF(E95:AI95,"cn"))</f>
        <v>3</v>
      </c>
      <c r="AL95" s="633">
        <f t="shared" ref="AL95:AL155" si="24">SUM(COUNTIF(E95:AI95,"đ"))</f>
        <v>0</v>
      </c>
      <c r="AM95" s="633">
        <f t="shared" ref="AM95:AM155" si="25">SUM(COUNTIF(E95:AI95,"đc"))</f>
        <v>0</v>
      </c>
      <c r="AN95" s="633">
        <f t="shared" ref="AN95:AN155" si="26">SUM(COUNTIF(E95:AI95,"gt"))</f>
        <v>0</v>
      </c>
      <c r="AO95" s="634">
        <f t="shared" ref="AO95:AO155" si="27">SUM(COUNTIF(E95:AI95,"ct"))</f>
        <v>0</v>
      </c>
      <c r="AP95" s="635">
        <f t="shared" ref="AP95:AP155" si="28">AJ95+AK95+AL95+AM95+AN95+AO95</f>
        <v>29</v>
      </c>
      <c r="AQ95" s="535"/>
      <c r="AR95" s="174"/>
      <c r="AS95" s="172" t="str">
        <f>VLOOKUP(C96,'[1]NT 2'!$C$2:$J$259,8,0)</f>
        <v>03590</v>
      </c>
      <c r="AT95" s="575">
        <f t="shared" si="21"/>
        <v>0</v>
      </c>
    </row>
    <row r="96" spans="1:47" ht="24.75" customHeight="1">
      <c r="A96" s="1189">
        <v>79</v>
      </c>
      <c r="B96" s="636">
        <v>3</v>
      </c>
      <c r="C96" s="500" t="s">
        <v>169</v>
      </c>
      <c r="D96" s="13" t="str">
        <f>VLOOKUP(C96,'[1]NT 2'!$C$2:$J$259,8,0)</f>
        <v>03590</v>
      </c>
      <c r="E96" s="1187" t="s">
        <v>55</v>
      </c>
      <c r="F96" s="1187" t="s">
        <v>55</v>
      </c>
      <c r="G96" s="1187" t="s">
        <v>55</v>
      </c>
      <c r="H96" s="1187" t="s">
        <v>118</v>
      </c>
      <c r="I96" s="1187" t="s">
        <v>55</v>
      </c>
      <c r="J96" s="1187" t="s">
        <v>55</v>
      </c>
      <c r="K96" s="1187" t="s">
        <v>678</v>
      </c>
      <c r="L96" s="1187" t="s">
        <v>55</v>
      </c>
      <c r="M96" s="1187" t="s">
        <v>55</v>
      </c>
      <c r="N96" s="1187" t="s">
        <v>55</v>
      </c>
      <c r="O96" s="1187" t="s">
        <v>118</v>
      </c>
      <c r="P96" s="1187" t="s">
        <v>55</v>
      </c>
      <c r="Q96" s="1187" t="s">
        <v>55</v>
      </c>
      <c r="R96" s="1187" t="s">
        <v>55</v>
      </c>
      <c r="S96" s="1187" t="s">
        <v>55</v>
      </c>
      <c r="T96" s="1187" t="s">
        <v>55</v>
      </c>
      <c r="U96" s="1187" t="s">
        <v>55</v>
      </c>
      <c r="V96" s="1187" t="s">
        <v>118</v>
      </c>
      <c r="W96" s="1187" t="s">
        <v>55</v>
      </c>
      <c r="X96" s="1187" t="s">
        <v>55</v>
      </c>
      <c r="Y96" s="1187" t="s">
        <v>55</v>
      </c>
      <c r="Z96" s="1187" t="s">
        <v>55</v>
      </c>
      <c r="AA96" s="1187" t="s">
        <v>55</v>
      </c>
      <c r="AB96" s="1187" t="s">
        <v>55</v>
      </c>
      <c r="AC96" s="1187" t="s">
        <v>118</v>
      </c>
      <c r="AD96" s="1187" t="s">
        <v>55</v>
      </c>
      <c r="AE96" s="1187" t="s">
        <v>55</v>
      </c>
      <c r="AF96" s="1187" t="s">
        <v>55</v>
      </c>
      <c r="AG96" s="1187" t="s">
        <v>55</v>
      </c>
      <c r="AH96" s="1187" t="s">
        <v>55</v>
      </c>
      <c r="AI96" s="909" t="s">
        <v>55</v>
      </c>
      <c r="AJ96" s="633">
        <f t="shared" si="22"/>
        <v>26</v>
      </c>
      <c r="AK96" s="634">
        <f t="shared" si="23"/>
        <v>4</v>
      </c>
      <c r="AL96" s="633">
        <f t="shared" si="24"/>
        <v>0</v>
      </c>
      <c r="AM96" s="633">
        <f t="shared" si="25"/>
        <v>0</v>
      </c>
      <c r="AN96" s="633">
        <f t="shared" si="26"/>
        <v>0</v>
      </c>
      <c r="AO96" s="634">
        <f t="shared" si="27"/>
        <v>0</v>
      </c>
      <c r="AP96" s="635">
        <f t="shared" si="28"/>
        <v>30</v>
      </c>
      <c r="AQ96" s="535"/>
      <c r="AR96" s="174"/>
      <c r="AS96" s="172" t="str">
        <f>VLOOKUP(C97,'[1]NT 2'!$C$2:$J$259,8,0)</f>
        <v>03591</v>
      </c>
      <c r="AT96" s="575">
        <f t="shared" si="21"/>
        <v>0</v>
      </c>
    </row>
    <row r="97" spans="1:46" ht="24.75" customHeight="1">
      <c r="A97" s="1189">
        <v>80</v>
      </c>
      <c r="B97" s="636">
        <v>4</v>
      </c>
      <c r="C97" s="501" t="s">
        <v>251</v>
      </c>
      <c r="D97" s="13" t="str">
        <f>VLOOKUP(C97,'[1]NT 2'!$C$2:$J$259,8,0)</f>
        <v>03591</v>
      </c>
      <c r="E97" s="1187" t="s">
        <v>55</v>
      </c>
      <c r="F97" s="1187"/>
      <c r="G97" s="1187" t="s">
        <v>55</v>
      </c>
      <c r="H97" s="1187" t="s">
        <v>118</v>
      </c>
      <c r="I97" s="1187" t="s">
        <v>55</v>
      </c>
      <c r="J97" s="1187" t="s">
        <v>55</v>
      </c>
      <c r="K97" s="1187" t="s">
        <v>55</v>
      </c>
      <c r="L97" s="1187" t="s">
        <v>55</v>
      </c>
      <c r="M97" s="1187" t="s">
        <v>55</v>
      </c>
      <c r="N97" s="1187" t="s">
        <v>55</v>
      </c>
      <c r="O97" s="1187" t="s">
        <v>118</v>
      </c>
      <c r="P97" s="1187" t="s">
        <v>55</v>
      </c>
      <c r="Q97" s="1187" t="s">
        <v>55</v>
      </c>
      <c r="R97" s="1187" t="s">
        <v>55</v>
      </c>
      <c r="S97" s="1187" t="s">
        <v>55</v>
      </c>
      <c r="T97" s="1187" t="s">
        <v>55</v>
      </c>
      <c r="U97" s="1187" t="s">
        <v>55</v>
      </c>
      <c r="V97" s="1187" t="s">
        <v>118</v>
      </c>
      <c r="W97" s="1187" t="s">
        <v>55</v>
      </c>
      <c r="X97" s="1187" t="s">
        <v>55</v>
      </c>
      <c r="Y97" s="1187" t="s">
        <v>55</v>
      </c>
      <c r="Z97" s="1187" t="s">
        <v>55</v>
      </c>
      <c r="AA97" s="1187" t="s">
        <v>55</v>
      </c>
      <c r="AB97" s="1187" t="s">
        <v>55</v>
      </c>
      <c r="AC97" s="1187" t="s">
        <v>118</v>
      </c>
      <c r="AD97" s="1187" t="s">
        <v>55</v>
      </c>
      <c r="AE97" s="1187" t="s">
        <v>55</v>
      </c>
      <c r="AF97" s="1187" t="s">
        <v>55</v>
      </c>
      <c r="AG97" s="1187" t="s">
        <v>55</v>
      </c>
      <c r="AH97" s="1187" t="s">
        <v>55</v>
      </c>
      <c r="AI97" s="909" t="s">
        <v>55</v>
      </c>
      <c r="AJ97" s="633">
        <f t="shared" si="22"/>
        <v>26</v>
      </c>
      <c r="AK97" s="634">
        <f t="shared" si="23"/>
        <v>4</v>
      </c>
      <c r="AL97" s="633">
        <f t="shared" si="24"/>
        <v>0</v>
      </c>
      <c r="AM97" s="633">
        <f t="shared" si="25"/>
        <v>0</v>
      </c>
      <c r="AN97" s="633">
        <f t="shared" si="26"/>
        <v>0</v>
      </c>
      <c r="AO97" s="634">
        <f t="shared" si="27"/>
        <v>0</v>
      </c>
      <c r="AP97" s="635">
        <f t="shared" si="28"/>
        <v>30</v>
      </c>
      <c r="AQ97" s="535"/>
      <c r="AR97" s="174"/>
      <c r="AS97" s="172" t="str">
        <f>VLOOKUP(C98,'[1]NT 2'!$C$2:$J$259,8,0)</f>
        <v>03592</v>
      </c>
      <c r="AT97" s="575">
        <f t="shared" si="21"/>
        <v>0</v>
      </c>
    </row>
    <row r="98" spans="1:46" ht="24.75" customHeight="1">
      <c r="A98" s="1189">
        <v>81</v>
      </c>
      <c r="B98" s="636">
        <v>5</v>
      </c>
      <c r="C98" s="135" t="s">
        <v>207</v>
      </c>
      <c r="D98" s="13" t="str">
        <f>VLOOKUP(C98,'[1]NT 2'!$C$2:$J$259,8,0)</f>
        <v>03592</v>
      </c>
      <c r="E98" s="1187" t="s">
        <v>55</v>
      </c>
      <c r="F98" s="1187"/>
      <c r="G98" s="1187" t="s">
        <v>55</v>
      </c>
      <c r="H98" s="1187" t="s">
        <v>118</v>
      </c>
      <c r="I98" s="1187" t="s">
        <v>55</v>
      </c>
      <c r="J98" s="1187" t="s">
        <v>55</v>
      </c>
      <c r="K98" s="1187" t="s">
        <v>55</v>
      </c>
      <c r="L98" s="1187" t="s">
        <v>55</v>
      </c>
      <c r="M98" s="1187" t="s">
        <v>55</v>
      </c>
      <c r="N98" s="1187" t="s">
        <v>55</v>
      </c>
      <c r="O98" s="1187" t="s">
        <v>118</v>
      </c>
      <c r="P98" s="1187" t="s">
        <v>55</v>
      </c>
      <c r="Q98" s="1187" t="s">
        <v>55</v>
      </c>
      <c r="R98" s="1187" t="s">
        <v>55</v>
      </c>
      <c r="S98" s="1187" t="s">
        <v>55</v>
      </c>
      <c r="T98" s="1187" t="s">
        <v>55</v>
      </c>
      <c r="U98" s="1187" t="s">
        <v>55</v>
      </c>
      <c r="V98" s="1187" t="s">
        <v>118</v>
      </c>
      <c r="W98" s="1187" t="s">
        <v>55</v>
      </c>
      <c r="X98" s="1187" t="s">
        <v>55</v>
      </c>
      <c r="Y98" s="1187" t="s">
        <v>55</v>
      </c>
      <c r="Z98" s="1187" t="s">
        <v>55</v>
      </c>
      <c r="AA98" s="1187" t="s">
        <v>55</v>
      </c>
      <c r="AB98" s="1187" t="s">
        <v>55</v>
      </c>
      <c r="AC98" s="1187" t="s">
        <v>118</v>
      </c>
      <c r="AD98" s="1187" t="s">
        <v>55</v>
      </c>
      <c r="AE98" s="1187" t="s">
        <v>55</v>
      </c>
      <c r="AF98" s="1187" t="s">
        <v>55</v>
      </c>
      <c r="AG98" s="1187" t="s">
        <v>55</v>
      </c>
      <c r="AH98" s="1187" t="s">
        <v>55</v>
      </c>
      <c r="AI98" s="909" t="s">
        <v>55</v>
      </c>
      <c r="AJ98" s="633">
        <f t="shared" si="22"/>
        <v>26</v>
      </c>
      <c r="AK98" s="634">
        <f t="shared" si="23"/>
        <v>4</v>
      </c>
      <c r="AL98" s="633">
        <f t="shared" si="24"/>
        <v>0</v>
      </c>
      <c r="AM98" s="633">
        <f t="shared" si="25"/>
        <v>0</v>
      </c>
      <c r="AN98" s="633">
        <f t="shared" si="26"/>
        <v>0</v>
      </c>
      <c r="AO98" s="634">
        <f t="shared" si="27"/>
        <v>0</v>
      </c>
      <c r="AP98" s="635">
        <f t="shared" si="28"/>
        <v>30</v>
      </c>
      <c r="AQ98" s="535"/>
      <c r="AR98" s="174"/>
      <c r="AS98" s="172" t="str">
        <f>VLOOKUP(C99,'[1]NT 2'!$C$2:$J$259,8,0)</f>
        <v>03593</v>
      </c>
      <c r="AT98" s="575">
        <f t="shared" si="21"/>
        <v>0</v>
      </c>
    </row>
    <row r="99" spans="1:46" ht="24.75" customHeight="1">
      <c r="A99" s="1189">
        <v>82</v>
      </c>
      <c r="B99" s="636">
        <v>6</v>
      </c>
      <c r="C99" s="135" t="s">
        <v>350</v>
      </c>
      <c r="D99" s="13" t="str">
        <f>VLOOKUP(C99,'[1]NT 2'!$C$2:$J$259,8,0)</f>
        <v>03593</v>
      </c>
      <c r="E99" s="1187" t="s">
        <v>55</v>
      </c>
      <c r="F99" s="1187" t="s">
        <v>55</v>
      </c>
      <c r="G99" s="1187" t="s">
        <v>55</v>
      </c>
      <c r="H99" s="1187"/>
      <c r="I99" s="1187" t="s">
        <v>55</v>
      </c>
      <c r="J99" s="1187" t="s">
        <v>55</v>
      </c>
      <c r="K99" s="1187" t="s">
        <v>55</v>
      </c>
      <c r="L99" s="1187" t="s">
        <v>55</v>
      </c>
      <c r="M99" s="1187" t="s">
        <v>55</v>
      </c>
      <c r="N99" s="1187" t="s">
        <v>678</v>
      </c>
      <c r="O99" s="1187" t="s">
        <v>678</v>
      </c>
      <c r="P99" s="1187" t="s">
        <v>55</v>
      </c>
      <c r="Q99" s="1187" t="s">
        <v>55</v>
      </c>
      <c r="R99" s="1187" t="s">
        <v>55</v>
      </c>
      <c r="S99" s="1187" t="s">
        <v>55</v>
      </c>
      <c r="T99" s="1187" t="s">
        <v>55</v>
      </c>
      <c r="U99" s="1187" t="s">
        <v>55</v>
      </c>
      <c r="V99" s="1187" t="s">
        <v>118</v>
      </c>
      <c r="W99" s="1187" t="s">
        <v>55</v>
      </c>
      <c r="X99" s="1187" t="s">
        <v>678</v>
      </c>
      <c r="Y99" s="1187" t="s">
        <v>678</v>
      </c>
      <c r="Z99" s="1187" t="s">
        <v>678</v>
      </c>
      <c r="AA99" s="1187" t="s">
        <v>55</v>
      </c>
      <c r="AB99" s="1187" t="s">
        <v>678</v>
      </c>
      <c r="AC99" s="1187" t="s">
        <v>678</v>
      </c>
      <c r="AD99" s="1187" t="s">
        <v>55</v>
      </c>
      <c r="AE99" s="1187" t="s">
        <v>55</v>
      </c>
      <c r="AF99" s="1187" t="s">
        <v>55</v>
      </c>
      <c r="AG99" s="1187" t="s">
        <v>678</v>
      </c>
      <c r="AH99" s="1187" t="s">
        <v>55</v>
      </c>
      <c r="AI99" s="909" t="s">
        <v>55</v>
      </c>
      <c r="AJ99" s="633">
        <f t="shared" si="22"/>
        <v>21</v>
      </c>
      <c r="AK99" s="634">
        <f t="shared" si="23"/>
        <v>1</v>
      </c>
      <c r="AL99" s="633">
        <f t="shared" si="24"/>
        <v>0</v>
      </c>
      <c r="AM99" s="633">
        <f t="shared" si="25"/>
        <v>0</v>
      </c>
      <c r="AN99" s="633">
        <f t="shared" si="26"/>
        <v>0</v>
      </c>
      <c r="AO99" s="634">
        <f t="shared" si="27"/>
        <v>0</v>
      </c>
      <c r="AP99" s="635">
        <f t="shared" si="28"/>
        <v>22</v>
      </c>
      <c r="AQ99" s="535"/>
      <c r="AR99" s="174"/>
      <c r="AS99" s="172" t="str">
        <f>VLOOKUP(C100,'[1]NT 2'!$C$2:$J$259,8,0)</f>
        <v>03594</v>
      </c>
      <c r="AT99" s="575">
        <f t="shared" si="21"/>
        <v>0</v>
      </c>
    </row>
    <row r="100" spans="1:46" ht="24.75" customHeight="1">
      <c r="A100" s="1189">
        <v>83</v>
      </c>
      <c r="B100" s="636">
        <v>7</v>
      </c>
      <c r="C100" s="135" t="s">
        <v>208</v>
      </c>
      <c r="D100" s="13" t="str">
        <f>VLOOKUP(C100,'[1]NT 2'!$C$2:$J$259,8,0)</f>
        <v>03594</v>
      </c>
      <c r="E100" s="1187" t="s">
        <v>55</v>
      </c>
      <c r="F100" s="1187" t="s">
        <v>55</v>
      </c>
      <c r="G100" s="1187" t="s">
        <v>55</v>
      </c>
      <c r="H100" s="1187" t="s">
        <v>118</v>
      </c>
      <c r="I100" s="1187" t="s">
        <v>55</v>
      </c>
      <c r="J100" s="1187" t="s">
        <v>55</v>
      </c>
      <c r="K100" s="1187" t="s">
        <v>55</v>
      </c>
      <c r="L100" s="1187" t="s">
        <v>55</v>
      </c>
      <c r="M100" s="1187" t="s">
        <v>55</v>
      </c>
      <c r="N100" s="1187" t="s">
        <v>55</v>
      </c>
      <c r="O100" s="1187" t="s">
        <v>118</v>
      </c>
      <c r="P100" s="1187" t="s">
        <v>55</v>
      </c>
      <c r="Q100" s="1187" t="s">
        <v>55</v>
      </c>
      <c r="R100" s="1187" t="s">
        <v>55</v>
      </c>
      <c r="S100" s="1187" t="s">
        <v>55</v>
      </c>
      <c r="T100" s="1187" t="s">
        <v>55</v>
      </c>
      <c r="U100" s="1187" t="s">
        <v>55</v>
      </c>
      <c r="V100" s="1187" t="s">
        <v>118</v>
      </c>
      <c r="W100" s="1187" t="s">
        <v>55</v>
      </c>
      <c r="X100" s="1187" t="s">
        <v>55</v>
      </c>
      <c r="Y100" s="1187" t="s">
        <v>55</v>
      </c>
      <c r="Z100" s="1187" t="s">
        <v>55</v>
      </c>
      <c r="AA100" s="1187" t="s">
        <v>55</v>
      </c>
      <c r="AB100" s="1187" t="s">
        <v>55</v>
      </c>
      <c r="AC100" s="1187" t="s">
        <v>118</v>
      </c>
      <c r="AD100" s="1187" t="s">
        <v>55</v>
      </c>
      <c r="AE100" s="1187" t="s">
        <v>55</v>
      </c>
      <c r="AF100" s="1187" t="s">
        <v>55</v>
      </c>
      <c r="AG100" s="1187" t="s">
        <v>55</v>
      </c>
      <c r="AH100" s="1187" t="s">
        <v>55</v>
      </c>
      <c r="AI100" s="909" t="s">
        <v>55</v>
      </c>
      <c r="AJ100" s="633">
        <f t="shared" si="22"/>
        <v>27</v>
      </c>
      <c r="AK100" s="634">
        <f t="shared" si="23"/>
        <v>4</v>
      </c>
      <c r="AL100" s="633">
        <f t="shared" si="24"/>
        <v>0</v>
      </c>
      <c r="AM100" s="633">
        <f t="shared" si="25"/>
        <v>0</v>
      </c>
      <c r="AN100" s="633">
        <f t="shared" si="26"/>
        <v>0</v>
      </c>
      <c r="AO100" s="634">
        <f t="shared" si="27"/>
        <v>0</v>
      </c>
      <c r="AP100" s="635">
        <f t="shared" si="28"/>
        <v>31</v>
      </c>
      <c r="AQ100" s="535"/>
      <c r="AR100" s="174"/>
      <c r="AS100" s="172" t="e">
        <f>VLOOKUP(C101,'[1]NT 2'!$C$2:$J$259,8,0)</f>
        <v>#N/A</v>
      </c>
      <c r="AT100" s="575" t="e">
        <f t="shared" si="21"/>
        <v>#N/A</v>
      </c>
    </row>
    <row r="101" spans="1:46" ht="24.75" customHeight="1">
      <c r="A101" s="1189">
        <v>84</v>
      </c>
      <c r="B101" s="636">
        <v>8</v>
      </c>
      <c r="C101" s="135" t="s">
        <v>615</v>
      </c>
      <c r="D101" s="13" t="e">
        <f>VLOOKUP(C101,'[1]NT 2'!$C$2:$J$259,8,0)</f>
        <v>#N/A</v>
      </c>
      <c r="E101" s="1187" t="s">
        <v>55</v>
      </c>
      <c r="F101" s="1187" t="s">
        <v>55</v>
      </c>
      <c r="G101" s="1187" t="s">
        <v>55</v>
      </c>
      <c r="H101" s="1187" t="s">
        <v>118</v>
      </c>
      <c r="I101" s="1187" t="s">
        <v>55</v>
      </c>
      <c r="J101" s="1187" t="s">
        <v>55</v>
      </c>
      <c r="K101" s="1187" t="s">
        <v>55</v>
      </c>
      <c r="L101" s="1187" t="s">
        <v>55</v>
      </c>
      <c r="M101" s="1187" t="s">
        <v>55</v>
      </c>
      <c r="N101" s="1187" t="s">
        <v>55</v>
      </c>
      <c r="O101" s="1187" t="s">
        <v>118</v>
      </c>
      <c r="P101" s="1187" t="s">
        <v>55</v>
      </c>
      <c r="Q101" s="1187" t="s">
        <v>55</v>
      </c>
      <c r="R101" s="1187" t="s">
        <v>678</v>
      </c>
      <c r="S101" s="1187" t="s">
        <v>55</v>
      </c>
      <c r="T101" s="1187" t="s">
        <v>55</v>
      </c>
      <c r="U101" s="1187" t="s">
        <v>55</v>
      </c>
      <c r="V101" s="1187" t="s">
        <v>118</v>
      </c>
      <c r="W101" s="1187" t="s">
        <v>55</v>
      </c>
      <c r="X101" s="1187" t="s">
        <v>55</v>
      </c>
      <c r="Y101" s="1187" t="s">
        <v>55</v>
      </c>
      <c r="Z101" s="1187" t="s">
        <v>55</v>
      </c>
      <c r="AA101" s="1187" t="s">
        <v>55</v>
      </c>
      <c r="AB101" s="1187" t="s">
        <v>55</v>
      </c>
      <c r="AC101" s="1187" t="s">
        <v>118</v>
      </c>
      <c r="AD101" s="1187" t="s">
        <v>55</v>
      </c>
      <c r="AE101" s="1187" t="s">
        <v>55</v>
      </c>
      <c r="AF101" s="1187" t="s">
        <v>55</v>
      </c>
      <c r="AG101" s="1187" t="s">
        <v>55</v>
      </c>
      <c r="AH101" s="1187" t="s">
        <v>55</v>
      </c>
      <c r="AI101" s="909" t="s">
        <v>55</v>
      </c>
      <c r="AJ101" s="633">
        <f t="shared" si="22"/>
        <v>26</v>
      </c>
      <c r="AK101" s="634">
        <f t="shared" si="23"/>
        <v>4</v>
      </c>
      <c r="AL101" s="633">
        <f t="shared" si="24"/>
        <v>0</v>
      </c>
      <c r="AM101" s="633">
        <f t="shared" si="25"/>
        <v>0</v>
      </c>
      <c r="AN101" s="633">
        <f t="shared" si="26"/>
        <v>0</v>
      </c>
      <c r="AO101" s="634">
        <f t="shared" si="27"/>
        <v>0</v>
      </c>
      <c r="AP101" s="635">
        <f t="shared" si="28"/>
        <v>30</v>
      </c>
      <c r="AQ101" s="535"/>
      <c r="AR101" s="174"/>
      <c r="AS101" s="172" t="str">
        <f>VLOOKUP(C102,'[1]NT 2'!$C$2:$J$259,8,0)</f>
        <v>03596</v>
      </c>
      <c r="AT101" s="575">
        <f t="shared" si="21"/>
        <v>0</v>
      </c>
    </row>
    <row r="102" spans="1:46" ht="24.75" customHeight="1">
      <c r="A102" s="1189">
        <v>85</v>
      </c>
      <c r="B102" s="636">
        <v>9</v>
      </c>
      <c r="C102" s="135" t="s">
        <v>351</v>
      </c>
      <c r="D102" s="13" t="str">
        <f>VLOOKUP(C102,'[1]NT 2'!$C$2:$J$259,8,0)</f>
        <v>03596</v>
      </c>
      <c r="E102" s="1187" t="s">
        <v>55</v>
      </c>
      <c r="F102" s="1187" t="s">
        <v>55</v>
      </c>
      <c r="G102" s="1187" t="s">
        <v>55</v>
      </c>
      <c r="H102" s="1187" t="s">
        <v>118</v>
      </c>
      <c r="I102" s="1187" t="s">
        <v>55</v>
      </c>
      <c r="J102" s="1187" t="s">
        <v>55</v>
      </c>
      <c r="K102" s="1187" t="s">
        <v>55</v>
      </c>
      <c r="L102" s="1187" t="s">
        <v>55</v>
      </c>
      <c r="M102" s="1187" t="s">
        <v>55</v>
      </c>
      <c r="N102" s="1187" t="s">
        <v>55</v>
      </c>
      <c r="O102" s="1187" t="s">
        <v>118</v>
      </c>
      <c r="P102" s="1187" t="s">
        <v>55</v>
      </c>
      <c r="Q102" s="1187" t="s">
        <v>55</v>
      </c>
      <c r="R102" s="1187" t="s">
        <v>55</v>
      </c>
      <c r="S102" s="1187" t="s">
        <v>55</v>
      </c>
      <c r="T102" s="1187" t="s">
        <v>55</v>
      </c>
      <c r="U102" s="1187" t="s">
        <v>55</v>
      </c>
      <c r="V102" s="1187" t="s">
        <v>118</v>
      </c>
      <c r="W102" s="1187" t="s">
        <v>55</v>
      </c>
      <c r="X102" s="1187" t="s">
        <v>55</v>
      </c>
      <c r="Y102" s="1187" t="s">
        <v>55</v>
      </c>
      <c r="Z102" s="1187" t="s">
        <v>55</v>
      </c>
      <c r="AA102" s="1187" t="s">
        <v>55</v>
      </c>
      <c r="AB102" s="1187" t="s">
        <v>55</v>
      </c>
      <c r="AC102" s="1187" t="s">
        <v>118</v>
      </c>
      <c r="AD102" s="1187" t="s">
        <v>55</v>
      </c>
      <c r="AE102" s="1187" t="s">
        <v>55</v>
      </c>
      <c r="AF102" s="1187" t="s">
        <v>55</v>
      </c>
      <c r="AG102" s="1187" t="s">
        <v>55</v>
      </c>
      <c r="AH102" s="1187" t="s">
        <v>55</v>
      </c>
      <c r="AI102" s="909" t="s">
        <v>55</v>
      </c>
      <c r="AJ102" s="633">
        <f t="shared" si="22"/>
        <v>27</v>
      </c>
      <c r="AK102" s="634">
        <f t="shared" si="23"/>
        <v>4</v>
      </c>
      <c r="AL102" s="633">
        <f t="shared" si="24"/>
        <v>0</v>
      </c>
      <c r="AM102" s="633">
        <f t="shared" si="25"/>
        <v>0</v>
      </c>
      <c r="AN102" s="633">
        <f t="shared" si="26"/>
        <v>0</v>
      </c>
      <c r="AO102" s="634">
        <f t="shared" si="27"/>
        <v>0</v>
      </c>
      <c r="AP102" s="635">
        <f t="shared" si="28"/>
        <v>31</v>
      </c>
      <c r="AQ102" s="535"/>
      <c r="AR102" s="174"/>
      <c r="AS102" s="172" t="str">
        <f>VLOOKUP(C103,'[1]NT 2'!$C$2:$J$259,8,0)</f>
        <v>03597</v>
      </c>
      <c r="AT102" s="575">
        <f t="shared" si="21"/>
        <v>0</v>
      </c>
    </row>
    <row r="103" spans="1:46" ht="24.75" customHeight="1">
      <c r="A103" s="1189">
        <v>86</v>
      </c>
      <c r="B103" s="636">
        <v>10</v>
      </c>
      <c r="C103" s="135" t="s">
        <v>227</v>
      </c>
      <c r="D103" s="13" t="str">
        <f>VLOOKUP(C103,'[1]NT 2'!$C$2:$J$259,8,0)</f>
        <v>03597</v>
      </c>
      <c r="E103" s="1187" t="s">
        <v>55</v>
      </c>
      <c r="F103" s="1187" t="s">
        <v>55</v>
      </c>
      <c r="G103" s="1187" t="s">
        <v>55</v>
      </c>
      <c r="H103" s="1187" t="s">
        <v>118</v>
      </c>
      <c r="I103" s="1187" t="s">
        <v>55</v>
      </c>
      <c r="J103" s="1187" t="s">
        <v>55</v>
      </c>
      <c r="K103" s="1187" t="s">
        <v>678</v>
      </c>
      <c r="L103" s="1187" t="s">
        <v>55</v>
      </c>
      <c r="M103" s="1187" t="s">
        <v>55</v>
      </c>
      <c r="N103" s="1187" t="s">
        <v>55</v>
      </c>
      <c r="O103" s="1187" t="s">
        <v>118</v>
      </c>
      <c r="P103" s="1187" t="s">
        <v>55</v>
      </c>
      <c r="Q103" s="1187" t="s">
        <v>55</v>
      </c>
      <c r="R103" s="1187" t="s">
        <v>55</v>
      </c>
      <c r="S103" s="1187" t="s">
        <v>55</v>
      </c>
      <c r="T103" s="1187" t="s">
        <v>55</v>
      </c>
      <c r="U103" s="1187" t="s">
        <v>55</v>
      </c>
      <c r="V103" s="1187" t="s">
        <v>118</v>
      </c>
      <c r="W103" s="1187" t="s">
        <v>55</v>
      </c>
      <c r="X103" s="1187" t="s">
        <v>55</v>
      </c>
      <c r="Y103" s="1187" t="s">
        <v>55</v>
      </c>
      <c r="Z103" s="1187" t="s">
        <v>55</v>
      </c>
      <c r="AA103" s="1187" t="s">
        <v>55</v>
      </c>
      <c r="AB103" s="1187" t="s">
        <v>55</v>
      </c>
      <c r="AC103" s="1187" t="s">
        <v>118</v>
      </c>
      <c r="AD103" s="1187" t="s">
        <v>55</v>
      </c>
      <c r="AE103" s="1187" t="s">
        <v>55</v>
      </c>
      <c r="AF103" s="1187" t="s">
        <v>55</v>
      </c>
      <c r="AG103" s="1187" t="s">
        <v>55</v>
      </c>
      <c r="AH103" s="1187" t="s">
        <v>55</v>
      </c>
      <c r="AI103" s="909" t="s">
        <v>55</v>
      </c>
      <c r="AJ103" s="633">
        <f t="shared" si="22"/>
        <v>26</v>
      </c>
      <c r="AK103" s="634">
        <f t="shared" si="23"/>
        <v>4</v>
      </c>
      <c r="AL103" s="633">
        <f t="shared" si="24"/>
        <v>0</v>
      </c>
      <c r="AM103" s="633">
        <f t="shared" si="25"/>
        <v>0</v>
      </c>
      <c r="AN103" s="633">
        <f t="shared" si="26"/>
        <v>0</v>
      </c>
      <c r="AO103" s="634">
        <f t="shared" si="27"/>
        <v>0</v>
      </c>
      <c r="AP103" s="635">
        <f t="shared" si="28"/>
        <v>30</v>
      </c>
      <c r="AQ103" s="535"/>
      <c r="AR103" s="174"/>
      <c r="AS103" s="172" t="str">
        <f>VLOOKUP(C104,'[1]NT 2'!$C$2:$J$259,8,0)</f>
        <v>03598</v>
      </c>
      <c r="AT103" s="575">
        <f t="shared" si="21"/>
        <v>0</v>
      </c>
    </row>
    <row r="104" spans="1:46" ht="24.75" customHeight="1">
      <c r="A104" s="1189">
        <v>87</v>
      </c>
      <c r="B104" s="636">
        <v>11</v>
      </c>
      <c r="C104" s="135" t="s">
        <v>209</v>
      </c>
      <c r="D104" s="13" t="str">
        <f>VLOOKUP(C104,'[1]NT 2'!$C$2:$J$259,8,0)</f>
        <v>03598</v>
      </c>
      <c r="E104" s="1187" t="s">
        <v>55</v>
      </c>
      <c r="F104" s="1187" t="s">
        <v>55</v>
      </c>
      <c r="G104" s="1187" t="s">
        <v>55</v>
      </c>
      <c r="H104" s="1187" t="s">
        <v>118</v>
      </c>
      <c r="I104" s="1187" t="s">
        <v>55</v>
      </c>
      <c r="J104" s="1187" t="s">
        <v>55</v>
      </c>
      <c r="K104" s="1187" t="s">
        <v>55</v>
      </c>
      <c r="L104" s="1187" t="s">
        <v>55</v>
      </c>
      <c r="M104" s="1187" t="s">
        <v>55</v>
      </c>
      <c r="N104" s="1187" t="s">
        <v>678</v>
      </c>
      <c r="O104" s="1187" t="s">
        <v>118</v>
      </c>
      <c r="P104" s="1187" t="s">
        <v>55</v>
      </c>
      <c r="Q104" s="1187" t="s">
        <v>55</v>
      </c>
      <c r="R104" s="1187" t="s">
        <v>55</v>
      </c>
      <c r="S104" s="1187" t="s">
        <v>55</v>
      </c>
      <c r="T104" s="1187" t="s">
        <v>55</v>
      </c>
      <c r="U104" s="1187" t="s">
        <v>55</v>
      </c>
      <c r="V104" s="1187" t="s">
        <v>118</v>
      </c>
      <c r="W104" s="1187" t="s">
        <v>55</v>
      </c>
      <c r="X104" s="1187" t="s">
        <v>55</v>
      </c>
      <c r="Y104" s="1187" t="s">
        <v>55</v>
      </c>
      <c r="Z104" s="1187" t="s">
        <v>55</v>
      </c>
      <c r="AA104" s="1187" t="s">
        <v>55</v>
      </c>
      <c r="AB104" s="1187" t="s">
        <v>55</v>
      </c>
      <c r="AC104" s="1187" t="s">
        <v>118</v>
      </c>
      <c r="AD104" s="1187" t="s">
        <v>55</v>
      </c>
      <c r="AE104" s="1187" t="s">
        <v>55</v>
      </c>
      <c r="AF104" s="1187" t="s">
        <v>55</v>
      </c>
      <c r="AG104" s="1187" t="s">
        <v>55</v>
      </c>
      <c r="AH104" s="1187" t="s">
        <v>55</v>
      </c>
      <c r="AI104" s="909" t="s">
        <v>55</v>
      </c>
      <c r="AJ104" s="633">
        <f t="shared" si="22"/>
        <v>26</v>
      </c>
      <c r="AK104" s="634">
        <f t="shared" si="23"/>
        <v>4</v>
      </c>
      <c r="AL104" s="633">
        <f t="shared" si="24"/>
        <v>0</v>
      </c>
      <c r="AM104" s="633">
        <f t="shared" si="25"/>
        <v>0</v>
      </c>
      <c r="AN104" s="633">
        <f t="shared" si="26"/>
        <v>0</v>
      </c>
      <c r="AO104" s="634">
        <f t="shared" si="27"/>
        <v>0</v>
      </c>
      <c r="AP104" s="635">
        <f t="shared" si="28"/>
        <v>30</v>
      </c>
      <c r="AQ104" s="535"/>
      <c r="AR104" s="174"/>
      <c r="AS104" s="172" t="str">
        <f>VLOOKUP(C105,'[1]NT 2'!$C$2:$J$259,8,0)</f>
        <v>03599</v>
      </c>
      <c r="AT104" s="575">
        <f t="shared" si="21"/>
        <v>0</v>
      </c>
    </row>
    <row r="105" spans="1:46" ht="24.75" customHeight="1">
      <c r="A105" s="1189">
        <v>88</v>
      </c>
      <c r="B105" s="636">
        <v>12</v>
      </c>
      <c r="C105" s="135" t="s">
        <v>210</v>
      </c>
      <c r="D105" s="13" t="str">
        <f>VLOOKUP(C105,'[1]NT 2'!$C$2:$J$259,8,0)</f>
        <v>03599</v>
      </c>
      <c r="E105" s="1187" t="s">
        <v>55</v>
      </c>
      <c r="F105" s="1187" t="s">
        <v>55</v>
      </c>
      <c r="G105" s="1187" t="s">
        <v>55</v>
      </c>
      <c r="H105" s="1187" t="s">
        <v>118</v>
      </c>
      <c r="I105" s="1187" t="s">
        <v>55</v>
      </c>
      <c r="J105" s="1187" t="s">
        <v>55</v>
      </c>
      <c r="K105" s="1187" t="s">
        <v>55</v>
      </c>
      <c r="L105" s="1187" t="s">
        <v>55</v>
      </c>
      <c r="M105" s="1187" t="s">
        <v>55</v>
      </c>
      <c r="N105" s="1187" t="s">
        <v>55</v>
      </c>
      <c r="O105" s="1187" t="s">
        <v>118</v>
      </c>
      <c r="P105" s="1187" t="s">
        <v>55</v>
      </c>
      <c r="Q105" s="1187" t="s">
        <v>55</v>
      </c>
      <c r="R105" s="1187" t="s">
        <v>55</v>
      </c>
      <c r="S105" s="1187" t="s">
        <v>55</v>
      </c>
      <c r="T105" s="1187" t="s">
        <v>55</v>
      </c>
      <c r="U105" s="1187" t="s">
        <v>55</v>
      </c>
      <c r="V105" s="1187" t="s">
        <v>118</v>
      </c>
      <c r="W105" s="1187" t="s">
        <v>55</v>
      </c>
      <c r="X105" s="1187" t="s">
        <v>55</v>
      </c>
      <c r="Y105" s="1187" t="s">
        <v>55</v>
      </c>
      <c r="Z105" s="1187" t="s">
        <v>55</v>
      </c>
      <c r="AA105" s="1187" t="s">
        <v>55</v>
      </c>
      <c r="AB105" s="1187" t="s">
        <v>55</v>
      </c>
      <c r="AC105" s="1187" t="s">
        <v>118</v>
      </c>
      <c r="AD105" s="1187" t="s">
        <v>55</v>
      </c>
      <c r="AE105" s="1187" t="s">
        <v>55</v>
      </c>
      <c r="AF105" s="1187" t="s">
        <v>55</v>
      </c>
      <c r="AG105" s="1187" t="s">
        <v>55</v>
      </c>
      <c r="AH105" s="1187" t="s">
        <v>55</v>
      </c>
      <c r="AI105" s="909" t="s">
        <v>55</v>
      </c>
      <c r="AJ105" s="633">
        <f t="shared" si="22"/>
        <v>27</v>
      </c>
      <c r="AK105" s="634">
        <f t="shared" si="23"/>
        <v>4</v>
      </c>
      <c r="AL105" s="633">
        <f t="shared" si="24"/>
        <v>0</v>
      </c>
      <c r="AM105" s="633">
        <f t="shared" si="25"/>
        <v>0</v>
      </c>
      <c r="AN105" s="633">
        <f t="shared" si="26"/>
        <v>0</v>
      </c>
      <c r="AO105" s="634">
        <f t="shared" si="27"/>
        <v>0</v>
      </c>
      <c r="AP105" s="635">
        <f t="shared" si="28"/>
        <v>31</v>
      </c>
      <c r="AQ105" s="535"/>
      <c r="AR105" s="174"/>
      <c r="AS105" s="172" t="e">
        <f>VLOOKUP(C106,'[1]NT 2'!$C$2:$J$259,8,0)</f>
        <v>#N/A</v>
      </c>
      <c r="AT105" s="575" t="e">
        <f t="shared" si="21"/>
        <v>#N/A</v>
      </c>
    </row>
    <row r="106" spans="1:46" ht="24.75" customHeight="1">
      <c r="A106" s="1189">
        <v>89</v>
      </c>
      <c r="B106" s="636">
        <v>13</v>
      </c>
      <c r="C106" s="135" t="s">
        <v>616</v>
      </c>
      <c r="D106" s="13" t="e">
        <f>VLOOKUP(C106,'[1]NT 2'!$C$2:$J$259,8,0)</f>
        <v>#N/A</v>
      </c>
      <c r="E106" s="1187" t="s">
        <v>55</v>
      </c>
      <c r="F106" s="1187" t="s">
        <v>55</v>
      </c>
      <c r="G106" s="1187" t="s">
        <v>55</v>
      </c>
      <c r="H106" s="1187" t="s">
        <v>118</v>
      </c>
      <c r="I106" s="1187" t="s">
        <v>55</v>
      </c>
      <c r="J106" s="1187" t="s">
        <v>55</v>
      </c>
      <c r="K106" s="1187" t="s">
        <v>55</v>
      </c>
      <c r="L106" s="1187" t="s">
        <v>55</v>
      </c>
      <c r="M106" s="1187" t="s">
        <v>55</v>
      </c>
      <c r="N106" s="1187" t="s">
        <v>55</v>
      </c>
      <c r="O106" s="1187" t="s">
        <v>118</v>
      </c>
      <c r="P106" s="1187" t="s">
        <v>55</v>
      </c>
      <c r="Q106" s="1187" t="s">
        <v>55</v>
      </c>
      <c r="R106" s="1187" t="s">
        <v>678</v>
      </c>
      <c r="S106" s="1187" t="s">
        <v>55</v>
      </c>
      <c r="T106" s="1187" t="s">
        <v>55</v>
      </c>
      <c r="U106" s="1187" t="s">
        <v>55</v>
      </c>
      <c r="V106" s="1187" t="s">
        <v>118</v>
      </c>
      <c r="W106" s="1187" t="s">
        <v>55</v>
      </c>
      <c r="X106" s="1187" t="s">
        <v>55</v>
      </c>
      <c r="Y106" s="1187" t="s">
        <v>55</v>
      </c>
      <c r="Z106" s="1187" t="s">
        <v>55</v>
      </c>
      <c r="AA106" s="1187" t="s">
        <v>55</v>
      </c>
      <c r="AB106" s="1187" t="s">
        <v>55</v>
      </c>
      <c r="AC106" s="1187" t="s">
        <v>118</v>
      </c>
      <c r="AD106" s="1187" t="s">
        <v>55</v>
      </c>
      <c r="AE106" s="1187" t="s">
        <v>55</v>
      </c>
      <c r="AF106" s="1187" t="s">
        <v>55</v>
      </c>
      <c r="AG106" s="1187" t="s">
        <v>55</v>
      </c>
      <c r="AH106" s="1187" t="s">
        <v>55</v>
      </c>
      <c r="AI106" s="909" t="s">
        <v>55</v>
      </c>
      <c r="AJ106" s="633">
        <f t="shared" si="22"/>
        <v>26</v>
      </c>
      <c r="AK106" s="634">
        <f t="shared" si="23"/>
        <v>4</v>
      </c>
      <c r="AL106" s="633">
        <f t="shared" si="24"/>
        <v>0</v>
      </c>
      <c r="AM106" s="633">
        <f t="shared" si="25"/>
        <v>0</v>
      </c>
      <c r="AN106" s="633">
        <f t="shared" si="26"/>
        <v>0</v>
      </c>
      <c r="AO106" s="634">
        <f t="shared" si="27"/>
        <v>0</v>
      </c>
      <c r="AP106" s="635">
        <f t="shared" si="28"/>
        <v>30</v>
      </c>
      <c r="AQ106" s="535"/>
      <c r="AR106" s="174"/>
      <c r="AS106" s="172" t="str">
        <f>VLOOKUP(C107,'[1]NT 2'!$C$2:$J$259,8,0)</f>
        <v>03601</v>
      </c>
      <c r="AT106" s="575">
        <f t="shared" si="21"/>
        <v>0</v>
      </c>
    </row>
    <row r="107" spans="1:46" ht="24.75" customHeight="1">
      <c r="A107" s="1189">
        <v>90</v>
      </c>
      <c r="B107" s="636">
        <v>14</v>
      </c>
      <c r="C107" s="146" t="s">
        <v>252</v>
      </c>
      <c r="D107" s="13" t="str">
        <f>VLOOKUP(C107,'[1]NT 2'!$C$2:$J$259,8,0)</f>
        <v>03601</v>
      </c>
      <c r="E107" s="1187" t="s">
        <v>55</v>
      </c>
      <c r="F107" s="1187" t="s">
        <v>55</v>
      </c>
      <c r="G107" s="1187" t="s">
        <v>55</v>
      </c>
      <c r="H107" s="1187" t="s">
        <v>118</v>
      </c>
      <c r="I107" s="1187" t="s">
        <v>55</v>
      </c>
      <c r="J107" s="1187" t="s">
        <v>55</v>
      </c>
      <c r="K107" s="1187" t="s">
        <v>55</v>
      </c>
      <c r="L107" s="1187" t="s">
        <v>55</v>
      </c>
      <c r="M107" s="1187" t="s">
        <v>55</v>
      </c>
      <c r="N107" s="1187" t="s">
        <v>55</v>
      </c>
      <c r="O107" s="1187" t="s">
        <v>118</v>
      </c>
      <c r="P107" s="1187" t="s">
        <v>55</v>
      </c>
      <c r="Q107" s="1187" t="s">
        <v>55</v>
      </c>
      <c r="R107" s="1187" t="s">
        <v>55</v>
      </c>
      <c r="S107" s="1187" t="s">
        <v>55</v>
      </c>
      <c r="T107" s="1187" t="s">
        <v>55</v>
      </c>
      <c r="U107" s="1187" t="s">
        <v>55</v>
      </c>
      <c r="V107" s="1187" t="s">
        <v>118</v>
      </c>
      <c r="W107" s="1187" t="s">
        <v>55</v>
      </c>
      <c r="X107" s="1187" t="s">
        <v>55</v>
      </c>
      <c r="Y107" s="1187" t="s">
        <v>55</v>
      </c>
      <c r="Z107" s="1187" t="s">
        <v>55</v>
      </c>
      <c r="AA107" s="1187" t="s">
        <v>55</v>
      </c>
      <c r="AB107" s="1187" t="s">
        <v>55</v>
      </c>
      <c r="AC107" s="1187" t="s">
        <v>118</v>
      </c>
      <c r="AD107" s="1187" t="s">
        <v>55</v>
      </c>
      <c r="AE107" s="1187" t="s">
        <v>55</v>
      </c>
      <c r="AF107" s="1187" t="s">
        <v>55</v>
      </c>
      <c r="AG107" s="1187" t="s">
        <v>55</v>
      </c>
      <c r="AH107" s="1187" t="s">
        <v>55</v>
      </c>
      <c r="AI107" s="909" t="s">
        <v>55</v>
      </c>
      <c r="AJ107" s="633">
        <f t="shared" si="22"/>
        <v>27</v>
      </c>
      <c r="AK107" s="634">
        <f t="shared" si="23"/>
        <v>4</v>
      </c>
      <c r="AL107" s="633">
        <f t="shared" si="24"/>
        <v>0</v>
      </c>
      <c r="AM107" s="633">
        <f t="shared" si="25"/>
        <v>0</v>
      </c>
      <c r="AN107" s="633">
        <f t="shared" si="26"/>
        <v>0</v>
      </c>
      <c r="AO107" s="634">
        <f t="shared" si="27"/>
        <v>0</v>
      </c>
      <c r="AP107" s="635">
        <f t="shared" si="28"/>
        <v>31</v>
      </c>
      <c r="AQ107" s="535"/>
      <c r="AR107" s="174"/>
      <c r="AS107" s="172" t="str">
        <f>VLOOKUP(C108,'[1]NT 2'!$C$2:$J$259,8,0)</f>
        <v>03602</v>
      </c>
      <c r="AT107" s="575">
        <f t="shared" si="21"/>
        <v>0</v>
      </c>
    </row>
    <row r="108" spans="1:46" ht="24.75" customHeight="1">
      <c r="A108" s="1189">
        <v>91</v>
      </c>
      <c r="B108" s="636">
        <v>15</v>
      </c>
      <c r="C108" s="135" t="s">
        <v>211</v>
      </c>
      <c r="D108" s="13" t="str">
        <f>VLOOKUP(C108,'[1]NT 2'!$C$2:$J$259,8,0)</f>
        <v>03602</v>
      </c>
      <c r="E108" s="1187" t="s">
        <v>55</v>
      </c>
      <c r="F108" s="1187" t="s">
        <v>55</v>
      </c>
      <c r="G108" s="1187" t="s">
        <v>55</v>
      </c>
      <c r="H108" s="1187" t="s">
        <v>118</v>
      </c>
      <c r="I108" s="1187" t="s">
        <v>55</v>
      </c>
      <c r="J108" s="1187" t="s">
        <v>55</v>
      </c>
      <c r="K108" s="1187" t="s">
        <v>55</v>
      </c>
      <c r="L108" s="1187" t="s">
        <v>55</v>
      </c>
      <c r="M108" s="1187" t="s">
        <v>55</v>
      </c>
      <c r="N108" s="1187"/>
      <c r="O108" s="1187" t="s">
        <v>118</v>
      </c>
      <c r="P108" s="1187" t="s">
        <v>55</v>
      </c>
      <c r="Q108" s="1187" t="s">
        <v>55</v>
      </c>
      <c r="R108" s="1187" t="s">
        <v>55</v>
      </c>
      <c r="S108" s="1187" t="s">
        <v>55</v>
      </c>
      <c r="T108" s="1187" t="s">
        <v>55</v>
      </c>
      <c r="U108" s="1187" t="s">
        <v>55</v>
      </c>
      <c r="V108" s="1187" t="s">
        <v>118</v>
      </c>
      <c r="W108" s="1187" t="s">
        <v>55</v>
      </c>
      <c r="X108" s="1187" t="s">
        <v>55</v>
      </c>
      <c r="Y108" s="1187" t="s">
        <v>55</v>
      </c>
      <c r="Z108" s="1187" t="s">
        <v>55</v>
      </c>
      <c r="AA108" s="1187" t="s">
        <v>55</v>
      </c>
      <c r="AB108" s="1187" t="s">
        <v>55</v>
      </c>
      <c r="AC108" s="1187" t="s">
        <v>118</v>
      </c>
      <c r="AD108" s="1187" t="s">
        <v>55</v>
      </c>
      <c r="AE108" s="1187" t="s">
        <v>55</v>
      </c>
      <c r="AF108" s="1187" t="s">
        <v>55</v>
      </c>
      <c r="AG108" s="1187" t="s">
        <v>55</v>
      </c>
      <c r="AH108" s="1187" t="s">
        <v>55</v>
      </c>
      <c r="AI108" s="909" t="s">
        <v>55</v>
      </c>
      <c r="AJ108" s="633">
        <f t="shared" si="22"/>
        <v>26</v>
      </c>
      <c r="AK108" s="634">
        <f t="shared" si="23"/>
        <v>4</v>
      </c>
      <c r="AL108" s="633">
        <f t="shared" si="24"/>
        <v>0</v>
      </c>
      <c r="AM108" s="633">
        <f t="shared" si="25"/>
        <v>0</v>
      </c>
      <c r="AN108" s="633">
        <f t="shared" si="26"/>
        <v>0</v>
      </c>
      <c r="AO108" s="634">
        <f t="shared" si="27"/>
        <v>0</v>
      </c>
      <c r="AP108" s="635">
        <f t="shared" si="28"/>
        <v>30</v>
      </c>
      <c r="AQ108" s="535"/>
      <c r="AR108" s="174"/>
      <c r="AS108" s="172" t="str">
        <f>VLOOKUP(C109,'[1]NT 2'!$C$2:$J$259,8,0)</f>
        <v>03496</v>
      </c>
      <c r="AT108" s="575">
        <f t="shared" si="21"/>
        <v>0</v>
      </c>
    </row>
    <row r="109" spans="1:46" ht="24.75" customHeight="1">
      <c r="A109" s="1189">
        <v>92</v>
      </c>
      <c r="B109" s="636">
        <v>16</v>
      </c>
      <c r="C109" s="135" t="s">
        <v>330</v>
      </c>
      <c r="D109" s="13" t="str">
        <f>VLOOKUP(C109,'[1]NT 2'!$C$2:$J$259,8,0)</f>
        <v>03496</v>
      </c>
      <c r="E109" s="1187" t="s">
        <v>55</v>
      </c>
      <c r="F109" s="1187" t="s">
        <v>55</v>
      </c>
      <c r="G109" s="1187" t="s">
        <v>55</v>
      </c>
      <c r="H109" s="1187" t="s">
        <v>118</v>
      </c>
      <c r="I109" s="1187"/>
      <c r="J109" s="1187"/>
      <c r="K109" s="1187"/>
      <c r="L109" s="1187"/>
      <c r="M109" s="1187"/>
      <c r="N109" s="1187" t="s">
        <v>55</v>
      </c>
      <c r="O109" s="1187" t="s">
        <v>118</v>
      </c>
      <c r="P109" s="1187" t="s">
        <v>55</v>
      </c>
      <c r="Q109" s="1187" t="s">
        <v>678</v>
      </c>
      <c r="R109" s="1187" t="s">
        <v>55</v>
      </c>
      <c r="S109" s="1187" t="s">
        <v>55</v>
      </c>
      <c r="T109" s="1187" t="s">
        <v>55</v>
      </c>
      <c r="U109" s="1187" t="s">
        <v>55</v>
      </c>
      <c r="V109" s="1187" t="s">
        <v>118</v>
      </c>
      <c r="W109" s="1187" t="s">
        <v>55</v>
      </c>
      <c r="X109" s="1187" t="s">
        <v>55</v>
      </c>
      <c r="Y109" s="1187" t="s">
        <v>55</v>
      </c>
      <c r="Z109" s="1187" t="s">
        <v>55</v>
      </c>
      <c r="AA109" s="1187" t="s">
        <v>55</v>
      </c>
      <c r="AB109" s="1187" t="s">
        <v>55</v>
      </c>
      <c r="AC109" s="1187" t="s">
        <v>118</v>
      </c>
      <c r="AD109" s="1187" t="s">
        <v>55</v>
      </c>
      <c r="AE109" s="1187" t="s">
        <v>55</v>
      </c>
      <c r="AF109" s="1187" t="s">
        <v>55</v>
      </c>
      <c r="AG109" s="1187" t="s">
        <v>55</v>
      </c>
      <c r="AH109" s="1187" t="s">
        <v>55</v>
      </c>
      <c r="AI109" s="909" t="s">
        <v>55</v>
      </c>
      <c r="AJ109" s="633">
        <f t="shared" si="22"/>
        <v>21</v>
      </c>
      <c r="AK109" s="634">
        <f t="shared" si="23"/>
        <v>4</v>
      </c>
      <c r="AL109" s="633">
        <f t="shared" si="24"/>
        <v>0</v>
      </c>
      <c r="AM109" s="633">
        <f t="shared" si="25"/>
        <v>0</v>
      </c>
      <c r="AN109" s="633">
        <f t="shared" si="26"/>
        <v>0</v>
      </c>
      <c r="AO109" s="634">
        <f t="shared" si="27"/>
        <v>0</v>
      </c>
      <c r="AP109" s="635">
        <f t="shared" si="28"/>
        <v>25</v>
      </c>
      <c r="AQ109" s="535"/>
      <c r="AR109" s="174"/>
      <c r="AS109" s="172" t="str">
        <f>VLOOKUP(C110,'[1]NT 2'!$C$2:$J$259,8,0)</f>
        <v>03604</v>
      </c>
      <c r="AT109" s="575">
        <f t="shared" si="21"/>
        <v>0</v>
      </c>
    </row>
    <row r="110" spans="1:46" ht="24.75" customHeight="1">
      <c r="A110" s="1189">
        <v>93</v>
      </c>
      <c r="B110" s="636">
        <v>17</v>
      </c>
      <c r="C110" s="135" t="s">
        <v>352</v>
      </c>
      <c r="D110" s="13" t="str">
        <f>VLOOKUP(C110,'[1]NT 2'!$C$2:$J$259,8,0)</f>
        <v>03604</v>
      </c>
      <c r="E110" s="1187" t="s">
        <v>55</v>
      </c>
      <c r="F110" s="1187" t="s">
        <v>55</v>
      </c>
      <c r="G110" s="1187" t="s">
        <v>55</v>
      </c>
      <c r="H110" s="1187" t="s">
        <v>118</v>
      </c>
      <c r="I110" s="1187" t="s">
        <v>55</v>
      </c>
      <c r="J110" s="1187" t="s">
        <v>55</v>
      </c>
      <c r="K110" s="1187" t="s">
        <v>55</v>
      </c>
      <c r="L110" s="1187" t="s">
        <v>55</v>
      </c>
      <c r="M110" s="1187" t="s">
        <v>55</v>
      </c>
      <c r="N110" s="1187" t="s">
        <v>55</v>
      </c>
      <c r="O110" s="1187" t="s">
        <v>118</v>
      </c>
      <c r="P110" s="1187" t="s">
        <v>55</v>
      </c>
      <c r="Q110" s="1187" t="s">
        <v>55</v>
      </c>
      <c r="R110" s="1187" t="s">
        <v>55</v>
      </c>
      <c r="S110" s="1187" t="s">
        <v>55</v>
      </c>
      <c r="T110" s="1187" t="s">
        <v>55</v>
      </c>
      <c r="U110" s="1187" t="s">
        <v>55</v>
      </c>
      <c r="V110" s="1187" t="s">
        <v>118</v>
      </c>
      <c r="W110" s="1187" t="s">
        <v>55</v>
      </c>
      <c r="X110" s="1187" t="s">
        <v>55</v>
      </c>
      <c r="Y110" s="1187" t="s">
        <v>55</v>
      </c>
      <c r="Z110" s="1187" t="s">
        <v>55</v>
      </c>
      <c r="AA110" s="1187" t="s">
        <v>55</v>
      </c>
      <c r="AB110" s="1187" t="s">
        <v>55</v>
      </c>
      <c r="AC110" s="1187" t="s">
        <v>118</v>
      </c>
      <c r="AD110" s="1187" t="s">
        <v>55</v>
      </c>
      <c r="AE110" s="1187" t="s">
        <v>55</v>
      </c>
      <c r="AF110" s="1187" t="s">
        <v>55</v>
      </c>
      <c r="AG110" s="1187" t="s">
        <v>55</v>
      </c>
      <c r="AH110" s="1187" t="s">
        <v>55</v>
      </c>
      <c r="AI110" s="909" t="s">
        <v>55</v>
      </c>
      <c r="AJ110" s="633">
        <f t="shared" si="22"/>
        <v>27</v>
      </c>
      <c r="AK110" s="634">
        <f t="shared" si="23"/>
        <v>4</v>
      </c>
      <c r="AL110" s="633">
        <f t="shared" si="24"/>
        <v>0</v>
      </c>
      <c r="AM110" s="633">
        <f t="shared" si="25"/>
        <v>0</v>
      </c>
      <c r="AN110" s="633">
        <f t="shared" si="26"/>
        <v>0</v>
      </c>
      <c r="AO110" s="634">
        <f t="shared" si="27"/>
        <v>0</v>
      </c>
      <c r="AP110" s="635">
        <f t="shared" si="28"/>
        <v>31</v>
      </c>
      <c r="AQ110" s="535"/>
      <c r="AR110" s="174"/>
      <c r="AS110" s="172" t="e">
        <f>VLOOKUP(C111,'[1]NT 2'!$C$2:$J$259,8,0)</f>
        <v>#N/A</v>
      </c>
      <c r="AT110" s="575" t="e">
        <f t="shared" si="21"/>
        <v>#N/A</v>
      </c>
    </row>
    <row r="111" spans="1:46" ht="24.75" customHeight="1">
      <c r="A111" s="1189">
        <v>94</v>
      </c>
      <c r="B111" s="636">
        <v>18</v>
      </c>
      <c r="C111" s="135" t="s">
        <v>278</v>
      </c>
      <c r="D111" s="13" t="e">
        <f>VLOOKUP(C111,'[1]NT 2'!$C$2:$J$259,8,0)</f>
        <v>#N/A</v>
      </c>
      <c r="E111" s="1187" t="s">
        <v>55</v>
      </c>
      <c r="F111" s="1187" t="s">
        <v>55</v>
      </c>
      <c r="G111" s="1187" t="s">
        <v>55</v>
      </c>
      <c r="H111" s="1187" t="s">
        <v>118</v>
      </c>
      <c r="I111" s="1187" t="s">
        <v>55</v>
      </c>
      <c r="J111" s="1187" t="s">
        <v>55</v>
      </c>
      <c r="K111" s="1187" t="s">
        <v>55</v>
      </c>
      <c r="L111" s="1187" t="s">
        <v>55</v>
      </c>
      <c r="M111" s="1187" t="s">
        <v>55</v>
      </c>
      <c r="N111" s="1187" t="s">
        <v>55</v>
      </c>
      <c r="O111" s="1187" t="s">
        <v>118</v>
      </c>
      <c r="P111" s="1187" t="s">
        <v>55</v>
      </c>
      <c r="Q111" s="1187" t="s">
        <v>55</v>
      </c>
      <c r="R111" s="1187" t="s">
        <v>55</v>
      </c>
      <c r="S111" s="1187" t="s">
        <v>55</v>
      </c>
      <c r="T111" s="1187" t="s">
        <v>55</v>
      </c>
      <c r="U111" s="1187" t="s">
        <v>55</v>
      </c>
      <c r="V111" s="1187" t="s">
        <v>118</v>
      </c>
      <c r="W111" s="1187" t="s">
        <v>55</v>
      </c>
      <c r="X111" s="1187" t="s">
        <v>55</v>
      </c>
      <c r="Y111" s="1187" t="s">
        <v>55</v>
      </c>
      <c r="Z111" s="1187" t="s">
        <v>55</v>
      </c>
      <c r="AA111" s="1187" t="s">
        <v>55</v>
      </c>
      <c r="AB111" s="1187" t="s">
        <v>55</v>
      </c>
      <c r="AC111" s="1187" t="s">
        <v>118</v>
      </c>
      <c r="AD111" s="1187" t="s">
        <v>55</v>
      </c>
      <c r="AE111" s="1187" t="s">
        <v>55</v>
      </c>
      <c r="AF111" s="1187" t="s">
        <v>55</v>
      </c>
      <c r="AG111" s="1187" t="s">
        <v>55</v>
      </c>
      <c r="AH111" s="1187" t="s">
        <v>55</v>
      </c>
      <c r="AI111" s="909" t="s">
        <v>55</v>
      </c>
      <c r="AJ111" s="633">
        <f t="shared" si="22"/>
        <v>27</v>
      </c>
      <c r="AK111" s="634">
        <f t="shared" si="23"/>
        <v>4</v>
      </c>
      <c r="AL111" s="633">
        <f t="shared" si="24"/>
        <v>0</v>
      </c>
      <c r="AM111" s="633">
        <f t="shared" si="25"/>
        <v>0</v>
      </c>
      <c r="AN111" s="633">
        <f t="shared" si="26"/>
        <v>0</v>
      </c>
      <c r="AO111" s="634">
        <f t="shared" si="27"/>
        <v>0</v>
      </c>
      <c r="AP111" s="635">
        <f t="shared" si="28"/>
        <v>31</v>
      </c>
      <c r="AQ111" s="535"/>
      <c r="AR111" s="174"/>
      <c r="AS111" s="172" t="str">
        <f>VLOOKUP(C112,'[1]NT 2'!$C$2:$J$259,8,0)</f>
        <v>03509</v>
      </c>
      <c r="AT111" s="575">
        <f t="shared" si="21"/>
        <v>0</v>
      </c>
    </row>
    <row r="112" spans="1:46" ht="24.75" customHeight="1">
      <c r="A112" s="1189">
        <v>95</v>
      </c>
      <c r="B112" s="636">
        <v>19</v>
      </c>
      <c r="C112" s="135" t="s">
        <v>249</v>
      </c>
      <c r="D112" s="13" t="str">
        <f>VLOOKUP(C112,'[1]NT 2'!$C$2:$J$259,8,0)</f>
        <v>03509</v>
      </c>
      <c r="E112" s="1187" t="s">
        <v>55</v>
      </c>
      <c r="F112" s="1187" t="s">
        <v>55</v>
      </c>
      <c r="G112" s="1187" t="s">
        <v>55</v>
      </c>
      <c r="H112" s="1187" t="s">
        <v>118</v>
      </c>
      <c r="I112" s="1187" t="s">
        <v>55</v>
      </c>
      <c r="J112" s="1187" t="s">
        <v>55</v>
      </c>
      <c r="K112" s="1187" t="s">
        <v>55</v>
      </c>
      <c r="L112" s="1187" t="s">
        <v>55</v>
      </c>
      <c r="M112" s="1187" t="s">
        <v>55</v>
      </c>
      <c r="N112" s="1187" t="s">
        <v>55</v>
      </c>
      <c r="O112" s="1187"/>
      <c r="P112" s="1187" t="s">
        <v>55</v>
      </c>
      <c r="Q112" s="1187" t="s">
        <v>55</v>
      </c>
      <c r="R112" s="1187" t="s">
        <v>55</v>
      </c>
      <c r="S112" s="1187" t="s">
        <v>55</v>
      </c>
      <c r="T112" s="1187" t="s">
        <v>55</v>
      </c>
      <c r="U112" s="1187" t="s">
        <v>55</v>
      </c>
      <c r="V112" s="1187" t="s">
        <v>118</v>
      </c>
      <c r="W112" s="1187" t="s">
        <v>55</v>
      </c>
      <c r="X112" s="1187" t="s">
        <v>55</v>
      </c>
      <c r="Y112" s="1187" t="s">
        <v>55</v>
      </c>
      <c r="Z112" s="1187" t="s">
        <v>55</v>
      </c>
      <c r="AA112" s="1187" t="s">
        <v>55</v>
      </c>
      <c r="AB112" s="1187" t="s">
        <v>55</v>
      </c>
      <c r="AC112" s="1187" t="s">
        <v>118</v>
      </c>
      <c r="AD112" s="1187" t="s">
        <v>55</v>
      </c>
      <c r="AE112" s="1187" t="s">
        <v>55</v>
      </c>
      <c r="AF112" s="1187" t="s">
        <v>55</v>
      </c>
      <c r="AG112" s="1187" t="s">
        <v>55</v>
      </c>
      <c r="AH112" s="1187" t="s">
        <v>55</v>
      </c>
      <c r="AI112" s="909" t="s">
        <v>55</v>
      </c>
      <c r="AJ112" s="633">
        <f t="shared" si="22"/>
        <v>27</v>
      </c>
      <c r="AK112" s="634">
        <f t="shared" si="23"/>
        <v>3</v>
      </c>
      <c r="AL112" s="633">
        <f t="shared" si="24"/>
        <v>0</v>
      </c>
      <c r="AM112" s="633">
        <f t="shared" si="25"/>
        <v>0</v>
      </c>
      <c r="AN112" s="633">
        <f t="shared" si="26"/>
        <v>0</v>
      </c>
      <c r="AO112" s="634">
        <f t="shared" si="27"/>
        <v>0</v>
      </c>
      <c r="AP112" s="635">
        <f t="shared" si="28"/>
        <v>30</v>
      </c>
      <c r="AQ112" s="535"/>
      <c r="AR112" s="174"/>
      <c r="AS112" s="172" t="str">
        <f>VLOOKUP(C113,'[1]NT 2'!$C$2:$J$259,8,0)</f>
        <v>03607</v>
      </c>
      <c r="AT112" s="575">
        <f t="shared" si="21"/>
        <v>0</v>
      </c>
    </row>
    <row r="113" spans="1:46" ht="24.75" customHeight="1">
      <c r="A113" s="1189">
        <v>96</v>
      </c>
      <c r="B113" s="636">
        <v>20</v>
      </c>
      <c r="C113" s="135" t="s">
        <v>266</v>
      </c>
      <c r="D113" s="13" t="str">
        <f>VLOOKUP(C113,'[1]NT 2'!$C$2:$J$259,8,0)</f>
        <v>03607</v>
      </c>
      <c r="E113" s="1187" t="s">
        <v>55</v>
      </c>
      <c r="F113" s="1187" t="s">
        <v>55</v>
      </c>
      <c r="G113" s="1187" t="s">
        <v>55</v>
      </c>
      <c r="H113" s="1187" t="s">
        <v>118</v>
      </c>
      <c r="I113" s="1187" t="s">
        <v>55</v>
      </c>
      <c r="J113" s="1187" t="s">
        <v>55</v>
      </c>
      <c r="K113" s="1187" t="s">
        <v>55</v>
      </c>
      <c r="L113" s="1187" t="s">
        <v>55</v>
      </c>
      <c r="M113" s="1187" t="s">
        <v>55</v>
      </c>
      <c r="N113" s="1187" t="s">
        <v>55</v>
      </c>
      <c r="O113" s="1187"/>
      <c r="P113" s="1187" t="s">
        <v>55</v>
      </c>
      <c r="Q113" s="1187" t="s">
        <v>55</v>
      </c>
      <c r="R113" s="1187" t="s">
        <v>55</v>
      </c>
      <c r="S113" s="1187" t="s">
        <v>55</v>
      </c>
      <c r="T113" s="1187" t="s">
        <v>55</v>
      </c>
      <c r="U113" s="1187" t="s">
        <v>55</v>
      </c>
      <c r="V113" s="1187" t="s">
        <v>118</v>
      </c>
      <c r="W113" s="1187" t="s">
        <v>55</v>
      </c>
      <c r="X113" s="1187" t="s">
        <v>55</v>
      </c>
      <c r="Y113" s="1187" t="s">
        <v>55</v>
      </c>
      <c r="Z113" s="1187" t="s">
        <v>55</v>
      </c>
      <c r="AA113" s="1187" t="s">
        <v>55</v>
      </c>
      <c r="AB113" s="1187" t="s">
        <v>55</v>
      </c>
      <c r="AC113" s="1187" t="s">
        <v>118</v>
      </c>
      <c r="AD113" s="1187" t="s">
        <v>55</v>
      </c>
      <c r="AE113" s="1187" t="s">
        <v>55</v>
      </c>
      <c r="AF113" s="1187" t="s">
        <v>55</v>
      </c>
      <c r="AG113" s="1187" t="s">
        <v>55</v>
      </c>
      <c r="AH113" s="1187" t="s">
        <v>55</v>
      </c>
      <c r="AI113" s="909" t="s">
        <v>55</v>
      </c>
      <c r="AJ113" s="633">
        <f t="shared" si="22"/>
        <v>27</v>
      </c>
      <c r="AK113" s="634">
        <f t="shared" si="23"/>
        <v>3</v>
      </c>
      <c r="AL113" s="633">
        <f t="shared" si="24"/>
        <v>0</v>
      </c>
      <c r="AM113" s="633">
        <f t="shared" si="25"/>
        <v>0</v>
      </c>
      <c r="AN113" s="633">
        <f t="shared" si="26"/>
        <v>0</v>
      </c>
      <c r="AO113" s="634">
        <f t="shared" si="27"/>
        <v>0</v>
      </c>
      <c r="AP113" s="635">
        <f t="shared" si="28"/>
        <v>30</v>
      </c>
      <c r="AQ113" s="535"/>
      <c r="AR113" s="174"/>
      <c r="AS113" s="172" t="str">
        <f>VLOOKUP(C114,'[1]NT 2'!$C$2:$J$259,8,0)</f>
        <v>02729</v>
      </c>
      <c r="AT113" s="575">
        <f t="shared" si="21"/>
        <v>0</v>
      </c>
    </row>
    <row r="114" spans="1:46" ht="24.75" customHeight="1">
      <c r="A114" s="1189">
        <v>97</v>
      </c>
      <c r="B114" s="636">
        <v>21</v>
      </c>
      <c r="C114" s="135" t="s">
        <v>228</v>
      </c>
      <c r="D114" s="13" t="str">
        <f>VLOOKUP(C114,'[1]NT 2'!$C$2:$J$259,8,0)</f>
        <v>02729</v>
      </c>
      <c r="E114" s="1187" t="s">
        <v>55</v>
      </c>
      <c r="F114" s="1187" t="s">
        <v>55</v>
      </c>
      <c r="G114" s="1187" t="s">
        <v>55</v>
      </c>
      <c r="H114" s="1187" t="s">
        <v>118</v>
      </c>
      <c r="I114" s="1187" t="s">
        <v>55</v>
      </c>
      <c r="J114" s="1187" t="s">
        <v>55</v>
      </c>
      <c r="K114" s="1187" t="s">
        <v>55</v>
      </c>
      <c r="L114" s="1187" t="s">
        <v>55</v>
      </c>
      <c r="M114" s="1187" t="s">
        <v>55</v>
      </c>
      <c r="N114" s="1187" t="s">
        <v>55</v>
      </c>
      <c r="O114" s="1187"/>
      <c r="P114" s="1187" t="s">
        <v>55</v>
      </c>
      <c r="Q114" s="1187" t="s">
        <v>55</v>
      </c>
      <c r="R114" s="1187" t="s">
        <v>55</v>
      </c>
      <c r="S114" s="1187" t="s">
        <v>55</v>
      </c>
      <c r="T114" s="1187" t="s">
        <v>55</v>
      </c>
      <c r="U114" s="1187" t="s">
        <v>55</v>
      </c>
      <c r="V114" s="1187" t="s">
        <v>118</v>
      </c>
      <c r="W114" s="1187" t="s">
        <v>55</v>
      </c>
      <c r="X114" s="1187" t="s">
        <v>55</v>
      </c>
      <c r="Y114" s="1187" t="s">
        <v>55</v>
      </c>
      <c r="Z114" s="1187" t="s">
        <v>55</v>
      </c>
      <c r="AA114" s="1187" t="s">
        <v>55</v>
      </c>
      <c r="AB114" s="1187" t="s">
        <v>55</v>
      </c>
      <c r="AC114" s="1187" t="s">
        <v>118</v>
      </c>
      <c r="AD114" s="1187" t="s">
        <v>55</v>
      </c>
      <c r="AE114" s="1187" t="s">
        <v>55</v>
      </c>
      <c r="AF114" s="1187" t="s">
        <v>55</v>
      </c>
      <c r="AG114" s="1187" t="s">
        <v>55</v>
      </c>
      <c r="AH114" s="1187" t="s">
        <v>55</v>
      </c>
      <c r="AI114" s="909" t="s">
        <v>55</v>
      </c>
      <c r="AJ114" s="633">
        <f t="shared" si="22"/>
        <v>27</v>
      </c>
      <c r="AK114" s="634">
        <f t="shared" si="23"/>
        <v>3</v>
      </c>
      <c r="AL114" s="633">
        <f t="shared" si="24"/>
        <v>0</v>
      </c>
      <c r="AM114" s="633">
        <f t="shared" si="25"/>
        <v>0</v>
      </c>
      <c r="AN114" s="633">
        <f t="shared" si="26"/>
        <v>0</v>
      </c>
      <c r="AO114" s="634">
        <f t="shared" si="27"/>
        <v>0</v>
      </c>
      <c r="AP114" s="635">
        <f t="shared" si="28"/>
        <v>30</v>
      </c>
      <c r="AQ114" s="535"/>
      <c r="AR114" s="174"/>
      <c r="AS114" s="172" t="str">
        <f>VLOOKUP(C115,'[1]NT 2'!$C$2:$J$259,8,0)</f>
        <v>03608</v>
      </c>
      <c r="AT114" s="575">
        <f t="shared" si="21"/>
        <v>0</v>
      </c>
    </row>
    <row r="115" spans="1:46" ht="24.75" customHeight="1">
      <c r="A115" s="1189">
        <v>98</v>
      </c>
      <c r="B115" s="636">
        <v>22</v>
      </c>
      <c r="C115" s="135" t="s">
        <v>272</v>
      </c>
      <c r="D115" s="13" t="str">
        <f>VLOOKUP(C115,'[1]NT 2'!$C$2:$J$259,8,0)</f>
        <v>03608</v>
      </c>
      <c r="E115" s="1187" t="s">
        <v>55</v>
      </c>
      <c r="F115" s="1187" t="s">
        <v>55</v>
      </c>
      <c r="G115" s="1187" t="s">
        <v>55</v>
      </c>
      <c r="H115" s="1187" t="s">
        <v>118</v>
      </c>
      <c r="I115" s="1187" t="s">
        <v>55</v>
      </c>
      <c r="J115" s="1187" t="s">
        <v>55</v>
      </c>
      <c r="K115" s="1187" t="s">
        <v>55</v>
      </c>
      <c r="L115" s="1187" t="s">
        <v>55</v>
      </c>
      <c r="M115" s="1187" t="s">
        <v>55</v>
      </c>
      <c r="N115" s="1187" t="s">
        <v>55</v>
      </c>
      <c r="O115" s="1187" t="s">
        <v>118</v>
      </c>
      <c r="P115" s="1187" t="s">
        <v>55</v>
      </c>
      <c r="Q115" s="1187" t="s">
        <v>55</v>
      </c>
      <c r="R115" s="1187" t="s">
        <v>55</v>
      </c>
      <c r="S115" s="1187" t="s">
        <v>55</v>
      </c>
      <c r="T115" s="1187" t="s">
        <v>55</v>
      </c>
      <c r="U115" s="1187" t="s">
        <v>55</v>
      </c>
      <c r="V115" s="1187" t="s">
        <v>118</v>
      </c>
      <c r="W115" s="1187" t="s">
        <v>55</v>
      </c>
      <c r="X115" s="1187" t="s">
        <v>55</v>
      </c>
      <c r="Y115" s="1187" t="s">
        <v>55</v>
      </c>
      <c r="Z115" s="1187" t="s">
        <v>55</v>
      </c>
      <c r="AA115" s="1187" t="s">
        <v>55</v>
      </c>
      <c r="AB115" s="1187" t="s">
        <v>55</v>
      </c>
      <c r="AC115" s="1187" t="s">
        <v>118</v>
      </c>
      <c r="AD115" s="1187" t="s">
        <v>55</v>
      </c>
      <c r="AE115" s="1187" t="s">
        <v>55</v>
      </c>
      <c r="AF115" s="1187" t="s">
        <v>55</v>
      </c>
      <c r="AG115" s="1187" t="s">
        <v>55</v>
      </c>
      <c r="AH115" s="1187" t="s">
        <v>55</v>
      </c>
      <c r="AI115" s="909" t="s">
        <v>55</v>
      </c>
      <c r="AJ115" s="633">
        <f t="shared" si="22"/>
        <v>27</v>
      </c>
      <c r="AK115" s="634">
        <f t="shared" si="23"/>
        <v>4</v>
      </c>
      <c r="AL115" s="633">
        <f t="shared" si="24"/>
        <v>0</v>
      </c>
      <c r="AM115" s="633">
        <f t="shared" si="25"/>
        <v>0</v>
      </c>
      <c r="AN115" s="633">
        <f t="shared" si="26"/>
        <v>0</v>
      </c>
      <c r="AO115" s="634">
        <f t="shared" si="27"/>
        <v>0</v>
      </c>
      <c r="AP115" s="635">
        <f t="shared" si="28"/>
        <v>31</v>
      </c>
      <c r="AQ115" s="535"/>
      <c r="AR115" s="174"/>
      <c r="AS115" s="172" t="str">
        <f>VLOOKUP(C116,'[1]NT 2'!$C$2:$J$259,8,0)</f>
        <v>03609</v>
      </c>
      <c r="AT115" s="575">
        <f t="shared" si="21"/>
        <v>0</v>
      </c>
    </row>
    <row r="116" spans="1:46" ht="24.75" customHeight="1">
      <c r="A116" s="1189">
        <v>99</v>
      </c>
      <c r="B116" s="636">
        <v>23</v>
      </c>
      <c r="C116" s="135" t="s">
        <v>253</v>
      </c>
      <c r="D116" s="13" t="str">
        <f>VLOOKUP(C116,'[1]NT 2'!$C$2:$J$259,8,0)</f>
        <v>03609</v>
      </c>
      <c r="E116" s="1187" t="s">
        <v>55</v>
      </c>
      <c r="F116" s="1187" t="s">
        <v>55</v>
      </c>
      <c r="G116" s="1187" t="s">
        <v>55</v>
      </c>
      <c r="H116" s="1187" t="s">
        <v>118</v>
      </c>
      <c r="I116" s="1187" t="s">
        <v>55</v>
      </c>
      <c r="J116" s="1187" t="s">
        <v>55</v>
      </c>
      <c r="K116" s="1187" t="s">
        <v>55</v>
      </c>
      <c r="L116" s="1187" t="s">
        <v>55</v>
      </c>
      <c r="M116" s="1187" t="s">
        <v>55</v>
      </c>
      <c r="N116" s="1187" t="s">
        <v>55</v>
      </c>
      <c r="O116" s="1187" t="s">
        <v>118</v>
      </c>
      <c r="P116" s="1187" t="s">
        <v>55</v>
      </c>
      <c r="Q116" s="1187" t="s">
        <v>55</v>
      </c>
      <c r="R116" s="1187" t="s">
        <v>55</v>
      </c>
      <c r="S116" s="1187" t="s">
        <v>55</v>
      </c>
      <c r="T116" s="1187" t="s">
        <v>55</v>
      </c>
      <c r="U116" s="1187" t="s">
        <v>55</v>
      </c>
      <c r="V116" s="1187" t="s">
        <v>118</v>
      </c>
      <c r="W116" s="1187" t="s">
        <v>55</v>
      </c>
      <c r="X116" s="1187" t="s">
        <v>55</v>
      </c>
      <c r="Y116" s="1187" t="s">
        <v>55</v>
      </c>
      <c r="Z116" s="1187" t="s">
        <v>55</v>
      </c>
      <c r="AA116" s="1187" t="s">
        <v>55</v>
      </c>
      <c r="AB116" s="1187" t="s">
        <v>55</v>
      </c>
      <c r="AC116" s="1187" t="s">
        <v>118</v>
      </c>
      <c r="AD116" s="1187" t="s">
        <v>55</v>
      </c>
      <c r="AE116" s="1187" t="s">
        <v>55</v>
      </c>
      <c r="AF116" s="1187" t="s">
        <v>55</v>
      </c>
      <c r="AG116" s="1187" t="s">
        <v>55</v>
      </c>
      <c r="AH116" s="1187" t="s">
        <v>55</v>
      </c>
      <c r="AI116" s="909" t="s">
        <v>55</v>
      </c>
      <c r="AJ116" s="633">
        <f t="shared" si="22"/>
        <v>27</v>
      </c>
      <c r="AK116" s="634">
        <f t="shared" si="23"/>
        <v>4</v>
      </c>
      <c r="AL116" s="633">
        <f t="shared" si="24"/>
        <v>0</v>
      </c>
      <c r="AM116" s="633">
        <f t="shared" si="25"/>
        <v>0</v>
      </c>
      <c r="AN116" s="633">
        <f t="shared" si="26"/>
        <v>0</v>
      </c>
      <c r="AO116" s="634">
        <f t="shared" si="27"/>
        <v>0</v>
      </c>
      <c r="AP116" s="635">
        <f t="shared" si="28"/>
        <v>31</v>
      </c>
      <c r="AQ116" s="535"/>
      <c r="AR116" s="174"/>
      <c r="AS116" s="172" t="str">
        <f>VLOOKUP(C117,'[1]NT 2'!$C$2:$J$259,8,0)</f>
        <v>03610</v>
      </c>
      <c r="AT116" s="575">
        <f t="shared" si="21"/>
        <v>0</v>
      </c>
    </row>
    <row r="117" spans="1:46" ht="24.75" customHeight="1">
      <c r="A117" s="1189">
        <v>100</v>
      </c>
      <c r="B117" s="636">
        <v>24</v>
      </c>
      <c r="C117" s="502" t="s">
        <v>254</v>
      </c>
      <c r="D117" s="13" t="str">
        <f>VLOOKUP(C117,'[1]NT 2'!$C$2:$J$259,8,0)</f>
        <v>03610</v>
      </c>
      <c r="E117" s="1187" t="s">
        <v>55</v>
      </c>
      <c r="F117" s="1187" t="s">
        <v>55</v>
      </c>
      <c r="G117" s="1187" t="s">
        <v>55</v>
      </c>
      <c r="H117" s="1187" t="s">
        <v>118</v>
      </c>
      <c r="I117" s="1187" t="s">
        <v>55</v>
      </c>
      <c r="J117" s="1187" t="s">
        <v>55</v>
      </c>
      <c r="K117" s="1187" t="s">
        <v>55</v>
      </c>
      <c r="L117" s="1187" t="s">
        <v>55</v>
      </c>
      <c r="M117" s="1187" t="s">
        <v>55</v>
      </c>
      <c r="N117" s="1187" t="s">
        <v>55</v>
      </c>
      <c r="O117" s="1187" t="s">
        <v>118</v>
      </c>
      <c r="P117" s="1187" t="s">
        <v>55</v>
      </c>
      <c r="Q117" s="1187" t="s">
        <v>55</v>
      </c>
      <c r="R117" s="1187" t="s">
        <v>55</v>
      </c>
      <c r="S117" s="1187" t="s">
        <v>55</v>
      </c>
      <c r="T117" s="1187" t="s">
        <v>55</v>
      </c>
      <c r="U117" s="1187" t="s">
        <v>55</v>
      </c>
      <c r="V117" s="1187" t="s">
        <v>118</v>
      </c>
      <c r="W117" s="1187" t="s">
        <v>55</v>
      </c>
      <c r="X117" s="1187" t="s">
        <v>55</v>
      </c>
      <c r="Y117" s="1187" t="s">
        <v>55</v>
      </c>
      <c r="Z117" s="1187" t="s">
        <v>55</v>
      </c>
      <c r="AA117" s="1187" t="s">
        <v>55</v>
      </c>
      <c r="AB117" s="1187" t="s">
        <v>55</v>
      </c>
      <c r="AC117" s="1187" t="s">
        <v>118</v>
      </c>
      <c r="AD117" s="1187" t="s">
        <v>55</v>
      </c>
      <c r="AE117" s="1187" t="s">
        <v>55</v>
      </c>
      <c r="AF117" s="1187" t="s">
        <v>55</v>
      </c>
      <c r="AG117" s="1187" t="s">
        <v>55</v>
      </c>
      <c r="AH117" s="1187" t="s">
        <v>55</v>
      </c>
      <c r="AI117" s="909" t="s">
        <v>55</v>
      </c>
      <c r="AJ117" s="633">
        <f t="shared" si="22"/>
        <v>27</v>
      </c>
      <c r="AK117" s="634">
        <f t="shared" si="23"/>
        <v>4</v>
      </c>
      <c r="AL117" s="633">
        <f t="shared" si="24"/>
        <v>0</v>
      </c>
      <c r="AM117" s="633">
        <f t="shared" si="25"/>
        <v>0</v>
      </c>
      <c r="AN117" s="633">
        <f t="shared" si="26"/>
        <v>0</v>
      </c>
      <c r="AO117" s="634">
        <f t="shared" si="27"/>
        <v>0</v>
      </c>
      <c r="AP117" s="635">
        <f t="shared" si="28"/>
        <v>31</v>
      </c>
      <c r="AQ117" s="535"/>
      <c r="AR117" s="174"/>
      <c r="AS117" s="172" t="e">
        <f>VLOOKUP(C118,'[1]NT 2'!$C$2:$J$259,8,0)</f>
        <v>#N/A</v>
      </c>
      <c r="AT117" s="575" t="e">
        <f t="shared" si="21"/>
        <v>#N/A</v>
      </c>
    </row>
    <row r="118" spans="1:46" ht="24.75" customHeight="1">
      <c r="A118" s="1189">
        <v>101</v>
      </c>
      <c r="B118" s="636">
        <v>25</v>
      </c>
      <c r="C118" s="502" t="s">
        <v>617</v>
      </c>
      <c r="D118" s="13" t="e">
        <f>VLOOKUP(C118,'[1]NT 2'!$C$2:$J$259,8,0)</f>
        <v>#N/A</v>
      </c>
      <c r="E118" s="1187" t="s">
        <v>55</v>
      </c>
      <c r="F118" s="1187" t="s">
        <v>55</v>
      </c>
      <c r="G118" s="1187" t="s">
        <v>55</v>
      </c>
      <c r="H118" s="1187" t="s">
        <v>118</v>
      </c>
      <c r="I118" s="1187" t="s">
        <v>55</v>
      </c>
      <c r="J118" s="1187" t="s">
        <v>55</v>
      </c>
      <c r="K118" s="1187" t="s">
        <v>55</v>
      </c>
      <c r="L118" s="1187" t="s">
        <v>55</v>
      </c>
      <c r="M118" s="1187" t="s">
        <v>55</v>
      </c>
      <c r="N118" s="1187" t="s">
        <v>55</v>
      </c>
      <c r="O118" s="1187" t="s">
        <v>118</v>
      </c>
      <c r="P118" s="1187" t="s">
        <v>55</v>
      </c>
      <c r="Q118" s="1187" t="s">
        <v>55</v>
      </c>
      <c r="R118" s="1187" t="s">
        <v>55</v>
      </c>
      <c r="S118" s="1187" t="s">
        <v>55</v>
      </c>
      <c r="T118" s="1187" t="s">
        <v>55</v>
      </c>
      <c r="U118" s="1187" t="s">
        <v>55</v>
      </c>
      <c r="V118" s="1187" t="s">
        <v>118</v>
      </c>
      <c r="W118" s="1187" t="s">
        <v>55</v>
      </c>
      <c r="X118" s="1187" t="s">
        <v>55</v>
      </c>
      <c r="Y118" s="1187" t="s">
        <v>55</v>
      </c>
      <c r="Z118" s="1187" t="s">
        <v>55</v>
      </c>
      <c r="AA118" s="1187" t="s">
        <v>55</v>
      </c>
      <c r="AB118" s="1187" t="s">
        <v>55</v>
      </c>
      <c r="AC118" s="1187" t="s">
        <v>118</v>
      </c>
      <c r="AD118" s="1187" t="s">
        <v>55</v>
      </c>
      <c r="AE118" s="1187" t="s">
        <v>55</v>
      </c>
      <c r="AF118" s="1187" t="s">
        <v>55</v>
      </c>
      <c r="AG118" s="1187" t="s">
        <v>55</v>
      </c>
      <c r="AH118" s="1187" t="s">
        <v>55</v>
      </c>
      <c r="AI118" s="909" t="s">
        <v>55</v>
      </c>
      <c r="AJ118" s="633">
        <f t="shared" si="22"/>
        <v>27</v>
      </c>
      <c r="AK118" s="634">
        <f t="shared" si="23"/>
        <v>4</v>
      </c>
      <c r="AL118" s="633">
        <f t="shared" si="24"/>
        <v>0</v>
      </c>
      <c r="AM118" s="633">
        <f t="shared" si="25"/>
        <v>0</v>
      </c>
      <c r="AN118" s="633">
        <f t="shared" si="26"/>
        <v>0</v>
      </c>
      <c r="AO118" s="634">
        <f t="shared" si="27"/>
        <v>0</v>
      </c>
      <c r="AP118" s="635">
        <f t="shared" si="28"/>
        <v>31</v>
      </c>
      <c r="AQ118" s="535"/>
      <c r="AR118" s="174"/>
      <c r="AS118" s="172" t="str">
        <f>VLOOKUP(C119,'[1]NT 2'!$C$2:$J$259,8,0)</f>
        <v>03612</v>
      </c>
      <c r="AT118" s="575">
        <f t="shared" si="21"/>
        <v>0</v>
      </c>
    </row>
    <row r="119" spans="1:46" ht="24.75" customHeight="1">
      <c r="A119" s="1189">
        <v>102</v>
      </c>
      <c r="B119" s="636">
        <v>26</v>
      </c>
      <c r="C119" s="502" t="s">
        <v>300</v>
      </c>
      <c r="D119" s="13" t="str">
        <f>VLOOKUP(C119,'[1]NT 2'!$C$2:$J$259,8,0)</f>
        <v>03612</v>
      </c>
      <c r="E119" s="1187" t="s">
        <v>55</v>
      </c>
      <c r="F119" s="1187" t="s">
        <v>55</v>
      </c>
      <c r="G119" s="1187" t="s">
        <v>55</v>
      </c>
      <c r="H119" s="1187" t="s">
        <v>118</v>
      </c>
      <c r="I119" s="1187" t="s">
        <v>55</v>
      </c>
      <c r="J119" s="1187" t="s">
        <v>55</v>
      </c>
      <c r="K119" s="1187" t="s">
        <v>55</v>
      </c>
      <c r="L119" s="1187" t="s">
        <v>55</v>
      </c>
      <c r="M119" s="1187" t="s">
        <v>55</v>
      </c>
      <c r="N119" s="1187" t="s">
        <v>55</v>
      </c>
      <c r="O119" s="1187" t="s">
        <v>118</v>
      </c>
      <c r="P119" s="1187" t="s">
        <v>55</v>
      </c>
      <c r="Q119" s="1187" t="s">
        <v>55</v>
      </c>
      <c r="R119" s="1187" t="s">
        <v>55</v>
      </c>
      <c r="S119" s="1187" t="s">
        <v>55</v>
      </c>
      <c r="T119" s="1187" t="s">
        <v>55</v>
      </c>
      <c r="U119" s="1187" t="s">
        <v>55</v>
      </c>
      <c r="V119" s="1187" t="s">
        <v>118</v>
      </c>
      <c r="W119" s="1187" t="s">
        <v>55</v>
      </c>
      <c r="X119" s="1187" t="s">
        <v>55</v>
      </c>
      <c r="Y119" s="1187" t="s">
        <v>55</v>
      </c>
      <c r="Z119" s="1187" t="s">
        <v>55</v>
      </c>
      <c r="AA119" s="1187" t="s">
        <v>55</v>
      </c>
      <c r="AB119" s="1187" t="s">
        <v>55</v>
      </c>
      <c r="AC119" s="1187" t="s">
        <v>118</v>
      </c>
      <c r="AD119" s="1187" t="s">
        <v>55</v>
      </c>
      <c r="AE119" s="1187" t="s">
        <v>55</v>
      </c>
      <c r="AF119" s="1187" t="s">
        <v>55</v>
      </c>
      <c r="AG119" s="1187" t="s">
        <v>55</v>
      </c>
      <c r="AH119" s="1187" t="s">
        <v>55</v>
      </c>
      <c r="AI119" s="909" t="s">
        <v>55</v>
      </c>
      <c r="AJ119" s="633">
        <f t="shared" si="22"/>
        <v>27</v>
      </c>
      <c r="AK119" s="634">
        <f t="shared" si="23"/>
        <v>4</v>
      </c>
      <c r="AL119" s="633">
        <f t="shared" si="24"/>
        <v>0</v>
      </c>
      <c r="AM119" s="633">
        <f t="shared" si="25"/>
        <v>0</v>
      </c>
      <c r="AN119" s="633">
        <f t="shared" si="26"/>
        <v>0</v>
      </c>
      <c r="AO119" s="634">
        <f t="shared" si="27"/>
        <v>0</v>
      </c>
      <c r="AP119" s="635">
        <f t="shared" si="28"/>
        <v>31</v>
      </c>
      <c r="AQ119" s="535"/>
      <c r="AR119" s="174"/>
      <c r="AS119" s="172" t="str">
        <f>VLOOKUP(C120,'[1]NT 2'!$C$2:$J$259,8,0)</f>
        <v>03613</v>
      </c>
      <c r="AT119" s="575">
        <f t="shared" si="21"/>
        <v>0</v>
      </c>
    </row>
    <row r="120" spans="1:46" ht="24.75" customHeight="1">
      <c r="A120" s="1189">
        <v>103</v>
      </c>
      <c r="B120" s="636">
        <v>27</v>
      </c>
      <c r="C120" s="502" t="s">
        <v>279</v>
      </c>
      <c r="D120" s="13" t="str">
        <f>VLOOKUP(C120,'[1]NT 2'!$C$2:$J$259,8,0)</f>
        <v>03613</v>
      </c>
      <c r="E120" s="1187" t="s">
        <v>55</v>
      </c>
      <c r="F120" s="1187" t="s">
        <v>55</v>
      </c>
      <c r="G120" s="1187"/>
      <c r="H120" s="1187" t="s">
        <v>118</v>
      </c>
      <c r="I120" s="1187"/>
      <c r="J120" s="1187"/>
      <c r="K120" s="1187"/>
      <c r="L120" s="1187"/>
      <c r="M120" s="1187" t="s">
        <v>55</v>
      </c>
      <c r="N120" s="1187" t="s">
        <v>55</v>
      </c>
      <c r="O120" s="1187"/>
      <c r="P120" s="1187"/>
      <c r="Q120" s="1187"/>
      <c r="R120" s="1187" t="s">
        <v>55</v>
      </c>
      <c r="S120" s="1187"/>
      <c r="T120" s="1187" t="s">
        <v>55</v>
      </c>
      <c r="U120" s="1187" t="s">
        <v>55</v>
      </c>
      <c r="V120" s="1187" t="s">
        <v>118</v>
      </c>
      <c r="W120" s="1187"/>
      <c r="X120" s="1187" t="s">
        <v>55</v>
      </c>
      <c r="Y120" s="1187" t="s">
        <v>55</v>
      </c>
      <c r="Z120" s="1187"/>
      <c r="AA120" s="1187" t="s">
        <v>55</v>
      </c>
      <c r="AB120" s="1187" t="s">
        <v>55</v>
      </c>
      <c r="AC120" s="1187" t="s">
        <v>118</v>
      </c>
      <c r="AD120" s="1187" t="s">
        <v>55</v>
      </c>
      <c r="AE120" s="1187" t="s">
        <v>55</v>
      </c>
      <c r="AF120" s="1187" t="s">
        <v>55</v>
      </c>
      <c r="AG120" s="1187" t="s">
        <v>55</v>
      </c>
      <c r="AH120" s="1187" t="s">
        <v>55</v>
      </c>
      <c r="AI120" s="909" t="s">
        <v>55</v>
      </c>
      <c r="AJ120" s="633">
        <f t="shared" si="22"/>
        <v>17</v>
      </c>
      <c r="AK120" s="634">
        <f t="shared" si="23"/>
        <v>3</v>
      </c>
      <c r="AL120" s="633">
        <f t="shared" si="24"/>
        <v>0</v>
      </c>
      <c r="AM120" s="633">
        <f t="shared" si="25"/>
        <v>0</v>
      </c>
      <c r="AN120" s="633">
        <f t="shared" si="26"/>
        <v>0</v>
      </c>
      <c r="AO120" s="634">
        <f t="shared" si="27"/>
        <v>0</v>
      </c>
      <c r="AP120" s="635">
        <f t="shared" si="28"/>
        <v>20</v>
      </c>
      <c r="AQ120" s="535"/>
      <c r="AR120" s="174"/>
      <c r="AS120" s="172" t="e">
        <f>VLOOKUP(C121,'[1]NT 2'!$C$2:$J$259,8,0)</f>
        <v>#N/A</v>
      </c>
      <c r="AT120" s="575" t="e">
        <f t="shared" si="21"/>
        <v>#N/A</v>
      </c>
    </row>
    <row r="121" spans="1:46" ht="24.75" customHeight="1">
      <c r="A121" s="1189">
        <v>104</v>
      </c>
      <c r="B121" s="636">
        <v>28</v>
      </c>
      <c r="C121" s="502" t="s">
        <v>618</v>
      </c>
      <c r="D121" s="13" t="e">
        <f>VLOOKUP(C121,'[1]NT 2'!$C$2:$J$259,8,0)</f>
        <v>#N/A</v>
      </c>
      <c r="E121" s="1187" t="s">
        <v>55</v>
      </c>
      <c r="F121" s="1187" t="s">
        <v>55</v>
      </c>
      <c r="G121" s="1187" t="s">
        <v>55</v>
      </c>
      <c r="H121" s="1187" t="s">
        <v>118</v>
      </c>
      <c r="I121" s="1187" t="s">
        <v>55</v>
      </c>
      <c r="J121" s="1187" t="s">
        <v>55</v>
      </c>
      <c r="K121" s="1187" t="s">
        <v>55</v>
      </c>
      <c r="L121" s="1187" t="s">
        <v>55</v>
      </c>
      <c r="M121" s="1187" t="s">
        <v>55</v>
      </c>
      <c r="N121" s="1187" t="s">
        <v>55</v>
      </c>
      <c r="O121" s="1187" t="s">
        <v>118</v>
      </c>
      <c r="P121" s="1187" t="s">
        <v>55</v>
      </c>
      <c r="Q121" s="1187" t="s">
        <v>55</v>
      </c>
      <c r="R121" s="1187" t="s">
        <v>55</v>
      </c>
      <c r="S121" s="1187" t="s">
        <v>55</v>
      </c>
      <c r="T121" s="1187" t="s">
        <v>55</v>
      </c>
      <c r="U121" s="1187" t="s">
        <v>55</v>
      </c>
      <c r="V121" s="1187" t="s">
        <v>118</v>
      </c>
      <c r="W121" s="1187" t="s">
        <v>55</v>
      </c>
      <c r="X121" s="1187" t="s">
        <v>55</v>
      </c>
      <c r="Y121" s="1187" t="s">
        <v>55</v>
      </c>
      <c r="Z121" s="1187" t="s">
        <v>55</v>
      </c>
      <c r="AA121" s="1187" t="s">
        <v>55</v>
      </c>
      <c r="AB121" s="1187" t="s">
        <v>55</v>
      </c>
      <c r="AC121" s="1187" t="s">
        <v>118</v>
      </c>
      <c r="AD121" s="1187" t="s">
        <v>55</v>
      </c>
      <c r="AE121" s="1187" t="s">
        <v>55</v>
      </c>
      <c r="AF121" s="1187" t="s">
        <v>55</v>
      </c>
      <c r="AG121" s="1187" t="s">
        <v>55</v>
      </c>
      <c r="AH121" s="1187" t="s">
        <v>55</v>
      </c>
      <c r="AI121" s="909" t="s">
        <v>55</v>
      </c>
      <c r="AJ121" s="633">
        <f t="shared" si="22"/>
        <v>27</v>
      </c>
      <c r="AK121" s="634">
        <f t="shared" si="23"/>
        <v>4</v>
      </c>
      <c r="AL121" s="633">
        <f t="shared" si="24"/>
        <v>0</v>
      </c>
      <c r="AM121" s="633">
        <f t="shared" si="25"/>
        <v>0</v>
      </c>
      <c r="AN121" s="633">
        <f t="shared" si="26"/>
        <v>0</v>
      </c>
      <c r="AO121" s="634">
        <f t="shared" si="27"/>
        <v>0</v>
      </c>
      <c r="AP121" s="635">
        <f t="shared" si="28"/>
        <v>31</v>
      </c>
      <c r="AQ121" s="535"/>
      <c r="AR121" s="174"/>
      <c r="AS121" s="172" t="str">
        <f>VLOOKUP(C122,'[1]NT 2'!$C$2:$J$259,8,0)</f>
        <v>03615</v>
      </c>
      <c r="AT121" s="575">
        <f t="shared" si="21"/>
        <v>0</v>
      </c>
    </row>
    <row r="122" spans="1:46" ht="24.75" customHeight="1">
      <c r="A122" s="1189">
        <v>105</v>
      </c>
      <c r="B122" s="636">
        <v>29</v>
      </c>
      <c r="C122" s="500" t="s">
        <v>338</v>
      </c>
      <c r="D122" s="13" t="str">
        <f>VLOOKUP(C122,'[1]NT 2'!$C$2:$J$259,8,0)</f>
        <v>03615</v>
      </c>
      <c r="E122" s="1187" t="s">
        <v>55</v>
      </c>
      <c r="F122" s="1187" t="s">
        <v>55</v>
      </c>
      <c r="G122" s="1187"/>
      <c r="H122" s="1187"/>
      <c r="I122" s="1187" t="s">
        <v>55</v>
      </c>
      <c r="J122" s="1187" t="s">
        <v>55</v>
      </c>
      <c r="K122" s="1187" t="s">
        <v>55</v>
      </c>
      <c r="L122" s="1187" t="s">
        <v>55</v>
      </c>
      <c r="M122" s="1187" t="s">
        <v>55</v>
      </c>
      <c r="N122" s="1187"/>
      <c r="O122" s="1187" t="s">
        <v>118</v>
      </c>
      <c r="P122" s="1187" t="s">
        <v>55</v>
      </c>
      <c r="Q122" s="1187" t="s">
        <v>55</v>
      </c>
      <c r="R122" s="1187" t="s">
        <v>55</v>
      </c>
      <c r="S122" s="1187" t="s">
        <v>55</v>
      </c>
      <c r="T122" s="1187" t="s">
        <v>55</v>
      </c>
      <c r="U122" s="1187" t="s">
        <v>55</v>
      </c>
      <c r="V122" s="1187" t="s">
        <v>678</v>
      </c>
      <c r="W122" s="1187" t="s">
        <v>678</v>
      </c>
      <c r="X122" s="1187" t="s">
        <v>55</v>
      </c>
      <c r="Y122" s="1187" t="s">
        <v>55</v>
      </c>
      <c r="Z122" s="1187" t="s">
        <v>55</v>
      </c>
      <c r="AA122" s="1187" t="s">
        <v>55</v>
      </c>
      <c r="AB122" s="1187" t="s">
        <v>678</v>
      </c>
      <c r="AC122" s="1187"/>
      <c r="AD122" s="1187" t="s">
        <v>678</v>
      </c>
      <c r="AE122" s="1187" t="s">
        <v>678</v>
      </c>
      <c r="AF122" s="1187" t="s">
        <v>678</v>
      </c>
      <c r="AG122" s="1187" t="s">
        <v>55</v>
      </c>
      <c r="AH122" s="1187" t="s">
        <v>55</v>
      </c>
      <c r="AI122" s="909" t="s">
        <v>55</v>
      </c>
      <c r="AJ122" s="633">
        <f t="shared" si="22"/>
        <v>20</v>
      </c>
      <c r="AK122" s="634">
        <f t="shared" si="23"/>
        <v>1</v>
      </c>
      <c r="AL122" s="633">
        <f t="shared" si="24"/>
        <v>0</v>
      </c>
      <c r="AM122" s="633">
        <f t="shared" si="25"/>
        <v>0</v>
      </c>
      <c r="AN122" s="633">
        <f t="shared" si="26"/>
        <v>0</v>
      </c>
      <c r="AO122" s="634">
        <f t="shared" si="27"/>
        <v>0</v>
      </c>
      <c r="AP122" s="635">
        <f t="shared" si="28"/>
        <v>21</v>
      </c>
      <c r="AQ122" s="535"/>
      <c r="AR122" s="174"/>
      <c r="AS122" s="172" t="str">
        <f>VLOOKUP(C123,'[1]NT 2'!$C$2:$J$259,8,0)</f>
        <v>03616</v>
      </c>
      <c r="AT122" s="575">
        <f t="shared" si="21"/>
        <v>0</v>
      </c>
    </row>
    <row r="123" spans="1:46" ht="24.75" customHeight="1">
      <c r="A123" s="1189">
        <v>106</v>
      </c>
      <c r="B123" s="636">
        <v>30</v>
      </c>
      <c r="C123" s="502" t="s">
        <v>255</v>
      </c>
      <c r="D123" s="13" t="str">
        <f>VLOOKUP(C123,'[1]NT 2'!$C$2:$J$259,8,0)</f>
        <v>03616</v>
      </c>
      <c r="E123" s="1187" t="s">
        <v>55</v>
      </c>
      <c r="F123" s="1187" t="s">
        <v>55</v>
      </c>
      <c r="G123" s="1187"/>
      <c r="H123" s="1187" t="s">
        <v>118</v>
      </c>
      <c r="I123" s="1187"/>
      <c r="J123" s="1187"/>
      <c r="K123" s="1187"/>
      <c r="L123" s="1187"/>
      <c r="M123" s="1187" t="s">
        <v>55</v>
      </c>
      <c r="N123" s="1187" t="s">
        <v>55</v>
      </c>
      <c r="O123" s="1187"/>
      <c r="P123" s="1187"/>
      <c r="Q123" s="1187"/>
      <c r="R123" s="1187" t="s">
        <v>55</v>
      </c>
      <c r="S123" s="1187"/>
      <c r="T123" s="1187" t="s">
        <v>55</v>
      </c>
      <c r="U123" s="1187" t="s">
        <v>55</v>
      </c>
      <c r="V123" s="1187" t="s">
        <v>118</v>
      </c>
      <c r="W123" s="1187"/>
      <c r="X123" s="1187" t="s">
        <v>55</v>
      </c>
      <c r="Y123" s="1187" t="s">
        <v>55</v>
      </c>
      <c r="Z123" s="1187"/>
      <c r="AA123" s="1187" t="s">
        <v>55</v>
      </c>
      <c r="AB123" s="1187" t="s">
        <v>55</v>
      </c>
      <c r="AC123" s="1187" t="s">
        <v>118</v>
      </c>
      <c r="AD123" s="1187" t="s">
        <v>55</v>
      </c>
      <c r="AE123" s="1187" t="s">
        <v>55</v>
      </c>
      <c r="AF123" s="1187" t="s">
        <v>55</v>
      </c>
      <c r="AG123" s="1187" t="s">
        <v>55</v>
      </c>
      <c r="AH123" s="1187" t="s">
        <v>55</v>
      </c>
      <c r="AI123" s="909" t="s">
        <v>55</v>
      </c>
      <c r="AJ123" s="633">
        <f t="shared" si="22"/>
        <v>17</v>
      </c>
      <c r="AK123" s="634">
        <f t="shared" si="23"/>
        <v>3</v>
      </c>
      <c r="AL123" s="633">
        <f t="shared" si="24"/>
        <v>0</v>
      </c>
      <c r="AM123" s="633">
        <f t="shared" si="25"/>
        <v>0</v>
      </c>
      <c r="AN123" s="633">
        <f t="shared" si="26"/>
        <v>0</v>
      </c>
      <c r="AO123" s="634">
        <f t="shared" si="27"/>
        <v>0</v>
      </c>
      <c r="AP123" s="635">
        <f t="shared" si="28"/>
        <v>20</v>
      </c>
      <c r="AQ123" s="535"/>
      <c r="AR123" s="174"/>
      <c r="AS123" s="172" t="str">
        <f>VLOOKUP(C124,'[1]NT 2'!$C$2:$J$259,8,0)</f>
        <v>03617</v>
      </c>
      <c r="AT123" s="575">
        <f t="shared" si="21"/>
        <v>0</v>
      </c>
    </row>
    <row r="124" spans="1:46" ht="24.75" customHeight="1">
      <c r="A124" s="1189">
        <v>107</v>
      </c>
      <c r="B124" s="636">
        <v>31</v>
      </c>
      <c r="C124" s="502" t="s">
        <v>339</v>
      </c>
      <c r="D124" s="13" t="str">
        <f>VLOOKUP(C124,'[1]NT 2'!$C$2:$J$259,8,0)</f>
        <v>03617</v>
      </c>
      <c r="E124" s="1187" t="s">
        <v>55</v>
      </c>
      <c r="F124" s="1187" t="s">
        <v>55</v>
      </c>
      <c r="G124" s="1187" t="s">
        <v>55</v>
      </c>
      <c r="H124" s="1187" t="s">
        <v>118</v>
      </c>
      <c r="I124" s="1187" t="s">
        <v>55</v>
      </c>
      <c r="J124" s="1187" t="s">
        <v>55</v>
      </c>
      <c r="K124" s="1187" t="s">
        <v>55</v>
      </c>
      <c r="L124" s="1187" t="s">
        <v>55</v>
      </c>
      <c r="M124" s="1187" t="s">
        <v>55</v>
      </c>
      <c r="N124" s="1187" t="s">
        <v>55</v>
      </c>
      <c r="O124" s="1187" t="s">
        <v>118</v>
      </c>
      <c r="P124" s="1187" t="s">
        <v>55</v>
      </c>
      <c r="Q124" s="1187" t="s">
        <v>55</v>
      </c>
      <c r="R124" s="1187" t="s">
        <v>55</v>
      </c>
      <c r="S124" s="1187" t="s">
        <v>55</v>
      </c>
      <c r="T124" s="1187" t="s">
        <v>55</v>
      </c>
      <c r="U124" s="1187" t="s">
        <v>55</v>
      </c>
      <c r="V124" s="1187" t="s">
        <v>118</v>
      </c>
      <c r="W124" s="1187" t="s">
        <v>55</v>
      </c>
      <c r="X124" s="1187" t="s">
        <v>55</v>
      </c>
      <c r="Y124" s="1187" t="s">
        <v>55</v>
      </c>
      <c r="Z124" s="1187" t="s">
        <v>55</v>
      </c>
      <c r="AA124" s="1187" t="s">
        <v>55</v>
      </c>
      <c r="AB124" s="1187" t="s">
        <v>55</v>
      </c>
      <c r="AC124" s="1187" t="s">
        <v>118</v>
      </c>
      <c r="AD124" s="1187" t="s">
        <v>55</v>
      </c>
      <c r="AE124" s="1187" t="s">
        <v>55</v>
      </c>
      <c r="AF124" s="1187" t="s">
        <v>55</v>
      </c>
      <c r="AG124" s="1187" t="s">
        <v>55</v>
      </c>
      <c r="AH124" s="1187" t="s">
        <v>55</v>
      </c>
      <c r="AI124" s="909" t="s">
        <v>55</v>
      </c>
      <c r="AJ124" s="633">
        <f t="shared" si="22"/>
        <v>27</v>
      </c>
      <c r="AK124" s="634">
        <f t="shared" si="23"/>
        <v>4</v>
      </c>
      <c r="AL124" s="633">
        <f t="shared" si="24"/>
        <v>0</v>
      </c>
      <c r="AM124" s="633">
        <f t="shared" si="25"/>
        <v>0</v>
      </c>
      <c r="AN124" s="633">
        <f t="shared" si="26"/>
        <v>0</v>
      </c>
      <c r="AO124" s="634">
        <f t="shared" si="27"/>
        <v>0</v>
      </c>
      <c r="AP124" s="635">
        <f t="shared" si="28"/>
        <v>31</v>
      </c>
      <c r="AQ124" s="535"/>
      <c r="AR124" s="174"/>
      <c r="AS124" s="172" t="str">
        <f>VLOOKUP(C125,'[1]NT 2'!$C$2:$J$259,8,0)</f>
        <v>03618</v>
      </c>
      <c r="AT124" s="575">
        <f t="shared" si="21"/>
        <v>0</v>
      </c>
    </row>
    <row r="125" spans="1:46" ht="24.75" customHeight="1">
      <c r="A125" s="1189">
        <v>108</v>
      </c>
      <c r="B125" s="636">
        <v>32</v>
      </c>
      <c r="C125" s="502" t="s">
        <v>261</v>
      </c>
      <c r="D125" s="13" t="str">
        <f>VLOOKUP(C125,'[1]NT 2'!$C$2:$J$259,8,0)</f>
        <v>03618</v>
      </c>
      <c r="E125" s="1187" t="s">
        <v>55</v>
      </c>
      <c r="F125" s="1187"/>
      <c r="G125" s="1187"/>
      <c r="H125" s="1187" t="s">
        <v>118</v>
      </c>
      <c r="I125" s="1187" t="s">
        <v>55</v>
      </c>
      <c r="J125" s="1187" t="s">
        <v>55</v>
      </c>
      <c r="K125" s="1187" t="s">
        <v>55</v>
      </c>
      <c r="L125" s="1187" t="s">
        <v>55</v>
      </c>
      <c r="M125" s="1187" t="s">
        <v>55</v>
      </c>
      <c r="N125" s="1187" t="s">
        <v>55</v>
      </c>
      <c r="O125" s="1187" t="s">
        <v>118</v>
      </c>
      <c r="P125" s="1187" t="s">
        <v>55</v>
      </c>
      <c r="Q125" s="1187" t="s">
        <v>55</v>
      </c>
      <c r="R125" s="1187" t="s">
        <v>55</v>
      </c>
      <c r="S125" s="1187" t="s">
        <v>55</v>
      </c>
      <c r="T125" s="1187" t="s">
        <v>55</v>
      </c>
      <c r="U125" s="1187" t="s">
        <v>55</v>
      </c>
      <c r="V125" s="1187" t="s">
        <v>118</v>
      </c>
      <c r="W125" s="1187" t="s">
        <v>55</v>
      </c>
      <c r="X125" s="1187" t="s">
        <v>55</v>
      </c>
      <c r="Y125" s="1187" t="s">
        <v>55</v>
      </c>
      <c r="Z125" s="1187" t="s">
        <v>55</v>
      </c>
      <c r="AA125" s="1187" t="s">
        <v>55</v>
      </c>
      <c r="AB125" s="1187" t="s">
        <v>55</v>
      </c>
      <c r="AC125" s="1187" t="s">
        <v>118</v>
      </c>
      <c r="AD125" s="1187" t="s">
        <v>55</v>
      </c>
      <c r="AE125" s="1187" t="s">
        <v>55</v>
      </c>
      <c r="AF125" s="1187" t="s">
        <v>55</v>
      </c>
      <c r="AG125" s="1187" t="s">
        <v>55</v>
      </c>
      <c r="AH125" s="1187" t="s">
        <v>55</v>
      </c>
      <c r="AI125" s="909" t="s">
        <v>55</v>
      </c>
      <c r="AJ125" s="633">
        <f t="shared" si="22"/>
        <v>25</v>
      </c>
      <c r="AK125" s="634">
        <f t="shared" si="23"/>
        <v>4</v>
      </c>
      <c r="AL125" s="633">
        <f t="shared" si="24"/>
        <v>0</v>
      </c>
      <c r="AM125" s="633">
        <f t="shared" si="25"/>
        <v>0</v>
      </c>
      <c r="AN125" s="633">
        <f t="shared" si="26"/>
        <v>0</v>
      </c>
      <c r="AO125" s="634">
        <f t="shared" si="27"/>
        <v>0</v>
      </c>
      <c r="AP125" s="635">
        <f t="shared" si="28"/>
        <v>29</v>
      </c>
      <c r="AQ125" s="535"/>
      <c r="AR125" s="174"/>
      <c r="AS125" s="172" t="str">
        <f>VLOOKUP(C126,'[1]NT 2'!$C$2:$J$259,8,0)</f>
        <v>03619</v>
      </c>
      <c r="AT125" s="575">
        <f t="shared" si="21"/>
        <v>0</v>
      </c>
    </row>
    <row r="126" spans="1:46" ht="24.75" customHeight="1">
      <c r="A126" s="1189">
        <v>109</v>
      </c>
      <c r="B126" s="636">
        <v>33</v>
      </c>
      <c r="C126" s="502" t="s">
        <v>273</v>
      </c>
      <c r="D126" s="13" t="str">
        <f>VLOOKUP(C126,'[1]NT 2'!$C$2:$J$259,8,0)</f>
        <v>03619</v>
      </c>
      <c r="E126" s="1187" t="s">
        <v>55</v>
      </c>
      <c r="F126" s="1187" t="s">
        <v>55</v>
      </c>
      <c r="G126" s="1187" t="s">
        <v>55</v>
      </c>
      <c r="H126" s="1187" t="s">
        <v>118</v>
      </c>
      <c r="I126" s="1187" t="s">
        <v>55</v>
      </c>
      <c r="J126" s="1187" t="s">
        <v>55</v>
      </c>
      <c r="K126" s="1187" t="s">
        <v>55</v>
      </c>
      <c r="L126" s="1187" t="s">
        <v>55</v>
      </c>
      <c r="M126" s="1187" t="s">
        <v>55</v>
      </c>
      <c r="N126" s="1187" t="s">
        <v>55</v>
      </c>
      <c r="O126" s="1187" t="s">
        <v>118</v>
      </c>
      <c r="P126" s="1187" t="s">
        <v>55</v>
      </c>
      <c r="Q126" s="1187" t="s">
        <v>55</v>
      </c>
      <c r="R126" s="1187" t="s">
        <v>55</v>
      </c>
      <c r="S126" s="1187" t="s">
        <v>55</v>
      </c>
      <c r="T126" s="1187" t="s">
        <v>678</v>
      </c>
      <c r="U126" s="1187" t="s">
        <v>55</v>
      </c>
      <c r="V126" s="1187" t="s">
        <v>678</v>
      </c>
      <c r="W126" s="1187" t="s">
        <v>678</v>
      </c>
      <c r="X126" s="1187" t="s">
        <v>55</v>
      </c>
      <c r="Y126" s="1187" t="s">
        <v>55</v>
      </c>
      <c r="Z126" s="1187" t="s">
        <v>55</v>
      </c>
      <c r="AA126" s="1187" t="s">
        <v>55</v>
      </c>
      <c r="AB126" s="1187" t="s">
        <v>55</v>
      </c>
      <c r="AC126" s="1187" t="s">
        <v>118</v>
      </c>
      <c r="AD126" s="1187" t="s">
        <v>55</v>
      </c>
      <c r="AE126" s="1187" t="s">
        <v>55</v>
      </c>
      <c r="AF126" s="1187" t="s">
        <v>55</v>
      </c>
      <c r="AG126" s="1187" t="s">
        <v>55</v>
      </c>
      <c r="AH126" s="1187" t="s">
        <v>55</v>
      </c>
      <c r="AI126" s="909" t="s">
        <v>55</v>
      </c>
      <c r="AJ126" s="633">
        <f t="shared" si="22"/>
        <v>25</v>
      </c>
      <c r="AK126" s="634">
        <f t="shared" si="23"/>
        <v>3</v>
      </c>
      <c r="AL126" s="633">
        <f t="shared" si="24"/>
        <v>0</v>
      </c>
      <c r="AM126" s="633">
        <f t="shared" si="25"/>
        <v>0</v>
      </c>
      <c r="AN126" s="633">
        <f t="shared" si="26"/>
        <v>0</v>
      </c>
      <c r="AO126" s="634">
        <f t="shared" si="27"/>
        <v>0</v>
      </c>
      <c r="AP126" s="635">
        <f t="shared" si="28"/>
        <v>28</v>
      </c>
      <c r="AQ126" s="535"/>
      <c r="AR126" s="174"/>
      <c r="AS126" s="172" t="str">
        <f>VLOOKUP(C127,'[1]NT 2'!$C$2:$J$259,8,0)</f>
        <v>03620</v>
      </c>
      <c r="AT126" s="575">
        <f t="shared" si="21"/>
        <v>0</v>
      </c>
    </row>
    <row r="127" spans="1:46" ht="24.75" customHeight="1">
      <c r="A127" s="1189">
        <v>110</v>
      </c>
      <c r="B127" s="636">
        <v>34</v>
      </c>
      <c r="C127" s="502" t="s">
        <v>340</v>
      </c>
      <c r="D127" s="13" t="str">
        <f>VLOOKUP(C127,'[1]NT 2'!$C$2:$J$259,8,0)</f>
        <v>03620</v>
      </c>
      <c r="E127" s="1187" t="s">
        <v>55</v>
      </c>
      <c r="F127" s="1187" t="s">
        <v>55</v>
      </c>
      <c r="G127" s="1187" t="s">
        <v>55</v>
      </c>
      <c r="H127" s="1187" t="s">
        <v>118</v>
      </c>
      <c r="I127" s="1187" t="s">
        <v>55</v>
      </c>
      <c r="J127" s="1187" t="s">
        <v>55</v>
      </c>
      <c r="K127" s="1187" t="s">
        <v>55</v>
      </c>
      <c r="L127" s="1187" t="s">
        <v>55</v>
      </c>
      <c r="M127" s="1187" t="s">
        <v>55</v>
      </c>
      <c r="N127" s="1187" t="s">
        <v>55</v>
      </c>
      <c r="O127" s="1187" t="s">
        <v>118</v>
      </c>
      <c r="P127" s="1187" t="s">
        <v>55</v>
      </c>
      <c r="Q127" s="1187" t="s">
        <v>55</v>
      </c>
      <c r="R127" s="1187" t="s">
        <v>55</v>
      </c>
      <c r="S127" s="1187" t="s">
        <v>55</v>
      </c>
      <c r="T127" s="1187" t="s">
        <v>55</v>
      </c>
      <c r="U127" s="1187" t="s">
        <v>55</v>
      </c>
      <c r="V127" s="1187" t="s">
        <v>118</v>
      </c>
      <c r="W127" s="1187" t="s">
        <v>55</v>
      </c>
      <c r="X127" s="1187" t="s">
        <v>55</v>
      </c>
      <c r="Y127" s="1187" t="s">
        <v>55</v>
      </c>
      <c r="Z127" s="1187" t="s">
        <v>55</v>
      </c>
      <c r="AA127" s="1187" t="s">
        <v>55</v>
      </c>
      <c r="AB127" s="1187" t="s">
        <v>55</v>
      </c>
      <c r="AC127" s="1187" t="s">
        <v>118</v>
      </c>
      <c r="AD127" s="1187" t="s">
        <v>55</v>
      </c>
      <c r="AE127" s="1187" t="s">
        <v>55</v>
      </c>
      <c r="AF127" s="1187" t="s">
        <v>55</v>
      </c>
      <c r="AG127" s="1187" t="s">
        <v>55</v>
      </c>
      <c r="AH127" s="1187" t="s">
        <v>55</v>
      </c>
      <c r="AI127" s="909" t="s">
        <v>55</v>
      </c>
      <c r="AJ127" s="633">
        <f t="shared" si="22"/>
        <v>27</v>
      </c>
      <c r="AK127" s="634">
        <f t="shared" si="23"/>
        <v>4</v>
      </c>
      <c r="AL127" s="633">
        <f t="shared" si="24"/>
        <v>0</v>
      </c>
      <c r="AM127" s="633">
        <f t="shared" si="25"/>
        <v>0</v>
      </c>
      <c r="AN127" s="633">
        <f t="shared" si="26"/>
        <v>0</v>
      </c>
      <c r="AO127" s="634">
        <f t="shared" si="27"/>
        <v>0</v>
      </c>
      <c r="AP127" s="635">
        <f t="shared" si="28"/>
        <v>31</v>
      </c>
      <c r="AQ127" s="535"/>
      <c r="AR127" s="174"/>
      <c r="AS127" s="172" t="e">
        <f>VLOOKUP(C128,'[1]NT 2'!$C$2:$J$259,8,0)</f>
        <v>#N/A</v>
      </c>
      <c r="AT127" s="575" t="e">
        <f t="shared" si="21"/>
        <v>#N/A</v>
      </c>
    </row>
    <row r="128" spans="1:46" ht="24.75" customHeight="1">
      <c r="A128" s="1189">
        <v>111</v>
      </c>
      <c r="B128" s="636">
        <v>35</v>
      </c>
      <c r="C128" s="502" t="s">
        <v>619</v>
      </c>
      <c r="D128" s="13" t="e">
        <f>VLOOKUP(C128,'[1]NT 2'!$C$2:$J$259,8,0)</f>
        <v>#N/A</v>
      </c>
      <c r="E128" s="1187" t="s">
        <v>55</v>
      </c>
      <c r="F128" s="1187" t="s">
        <v>55</v>
      </c>
      <c r="G128" s="1187" t="s">
        <v>55</v>
      </c>
      <c r="H128" s="1187" t="s">
        <v>118</v>
      </c>
      <c r="I128" s="1187" t="s">
        <v>55</v>
      </c>
      <c r="J128" s="1187" t="s">
        <v>55</v>
      </c>
      <c r="K128" s="1187" t="s">
        <v>55</v>
      </c>
      <c r="L128" s="1187" t="s">
        <v>55</v>
      </c>
      <c r="M128" s="1187" t="s">
        <v>55</v>
      </c>
      <c r="N128" s="1187" t="s">
        <v>55</v>
      </c>
      <c r="O128" s="1187" t="s">
        <v>118</v>
      </c>
      <c r="P128" s="1187" t="s">
        <v>55</v>
      </c>
      <c r="Q128" s="1187" t="s">
        <v>55</v>
      </c>
      <c r="R128" s="1187" t="s">
        <v>55</v>
      </c>
      <c r="S128" s="1187" t="s">
        <v>55</v>
      </c>
      <c r="T128" s="1187" t="s">
        <v>55</v>
      </c>
      <c r="U128" s="1187" t="s">
        <v>55</v>
      </c>
      <c r="V128" s="1187" t="s">
        <v>118</v>
      </c>
      <c r="W128" s="1187" t="s">
        <v>55</v>
      </c>
      <c r="X128" s="1187" t="s">
        <v>55</v>
      </c>
      <c r="Y128" s="1187" t="s">
        <v>55</v>
      </c>
      <c r="Z128" s="1187" t="s">
        <v>55</v>
      </c>
      <c r="AA128" s="1187" t="s">
        <v>55</v>
      </c>
      <c r="AB128" s="1187" t="s">
        <v>55</v>
      </c>
      <c r="AC128" s="1187" t="s">
        <v>118</v>
      </c>
      <c r="AD128" s="1187" t="s">
        <v>55</v>
      </c>
      <c r="AE128" s="1187" t="s">
        <v>55</v>
      </c>
      <c r="AF128" s="1187" t="s">
        <v>55</v>
      </c>
      <c r="AG128" s="1187" t="s">
        <v>55</v>
      </c>
      <c r="AH128" s="1187" t="s">
        <v>55</v>
      </c>
      <c r="AI128" s="909" t="s">
        <v>55</v>
      </c>
      <c r="AJ128" s="633">
        <f t="shared" si="22"/>
        <v>27</v>
      </c>
      <c r="AK128" s="634">
        <f t="shared" si="23"/>
        <v>4</v>
      </c>
      <c r="AL128" s="633">
        <f t="shared" si="24"/>
        <v>0</v>
      </c>
      <c r="AM128" s="633">
        <f t="shared" si="25"/>
        <v>0</v>
      </c>
      <c r="AN128" s="633">
        <f t="shared" si="26"/>
        <v>0</v>
      </c>
      <c r="AO128" s="634">
        <f t="shared" si="27"/>
        <v>0</v>
      </c>
      <c r="AP128" s="635">
        <f t="shared" si="28"/>
        <v>31</v>
      </c>
      <c r="AQ128" s="535"/>
      <c r="AR128" s="174"/>
      <c r="AS128" s="172" t="str">
        <f>VLOOKUP(C129,'[1]NT 2'!$C$2:$J$259,8,0)</f>
        <v>03622</v>
      </c>
      <c r="AT128" s="575">
        <f t="shared" si="21"/>
        <v>0</v>
      </c>
    </row>
    <row r="129" spans="1:46" ht="24.75" customHeight="1">
      <c r="A129" s="1189">
        <v>112</v>
      </c>
      <c r="B129" s="636">
        <v>36</v>
      </c>
      <c r="C129" s="502" t="s">
        <v>341</v>
      </c>
      <c r="D129" s="13" t="str">
        <f>VLOOKUP(C129,'[1]NT 2'!$C$2:$J$259,8,0)</f>
        <v>03622</v>
      </c>
      <c r="E129" s="1187"/>
      <c r="F129" s="1187"/>
      <c r="G129" s="1187"/>
      <c r="H129" s="1187"/>
      <c r="I129" s="1187"/>
      <c r="J129" s="1187"/>
      <c r="K129" s="1187"/>
      <c r="L129" s="1187" t="s">
        <v>55</v>
      </c>
      <c r="M129" s="1187" t="s">
        <v>55</v>
      </c>
      <c r="N129" s="1187" t="s">
        <v>55</v>
      </c>
      <c r="O129" s="1187"/>
      <c r="P129" s="1187"/>
      <c r="Q129" s="1187" t="s">
        <v>55</v>
      </c>
      <c r="R129" s="1187" t="s">
        <v>55</v>
      </c>
      <c r="S129" s="1187" t="s">
        <v>55</v>
      </c>
      <c r="T129" s="1187" t="s">
        <v>55</v>
      </c>
      <c r="U129" s="1187" t="s">
        <v>55</v>
      </c>
      <c r="V129" s="1187" t="s">
        <v>118</v>
      </c>
      <c r="W129" s="1187" t="s">
        <v>55</v>
      </c>
      <c r="X129" s="1187" t="s">
        <v>55</v>
      </c>
      <c r="Y129" s="1187" t="s">
        <v>55</v>
      </c>
      <c r="Z129" s="1187" t="s">
        <v>55</v>
      </c>
      <c r="AA129" s="1187" t="s">
        <v>55</v>
      </c>
      <c r="AB129" s="1187" t="s">
        <v>55</v>
      </c>
      <c r="AC129" s="1187" t="s">
        <v>118</v>
      </c>
      <c r="AD129" s="1187" t="s">
        <v>55</v>
      </c>
      <c r="AE129" s="1187" t="s">
        <v>55</v>
      </c>
      <c r="AF129" s="1187" t="s">
        <v>55</v>
      </c>
      <c r="AG129" s="1187" t="s">
        <v>55</v>
      </c>
      <c r="AH129" s="1187" t="s">
        <v>55</v>
      </c>
      <c r="AI129" s="909" t="s">
        <v>55</v>
      </c>
      <c r="AJ129" s="633">
        <f t="shared" si="22"/>
        <v>20</v>
      </c>
      <c r="AK129" s="634">
        <f t="shared" si="23"/>
        <v>2</v>
      </c>
      <c r="AL129" s="633">
        <f t="shared" si="24"/>
        <v>0</v>
      </c>
      <c r="AM129" s="633">
        <f t="shared" si="25"/>
        <v>0</v>
      </c>
      <c r="AN129" s="633">
        <f t="shared" si="26"/>
        <v>0</v>
      </c>
      <c r="AO129" s="634">
        <f t="shared" si="27"/>
        <v>0</v>
      </c>
      <c r="AP129" s="635">
        <f t="shared" si="28"/>
        <v>22</v>
      </c>
      <c r="AQ129" s="535"/>
      <c r="AR129" s="174"/>
      <c r="AS129" s="172" t="str">
        <f>VLOOKUP(C130,'[1]NT 2'!$C$2:$J$259,8,0)</f>
        <v>03623</v>
      </c>
      <c r="AT129" s="575">
        <f t="shared" si="21"/>
        <v>0</v>
      </c>
    </row>
    <row r="130" spans="1:46" ht="24.75" customHeight="1">
      <c r="A130" s="1189">
        <v>113</v>
      </c>
      <c r="B130" s="636">
        <v>37</v>
      </c>
      <c r="C130" s="502" t="s">
        <v>262</v>
      </c>
      <c r="D130" s="13" t="str">
        <f>VLOOKUP(C130,'[1]NT 2'!$C$2:$J$259,8,0)</f>
        <v>03623</v>
      </c>
      <c r="E130" s="1187" t="s">
        <v>55</v>
      </c>
      <c r="F130" s="1187" t="s">
        <v>55</v>
      </c>
      <c r="G130" s="1187" t="s">
        <v>55</v>
      </c>
      <c r="H130" s="1187" t="s">
        <v>118</v>
      </c>
      <c r="I130" s="1187" t="s">
        <v>55</v>
      </c>
      <c r="J130" s="1187" t="s">
        <v>55</v>
      </c>
      <c r="K130" s="1187" t="s">
        <v>55</v>
      </c>
      <c r="L130" s="1187" t="s">
        <v>55</v>
      </c>
      <c r="M130" s="1187" t="s">
        <v>55</v>
      </c>
      <c r="N130" s="1187" t="s">
        <v>55</v>
      </c>
      <c r="O130" s="1187" t="s">
        <v>118</v>
      </c>
      <c r="P130" s="1187" t="s">
        <v>55</v>
      </c>
      <c r="Q130" s="1187" t="s">
        <v>55</v>
      </c>
      <c r="R130" s="1187" t="s">
        <v>55</v>
      </c>
      <c r="S130" s="1187" t="s">
        <v>55</v>
      </c>
      <c r="T130" s="1187" t="s">
        <v>55</v>
      </c>
      <c r="U130" s="1187" t="s">
        <v>55</v>
      </c>
      <c r="V130" s="1187" t="s">
        <v>118</v>
      </c>
      <c r="W130" s="1187" t="s">
        <v>55</v>
      </c>
      <c r="X130" s="1187" t="s">
        <v>55</v>
      </c>
      <c r="Y130" s="1187" t="s">
        <v>55</v>
      </c>
      <c r="Z130" s="1187" t="s">
        <v>55</v>
      </c>
      <c r="AA130" s="1187" t="s">
        <v>55</v>
      </c>
      <c r="AB130" s="1187" t="s">
        <v>55</v>
      </c>
      <c r="AC130" s="1187" t="s">
        <v>118</v>
      </c>
      <c r="AD130" s="1187" t="s">
        <v>55</v>
      </c>
      <c r="AE130" s="1187" t="s">
        <v>55</v>
      </c>
      <c r="AF130" s="1187" t="s">
        <v>55</v>
      </c>
      <c r="AG130" s="1187" t="s">
        <v>55</v>
      </c>
      <c r="AH130" s="1187" t="s">
        <v>55</v>
      </c>
      <c r="AI130" s="909" t="s">
        <v>55</v>
      </c>
      <c r="AJ130" s="633">
        <f t="shared" si="22"/>
        <v>27</v>
      </c>
      <c r="AK130" s="634">
        <f t="shared" si="23"/>
        <v>4</v>
      </c>
      <c r="AL130" s="633">
        <f t="shared" si="24"/>
        <v>0</v>
      </c>
      <c r="AM130" s="633">
        <f t="shared" si="25"/>
        <v>0</v>
      </c>
      <c r="AN130" s="633">
        <f t="shared" si="26"/>
        <v>0</v>
      </c>
      <c r="AO130" s="634">
        <f t="shared" si="27"/>
        <v>0</v>
      </c>
      <c r="AP130" s="635">
        <f t="shared" si="28"/>
        <v>31</v>
      </c>
      <c r="AQ130" s="535"/>
      <c r="AR130" s="174"/>
      <c r="AS130" s="172" t="str">
        <f>VLOOKUP(C131,'[1]NT 2'!$C$2:$J$259,8,0)</f>
        <v>03532</v>
      </c>
      <c r="AT130" s="575">
        <f t="shared" si="21"/>
        <v>0</v>
      </c>
    </row>
    <row r="131" spans="1:46" ht="24.75" customHeight="1">
      <c r="A131" s="1189">
        <v>114</v>
      </c>
      <c r="B131" s="636">
        <v>38</v>
      </c>
      <c r="C131" s="502" t="s">
        <v>337</v>
      </c>
      <c r="D131" s="13" t="str">
        <f>VLOOKUP(C131,'[1]NT 2'!$C$2:$J$259,8,0)</f>
        <v>03532</v>
      </c>
      <c r="E131" s="1187" t="s">
        <v>55</v>
      </c>
      <c r="F131" s="1187" t="s">
        <v>55</v>
      </c>
      <c r="G131" s="1187" t="s">
        <v>55</v>
      </c>
      <c r="H131" s="1187" t="s">
        <v>118</v>
      </c>
      <c r="I131" s="1187" t="s">
        <v>55</v>
      </c>
      <c r="J131" s="1187" t="s">
        <v>55</v>
      </c>
      <c r="K131" s="1187" t="s">
        <v>55</v>
      </c>
      <c r="L131" s="1187" t="s">
        <v>55</v>
      </c>
      <c r="M131" s="1187" t="s">
        <v>55</v>
      </c>
      <c r="N131" s="1187" t="s">
        <v>55</v>
      </c>
      <c r="O131" s="1187" t="s">
        <v>118</v>
      </c>
      <c r="P131" s="1187" t="s">
        <v>55</v>
      </c>
      <c r="Q131" s="1187" t="s">
        <v>55</v>
      </c>
      <c r="R131" s="1187" t="s">
        <v>55</v>
      </c>
      <c r="S131" s="1187" t="s">
        <v>55</v>
      </c>
      <c r="T131" s="1187" t="s">
        <v>55</v>
      </c>
      <c r="U131" s="1187" t="s">
        <v>55</v>
      </c>
      <c r="V131" s="1187" t="s">
        <v>118</v>
      </c>
      <c r="W131" s="1187" t="s">
        <v>55</v>
      </c>
      <c r="X131" s="1187" t="s">
        <v>55</v>
      </c>
      <c r="Y131" s="1187" t="s">
        <v>55</v>
      </c>
      <c r="Z131" s="1187" t="s">
        <v>55</v>
      </c>
      <c r="AA131" s="1187" t="s">
        <v>55</v>
      </c>
      <c r="AB131" s="1187" t="s">
        <v>55</v>
      </c>
      <c r="AC131" s="1187" t="s">
        <v>118</v>
      </c>
      <c r="AD131" s="1187" t="s">
        <v>55</v>
      </c>
      <c r="AE131" s="1187" t="s">
        <v>55</v>
      </c>
      <c r="AF131" s="1187" t="s">
        <v>55</v>
      </c>
      <c r="AG131" s="1187" t="s">
        <v>55</v>
      </c>
      <c r="AH131" s="1187" t="s">
        <v>55</v>
      </c>
      <c r="AI131" s="909" t="s">
        <v>55</v>
      </c>
      <c r="AJ131" s="633">
        <f t="shared" si="22"/>
        <v>27</v>
      </c>
      <c r="AK131" s="634">
        <f t="shared" si="23"/>
        <v>4</v>
      </c>
      <c r="AL131" s="633">
        <f t="shared" si="24"/>
        <v>0</v>
      </c>
      <c r="AM131" s="633">
        <f t="shared" si="25"/>
        <v>0</v>
      </c>
      <c r="AN131" s="633">
        <f t="shared" si="26"/>
        <v>0</v>
      </c>
      <c r="AO131" s="634">
        <f t="shared" si="27"/>
        <v>0</v>
      </c>
      <c r="AP131" s="635">
        <f t="shared" si="28"/>
        <v>31</v>
      </c>
      <c r="AQ131" s="535"/>
      <c r="AR131" s="174"/>
      <c r="AS131" s="172" t="str">
        <f>VLOOKUP(C132,'[1]NT 2'!$C$2:$J$259,8,0)</f>
        <v>03625</v>
      </c>
      <c r="AT131" s="575">
        <f t="shared" si="21"/>
        <v>0</v>
      </c>
    </row>
    <row r="132" spans="1:46" ht="24.75" customHeight="1">
      <c r="A132" s="1189">
        <v>115</v>
      </c>
      <c r="B132" s="636">
        <v>39</v>
      </c>
      <c r="C132" s="502" t="s">
        <v>263</v>
      </c>
      <c r="D132" s="13" t="str">
        <f>VLOOKUP(C132,'[1]NT 2'!$C$2:$J$259,8,0)</f>
        <v>03625</v>
      </c>
      <c r="E132" s="1187" t="s">
        <v>55</v>
      </c>
      <c r="F132" s="1187" t="s">
        <v>55</v>
      </c>
      <c r="G132" s="1187" t="s">
        <v>55</v>
      </c>
      <c r="H132" s="1187" t="s">
        <v>118</v>
      </c>
      <c r="I132" s="1187" t="s">
        <v>55</v>
      </c>
      <c r="J132" s="1187" t="s">
        <v>55</v>
      </c>
      <c r="K132" s="1187" t="s">
        <v>55</v>
      </c>
      <c r="L132" s="1187" t="s">
        <v>55</v>
      </c>
      <c r="M132" s="1187" t="s">
        <v>55</v>
      </c>
      <c r="N132" s="1187" t="s">
        <v>55</v>
      </c>
      <c r="O132" s="1187" t="s">
        <v>118</v>
      </c>
      <c r="P132" s="1187" t="s">
        <v>55</v>
      </c>
      <c r="Q132" s="1187" t="s">
        <v>55</v>
      </c>
      <c r="R132" s="1187" t="s">
        <v>55</v>
      </c>
      <c r="S132" s="1187" t="s">
        <v>55</v>
      </c>
      <c r="T132" s="1187" t="s">
        <v>55</v>
      </c>
      <c r="U132" s="1187" t="s">
        <v>55</v>
      </c>
      <c r="V132" s="1187" t="s">
        <v>118</v>
      </c>
      <c r="W132" s="1187" t="s">
        <v>55</v>
      </c>
      <c r="X132" s="1187" t="s">
        <v>55</v>
      </c>
      <c r="Y132" s="1187" t="s">
        <v>55</v>
      </c>
      <c r="Z132" s="1187" t="s">
        <v>55</v>
      </c>
      <c r="AA132" s="1187" t="s">
        <v>55</v>
      </c>
      <c r="AB132" s="1187" t="s">
        <v>55</v>
      </c>
      <c r="AC132" s="1187" t="s">
        <v>118</v>
      </c>
      <c r="AD132" s="1187" t="s">
        <v>55</v>
      </c>
      <c r="AE132" s="1187" t="s">
        <v>55</v>
      </c>
      <c r="AF132" s="1187" t="s">
        <v>55</v>
      </c>
      <c r="AG132" s="1187" t="s">
        <v>55</v>
      </c>
      <c r="AH132" s="1187" t="s">
        <v>55</v>
      </c>
      <c r="AI132" s="909" t="s">
        <v>55</v>
      </c>
      <c r="AJ132" s="633">
        <f t="shared" si="22"/>
        <v>27</v>
      </c>
      <c r="AK132" s="634">
        <f t="shared" si="23"/>
        <v>4</v>
      </c>
      <c r="AL132" s="633">
        <f t="shared" si="24"/>
        <v>0</v>
      </c>
      <c r="AM132" s="633">
        <f t="shared" si="25"/>
        <v>0</v>
      </c>
      <c r="AN132" s="633">
        <f t="shared" si="26"/>
        <v>0</v>
      </c>
      <c r="AO132" s="634">
        <f t="shared" si="27"/>
        <v>0</v>
      </c>
      <c r="AP132" s="635">
        <f t="shared" si="28"/>
        <v>31</v>
      </c>
      <c r="AQ132" s="535"/>
      <c r="AR132" s="174"/>
      <c r="AS132" s="172" t="str">
        <f>VLOOKUP(C133,'[1]NT 2'!$C$2:$J$259,8,0)</f>
        <v>03587</v>
      </c>
      <c r="AT132" s="575">
        <f t="shared" si="21"/>
        <v>0</v>
      </c>
    </row>
    <row r="133" spans="1:46" ht="24.75" customHeight="1">
      <c r="A133" s="1189">
        <v>116</v>
      </c>
      <c r="B133" s="636">
        <v>40</v>
      </c>
      <c r="C133" s="500" t="s">
        <v>206</v>
      </c>
      <c r="D133" s="13" t="str">
        <f>VLOOKUP(C133,'[1]NT 2'!$C$2:$J$259,8,0)</f>
        <v>03587</v>
      </c>
      <c r="E133" s="1187" t="s">
        <v>55</v>
      </c>
      <c r="F133" s="1187" t="s">
        <v>55</v>
      </c>
      <c r="G133" s="1187" t="s">
        <v>55</v>
      </c>
      <c r="H133" s="1187" t="s">
        <v>118</v>
      </c>
      <c r="I133" s="1187" t="s">
        <v>55</v>
      </c>
      <c r="J133" s="1187" t="s">
        <v>55</v>
      </c>
      <c r="K133" s="1187" t="s">
        <v>55</v>
      </c>
      <c r="L133" s="1187" t="s">
        <v>55</v>
      </c>
      <c r="M133" s="1187" t="s">
        <v>55</v>
      </c>
      <c r="N133" s="1187" t="s">
        <v>55</v>
      </c>
      <c r="O133" s="1187" t="s">
        <v>118</v>
      </c>
      <c r="P133" s="1187" t="s">
        <v>55</v>
      </c>
      <c r="Q133" s="1187" t="s">
        <v>55</v>
      </c>
      <c r="R133" s="1187" t="s">
        <v>55</v>
      </c>
      <c r="S133" s="1187" t="s">
        <v>55</v>
      </c>
      <c r="T133" s="1187" t="s">
        <v>55</v>
      </c>
      <c r="U133" s="1187" t="s">
        <v>55</v>
      </c>
      <c r="V133" s="1187" t="s">
        <v>118</v>
      </c>
      <c r="W133" s="1187" t="s">
        <v>55</v>
      </c>
      <c r="X133" s="1187" t="s">
        <v>55</v>
      </c>
      <c r="Y133" s="1187" t="s">
        <v>55</v>
      </c>
      <c r="Z133" s="1187" t="s">
        <v>55</v>
      </c>
      <c r="AA133" s="1187" t="s">
        <v>55</v>
      </c>
      <c r="AB133" s="1187" t="s">
        <v>55</v>
      </c>
      <c r="AC133" s="1187" t="s">
        <v>118</v>
      </c>
      <c r="AD133" s="1187" t="s">
        <v>55</v>
      </c>
      <c r="AE133" s="1187" t="s">
        <v>55</v>
      </c>
      <c r="AF133" s="1187" t="s">
        <v>55</v>
      </c>
      <c r="AG133" s="1187" t="s">
        <v>55</v>
      </c>
      <c r="AH133" s="1187" t="s">
        <v>55</v>
      </c>
      <c r="AI133" s="909" t="s">
        <v>55</v>
      </c>
      <c r="AJ133" s="633">
        <f t="shared" si="22"/>
        <v>27</v>
      </c>
      <c r="AK133" s="634">
        <f t="shared" si="23"/>
        <v>4</v>
      </c>
      <c r="AL133" s="633">
        <f t="shared" si="24"/>
        <v>0</v>
      </c>
      <c r="AM133" s="633">
        <f t="shared" si="25"/>
        <v>0</v>
      </c>
      <c r="AN133" s="633">
        <f t="shared" si="26"/>
        <v>0</v>
      </c>
      <c r="AO133" s="634">
        <f t="shared" si="27"/>
        <v>0</v>
      </c>
      <c r="AP133" s="635">
        <f t="shared" si="28"/>
        <v>31</v>
      </c>
      <c r="AQ133" s="535"/>
      <c r="AR133" s="174"/>
      <c r="AS133" s="172" t="e">
        <f>VLOOKUP(C134,'[1]NT 2'!$C$2:$J$259,8,0)</f>
        <v>#N/A</v>
      </c>
      <c r="AT133" s="575" t="e">
        <f t="shared" si="21"/>
        <v>#N/A</v>
      </c>
    </row>
    <row r="134" spans="1:46" ht="24.75" customHeight="1">
      <c r="A134" s="1189">
        <v>117</v>
      </c>
      <c r="B134" s="636">
        <v>41</v>
      </c>
      <c r="C134" s="146" t="s">
        <v>620</v>
      </c>
      <c r="D134" s="13" t="e">
        <f>VLOOKUP(C134,'[1]NT 2'!$C$2:$J$259,8,0)</f>
        <v>#N/A</v>
      </c>
      <c r="E134" s="1187" t="s">
        <v>55</v>
      </c>
      <c r="F134" s="1187" t="s">
        <v>55</v>
      </c>
      <c r="G134" s="1187" t="s">
        <v>55</v>
      </c>
      <c r="H134" s="1187" t="s">
        <v>118</v>
      </c>
      <c r="I134" s="1187" t="s">
        <v>55</v>
      </c>
      <c r="J134" s="1187" t="s">
        <v>55</v>
      </c>
      <c r="K134" s="1187" t="s">
        <v>55</v>
      </c>
      <c r="L134" s="1187" t="s">
        <v>55</v>
      </c>
      <c r="M134" s="1187" t="s">
        <v>55</v>
      </c>
      <c r="N134" s="1187" t="s">
        <v>55</v>
      </c>
      <c r="O134" s="1187" t="s">
        <v>118</v>
      </c>
      <c r="P134" s="1187" t="s">
        <v>55</v>
      </c>
      <c r="Q134" s="1187" t="s">
        <v>55</v>
      </c>
      <c r="R134" s="1187" t="s">
        <v>55</v>
      </c>
      <c r="S134" s="1187" t="s">
        <v>55</v>
      </c>
      <c r="T134" s="1187" t="s">
        <v>55</v>
      </c>
      <c r="U134" s="1187" t="s">
        <v>55</v>
      </c>
      <c r="V134" s="1187" t="s">
        <v>118</v>
      </c>
      <c r="W134" s="1187" t="s">
        <v>55</v>
      </c>
      <c r="X134" s="1187" t="s">
        <v>55</v>
      </c>
      <c r="Y134" s="1187" t="s">
        <v>55</v>
      </c>
      <c r="Z134" s="1187" t="s">
        <v>55</v>
      </c>
      <c r="AA134" s="1187" t="s">
        <v>55</v>
      </c>
      <c r="AB134" s="1187" t="s">
        <v>55</v>
      </c>
      <c r="AC134" s="1187" t="s">
        <v>118</v>
      </c>
      <c r="AD134" s="1187" t="s">
        <v>55</v>
      </c>
      <c r="AE134" s="1187" t="s">
        <v>55</v>
      </c>
      <c r="AF134" s="1187" t="s">
        <v>55</v>
      </c>
      <c r="AG134" s="1187" t="s">
        <v>55</v>
      </c>
      <c r="AH134" s="1187" t="s">
        <v>55</v>
      </c>
      <c r="AI134" s="909" t="s">
        <v>55</v>
      </c>
      <c r="AJ134" s="633">
        <f t="shared" si="22"/>
        <v>27</v>
      </c>
      <c r="AK134" s="634">
        <f t="shared" si="23"/>
        <v>4</v>
      </c>
      <c r="AL134" s="633">
        <f t="shared" si="24"/>
        <v>0</v>
      </c>
      <c r="AM134" s="633">
        <f t="shared" si="25"/>
        <v>0</v>
      </c>
      <c r="AN134" s="633">
        <f t="shared" si="26"/>
        <v>0</v>
      </c>
      <c r="AO134" s="634">
        <f t="shared" si="27"/>
        <v>0</v>
      </c>
      <c r="AP134" s="635">
        <f t="shared" si="28"/>
        <v>31</v>
      </c>
      <c r="AQ134" s="535"/>
      <c r="AR134" s="174"/>
      <c r="AS134" s="172" t="str">
        <f>VLOOKUP(C135,'[1]NT 2'!$C$2:$J$259,8,0)</f>
        <v>03628</v>
      </c>
      <c r="AT134" s="575">
        <f t="shared" si="21"/>
        <v>0</v>
      </c>
    </row>
    <row r="135" spans="1:46" ht="24.75" customHeight="1">
      <c r="A135" s="1189">
        <v>118</v>
      </c>
      <c r="B135" s="636">
        <v>42</v>
      </c>
      <c r="C135" s="502" t="s">
        <v>103</v>
      </c>
      <c r="D135" s="13" t="str">
        <f>VLOOKUP(C135,'[1]NT 2'!$C$2:$J$259,8,0)</f>
        <v>03628</v>
      </c>
      <c r="E135" s="1187" t="s">
        <v>55</v>
      </c>
      <c r="F135" s="1187" t="s">
        <v>55</v>
      </c>
      <c r="G135" s="1187" t="s">
        <v>55</v>
      </c>
      <c r="H135" s="1187" t="s">
        <v>118</v>
      </c>
      <c r="I135" s="1187" t="s">
        <v>55</v>
      </c>
      <c r="J135" s="1187" t="s">
        <v>55</v>
      </c>
      <c r="K135" s="1187" t="s">
        <v>55</v>
      </c>
      <c r="L135" s="1187" t="s">
        <v>55</v>
      </c>
      <c r="M135" s="1187" t="s">
        <v>55</v>
      </c>
      <c r="N135" s="1187" t="s">
        <v>55</v>
      </c>
      <c r="O135" s="1187" t="s">
        <v>118</v>
      </c>
      <c r="P135" s="1187" t="s">
        <v>55</v>
      </c>
      <c r="Q135" s="1187" t="s">
        <v>55</v>
      </c>
      <c r="R135" s="1187" t="s">
        <v>55</v>
      </c>
      <c r="S135" s="1187" t="s">
        <v>55</v>
      </c>
      <c r="T135" s="1187" t="s">
        <v>55</v>
      </c>
      <c r="U135" s="1187" t="s">
        <v>55</v>
      </c>
      <c r="V135" s="1187" t="s">
        <v>118</v>
      </c>
      <c r="W135" s="1187" t="s">
        <v>55</v>
      </c>
      <c r="X135" s="1187" t="s">
        <v>55</v>
      </c>
      <c r="Y135" s="1187" t="s">
        <v>55</v>
      </c>
      <c r="Z135" s="1187" t="s">
        <v>55</v>
      </c>
      <c r="AA135" s="1187" t="s">
        <v>55</v>
      </c>
      <c r="AB135" s="1187" t="s">
        <v>55</v>
      </c>
      <c r="AC135" s="1187" t="s">
        <v>118</v>
      </c>
      <c r="AD135" s="1187" t="s">
        <v>55</v>
      </c>
      <c r="AE135" s="1187" t="s">
        <v>55</v>
      </c>
      <c r="AF135" s="1187" t="s">
        <v>55</v>
      </c>
      <c r="AG135" s="1187" t="s">
        <v>55</v>
      </c>
      <c r="AH135" s="1187" t="s">
        <v>55</v>
      </c>
      <c r="AI135" s="909" t="s">
        <v>55</v>
      </c>
      <c r="AJ135" s="633">
        <f t="shared" si="22"/>
        <v>27</v>
      </c>
      <c r="AK135" s="634">
        <f t="shared" si="23"/>
        <v>4</v>
      </c>
      <c r="AL135" s="633">
        <f t="shared" si="24"/>
        <v>0</v>
      </c>
      <c r="AM135" s="633">
        <f t="shared" si="25"/>
        <v>0</v>
      </c>
      <c r="AN135" s="633">
        <f t="shared" si="26"/>
        <v>0</v>
      </c>
      <c r="AO135" s="634">
        <f t="shared" si="27"/>
        <v>0</v>
      </c>
      <c r="AP135" s="635">
        <f t="shared" si="28"/>
        <v>31</v>
      </c>
      <c r="AQ135" s="535"/>
      <c r="AR135" s="174"/>
      <c r="AS135" s="172" t="str">
        <f>VLOOKUP(C136,'[1]NT 2'!$C$2:$J$259,8,0)</f>
        <v>03629</v>
      </c>
      <c r="AT135" s="575">
        <f t="shared" si="21"/>
        <v>0</v>
      </c>
    </row>
    <row r="136" spans="1:46" ht="24.75" customHeight="1">
      <c r="A136" s="1189">
        <v>119</v>
      </c>
      <c r="B136" s="636">
        <v>43</v>
      </c>
      <c r="C136" s="502" t="s">
        <v>346</v>
      </c>
      <c r="D136" s="13" t="str">
        <f>VLOOKUP(C136,'[1]NT 2'!$C$2:$J$259,8,0)</f>
        <v>03629</v>
      </c>
      <c r="E136" s="1187" t="s">
        <v>55</v>
      </c>
      <c r="F136" s="1187" t="s">
        <v>55</v>
      </c>
      <c r="G136" s="1187" t="s">
        <v>55</v>
      </c>
      <c r="H136" s="1187" t="s">
        <v>118</v>
      </c>
      <c r="I136" s="1187" t="s">
        <v>55</v>
      </c>
      <c r="J136" s="1187" t="s">
        <v>55</v>
      </c>
      <c r="K136" s="1187" t="s">
        <v>55</v>
      </c>
      <c r="L136" s="1187" t="s">
        <v>55</v>
      </c>
      <c r="M136" s="1187" t="s">
        <v>55</v>
      </c>
      <c r="N136" s="1187" t="s">
        <v>55</v>
      </c>
      <c r="O136" s="1187" t="s">
        <v>118</v>
      </c>
      <c r="P136" s="1187" t="s">
        <v>55</v>
      </c>
      <c r="Q136" s="1187" t="s">
        <v>55</v>
      </c>
      <c r="R136" s="1187" t="s">
        <v>55</v>
      </c>
      <c r="S136" s="1187" t="s">
        <v>55</v>
      </c>
      <c r="T136" s="1187" t="s">
        <v>55</v>
      </c>
      <c r="U136" s="1187" t="s">
        <v>55</v>
      </c>
      <c r="V136" s="1187" t="s">
        <v>118</v>
      </c>
      <c r="W136" s="1187" t="s">
        <v>55</v>
      </c>
      <c r="X136" s="1187" t="s">
        <v>55</v>
      </c>
      <c r="Y136" s="1187" t="s">
        <v>55</v>
      </c>
      <c r="Z136" s="1187" t="s">
        <v>55</v>
      </c>
      <c r="AA136" s="1187" t="s">
        <v>55</v>
      </c>
      <c r="AB136" s="1187" t="s">
        <v>55</v>
      </c>
      <c r="AC136" s="1187" t="s">
        <v>118</v>
      </c>
      <c r="AD136" s="1187" t="s">
        <v>55</v>
      </c>
      <c r="AE136" s="1187" t="s">
        <v>55</v>
      </c>
      <c r="AF136" s="1187" t="s">
        <v>55</v>
      </c>
      <c r="AG136" s="1187" t="s">
        <v>55</v>
      </c>
      <c r="AH136" s="1187" t="s">
        <v>55</v>
      </c>
      <c r="AI136" s="909" t="s">
        <v>55</v>
      </c>
      <c r="AJ136" s="633">
        <f t="shared" si="22"/>
        <v>27</v>
      </c>
      <c r="AK136" s="634">
        <f t="shared" si="23"/>
        <v>4</v>
      </c>
      <c r="AL136" s="633">
        <f t="shared" si="24"/>
        <v>0</v>
      </c>
      <c r="AM136" s="633">
        <f t="shared" si="25"/>
        <v>0</v>
      </c>
      <c r="AN136" s="633">
        <f t="shared" si="26"/>
        <v>0</v>
      </c>
      <c r="AO136" s="634">
        <f t="shared" si="27"/>
        <v>0</v>
      </c>
      <c r="AP136" s="635">
        <f t="shared" si="28"/>
        <v>31</v>
      </c>
      <c r="AQ136" s="535"/>
      <c r="AR136" s="174"/>
      <c r="AS136" s="172" t="str">
        <f>VLOOKUP(C137,'[1]NT 2'!$C$2:$J$259,8,0)</f>
        <v>03630</v>
      </c>
      <c r="AT136" s="575">
        <f t="shared" si="21"/>
        <v>0</v>
      </c>
    </row>
    <row r="137" spans="1:46" ht="24.75" customHeight="1">
      <c r="A137" s="1189">
        <v>120</v>
      </c>
      <c r="B137" s="636">
        <v>44</v>
      </c>
      <c r="C137" s="502" t="s">
        <v>212</v>
      </c>
      <c r="D137" s="13" t="str">
        <f>VLOOKUP(C137,'[1]NT 2'!$C$2:$J$259,8,0)</f>
        <v>03630</v>
      </c>
      <c r="E137" s="1187" t="s">
        <v>55</v>
      </c>
      <c r="F137" s="1187" t="s">
        <v>55</v>
      </c>
      <c r="G137" s="1187" t="s">
        <v>55</v>
      </c>
      <c r="H137" s="1187" t="s">
        <v>118</v>
      </c>
      <c r="I137" s="1187" t="s">
        <v>55</v>
      </c>
      <c r="J137" s="1187" t="s">
        <v>55</v>
      </c>
      <c r="K137" s="1187" t="s">
        <v>55</v>
      </c>
      <c r="L137" s="1187" t="s">
        <v>55</v>
      </c>
      <c r="M137" s="1187" t="s">
        <v>55</v>
      </c>
      <c r="N137" s="1187" t="s">
        <v>55</v>
      </c>
      <c r="O137" s="1187" t="s">
        <v>118</v>
      </c>
      <c r="P137" s="1187" t="s">
        <v>55</v>
      </c>
      <c r="Q137" s="1187" t="s">
        <v>55</v>
      </c>
      <c r="R137" s="1187" t="s">
        <v>55</v>
      </c>
      <c r="S137" s="1187" t="s">
        <v>55</v>
      </c>
      <c r="T137" s="1187" t="s">
        <v>55</v>
      </c>
      <c r="U137" s="1187" t="s">
        <v>55</v>
      </c>
      <c r="V137" s="1187" t="s">
        <v>118</v>
      </c>
      <c r="W137" s="1187" t="s">
        <v>55</v>
      </c>
      <c r="X137" s="1187" t="s">
        <v>55</v>
      </c>
      <c r="Y137" s="1187" t="s">
        <v>55</v>
      </c>
      <c r="Z137" s="1187" t="s">
        <v>55</v>
      </c>
      <c r="AA137" s="1187" t="s">
        <v>55</v>
      </c>
      <c r="AB137" s="1187" t="s">
        <v>55</v>
      </c>
      <c r="AC137" s="1187" t="s">
        <v>118</v>
      </c>
      <c r="AD137" s="1187" t="s">
        <v>55</v>
      </c>
      <c r="AE137" s="1187" t="s">
        <v>55</v>
      </c>
      <c r="AF137" s="1187" t="s">
        <v>55</v>
      </c>
      <c r="AG137" s="1187" t="s">
        <v>55</v>
      </c>
      <c r="AH137" s="1187" t="s">
        <v>55</v>
      </c>
      <c r="AI137" s="909" t="s">
        <v>55</v>
      </c>
      <c r="AJ137" s="633">
        <f t="shared" si="22"/>
        <v>27</v>
      </c>
      <c r="AK137" s="634">
        <f t="shared" si="23"/>
        <v>4</v>
      </c>
      <c r="AL137" s="633">
        <f t="shared" si="24"/>
        <v>0</v>
      </c>
      <c r="AM137" s="633">
        <f t="shared" si="25"/>
        <v>0</v>
      </c>
      <c r="AN137" s="633">
        <f t="shared" si="26"/>
        <v>0</v>
      </c>
      <c r="AO137" s="634">
        <f t="shared" si="27"/>
        <v>0</v>
      </c>
      <c r="AP137" s="635">
        <f t="shared" si="28"/>
        <v>31</v>
      </c>
      <c r="AQ137" s="535"/>
      <c r="AR137" s="174"/>
      <c r="AS137" s="172" t="str">
        <f>VLOOKUP(C138,'[1]NT 2'!$C$2:$J$259,8,0)</f>
        <v>03631</v>
      </c>
      <c r="AT137" s="575">
        <f t="shared" si="21"/>
        <v>0</v>
      </c>
    </row>
    <row r="138" spans="1:46" ht="24.75" customHeight="1">
      <c r="A138" s="1189">
        <v>121</v>
      </c>
      <c r="B138" s="636">
        <v>45</v>
      </c>
      <c r="C138" s="502" t="s">
        <v>342</v>
      </c>
      <c r="D138" s="13" t="str">
        <f>VLOOKUP(C138,'[1]NT 2'!$C$2:$J$259,8,0)</f>
        <v>03631</v>
      </c>
      <c r="E138" s="1187" t="s">
        <v>55</v>
      </c>
      <c r="F138" s="1187" t="s">
        <v>55</v>
      </c>
      <c r="G138" s="1187" t="s">
        <v>55</v>
      </c>
      <c r="H138" s="1187" t="s">
        <v>118</v>
      </c>
      <c r="I138" s="1187" t="s">
        <v>55</v>
      </c>
      <c r="J138" s="1187" t="s">
        <v>55</v>
      </c>
      <c r="K138" s="1187" t="s">
        <v>55</v>
      </c>
      <c r="L138" s="1187" t="s">
        <v>55</v>
      </c>
      <c r="M138" s="1187" t="s">
        <v>55</v>
      </c>
      <c r="N138" s="1187" t="s">
        <v>55</v>
      </c>
      <c r="O138" s="1187" t="s">
        <v>118</v>
      </c>
      <c r="P138" s="1187" t="s">
        <v>55</v>
      </c>
      <c r="Q138" s="1187" t="s">
        <v>55</v>
      </c>
      <c r="R138" s="1187" t="s">
        <v>55</v>
      </c>
      <c r="S138" s="1187" t="s">
        <v>55</v>
      </c>
      <c r="T138" s="1187" t="s">
        <v>55</v>
      </c>
      <c r="U138" s="1187" t="s">
        <v>55</v>
      </c>
      <c r="V138" s="1187" t="s">
        <v>118</v>
      </c>
      <c r="W138" s="1187" t="s">
        <v>55</v>
      </c>
      <c r="X138" s="1187" t="s">
        <v>55</v>
      </c>
      <c r="Y138" s="1187" t="s">
        <v>55</v>
      </c>
      <c r="Z138" s="1187" t="s">
        <v>55</v>
      </c>
      <c r="AA138" s="1187" t="s">
        <v>55</v>
      </c>
      <c r="AB138" s="1187" t="s">
        <v>55</v>
      </c>
      <c r="AC138" s="1187" t="s">
        <v>118</v>
      </c>
      <c r="AD138" s="1187" t="s">
        <v>55</v>
      </c>
      <c r="AE138" s="1187" t="s">
        <v>55</v>
      </c>
      <c r="AF138" s="1187" t="s">
        <v>55</v>
      </c>
      <c r="AG138" s="1187" t="s">
        <v>55</v>
      </c>
      <c r="AH138" s="1187" t="s">
        <v>55</v>
      </c>
      <c r="AI138" s="909" t="s">
        <v>55</v>
      </c>
      <c r="AJ138" s="633">
        <f t="shared" si="22"/>
        <v>27</v>
      </c>
      <c r="AK138" s="634">
        <f t="shared" si="23"/>
        <v>4</v>
      </c>
      <c r="AL138" s="633">
        <f t="shared" si="24"/>
        <v>0</v>
      </c>
      <c r="AM138" s="633">
        <f t="shared" si="25"/>
        <v>0</v>
      </c>
      <c r="AN138" s="633">
        <f t="shared" si="26"/>
        <v>0</v>
      </c>
      <c r="AO138" s="634">
        <f t="shared" si="27"/>
        <v>0</v>
      </c>
      <c r="AP138" s="635">
        <f t="shared" si="28"/>
        <v>31</v>
      </c>
      <c r="AQ138" s="535"/>
      <c r="AR138" s="174"/>
      <c r="AS138" s="172" t="str">
        <f>VLOOKUP(C139,'[1]NT 2'!$C$2:$J$259,8,0)</f>
        <v>03632</v>
      </c>
      <c r="AT138" s="575">
        <f t="shared" si="21"/>
        <v>0</v>
      </c>
    </row>
    <row r="139" spans="1:46" ht="24.75" customHeight="1">
      <c r="A139" s="1189">
        <v>122</v>
      </c>
      <c r="B139" s="636">
        <v>46</v>
      </c>
      <c r="C139" s="502" t="s">
        <v>264</v>
      </c>
      <c r="D139" s="13" t="str">
        <f>VLOOKUP(C139,'[1]NT 2'!$C$2:$J$259,8,0)</f>
        <v>03632</v>
      </c>
      <c r="E139" s="1187" t="s">
        <v>55</v>
      </c>
      <c r="F139" s="1187" t="s">
        <v>55</v>
      </c>
      <c r="G139" s="1187" t="s">
        <v>55</v>
      </c>
      <c r="H139" s="1187" t="s">
        <v>118</v>
      </c>
      <c r="I139" s="1187" t="s">
        <v>55</v>
      </c>
      <c r="J139" s="1187" t="s">
        <v>55</v>
      </c>
      <c r="K139" s="1187" t="s">
        <v>55</v>
      </c>
      <c r="L139" s="1187" t="s">
        <v>55</v>
      </c>
      <c r="M139" s="1187" t="s">
        <v>55</v>
      </c>
      <c r="N139" s="1187"/>
      <c r="O139" s="1187" t="s">
        <v>118</v>
      </c>
      <c r="P139" s="1187" t="s">
        <v>55</v>
      </c>
      <c r="Q139" s="1187" t="s">
        <v>55</v>
      </c>
      <c r="R139" s="1187" t="s">
        <v>55</v>
      </c>
      <c r="S139" s="1187" t="s">
        <v>55</v>
      </c>
      <c r="T139" s="1187" t="s">
        <v>55</v>
      </c>
      <c r="U139" s="1187" t="s">
        <v>55</v>
      </c>
      <c r="V139" s="1187" t="s">
        <v>118</v>
      </c>
      <c r="W139" s="1187" t="s">
        <v>55</v>
      </c>
      <c r="X139" s="1187" t="s">
        <v>55</v>
      </c>
      <c r="Y139" s="1187" t="s">
        <v>55</v>
      </c>
      <c r="Z139" s="1187" t="s">
        <v>55</v>
      </c>
      <c r="AA139" s="1187" t="s">
        <v>55</v>
      </c>
      <c r="AB139" s="1187" t="s">
        <v>55</v>
      </c>
      <c r="AC139" s="1187" t="s">
        <v>118</v>
      </c>
      <c r="AD139" s="1187" t="s">
        <v>55</v>
      </c>
      <c r="AE139" s="1187" t="s">
        <v>55</v>
      </c>
      <c r="AF139" s="1187" t="s">
        <v>55</v>
      </c>
      <c r="AG139" s="1187" t="s">
        <v>55</v>
      </c>
      <c r="AH139" s="1187" t="s">
        <v>55</v>
      </c>
      <c r="AI139" s="909" t="s">
        <v>55</v>
      </c>
      <c r="AJ139" s="633">
        <f t="shared" si="22"/>
        <v>26</v>
      </c>
      <c r="AK139" s="634">
        <f t="shared" si="23"/>
        <v>4</v>
      </c>
      <c r="AL139" s="633">
        <f t="shared" si="24"/>
        <v>0</v>
      </c>
      <c r="AM139" s="633">
        <f t="shared" si="25"/>
        <v>0</v>
      </c>
      <c r="AN139" s="633">
        <f t="shared" si="26"/>
        <v>0</v>
      </c>
      <c r="AO139" s="634">
        <f t="shared" si="27"/>
        <v>0</v>
      </c>
      <c r="AP139" s="635">
        <f t="shared" si="28"/>
        <v>30</v>
      </c>
      <c r="AQ139" s="535"/>
      <c r="AR139" s="174"/>
      <c r="AS139" s="172" t="e">
        <f>VLOOKUP(C140,'[1]NT 2'!$C$2:$J$259,8,0)</f>
        <v>#N/A</v>
      </c>
      <c r="AT139" s="575" t="e">
        <f t="shared" si="21"/>
        <v>#N/A</v>
      </c>
    </row>
    <row r="140" spans="1:46" ht="24.75" customHeight="1">
      <c r="A140" s="1189">
        <v>123</v>
      </c>
      <c r="B140" s="636">
        <v>47</v>
      </c>
      <c r="C140" s="502" t="s">
        <v>621</v>
      </c>
      <c r="D140" s="13" t="e">
        <f>VLOOKUP(C140,'[1]NT 2'!$C$2:$J$259,8,0)</f>
        <v>#N/A</v>
      </c>
      <c r="E140" s="1187" t="s">
        <v>55</v>
      </c>
      <c r="F140" s="1187" t="s">
        <v>55</v>
      </c>
      <c r="G140" s="1187" t="s">
        <v>55</v>
      </c>
      <c r="H140" s="1187" t="s">
        <v>118</v>
      </c>
      <c r="I140" s="1187" t="s">
        <v>55</v>
      </c>
      <c r="J140" s="1187" t="s">
        <v>55</v>
      </c>
      <c r="K140" s="1187" t="s">
        <v>55</v>
      </c>
      <c r="L140" s="1187" t="s">
        <v>55</v>
      </c>
      <c r="M140" s="1187" t="s">
        <v>55</v>
      </c>
      <c r="N140" s="1187" t="s">
        <v>55</v>
      </c>
      <c r="O140" s="1187" t="s">
        <v>118</v>
      </c>
      <c r="P140" s="1187" t="s">
        <v>55</v>
      </c>
      <c r="Q140" s="1187" t="s">
        <v>55</v>
      </c>
      <c r="R140" s="1187" t="s">
        <v>55</v>
      </c>
      <c r="S140" s="1187" t="s">
        <v>55</v>
      </c>
      <c r="T140" s="1187" t="s">
        <v>55</v>
      </c>
      <c r="U140" s="1187" t="s">
        <v>55</v>
      </c>
      <c r="V140" s="1187" t="s">
        <v>118</v>
      </c>
      <c r="W140" s="1187" t="s">
        <v>55</v>
      </c>
      <c r="X140" s="1187" t="s">
        <v>55</v>
      </c>
      <c r="Y140" s="1187" t="s">
        <v>55</v>
      </c>
      <c r="Z140" s="1187" t="s">
        <v>55</v>
      </c>
      <c r="AA140" s="1187" t="s">
        <v>55</v>
      </c>
      <c r="AB140" s="1187" t="s">
        <v>55</v>
      </c>
      <c r="AC140" s="1187" t="s">
        <v>118</v>
      </c>
      <c r="AD140" s="1187" t="s">
        <v>55</v>
      </c>
      <c r="AE140" s="1187" t="s">
        <v>55</v>
      </c>
      <c r="AF140" s="1187" t="s">
        <v>55</v>
      </c>
      <c r="AG140" s="1187" t="s">
        <v>55</v>
      </c>
      <c r="AH140" s="1187" t="s">
        <v>55</v>
      </c>
      <c r="AI140" s="909" t="s">
        <v>55</v>
      </c>
      <c r="AJ140" s="633">
        <f t="shared" si="22"/>
        <v>27</v>
      </c>
      <c r="AK140" s="634">
        <f t="shared" si="23"/>
        <v>4</v>
      </c>
      <c r="AL140" s="633">
        <f t="shared" si="24"/>
        <v>0</v>
      </c>
      <c r="AM140" s="633">
        <f t="shared" si="25"/>
        <v>0</v>
      </c>
      <c r="AN140" s="633">
        <f t="shared" si="26"/>
        <v>0</v>
      </c>
      <c r="AO140" s="634">
        <f t="shared" si="27"/>
        <v>0</v>
      </c>
      <c r="AP140" s="635">
        <f t="shared" si="28"/>
        <v>31</v>
      </c>
      <c r="AQ140" s="535"/>
      <c r="AR140" s="174"/>
      <c r="AS140" s="172" t="str">
        <f>VLOOKUP(C141,'[1]NT 2'!$C$2:$J$259,8,0)</f>
        <v>03634</v>
      </c>
      <c r="AT140" s="575">
        <f t="shared" si="21"/>
        <v>0</v>
      </c>
    </row>
    <row r="141" spans="1:46" ht="24.75" customHeight="1">
      <c r="A141" s="1189">
        <v>124</v>
      </c>
      <c r="B141" s="636">
        <v>48</v>
      </c>
      <c r="C141" s="502" t="s">
        <v>213</v>
      </c>
      <c r="D141" s="13" t="str">
        <f>VLOOKUP(C141,'[1]NT 2'!$C$2:$J$259,8,0)</f>
        <v>03634</v>
      </c>
      <c r="E141" s="1187" t="s">
        <v>55</v>
      </c>
      <c r="F141" s="1187"/>
      <c r="G141" s="1187" t="s">
        <v>55</v>
      </c>
      <c r="H141" s="1187"/>
      <c r="I141" s="1187"/>
      <c r="J141" s="1187" t="s">
        <v>55</v>
      </c>
      <c r="K141" s="1187" t="s">
        <v>55</v>
      </c>
      <c r="L141" s="1187" t="s">
        <v>55</v>
      </c>
      <c r="M141" s="1187" t="s">
        <v>678</v>
      </c>
      <c r="N141" s="1187" t="s">
        <v>55</v>
      </c>
      <c r="O141" s="1187"/>
      <c r="P141" s="1187" t="s">
        <v>55</v>
      </c>
      <c r="Q141" s="1187" t="s">
        <v>55</v>
      </c>
      <c r="R141" s="1187" t="s">
        <v>55</v>
      </c>
      <c r="S141" s="1187" t="s">
        <v>55</v>
      </c>
      <c r="T141" s="1187" t="s">
        <v>55</v>
      </c>
      <c r="U141" s="1187" t="s">
        <v>55</v>
      </c>
      <c r="V141" s="1187" t="s">
        <v>118</v>
      </c>
      <c r="W141" s="1187" t="s">
        <v>55</v>
      </c>
      <c r="X141" s="1187" t="s">
        <v>55</v>
      </c>
      <c r="Y141" s="1187" t="s">
        <v>55</v>
      </c>
      <c r="Z141" s="1187" t="s">
        <v>55</v>
      </c>
      <c r="AA141" s="1187" t="s">
        <v>55</v>
      </c>
      <c r="AB141" s="1187" t="s">
        <v>55</v>
      </c>
      <c r="AC141" s="1187" t="s">
        <v>118</v>
      </c>
      <c r="AD141" s="1187" t="s">
        <v>55</v>
      </c>
      <c r="AE141" s="1187" t="s">
        <v>55</v>
      </c>
      <c r="AF141" s="1187" t="s">
        <v>678</v>
      </c>
      <c r="AG141" s="1187" t="s">
        <v>678</v>
      </c>
      <c r="AH141" s="1187" t="s">
        <v>55</v>
      </c>
      <c r="AI141" s="909" t="s">
        <v>55</v>
      </c>
      <c r="AJ141" s="633">
        <f t="shared" si="22"/>
        <v>22</v>
      </c>
      <c r="AK141" s="634">
        <f t="shared" si="23"/>
        <v>2</v>
      </c>
      <c r="AL141" s="633">
        <f t="shared" si="24"/>
        <v>0</v>
      </c>
      <c r="AM141" s="633">
        <f t="shared" si="25"/>
        <v>0</v>
      </c>
      <c r="AN141" s="633">
        <f t="shared" si="26"/>
        <v>0</v>
      </c>
      <c r="AO141" s="634">
        <f t="shared" si="27"/>
        <v>0</v>
      </c>
      <c r="AP141" s="635">
        <f t="shared" si="28"/>
        <v>24</v>
      </c>
      <c r="AQ141" s="535"/>
      <c r="AR141" s="174"/>
      <c r="AS141" s="172" t="str">
        <f>VLOOKUP(C142,'[1]NT 2'!$C$2:$J$259,8,0)</f>
        <v>03635</v>
      </c>
      <c r="AT141" s="575">
        <f t="shared" ref="AT141:AT154" si="29">D142-AS141</f>
        <v>0</v>
      </c>
    </row>
    <row r="142" spans="1:46" ht="24.75" customHeight="1">
      <c r="A142" s="1189">
        <v>125</v>
      </c>
      <c r="B142" s="636">
        <v>49</v>
      </c>
      <c r="C142" s="502" t="s">
        <v>265</v>
      </c>
      <c r="D142" s="13" t="str">
        <f>VLOOKUP(C142,'[1]NT 2'!$C$2:$J$259,8,0)</f>
        <v>03635</v>
      </c>
      <c r="E142" s="1187" t="s">
        <v>55</v>
      </c>
      <c r="F142" s="1187" t="s">
        <v>55</v>
      </c>
      <c r="G142" s="1187" t="s">
        <v>55</v>
      </c>
      <c r="H142" s="1187" t="s">
        <v>118</v>
      </c>
      <c r="I142" s="1187" t="s">
        <v>55</v>
      </c>
      <c r="J142" s="1187" t="s">
        <v>55</v>
      </c>
      <c r="K142" s="1187" t="s">
        <v>55</v>
      </c>
      <c r="L142" s="1187" t="s">
        <v>55</v>
      </c>
      <c r="M142" s="1187" t="s">
        <v>55</v>
      </c>
      <c r="N142" s="1187" t="s">
        <v>55</v>
      </c>
      <c r="O142" s="1187" t="s">
        <v>118</v>
      </c>
      <c r="P142" s="1187" t="s">
        <v>55</v>
      </c>
      <c r="Q142" s="1187" t="s">
        <v>55</v>
      </c>
      <c r="R142" s="1187" t="s">
        <v>55</v>
      </c>
      <c r="S142" s="1187" t="s">
        <v>55</v>
      </c>
      <c r="T142" s="1187" t="s">
        <v>55</v>
      </c>
      <c r="U142" s="1187" t="s">
        <v>55</v>
      </c>
      <c r="V142" s="1187" t="s">
        <v>118</v>
      </c>
      <c r="W142" s="1187" t="s">
        <v>55</v>
      </c>
      <c r="X142" s="1187" t="s">
        <v>678</v>
      </c>
      <c r="Y142" s="1187" t="s">
        <v>55</v>
      </c>
      <c r="Z142" s="1187" t="s">
        <v>55</v>
      </c>
      <c r="AA142" s="1187" t="s">
        <v>55</v>
      </c>
      <c r="AB142" s="1187" t="s">
        <v>55</v>
      </c>
      <c r="AC142" s="1187" t="s">
        <v>118</v>
      </c>
      <c r="AD142" s="1187" t="s">
        <v>55</v>
      </c>
      <c r="AE142" s="1187" t="s">
        <v>55</v>
      </c>
      <c r="AF142" s="1187" t="s">
        <v>55</v>
      </c>
      <c r="AG142" s="1187" t="s">
        <v>55</v>
      </c>
      <c r="AH142" s="1187" t="s">
        <v>55</v>
      </c>
      <c r="AI142" s="909" t="s">
        <v>55</v>
      </c>
      <c r="AJ142" s="633">
        <f t="shared" si="22"/>
        <v>26</v>
      </c>
      <c r="AK142" s="634">
        <f t="shared" si="23"/>
        <v>4</v>
      </c>
      <c r="AL142" s="633">
        <f t="shared" si="24"/>
        <v>0</v>
      </c>
      <c r="AM142" s="633">
        <f t="shared" si="25"/>
        <v>0</v>
      </c>
      <c r="AN142" s="633">
        <f t="shared" si="26"/>
        <v>0</v>
      </c>
      <c r="AO142" s="634">
        <f t="shared" si="27"/>
        <v>0</v>
      </c>
      <c r="AP142" s="635">
        <f t="shared" si="28"/>
        <v>30</v>
      </c>
      <c r="AQ142" s="535"/>
      <c r="AR142" s="174"/>
      <c r="AS142" s="172" t="e">
        <f>VLOOKUP(C143,'[1]NT 2'!$C$2:$J$259,8,0)</f>
        <v>#N/A</v>
      </c>
      <c r="AT142" s="575" t="e">
        <f t="shared" si="29"/>
        <v>#N/A</v>
      </c>
    </row>
    <row r="143" spans="1:46" ht="24.75" customHeight="1">
      <c r="A143" s="1189">
        <v>126</v>
      </c>
      <c r="B143" s="636">
        <v>50</v>
      </c>
      <c r="C143" s="502" t="s">
        <v>343</v>
      </c>
      <c r="D143" s="13" t="e">
        <f>VLOOKUP(C143,'[1]NT 2'!$C$2:$J$259,8,0)</f>
        <v>#N/A</v>
      </c>
      <c r="E143" s="1187" t="s">
        <v>55</v>
      </c>
      <c r="F143" s="1187" t="s">
        <v>55</v>
      </c>
      <c r="G143" s="1187" t="s">
        <v>55</v>
      </c>
      <c r="H143" s="1187" t="s">
        <v>118</v>
      </c>
      <c r="I143" s="1187" t="s">
        <v>55</v>
      </c>
      <c r="J143" s="1187" t="s">
        <v>55</v>
      </c>
      <c r="K143" s="1187" t="s">
        <v>55</v>
      </c>
      <c r="L143" s="1187" t="s">
        <v>55</v>
      </c>
      <c r="M143" s="1187" t="s">
        <v>55</v>
      </c>
      <c r="N143" s="1187" t="s">
        <v>55</v>
      </c>
      <c r="O143" s="1187" t="s">
        <v>118</v>
      </c>
      <c r="P143" s="1187" t="s">
        <v>55</v>
      </c>
      <c r="Q143" s="1187" t="s">
        <v>55</v>
      </c>
      <c r="R143" s="1187" t="s">
        <v>55</v>
      </c>
      <c r="S143" s="1187" t="s">
        <v>55</v>
      </c>
      <c r="T143" s="1187" t="s">
        <v>55</v>
      </c>
      <c r="U143" s="1187" t="s">
        <v>55</v>
      </c>
      <c r="V143" s="1187" t="s">
        <v>118</v>
      </c>
      <c r="W143" s="1187" t="s">
        <v>55</v>
      </c>
      <c r="X143" s="1187" t="s">
        <v>55</v>
      </c>
      <c r="Y143" s="1187" t="s">
        <v>55</v>
      </c>
      <c r="Z143" s="1187" t="s">
        <v>55</v>
      </c>
      <c r="AA143" s="1187" t="s">
        <v>55</v>
      </c>
      <c r="AB143" s="1187" t="s">
        <v>55</v>
      </c>
      <c r="AC143" s="1187" t="s">
        <v>118</v>
      </c>
      <c r="AD143" s="1187" t="s">
        <v>55</v>
      </c>
      <c r="AE143" s="1187" t="s">
        <v>55</v>
      </c>
      <c r="AF143" s="1187" t="s">
        <v>55</v>
      </c>
      <c r="AG143" s="1187" t="s">
        <v>55</v>
      </c>
      <c r="AH143" s="1187" t="s">
        <v>55</v>
      </c>
      <c r="AI143" s="909" t="s">
        <v>55</v>
      </c>
      <c r="AJ143" s="633">
        <f t="shared" si="22"/>
        <v>27</v>
      </c>
      <c r="AK143" s="634">
        <f t="shared" si="23"/>
        <v>4</v>
      </c>
      <c r="AL143" s="633">
        <f t="shared" si="24"/>
        <v>0</v>
      </c>
      <c r="AM143" s="633">
        <f t="shared" si="25"/>
        <v>0</v>
      </c>
      <c r="AN143" s="633">
        <f t="shared" si="26"/>
        <v>0</v>
      </c>
      <c r="AO143" s="634">
        <f t="shared" si="27"/>
        <v>0</v>
      </c>
      <c r="AP143" s="635">
        <f t="shared" si="28"/>
        <v>31</v>
      </c>
      <c r="AQ143" s="535"/>
      <c r="AR143" s="174"/>
      <c r="AS143" s="172" t="str">
        <f>VLOOKUP(C144,'[1]NT 2'!$C$2:$J$259,8,0)</f>
        <v>03637</v>
      </c>
      <c r="AT143" s="575">
        <f t="shared" si="29"/>
        <v>0</v>
      </c>
    </row>
    <row r="144" spans="1:46" ht="24.75" customHeight="1">
      <c r="A144" s="1189">
        <v>127</v>
      </c>
      <c r="B144" s="636">
        <v>51</v>
      </c>
      <c r="C144" s="502" t="s">
        <v>344</v>
      </c>
      <c r="D144" s="13" t="str">
        <f>VLOOKUP(C144,'[1]NT 2'!$C$2:$J$259,8,0)</f>
        <v>03637</v>
      </c>
      <c r="E144" s="1187" t="s">
        <v>55</v>
      </c>
      <c r="F144" s="1187"/>
      <c r="G144" s="1187" t="s">
        <v>55</v>
      </c>
      <c r="H144" s="1187" t="s">
        <v>118</v>
      </c>
      <c r="I144" s="1187" t="s">
        <v>55</v>
      </c>
      <c r="J144" s="1187" t="s">
        <v>55</v>
      </c>
      <c r="K144" s="1187" t="s">
        <v>55</v>
      </c>
      <c r="L144" s="1187" t="s">
        <v>55</v>
      </c>
      <c r="M144" s="1187" t="s">
        <v>678</v>
      </c>
      <c r="N144" s="1187" t="s">
        <v>55</v>
      </c>
      <c r="O144" s="1187" t="s">
        <v>118</v>
      </c>
      <c r="P144" s="1187" t="s">
        <v>55</v>
      </c>
      <c r="Q144" s="1187" t="s">
        <v>678</v>
      </c>
      <c r="R144" s="1187" t="s">
        <v>55</v>
      </c>
      <c r="S144" s="1187" t="s">
        <v>55</v>
      </c>
      <c r="T144" s="1187" t="s">
        <v>55</v>
      </c>
      <c r="U144" s="1187" t="s">
        <v>55</v>
      </c>
      <c r="V144" s="1187" t="s">
        <v>118</v>
      </c>
      <c r="W144" s="1187" t="s">
        <v>55</v>
      </c>
      <c r="X144" s="1187" t="s">
        <v>55</v>
      </c>
      <c r="Y144" s="1187" t="s">
        <v>55</v>
      </c>
      <c r="Z144" s="1187" t="s">
        <v>55</v>
      </c>
      <c r="AA144" s="1187" t="s">
        <v>55</v>
      </c>
      <c r="AB144" s="1187" t="s">
        <v>55</v>
      </c>
      <c r="AC144" s="1187" t="s">
        <v>118</v>
      </c>
      <c r="AD144" s="1187" t="s">
        <v>55</v>
      </c>
      <c r="AE144" s="1187" t="s">
        <v>55</v>
      </c>
      <c r="AF144" s="1187" t="s">
        <v>55</v>
      </c>
      <c r="AG144" s="1187" t="s">
        <v>55</v>
      </c>
      <c r="AH144" s="1187" t="s">
        <v>55</v>
      </c>
      <c r="AI144" s="909" t="s">
        <v>55</v>
      </c>
      <c r="AJ144" s="633">
        <f t="shared" si="22"/>
        <v>24</v>
      </c>
      <c r="AK144" s="634">
        <f t="shared" si="23"/>
        <v>4</v>
      </c>
      <c r="AL144" s="633">
        <f t="shared" si="24"/>
        <v>0</v>
      </c>
      <c r="AM144" s="633">
        <f t="shared" si="25"/>
        <v>0</v>
      </c>
      <c r="AN144" s="633">
        <f t="shared" si="26"/>
        <v>0</v>
      </c>
      <c r="AO144" s="634">
        <f t="shared" si="27"/>
        <v>0</v>
      </c>
      <c r="AP144" s="635">
        <f t="shared" si="28"/>
        <v>28</v>
      </c>
      <c r="AQ144" s="535"/>
      <c r="AR144" s="174"/>
      <c r="AS144" s="172" t="str">
        <f>VLOOKUP(C145,'[1]NT 2'!$C$2:$J$259,8,0)</f>
        <v>03638</v>
      </c>
      <c r="AT144" s="575">
        <f t="shared" si="29"/>
        <v>0</v>
      </c>
    </row>
    <row r="145" spans="1:50" ht="24.75" customHeight="1">
      <c r="A145" s="1189">
        <v>128</v>
      </c>
      <c r="B145" s="636">
        <v>52</v>
      </c>
      <c r="C145" s="502" t="s">
        <v>345</v>
      </c>
      <c r="D145" s="13" t="str">
        <f>VLOOKUP(C145,'[1]NT 2'!$C$2:$J$259,8,0)</f>
        <v>03638</v>
      </c>
      <c r="E145" s="1187" t="s">
        <v>55</v>
      </c>
      <c r="F145" s="1187" t="s">
        <v>55</v>
      </c>
      <c r="G145" s="1187" t="s">
        <v>55</v>
      </c>
      <c r="H145" s="1187" t="s">
        <v>118</v>
      </c>
      <c r="I145" s="1187" t="s">
        <v>55</v>
      </c>
      <c r="J145" s="1187" t="s">
        <v>55</v>
      </c>
      <c r="K145" s="1187" t="s">
        <v>55</v>
      </c>
      <c r="L145" s="1187" t="s">
        <v>55</v>
      </c>
      <c r="M145" s="1187" t="s">
        <v>55</v>
      </c>
      <c r="N145" s="1187" t="s">
        <v>55</v>
      </c>
      <c r="O145" s="1187" t="s">
        <v>118</v>
      </c>
      <c r="P145" s="1187" t="s">
        <v>55</v>
      </c>
      <c r="Q145" s="1187" t="s">
        <v>55</v>
      </c>
      <c r="R145" s="1187" t="s">
        <v>55</v>
      </c>
      <c r="S145" s="1187" t="s">
        <v>55</v>
      </c>
      <c r="T145" s="1187" t="s">
        <v>55</v>
      </c>
      <c r="U145" s="1187" t="s">
        <v>55</v>
      </c>
      <c r="V145" s="1187" t="s">
        <v>118</v>
      </c>
      <c r="W145" s="1187" t="s">
        <v>55</v>
      </c>
      <c r="X145" s="1187" t="s">
        <v>55</v>
      </c>
      <c r="Y145" s="1187" t="s">
        <v>55</v>
      </c>
      <c r="Z145" s="1187" t="s">
        <v>55</v>
      </c>
      <c r="AA145" s="1187" t="s">
        <v>55</v>
      </c>
      <c r="AB145" s="1187" t="s">
        <v>55</v>
      </c>
      <c r="AC145" s="1187" t="s">
        <v>118</v>
      </c>
      <c r="AD145" s="1187" t="s">
        <v>55</v>
      </c>
      <c r="AE145" s="1187" t="s">
        <v>55</v>
      </c>
      <c r="AF145" s="1187" t="s">
        <v>55</v>
      </c>
      <c r="AG145" s="1187" t="s">
        <v>55</v>
      </c>
      <c r="AH145" s="1187" t="s">
        <v>55</v>
      </c>
      <c r="AI145" s="909" t="s">
        <v>55</v>
      </c>
      <c r="AJ145" s="633">
        <f t="shared" si="22"/>
        <v>27</v>
      </c>
      <c r="AK145" s="634">
        <f t="shared" si="23"/>
        <v>4</v>
      </c>
      <c r="AL145" s="633">
        <f t="shared" si="24"/>
        <v>0</v>
      </c>
      <c r="AM145" s="633">
        <f t="shared" si="25"/>
        <v>0</v>
      </c>
      <c r="AN145" s="633">
        <f t="shared" si="26"/>
        <v>0</v>
      </c>
      <c r="AO145" s="634">
        <f t="shared" si="27"/>
        <v>0</v>
      </c>
      <c r="AP145" s="635">
        <f t="shared" si="28"/>
        <v>31</v>
      </c>
      <c r="AQ145" s="535"/>
      <c r="AR145" s="174"/>
      <c r="AS145" s="172" t="e">
        <f>VLOOKUP(C146,'[1]NT 2'!$C$2:$J$259,8,0)</f>
        <v>#N/A</v>
      </c>
      <c r="AT145" s="575" t="e">
        <f t="shared" si="29"/>
        <v>#N/A</v>
      </c>
    </row>
    <row r="146" spans="1:50" ht="24.75" customHeight="1">
      <c r="A146" s="1189">
        <v>129</v>
      </c>
      <c r="B146" s="636">
        <v>53</v>
      </c>
      <c r="C146" s="502" t="s">
        <v>622</v>
      </c>
      <c r="D146" s="13" t="e">
        <f>VLOOKUP(C146,'[1]NT 2'!$C$2:$J$259,8,0)</f>
        <v>#N/A</v>
      </c>
      <c r="E146" s="1187" t="s">
        <v>55</v>
      </c>
      <c r="F146" s="1187" t="s">
        <v>55</v>
      </c>
      <c r="G146" s="1187" t="s">
        <v>55</v>
      </c>
      <c r="H146" s="1187" t="s">
        <v>118</v>
      </c>
      <c r="I146" s="1187" t="s">
        <v>55</v>
      </c>
      <c r="J146" s="1187" t="s">
        <v>55</v>
      </c>
      <c r="K146" s="1187" t="s">
        <v>55</v>
      </c>
      <c r="L146" s="1187" t="s">
        <v>55</v>
      </c>
      <c r="M146" s="1187" t="s">
        <v>55</v>
      </c>
      <c r="N146" s="1187" t="s">
        <v>55</v>
      </c>
      <c r="O146" s="1187" t="s">
        <v>118</v>
      </c>
      <c r="P146" s="1187" t="s">
        <v>55</v>
      </c>
      <c r="Q146" s="1187" t="s">
        <v>55</v>
      </c>
      <c r="R146" s="1187" t="s">
        <v>55</v>
      </c>
      <c r="S146" s="1187" t="s">
        <v>55</v>
      </c>
      <c r="T146" s="1187" t="s">
        <v>55</v>
      </c>
      <c r="U146" s="1187" t="s">
        <v>55</v>
      </c>
      <c r="V146" s="1187" t="s">
        <v>118</v>
      </c>
      <c r="W146" s="1187" t="s">
        <v>55</v>
      </c>
      <c r="X146" s="1187" t="s">
        <v>55</v>
      </c>
      <c r="Y146" s="1187" t="s">
        <v>55</v>
      </c>
      <c r="Z146" s="1187" t="s">
        <v>55</v>
      </c>
      <c r="AA146" s="1187" t="s">
        <v>55</v>
      </c>
      <c r="AB146" s="1187" t="s">
        <v>55</v>
      </c>
      <c r="AC146" s="1187" t="s">
        <v>118</v>
      </c>
      <c r="AD146" s="1187" t="s">
        <v>55</v>
      </c>
      <c r="AE146" s="1187" t="s">
        <v>55</v>
      </c>
      <c r="AF146" s="1187" t="s">
        <v>55</v>
      </c>
      <c r="AG146" s="1187" t="s">
        <v>55</v>
      </c>
      <c r="AH146" s="1187" t="s">
        <v>55</v>
      </c>
      <c r="AI146" s="909" t="s">
        <v>55</v>
      </c>
      <c r="AJ146" s="633">
        <f t="shared" si="22"/>
        <v>27</v>
      </c>
      <c r="AK146" s="634">
        <f t="shared" si="23"/>
        <v>4</v>
      </c>
      <c r="AL146" s="633">
        <f t="shared" si="24"/>
        <v>0</v>
      </c>
      <c r="AM146" s="633">
        <f t="shared" si="25"/>
        <v>0</v>
      </c>
      <c r="AN146" s="633">
        <f t="shared" si="26"/>
        <v>0</v>
      </c>
      <c r="AO146" s="634">
        <f t="shared" si="27"/>
        <v>0</v>
      </c>
      <c r="AP146" s="635">
        <f t="shared" si="28"/>
        <v>31</v>
      </c>
      <c r="AQ146" s="535"/>
      <c r="AR146" s="174"/>
      <c r="AS146" s="172" t="e">
        <f>VLOOKUP(C147,'[1]NT 2'!$C$2:$J$259,8,0)</f>
        <v>#N/A</v>
      </c>
      <c r="AT146" s="575" t="e">
        <f t="shared" si="29"/>
        <v>#N/A</v>
      </c>
    </row>
    <row r="147" spans="1:50" ht="24.75" customHeight="1">
      <c r="A147" s="1189">
        <v>130</v>
      </c>
      <c r="B147" s="636">
        <v>54</v>
      </c>
      <c r="C147" s="502" t="s">
        <v>353</v>
      </c>
      <c r="E147" s="1187" t="s">
        <v>55</v>
      </c>
      <c r="F147" s="1187" t="s">
        <v>55</v>
      </c>
      <c r="G147" s="1187" t="s">
        <v>55</v>
      </c>
      <c r="H147" s="1187" t="s">
        <v>118</v>
      </c>
      <c r="I147" s="1187"/>
      <c r="J147" s="1187"/>
      <c r="K147" s="1187"/>
      <c r="L147" s="1187"/>
      <c r="M147" s="1187"/>
      <c r="N147" s="1187"/>
      <c r="O147" s="1187" t="s">
        <v>118</v>
      </c>
      <c r="P147" s="1187" t="s">
        <v>55</v>
      </c>
      <c r="Q147" s="1187" t="s">
        <v>55</v>
      </c>
      <c r="R147" s="1187" t="s">
        <v>55</v>
      </c>
      <c r="S147" s="1187" t="s">
        <v>55</v>
      </c>
      <c r="T147" s="1187" t="s">
        <v>55</v>
      </c>
      <c r="U147" s="1187" t="s">
        <v>55</v>
      </c>
      <c r="V147" s="1187" t="s">
        <v>118</v>
      </c>
      <c r="W147" s="1187" t="s">
        <v>55</v>
      </c>
      <c r="X147" s="1187" t="s">
        <v>55</v>
      </c>
      <c r="Y147" s="1187" t="s">
        <v>55</v>
      </c>
      <c r="Z147" s="1187" t="s">
        <v>55</v>
      </c>
      <c r="AA147" s="1187" t="s">
        <v>55</v>
      </c>
      <c r="AB147" s="1187" t="s">
        <v>55</v>
      </c>
      <c r="AC147" s="1187" t="s">
        <v>118</v>
      </c>
      <c r="AD147" s="1187" t="s">
        <v>55</v>
      </c>
      <c r="AE147" s="1187" t="s">
        <v>55</v>
      </c>
      <c r="AF147" s="1187" t="s">
        <v>55</v>
      </c>
      <c r="AG147" s="1187" t="s">
        <v>55</v>
      </c>
      <c r="AH147" s="1187" t="s">
        <v>55</v>
      </c>
      <c r="AI147" s="909" t="s">
        <v>55</v>
      </c>
      <c r="AJ147" s="633">
        <f t="shared" si="22"/>
        <v>21</v>
      </c>
      <c r="AK147" s="634">
        <f t="shared" si="23"/>
        <v>4</v>
      </c>
      <c r="AL147" s="633">
        <f t="shared" si="24"/>
        <v>0</v>
      </c>
      <c r="AM147" s="633">
        <f t="shared" si="25"/>
        <v>0</v>
      </c>
      <c r="AN147" s="633">
        <f t="shared" si="26"/>
        <v>0</v>
      </c>
      <c r="AO147" s="634">
        <f t="shared" si="27"/>
        <v>0</v>
      </c>
      <c r="AP147" s="635">
        <f t="shared" si="28"/>
        <v>25</v>
      </c>
      <c r="AQ147" s="535"/>
      <c r="AR147" s="174"/>
      <c r="AS147" s="172" t="e">
        <f>VLOOKUP(C148,'[1]NT 2'!$C$2:$J$259,8,0)</f>
        <v>#N/A</v>
      </c>
      <c r="AT147" s="575" t="e">
        <f t="shared" si="29"/>
        <v>#N/A</v>
      </c>
    </row>
    <row r="148" spans="1:50" ht="24.75" customHeight="1">
      <c r="A148" s="1189">
        <v>131</v>
      </c>
      <c r="B148" s="636">
        <v>55</v>
      </c>
      <c r="C148" s="502" t="s">
        <v>623</v>
      </c>
      <c r="D148" s="13" t="e">
        <f>VLOOKUP(C148,'[1]NT 2'!$C$2:$J$259,8,0)</f>
        <v>#N/A</v>
      </c>
      <c r="E148" s="1187" t="s">
        <v>55</v>
      </c>
      <c r="F148" s="1187" t="s">
        <v>55</v>
      </c>
      <c r="G148" s="1187" t="s">
        <v>55</v>
      </c>
      <c r="H148" s="1187" t="s">
        <v>118</v>
      </c>
      <c r="I148" s="1187" t="s">
        <v>55</v>
      </c>
      <c r="J148" s="1187" t="s">
        <v>55</v>
      </c>
      <c r="K148" s="1187" t="s">
        <v>55</v>
      </c>
      <c r="L148" s="1187" t="s">
        <v>55</v>
      </c>
      <c r="M148" s="1187" t="s">
        <v>55</v>
      </c>
      <c r="N148" s="1187" t="s">
        <v>55</v>
      </c>
      <c r="O148" s="1187" t="s">
        <v>118</v>
      </c>
      <c r="P148" s="1187" t="s">
        <v>55</v>
      </c>
      <c r="Q148" s="1187" t="s">
        <v>55</v>
      </c>
      <c r="R148" s="1187" t="s">
        <v>55</v>
      </c>
      <c r="S148" s="1187" t="s">
        <v>55</v>
      </c>
      <c r="T148" s="1187" t="s">
        <v>55</v>
      </c>
      <c r="U148" s="1187" t="s">
        <v>55</v>
      </c>
      <c r="V148" s="1187" t="s">
        <v>118</v>
      </c>
      <c r="W148" s="1187" t="s">
        <v>55</v>
      </c>
      <c r="X148" s="1187" t="s">
        <v>55</v>
      </c>
      <c r="Y148" s="1187" t="s">
        <v>55</v>
      </c>
      <c r="Z148" s="1187" t="s">
        <v>55</v>
      </c>
      <c r="AA148" s="1187" t="s">
        <v>55</v>
      </c>
      <c r="AB148" s="1187" t="s">
        <v>55</v>
      </c>
      <c r="AC148" s="1187" t="s">
        <v>118</v>
      </c>
      <c r="AD148" s="1187" t="s">
        <v>55</v>
      </c>
      <c r="AE148" s="1187" t="s">
        <v>55</v>
      </c>
      <c r="AF148" s="1187" t="s">
        <v>55</v>
      </c>
      <c r="AG148" s="1187" t="s">
        <v>55</v>
      </c>
      <c r="AH148" s="1187" t="s">
        <v>55</v>
      </c>
      <c r="AI148" s="909" t="s">
        <v>55</v>
      </c>
      <c r="AJ148" s="633">
        <f t="shared" si="22"/>
        <v>27</v>
      </c>
      <c r="AK148" s="634">
        <f t="shared" si="23"/>
        <v>4</v>
      </c>
      <c r="AL148" s="633">
        <f t="shared" si="24"/>
        <v>0</v>
      </c>
      <c r="AM148" s="633">
        <f t="shared" si="25"/>
        <v>0</v>
      </c>
      <c r="AN148" s="633">
        <f t="shared" si="26"/>
        <v>0</v>
      </c>
      <c r="AO148" s="634">
        <f t="shared" si="27"/>
        <v>0</v>
      </c>
      <c r="AP148" s="635">
        <f t="shared" si="28"/>
        <v>31</v>
      </c>
      <c r="AQ148" s="535"/>
      <c r="AR148" s="174"/>
      <c r="AS148" s="172" t="str">
        <f>VLOOKUP(C149,'[1]NT 2'!$C$2:$J$259,8,0)</f>
        <v>03642</v>
      </c>
      <c r="AT148" s="575">
        <f t="shared" si="29"/>
        <v>0</v>
      </c>
    </row>
    <row r="149" spans="1:50" ht="24.75" customHeight="1">
      <c r="A149" s="1189">
        <v>132</v>
      </c>
      <c r="B149" s="636">
        <v>56</v>
      </c>
      <c r="C149" s="502" t="s">
        <v>275</v>
      </c>
      <c r="D149" s="13" t="str">
        <f>VLOOKUP(C149,'[1]NT 2'!$C$2:$J$259,8,0)</f>
        <v>03642</v>
      </c>
      <c r="E149" s="1187" t="s">
        <v>55</v>
      </c>
      <c r="F149" s="1187" t="s">
        <v>55</v>
      </c>
      <c r="G149" s="1187" t="s">
        <v>55</v>
      </c>
      <c r="H149" s="1187" t="s">
        <v>118</v>
      </c>
      <c r="I149" s="1187"/>
      <c r="J149" s="1187"/>
      <c r="K149" s="1187"/>
      <c r="L149" s="1187"/>
      <c r="M149" s="1187"/>
      <c r="N149" s="1187"/>
      <c r="O149" s="1187" t="s">
        <v>118</v>
      </c>
      <c r="P149" s="1187" t="s">
        <v>55</v>
      </c>
      <c r="Q149" s="1187" t="s">
        <v>55</v>
      </c>
      <c r="R149" s="1187" t="s">
        <v>55</v>
      </c>
      <c r="S149" s="1187" t="s">
        <v>55</v>
      </c>
      <c r="T149" s="1187" t="s">
        <v>55</v>
      </c>
      <c r="U149" s="1187" t="s">
        <v>55</v>
      </c>
      <c r="V149" s="1187" t="s">
        <v>118</v>
      </c>
      <c r="W149" s="1187" t="s">
        <v>55</v>
      </c>
      <c r="X149" s="1187" t="s">
        <v>55</v>
      </c>
      <c r="Y149" s="1187" t="s">
        <v>55</v>
      </c>
      <c r="Z149" s="1187" t="s">
        <v>55</v>
      </c>
      <c r="AA149" s="1187" t="s">
        <v>55</v>
      </c>
      <c r="AB149" s="1187" t="s">
        <v>55</v>
      </c>
      <c r="AC149" s="1187" t="s">
        <v>118</v>
      </c>
      <c r="AD149" s="1187" t="s">
        <v>55</v>
      </c>
      <c r="AE149" s="1187" t="s">
        <v>55</v>
      </c>
      <c r="AF149" s="1187" t="s">
        <v>55</v>
      </c>
      <c r="AG149" s="1187" t="s">
        <v>55</v>
      </c>
      <c r="AH149" s="1187" t="s">
        <v>55</v>
      </c>
      <c r="AI149" s="909" t="s">
        <v>55</v>
      </c>
      <c r="AJ149" s="633">
        <f t="shared" si="22"/>
        <v>21</v>
      </c>
      <c r="AK149" s="634">
        <f t="shared" si="23"/>
        <v>4</v>
      </c>
      <c r="AL149" s="633">
        <f t="shared" si="24"/>
        <v>0</v>
      </c>
      <c r="AM149" s="633">
        <f t="shared" si="25"/>
        <v>0</v>
      </c>
      <c r="AN149" s="633">
        <f t="shared" si="26"/>
        <v>0</v>
      </c>
      <c r="AO149" s="634">
        <f t="shared" si="27"/>
        <v>0</v>
      </c>
      <c r="AP149" s="635">
        <f t="shared" si="28"/>
        <v>25</v>
      </c>
      <c r="AQ149" s="535"/>
      <c r="AR149" s="174"/>
      <c r="AS149" s="172" t="e">
        <f>VLOOKUP(C150,'[1]NT 2'!$C$2:$J$259,8,0)</f>
        <v>#N/A</v>
      </c>
      <c r="AT149" s="575" t="e">
        <f t="shared" si="29"/>
        <v>#N/A</v>
      </c>
    </row>
    <row r="150" spans="1:50" ht="24.75" customHeight="1">
      <c r="A150" s="1189">
        <v>133</v>
      </c>
      <c r="B150" s="636">
        <v>57</v>
      </c>
      <c r="C150" s="502" t="s">
        <v>624</v>
      </c>
      <c r="D150" s="13" t="e">
        <f>VLOOKUP(C150,'[1]NT 2'!$C$2:$J$259,8,0)</f>
        <v>#N/A</v>
      </c>
      <c r="E150" s="1187" t="s">
        <v>55</v>
      </c>
      <c r="F150" s="1187" t="s">
        <v>55</v>
      </c>
      <c r="G150" s="1187" t="s">
        <v>55</v>
      </c>
      <c r="H150" s="1187" t="s">
        <v>118</v>
      </c>
      <c r="I150" s="1187" t="s">
        <v>55</v>
      </c>
      <c r="J150" s="1187" t="s">
        <v>55</v>
      </c>
      <c r="K150" s="1187" t="s">
        <v>55</v>
      </c>
      <c r="L150" s="1187" t="s">
        <v>55</v>
      </c>
      <c r="M150" s="1187" t="s">
        <v>55</v>
      </c>
      <c r="N150" s="1187" t="s">
        <v>55</v>
      </c>
      <c r="O150" s="1187" t="s">
        <v>118</v>
      </c>
      <c r="P150" s="1187" t="s">
        <v>55</v>
      </c>
      <c r="Q150" s="1187" t="s">
        <v>55</v>
      </c>
      <c r="R150" s="1187" t="s">
        <v>55</v>
      </c>
      <c r="S150" s="1187" t="s">
        <v>55</v>
      </c>
      <c r="T150" s="1187" t="s">
        <v>55</v>
      </c>
      <c r="U150" s="1187" t="s">
        <v>55</v>
      </c>
      <c r="V150" s="1187" t="s">
        <v>118</v>
      </c>
      <c r="W150" s="1187" t="s">
        <v>55</v>
      </c>
      <c r="X150" s="1187" t="s">
        <v>55</v>
      </c>
      <c r="Y150" s="1187" t="s">
        <v>55</v>
      </c>
      <c r="Z150" s="1187" t="s">
        <v>55</v>
      </c>
      <c r="AA150" s="1187" t="s">
        <v>55</v>
      </c>
      <c r="AB150" s="1187" t="s">
        <v>55</v>
      </c>
      <c r="AC150" s="1187" t="s">
        <v>118</v>
      </c>
      <c r="AD150" s="1187" t="s">
        <v>55</v>
      </c>
      <c r="AE150" s="1187" t="s">
        <v>55</v>
      </c>
      <c r="AF150" s="1187" t="s">
        <v>55</v>
      </c>
      <c r="AG150" s="1187" t="s">
        <v>55</v>
      </c>
      <c r="AH150" s="1187" t="s">
        <v>55</v>
      </c>
      <c r="AI150" s="909" t="s">
        <v>55</v>
      </c>
      <c r="AJ150" s="633">
        <f t="shared" si="22"/>
        <v>27</v>
      </c>
      <c r="AK150" s="634">
        <f t="shared" si="23"/>
        <v>4</v>
      </c>
      <c r="AL150" s="633">
        <f t="shared" si="24"/>
        <v>0</v>
      </c>
      <c r="AM150" s="633">
        <f t="shared" si="25"/>
        <v>0</v>
      </c>
      <c r="AN150" s="633">
        <f t="shared" si="26"/>
        <v>0</v>
      </c>
      <c r="AO150" s="634">
        <f t="shared" si="27"/>
        <v>0</v>
      </c>
      <c r="AP150" s="635">
        <f t="shared" si="28"/>
        <v>31</v>
      </c>
      <c r="AQ150" s="535"/>
      <c r="AR150" s="174"/>
      <c r="AS150" s="172" t="e">
        <f>VLOOKUP(C151,'[1]NT 2'!$C$2:$J$259,8,0)</f>
        <v>#N/A</v>
      </c>
      <c r="AT150" s="575" t="e">
        <f t="shared" si="29"/>
        <v>#N/A</v>
      </c>
    </row>
    <row r="151" spans="1:50" ht="24.75" customHeight="1">
      <c r="A151" s="1189">
        <v>134</v>
      </c>
      <c r="B151" s="636">
        <v>58</v>
      </c>
      <c r="C151" s="502" t="s">
        <v>625</v>
      </c>
      <c r="D151" s="13" t="e">
        <f>VLOOKUP(C151,'[1]NT 2'!$C$2:$J$259,8,0)</f>
        <v>#N/A</v>
      </c>
      <c r="E151" s="1187" t="s">
        <v>55</v>
      </c>
      <c r="F151" s="1187" t="s">
        <v>55</v>
      </c>
      <c r="G151" s="1187" t="s">
        <v>55</v>
      </c>
      <c r="H151" s="1187" t="s">
        <v>118</v>
      </c>
      <c r="I151" s="1187" t="s">
        <v>55</v>
      </c>
      <c r="J151" s="1187" t="s">
        <v>55</v>
      </c>
      <c r="K151" s="1187" t="s">
        <v>55</v>
      </c>
      <c r="L151" s="1187" t="s">
        <v>55</v>
      </c>
      <c r="M151" s="1187" t="s">
        <v>55</v>
      </c>
      <c r="N151" s="1187" t="s">
        <v>55</v>
      </c>
      <c r="O151" s="1187" t="s">
        <v>118</v>
      </c>
      <c r="P151" s="1187" t="s">
        <v>55</v>
      </c>
      <c r="Q151" s="1187" t="s">
        <v>55</v>
      </c>
      <c r="R151" s="1187" t="s">
        <v>55</v>
      </c>
      <c r="S151" s="1187" t="s">
        <v>55</v>
      </c>
      <c r="T151" s="1187" t="s">
        <v>55</v>
      </c>
      <c r="U151" s="1187" t="s">
        <v>55</v>
      </c>
      <c r="V151" s="1187" t="s">
        <v>118</v>
      </c>
      <c r="W151" s="1187" t="s">
        <v>55</v>
      </c>
      <c r="X151" s="1187" t="s">
        <v>55</v>
      </c>
      <c r="Y151" s="1187" t="s">
        <v>55</v>
      </c>
      <c r="Z151" s="1187" t="s">
        <v>55</v>
      </c>
      <c r="AA151" s="1187" t="s">
        <v>55</v>
      </c>
      <c r="AB151" s="1187" t="s">
        <v>55</v>
      </c>
      <c r="AC151" s="1187" t="s">
        <v>118</v>
      </c>
      <c r="AD151" s="1187" t="s">
        <v>55</v>
      </c>
      <c r="AE151" s="1187" t="s">
        <v>55</v>
      </c>
      <c r="AF151" s="1187" t="s">
        <v>55</v>
      </c>
      <c r="AG151" s="1187" t="s">
        <v>55</v>
      </c>
      <c r="AH151" s="1187" t="s">
        <v>55</v>
      </c>
      <c r="AI151" s="909" t="s">
        <v>55</v>
      </c>
      <c r="AJ151" s="633">
        <f t="shared" si="22"/>
        <v>27</v>
      </c>
      <c r="AK151" s="634">
        <f t="shared" si="23"/>
        <v>4</v>
      </c>
      <c r="AL151" s="633">
        <f t="shared" si="24"/>
        <v>0</v>
      </c>
      <c r="AM151" s="633">
        <f t="shared" si="25"/>
        <v>0</v>
      </c>
      <c r="AN151" s="633">
        <f t="shared" si="26"/>
        <v>0</v>
      </c>
      <c r="AO151" s="634">
        <f t="shared" si="27"/>
        <v>0</v>
      </c>
      <c r="AP151" s="635">
        <f t="shared" si="28"/>
        <v>31</v>
      </c>
      <c r="AQ151" s="535"/>
      <c r="AR151" s="174"/>
      <c r="AT151" s="575">
        <f t="shared" si="29"/>
        <v>0</v>
      </c>
    </row>
    <row r="152" spans="1:50" ht="24.75" customHeight="1">
      <c r="A152" s="1189">
        <v>135</v>
      </c>
      <c r="B152" s="636">
        <v>59</v>
      </c>
      <c r="C152" s="146" t="s">
        <v>293</v>
      </c>
      <c r="E152" s="1187"/>
      <c r="F152" s="1187"/>
      <c r="G152" s="1187"/>
      <c r="H152" s="1187"/>
      <c r="I152" s="1187"/>
      <c r="J152" s="1187"/>
      <c r="K152" s="1187" t="s">
        <v>55</v>
      </c>
      <c r="L152" s="1187"/>
      <c r="M152" s="1187" t="s">
        <v>55</v>
      </c>
      <c r="N152" s="1187" t="s">
        <v>55</v>
      </c>
      <c r="O152" s="1187" t="s">
        <v>118</v>
      </c>
      <c r="P152" s="1187"/>
      <c r="Q152" s="1187" t="s">
        <v>55</v>
      </c>
      <c r="R152" s="1187" t="s">
        <v>55</v>
      </c>
      <c r="S152" s="1187"/>
      <c r="T152" s="1187" t="s">
        <v>55</v>
      </c>
      <c r="U152" s="1187"/>
      <c r="V152" s="1187" t="s">
        <v>118</v>
      </c>
      <c r="W152" s="1187" t="s">
        <v>55</v>
      </c>
      <c r="X152" s="1187" t="s">
        <v>55</v>
      </c>
      <c r="Y152" s="1187" t="s">
        <v>55</v>
      </c>
      <c r="Z152" s="1187" t="s">
        <v>55</v>
      </c>
      <c r="AA152" s="1187"/>
      <c r="AB152" s="1187" t="s">
        <v>55</v>
      </c>
      <c r="AC152" s="1187" t="s">
        <v>118</v>
      </c>
      <c r="AD152" s="1187" t="s">
        <v>55</v>
      </c>
      <c r="AE152" s="1187" t="s">
        <v>55</v>
      </c>
      <c r="AF152" s="1187" t="s">
        <v>55</v>
      </c>
      <c r="AG152" s="909" t="s">
        <v>55</v>
      </c>
      <c r="AH152" s="909"/>
      <c r="AI152" s="909"/>
      <c r="AJ152" s="633">
        <f t="shared" si="22"/>
        <v>15</v>
      </c>
      <c r="AK152" s="634">
        <f t="shared" si="23"/>
        <v>3</v>
      </c>
      <c r="AL152" s="633">
        <f t="shared" si="24"/>
        <v>0</v>
      </c>
      <c r="AM152" s="633">
        <f t="shared" si="25"/>
        <v>0</v>
      </c>
      <c r="AN152" s="633">
        <f t="shared" si="26"/>
        <v>0</v>
      </c>
      <c r="AO152" s="634">
        <f t="shared" si="27"/>
        <v>0</v>
      </c>
      <c r="AP152" s="635">
        <f t="shared" si="28"/>
        <v>18</v>
      </c>
      <c r="AQ152" s="535"/>
      <c r="AR152" s="174"/>
      <c r="AT152" s="575">
        <f t="shared" si="29"/>
        <v>0</v>
      </c>
    </row>
    <row r="153" spans="1:50" ht="24.75" customHeight="1">
      <c r="A153" s="1189">
        <v>136</v>
      </c>
      <c r="B153" s="636">
        <v>60</v>
      </c>
      <c r="C153" s="502" t="s">
        <v>357</v>
      </c>
      <c r="E153" s="1187"/>
      <c r="F153" s="1187"/>
      <c r="G153" s="1187"/>
      <c r="H153" s="1187"/>
      <c r="I153" s="1187"/>
      <c r="J153" s="1187"/>
      <c r="K153" s="1187" t="s">
        <v>55</v>
      </c>
      <c r="L153" s="1187"/>
      <c r="M153" s="1187" t="s">
        <v>55</v>
      </c>
      <c r="N153" s="1187" t="s">
        <v>55</v>
      </c>
      <c r="O153" s="1187" t="s">
        <v>118</v>
      </c>
      <c r="P153" s="1187"/>
      <c r="Q153" s="1187" t="s">
        <v>55</v>
      </c>
      <c r="R153" s="1187" t="s">
        <v>55</v>
      </c>
      <c r="S153" s="1187"/>
      <c r="T153" s="1187"/>
      <c r="U153" s="1187"/>
      <c r="V153" s="1187" t="s">
        <v>118</v>
      </c>
      <c r="W153" s="1187" t="s">
        <v>55</v>
      </c>
      <c r="X153" s="1187" t="s">
        <v>55</v>
      </c>
      <c r="Y153" s="1187" t="s">
        <v>55</v>
      </c>
      <c r="Z153" s="1187"/>
      <c r="AA153" s="1187"/>
      <c r="AB153" s="1187" t="s">
        <v>55</v>
      </c>
      <c r="AC153" s="1187"/>
      <c r="AD153" s="1187"/>
      <c r="AE153" s="1187"/>
      <c r="AF153" s="1187" t="s">
        <v>55</v>
      </c>
      <c r="AG153" s="909" t="s">
        <v>55</v>
      </c>
      <c r="AH153" s="909"/>
      <c r="AI153" s="909"/>
      <c r="AJ153" s="633">
        <f t="shared" si="22"/>
        <v>11</v>
      </c>
      <c r="AK153" s="634">
        <f t="shared" si="23"/>
        <v>2</v>
      </c>
      <c r="AL153" s="633">
        <f t="shared" si="24"/>
        <v>0</v>
      </c>
      <c r="AM153" s="633">
        <f t="shared" si="25"/>
        <v>0</v>
      </c>
      <c r="AN153" s="633">
        <f t="shared" si="26"/>
        <v>0</v>
      </c>
      <c r="AO153" s="634">
        <f t="shared" si="27"/>
        <v>0</v>
      </c>
      <c r="AP153" s="635">
        <f t="shared" si="28"/>
        <v>13</v>
      </c>
      <c r="AQ153" s="535"/>
      <c r="AR153" s="174"/>
      <c r="AT153" s="575">
        <f t="shared" si="29"/>
        <v>0</v>
      </c>
    </row>
    <row r="154" spans="1:50" ht="24.75" hidden="1" customHeight="1">
      <c r="A154" s="1189">
        <v>137</v>
      </c>
      <c r="B154" s="636">
        <v>61</v>
      </c>
      <c r="C154" s="660" t="s">
        <v>369</v>
      </c>
      <c r="E154" s="1187"/>
      <c r="F154" s="1187"/>
      <c r="G154" s="1187"/>
      <c r="H154" s="1187"/>
      <c r="I154" s="1187"/>
      <c r="J154" s="1187"/>
      <c r="K154" s="1187"/>
      <c r="L154" s="1187"/>
      <c r="M154" s="1187"/>
      <c r="N154" s="1187"/>
      <c r="O154" s="1187"/>
      <c r="P154" s="1187"/>
      <c r="Q154" s="1187"/>
      <c r="R154" s="1187"/>
      <c r="S154" s="1187"/>
      <c r="T154" s="1187"/>
      <c r="U154" s="1187"/>
      <c r="V154" s="1187"/>
      <c r="W154" s="1187"/>
      <c r="X154" s="1187"/>
      <c r="Y154" s="1187"/>
      <c r="Z154" s="1187"/>
      <c r="AA154" s="1187"/>
      <c r="AB154" s="1187"/>
      <c r="AC154" s="1187"/>
      <c r="AD154" s="1187"/>
      <c r="AE154" s="1187"/>
      <c r="AF154" s="1187"/>
      <c r="AG154" s="909"/>
      <c r="AH154" s="909"/>
      <c r="AI154" s="909"/>
      <c r="AJ154" s="633">
        <f t="shared" si="22"/>
        <v>0</v>
      </c>
      <c r="AK154" s="634">
        <f t="shared" si="23"/>
        <v>0</v>
      </c>
      <c r="AL154" s="633">
        <f t="shared" si="24"/>
        <v>0</v>
      </c>
      <c r="AM154" s="633">
        <f t="shared" si="25"/>
        <v>0</v>
      </c>
      <c r="AN154" s="633">
        <f t="shared" si="26"/>
        <v>0</v>
      </c>
      <c r="AO154" s="634">
        <f t="shared" si="27"/>
        <v>0</v>
      </c>
      <c r="AP154" s="635">
        <f t="shared" si="28"/>
        <v>0</v>
      </c>
      <c r="AQ154" s="535"/>
      <c r="AR154" s="174"/>
      <c r="AT154" s="575">
        <f t="shared" si="29"/>
        <v>0</v>
      </c>
    </row>
    <row r="155" spans="1:50" ht="24.75" hidden="1" customHeight="1">
      <c r="A155" s="1189">
        <v>138</v>
      </c>
      <c r="B155" s="636">
        <v>62</v>
      </c>
      <c r="C155" s="660" t="s">
        <v>370</v>
      </c>
      <c r="E155" s="1187"/>
      <c r="F155" s="1187"/>
      <c r="G155" s="1187"/>
      <c r="H155" s="1187"/>
      <c r="I155" s="1187"/>
      <c r="J155" s="1187"/>
      <c r="K155" s="1187"/>
      <c r="L155" s="1187"/>
      <c r="M155" s="1187"/>
      <c r="N155" s="1187"/>
      <c r="O155" s="1187"/>
      <c r="P155" s="1187"/>
      <c r="Q155" s="1187"/>
      <c r="R155" s="1187"/>
      <c r="S155" s="1187"/>
      <c r="T155" s="1187"/>
      <c r="U155" s="1187"/>
      <c r="V155" s="1187"/>
      <c r="W155" s="1187"/>
      <c r="X155" s="1187"/>
      <c r="Y155" s="1187"/>
      <c r="Z155" s="1187"/>
      <c r="AA155" s="1187"/>
      <c r="AB155" s="1187"/>
      <c r="AC155" s="1187"/>
      <c r="AD155" s="1187"/>
      <c r="AE155" s="1187"/>
      <c r="AF155" s="1187"/>
      <c r="AG155" s="909"/>
      <c r="AH155" s="909"/>
      <c r="AI155" s="909"/>
      <c r="AJ155" s="633">
        <f t="shared" si="22"/>
        <v>0</v>
      </c>
      <c r="AK155" s="634">
        <f t="shared" si="23"/>
        <v>0</v>
      </c>
      <c r="AL155" s="633">
        <f t="shared" si="24"/>
        <v>0</v>
      </c>
      <c r="AM155" s="633">
        <f t="shared" si="25"/>
        <v>0</v>
      </c>
      <c r="AN155" s="633">
        <f t="shared" si="26"/>
        <v>0</v>
      </c>
      <c r="AO155" s="634">
        <f t="shared" si="27"/>
        <v>0</v>
      </c>
      <c r="AP155" s="635">
        <f t="shared" si="28"/>
        <v>0</v>
      </c>
      <c r="AQ155" s="535"/>
      <c r="AR155" s="174"/>
      <c r="AT155" s="575" t="e">
        <f>#REF!-AS155</f>
        <v>#REF!</v>
      </c>
    </row>
    <row r="156" spans="1:50" ht="24.75" customHeight="1">
      <c r="A156" s="1362" t="s">
        <v>61</v>
      </c>
      <c r="B156" s="1362"/>
      <c r="C156" s="1362"/>
      <c r="D156" s="1362"/>
      <c r="E156" s="758">
        <f>E12+E93</f>
        <v>123</v>
      </c>
      <c r="F156" s="758">
        <f t="shared" ref="F156:AI156" si="30">F12+F93</f>
        <v>112</v>
      </c>
      <c r="G156" s="758">
        <f t="shared" si="30"/>
        <v>113</v>
      </c>
      <c r="H156" s="758">
        <f t="shared" si="30"/>
        <v>113</v>
      </c>
      <c r="I156" s="758">
        <f t="shared" si="30"/>
        <v>116</v>
      </c>
      <c r="J156" s="758">
        <f t="shared" si="30"/>
        <v>110</v>
      </c>
      <c r="K156" s="758">
        <f t="shared" si="30"/>
        <v>103</v>
      </c>
      <c r="L156" s="758">
        <f t="shared" si="30"/>
        <v>120</v>
      </c>
      <c r="M156" s="758">
        <f t="shared" si="30"/>
        <v>123</v>
      </c>
      <c r="N156" s="758">
        <f t="shared" si="30"/>
        <v>120</v>
      </c>
      <c r="O156" s="758">
        <f t="shared" si="30"/>
        <v>122</v>
      </c>
      <c r="P156" s="758">
        <f t="shared" si="30"/>
        <v>128</v>
      </c>
      <c r="Q156" s="758">
        <f t="shared" si="30"/>
        <v>127</v>
      </c>
      <c r="R156" s="758">
        <f t="shared" si="30"/>
        <v>124</v>
      </c>
      <c r="S156" s="758">
        <f t="shared" si="30"/>
        <v>122</v>
      </c>
      <c r="T156" s="758">
        <f t="shared" si="30"/>
        <v>128</v>
      </c>
      <c r="U156" s="758">
        <f t="shared" si="30"/>
        <v>131</v>
      </c>
      <c r="V156" s="758">
        <f t="shared" si="30"/>
        <v>126</v>
      </c>
      <c r="W156" s="758">
        <f t="shared" si="30"/>
        <v>128</v>
      </c>
      <c r="X156" s="758">
        <f t="shared" si="30"/>
        <v>129</v>
      </c>
      <c r="Y156" s="758">
        <f t="shared" si="30"/>
        <v>130</v>
      </c>
      <c r="Z156" s="758">
        <f t="shared" si="30"/>
        <v>126</v>
      </c>
      <c r="AA156" s="758">
        <f t="shared" si="30"/>
        <v>131</v>
      </c>
      <c r="AB156" s="758">
        <f t="shared" si="30"/>
        <v>131</v>
      </c>
      <c r="AC156" s="758">
        <f t="shared" si="30"/>
        <v>130</v>
      </c>
      <c r="AD156" s="758">
        <f t="shared" si="30"/>
        <v>130</v>
      </c>
      <c r="AE156" s="758">
        <f t="shared" si="30"/>
        <v>130</v>
      </c>
      <c r="AF156" s="758">
        <f t="shared" si="30"/>
        <v>129</v>
      </c>
      <c r="AG156" s="758">
        <f t="shared" si="30"/>
        <v>128</v>
      </c>
      <c r="AH156" s="758">
        <f t="shared" si="30"/>
        <v>129</v>
      </c>
      <c r="AI156" s="758">
        <f t="shared" si="30"/>
        <v>131</v>
      </c>
      <c r="AJ156" s="263">
        <f>SUM(AJ12+AJ93)</f>
        <v>3352</v>
      </c>
      <c r="AK156" s="263">
        <f t="shared" ref="AK156:AP156" si="31">SUM(AK12+AK93)</f>
        <v>491</v>
      </c>
      <c r="AL156" s="263">
        <f t="shared" si="31"/>
        <v>0</v>
      </c>
      <c r="AM156" s="263">
        <f t="shared" si="31"/>
        <v>0</v>
      </c>
      <c r="AN156" s="263">
        <f t="shared" si="31"/>
        <v>0</v>
      </c>
      <c r="AO156" s="263">
        <f t="shared" si="31"/>
        <v>0</v>
      </c>
      <c r="AP156" s="263">
        <f t="shared" si="31"/>
        <v>3843</v>
      </c>
      <c r="AQ156" s="565"/>
    </row>
    <row r="157" spans="1:50" ht="16.5">
      <c r="B157" s="176"/>
      <c r="C157" s="1183"/>
      <c r="D157" s="32"/>
      <c r="E157" s="179"/>
      <c r="F157" s="179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79"/>
      <c r="V157" s="179"/>
      <c r="W157" s="179"/>
      <c r="X157" s="1365" t="s">
        <v>695</v>
      </c>
      <c r="Y157" s="1365"/>
      <c r="Z157" s="1365"/>
      <c r="AA157" s="1365"/>
      <c r="AB157" s="1365"/>
      <c r="AC157" s="1365"/>
      <c r="AD157" s="1365"/>
      <c r="AE157" s="1365"/>
      <c r="AF157" s="1365"/>
      <c r="AG157" s="1365"/>
      <c r="AH157" s="1365"/>
      <c r="AI157" s="1365"/>
      <c r="AJ157" s="1365"/>
      <c r="AK157" s="1365"/>
      <c r="AL157" s="1365"/>
      <c r="AM157" s="1365"/>
      <c r="AN157" s="1365"/>
      <c r="AO157" s="1365"/>
      <c r="AP157" s="1365"/>
      <c r="AX157" s="172">
        <f>SUM(AT157:AW157)</f>
        <v>0</v>
      </c>
    </row>
    <row r="158" spans="1:50" ht="16.5">
      <c r="A158" s="1368" t="s">
        <v>654</v>
      </c>
      <c r="B158" s="1368"/>
      <c r="C158" s="1368"/>
      <c r="D158" s="1368"/>
      <c r="E158" s="1368"/>
      <c r="F158" s="1368"/>
      <c r="G158" s="1368"/>
      <c r="H158" s="1368"/>
      <c r="I158" s="1368"/>
      <c r="J158" s="1368"/>
      <c r="K158" s="1368"/>
      <c r="L158" s="1368"/>
      <c r="M158" s="1368"/>
      <c r="N158" s="1368"/>
      <c r="O158" s="1368"/>
      <c r="P158" s="1368"/>
      <c r="Q158" s="1368"/>
      <c r="R158" s="1368"/>
      <c r="S158" s="1368"/>
      <c r="T158" s="1368"/>
      <c r="U158" s="1368"/>
      <c r="V158" s="1368"/>
      <c r="W158" s="1368"/>
      <c r="X158" s="1368"/>
      <c r="Y158" s="1368"/>
      <c r="Z158" s="1368"/>
      <c r="AA158" s="1368"/>
      <c r="AB158" s="1368"/>
      <c r="AC158" s="1368"/>
      <c r="AD158" s="1368"/>
      <c r="AE158" s="1368"/>
      <c r="AF158" s="1368"/>
      <c r="AG158" s="1368"/>
      <c r="AH158" s="1368"/>
      <c r="AI158" s="1368"/>
      <c r="AJ158" s="1368"/>
      <c r="AK158" s="1368"/>
      <c r="AL158" s="1368"/>
      <c r="AM158" s="1368"/>
      <c r="AN158" s="1368"/>
      <c r="AO158" s="1368"/>
      <c r="AP158" s="1368"/>
      <c r="AQ158" s="1368"/>
    </row>
    <row r="159" spans="1:50" ht="16.5">
      <c r="B159" s="173"/>
      <c r="C159" s="178"/>
      <c r="E159" s="178"/>
      <c r="F159" s="178"/>
      <c r="G159" s="178"/>
      <c r="H159" s="178"/>
      <c r="I159" s="178"/>
      <c r="J159" s="178"/>
      <c r="K159" s="178"/>
      <c r="L159" s="178"/>
      <c r="M159" s="178"/>
      <c r="N159" s="178"/>
      <c r="O159" s="178"/>
      <c r="P159" s="178"/>
      <c r="Q159" s="178"/>
      <c r="R159" s="178"/>
      <c r="S159" s="178"/>
      <c r="T159" s="178"/>
      <c r="U159" s="178"/>
      <c r="V159" s="178"/>
      <c r="W159" s="178"/>
      <c r="X159" s="178"/>
      <c r="Y159" s="178"/>
      <c r="Z159" s="178"/>
      <c r="AA159" s="178"/>
      <c r="AB159" s="178"/>
      <c r="AC159" s="178"/>
      <c r="AD159" s="178"/>
      <c r="AE159" s="178"/>
      <c r="AF159" s="178"/>
      <c r="AG159" s="178"/>
      <c r="AH159" s="178"/>
      <c r="AI159" s="178"/>
      <c r="AJ159" s="178"/>
      <c r="AK159" s="178"/>
      <c r="AL159" s="178"/>
      <c r="AM159" s="178"/>
      <c r="AN159" s="178"/>
      <c r="AO159" s="178"/>
      <c r="AP159" s="181"/>
    </row>
    <row r="160" spans="1:50" ht="16.5">
      <c r="C160" s="178"/>
      <c r="E160" s="178"/>
      <c r="F160" s="178"/>
      <c r="G160" s="178"/>
      <c r="H160" s="178"/>
      <c r="I160" s="182"/>
      <c r="J160" s="182"/>
      <c r="K160" s="182"/>
      <c r="L160" s="178"/>
      <c r="M160" s="182"/>
      <c r="N160" s="182"/>
      <c r="O160" s="182"/>
      <c r="P160" s="178"/>
      <c r="Q160" s="182"/>
      <c r="R160" s="178"/>
      <c r="S160" s="178"/>
      <c r="T160" s="181"/>
      <c r="U160" s="178"/>
      <c r="V160" s="178"/>
      <c r="W160" s="178"/>
      <c r="X160" s="178"/>
      <c r="Y160" s="178"/>
      <c r="Z160" s="178"/>
      <c r="AA160" s="178"/>
      <c r="AB160" s="178"/>
      <c r="AC160" s="178"/>
      <c r="AD160" s="178"/>
      <c r="AE160" s="178"/>
      <c r="AF160" s="178"/>
      <c r="AG160" s="178"/>
      <c r="AH160" s="178"/>
      <c r="AI160" s="178"/>
      <c r="AJ160" s="181"/>
      <c r="AK160" s="181"/>
      <c r="AL160" s="181"/>
      <c r="AM160" s="181"/>
      <c r="AN160" s="181"/>
      <c r="AO160" s="181"/>
      <c r="AP160" s="178"/>
    </row>
    <row r="161" spans="1:45" ht="15.75" customHeight="1">
      <c r="C161" s="178"/>
      <c r="E161" s="178"/>
      <c r="F161" s="178"/>
      <c r="G161" s="178"/>
      <c r="H161" s="178"/>
      <c r="I161" s="182"/>
      <c r="J161" s="182"/>
      <c r="K161" s="178"/>
      <c r="L161" s="178"/>
      <c r="M161" s="182"/>
      <c r="N161" s="182"/>
      <c r="O161" s="178"/>
      <c r="P161" s="178"/>
      <c r="Q161" s="182"/>
      <c r="R161" s="178"/>
      <c r="S161" s="178"/>
      <c r="T161" s="181"/>
      <c r="U161" s="178"/>
      <c r="V161" s="178"/>
      <c r="W161" s="178"/>
      <c r="X161" s="178"/>
      <c r="Y161" s="178"/>
      <c r="Z161" s="178"/>
      <c r="AA161" s="178"/>
      <c r="AB161" s="178"/>
      <c r="AC161" s="178"/>
      <c r="AD161" s="178"/>
      <c r="AE161" s="178"/>
      <c r="AF161" s="178"/>
      <c r="AG161" s="178"/>
      <c r="AH161" s="178"/>
      <c r="AI161" s="178"/>
      <c r="AJ161" s="178"/>
      <c r="AK161" s="178"/>
      <c r="AL161" s="178"/>
      <c r="AM161" s="178"/>
      <c r="AN161" s="178"/>
      <c r="AO161" s="178"/>
      <c r="AP161" s="178"/>
      <c r="AS161" s="174">
        <f>AL156-1227</f>
        <v>-1227</v>
      </c>
    </row>
    <row r="162" spans="1:45" ht="16.5">
      <c r="C162" s="178"/>
      <c r="E162" s="178"/>
      <c r="F162" s="178"/>
      <c r="G162" s="178"/>
      <c r="H162" s="178"/>
      <c r="I162" s="182"/>
      <c r="J162" s="182"/>
      <c r="K162" s="182"/>
      <c r="L162" s="178"/>
      <c r="M162" s="178"/>
      <c r="N162" s="178"/>
      <c r="O162" s="178"/>
      <c r="P162" s="178"/>
      <c r="Q162" s="182"/>
      <c r="R162" s="178"/>
      <c r="S162" s="178"/>
      <c r="T162" s="181"/>
      <c r="U162" s="178"/>
      <c r="V162" s="178"/>
      <c r="W162" s="178"/>
      <c r="X162" s="178"/>
      <c r="Y162" s="178"/>
      <c r="Z162" s="178"/>
      <c r="AA162" s="178"/>
      <c r="AB162" s="178"/>
      <c r="AC162" s="178"/>
      <c r="AD162" s="178"/>
      <c r="AE162" s="178"/>
      <c r="AF162" s="178"/>
      <c r="AG162" s="178"/>
      <c r="AH162" s="178"/>
      <c r="AI162" s="178"/>
      <c r="AJ162" s="178"/>
      <c r="AK162" s="178"/>
      <c r="AL162" s="178"/>
      <c r="AM162" s="178"/>
      <c r="AN162" s="178"/>
      <c r="AO162" s="178"/>
      <c r="AP162" s="178"/>
    </row>
    <row r="163" spans="1:45" ht="16.5">
      <c r="C163" s="178"/>
      <c r="D163" s="1364"/>
      <c r="E163" s="1364"/>
      <c r="F163" s="1364"/>
      <c r="G163" s="1364"/>
      <c r="H163" s="1364"/>
      <c r="I163" s="182"/>
      <c r="J163" s="182"/>
      <c r="K163" s="182"/>
      <c r="L163" s="178"/>
      <c r="M163" s="1364"/>
      <c r="N163" s="1364"/>
      <c r="O163" s="1364"/>
      <c r="P163" s="1364"/>
      <c r="Q163" s="1364"/>
      <c r="R163" s="1364"/>
      <c r="S163" s="1364"/>
      <c r="T163" s="181"/>
      <c r="U163" s="1364"/>
      <c r="V163" s="1364"/>
      <c r="W163" s="1364"/>
      <c r="X163" s="1364"/>
      <c r="Y163" s="1364"/>
      <c r="Z163" s="1364"/>
      <c r="AA163" s="1364"/>
      <c r="AB163" s="1364"/>
      <c r="AC163" s="178"/>
      <c r="AE163" s="180"/>
      <c r="AP163" s="178"/>
    </row>
    <row r="164" spans="1:45">
      <c r="I164" s="177"/>
      <c r="J164" s="177"/>
      <c r="K164" s="177"/>
      <c r="L164" s="173"/>
      <c r="M164" s="173"/>
      <c r="N164" s="173"/>
      <c r="O164" s="173"/>
      <c r="P164" s="173"/>
      <c r="T164" s="175"/>
      <c r="AQ164" s="172"/>
    </row>
    <row r="165" spans="1:45" ht="16.5">
      <c r="A165" s="1185"/>
      <c r="B165" s="180"/>
      <c r="C165" s="180"/>
      <c r="D165" s="180"/>
      <c r="E165" s="180"/>
      <c r="F165" s="180"/>
      <c r="G165" s="180"/>
      <c r="H165" s="180"/>
      <c r="I165" s="180"/>
      <c r="J165" s="180"/>
      <c r="K165" s="180"/>
      <c r="L165" s="180"/>
      <c r="M165" s="180"/>
      <c r="N165" s="180"/>
      <c r="O165" s="180"/>
      <c r="P165" s="180"/>
      <c r="Q165" s="180"/>
      <c r="R165" s="180"/>
      <c r="S165" s="180"/>
      <c r="T165" s="180"/>
      <c r="U165" s="180"/>
      <c r="V165" s="180"/>
      <c r="W165" s="180"/>
      <c r="X165" s="180"/>
      <c r="Y165" s="180"/>
      <c r="Z165" s="180"/>
      <c r="AA165" s="180"/>
      <c r="AB165" s="180"/>
      <c r="AC165" s="180"/>
      <c r="AD165" s="180"/>
      <c r="AE165" s="180"/>
      <c r="AF165" s="180"/>
      <c r="AG165" s="180"/>
      <c r="AH165" s="180"/>
      <c r="AI165" s="180"/>
      <c r="AJ165" s="180"/>
      <c r="AK165" s="1188"/>
      <c r="AL165" s="1188"/>
      <c r="AM165" s="1188"/>
      <c r="AN165" s="1188"/>
      <c r="AO165" s="1188"/>
      <c r="AP165" s="1188"/>
      <c r="AQ165" s="1188"/>
    </row>
    <row r="168" spans="1:45" ht="16.5">
      <c r="B168" s="1363"/>
      <c r="C168" s="1363"/>
    </row>
    <row r="169" spans="1:45" ht="16.5">
      <c r="B169" s="669"/>
      <c r="C169" s="1367" t="s">
        <v>459</v>
      </c>
      <c r="D169" s="1367"/>
      <c r="E169" s="670"/>
      <c r="F169" s="670"/>
      <c r="G169" s="670"/>
      <c r="H169" s="670"/>
      <c r="I169" s="274"/>
      <c r="J169" s="178"/>
      <c r="K169" s="1361"/>
      <c r="L169" s="1361"/>
      <c r="M169" s="1361"/>
      <c r="N169" s="1361"/>
      <c r="O169" s="1361"/>
      <c r="P169" s="1361"/>
    </row>
    <row r="170" spans="1:45" ht="16.5">
      <c r="B170" s="536"/>
      <c r="C170" s="762" t="s">
        <v>460</v>
      </c>
      <c r="D170" s="670"/>
      <c r="E170" s="670"/>
      <c r="F170" s="670"/>
      <c r="G170" s="670"/>
      <c r="H170" s="670"/>
      <c r="I170" s="274"/>
      <c r="J170" s="178"/>
      <c r="K170" s="1361"/>
      <c r="L170" s="1361"/>
      <c r="M170" s="1361"/>
      <c r="N170" s="1361"/>
      <c r="O170" s="1361"/>
      <c r="P170" s="1361"/>
    </row>
    <row r="171" spans="1:45" ht="16.5">
      <c r="B171" s="536"/>
      <c r="C171" s="762" t="s">
        <v>461</v>
      </c>
      <c r="D171" s="670"/>
      <c r="E171" s="670"/>
      <c r="F171" s="670"/>
      <c r="G171" s="670"/>
      <c r="H171" s="670"/>
      <c r="I171" s="274"/>
      <c r="J171" s="178"/>
      <c r="K171" s="1180"/>
      <c r="L171" s="1180"/>
      <c r="M171" s="1180"/>
      <c r="N171" s="1180"/>
      <c r="O171" s="1180"/>
      <c r="P171" s="1180"/>
    </row>
    <row r="172" spans="1:45" ht="16.5" hidden="1">
      <c r="B172" s="1182"/>
      <c r="C172" s="762" t="s">
        <v>465</v>
      </c>
      <c r="D172" s="670"/>
      <c r="E172" s="670"/>
      <c r="F172" s="670"/>
      <c r="G172" s="670"/>
      <c r="H172" s="670"/>
      <c r="I172" s="274"/>
      <c r="J172" s="178"/>
      <c r="K172" s="1361"/>
      <c r="L172" s="1361"/>
      <c r="M172" s="1361"/>
      <c r="N172" s="1361"/>
      <c r="O172" s="1361"/>
      <c r="P172" s="1361"/>
    </row>
    <row r="173" spans="1:45" ht="16.5" hidden="1">
      <c r="B173" s="1182"/>
      <c r="C173" s="762" t="s">
        <v>466</v>
      </c>
      <c r="D173" s="670"/>
      <c r="E173" s="670"/>
      <c r="F173" s="670"/>
      <c r="G173" s="670"/>
      <c r="H173" s="670"/>
      <c r="I173" s="274"/>
      <c r="J173" s="178"/>
      <c r="K173" s="1180"/>
      <c r="L173" s="1180"/>
      <c r="M173" s="1180"/>
      <c r="N173" s="1180"/>
      <c r="O173" s="1180"/>
      <c r="P173" s="1180"/>
    </row>
    <row r="174" spans="1:45" ht="16.5" hidden="1">
      <c r="B174" s="1182"/>
      <c r="C174" s="762" t="s">
        <v>467</v>
      </c>
      <c r="D174" s="670"/>
      <c r="E174" s="670"/>
      <c r="F174" s="670"/>
      <c r="G174" s="670"/>
      <c r="H174" s="670"/>
      <c r="I174" s="274"/>
      <c r="J174" s="178"/>
      <c r="K174" s="1361"/>
      <c r="L174" s="1361"/>
      <c r="M174" s="1361"/>
      <c r="N174" s="1361"/>
      <c r="O174" s="1361"/>
      <c r="P174" s="1361"/>
    </row>
    <row r="175" spans="1:45" ht="16.5" hidden="1">
      <c r="B175" s="669"/>
      <c r="C175" s="762" t="s">
        <v>468</v>
      </c>
      <c r="D175" s="670"/>
      <c r="E175" s="670"/>
      <c r="F175" s="670"/>
      <c r="G175" s="670"/>
      <c r="H175" s="670"/>
      <c r="AQ175" s="172"/>
    </row>
    <row r="176" spans="1:45" ht="16.5">
      <c r="B176" s="536"/>
      <c r="C176" s="1363"/>
      <c r="D176" s="1363"/>
      <c r="E176" s="1363"/>
      <c r="F176" s="1363"/>
      <c r="G176" s="1363"/>
      <c r="H176" s="1363"/>
      <c r="AQ176" s="172"/>
    </row>
    <row r="177" spans="2:43" ht="16.5">
      <c r="B177" s="1182"/>
      <c r="C177" s="1361"/>
      <c r="D177" s="1361"/>
      <c r="E177" s="1361"/>
      <c r="F177" s="1361"/>
      <c r="G177" s="1361"/>
      <c r="H177" s="1361"/>
      <c r="AQ177" s="172"/>
    </row>
    <row r="178" spans="2:43" ht="16.5">
      <c r="B178" s="1182"/>
      <c r="C178" s="1361"/>
      <c r="D178" s="1361"/>
      <c r="E178" s="1361"/>
      <c r="F178" s="1361"/>
      <c r="G178" s="1361"/>
      <c r="H178" s="1361"/>
      <c r="AQ178" s="172"/>
    </row>
    <row r="179" spans="2:43" ht="16.5">
      <c r="B179" s="273"/>
      <c r="C179" s="1361"/>
      <c r="D179" s="1361"/>
      <c r="E179" s="1361"/>
      <c r="F179" s="1361"/>
      <c r="G179" s="1361"/>
      <c r="H179" s="1361"/>
    </row>
  </sheetData>
  <mergeCells count="38">
    <mergeCell ref="B12:D12"/>
    <mergeCell ref="AJ10:AJ11"/>
    <mergeCell ref="D10:D11"/>
    <mergeCell ref="B10:B11"/>
    <mergeCell ref="C10:C11"/>
    <mergeCell ref="E10:AI10"/>
    <mergeCell ref="K174:P174"/>
    <mergeCell ref="X157:AP157"/>
    <mergeCell ref="B93:C93"/>
    <mergeCell ref="U163:AB163"/>
    <mergeCell ref="K169:P169"/>
    <mergeCell ref="K170:P170"/>
    <mergeCell ref="C169:D169"/>
    <mergeCell ref="M163:S163"/>
    <mergeCell ref="K172:P172"/>
    <mergeCell ref="A158:AQ158"/>
    <mergeCell ref="C179:H179"/>
    <mergeCell ref="A156:D156"/>
    <mergeCell ref="C178:H178"/>
    <mergeCell ref="C176:H176"/>
    <mergeCell ref="C177:H177"/>
    <mergeCell ref="B168:C168"/>
    <mergeCell ref="D163:H163"/>
    <mergeCell ref="AK10:AK11"/>
    <mergeCell ref="AO10:AO11"/>
    <mergeCell ref="B7:AP7"/>
    <mergeCell ref="B1:AP1"/>
    <mergeCell ref="B2:AP2"/>
    <mergeCell ref="B3:AP3"/>
    <mergeCell ref="B5:O5"/>
    <mergeCell ref="B6:O6"/>
    <mergeCell ref="A8:AQ8"/>
    <mergeCell ref="A10:A11"/>
    <mergeCell ref="AM10:AM11"/>
    <mergeCell ref="AN10:AN11"/>
    <mergeCell ref="AQ10:AQ11"/>
    <mergeCell ref="AP10:AP11"/>
    <mergeCell ref="AL10:AL11"/>
  </mergeCells>
  <phoneticPr fontId="25" type="noConversion"/>
  <printOptions horizontalCentered="1"/>
  <pageMargins left="0" right="0" top="0" bottom="0" header="0" footer="0"/>
  <pageSetup paperSize="9" scale="72" orientation="landscape" r:id="rId1"/>
  <headerFooter alignWithMargins="0">
    <oddFooter>Page &amp;P</oddFooter>
  </headerFooter>
  <colBreaks count="1" manualBreakCount="1">
    <brk id="43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92D050"/>
  </sheetPr>
  <dimension ref="A2:AR217"/>
  <sheetViews>
    <sheetView topLeftCell="E158" zoomScale="55" zoomScaleNormal="55" zoomScaleSheetLayoutView="40" zoomScalePageLayoutView="40" workbookViewId="0">
      <selection activeCell="R174" sqref="R174"/>
    </sheetView>
  </sheetViews>
  <sheetFormatPr defaultColWidth="5.28515625" defaultRowHeight="23.25"/>
  <cols>
    <col min="1" max="1" width="11" style="555" customWidth="1"/>
    <col min="2" max="2" width="8.42578125" style="555" customWidth="1"/>
    <col min="3" max="3" width="25.28515625" style="555" customWidth="1"/>
    <col min="4" max="7" width="14.85546875" style="555" customWidth="1"/>
    <col min="8" max="9" width="17.140625" style="555" customWidth="1"/>
    <col min="10" max="12" width="14.85546875" style="555" customWidth="1"/>
    <col min="13" max="13" width="18" style="555" customWidth="1"/>
    <col min="14" max="14" width="18.140625" style="555" customWidth="1"/>
    <col min="15" max="15" width="16" style="555" customWidth="1"/>
    <col min="16" max="16" width="17" style="555" customWidth="1"/>
    <col min="17" max="17" width="18.85546875" style="555" customWidth="1"/>
    <col min="18" max="18" width="19.140625" style="555" customWidth="1"/>
    <col min="19" max="19" width="16.28515625" style="555" customWidth="1"/>
    <col min="20" max="21" width="17.7109375" style="555" customWidth="1"/>
    <col min="22" max="23" width="14.85546875" style="555" customWidth="1"/>
    <col min="24" max="24" width="16.7109375" style="555" customWidth="1"/>
    <col min="25" max="25" width="18.28515625" style="555" customWidth="1"/>
    <col min="26" max="29" width="14.85546875" style="555" customWidth="1"/>
    <col min="30" max="31" width="17.42578125" style="555" customWidth="1"/>
    <col min="32" max="32" width="16.7109375" style="555" customWidth="1"/>
    <col min="33" max="33" width="19.140625" style="555" customWidth="1"/>
    <col min="34" max="34" width="21.7109375" style="555" customWidth="1"/>
    <col min="35" max="35" width="25.85546875" style="555" customWidth="1"/>
    <col min="36" max="36" width="18.42578125" style="555" customWidth="1"/>
    <col min="37" max="37" width="26.28515625" style="555" customWidth="1"/>
    <col min="38" max="38" width="14.85546875" style="555" customWidth="1"/>
    <col min="39" max="39" width="23.5703125" style="1349" customWidth="1"/>
    <col min="40" max="40" width="5.28515625" style="1349"/>
    <col min="41" max="41" width="27" style="1349" customWidth="1"/>
    <col min="42" max="43" width="5.28515625" style="555"/>
    <col min="44" max="44" width="61.7109375" style="555" customWidth="1"/>
    <col min="45" max="16384" width="5.28515625" style="555"/>
  </cols>
  <sheetData>
    <row r="2" spans="1:44" ht="44.25" customHeight="1">
      <c r="A2" s="1404" t="s">
        <v>56</v>
      </c>
      <c r="B2" s="1404"/>
      <c r="C2" s="1404"/>
      <c r="D2" s="1404"/>
      <c r="E2" s="1404"/>
      <c r="F2" s="1404"/>
      <c r="G2" s="1404"/>
      <c r="H2" s="1404"/>
      <c r="I2" s="1404"/>
      <c r="J2" s="1404"/>
      <c r="K2" s="1404"/>
      <c r="L2" s="1404"/>
      <c r="M2" s="1404"/>
      <c r="N2" s="1404"/>
      <c r="O2" s="1404"/>
      <c r="P2" s="1404"/>
      <c r="Q2" s="1404"/>
      <c r="R2" s="1404"/>
      <c r="S2" s="1404"/>
      <c r="T2" s="1404"/>
      <c r="U2" s="1404"/>
      <c r="V2" s="1404"/>
      <c r="W2" s="1404"/>
      <c r="X2" s="1404"/>
      <c r="Y2" s="1404"/>
      <c r="Z2" s="1404"/>
      <c r="AA2" s="1404"/>
      <c r="AB2" s="1404"/>
      <c r="AC2" s="1404"/>
      <c r="AD2" s="1404"/>
      <c r="AE2" s="1404"/>
      <c r="AF2" s="1404"/>
      <c r="AG2" s="1404"/>
      <c r="AH2" s="1404"/>
      <c r="AI2" s="1404"/>
      <c r="AJ2" s="1404"/>
      <c r="AK2" s="1404"/>
      <c r="AL2" s="1404"/>
      <c r="AM2" s="555"/>
      <c r="AN2" s="555"/>
      <c r="AO2" s="555"/>
    </row>
    <row r="3" spans="1:44" ht="61.9" customHeight="1">
      <c r="A3" s="1404" t="s">
        <v>57</v>
      </c>
      <c r="B3" s="1404"/>
      <c r="C3" s="1404"/>
      <c r="D3" s="1404"/>
      <c r="E3" s="1404"/>
      <c r="F3" s="1404"/>
      <c r="G3" s="1404"/>
      <c r="H3" s="1404"/>
      <c r="I3" s="1404"/>
      <c r="J3" s="1404"/>
      <c r="K3" s="1404"/>
      <c r="L3" s="1404"/>
      <c r="M3" s="1404"/>
      <c r="N3" s="1404"/>
      <c r="O3" s="1404"/>
      <c r="P3" s="1404"/>
      <c r="Q3" s="1404"/>
      <c r="R3" s="1404"/>
      <c r="S3" s="1404"/>
      <c r="T3" s="1404"/>
      <c r="U3" s="1404"/>
      <c r="V3" s="1404"/>
      <c r="W3" s="1404"/>
      <c r="X3" s="1404"/>
      <c r="Y3" s="1404"/>
      <c r="Z3" s="1404"/>
      <c r="AA3" s="1404"/>
      <c r="AB3" s="1404"/>
      <c r="AC3" s="1404"/>
      <c r="AD3" s="1404"/>
      <c r="AE3" s="1404"/>
      <c r="AF3" s="1404"/>
      <c r="AG3" s="1404"/>
      <c r="AH3" s="1404"/>
      <c r="AI3" s="1404"/>
      <c r="AJ3" s="1404"/>
      <c r="AK3" s="1404"/>
      <c r="AL3" s="1404"/>
      <c r="AM3" s="555"/>
      <c r="AN3" s="555"/>
      <c r="AO3" s="555"/>
    </row>
    <row r="4" spans="1:44" ht="36.75" customHeight="1">
      <c r="A4" s="1419" t="s">
        <v>294</v>
      </c>
      <c r="B4" s="1419"/>
      <c r="C4" s="1419"/>
      <c r="D4" s="1419"/>
      <c r="E4" s="1419"/>
      <c r="F4" s="1419"/>
      <c r="G4" s="1419"/>
      <c r="H4" s="1419"/>
      <c r="I4" s="1419"/>
      <c r="J4" s="1419"/>
      <c r="K4" s="1419"/>
      <c r="L4" s="1419"/>
      <c r="M4" s="1419"/>
      <c r="N4" s="1419"/>
      <c r="O4" s="1419"/>
      <c r="P4" s="1419"/>
      <c r="Q4" s="1419"/>
      <c r="R4" s="1419"/>
      <c r="S4" s="1419"/>
      <c r="T4" s="1419"/>
      <c r="U4" s="1419"/>
      <c r="V4" s="1419"/>
      <c r="W4" s="1419"/>
      <c r="X4" s="1419"/>
      <c r="Y4" s="1419"/>
      <c r="Z4" s="1419"/>
      <c r="AA4" s="1419"/>
      <c r="AB4" s="1419"/>
      <c r="AC4" s="1419"/>
      <c r="AD4" s="1419"/>
      <c r="AE4" s="1419"/>
      <c r="AF4" s="1419"/>
      <c r="AG4" s="1419"/>
      <c r="AH4" s="1419"/>
      <c r="AI4" s="1419"/>
      <c r="AJ4" s="1419"/>
      <c r="AK4" s="1419"/>
      <c r="AL4" s="1419"/>
      <c r="AM4" s="555"/>
      <c r="AN4" s="555"/>
      <c r="AO4" s="555"/>
    </row>
    <row r="5" spans="1:44" ht="16.5" customHeight="1">
      <c r="B5" s="1328"/>
      <c r="C5" s="1328"/>
      <c r="D5" s="1328"/>
      <c r="E5" s="1328"/>
      <c r="F5" s="1328"/>
      <c r="G5" s="1328"/>
      <c r="H5" s="1328"/>
      <c r="I5" s="1328"/>
      <c r="J5" s="1328"/>
      <c r="K5" s="1328"/>
      <c r="L5" s="1328"/>
      <c r="M5" s="1328"/>
      <c r="N5" s="1329"/>
      <c r="O5" s="1329"/>
      <c r="P5" s="1329"/>
      <c r="Q5" s="1329"/>
      <c r="R5" s="1329"/>
      <c r="S5" s="1329"/>
      <c r="T5" s="1329"/>
      <c r="U5" s="1329"/>
      <c r="V5" s="1329"/>
      <c r="W5" s="1329"/>
      <c r="X5" s="1329"/>
      <c r="Y5" s="1329"/>
      <c r="Z5" s="1329"/>
      <c r="AA5" s="1329"/>
      <c r="AB5" s="1329"/>
      <c r="AC5" s="1329"/>
      <c r="AD5" s="1329"/>
      <c r="AE5" s="1329"/>
      <c r="AF5" s="1329"/>
      <c r="AG5" s="1329"/>
      <c r="AH5" s="1329"/>
      <c r="AI5" s="1329"/>
      <c r="AJ5" s="1329"/>
      <c r="AK5" s="1295"/>
      <c r="AM5" s="555"/>
      <c r="AN5" s="555"/>
      <c r="AO5" s="555"/>
    </row>
    <row r="6" spans="1:44" ht="68.45" customHeight="1">
      <c r="B6" s="1404" t="s">
        <v>276</v>
      </c>
      <c r="C6" s="1404"/>
      <c r="D6" s="1404"/>
      <c r="E6" s="1404"/>
      <c r="F6" s="1404"/>
      <c r="G6" s="1404"/>
      <c r="H6" s="1404"/>
      <c r="I6" s="1404"/>
      <c r="J6" s="1404"/>
      <c r="K6" s="1404"/>
      <c r="L6" s="1404"/>
      <c r="M6" s="1404"/>
      <c r="N6" s="1404"/>
      <c r="O6" s="1404"/>
      <c r="P6" s="1404"/>
      <c r="Q6" s="1329"/>
      <c r="R6" s="1329"/>
      <c r="S6" s="1329"/>
      <c r="T6" s="1329"/>
      <c r="U6" s="1329"/>
      <c r="V6" s="1329"/>
      <c r="W6" s="1329"/>
      <c r="X6" s="1329"/>
      <c r="Y6" s="1329"/>
      <c r="Z6" s="1329"/>
      <c r="AA6" s="1329"/>
      <c r="AB6" s="1329"/>
      <c r="AC6" s="1329"/>
      <c r="AD6" s="1329"/>
      <c r="AE6" s="1329"/>
      <c r="AF6" s="1329"/>
      <c r="AG6" s="1329"/>
      <c r="AH6" s="1329"/>
      <c r="AI6" s="1329"/>
      <c r="AJ6" s="1329"/>
      <c r="AK6" s="1295"/>
      <c r="AM6" s="555"/>
      <c r="AN6" s="555"/>
      <c r="AO6" s="555"/>
    </row>
    <row r="7" spans="1:44" ht="65.45" customHeight="1">
      <c r="B7" s="1404" t="s">
        <v>658</v>
      </c>
      <c r="C7" s="1404"/>
      <c r="D7" s="1404"/>
      <c r="E7" s="1404"/>
      <c r="F7" s="1404"/>
      <c r="G7" s="1404"/>
      <c r="H7" s="1404"/>
      <c r="I7" s="1404"/>
      <c r="J7" s="1404"/>
      <c r="K7" s="1404"/>
      <c r="L7" s="1404"/>
      <c r="M7" s="1404"/>
      <c r="N7" s="1404"/>
      <c r="O7" s="1404"/>
      <c r="P7" s="1404"/>
      <c r="Q7" s="1329"/>
      <c r="R7" s="1329"/>
      <c r="S7" s="1329"/>
      <c r="T7" s="1329"/>
      <c r="U7" s="1329"/>
      <c r="V7" s="1329"/>
      <c r="W7" s="1329"/>
      <c r="X7" s="1329"/>
      <c r="Y7" s="1329"/>
      <c r="Z7" s="1329"/>
      <c r="AA7" s="1329"/>
      <c r="AB7" s="1329"/>
      <c r="AC7" s="1329"/>
      <c r="AD7" s="1329"/>
      <c r="AE7" s="1329"/>
      <c r="AF7" s="1329"/>
      <c r="AG7" s="1329"/>
      <c r="AH7" s="1329"/>
      <c r="AI7" s="1329"/>
      <c r="AJ7" s="1329"/>
      <c r="AK7" s="1295"/>
      <c r="AM7" s="555"/>
      <c r="AN7" s="555"/>
      <c r="AO7" s="555"/>
    </row>
    <row r="8" spans="1:44" ht="15" customHeight="1">
      <c r="B8" s="1404"/>
      <c r="C8" s="1404"/>
      <c r="D8" s="1404"/>
      <c r="E8" s="1404"/>
      <c r="F8" s="1404"/>
      <c r="G8" s="1404"/>
      <c r="H8" s="1404"/>
      <c r="I8" s="1404"/>
      <c r="J8" s="1404"/>
      <c r="K8" s="1404"/>
      <c r="L8" s="1404"/>
      <c r="M8" s="1404"/>
      <c r="N8" s="1404"/>
      <c r="O8" s="1404"/>
      <c r="P8" s="1404"/>
      <c r="Q8" s="1404"/>
      <c r="R8" s="1404"/>
      <c r="S8" s="1404"/>
      <c r="T8" s="1404"/>
      <c r="U8" s="1404"/>
      <c r="V8" s="1404"/>
      <c r="W8" s="1404"/>
      <c r="X8" s="1404"/>
      <c r="Y8" s="1404"/>
      <c r="Z8" s="1404"/>
      <c r="AA8" s="1404"/>
      <c r="AB8" s="1404"/>
      <c r="AC8" s="1404"/>
      <c r="AD8" s="1404"/>
      <c r="AE8" s="1404"/>
      <c r="AF8" s="1404"/>
      <c r="AG8" s="1404"/>
      <c r="AH8" s="1404"/>
      <c r="AI8" s="1404"/>
      <c r="AJ8" s="1404"/>
      <c r="AK8" s="1404"/>
      <c r="AM8" s="555"/>
      <c r="AN8" s="555"/>
      <c r="AO8" s="555"/>
    </row>
    <row r="9" spans="1:44" ht="50.25" customHeight="1">
      <c r="A9" s="1404" t="s">
        <v>656</v>
      </c>
      <c r="B9" s="1404"/>
      <c r="C9" s="1404"/>
      <c r="D9" s="1404"/>
      <c r="E9" s="1404"/>
      <c r="F9" s="1404"/>
      <c r="G9" s="1404"/>
      <c r="H9" s="1404"/>
      <c r="I9" s="1404"/>
      <c r="J9" s="1404"/>
      <c r="K9" s="1404"/>
      <c r="L9" s="1404"/>
      <c r="M9" s="1404"/>
      <c r="N9" s="1404"/>
      <c r="O9" s="1404"/>
      <c r="P9" s="1404"/>
      <c r="Q9" s="1404"/>
      <c r="R9" s="1404"/>
      <c r="S9" s="1404"/>
      <c r="T9" s="1404"/>
      <c r="U9" s="1404"/>
      <c r="V9" s="1404"/>
      <c r="W9" s="1404"/>
      <c r="X9" s="1404"/>
      <c r="Y9" s="1404"/>
      <c r="Z9" s="1404"/>
      <c r="AA9" s="1404"/>
      <c r="AB9" s="1404"/>
      <c r="AC9" s="1404"/>
      <c r="AD9" s="1404"/>
      <c r="AE9" s="1404"/>
      <c r="AF9" s="1404"/>
      <c r="AG9" s="1404"/>
      <c r="AH9" s="1404"/>
      <c r="AI9" s="1404"/>
      <c r="AJ9" s="1404"/>
      <c r="AK9" s="1404"/>
      <c r="AL9" s="1404"/>
      <c r="AM9" s="1404"/>
      <c r="AN9" s="555"/>
      <c r="AO9" s="555"/>
    </row>
    <row r="10" spans="1:44" ht="50.25" customHeight="1">
      <c r="A10" s="1405" t="s">
        <v>655</v>
      </c>
      <c r="B10" s="1405"/>
      <c r="C10" s="1405"/>
      <c r="D10" s="1405"/>
      <c r="E10" s="1405"/>
      <c r="F10" s="1405"/>
      <c r="G10" s="1405"/>
      <c r="H10" s="1405"/>
      <c r="I10" s="1405"/>
      <c r="J10" s="1405"/>
      <c r="K10" s="1405"/>
      <c r="L10" s="1405"/>
      <c r="M10" s="1405"/>
      <c r="N10" s="1405"/>
      <c r="O10" s="1405"/>
      <c r="P10" s="1405"/>
      <c r="Q10" s="1405"/>
      <c r="R10" s="1405"/>
      <c r="S10" s="1405"/>
      <c r="T10" s="1405"/>
      <c r="U10" s="1405"/>
      <c r="V10" s="1405"/>
      <c r="W10" s="1405"/>
      <c r="X10" s="1405"/>
      <c r="Y10" s="1405"/>
      <c r="Z10" s="1405"/>
      <c r="AA10" s="1405"/>
      <c r="AB10" s="1405"/>
      <c r="AC10" s="1405"/>
      <c r="AD10" s="1405"/>
      <c r="AE10" s="1405"/>
      <c r="AF10" s="1405"/>
      <c r="AG10" s="1405"/>
      <c r="AH10" s="1405"/>
      <c r="AI10" s="1405"/>
      <c r="AJ10" s="1405"/>
      <c r="AK10" s="1405"/>
      <c r="AL10" s="1405"/>
      <c r="AM10" s="1405"/>
      <c r="AN10" s="1330"/>
      <c r="AO10" s="1330"/>
      <c r="AP10" s="1330"/>
    </row>
    <row r="11" spans="1:44" ht="50.25" customHeight="1">
      <c r="A11" s="1331"/>
      <c r="B11" s="1331"/>
      <c r="C11" s="1331"/>
      <c r="D11" s="1331"/>
      <c r="E11" s="1331"/>
      <c r="F11" s="1331"/>
      <c r="G11" s="1331"/>
      <c r="H11" s="1331"/>
      <c r="I11" s="1331"/>
      <c r="J11" s="1331"/>
      <c r="K11" s="1331"/>
      <c r="L11" s="1331"/>
      <c r="M11" s="1331"/>
      <c r="N11" s="1331"/>
      <c r="O11" s="1331"/>
      <c r="P11" s="1331"/>
      <c r="Q11" s="1331"/>
      <c r="R11" s="1331"/>
      <c r="S11" s="1331"/>
      <c r="T11" s="1331"/>
      <c r="U11" s="1331"/>
      <c r="V11" s="1331"/>
      <c r="W11" s="1331"/>
      <c r="X11" s="1331"/>
      <c r="Y11" s="1331"/>
      <c r="Z11" s="1331"/>
      <c r="AA11" s="1331"/>
      <c r="AB11" s="1331"/>
      <c r="AC11" s="1331"/>
      <c r="AD11" s="1331"/>
      <c r="AE11" s="1331"/>
      <c r="AF11" s="1331"/>
      <c r="AG11" s="1331"/>
      <c r="AH11" s="1331"/>
      <c r="AI11" s="1331"/>
      <c r="AJ11" s="1331"/>
      <c r="AK11" s="1331"/>
      <c r="AL11" s="1331"/>
      <c r="AM11" s="1331"/>
      <c r="AN11" s="555"/>
      <c r="AO11" s="555"/>
    </row>
    <row r="12" spans="1:44" ht="36.75" customHeight="1">
      <c r="B12" s="1332"/>
      <c r="C12" s="1332"/>
      <c r="D12" s="1332"/>
      <c r="E12" s="1332"/>
      <c r="F12" s="1332"/>
      <c r="G12" s="1332"/>
      <c r="H12" s="1332"/>
      <c r="I12" s="1332"/>
      <c r="J12" s="1332"/>
      <c r="K12" s="1332"/>
      <c r="L12" s="1332"/>
      <c r="M12" s="1332"/>
      <c r="N12" s="1332"/>
      <c r="O12" s="1332"/>
      <c r="P12" s="1332"/>
      <c r="Q12" s="1332"/>
      <c r="R12" s="1332"/>
      <c r="S12" s="1332"/>
      <c r="T12" s="1332"/>
      <c r="U12" s="1332"/>
      <c r="V12" s="1332"/>
      <c r="W12" s="1332"/>
      <c r="X12" s="1332"/>
      <c r="Y12" s="1332"/>
      <c r="Z12" s="1332"/>
      <c r="AA12" s="1332"/>
      <c r="AB12" s="1332"/>
      <c r="AC12" s="1332"/>
      <c r="AD12" s="1332"/>
      <c r="AE12" s="1332"/>
      <c r="AF12" s="1332"/>
      <c r="AG12" s="1332"/>
      <c r="AH12" s="1332"/>
      <c r="AI12" s="1406"/>
      <c r="AJ12" s="1406"/>
      <c r="AK12" s="623"/>
      <c r="AL12" s="622"/>
      <c r="AM12" s="622"/>
      <c r="AN12" s="555"/>
      <c r="AO12" s="555"/>
    </row>
    <row r="13" spans="1:44" ht="48" customHeight="1">
      <c r="A13" s="1376" t="s">
        <v>16</v>
      </c>
      <c r="B13" s="1376" t="s">
        <v>16</v>
      </c>
      <c r="C13" s="1376" t="s">
        <v>17</v>
      </c>
      <c r="D13" s="1376" t="s">
        <v>54</v>
      </c>
      <c r="E13" s="1376"/>
      <c r="F13" s="1376"/>
      <c r="G13" s="1376"/>
      <c r="H13" s="1376"/>
      <c r="I13" s="1376"/>
      <c r="J13" s="1376"/>
      <c r="K13" s="1376"/>
      <c r="L13" s="1376"/>
      <c r="M13" s="1376"/>
      <c r="N13" s="1376"/>
      <c r="O13" s="1376"/>
      <c r="P13" s="1376"/>
      <c r="Q13" s="1376"/>
      <c r="R13" s="1376"/>
      <c r="S13" s="1376"/>
      <c r="T13" s="1376"/>
      <c r="U13" s="1376"/>
      <c r="V13" s="1376"/>
      <c r="W13" s="1376"/>
      <c r="X13" s="1376"/>
      <c r="Y13" s="1376"/>
      <c r="Z13" s="1376"/>
      <c r="AA13" s="1376"/>
      <c r="AB13" s="1376"/>
      <c r="AC13" s="1376"/>
      <c r="AD13" s="1376"/>
      <c r="AE13" s="1376"/>
      <c r="AF13" s="1376"/>
      <c r="AG13" s="1376"/>
      <c r="AH13" s="1376"/>
      <c r="AI13" s="1388" t="s">
        <v>281</v>
      </c>
      <c r="AJ13" s="1397" t="s">
        <v>415</v>
      </c>
      <c r="AK13" s="1388" t="s">
        <v>135</v>
      </c>
      <c r="AL13" s="1388" t="s">
        <v>390</v>
      </c>
      <c r="AM13" s="1376" t="s">
        <v>397</v>
      </c>
      <c r="AN13" s="555"/>
      <c r="AO13" s="555"/>
    </row>
    <row r="14" spans="1:44" ht="45" customHeight="1">
      <c r="A14" s="1376"/>
      <c r="B14" s="1376"/>
      <c r="C14" s="1376"/>
      <c r="D14" s="1323">
        <v>1</v>
      </c>
      <c r="E14" s="1323">
        <v>2</v>
      </c>
      <c r="F14" s="1323">
        <v>3</v>
      </c>
      <c r="G14" s="1323">
        <v>4</v>
      </c>
      <c r="H14" s="1323">
        <v>5</v>
      </c>
      <c r="I14" s="1323">
        <v>6</v>
      </c>
      <c r="J14" s="1323">
        <v>7</v>
      </c>
      <c r="K14" s="1323">
        <v>8</v>
      </c>
      <c r="L14" s="1323">
        <v>9</v>
      </c>
      <c r="M14" s="1323">
        <v>10</v>
      </c>
      <c r="N14" s="1323">
        <v>11</v>
      </c>
      <c r="O14" s="1323">
        <v>12</v>
      </c>
      <c r="P14" s="1323">
        <v>13</v>
      </c>
      <c r="Q14" s="1323">
        <v>14</v>
      </c>
      <c r="R14" s="1323">
        <v>15</v>
      </c>
      <c r="S14" s="1323">
        <v>16</v>
      </c>
      <c r="T14" s="1323">
        <v>17</v>
      </c>
      <c r="U14" s="1323">
        <v>18</v>
      </c>
      <c r="V14" s="1323">
        <v>19</v>
      </c>
      <c r="W14" s="1323">
        <v>20</v>
      </c>
      <c r="X14" s="1323">
        <v>21</v>
      </c>
      <c r="Y14" s="1323">
        <v>22</v>
      </c>
      <c r="Z14" s="1323">
        <v>23</v>
      </c>
      <c r="AA14" s="1323">
        <v>24</v>
      </c>
      <c r="AB14" s="1323">
        <v>25</v>
      </c>
      <c r="AC14" s="1323">
        <v>26</v>
      </c>
      <c r="AD14" s="1323">
        <v>27</v>
      </c>
      <c r="AE14" s="1323">
        <v>28</v>
      </c>
      <c r="AF14" s="1323">
        <v>29</v>
      </c>
      <c r="AG14" s="1323">
        <v>30</v>
      </c>
      <c r="AH14" s="1323">
        <v>31</v>
      </c>
      <c r="AI14" s="1388"/>
      <c r="AJ14" s="1398"/>
      <c r="AK14" s="1388"/>
      <c r="AL14" s="1388"/>
      <c r="AM14" s="1376"/>
      <c r="AN14" s="555"/>
      <c r="AO14" s="1388" t="s">
        <v>415</v>
      </c>
    </row>
    <row r="15" spans="1:44" ht="41.25" customHeight="1">
      <c r="A15" s="552"/>
      <c r="B15" s="1420" t="s">
        <v>632</v>
      </c>
      <c r="C15" s="1420"/>
      <c r="D15" s="1420"/>
      <c r="E15" s="1420"/>
      <c r="F15" s="1420"/>
      <c r="G15" s="1420"/>
      <c r="H15" s="1420"/>
      <c r="I15" s="1420"/>
      <c r="J15" s="1420"/>
      <c r="K15" s="1420"/>
      <c r="L15" s="1420"/>
      <c r="M15" s="1420"/>
      <c r="N15" s="1420"/>
      <c r="O15" s="1420"/>
      <c r="P15" s="1420"/>
      <c r="Q15" s="1420"/>
      <c r="R15" s="1420"/>
      <c r="S15" s="1420"/>
      <c r="T15" s="1420"/>
      <c r="U15" s="1420"/>
      <c r="V15" s="1420"/>
      <c r="W15" s="1420"/>
      <c r="X15" s="1420"/>
      <c r="Y15" s="1420"/>
      <c r="Z15" s="1420"/>
      <c r="AA15" s="1420"/>
      <c r="AB15" s="1420"/>
      <c r="AC15" s="1420"/>
      <c r="AD15" s="1420"/>
      <c r="AE15" s="1420"/>
      <c r="AF15" s="1420"/>
      <c r="AG15" s="1420"/>
      <c r="AH15" s="1420"/>
      <c r="AI15" s="1420"/>
      <c r="AJ15" s="1420"/>
      <c r="AK15" s="1420"/>
      <c r="AL15" s="552"/>
      <c r="AM15" s="552"/>
      <c r="AN15" s="555"/>
      <c r="AO15" s="1388"/>
      <c r="AR15" s="1333">
        <f>AR16/AO16-5%</f>
        <v>0.46348286589852711</v>
      </c>
    </row>
    <row r="16" spans="1:44" s="1295" customFormat="1" ht="41.25" customHeight="1">
      <c r="A16" s="1376" t="s">
        <v>18</v>
      </c>
      <c r="B16" s="1376"/>
      <c r="C16" s="1376"/>
      <c r="D16" s="910">
        <f t="shared" ref="D16:AG16" si="0">SUM(D17:D96)</f>
        <v>1087</v>
      </c>
      <c r="E16" s="910">
        <f t="shared" si="0"/>
        <v>732</v>
      </c>
      <c r="F16" s="910">
        <f t="shared" si="0"/>
        <v>0</v>
      </c>
      <c r="G16" s="910">
        <f t="shared" si="0"/>
        <v>0</v>
      </c>
      <c r="H16" s="910">
        <f t="shared" si="0"/>
        <v>0</v>
      </c>
      <c r="I16" s="910">
        <f t="shared" si="0"/>
        <v>0</v>
      </c>
      <c r="J16" s="910">
        <f t="shared" si="0"/>
        <v>283</v>
      </c>
      <c r="K16" s="910">
        <f t="shared" si="0"/>
        <v>2276</v>
      </c>
      <c r="L16" s="910">
        <f t="shared" si="0"/>
        <v>1856</v>
      </c>
      <c r="M16" s="910">
        <f t="shared" si="0"/>
        <v>2104</v>
      </c>
      <c r="N16" s="910">
        <f t="shared" si="0"/>
        <v>5233</v>
      </c>
      <c r="O16" s="910">
        <f t="shared" si="0"/>
        <v>4544</v>
      </c>
      <c r="P16" s="910">
        <f t="shared" si="0"/>
        <v>4895</v>
      </c>
      <c r="Q16" s="910">
        <f t="shared" si="0"/>
        <v>3720</v>
      </c>
      <c r="R16" s="910">
        <f t="shared" si="0"/>
        <v>4177</v>
      </c>
      <c r="S16" s="910">
        <f t="shared" si="0"/>
        <v>4225</v>
      </c>
      <c r="T16" s="910">
        <f t="shared" si="0"/>
        <v>5370</v>
      </c>
      <c r="U16" s="910">
        <f t="shared" si="0"/>
        <v>4382</v>
      </c>
      <c r="V16" s="910">
        <f t="shared" si="0"/>
        <v>5675</v>
      </c>
      <c r="W16" s="910">
        <f t="shared" si="0"/>
        <v>5654</v>
      </c>
      <c r="X16" s="910">
        <f t="shared" si="0"/>
        <v>4823</v>
      </c>
      <c r="Y16" s="910">
        <f t="shared" si="0"/>
        <v>5038</v>
      </c>
      <c r="Z16" s="910">
        <f t="shared" si="0"/>
        <v>4649</v>
      </c>
      <c r="AA16" s="910">
        <f t="shared" si="0"/>
        <v>4491</v>
      </c>
      <c r="AB16" s="910">
        <f t="shared" si="0"/>
        <v>5155</v>
      </c>
      <c r="AC16" s="910">
        <f t="shared" si="0"/>
        <v>4620</v>
      </c>
      <c r="AD16" s="910">
        <f t="shared" si="0"/>
        <v>3909</v>
      </c>
      <c r="AE16" s="910">
        <f t="shared" si="0"/>
        <v>5042</v>
      </c>
      <c r="AF16" s="910">
        <f t="shared" si="0"/>
        <v>4394</v>
      </c>
      <c r="AG16" s="910">
        <f t="shared" si="0"/>
        <v>4281</v>
      </c>
      <c r="AH16" s="910">
        <f>SUM(AH17:AH95)</f>
        <v>4744</v>
      </c>
      <c r="AI16" s="910">
        <f>SUM(AI17:AI96)</f>
        <v>107359</v>
      </c>
      <c r="AJ16" s="910"/>
      <c r="AK16" s="910">
        <f>SUM(AK17:AK96)</f>
        <v>55127.006999999976</v>
      </c>
      <c r="AL16" s="911"/>
      <c r="AM16" s="911"/>
      <c r="AO16" s="1295">
        <v>107359</v>
      </c>
      <c r="AR16" s="1295">
        <v>55127.006999999976</v>
      </c>
    </row>
    <row r="17" spans="1:44" ht="54" customHeight="1">
      <c r="A17" s="1324">
        <v>1</v>
      </c>
      <c r="B17" s="1324">
        <v>1</v>
      </c>
      <c r="C17" s="552" t="str">
        <f>'Chấm công KT'!C13</f>
        <v>T. Vôn</v>
      </c>
      <c r="D17" s="1192">
        <v>0</v>
      </c>
      <c r="E17" s="1192">
        <v>0</v>
      </c>
      <c r="F17" s="1192">
        <v>0</v>
      </c>
      <c r="G17" s="1192">
        <v>0</v>
      </c>
      <c r="H17" s="1192">
        <v>0</v>
      </c>
      <c r="I17" s="1192">
        <v>0</v>
      </c>
      <c r="J17" s="1192">
        <v>0</v>
      </c>
      <c r="K17" s="1192">
        <v>0</v>
      </c>
      <c r="L17" s="1192">
        <v>0</v>
      </c>
      <c r="M17" s="1192">
        <v>0</v>
      </c>
      <c r="N17" s="1192">
        <v>0</v>
      </c>
      <c r="O17" s="1192">
        <v>92</v>
      </c>
      <c r="P17" s="1192">
        <v>42</v>
      </c>
      <c r="Q17" s="1192">
        <v>63</v>
      </c>
      <c r="R17" s="1192">
        <v>0</v>
      </c>
      <c r="S17" s="1192">
        <v>55</v>
      </c>
      <c r="T17" s="1192">
        <v>46</v>
      </c>
      <c r="U17" s="1192">
        <v>0</v>
      </c>
      <c r="V17" s="1192">
        <v>62</v>
      </c>
      <c r="W17" s="1192">
        <v>49</v>
      </c>
      <c r="X17" s="1192">
        <v>58</v>
      </c>
      <c r="Y17" s="1192">
        <v>38</v>
      </c>
      <c r="Z17" s="1192">
        <v>30</v>
      </c>
      <c r="AA17" s="1192">
        <v>0</v>
      </c>
      <c r="AB17" s="1192">
        <v>50</v>
      </c>
      <c r="AC17" s="1192">
        <v>40</v>
      </c>
      <c r="AD17" s="1192">
        <v>0</v>
      </c>
      <c r="AE17" s="1192">
        <v>97</v>
      </c>
      <c r="AF17" s="1192">
        <v>0</v>
      </c>
      <c r="AG17" s="1192">
        <v>54</v>
      </c>
      <c r="AH17" s="1334">
        <v>0</v>
      </c>
      <c r="AI17" s="553">
        <f>SUM(D17:AH17)</f>
        <v>776</v>
      </c>
      <c r="AJ17" s="1011">
        <v>51.348286589852712</v>
      </c>
      <c r="AK17" s="661">
        <f>AI17*AJ17/100</f>
        <v>398.462703937257</v>
      </c>
      <c r="AL17" s="1010" t="s">
        <v>449</v>
      </c>
      <c r="AM17" s="552"/>
      <c r="AN17" s="555"/>
      <c r="AO17" s="555"/>
      <c r="AR17" s="1335"/>
    </row>
    <row r="18" spans="1:44" ht="54" customHeight="1">
      <c r="A18" s="1324">
        <v>2</v>
      </c>
      <c r="B18" s="1324">
        <v>2</v>
      </c>
      <c r="C18" s="552" t="str">
        <f>'Chấm công KT'!C14</f>
        <v>T. Feng</v>
      </c>
      <c r="D18" s="1192">
        <v>0</v>
      </c>
      <c r="E18" s="1192">
        <v>0</v>
      </c>
      <c r="F18" s="1192">
        <v>0</v>
      </c>
      <c r="G18" s="1192">
        <v>0</v>
      </c>
      <c r="H18" s="1192">
        <v>0</v>
      </c>
      <c r="I18" s="1192">
        <v>0</v>
      </c>
      <c r="J18" s="1192">
        <v>0</v>
      </c>
      <c r="K18" s="1192">
        <v>0</v>
      </c>
      <c r="L18" s="1192">
        <v>0</v>
      </c>
      <c r="M18" s="1192">
        <v>0</v>
      </c>
      <c r="N18" s="1192">
        <v>0</v>
      </c>
      <c r="O18" s="1192">
        <v>0</v>
      </c>
      <c r="P18" s="1192">
        <v>0</v>
      </c>
      <c r="Q18" s="1192">
        <v>83</v>
      </c>
      <c r="R18" s="1192">
        <v>0</v>
      </c>
      <c r="S18" s="1192">
        <v>0</v>
      </c>
      <c r="T18" s="1192">
        <v>63</v>
      </c>
      <c r="U18" s="1192">
        <v>13</v>
      </c>
      <c r="V18" s="1192">
        <v>75</v>
      </c>
      <c r="W18" s="1192">
        <v>75</v>
      </c>
      <c r="X18" s="1192">
        <v>0</v>
      </c>
      <c r="Y18" s="1192">
        <v>66</v>
      </c>
      <c r="Z18" s="1192">
        <v>20</v>
      </c>
      <c r="AA18" s="1192">
        <v>0</v>
      </c>
      <c r="AB18" s="1192">
        <v>78</v>
      </c>
      <c r="AC18" s="1192">
        <v>52</v>
      </c>
      <c r="AD18" s="1192">
        <v>21</v>
      </c>
      <c r="AE18" s="1192">
        <v>0</v>
      </c>
      <c r="AF18" s="1192">
        <v>54</v>
      </c>
      <c r="AG18" s="1192">
        <v>54</v>
      </c>
      <c r="AH18" s="1334">
        <v>0</v>
      </c>
      <c r="AI18" s="553">
        <f t="shared" ref="AI18:AI81" si="1">SUM(D18:AH18)</f>
        <v>654</v>
      </c>
      <c r="AJ18" s="1011">
        <v>51.348286589852712</v>
      </c>
      <c r="AK18" s="661">
        <f>AI18*AJ18/100</f>
        <v>335.81779429763674</v>
      </c>
      <c r="AL18" s="1010" t="s">
        <v>48</v>
      </c>
      <c r="AM18" s="552"/>
      <c r="AN18" s="555"/>
      <c r="AO18" s="555"/>
    </row>
    <row r="19" spans="1:44" ht="54" customHeight="1">
      <c r="A19" s="1324">
        <v>3</v>
      </c>
      <c r="B19" s="1324">
        <v>3</v>
      </c>
      <c r="C19" s="552" t="str">
        <f>'Chấm công KT'!C15</f>
        <v>T. Sa Văn</v>
      </c>
      <c r="D19" s="1192">
        <v>20</v>
      </c>
      <c r="E19" s="1192">
        <v>0</v>
      </c>
      <c r="F19" s="1192">
        <v>0</v>
      </c>
      <c r="G19" s="1192">
        <v>0</v>
      </c>
      <c r="H19" s="1192">
        <v>0</v>
      </c>
      <c r="I19" s="1192">
        <v>0</v>
      </c>
      <c r="J19" s="1192">
        <v>0</v>
      </c>
      <c r="K19" s="1192">
        <v>38</v>
      </c>
      <c r="L19" s="1192">
        <v>0</v>
      </c>
      <c r="M19" s="1192">
        <v>114</v>
      </c>
      <c r="N19" s="1192">
        <v>183</v>
      </c>
      <c r="O19" s="1192">
        <v>12</v>
      </c>
      <c r="P19" s="1192">
        <v>105</v>
      </c>
      <c r="Q19" s="1192">
        <v>127</v>
      </c>
      <c r="R19" s="1192">
        <v>102</v>
      </c>
      <c r="S19" s="1192">
        <v>95</v>
      </c>
      <c r="T19" s="1192">
        <v>84</v>
      </c>
      <c r="U19" s="1192">
        <v>128</v>
      </c>
      <c r="V19" s="1192">
        <v>56</v>
      </c>
      <c r="W19" s="1192">
        <v>78</v>
      </c>
      <c r="X19" s="1192">
        <v>95</v>
      </c>
      <c r="Y19" s="1192">
        <v>108</v>
      </c>
      <c r="Z19" s="1192">
        <v>0</v>
      </c>
      <c r="AA19" s="1192">
        <v>85</v>
      </c>
      <c r="AB19" s="1192">
        <v>66</v>
      </c>
      <c r="AC19" s="1192">
        <v>87</v>
      </c>
      <c r="AD19" s="1192">
        <v>89</v>
      </c>
      <c r="AE19" s="1192">
        <v>88</v>
      </c>
      <c r="AF19" s="1192">
        <v>81</v>
      </c>
      <c r="AG19" s="1192">
        <v>100</v>
      </c>
      <c r="AH19" s="1334">
        <v>70</v>
      </c>
      <c r="AI19" s="553">
        <f t="shared" si="1"/>
        <v>2011</v>
      </c>
      <c r="AJ19" s="1011">
        <v>51.348286589852712</v>
      </c>
      <c r="AK19" s="661">
        <f t="shared" ref="AK19:AK48" si="2">AI19*AJ19/100</f>
        <v>1032.614043321938</v>
      </c>
      <c r="AL19" s="1010" t="s">
        <v>48</v>
      </c>
      <c r="AM19" s="552"/>
      <c r="AN19" s="555"/>
      <c r="AO19" s="555"/>
    </row>
    <row r="20" spans="1:44" ht="54" customHeight="1">
      <c r="A20" s="1324">
        <v>4</v>
      </c>
      <c r="B20" s="1324">
        <v>4</v>
      </c>
      <c r="C20" s="552" t="str">
        <f>'Chấm công KT'!C16</f>
        <v>Lăm Ma Thu</v>
      </c>
      <c r="D20" s="1192">
        <v>0</v>
      </c>
      <c r="E20" s="1192">
        <v>0</v>
      </c>
      <c r="F20" s="1192">
        <v>0</v>
      </c>
      <c r="G20" s="1192">
        <v>0</v>
      </c>
      <c r="H20" s="1192">
        <v>0</v>
      </c>
      <c r="I20" s="1192">
        <v>0</v>
      </c>
      <c r="J20" s="1192">
        <v>0</v>
      </c>
      <c r="K20" s="1192">
        <v>37</v>
      </c>
      <c r="L20" s="1192">
        <v>33</v>
      </c>
      <c r="M20" s="1192">
        <v>0</v>
      </c>
      <c r="N20" s="1192">
        <v>120</v>
      </c>
      <c r="O20" s="1192">
        <v>91</v>
      </c>
      <c r="P20" s="1192">
        <v>82</v>
      </c>
      <c r="Q20" s="1192">
        <v>0</v>
      </c>
      <c r="R20" s="1192">
        <v>83</v>
      </c>
      <c r="S20" s="1192">
        <v>72</v>
      </c>
      <c r="T20" s="1192">
        <v>0</v>
      </c>
      <c r="U20" s="1192">
        <v>122</v>
      </c>
      <c r="V20" s="1192">
        <v>87</v>
      </c>
      <c r="W20" s="1192">
        <v>59</v>
      </c>
      <c r="X20" s="1192">
        <v>60</v>
      </c>
      <c r="Y20" s="1192">
        <v>0</v>
      </c>
      <c r="Z20" s="1192">
        <v>68</v>
      </c>
      <c r="AA20" s="1192">
        <v>82</v>
      </c>
      <c r="AB20" s="1192">
        <v>0</v>
      </c>
      <c r="AC20" s="1192">
        <v>105</v>
      </c>
      <c r="AD20" s="1192">
        <v>69</v>
      </c>
      <c r="AE20" s="1192">
        <v>68</v>
      </c>
      <c r="AF20" s="1192">
        <v>54</v>
      </c>
      <c r="AG20" s="1192">
        <v>58</v>
      </c>
      <c r="AH20" s="1334">
        <v>64</v>
      </c>
      <c r="AI20" s="553">
        <f t="shared" si="1"/>
        <v>1414</v>
      </c>
      <c r="AJ20" s="1011">
        <v>51.348286589852712</v>
      </c>
      <c r="AK20" s="661">
        <f t="shared" si="2"/>
        <v>726.06477238051741</v>
      </c>
      <c r="AL20" s="1010" t="s">
        <v>48</v>
      </c>
      <c r="AM20" s="552"/>
      <c r="AN20" s="555"/>
      <c r="AO20" s="555"/>
    </row>
    <row r="21" spans="1:44" ht="54" customHeight="1">
      <c r="A21" s="1324">
        <v>5</v>
      </c>
      <c r="B21" s="1324">
        <v>5</v>
      </c>
      <c r="C21" s="552" t="str">
        <f>'Chấm công KT'!C17</f>
        <v>N. Vạt</v>
      </c>
      <c r="D21" s="1192">
        <v>30</v>
      </c>
      <c r="E21" s="1192">
        <v>0</v>
      </c>
      <c r="F21" s="1192">
        <v>0</v>
      </c>
      <c r="G21" s="1192">
        <v>0</v>
      </c>
      <c r="H21" s="1192">
        <v>0</v>
      </c>
      <c r="I21" s="1192">
        <v>0</v>
      </c>
      <c r="J21" s="1192">
        <v>0</v>
      </c>
      <c r="K21" s="1192">
        <v>0</v>
      </c>
      <c r="L21" s="1192">
        <v>0</v>
      </c>
      <c r="M21" s="1192">
        <v>0</v>
      </c>
      <c r="N21" s="1192">
        <v>39</v>
      </c>
      <c r="O21" s="1192">
        <v>56</v>
      </c>
      <c r="P21" s="1192">
        <v>0</v>
      </c>
      <c r="Q21" s="1192">
        <v>0</v>
      </c>
      <c r="R21" s="1192">
        <v>0</v>
      </c>
      <c r="S21" s="1192">
        <v>100</v>
      </c>
      <c r="T21" s="1192">
        <v>0</v>
      </c>
      <c r="U21" s="1192">
        <v>0</v>
      </c>
      <c r="V21" s="1192">
        <v>0</v>
      </c>
      <c r="W21" s="1192">
        <v>105</v>
      </c>
      <c r="X21" s="1192">
        <v>0</v>
      </c>
      <c r="Y21" s="1192">
        <v>110</v>
      </c>
      <c r="Z21" s="1192">
        <v>31</v>
      </c>
      <c r="AA21" s="1192">
        <v>67</v>
      </c>
      <c r="AB21" s="1192">
        <v>136</v>
      </c>
      <c r="AC21" s="1192">
        <v>60</v>
      </c>
      <c r="AD21" s="1192">
        <v>0</v>
      </c>
      <c r="AE21" s="1192">
        <v>65</v>
      </c>
      <c r="AF21" s="1192">
        <v>0</v>
      </c>
      <c r="AG21" s="1192">
        <v>61</v>
      </c>
      <c r="AH21" s="1334">
        <v>0</v>
      </c>
      <c r="AI21" s="553">
        <f t="shared" si="1"/>
        <v>860</v>
      </c>
      <c r="AJ21" s="1011">
        <v>51.348286589852712</v>
      </c>
      <c r="AK21" s="661">
        <f t="shared" si="2"/>
        <v>441.59526467273332</v>
      </c>
      <c r="AL21" s="1010" t="s">
        <v>48</v>
      </c>
      <c r="AM21" s="552"/>
      <c r="AN21" s="555"/>
      <c r="AO21" s="555"/>
    </row>
    <row r="22" spans="1:44" ht="54" customHeight="1">
      <c r="A22" s="1324">
        <v>6</v>
      </c>
      <c r="B22" s="1324">
        <v>6</v>
      </c>
      <c r="C22" s="552" t="str">
        <f>'Chấm công KT'!C18</f>
        <v>N. Kay Son</v>
      </c>
      <c r="D22" s="1192">
        <v>0</v>
      </c>
      <c r="E22" s="1192">
        <v>0</v>
      </c>
      <c r="F22" s="1192">
        <v>0</v>
      </c>
      <c r="G22" s="1192">
        <v>0</v>
      </c>
      <c r="H22" s="1192">
        <v>0</v>
      </c>
      <c r="I22" s="1192">
        <v>0</v>
      </c>
      <c r="J22" s="1192">
        <v>0</v>
      </c>
      <c r="K22" s="1192">
        <v>0</v>
      </c>
      <c r="L22" s="1192">
        <v>36</v>
      </c>
      <c r="M22" s="1192">
        <v>0</v>
      </c>
      <c r="N22" s="1192">
        <v>0</v>
      </c>
      <c r="O22" s="1192">
        <v>0</v>
      </c>
      <c r="P22" s="1192">
        <v>35</v>
      </c>
      <c r="Q22" s="1192">
        <v>0</v>
      </c>
      <c r="R22" s="1192">
        <v>110</v>
      </c>
      <c r="S22" s="1192">
        <v>50</v>
      </c>
      <c r="T22" s="1192">
        <v>0</v>
      </c>
      <c r="U22" s="1192">
        <v>46</v>
      </c>
      <c r="V22" s="1192">
        <v>49</v>
      </c>
      <c r="W22" s="1192">
        <v>63</v>
      </c>
      <c r="X22" s="1192">
        <v>41</v>
      </c>
      <c r="Y22" s="1192">
        <v>34</v>
      </c>
      <c r="Z22" s="1192">
        <v>46</v>
      </c>
      <c r="AA22" s="1192">
        <v>57</v>
      </c>
      <c r="AB22" s="1192">
        <v>107</v>
      </c>
      <c r="AC22" s="1192">
        <v>104</v>
      </c>
      <c r="AD22" s="1192">
        <v>34</v>
      </c>
      <c r="AE22" s="1192">
        <v>57</v>
      </c>
      <c r="AF22" s="1192">
        <v>82</v>
      </c>
      <c r="AG22" s="1192">
        <v>95</v>
      </c>
      <c r="AH22" s="1334">
        <v>52</v>
      </c>
      <c r="AI22" s="553">
        <f t="shared" si="1"/>
        <v>1098</v>
      </c>
      <c r="AJ22" s="1011">
        <v>51.348286589852712</v>
      </c>
      <c r="AK22" s="661">
        <f t="shared" si="2"/>
        <v>563.80418675658279</v>
      </c>
      <c r="AL22" s="1010" t="s">
        <v>449</v>
      </c>
      <c r="AM22" s="552"/>
      <c r="AN22" s="555"/>
      <c r="AO22" s="555"/>
    </row>
    <row r="23" spans="1:44" ht="54" customHeight="1">
      <c r="A23" s="1324">
        <v>7</v>
      </c>
      <c r="B23" s="1324">
        <v>7</v>
      </c>
      <c r="C23" s="552" t="str">
        <f>'Chấm công KT'!C19</f>
        <v>T. Đèng 1</v>
      </c>
      <c r="D23" s="1192">
        <v>36</v>
      </c>
      <c r="E23" s="1192">
        <v>0</v>
      </c>
      <c r="F23" s="1192">
        <v>0</v>
      </c>
      <c r="G23" s="1192">
        <v>0</v>
      </c>
      <c r="H23" s="1192">
        <v>0</v>
      </c>
      <c r="I23" s="1192">
        <v>0</v>
      </c>
      <c r="J23" s="1192">
        <v>0</v>
      </c>
      <c r="K23" s="1192">
        <v>0</v>
      </c>
      <c r="L23" s="1192">
        <v>39</v>
      </c>
      <c r="M23" s="1192">
        <v>45</v>
      </c>
      <c r="N23" s="1192">
        <v>90</v>
      </c>
      <c r="O23" s="1192">
        <v>35</v>
      </c>
      <c r="P23" s="1192">
        <v>96</v>
      </c>
      <c r="Q23" s="1192">
        <v>71</v>
      </c>
      <c r="R23" s="1192">
        <v>0</v>
      </c>
      <c r="S23" s="1192">
        <v>55</v>
      </c>
      <c r="T23" s="1192">
        <v>100</v>
      </c>
      <c r="U23" s="1192">
        <v>52</v>
      </c>
      <c r="V23" s="1192">
        <v>113</v>
      </c>
      <c r="W23" s="1192">
        <v>55</v>
      </c>
      <c r="X23" s="1192">
        <v>93</v>
      </c>
      <c r="Y23" s="1192">
        <v>70</v>
      </c>
      <c r="Z23" s="1192">
        <v>49</v>
      </c>
      <c r="AA23" s="1192">
        <v>56</v>
      </c>
      <c r="AB23" s="1192">
        <v>73</v>
      </c>
      <c r="AC23" s="1192">
        <v>71</v>
      </c>
      <c r="AD23" s="1192">
        <v>43</v>
      </c>
      <c r="AE23" s="1192">
        <v>54</v>
      </c>
      <c r="AF23" s="1192">
        <v>85</v>
      </c>
      <c r="AG23" s="1192">
        <v>60</v>
      </c>
      <c r="AH23" s="1334">
        <v>0</v>
      </c>
      <c r="AI23" s="553">
        <f t="shared" si="1"/>
        <v>1441</v>
      </c>
      <c r="AJ23" s="1011">
        <v>51.348286589852712</v>
      </c>
      <c r="AK23" s="661">
        <f t="shared" si="2"/>
        <v>739.92880975977766</v>
      </c>
      <c r="AL23" s="1010" t="s">
        <v>40</v>
      </c>
      <c r="AM23" s="552"/>
      <c r="AN23" s="555"/>
      <c r="AO23" s="555"/>
    </row>
    <row r="24" spans="1:44" ht="54" customHeight="1">
      <c r="A24" s="1324">
        <v>8</v>
      </c>
      <c r="B24" s="1324">
        <v>8</v>
      </c>
      <c r="C24" s="552" t="str">
        <f>'Chấm công KT'!C20</f>
        <v>T . Bua Ngân</v>
      </c>
      <c r="D24" s="1192">
        <v>0</v>
      </c>
      <c r="E24" s="1192">
        <v>0</v>
      </c>
      <c r="F24" s="1192">
        <v>0</v>
      </c>
      <c r="G24" s="1192">
        <v>0</v>
      </c>
      <c r="H24" s="1192">
        <v>0</v>
      </c>
      <c r="I24" s="1192">
        <v>0</v>
      </c>
      <c r="J24" s="1192">
        <v>0</v>
      </c>
      <c r="K24" s="1192">
        <v>53</v>
      </c>
      <c r="L24" s="1192">
        <v>33</v>
      </c>
      <c r="M24" s="1192">
        <v>45</v>
      </c>
      <c r="N24" s="1192">
        <v>133</v>
      </c>
      <c r="O24" s="1192">
        <v>104</v>
      </c>
      <c r="P24" s="1192">
        <v>0</v>
      </c>
      <c r="Q24" s="1192">
        <v>0</v>
      </c>
      <c r="R24" s="1192">
        <v>0</v>
      </c>
      <c r="S24" s="1192">
        <v>0</v>
      </c>
      <c r="T24" s="1192">
        <v>94</v>
      </c>
      <c r="U24" s="1192">
        <v>143</v>
      </c>
      <c r="V24" s="1192">
        <v>120</v>
      </c>
      <c r="W24" s="1192">
        <v>97</v>
      </c>
      <c r="X24" s="1192">
        <v>100</v>
      </c>
      <c r="Y24" s="1192">
        <v>71</v>
      </c>
      <c r="Z24" s="1192">
        <v>91</v>
      </c>
      <c r="AA24" s="1192">
        <v>80</v>
      </c>
      <c r="AB24" s="1192">
        <v>82</v>
      </c>
      <c r="AC24" s="1192">
        <v>60</v>
      </c>
      <c r="AD24" s="1192">
        <v>69</v>
      </c>
      <c r="AE24" s="1192">
        <v>83</v>
      </c>
      <c r="AF24" s="1192">
        <v>77</v>
      </c>
      <c r="AG24" s="1192">
        <v>51</v>
      </c>
      <c r="AH24" s="1334">
        <v>88</v>
      </c>
      <c r="AI24" s="553">
        <f t="shared" si="1"/>
        <v>1674</v>
      </c>
      <c r="AJ24" s="1011">
        <v>51.348286589852712</v>
      </c>
      <c r="AK24" s="661">
        <f t="shared" si="2"/>
        <v>859.57031751413433</v>
      </c>
      <c r="AL24" s="1010" t="s">
        <v>40</v>
      </c>
      <c r="AM24" s="552"/>
      <c r="AN24" s="555"/>
      <c r="AO24" s="555"/>
    </row>
    <row r="25" spans="1:44" ht="54" customHeight="1">
      <c r="A25" s="1324">
        <v>9</v>
      </c>
      <c r="B25" s="1324">
        <v>9</v>
      </c>
      <c r="C25" s="552" t="str">
        <f>'Chấm công KT'!C21</f>
        <v>T Căng</v>
      </c>
      <c r="D25" s="1192">
        <v>79</v>
      </c>
      <c r="E25" s="1192">
        <v>30</v>
      </c>
      <c r="F25" s="1192">
        <v>0</v>
      </c>
      <c r="G25" s="1192">
        <v>0</v>
      </c>
      <c r="H25" s="1192">
        <v>0</v>
      </c>
      <c r="I25" s="1192">
        <v>0</v>
      </c>
      <c r="J25" s="1192">
        <v>0</v>
      </c>
      <c r="K25" s="1192">
        <v>41</v>
      </c>
      <c r="L25" s="1192">
        <v>102</v>
      </c>
      <c r="M25" s="1192">
        <v>45</v>
      </c>
      <c r="N25" s="1192">
        <v>154</v>
      </c>
      <c r="O25" s="1192">
        <v>114</v>
      </c>
      <c r="P25" s="1192">
        <v>159</v>
      </c>
      <c r="Q25" s="1192">
        <v>0</v>
      </c>
      <c r="R25" s="1192">
        <v>66</v>
      </c>
      <c r="S25" s="1192">
        <v>91</v>
      </c>
      <c r="T25" s="1192">
        <v>135</v>
      </c>
      <c r="U25" s="1192">
        <v>130</v>
      </c>
      <c r="V25" s="1192">
        <v>0</v>
      </c>
      <c r="W25" s="1192">
        <v>98</v>
      </c>
      <c r="X25" s="1192">
        <v>110</v>
      </c>
      <c r="Y25" s="1192">
        <v>89</v>
      </c>
      <c r="Z25" s="1192">
        <v>98</v>
      </c>
      <c r="AA25" s="1192">
        <v>69</v>
      </c>
      <c r="AB25" s="1192">
        <v>102</v>
      </c>
      <c r="AC25" s="1192">
        <v>73</v>
      </c>
      <c r="AD25" s="1192">
        <v>50</v>
      </c>
      <c r="AE25" s="1192">
        <v>70</v>
      </c>
      <c r="AF25" s="1192">
        <v>92</v>
      </c>
      <c r="AG25" s="1192">
        <v>74</v>
      </c>
      <c r="AH25" s="1334">
        <v>50</v>
      </c>
      <c r="AI25" s="553">
        <f t="shared" si="1"/>
        <v>2121</v>
      </c>
      <c r="AJ25" s="1011">
        <v>51.348286589852712</v>
      </c>
      <c r="AK25" s="661">
        <f t="shared" si="2"/>
        <v>1089.0971585707762</v>
      </c>
      <c r="AL25" s="1010" t="s">
        <v>48</v>
      </c>
      <c r="AM25" s="552"/>
      <c r="AN25" s="555"/>
      <c r="AO25" s="555"/>
    </row>
    <row r="26" spans="1:44" ht="54" customHeight="1">
      <c r="A26" s="1324">
        <v>10</v>
      </c>
      <c r="B26" s="1324">
        <v>10</v>
      </c>
      <c r="C26" s="552" t="str">
        <f>'Chấm công KT'!C22</f>
        <v>N. Phôn 1</v>
      </c>
      <c r="D26" s="1192">
        <v>50</v>
      </c>
      <c r="E26" s="1192">
        <v>33</v>
      </c>
      <c r="F26" s="1192">
        <v>0</v>
      </c>
      <c r="G26" s="1192">
        <v>0</v>
      </c>
      <c r="H26" s="1192">
        <v>0</v>
      </c>
      <c r="I26" s="1192">
        <v>0</v>
      </c>
      <c r="J26" s="1192">
        <v>0</v>
      </c>
      <c r="K26" s="1192">
        <v>41</v>
      </c>
      <c r="L26" s="1192">
        <v>85</v>
      </c>
      <c r="M26" s="1192">
        <v>36</v>
      </c>
      <c r="N26" s="1192">
        <v>159</v>
      </c>
      <c r="O26" s="1192">
        <v>126</v>
      </c>
      <c r="P26" s="1192">
        <v>165</v>
      </c>
      <c r="Q26" s="1192">
        <v>0</v>
      </c>
      <c r="R26" s="1192">
        <v>78</v>
      </c>
      <c r="S26" s="1192">
        <v>87</v>
      </c>
      <c r="T26" s="1192">
        <v>139</v>
      </c>
      <c r="U26" s="1192">
        <v>117</v>
      </c>
      <c r="V26" s="1192">
        <v>0</v>
      </c>
      <c r="W26" s="1192">
        <v>96</v>
      </c>
      <c r="X26" s="1192">
        <v>120</v>
      </c>
      <c r="Y26" s="1192">
        <v>60</v>
      </c>
      <c r="Z26" s="1192">
        <v>122</v>
      </c>
      <c r="AA26" s="1192">
        <v>75</v>
      </c>
      <c r="AB26" s="1192">
        <v>102</v>
      </c>
      <c r="AC26" s="1192">
        <v>76</v>
      </c>
      <c r="AD26" s="1192">
        <v>49</v>
      </c>
      <c r="AE26" s="1192">
        <v>60</v>
      </c>
      <c r="AF26" s="1192">
        <v>92</v>
      </c>
      <c r="AG26" s="1192">
        <v>74</v>
      </c>
      <c r="AH26" s="1334">
        <v>60</v>
      </c>
      <c r="AI26" s="553">
        <f t="shared" si="1"/>
        <v>2102</v>
      </c>
      <c r="AJ26" s="1011">
        <v>51.348286589852712</v>
      </c>
      <c r="AK26" s="661">
        <f t="shared" si="2"/>
        <v>1079.340984118704</v>
      </c>
      <c r="AL26" s="1010" t="s">
        <v>40</v>
      </c>
      <c r="AM26" s="552"/>
      <c r="AN26" s="555"/>
      <c r="AO26" s="555"/>
    </row>
    <row r="27" spans="1:44" ht="54" customHeight="1">
      <c r="A27" s="1324">
        <v>11</v>
      </c>
      <c r="B27" s="1324">
        <v>11</v>
      </c>
      <c r="C27" s="552" t="str">
        <f>'Chấm công KT'!C23</f>
        <v>T. In Păn</v>
      </c>
      <c r="D27" s="1192">
        <v>0</v>
      </c>
      <c r="E27" s="1192">
        <v>0</v>
      </c>
      <c r="F27" s="1192">
        <v>0</v>
      </c>
      <c r="G27" s="1192">
        <v>0</v>
      </c>
      <c r="H27" s="1192">
        <v>0</v>
      </c>
      <c r="I27" s="1192">
        <v>0</v>
      </c>
      <c r="J27" s="1192">
        <v>0</v>
      </c>
      <c r="K27" s="1192">
        <v>10</v>
      </c>
      <c r="L27" s="1192">
        <v>0</v>
      </c>
      <c r="M27" s="1192">
        <v>0</v>
      </c>
      <c r="N27" s="1192">
        <v>24</v>
      </c>
      <c r="O27" s="1192">
        <v>0</v>
      </c>
      <c r="P27" s="1192">
        <v>0</v>
      </c>
      <c r="Q27" s="1192">
        <v>22</v>
      </c>
      <c r="R27" s="1192">
        <v>75</v>
      </c>
      <c r="S27" s="1192">
        <v>55</v>
      </c>
      <c r="T27" s="1192">
        <v>110</v>
      </c>
      <c r="U27" s="1192">
        <v>104</v>
      </c>
      <c r="V27" s="1192">
        <v>50</v>
      </c>
      <c r="W27" s="1192">
        <v>0</v>
      </c>
      <c r="X27" s="1192">
        <v>69</v>
      </c>
      <c r="Y27" s="1192">
        <v>89</v>
      </c>
      <c r="Z27" s="1192">
        <v>0</v>
      </c>
      <c r="AA27" s="1192">
        <v>100</v>
      </c>
      <c r="AB27" s="1192">
        <v>61</v>
      </c>
      <c r="AC27" s="1192">
        <v>61</v>
      </c>
      <c r="AD27" s="1192">
        <v>0</v>
      </c>
      <c r="AE27" s="1192">
        <v>63</v>
      </c>
      <c r="AF27" s="1192">
        <v>0</v>
      </c>
      <c r="AG27" s="1192">
        <v>65</v>
      </c>
      <c r="AH27" s="1334">
        <v>99</v>
      </c>
      <c r="AI27" s="553">
        <f t="shared" si="1"/>
        <v>1057</v>
      </c>
      <c r="AJ27" s="1011">
        <v>51.348286589852712</v>
      </c>
      <c r="AK27" s="661">
        <f t="shared" si="2"/>
        <v>542.75138925474323</v>
      </c>
      <c r="AL27" s="1010" t="s">
        <v>40</v>
      </c>
      <c r="AM27" s="552"/>
      <c r="AN27" s="555"/>
      <c r="AO27" s="555"/>
    </row>
    <row r="28" spans="1:44" ht="54" customHeight="1">
      <c r="A28" s="1324">
        <v>12</v>
      </c>
      <c r="B28" s="1324">
        <v>12</v>
      </c>
      <c r="C28" s="552" t="str">
        <f>'Chấm công KT'!C24</f>
        <v>N. Keo</v>
      </c>
      <c r="D28" s="1192">
        <v>0</v>
      </c>
      <c r="E28" s="1192">
        <v>0</v>
      </c>
      <c r="F28" s="1192">
        <v>0</v>
      </c>
      <c r="G28" s="1192">
        <v>0</v>
      </c>
      <c r="H28" s="1192">
        <v>0</v>
      </c>
      <c r="I28" s="1192">
        <v>0</v>
      </c>
      <c r="J28" s="1192">
        <v>0</v>
      </c>
      <c r="K28" s="1192">
        <v>35</v>
      </c>
      <c r="L28" s="1192">
        <v>107</v>
      </c>
      <c r="M28" s="1192">
        <v>0</v>
      </c>
      <c r="N28" s="1192">
        <v>137</v>
      </c>
      <c r="O28" s="1192">
        <v>101</v>
      </c>
      <c r="P28" s="1192">
        <v>130</v>
      </c>
      <c r="Q28" s="1192">
        <v>0</v>
      </c>
      <c r="R28" s="1192">
        <v>112</v>
      </c>
      <c r="S28" s="1192">
        <v>85</v>
      </c>
      <c r="T28" s="1192">
        <v>135</v>
      </c>
      <c r="U28" s="1192">
        <v>109</v>
      </c>
      <c r="V28" s="1192">
        <v>94</v>
      </c>
      <c r="W28" s="1192">
        <v>80</v>
      </c>
      <c r="X28" s="1192">
        <v>102</v>
      </c>
      <c r="Y28" s="1192">
        <v>75</v>
      </c>
      <c r="Z28" s="1192">
        <v>104</v>
      </c>
      <c r="AA28" s="1192">
        <v>80</v>
      </c>
      <c r="AB28" s="1192">
        <v>118</v>
      </c>
      <c r="AC28" s="1192">
        <v>54</v>
      </c>
      <c r="AD28" s="1192">
        <v>70</v>
      </c>
      <c r="AE28" s="1192">
        <v>74</v>
      </c>
      <c r="AF28" s="1192">
        <v>91</v>
      </c>
      <c r="AG28" s="1192">
        <v>58</v>
      </c>
      <c r="AH28" s="1334">
        <v>74</v>
      </c>
      <c r="AI28" s="553">
        <f t="shared" si="1"/>
        <v>2025</v>
      </c>
      <c r="AJ28" s="1011">
        <v>51.348286589852712</v>
      </c>
      <c r="AK28" s="661">
        <f t="shared" si="2"/>
        <v>1039.8028034445174</v>
      </c>
      <c r="AL28" s="1010" t="s">
        <v>48</v>
      </c>
      <c r="AM28" s="552"/>
      <c r="AN28" s="555"/>
      <c r="AO28" s="555"/>
    </row>
    <row r="29" spans="1:44" ht="54" customHeight="1">
      <c r="A29" s="1324">
        <v>13</v>
      </c>
      <c r="B29" s="1324">
        <v>13</v>
      </c>
      <c r="C29" s="552" t="str">
        <f>'Chấm công KT'!C25</f>
        <v>T. Thong Đon</v>
      </c>
      <c r="D29" s="1192">
        <v>38</v>
      </c>
      <c r="E29" s="1192">
        <v>0</v>
      </c>
      <c r="F29" s="1192">
        <v>0</v>
      </c>
      <c r="G29" s="1192">
        <v>0</v>
      </c>
      <c r="H29" s="1192">
        <v>0</v>
      </c>
      <c r="I29" s="1192">
        <v>0</v>
      </c>
      <c r="J29" s="1192">
        <v>0</v>
      </c>
      <c r="K29" s="1192">
        <v>48</v>
      </c>
      <c r="L29" s="1192">
        <v>0</v>
      </c>
      <c r="M29" s="1192">
        <v>0</v>
      </c>
      <c r="N29" s="1192">
        <v>0</v>
      </c>
      <c r="O29" s="1192">
        <v>118</v>
      </c>
      <c r="P29" s="1192">
        <v>193</v>
      </c>
      <c r="Q29" s="1192">
        <v>100</v>
      </c>
      <c r="R29" s="1192">
        <v>192</v>
      </c>
      <c r="S29" s="1192">
        <v>89</v>
      </c>
      <c r="T29" s="1192">
        <v>0</v>
      </c>
      <c r="U29" s="1192">
        <v>0</v>
      </c>
      <c r="V29" s="1192">
        <v>64</v>
      </c>
      <c r="W29" s="1192">
        <v>86</v>
      </c>
      <c r="X29" s="1192">
        <v>230</v>
      </c>
      <c r="Y29" s="1192">
        <v>126</v>
      </c>
      <c r="Z29" s="1192">
        <v>69</v>
      </c>
      <c r="AA29" s="1192">
        <v>0</v>
      </c>
      <c r="AB29" s="1192">
        <v>107</v>
      </c>
      <c r="AC29" s="1192">
        <v>51</v>
      </c>
      <c r="AD29" s="1192">
        <v>0</v>
      </c>
      <c r="AE29" s="1192">
        <v>202</v>
      </c>
      <c r="AF29" s="1192">
        <v>0</v>
      </c>
      <c r="AG29" s="1192">
        <v>52</v>
      </c>
      <c r="AH29" s="1334">
        <v>60</v>
      </c>
      <c r="AI29" s="553">
        <f t="shared" si="1"/>
        <v>1825</v>
      </c>
      <c r="AJ29" s="1011">
        <v>51.348286589852712</v>
      </c>
      <c r="AK29" s="661">
        <f t="shared" si="2"/>
        <v>937.10623026481198</v>
      </c>
      <c r="AL29" s="1010" t="s">
        <v>48</v>
      </c>
      <c r="AM29" s="552"/>
      <c r="AN29" s="555"/>
      <c r="AO29" s="555"/>
    </row>
    <row r="30" spans="1:44" ht="54" customHeight="1">
      <c r="A30" s="1324">
        <v>14</v>
      </c>
      <c r="B30" s="1324">
        <v>14</v>
      </c>
      <c r="C30" s="552" t="str">
        <f>'Chấm công KT'!C26</f>
        <v>T. Hin</v>
      </c>
      <c r="D30" s="1192">
        <v>0</v>
      </c>
      <c r="E30" s="1192">
        <v>0</v>
      </c>
      <c r="F30" s="1192">
        <v>0</v>
      </c>
      <c r="G30" s="1192">
        <v>0</v>
      </c>
      <c r="H30" s="1192">
        <v>0</v>
      </c>
      <c r="I30" s="1192">
        <v>0</v>
      </c>
      <c r="J30" s="1192">
        <v>0</v>
      </c>
      <c r="K30" s="1192">
        <v>104</v>
      </c>
      <c r="L30" s="1192">
        <v>0</v>
      </c>
      <c r="M30" s="1192">
        <v>0</v>
      </c>
      <c r="N30" s="1192">
        <v>89</v>
      </c>
      <c r="O30" s="1192">
        <v>93</v>
      </c>
      <c r="P30" s="1192">
        <v>103</v>
      </c>
      <c r="Q30" s="1192">
        <v>81</v>
      </c>
      <c r="R30" s="1192">
        <v>0</v>
      </c>
      <c r="S30" s="1192">
        <v>91</v>
      </c>
      <c r="T30" s="1192">
        <v>72</v>
      </c>
      <c r="U30" s="1192">
        <v>0</v>
      </c>
      <c r="V30" s="1192">
        <v>96</v>
      </c>
      <c r="W30" s="1192">
        <v>87</v>
      </c>
      <c r="X30" s="1192">
        <v>76</v>
      </c>
      <c r="Y30" s="1192">
        <v>76</v>
      </c>
      <c r="Z30" s="1192">
        <v>0</v>
      </c>
      <c r="AA30" s="1192">
        <v>82</v>
      </c>
      <c r="AB30" s="1192">
        <v>77</v>
      </c>
      <c r="AC30" s="1192">
        <v>44</v>
      </c>
      <c r="AD30" s="1192">
        <v>78</v>
      </c>
      <c r="AE30" s="1192">
        <v>95</v>
      </c>
      <c r="AF30" s="1192">
        <v>63</v>
      </c>
      <c r="AG30" s="1192">
        <v>0</v>
      </c>
      <c r="AH30" s="1334">
        <v>0</v>
      </c>
      <c r="AI30" s="553">
        <f t="shared" si="1"/>
        <v>1407</v>
      </c>
      <c r="AJ30" s="1011">
        <v>51.348286589852712</v>
      </c>
      <c r="AK30" s="661">
        <f t="shared" si="2"/>
        <v>722.4703923192277</v>
      </c>
      <c r="AL30" s="1010" t="s">
        <v>40</v>
      </c>
      <c r="AM30" s="552"/>
      <c r="AN30" s="555"/>
      <c r="AO30" s="555"/>
    </row>
    <row r="31" spans="1:44" ht="54" customHeight="1">
      <c r="A31" s="1324">
        <v>15</v>
      </c>
      <c r="B31" s="1324">
        <v>15</v>
      </c>
      <c r="C31" s="552" t="str">
        <f>'Chấm công KT'!C27</f>
        <v>N. Ly Phon</v>
      </c>
      <c r="D31" s="1192">
        <v>0</v>
      </c>
      <c r="E31" s="1192">
        <v>0</v>
      </c>
      <c r="F31" s="1192">
        <v>0</v>
      </c>
      <c r="G31" s="1192">
        <v>0</v>
      </c>
      <c r="H31" s="1192">
        <v>0</v>
      </c>
      <c r="I31" s="1192">
        <v>0</v>
      </c>
      <c r="J31" s="1192">
        <v>0</v>
      </c>
      <c r="K31" s="1192">
        <v>52</v>
      </c>
      <c r="L31" s="1192">
        <v>42</v>
      </c>
      <c r="M31" s="1192">
        <v>0</v>
      </c>
      <c r="N31" s="1192">
        <v>88</v>
      </c>
      <c r="O31" s="1192">
        <v>94</v>
      </c>
      <c r="P31" s="1192">
        <v>90</v>
      </c>
      <c r="Q31" s="1192">
        <v>88</v>
      </c>
      <c r="R31" s="1192">
        <v>0</v>
      </c>
      <c r="S31" s="1192">
        <v>0</v>
      </c>
      <c r="T31" s="1192">
        <v>83</v>
      </c>
      <c r="U31" s="1192">
        <v>0</v>
      </c>
      <c r="V31" s="1192">
        <v>126</v>
      </c>
      <c r="W31" s="1192">
        <v>163</v>
      </c>
      <c r="X31" s="1192">
        <v>0</v>
      </c>
      <c r="Y31" s="1192">
        <v>68</v>
      </c>
      <c r="Z31" s="1192">
        <v>60</v>
      </c>
      <c r="AA31" s="1192">
        <v>0</v>
      </c>
      <c r="AB31" s="1192">
        <v>143</v>
      </c>
      <c r="AC31" s="1192">
        <v>60</v>
      </c>
      <c r="AD31" s="1192">
        <v>0</v>
      </c>
      <c r="AE31" s="1192">
        <v>139</v>
      </c>
      <c r="AF31" s="1192">
        <v>74</v>
      </c>
      <c r="AG31" s="1192">
        <v>54</v>
      </c>
      <c r="AH31" s="1334">
        <v>138</v>
      </c>
      <c r="AI31" s="553">
        <f t="shared" si="1"/>
        <v>1562</v>
      </c>
      <c r="AJ31" s="1011">
        <v>51.348286589852712</v>
      </c>
      <c r="AK31" s="661">
        <f t="shared" si="2"/>
        <v>802.06023653349939</v>
      </c>
      <c r="AL31" s="1010" t="s">
        <v>40</v>
      </c>
      <c r="AM31" s="552"/>
      <c r="AN31" s="555"/>
      <c r="AO31" s="555"/>
    </row>
    <row r="32" spans="1:44" ht="54" customHeight="1">
      <c r="A32" s="1324">
        <v>16</v>
      </c>
      <c r="B32" s="1324">
        <v>16</v>
      </c>
      <c r="C32" s="552" t="str">
        <f>'Chấm công KT'!C28</f>
        <v>T. Xôm Va Nít</v>
      </c>
      <c r="D32" s="1192">
        <v>0</v>
      </c>
      <c r="E32" s="1192">
        <v>0</v>
      </c>
      <c r="F32" s="1192">
        <v>0</v>
      </c>
      <c r="G32" s="1192">
        <v>0</v>
      </c>
      <c r="H32" s="1192">
        <v>0</v>
      </c>
      <c r="I32" s="1192">
        <v>0</v>
      </c>
      <c r="J32" s="1192">
        <v>0</v>
      </c>
      <c r="K32" s="1192">
        <v>37</v>
      </c>
      <c r="L32" s="1192">
        <v>87</v>
      </c>
      <c r="M32" s="1192">
        <v>0</v>
      </c>
      <c r="N32" s="1192">
        <v>140</v>
      </c>
      <c r="O32" s="1192">
        <v>106</v>
      </c>
      <c r="P32" s="1192">
        <v>131</v>
      </c>
      <c r="Q32" s="1192">
        <v>0</v>
      </c>
      <c r="R32" s="1192">
        <v>90</v>
      </c>
      <c r="S32" s="1192">
        <v>85</v>
      </c>
      <c r="T32" s="1192">
        <v>122</v>
      </c>
      <c r="U32" s="1192">
        <v>96</v>
      </c>
      <c r="V32" s="1192">
        <v>85</v>
      </c>
      <c r="W32" s="1192">
        <v>80</v>
      </c>
      <c r="X32" s="1192">
        <v>114</v>
      </c>
      <c r="Y32" s="1192">
        <v>85</v>
      </c>
      <c r="Z32" s="1192">
        <v>85</v>
      </c>
      <c r="AA32" s="1192">
        <v>89</v>
      </c>
      <c r="AB32" s="1192">
        <v>111</v>
      </c>
      <c r="AC32" s="1192">
        <v>69</v>
      </c>
      <c r="AD32" s="1192">
        <v>68</v>
      </c>
      <c r="AE32" s="1192">
        <v>84</v>
      </c>
      <c r="AF32" s="1192">
        <v>92</v>
      </c>
      <c r="AG32" s="1192">
        <v>59</v>
      </c>
      <c r="AH32" s="1334">
        <v>70</v>
      </c>
      <c r="AI32" s="553">
        <f t="shared" si="1"/>
        <v>1985</v>
      </c>
      <c r="AJ32" s="1011">
        <v>51.348286589852712</v>
      </c>
      <c r="AK32" s="661">
        <f t="shared" si="2"/>
        <v>1019.2634888085763</v>
      </c>
      <c r="AL32" s="1010" t="s">
        <v>40</v>
      </c>
      <c r="AM32" s="552"/>
      <c r="AN32" s="555"/>
      <c r="AO32" s="555"/>
    </row>
    <row r="33" spans="1:41" ht="54" customHeight="1">
      <c r="A33" s="1324">
        <v>17</v>
      </c>
      <c r="B33" s="1324">
        <v>17</v>
      </c>
      <c r="C33" s="552" t="str">
        <f>'Chấm công KT'!C29</f>
        <v>T. Lọi</v>
      </c>
      <c r="D33" s="1192">
        <v>28</v>
      </c>
      <c r="E33" s="1192">
        <v>0</v>
      </c>
      <c r="F33" s="1192">
        <v>0</v>
      </c>
      <c r="G33" s="1192">
        <v>0</v>
      </c>
      <c r="H33" s="1192">
        <v>0</v>
      </c>
      <c r="I33" s="1192">
        <v>0</v>
      </c>
      <c r="J33" s="1192">
        <v>0</v>
      </c>
      <c r="K33" s="1192">
        <v>0</v>
      </c>
      <c r="L33" s="1192">
        <v>0</v>
      </c>
      <c r="M33" s="1192">
        <v>0</v>
      </c>
      <c r="N33" s="1192">
        <v>30</v>
      </c>
      <c r="O33" s="1192">
        <v>0</v>
      </c>
      <c r="P33" s="1192">
        <v>0</v>
      </c>
      <c r="Q33" s="1192">
        <v>0</v>
      </c>
      <c r="R33" s="1192">
        <v>0</v>
      </c>
      <c r="S33" s="1192">
        <v>0</v>
      </c>
      <c r="T33" s="1192">
        <v>0</v>
      </c>
      <c r="U33" s="1192">
        <v>0</v>
      </c>
      <c r="V33" s="1192">
        <v>0</v>
      </c>
      <c r="W33" s="1192">
        <v>114</v>
      </c>
      <c r="X33" s="1192">
        <v>0</v>
      </c>
      <c r="Y33" s="1192">
        <v>104</v>
      </c>
      <c r="Z33" s="1192">
        <v>30</v>
      </c>
      <c r="AA33" s="1192">
        <v>69</v>
      </c>
      <c r="AB33" s="1192">
        <v>137</v>
      </c>
      <c r="AC33" s="1192">
        <v>60</v>
      </c>
      <c r="AD33" s="1192">
        <v>0</v>
      </c>
      <c r="AE33" s="1192">
        <v>53</v>
      </c>
      <c r="AF33" s="1192">
        <v>0</v>
      </c>
      <c r="AG33" s="1192">
        <v>48</v>
      </c>
      <c r="AH33" s="1334">
        <v>0</v>
      </c>
      <c r="AI33" s="553">
        <f t="shared" si="1"/>
        <v>673</v>
      </c>
      <c r="AJ33" s="1011">
        <v>51.348286589852712</v>
      </c>
      <c r="AK33" s="661">
        <f t="shared" si="2"/>
        <v>345.57396874970874</v>
      </c>
      <c r="AL33" s="1010" t="s">
        <v>40</v>
      </c>
      <c r="AM33" s="552"/>
      <c r="AN33" s="555"/>
      <c r="AO33" s="555"/>
    </row>
    <row r="34" spans="1:41" ht="54" customHeight="1">
      <c r="A34" s="1324">
        <v>18</v>
      </c>
      <c r="B34" s="1324">
        <v>18</v>
      </c>
      <c r="C34" s="552" t="str">
        <f>'Chấm công KT'!C30</f>
        <v>T. Phô Thong</v>
      </c>
      <c r="D34" s="1192">
        <v>60</v>
      </c>
      <c r="E34" s="1192">
        <v>0</v>
      </c>
      <c r="F34" s="1192">
        <v>0</v>
      </c>
      <c r="G34" s="1192">
        <v>0</v>
      </c>
      <c r="H34" s="1192">
        <v>0</v>
      </c>
      <c r="I34" s="1192">
        <v>0</v>
      </c>
      <c r="J34" s="1192">
        <v>0</v>
      </c>
      <c r="K34" s="1192">
        <v>34</v>
      </c>
      <c r="L34" s="1192">
        <v>49</v>
      </c>
      <c r="M34" s="1192">
        <v>74</v>
      </c>
      <c r="N34" s="1192">
        <v>0</v>
      </c>
      <c r="O34" s="1192">
        <v>92</v>
      </c>
      <c r="P34" s="1192">
        <v>115</v>
      </c>
      <c r="Q34" s="1192">
        <v>45</v>
      </c>
      <c r="R34" s="1192">
        <v>120</v>
      </c>
      <c r="S34" s="1192">
        <v>99</v>
      </c>
      <c r="T34" s="1192">
        <v>141</v>
      </c>
      <c r="U34" s="1192">
        <v>95</v>
      </c>
      <c r="V34" s="1192">
        <v>102</v>
      </c>
      <c r="W34" s="1192">
        <v>80</v>
      </c>
      <c r="X34" s="1192">
        <v>94</v>
      </c>
      <c r="Y34" s="1192">
        <v>62</v>
      </c>
      <c r="Z34" s="1192">
        <v>70</v>
      </c>
      <c r="AA34" s="1192">
        <v>76</v>
      </c>
      <c r="AB34" s="1192">
        <v>96</v>
      </c>
      <c r="AC34" s="1192">
        <v>62</v>
      </c>
      <c r="AD34" s="1192">
        <v>51</v>
      </c>
      <c r="AE34" s="1192">
        <v>116</v>
      </c>
      <c r="AF34" s="1192">
        <v>86</v>
      </c>
      <c r="AG34" s="1192">
        <v>56</v>
      </c>
      <c r="AH34" s="1334">
        <v>54</v>
      </c>
      <c r="AI34" s="553">
        <f t="shared" si="1"/>
        <v>1929</v>
      </c>
      <c r="AJ34" s="1011">
        <v>51.348286589852712</v>
      </c>
      <c r="AK34" s="661">
        <f t="shared" si="2"/>
        <v>990.50844831825884</v>
      </c>
      <c r="AL34" s="1010" t="s">
        <v>40</v>
      </c>
      <c r="AM34" s="552"/>
      <c r="AN34" s="555"/>
      <c r="AO34" s="555"/>
    </row>
    <row r="35" spans="1:41" ht="54" customHeight="1">
      <c r="A35" s="1324">
        <v>19</v>
      </c>
      <c r="B35" s="1324">
        <v>19</v>
      </c>
      <c r="C35" s="552" t="str">
        <f>'Chấm công KT'!C31</f>
        <v>N. Soi</v>
      </c>
      <c r="D35" s="1192">
        <v>0</v>
      </c>
      <c r="E35" s="1192">
        <v>0</v>
      </c>
      <c r="F35" s="1192">
        <v>0</v>
      </c>
      <c r="G35" s="1192">
        <v>0</v>
      </c>
      <c r="H35" s="1192">
        <v>0</v>
      </c>
      <c r="I35" s="1192">
        <v>0</v>
      </c>
      <c r="J35" s="1192">
        <v>0</v>
      </c>
      <c r="K35" s="1192">
        <v>0</v>
      </c>
      <c r="L35" s="1192">
        <v>38</v>
      </c>
      <c r="M35" s="1192">
        <v>0</v>
      </c>
      <c r="N35" s="1192">
        <v>0</v>
      </c>
      <c r="O35" s="1192">
        <v>0</v>
      </c>
      <c r="P35" s="1192">
        <v>127</v>
      </c>
      <c r="Q35" s="1192">
        <v>56</v>
      </c>
      <c r="R35" s="1192">
        <v>46</v>
      </c>
      <c r="S35" s="1192">
        <v>71</v>
      </c>
      <c r="T35" s="1192">
        <v>81</v>
      </c>
      <c r="U35" s="1192">
        <v>102</v>
      </c>
      <c r="V35" s="1192">
        <v>0</v>
      </c>
      <c r="W35" s="1192">
        <v>60</v>
      </c>
      <c r="X35" s="1192">
        <v>119</v>
      </c>
      <c r="Y35" s="1192">
        <v>42</v>
      </c>
      <c r="Z35" s="1192">
        <v>136</v>
      </c>
      <c r="AA35" s="1192">
        <v>40</v>
      </c>
      <c r="AB35" s="1192">
        <v>68</v>
      </c>
      <c r="AC35" s="1192">
        <v>60</v>
      </c>
      <c r="AD35" s="1192">
        <v>54</v>
      </c>
      <c r="AE35" s="1192">
        <v>0</v>
      </c>
      <c r="AF35" s="1192">
        <v>42</v>
      </c>
      <c r="AG35" s="1192">
        <v>58</v>
      </c>
      <c r="AH35" s="1334">
        <v>61</v>
      </c>
      <c r="AI35" s="553">
        <f t="shared" si="1"/>
        <v>1261</v>
      </c>
      <c r="AJ35" s="1011">
        <v>51.348286589852712</v>
      </c>
      <c r="AK35" s="661">
        <f t="shared" si="2"/>
        <v>647.50189389804268</v>
      </c>
      <c r="AL35" s="1010" t="s">
        <v>40</v>
      </c>
      <c r="AM35" s="552"/>
      <c r="AN35" s="555"/>
      <c r="AO35" s="555"/>
    </row>
    <row r="36" spans="1:41" ht="54" customHeight="1">
      <c r="A36" s="1324">
        <v>20</v>
      </c>
      <c r="B36" s="1324">
        <v>20</v>
      </c>
      <c r="C36" s="552" t="str">
        <f>'Chấm công KT'!C32</f>
        <v>N. Me Kha La</v>
      </c>
      <c r="D36" s="1192">
        <v>26</v>
      </c>
      <c r="E36" s="1192">
        <v>0</v>
      </c>
      <c r="F36" s="1192">
        <v>0</v>
      </c>
      <c r="G36" s="1192">
        <v>0</v>
      </c>
      <c r="H36" s="1192">
        <v>0</v>
      </c>
      <c r="I36" s="1192">
        <v>0</v>
      </c>
      <c r="J36" s="1192">
        <v>0</v>
      </c>
      <c r="K36" s="1192">
        <v>49</v>
      </c>
      <c r="L36" s="1192">
        <v>0</v>
      </c>
      <c r="M36" s="1192">
        <v>104</v>
      </c>
      <c r="N36" s="1192">
        <v>160</v>
      </c>
      <c r="O36" s="1192">
        <v>0</v>
      </c>
      <c r="P36" s="1192">
        <v>112</v>
      </c>
      <c r="Q36" s="1192">
        <v>130</v>
      </c>
      <c r="R36" s="1192">
        <v>101</v>
      </c>
      <c r="S36" s="1192">
        <v>124</v>
      </c>
      <c r="T36" s="1192">
        <v>100</v>
      </c>
      <c r="U36" s="1192">
        <v>134</v>
      </c>
      <c r="V36" s="1192">
        <v>55</v>
      </c>
      <c r="W36" s="1192">
        <v>80</v>
      </c>
      <c r="X36" s="1192">
        <v>90</v>
      </c>
      <c r="Y36" s="1192">
        <v>104</v>
      </c>
      <c r="Z36" s="1192">
        <v>0</v>
      </c>
      <c r="AA36" s="1192">
        <v>96</v>
      </c>
      <c r="AB36" s="1192">
        <v>76</v>
      </c>
      <c r="AC36" s="1192">
        <v>108</v>
      </c>
      <c r="AD36" s="1192">
        <v>126</v>
      </c>
      <c r="AE36" s="1192">
        <v>116</v>
      </c>
      <c r="AF36" s="1192">
        <v>85</v>
      </c>
      <c r="AG36" s="1192">
        <v>113</v>
      </c>
      <c r="AH36" s="1334">
        <v>97</v>
      </c>
      <c r="AI36" s="553">
        <f t="shared" si="1"/>
        <v>2186</v>
      </c>
      <c r="AJ36" s="1011">
        <v>51.348286589852712</v>
      </c>
      <c r="AK36" s="661">
        <f t="shared" si="2"/>
        <v>1122.4735448541803</v>
      </c>
      <c r="AL36" s="1010" t="s">
        <v>40</v>
      </c>
      <c r="AM36" s="552"/>
      <c r="AN36" s="555"/>
      <c r="AO36" s="555"/>
    </row>
    <row r="37" spans="1:41" ht="54" customHeight="1">
      <c r="A37" s="1324">
        <v>21</v>
      </c>
      <c r="B37" s="1324">
        <v>21</v>
      </c>
      <c r="C37" s="552" t="str">
        <f>'Chấm công KT'!C33</f>
        <v>N. Mon Khăm</v>
      </c>
      <c r="D37" s="1192">
        <v>0</v>
      </c>
      <c r="E37" s="1192">
        <v>0</v>
      </c>
      <c r="F37" s="1192">
        <v>0</v>
      </c>
      <c r="G37" s="1192">
        <v>0</v>
      </c>
      <c r="H37" s="1192">
        <v>0</v>
      </c>
      <c r="I37" s="1192">
        <v>0</v>
      </c>
      <c r="J37" s="1192">
        <v>0</v>
      </c>
      <c r="K37" s="1192">
        <v>10</v>
      </c>
      <c r="L37" s="1192">
        <v>0</v>
      </c>
      <c r="M37" s="1192">
        <v>0</v>
      </c>
      <c r="N37" s="1192">
        <v>24</v>
      </c>
      <c r="O37" s="1192">
        <v>0</v>
      </c>
      <c r="P37" s="1192">
        <v>0</v>
      </c>
      <c r="Q37" s="1192">
        <v>25</v>
      </c>
      <c r="R37" s="1192">
        <v>0</v>
      </c>
      <c r="S37" s="1192">
        <v>77</v>
      </c>
      <c r="T37" s="1192">
        <v>110</v>
      </c>
      <c r="U37" s="1192">
        <v>93</v>
      </c>
      <c r="V37" s="1192">
        <v>50</v>
      </c>
      <c r="W37" s="1192">
        <v>0</v>
      </c>
      <c r="X37" s="1192">
        <v>76</v>
      </c>
      <c r="Y37" s="1192">
        <v>64</v>
      </c>
      <c r="Z37" s="1192">
        <v>0</v>
      </c>
      <c r="AA37" s="1192">
        <v>120</v>
      </c>
      <c r="AB37" s="1192">
        <v>50</v>
      </c>
      <c r="AC37" s="1192">
        <v>75</v>
      </c>
      <c r="AD37" s="1192">
        <v>0</v>
      </c>
      <c r="AE37" s="1192">
        <v>56</v>
      </c>
      <c r="AF37" s="1192">
        <v>0</v>
      </c>
      <c r="AG37" s="1192">
        <v>76</v>
      </c>
      <c r="AH37" s="1334">
        <v>105</v>
      </c>
      <c r="AI37" s="553">
        <f t="shared" si="1"/>
        <v>1011</v>
      </c>
      <c r="AJ37" s="1011">
        <v>51.348286589852712</v>
      </c>
      <c r="AK37" s="661">
        <f t="shared" si="2"/>
        <v>519.13117742341092</v>
      </c>
      <c r="AL37" s="1010" t="s">
        <v>40</v>
      </c>
      <c r="AM37" s="552"/>
      <c r="AN37" s="555"/>
      <c r="AO37" s="555"/>
    </row>
    <row r="38" spans="1:41" ht="54" customHeight="1">
      <c r="A38" s="1324">
        <v>22</v>
      </c>
      <c r="B38" s="1324">
        <v>22</v>
      </c>
      <c r="C38" s="552" t="str">
        <f>'Chấm công KT'!C34</f>
        <v>N. Bua Lay</v>
      </c>
      <c r="D38" s="1192">
        <v>26</v>
      </c>
      <c r="E38" s="1192">
        <v>22</v>
      </c>
      <c r="F38" s="1192">
        <v>0</v>
      </c>
      <c r="G38" s="1192">
        <v>0</v>
      </c>
      <c r="H38" s="1192">
        <v>0</v>
      </c>
      <c r="I38" s="1192">
        <v>0</v>
      </c>
      <c r="J38" s="1192">
        <v>36</v>
      </c>
      <c r="K38" s="1192">
        <v>40</v>
      </c>
      <c r="L38" s="1192">
        <v>0</v>
      </c>
      <c r="M38" s="1192">
        <v>0</v>
      </c>
      <c r="N38" s="1192">
        <v>100</v>
      </c>
      <c r="O38" s="1192">
        <v>45</v>
      </c>
      <c r="P38" s="1192">
        <v>54</v>
      </c>
      <c r="Q38" s="1192">
        <v>84</v>
      </c>
      <c r="R38" s="1192">
        <v>0</v>
      </c>
      <c r="S38" s="1192">
        <v>39</v>
      </c>
      <c r="T38" s="1192">
        <v>53</v>
      </c>
      <c r="U38" s="1192">
        <v>41</v>
      </c>
      <c r="V38" s="1192">
        <v>120</v>
      </c>
      <c r="W38" s="1192">
        <v>42</v>
      </c>
      <c r="X38" s="1192">
        <v>84</v>
      </c>
      <c r="Y38" s="1192">
        <v>60</v>
      </c>
      <c r="Z38" s="1192">
        <v>77</v>
      </c>
      <c r="AA38" s="1192">
        <v>36</v>
      </c>
      <c r="AB38" s="1192">
        <v>53</v>
      </c>
      <c r="AC38" s="1192">
        <v>54</v>
      </c>
      <c r="AD38" s="1192">
        <v>62</v>
      </c>
      <c r="AE38" s="1192">
        <v>48</v>
      </c>
      <c r="AF38" s="1192">
        <v>75</v>
      </c>
      <c r="AG38" s="1192">
        <v>0</v>
      </c>
      <c r="AH38" s="1334">
        <v>54</v>
      </c>
      <c r="AI38" s="553">
        <f t="shared" si="1"/>
        <v>1305</v>
      </c>
      <c r="AJ38" s="1011">
        <v>51.348286589852712</v>
      </c>
      <c r="AK38" s="661">
        <f t="shared" si="2"/>
        <v>670.09513999757792</v>
      </c>
      <c r="AL38" s="1010" t="s">
        <v>48</v>
      </c>
      <c r="AM38" s="552"/>
      <c r="AN38" s="555"/>
      <c r="AO38" s="555"/>
    </row>
    <row r="39" spans="1:41" ht="54" customHeight="1">
      <c r="A39" s="1324">
        <v>23</v>
      </c>
      <c r="B39" s="1324">
        <v>23</v>
      </c>
      <c r="C39" s="552" t="str">
        <f>'Chấm công KT'!C35</f>
        <v>T. Bin Ly.</v>
      </c>
      <c r="D39" s="1192">
        <v>0</v>
      </c>
      <c r="E39" s="1192">
        <v>0</v>
      </c>
      <c r="F39" s="1192">
        <v>0</v>
      </c>
      <c r="G39" s="1192">
        <v>0</v>
      </c>
      <c r="H39" s="1192">
        <v>0</v>
      </c>
      <c r="I39" s="1192">
        <v>0</v>
      </c>
      <c r="J39" s="1192">
        <v>0</v>
      </c>
      <c r="K39" s="1192">
        <v>0</v>
      </c>
      <c r="L39" s="1192">
        <v>54</v>
      </c>
      <c r="M39" s="1192">
        <v>57</v>
      </c>
      <c r="N39" s="1192">
        <v>103</v>
      </c>
      <c r="O39" s="1192">
        <v>122</v>
      </c>
      <c r="P39" s="1192">
        <v>39</v>
      </c>
      <c r="Q39" s="1192">
        <v>97</v>
      </c>
      <c r="R39" s="1192">
        <v>75</v>
      </c>
      <c r="S39" s="1192">
        <v>74</v>
      </c>
      <c r="T39" s="1192">
        <v>79</v>
      </c>
      <c r="U39" s="1192">
        <v>85</v>
      </c>
      <c r="V39" s="1192">
        <v>79</v>
      </c>
      <c r="W39" s="1192">
        <v>62</v>
      </c>
      <c r="X39" s="1192">
        <v>0</v>
      </c>
      <c r="Y39" s="1192">
        <v>96</v>
      </c>
      <c r="Z39" s="1192">
        <v>80</v>
      </c>
      <c r="AA39" s="1192">
        <v>67</v>
      </c>
      <c r="AB39" s="1192">
        <v>146</v>
      </c>
      <c r="AC39" s="1192">
        <v>90</v>
      </c>
      <c r="AD39" s="1192">
        <v>0</v>
      </c>
      <c r="AE39" s="1192">
        <v>63</v>
      </c>
      <c r="AF39" s="1192">
        <v>92</v>
      </c>
      <c r="AG39" s="1192">
        <v>91</v>
      </c>
      <c r="AH39" s="1334">
        <v>144</v>
      </c>
      <c r="AI39" s="553">
        <f t="shared" si="1"/>
        <v>1795</v>
      </c>
      <c r="AJ39" s="1011">
        <v>51.348286589852712</v>
      </c>
      <c r="AK39" s="661">
        <f t="shared" si="2"/>
        <v>921.70174428785617</v>
      </c>
      <c r="AL39" s="1010" t="s">
        <v>40</v>
      </c>
      <c r="AM39" s="552"/>
      <c r="AN39" s="555"/>
      <c r="AO39" s="555"/>
    </row>
    <row r="40" spans="1:41" ht="54" customHeight="1">
      <c r="A40" s="1324">
        <v>24</v>
      </c>
      <c r="B40" s="1324">
        <v>24</v>
      </c>
      <c r="C40" s="552" t="str">
        <f>'Chấm công KT'!C36</f>
        <v>N. Phim Phon.</v>
      </c>
      <c r="D40" s="1192">
        <v>0</v>
      </c>
      <c r="E40" s="1192">
        <v>0</v>
      </c>
      <c r="F40" s="1192">
        <v>0</v>
      </c>
      <c r="G40" s="1192">
        <v>0</v>
      </c>
      <c r="H40" s="1192">
        <v>0</v>
      </c>
      <c r="I40" s="1192">
        <v>0</v>
      </c>
      <c r="J40" s="1192">
        <v>43</v>
      </c>
      <c r="K40" s="1192">
        <v>46</v>
      </c>
      <c r="L40" s="1192">
        <v>0</v>
      </c>
      <c r="M40" s="1192">
        <v>0</v>
      </c>
      <c r="N40" s="1192">
        <v>88</v>
      </c>
      <c r="O40" s="1192">
        <v>52</v>
      </c>
      <c r="P40" s="1192">
        <v>66</v>
      </c>
      <c r="Q40" s="1192">
        <v>91</v>
      </c>
      <c r="R40" s="1192">
        <v>0</v>
      </c>
      <c r="S40" s="1192">
        <v>45</v>
      </c>
      <c r="T40" s="1192">
        <v>58</v>
      </c>
      <c r="U40" s="1192">
        <v>34</v>
      </c>
      <c r="V40" s="1192">
        <v>99</v>
      </c>
      <c r="W40" s="1192">
        <v>32</v>
      </c>
      <c r="X40" s="1192">
        <v>0</v>
      </c>
      <c r="Y40" s="1192">
        <v>54</v>
      </c>
      <c r="Z40" s="1192">
        <v>51</v>
      </c>
      <c r="AA40" s="1192">
        <v>36</v>
      </c>
      <c r="AB40" s="1192">
        <v>53</v>
      </c>
      <c r="AC40" s="1192">
        <v>66</v>
      </c>
      <c r="AD40" s="1192">
        <v>62</v>
      </c>
      <c r="AE40" s="1192">
        <v>44</v>
      </c>
      <c r="AF40" s="1192">
        <v>0</v>
      </c>
      <c r="AG40" s="1192">
        <v>0</v>
      </c>
      <c r="AH40" s="1334">
        <v>63</v>
      </c>
      <c r="AI40" s="553">
        <f t="shared" si="1"/>
        <v>1083</v>
      </c>
      <c r="AJ40" s="1011">
        <v>51.348286589852712</v>
      </c>
      <c r="AK40" s="661">
        <f t="shared" si="2"/>
        <v>556.10194376810489</v>
      </c>
      <c r="AL40" s="1010" t="s">
        <v>48</v>
      </c>
      <c r="AM40" s="552"/>
      <c r="AN40" s="555"/>
      <c r="AO40" s="555"/>
    </row>
    <row r="41" spans="1:41" ht="54" customHeight="1">
      <c r="A41" s="1324">
        <v>25</v>
      </c>
      <c r="B41" s="1324">
        <v>25</v>
      </c>
      <c r="C41" s="552" t="str">
        <f>'Chấm công KT'!C37</f>
        <v>N. Nong</v>
      </c>
      <c r="D41" s="1192">
        <v>64</v>
      </c>
      <c r="E41" s="1192">
        <v>30</v>
      </c>
      <c r="F41" s="1192">
        <v>0</v>
      </c>
      <c r="G41" s="1192">
        <v>0</v>
      </c>
      <c r="H41" s="1192">
        <v>0</v>
      </c>
      <c r="I41" s="1192">
        <v>0</v>
      </c>
      <c r="J41" s="1192">
        <v>44</v>
      </c>
      <c r="K41" s="1192">
        <v>0</v>
      </c>
      <c r="L41" s="1192">
        <v>0</v>
      </c>
      <c r="M41" s="1192">
        <v>38</v>
      </c>
      <c r="N41" s="1192">
        <v>0</v>
      </c>
      <c r="O41" s="1192">
        <v>91</v>
      </c>
      <c r="P41" s="1192">
        <v>193</v>
      </c>
      <c r="Q41" s="1192">
        <v>84</v>
      </c>
      <c r="R41" s="1192">
        <v>80</v>
      </c>
      <c r="S41" s="1192">
        <v>0</v>
      </c>
      <c r="T41" s="1192">
        <v>126</v>
      </c>
      <c r="U41" s="1192">
        <v>0</v>
      </c>
      <c r="V41" s="1192">
        <v>56</v>
      </c>
      <c r="W41" s="1192">
        <v>120</v>
      </c>
      <c r="X41" s="1192">
        <v>124</v>
      </c>
      <c r="Y41" s="1192">
        <v>107</v>
      </c>
      <c r="Z41" s="1192">
        <v>0</v>
      </c>
      <c r="AA41" s="1192">
        <v>0</v>
      </c>
      <c r="AB41" s="1192">
        <v>106</v>
      </c>
      <c r="AC41" s="1192">
        <v>0</v>
      </c>
      <c r="AD41" s="1192">
        <v>80</v>
      </c>
      <c r="AE41" s="1192">
        <v>199</v>
      </c>
      <c r="AF41" s="1192">
        <v>87</v>
      </c>
      <c r="AG41" s="1192">
        <v>114</v>
      </c>
      <c r="AH41" s="1334">
        <v>55</v>
      </c>
      <c r="AI41" s="553">
        <f t="shared" si="1"/>
        <v>1798</v>
      </c>
      <c r="AJ41" s="1011">
        <v>51.348286589852712</v>
      </c>
      <c r="AK41" s="661">
        <f t="shared" si="2"/>
        <v>923.24219288555173</v>
      </c>
      <c r="AL41" s="1010" t="s">
        <v>40</v>
      </c>
      <c r="AM41" s="552"/>
      <c r="AN41" s="555"/>
      <c r="AO41" s="555"/>
    </row>
    <row r="42" spans="1:41" ht="54" customHeight="1">
      <c r="A42" s="1324">
        <v>26</v>
      </c>
      <c r="B42" s="1324">
        <v>26</v>
      </c>
      <c r="C42" s="552" t="str">
        <f>'Chấm công KT'!C38</f>
        <v>N. Tun 1</v>
      </c>
      <c r="D42" s="1192">
        <v>50</v>
      </c>
      <c r="E42" s="1192">
        <v>16</v>
      </c>
      <c r="F42" s="1192">
        <v>0</v>
      </c>
      <c r="G42" s="1192">
        <v>0</v>
      </c>
      <c r="H42" s="1192">
        <v>0</v>
      </c>
      <c r="I42" s="1192">
        <v>0</v>
      </c>
      <c r="J42" s="1192">
        <v>0</v>
      </c>
      <c r="K42" s="1192">
        <v>42</v>
      </c>
      <c r="L42" s="1192">
        <v>33</v>
      </c>
      <c r="M42" s="1192">
        <v>0</v>
      </c>
      <c r="N42" s="1192">
        <v>48</v>
      </c>
      <c r="O42" s="1192">
        <v>20</v>
      </c>
      <c r="P42" s="1192">
        <v>18</v>
      </c>
      <c r="Q42" s="1192">
        <v>120</v>
      </c>
      <c r="R42" s="1192">
        <v>74</v>
      </c>
      <c r="S42" s="1192">
        <v>91</v>
      </c>
      <c r="T42" s="1192">
        <v>108</v>
      </c>
      <c r="U42" s="1192">
        <v>94</v>
      </c>
      <c r="V42" s="1192">
        <v>74</v>
      </c>
      <c r="W42" s="1192">
        <v>67</v>
      </c>
      <c r="X42" s="1192">
        <v>0</v>
      </c>
      <c r="Y42" s="1192">
        <v>69</v>
      </c>
      <c r="Z42" s="1192">
        <v>52</v>
      </c>
      <c r="AA42" s="1192">
        <v>76</v>
      </c>
      <c r="AB42" s="1192">
        <v>130</v>
      </c>
      <c r="AC42" s="1192">
        <v>54</v>
      </c>
      <c r="AD42" s="1192">
        <v>46</v>
      </c>
      <c r="AE42" s="1192">
        <v>74</v>
      </c>
      <c r="AF42" s="1192">
        <v>0</v>
      </c>
      <c r="AG42" s="1192">
        <v>0</v>
      </c>
      <c r="AH42" s="1334">
        <v>0</v>
      </c>
      <c r="AI42" s="553">
        <f t="shared" si="1"/>
        <v>1356</v>
      </c>
      <c r="AJ42" s="1011">
        <v>51.348286589852712</v>
      </c>
      <c r="AK42" s="661">
        <f t="shared" si="2"/>
        <v>696.28276615840286</v>
      </c>
      <c r="AL42" s="1010" t="s">
        <v>40</v>
      </c>
      <c r="AM42" s="552"/>
      <c r="AN42" s="555"/>
      <c r="AO42" s="555"/>
    </row>
    <row r="43" spans="1:41" ht="54" customHeight="1">
      <c r="A43" s="1324">
        <v>27</v>
      </c>
      <c r="B43" s="1324">
        <v>27</v>
      </c>
      <c r="C43" s="552" t="str">
        <f>'Chấm công KT'!C39</f>
        <v>T . Lốc</v>
      </c>
      <c r="D43" s="1192">
        <v>52</v>
      </c>
      <c r="E43" s="1192">
        <v>17</v>
      </c>
      <c r="F43" s="1192">
        <v>0</v>
      </c>
      <c r="G43" s="1192">
        <v>0</v>
      </c>
      <c r="H43" s="1192">
        <v>0</v>
      </c>
      <c r="I43" s="1192">
        <v>0</v>
      </c>
      <c r="J43" s="1192">
        <v>0</v>
      </c>
      <c r="K43" s="1192">
        <v>36</v>
      </c>
      <c r="L43" s="1192">
        <v>33</v>
      </c>
      <c r="M43" s="1192">
        <v>0</v>
      </c>
      <c r="N43" s="1192">
        <v>53</v>
      </c>
      <c r="O43" s="1192">
        <v>19</v>
      </c>
      <c r="P43" s="1192">
        <v>19</v>
      </c>
      <c r="Q43" s="1192">
        <v>121</v>
      </c>
      <c r="R43" s="1192">
        <v>74</v>
      </c>
      <c r="S43" s="1192">
        <v>89</v>
      </c>
      <c r="T43" s="1192">
        <v>115</v>
      </c>
      <c r="U43" s="1192">
        <v>80</v>
      </c>
      <c r="V43" s="1192">
        <v>60</v>
      </c>
      <c r="W43" s="1192">
        <v>76</v>
      </c>
      <c r="X43" s="1192">
        <v>0</v>
      </c>
      <c r="Y43" s="1192">
        <v>77</v>
      </c>
      <c r="Z43" s="1192">
        <v>57</v>
      </c>
      <c r="AA43" s="1192">
        <v>80</v>
      </c>
      <c r="AB43" s="1192">
        <v>120</v>
      </c>
      <c r="AC43" s="1192">
        <v>78</v>
      </c>
      <c r="AD43" s="1192">
        <v>46</v>
      </c>
      <c r="AE43" s="1192">
        <v>55</v>
      </c>
      <c r="AF43" s="1192">
        <v>0</v>
      </c>
      <c r="AG43" s="1192">
        <v>0</v>
      </c>
      <c r="AH43" s="1334">
        <v>0</v>
      </c>
      <c r="AI43" s="553">
        <f t="shared" si="1"/>
        <v>1357</v>
      </c>
      <c r="AJ43" s="1011">
        <v>51.348286589852712</v>
      </c>
      <c r="AK43" s="661">
        <f t="shared" si="2"/>
        <v>696.79624902430135</v>
      </c>
      <c r="AL43" s="1010" t="s">
        <v>48</v>
      </c>
      <c r="AM43" s="552"/>
      <c r="AN43" s="555"/>
      <c r="AO43" s="555"/>
    </row>
    <row r="44" spans="1:41" ht="54" customHeight="1">
      <c r="A44" s="1324">
        <v>28</v>
      </c>
      <c r="B44" s="1324">
        <v>28</v>
      </c>
      <c r="C44" s="552" t="str">
        <f>'Chấm công KT'!C40</f>
        <v>N . Khâm (1)</v>
      </c>
      <c r="D44" s="1192">
        <v>0</v>
      </c>
      <c r="E44" s="1192">
        <v>0</v>
      </c>
      <c r="F44" s="1192">
        <v>0</v>
      </c>
      <c r="G44" s="1192">
        <v>0</v>
      </c>
      <c r="H44" s="1192">
        <v>0</v>
      </c>
      <c r="I44" s="1192">
        <v>0</v>
      </c>
      <c r="J44" s="1192">
        <v>0</v>
      </c>
      <c r="K44" s="1192">
        <v>0</v>
      </c>
      <c r="L44" s="1192">
        <v>0</v>
      </c>
      <c r="M44" s="1192">
        <v>67</v>
      </c>
      <c r="N44" s="1192">
        <v>119</v>
      </c>
      <c r="O44" s="1192">
        <v>125</v>
      </c>
      <c r="P44" s="1192">
        <v>189</v>
      </c>
      <c r="Q44" s="1192">
        <v>0</v>
      </c>
      <c r="R44" s="1192">
        <v>64</v>
      </c>
      <c r="S44" s="1192">
        <v>0</v>
      </c>
      <c r="T44" s="1192">
        <v>0</v>
      </c>
      <c r="U44" s="1192">
        <v>0</v>
      </c>
      <c r="V44" s="1192">
        <v>92</v>
      </c>
      <c r="W44" s="1192">
        <v>99</v>
      </c>
      <c r="X44" s="1192">
        <v>95</v>
      </c>
      <c r="Y44" s="1192">
        <v>187</v>
      </c>
      <c r="Z44" s="1192">
        <v>57</v>
      </c>
      <c r="AA44" s="1192">
        <v>70</v>
      </c>
      <c r="AB44" s="1192">
        <v>119</v>
      </c>
      <c r="AC44" s="1192">
        <v>82</v>
      </c>
      <c r="AD44" s="1192">
        <v>55</v>
      </c>
      <c r="AE44" s="1192">
        <v>80</v>
      </c>
      <c r="AF44" s="1192">
        <v>111</v>
      </c>
      <c r="AG44" s="1192">
        <v>93</v>
      </c>
      <c r="AH44" s="1334">
        <v>68</v>
      </c>
      <c r="AI44" s="553">
        <f t="shared" si="1"/>
        <v>1772</v>
      </c>
      <c r="AJ44" s="1011">
        <v>51.348286589852712</v>
      </c>
      <c r="AK44" s="661">
        <f t="shared" si="2"/>
        <v>909.89163837219007</v>
      </c>
      <c r="AL44" s="1010" t="s">
        <v>40</v>
      </c>
      <c r="AM44" s="552"/>
      <c r="AN44" s="555"/>
      <c r="AO44" s="555"/>
    </row>
    <row r="45" spans="1:41" ht="54" customHeight="1">
      <c r="A45" s="1324">
        <v>29</v>
      </c>
      <c r="B45" s="1324">
        <v>29</v>
      </c>
      <c r="C45" s="552" t="str">
        <f>'Chấm công KT'!C41</f>
        <v>T . Phết</v>
      </c>
      <c r="D45" s="1192">
        <v>0</v>
      </c>
      <c r="E45" s="1192">
        <v>0</v>
      </c>
      <c r="F45" s="1192">
        <v>0</v>
      </c>
      <c r="G45" s="1192">
        <v>0</v>
      </c>
      <c r="H45" s="1192">
        <v>0</v>
      </c>
      <c r="I45" s="1192">
        <v>0</v>
      </c>
      <c r="J45" s="1192">
        <v>0</v>
      </c>
      <c r="K45" s="1192">
        <v>0</v>
      </c>
      <c r="L45" s="1192">
        <v>0</v>
      </c>
      <c r="M45" s="1192">
        <v>88</v>
      </c>
      <c r="N45" s="1192">
        <v>119</v>
      </c>
      <c r="O45" s="1192">
        <v>133</v>
      </c>
      <c r="P45" s="1192">
        <v>174</v>
      </c>
      <c r="Q45" s="1192">
        <v>0</v>
      </c>
      <c r="R45" s="1192">
        <v>83</v>
      </c>
      <c r="S45" s="1192">
        <v>0</v>
      </c>
      <c r="T45" s="1192">
        <v>0</v>
      </c>
      <c r="U45" s="1192">
        <v>0</v>
      </c>
      <c r="V45" s="1192">
        <v>82</v>
      </c>
      <c r="W45" s="1192">
        <v>96</v>
      </c>
      <c r="X45" s="1192">
        <v>95</v>
      </c>
      <c r="Y45" s="1192">
        <v>200</v>
      </c>
      <c r="Z45" s="1192">
        <v>61</v>
      </c>
      <c r="AA45" s="1192">
        <v>63</v>
      </c>
      <c r="AB45" s="1192">
        <v>119</v>
      </c>
      <c r="AC45" s="1192">
        <v>80</v>
      </c>
      <c r="AD45" s="1192">
        <v>57</v>
      </c>
      <c r="AE45" s="1192">
        <v>71</v>
      </c>
      <c r="AF45" s="1192">
        <v>101</v>
      </c>
      <c r="AG45" s="1192">
        <v>82</v>
      </c>
      <c r="AH45" s="1334">
        <v>49</v>
      </c>
      <c r="AI45" s="553">
        <f t="shared" si="1"/>
        <v>1753</v>
      </c>
      <c r="AJ45" s="1011">
        <v>51.348286589852712</v>
      </c>
      <c r="AK45" s="661">
        <f t="shared" si="2"/>
        <v>900.13546392011801</v>
      </c>
      <c r="AL45" s="1010" t="s">
        <v>40</v>
      </c>
      <c r="AM45" s="552"/>
      <c r="AN45" s="555"/>
      <c r="AO45" s="555"/>
    </row>
    <row r="46" spans="1:41" ht="54" customHeight="1">
      <c r="A46" s="1324">
        <v>30</v>
      </c>
      <c r="B46" s="1324">
        <v>30</v>
      </c>
      <c r="C46" s="552" t="str">
        <f>'Chấm công KT'!C42</f>
        <v>T. Viêng Sa Văn</v>
      </c>
      <c r="D46" s="1192">
        <v>64</v>
      </c>
      <c r="E46" s="1192">
        <v>0</v>
      </c>
      <c r="F46" s="1192">
        <v>0</v>
      </c>
      <c r="G46" s="1192">
        <v>0</v>
      </c>
      <c r="H46" s="1192">
        <v>0</v>
      </c>
      <c r="I46" s="1192">
        <v>0</v>
      </c>
      <c r="J46" s="1192">
        <v>0</v>
      </c>
      <c r="K46" s="1192">
        <v>56</v>
      </c>
      <c r="L46" s="1192">
        <v>40</v>
      </c>
      <c r="M46" s="1192">
        <v>50</v>
      </c>
      <c r="N46" s="1192">
        <v>144</v>
      </c>
      <c r="O46" s="1192">
        <v>106</v>
      </c>
      <c r="P46" s="1192">
        <v>125</v>
      </c>
      <c r="Q46" s="1192">
        <v>110</v>
      </c>
      <c r="R46" s="1192">
        <v>84</v>
      </c>
      <c r="S46" s="1192">
        <v>102</v>
      </c>
      <c r="T46" s="1192">
        <v>103</v>
      </c>
      <c r="U46" s="1192">
        <v>65</v>
      </c>
      <c r="V46" s="1192">
        <v>56</v>
      </c>
      <c r="W46" s="1192">
        <v>71</v>
      </c>
      <c r="X46" s="1192">
        <v>85</v>
      </c>
      <c r="Y46" s="1192">
        <v>68</v>
      </c>
      <c r="Z46" s="1192">
        <v>0</v>
      </c>
      <c r="AA46" s="1192">
        <v>87</v>
      </c>
      <c r="AB46" s="1192">
        <v>108</v>
      </c>
      <c r="AC46" s="1192">
        <v>88</v>
      </c>
      <c r="AD46" s="1192">
        <v>101</v>
      </c>
      <c r="AE46" s="1192">
        <v>102</v>
      </c>
      <c r="AF46" s="1192">
        <v>79</v>
      </c>
      <c r="AG46" s="1192">
        <v>65</v>
      </c>
      <c r="AH46" s="1334">
        <v>43</v>
      </c>
      <c r="AI46" s="553">
        <f t="shared" si="1"/>
        <v>2002</v>
      </c>
      <c r="AJ46" s="1011">
        <v>51.348286589852712</v>
      </c>
      <c r="AK46" s="661">
        <f t="shared" si="2"/>
        <v>1027.9926975288513</v>
      </c>
      <c r="AL46" s="1010" t="s">
        <v>40</v>
      </c>
      <c r="AM46" s="552"/>
      <c r="AN46" s="555"/>
      <c r="AO46" s="555"/>
    </row>
    <row r="47" spans="1:41" ht="54" customHeight="1">
      <c r="A47" s="1324">
        <v>31</v>
      </c>
      <c r="B47" s="1324">
        <v>31</v>
      </c>
      <c r="C47" s="552" t="str">
        <f>'Chấm công KT'!C43</f>
        <v>T. Ca Te</v>
      </c>
      <c r="D47" s="1192">
        <v>65</v>
      </c>
      <c r="E47" s="1192">
        <v>29</v>
      </c>
      <c r="F47" s="1192">
        <v>0</v>
      </c>
      <c r="G47" s="1192">
        <v>0</v>
      </c>
      <c r="H47" s="1192">
        <v>0</v>
      </c>
      <c r="I47" s="1192">
        <v>0</v>
      </c>
      <c r="J47" s="1192">
        <v>41</v>
      </c>
      <c r="K47" s="1192">
        <v>0</v>
      </c>
      <c r="L47" s="1192">
        <v>0</v>
      </c>
      <c r="M47" s="1192">
        <v>38</v>
      </c>
      <c r="N47" s="1192">
        <v>0</v>
      </c>
      <c r="O47" s="1192">
        <v>92</v>
      </c>
      <c r="P47" s="1192">
        <v>196</v>
      </c>
      <c r="Q47" s="1192">
        <v>94</v>
      </c>
      <c r="R47" s="1192">
        <v>77</v>
      </c>
      <c r="S47" s="1192">
        <v>0</v>
      </c>
      <c r="T47" s="1192">
        <v>120</v>
      </c>
      <c r="U47" s="1192">
        <v>0</v>
      </c>
      <c r="V47" s="1192">
        <v>64</v>
      </c>
      <c r="W47" s="1192">
        <v>214</v>
      </c>
      <c r="X47" s="1192">
        <v>109</v>
      </c>
      <c r="Y47" s="1192">
        <v>113</v>
      </c>
      <c r="Z47" s="1192">
        <v>0</v>
      </c>
      <c r="AA47" s="1192">
        <v>0</v>
      </c>
      <c r="AB47" s="1192">
        <v>106</v>
      </c>
      <c r="AC47" s="1192">
        <v>0</v>
      </c>
      <c r="AD47" s="1192">
        <v>92</v>
      </c>
      <c r="AE47" s="1192">
        <v>164</v>
      </c>
      <c r="AF47" s="1192">
        <v>85</v>
      </c>
      <c r="AG47" s="1192">
        <v>114</v>
      </c>
      <c r="AH47" s="1334">
        <v>53</v>
      </c>
      <c r="AI47" s="553">
        <f t="shared" si="1"/>
        <v>1866</v>
      </c>
      <c r="AJ47" s="1011">
        <v>51.348286589852712</v>
      </c>
      <c r="AK47" s="661">
        <f t="shared" si="2"/>
        <v>958.15902776665155</v>
      </c>
      <c r="AL47" s="1010" t="s">
        <v>48</v>
      </c>
      <c r="AM47" s="552"/>
      <c r="AN47" s="555"/>
      <c r="AO47" s="555"/>
    </row>
    <row r="48" spans="1:41" ht="54" customHeight="1">
      <c r="A48" s="1324">
        <v>32</v>
      </c>
      <c r="B48" s="1324">
        <v>32</v>
      </c>
      <c r="C48" s="552" t="str">
        <f>'Chấm công KT'!C44</f>
        <v>T. Lâm Phon</v>
      </c>
      <c r="D48" s="1192">
        <v>0</v>
      </c>
      <c r="E48" s="1192">
        <v>0</v>
      </c>
      <c r="F48" s="1192">
        <v>0</v>
      </c>
      <c r="G48" s="1192">
        <v>0</v>
      </c>
      <c r="H48" s="1192">
        <v>0</v>
      </c>
      <c r="I48" s="1192">
        <v>0</v>
      </c>
      <c r="J48" s="1192">
        <v>0</v>
      </c>
      <c r="K48" s="1192">
        <v>33</v>
      </c>
      <c r="L48" s="1192">
        <v>41</v>
      </c>
      <c r="M48" s="1192">
        <v>0</v>
      </c>
      <c r="N48" s="1192">
        <v>0</v>
      </c>
      <c r="O48" s="1192">
        <v>60</v>
      </c>
      <c r="P48" s="1192">
        <v>53</v>
      </c>
      <c r="Q48" s="1192">
        <v>51</v>
      </c>
      <c r="R48" s="1192">
        <v>114</v>
      </c>
      <c r="S48" s="1192">
        <v>64</v>
      </c>
      <c r="T48" s="1192">
        <v>98</v>
      </c>
      <c r="U48" s="1192">
        <v>29</v>
      </c>
      <c r="V48" s="1192">
        <v>68</v>
      </c>
      <c r="W48" s="1192">
        <v>53</v>
      </c>
      <c r="X48" s="1192">
        <v>84</v>
      </c>
      <c r="Y48" s="1192">
        <v>51</v>
      </c>
      <c r="Z48" s="1192">
        <v>54</v>
      </c>
      <c r="AA48" s="1192">
        <v>52</v>
      </c>
      <c r="AB48" s="1192">
        <v>75</v>
      </c>
      <c r="AC48" s="1192">
        <v>96</v>
      </c>
      <c r="AD48" s="1192">
        <v>51</v>
      </c>
      <c r="AE48" s="1192">
        <v>52</v>
      </c>
      <c r="AF48" s="1192">
        <v>79</v>
      </c>
      <c r="AG48" s="1192">
        <v>83</v>
      </c>
      <c r="AH48" s="1334">
        <v>61</v>
      </c>
      <c r="AI48" s="553">
        <f t="shared" si="1"/>
        <v>1402</v>
      </c>
      <c r="AJ48" s="1011">
        <v>51.348286589852712</v>
      </c>
      <c r="AK48" s="661">
        <f t="shared" si="2"/>
        <v>719.90297798973506</v>
      </c>
      <c r="AL48" s="1010" t="s">
        <v>40</v>
      </c>
      <c r="AM48" s="552"/>
      <c r="AN48" s="555"/>
      <c r="AO48" s="555"/>
    </row>
    <row r="49" spans="1:41" ht="54" customHeight="1">
      <c r="A49" s="1324">
        <v>33</v>
      </c>
      <c r="B49" s="1324">
        <v>33</v>
      </c>
      <c r="C49" s="552" t="str">
        <f>'Chấm công KT'!C45</f>
        <v>T. Sô Đa</v>
      </c>
      <c r="D49" s="1192">
        <v>0</v>
      </c>
      <c r="E49" s="1192">
        <v>0</v>
      </c>
      <c r="F49" s="1192">
        <v>0</v>
      </c>
      <c r="G49" s="1192">
        <v>0</v>
      </c>
      <c r="H49" s="1192">
        <v>0</v>
      </c>
      <c r="I49" s="1192">
        <v>0</v>
      </c>
      <c r="J49" s="1192">
        <v>0</v>
      </c>
      <c r="K49" s="1192">
        <v>45</v>
      </c>
      <c r="L49" s="1192">
        <v>105</v>
      </c>
      <c r="M49" s="1192">
        <v>0</v>
      </c>
      <c r="N49" s="1192">
        <v>0</v>
      </c>
      <c r="O49" s="1192">
        <v>108</v>
      </c>
      <c r="P49" s="1192">
        <v>0</v>
      </c>
      <c r="Q49" s="1192">
        <v>77</v>
      </c>
      <c r="R49" s="1192">
        <v>99</v>
      </c>
      <c r="S49" s="1192">
        <v>80</v>
      </c>
      <c r="T49" s="1192">
        <v>134</v>
      </c>
      <c r="U49" s="1192">
        <v>119</v>
      </c>
      <c r="V49" s="1192">
        <v>98</v>
      </c>
      <c r="W49" s="1192">
        <v>73</v>
      </c>
      <c r="X49" s="1192">
        <v>121</v>
      </c>
      <c r="Y49" s="1192">
        <v>90</v>
      </c>
      <c r="Z49" s="1192">
        <v>63</v>
      </c>
      <c r="AA49" s="1192">
        <v>90</v>
      </c>
      <c r="AB49" s="1192">
        <v>119</v>
      </c>
      <c r="AC49" s="1192">
        <v>80</v>
      </c>
      <c r="AD49" s="1192">
        <v>55</v>
      </c>
      <c r="AE49" s="1192">
        <v>75</v>
      </c>
      <c r="AF49" s="1192">
        <v>108</v>
      </c>
      <c r="AG49" s="1192">
        <v>79</v>
      </c>
      <c r="AH49" s="1334">
        <v>49</v>
      </c>
      <c r="AI49" s="553">
        <f t="shared" si="1"/>
        <v>1867</v>
      </c>
      <c r="AJ49" s="1011">
        <v>51.348286589852712</v>
      </c>
      <c r="AK49" s="661">
        <f t="shared" ref="AK49:AK80" si="3">AI49*AJ49/100</f>
        <v>958.67251063255014</v>
      </c>
      <c r="AL49" s="1010" t="s">
        <v>40</v>
      </c>
      <c r="AM49" s="552"/>
      <c r="AN49" s="555"/>
      <c r="AO49" s="555"/>
    </row>
    <row r="50" spans="1:41" ht="54" customHeight="1">
      <c r="A50" s="1324">
        <v>34</v>
      </c>
      <c r="B50" s="1324">
        <v>34</v>
      </c>
      <c r="C50" s="552" t="str">
        <f>'Chấm công KT'!C46</f>
        <v>T. Phu Ngân</v>
      </c>
      <c r="D50" s="1192">
        <v>56</v>
      </c>
      <c r="E50" s="1192">
        <v>85</v>
      </c>
      <c r="F50" s="1192">
        <v>0</v>
      </c>
      <c r="G50" s="1192">
        <v>0</v>
      </c>
      <c r="H50" s="1192">
        <v>0</v>
      </c>
      <c r="I50" s="1192">
        <v>0</v>
      </c>
      <c r="J50" s="1192">
        <v>0</v>
      </c>
      <c r="K50" s="1192">
        <v>60</v>
      </c>
      <c r="L50" s="1192">
        <v>74</v>
      </c>
      <c r="M50" s="1192">
        <v>30</v>
      </c>
      <c r="N50" s="1192">
        <v>119</v>
      </c>
      <c r="O50" s="1192">
        <v>85</v>
      </c>
      <c r="P50" s="1192">
        <v>124</v>
      </c>
      <c r="Q50" s="1192">
        <v>30</v>
      </c>
      <c r="R50" s="1192">
        <v>76</v>
      </c>
      <c r="S50" s="1192">
        <v>76</v>
      </c>
      <c r="T50" s="1192">
        <v>88</v>
      </c>
      <c r="U50" s="1192">
        <v>106</v>
      </c>
      <c r="V50" s="1192">
        <v>116</v>
      </c>
      <c r="W50" s="1192">
        <v>96</v>
      </c>
      <c r="X50" s="1192">
        <v>82</v>
      </c>
      <c r="Y50" s="1192">
        <v>113</v>
      </c>
      <c r="Z50" s="1192">
        <v>76</v>
      </c>
      <c r="AA50" s="1192">
        <v>91</v>
      </c>
      <c r="AB50" s="1192">
        <v>74</v>
      </c>
      <c r="AC50" s="1192">
        <v>104</v>
      </c>
      <c r="AD50" s="1192">
        <v>82</v>
      </c>
      <c r="AE50" s="1192">
        <v>93</v>
      </c>
      <c r="AF50" s="1192">
        <v>110</v>
      </c>
      <c r="AG50" s="1192">
        <v>115</v>
      </c>
      <c r="AH50" s="1334">
        <v>60</v>
      </c>
      <c r="AI50" s="553">
        <f t="shared" si="1"/>
        <v>2221</v>
      </c>
      <c r="AJ50" s="1011">
        <v>51.348286589852712</v>
      </c>
      <c r="AK50" s="661">
        <f t="shared" si="3"/>
        <v>1140.4454451606287</v>
      </c>
      <c r="AL50" s="1010" t="s">
        <v>40</v>
      </c>
      <c r="AM50" s="552"/>
      <c r="AN50" s="555"/>
      <c r="AO50" s="555"/>
    </row>
    <row r="51" spans="1:41" ht="54" customHeight="1">
      <c r="A51" s="1324">
        <v>35</v>
      </c>
      <c r="B51" s="1324">
        <v>35</v>
      </c>
      <c r="C51" s="552" t="str">
        <f>'Chấm công KT'!C47</f>
        <v>N. Tủn</v>
      </c>
      <c r="D51" s="1192">
        <v>0</v>
      </c>
      <c r="E51" s="1192">
        <v>29</v>
      </c>
      <c r="F51" s="1192">
        <v>0</v>
      </c>
      <c r="G51" s="1192">
        <v>0</v>
      </c>
      <c r="H51" s="1192">
        <v>0</v>
      </c>
      <c r="I51" s="1192">
        <v>0</v>
      </c>
      <c r="J51" s="1192">
        <v>0</v>
      </c>
      <c r="K51" s="1192">
        <v>16</v>
      </c>
      <c r="L51" s="1192">
        <v>0</v>
      </c>
      <c r="M51" s="1192">
        <v>30</v>
      </c>
      <c r="N51" s="1192">
        <v>112</v>
      </c>
      <c r="O51" s="1192">
        <v>100</v>
      </c>
      <c r="P51" s="1192">
        <v>90</v>
      </c>
      <c r="Q51" s="1192">
        <v>0</v>
      </c>
      <c r="R51" s="1192">
        <v>0</v>
      </c>
      <c r="S51" s="1192">
        <v>67</v>
      </c>
      <c r="T51" s="1192">
        <v>60</v>
      </c>
      <c r="U51" s="1192">
        <v>0</v>
      </c>
      <c r="V51" s="1192">
        <v>110</v>
      </c>
      <c r="W51" s="1192">
        <v>62</v>
      </c>
      <c r="X51" s="1192">
        <v>70</v>
      </c>
      <c r="Y51" s="1192">
        <v>120</v>
      </c>
      <c r="Z51" s="1192">
        <v>80</v>
      </c>
      <c r="AA51" s="1192">
        <v>90</v>
      </c>
      <c r="AB51" s="1192">
        <v>52</v>
      </c>
      <c r="AC51" s="1192">
        <v>54</v>
      </c>
      <c r="AD51" s="1192">
        <v>60</v>
      </c>
      <c r="AE51" s="1192">
        <v>64</v>
      </c>
      <c r="AF51" s="1192">
        <v>46</v>
      </c>
      <c r="AG51" s="1192">
        <v>62</v>
      </c>
      <c r="AH51" s="1334">
        <v>61</v>
      </c>
      <c r="AI51" s="553">
        <f t="shared" si="1"/>
        <v>1435</v>
      </c>
      <c r="AJ51" s="1011">
        <v>51.348286589852712</v>
      </c>
      <c r="AK51" s="661">
        <f t="shared" si="3"/>
        <v>736.84791256438632</v>
      </c>
      <c r="AL51" s="1010" t="s">
        <v>40</v>
      </c>
      <c r="AM51" s="552"/>
      <c r="AN51" s="555"/>
      <c r="AO51" s="555"/>
    </row>
    <row r="52" spans="1:41" ht="54" customHeight="1">
      <c r="A52" s="1324">
        <v>36</v>
      </c>
      <c r="B52" s="1324">
        <v>36</v>
      </c>
      <c r="C52" s="552" t="str">
        <f>'Chấm công KT'!C48</f>
        <v>T. Lung</v>
      </c>
      <c r="D52" s="1192">
        <v>0</v>
      </c>
      <c r="E52" s="1192">
        <v>29</v>
      </c>
      <c r="F52" s="1192">
        <v>0</v>
      </c>
      <c r="G52" s="1192">
        <v>0</v>
      </c>
      <c r="H52" s="1192">
        <v>0</v>
      </c>
      <c r="I52" s="1192">
        <v>0</v>
      </c>
      <c r="J52" s="1192">
        <v>0</v>
      </c>
      <c r="K52" s="1192">
        <v>16</v>
      </c>
      <c r="L52" s="1192">
        <v>0</v>
      </c>
      <c r="M52" s="1192">
        <v>28</v>
      </c>
      <c r="N52" s="1192">
        <v>85</v>
      </c>
      <c r="O52" s="1192">
        <v>81</v>
      </c>
      <c r="P52" s="1192">
        <v>80</v>
      </c>
      <c r="Q52" s="1192">
        <v>0</v>
      </c>
      <c r="R52" s="1192">
        <v>0</v>
      </c>
      <c r="S52" s="1192">
        <v>57</v>
      </c>
      <c r="T52" s="1192">
        <v>69</v>
      </c>
      <c r="U52" s="1192">
        <v>0</v>
      </c>
      <c r="V52" s="1192">
        <v>102</v>
      </c>
      <c r="W52" s="1192">
        <v>62</v>
      </c>
      <c r="X52" s="1192">
        <v>64</v>
      </c>
      <c r="Y52" s="1192">
        <v>135</v>
      </c>
      <c r="Z52" s="1192">
        <v>82</v>
      </c>
      <c r="AA52" s="1192">
        <v>85</v>
      </c>
      <c r="AB52" s="1192">
        <v>66</v>
      </c>
      <c r="AC52" s="1192">
        <v>79</v>
      </c>
      <c r="AD52" s="1192">
        <v>61</v>
      </c>
      <c r="AE52" s="1192">
        <v>77</v>
      </c>
      <c r="AF52" s="1192">
        <v>48</v>
      </c>
      <c r="AG52" s="1192">
        <v>59</v>
      </c>
      <c r="AH52" s="1334">
        <v>57</v>
      </c>
      <c r="AI52" s="553">
        <f t="shared" si="1"/>
        <v>1422</v>
      </c>
      <c r="AJ52" s="1011">
        <v>51.348286589852712</v>
      </c>
      <c r="AK52" s="661">
        <f t="shared" si="3"/>
        <v>730.1726353077056</v>
      </c>
      <c r="AL52" s="1010" t="s">
        <v>40</v>
      </c>
      <c r="AM52" s="552"/>
      <c r="AN52" s="555"/>
      <c r="AO52" s="555"/>
    </row>
    <row r="53" spans="1:41" ht="54" customHeight="1">
      <c r="A53" s="1324">
        <v>37</v>
      </c>
      <c r="B53" s="1324">
        <v>37</v>
      </c>
      <c r="C53" s="552" t="str">
        <f>'Chấm công KT'!C49</f>
        <v>T. Bi Ly (2)</v>
      </c>
      <c r="D53" s="1192">
        <v>0</v>
      </c>
      <c r="E53" s="1192">
        <v>0</v>
      </c>
      <c r="F53" s="1192">
        <v>0</v>
      </c>
      <c r="G53" s="1192">
        <v>0</v>
      </c>
      <c r="H53" s="1192">
        <v>0</v>
      </c>
      <c r="I53" s="1192">
        <v>0</v>
      </c>
      <c r="J53" s="1192">
        <v>0</v>
      </c>
      <c r="K53" s="1192">
        <v>56</v>
      </c>
      <c r="L53" s="1192">
        <v>71</v>
      </c>
      <c r="M53" s="1192">
        <v>34</v>
      </c>
      <c r="N53" s="1192">
        <v>28</v>
      </c>
      <c r="O53" s="1192">
        <v>99</v>
      </c>
      <c r="P53" s="1192">
        <v>123</v>
      </c>
      <c r="Q53" s="1192">
        <v>67</v>
      </c>
      <c r="R53" s="1192">
        <v>75</v>
      </c>
      <c r="S53" s="1192">
        <v>80</v>
      </c>
      <c r="T53" s="1192">
        <v>96</v>
      </c>
      <c r="U53" s="1192">
        <v>0</v>
      </c>
      <c r="V53" s="1192">
        <v>0</v>
      </c>
      <c r="W53" s="1192">
        <v>86</v>
      </c>
      <c r="X53" s="1192">
        <v>90</v>
      </c>
      <c r="Y53" s="1192">
        <v>0</v>
      </c>
      <c r="Z53" s="1192">
        <v>126</v>
      </c>
      <c r="AA53" s="1192">
        <v>81</v>
      </c>
      <c r="AB53" s="1192">
        <v>74</v>
      </c>
      <c r="AC53" s="1192">
        <v>98</v>
      </c>
      <c r="AD53" s="1192">
        <v>49</v>
      </c>
      <c r="AE53" s="1192">
        <v>73</v>
      </c>
      <c r="AF53" s="1192">
        <v>72</v>
      </c>
      <c r="AG53" s="1192">
        <v>50</v>
      </c>
      <c r="AH53" s="1334">
        <v>53</v>
      </c>
      <c r="AI53" s="553">
        <f t="shared" si="1"/>
        <v>1581</v>
      </c>
      <c r="AJ53" s="1011">
        <v>51.348286589852712</v>
      </c>
      <c r="AK53" s="661">
        <f t="shared" si="3"/>
        <v>811.81641098557145</v>
      </c>
      <c r="AL53" s="1010" t="s">
        <v>40</v>
      </c>
      <c r="AM53" s="552"/>
      <c r="AN53" s="555"/>
      <c r="AO53" s="555"/>
    </row>
    <row r="54" spans="1:41" ht="54" customHeight="1">
      <c r="A54" s="1324">
        <v>38</v>
      </c>
      <c r="B54" s="1324">
        <v>38</v>
      </c>
      <c r="C54" s="552" t="str">
        <f>'Chấm công KT'!C50</f>
        <v>N. Ba Say</v>
      </c>
      <c r="D54" s="1192">
        <v>0</v>
      </c>
      <c r="E54" s="1192">
        <v>20</v>
      </c>
      <c r="F54" s="1192">
        <v>0</v>
      </c>
      <c r="G54" s="1192">
        <v>0</v>
      </c>
      <c r="H54" s="1192">
        <v>0</v>
      </c>
      <c r="I54" s="1192">
        <v>0</v>
      </c>
      <c r="J54" s="1192">
        <v>0</v>
      </c>
      <c r="K54" s="1192">
        <v>0</v>
      </c>
      <c r="L54" s="1192">
        <v>0</v>
      </c>
      <c r="M54" s="1192">
        <v>0</v>
      </c>
      <c r="N54" s="1192">
        <v>0</v>
      </c>
      <c r="O54" s="1192">
        <v>0</v>
      </c>
      <c r="P54" s="1192">
        <v>0</v>
      </c>
      <c r="Q54" s="1192">
        <v>0</v>
      </c>
      <c r="R54" s="1192">
        <v>0</v>
      </c>
      <c r="S54" s="1192">
        <v>30</v>
      </c>
      <c r="T54" s="1192">
        <v>0</v>
      </c>
      <c r="U54" s="1192">
        <v>0</v>
      </c>
      <c r="V54" s="1192">
        <v>161</v>
      </c>
      <c r="W54" s="1192">
        <v>80</v>
      </c>
      <c r="X54" s="1192">
        <v>88</v>
      </c>
      <c r="Y54" s="1192">
        <v>0</v>
      </c>
      <c r="Z54" s="1192">
        <v>57</v>
      </c>
      <c r="AA54" s="1192">
        <v>81</v>
      </c>
      <c r="AB54" s="1192">
        <v>0</v>
      </c>
      <c r="AC54" s="1192">
        <v>73</v>
      </c>
      <c r="AD54" s="1192">
        <v>0</v>
      </c>
      <c r="AE54" s="1192">
        <v>56</v>
      </c>
      <c r="AF54" s="1192">
        <v>135</v>
      </c>
      <c r="AG54" s="1192">
        <v>0</v>
      </c>
      <c r="AH54" s="1334">
        <v>103</v>
      </c>
      <c r="AI54" s="553">
        <f t="shared" si="1"/>
        <v>884</v>
      </c>
      <c r="AJ54" s="1011">
        <v>51.348286589852712</v>
      </c>
      <c r="AK54" s="661">
        <f t="shared" si="3"/>
        <v>453.91885345429802</v>
      </c>
      <c r="AL54" s="1010" t="s">
        <v>48</v>
      </c>
      <c r="AM54" s="552"/>
      <c r="AN54" s="555"/>
      <c r="AO54" s="555"/>
    </row>
    <row r="55" spans="1:41" ht="54" customHeight="1">
      <c r="A55" s="1324">
        <v>39</v>
      </c>
      <c r="B55" s="1324">
        <v>39</v>
      </c>
      <c r="C55" s="552" t="str">
        <f>'Chấm công KT'!C51</f>
        <v>N. Đeng</v>
      </c>
      <c r="D55" s="1192">
        <v>0</v>
      </c>
      <c r="E55" s="1192">
        <v>0</v>
      </c>
      <c r="F55" s="1192">
        <v>0</v>
      </c>
      <c r="G55" s="1192">
        <v>0</v>
      </c>
      <c r="H55" s="1192">
        <v>0</v>
      </c>
      <c r="I55" s="1192">
        <v>0</v>
      </c>
      <c r="J55" s="1192">
        <v>0</v>
      </c>
      <c r="K55" s="1192">
        <v>0</v>
      </c>
      <c r="L55" s="1192">
        <v>0</v>
      </c>
      <c r="M55" s="1192">
        <v>60</v>
      </c>
      <c r="N55" s="1192">
        <v>180</v>
      </c>
      <c r="O55" s="1192">
        <v>166</v>
      </c>
      <c r="P55" s="1192">
        <v>0</v>
      </c>
      <c r="Q55" s="1192">
        <v>123</v>
      </c>
      <c r="R55" s="1192">
        <v>120</v>
      </c>
      <c r="S55" s="1192">
        <v>0</v>
      </c>
      <c r="T55" s="1192">
        <v>141</v>
      </c>
      <c r="U55" s="1192">
        <v>0</v>
      </c>
      <c r="V55" s="1192">
        <v>105</v>
      </c>
      <c r="W55" s="1192">
        <v>161</v>
      </c>
      <c r="X55" s="1192">
        <v>72</v>
      </c>
      <c r="Y55" s="1192">
        <v>90</v>
      </c>
      <c r="Z55" s="1192">
        <v>102</v>
      </c>
      <c r="AA55" s="1192">
        <v>60</v>
      </c>
      <c r="AB55" s="1192">
        <v>0</v>
      </c>
      <c r="AC55" s="1192">
        <v>0</v>
      </c>
      <c r="AD55" s="1192">
        <v>87</v>
      </c>
      <c r="AE55" s="1192">
        <v>92</v>
      </c>
      <c r="AF55" s="1192">
        <v>132</v>
      </c>
      <c r="AG55" s="1192">
        <v>108</v>
      </c>
      <c r="AH55" s="1334">
        <v>98</v>
      </c>
      <c r="AI55" s="553">
        <f t="shared" si="1"/>
        <v>1897</v>
      </c>
      <c r="AJ55" s="1011">
        <v>51.348286589852712</v>
      </c>
      <c r="AK55" s="661">
        <f t="shared" si="3"/>
        <v>974.07699660950607</v>
      </c>
      <c r="AL55" s="1010" t="s">
        <v>40</v>
      </c>
      <c r="AM55" s="552"/>
      <c r="AN55" s="555"/>
      <c r="AO55" s="555"/>
    </row>
    <row r="56" spans="1:41" ht="54" customHeight="1">
      <c r="A56" s="1324">
        <v>40</v>
      </c>
      <c r="B56" s="1324">
        <v>40</v>
      </c>
      <c r="C56" s="552" t="str">
        <f>'Chấm công KT'!C52</f>
        <v>T. Tinh</v>
      </c>
      <c r="D56" s="1192">
        <v>0</v>
      </c>
      <c r="E56" s="1192">
        <v>28</v>
      </c>
      <c r="F56" s="1192">
        <v>0</v>
      </c>
      <c r="G56" s="1192">
        <v>0</v>
      </c>
      <c r="H56" s="1192">
        <v>0</v>
      </c>
      <c r="I56" s="1192">
        <v>0</v>
      </c>
      <c r="J56" s="1192">
        <v>0</v>
      </c>
      <c r="K56" s="1192">
        <v>40</v>
      </c>
      <c r="L56" s="1192">
        <v>0</v>
      </c>
      <c r="M56" s="1192">
        <v>0</v>
      </c>
      <c r="N56" s="1192">
        <v>0</v>
      </c>
      <c r="O56" s="1192">
        <v>0</v>
      </c>
      <c r="P56" s="1192">
        <v>0</v>
      </c>
      <c r="Q56" s="1192">
        <v>0</v>
      </c>
      <c r="R56" s="1192">
        <v>0</v>
      </c>
      <c r="S56" s="1192">
        <v>31</v>
      </c>
      <c r="T56" s="1192">
        <v>0</v>
      </c>
      <c r="U56" s="1192">
        <v>0</v>
      </c>
      <c r="V56" s="1192">
        <v>163</v>
      </c>
      <c r="W56" s="1192">
        <v>47</v>
      </c>
      <c r="X56" s="1192">
        <v>82</v>
      </c>
      <c r="Y56" s="1192">
        <v>0</v>
      </c>
      <c r="Z56" s="1192">
        <v>52</v>
      </c>
      <c r="AA56" s="1192">
        <v>76</v>
      </c>
      <c r="AB56" s="1192">
        <v>0</v>
      </c>
      <c r="AC56" s="1192">
        <v>73</v>
      </c>
      <c r="AD56" s="1192">
        <v>0</v>
      </c>
      <c r="AE56" s="1192">
        <v>61</v>
      </c>
      <c r="AF56" s="1192">
        <v>161</v>
      </c>
      <c r="AG56" s="1192">
        <v>0</v>
      </c>
      <c r="AH56" s="1334">
        <v>98</v>
      </c>
      <c r="AI56" s="553">
        <f t="shared" si="1"/>
        <v>912</v>
      </c>
      <c r="AJ56" s="1011">
        <v>51.348286589852712</v>
      </c>
      <c r="AK56" s="661">
        <f t="shared" si="3"/>
        <v>468.29637369945675</v>
      </c>
      <c r="AL56" s="1010" t="s">
        <v>48</v>
      </c>
      <c r="AM56" s="552"/>
      <c r="AN56" s="555"/>
      <c r="AO56" s="555"/>
    </row>
    <row r="57" spans="1:41" ht="54" customHeight="1">
      <c r="A57" s="1324">
        <v>41</v>
      </c>
      <c r="B57" s="1324">
        <v>41</v>
      </c>
      <c r="C57" s="552" t="str">
        <f>'Chấm công KT'!C53</f>
        <v>T. Khăm Pỏi</v>
      </c>
      <c r="D57" s="1192">
        <v>0</v>
      </c>
      <c r="E57" s="1192">
        <v>0</v>
      </c>
      <c r="F57" s="1192">
        <v>0</v>
      </c>
      <c r="G57" s="1192">
        <v>0</v>
      </c>
      <c r="H57" s="1192">
        <v>0</v>
      </c>
      <c r="I57" s="1192">
        <v>0</v>
      </c>
      <c r="J57" s="1192">
        <v>0</v>
      </c>
      <c r="K57" s="1192">
        <v>50</v>
      </c>
      <c r="L57" s="1192">
        <v>0</v>
      </c>
      <c r="M57" s="1192">
        <v>30</v>
      </c>
      <c r="N57" s="1192">
        <v>162</v>
      </c>
      <c r="O57" s="1192">
        <v>0</v>
      </c>
      <c r="P57" s="1192">
        <v>56</v>
      </c>
      <c r="Q57" s="1192">
        <v>0</v>
      </c>
      <c r="R57" s="1192">
        <v>83</v>
      </c>
      <c r="S57" s="1192">
        <v>94</v>
      </c>
      <c r="T57" s="1192">
        <v>80</v>
      </c>
      <c r="U57" s="1192">
        <v>112</v>
      </c>
      <c r="V57" s="1192">
        <v>114</v>
      </c>
      <c r="W57" s="1192">
        <v>84</v>
      </c>
      <c r="X57" s="1192">
        <v>70</v>
      </c>
      <c r="Y57" s="1192">
        <v>54</v>
      </c>
      <c r="Z57" s="1192">
        <v>77</v>
      </c>
      <c r="AA57" s="1192">
        <v>77</v>
      </c>
      <c r="AB57" s="1192">
        <v>0</v>
      </c>
      <c r="AC57" s="1192">
        <v>0</v>
      </c>
      <c r="AD57" s="1192">
        <v>70</v>
      </c>
      <c r="AE57" s="1192">
        <v>65</v>
      </c>
      <c r="AF57" s="1192">
        <v>110</v>
      </c>
      <c r="AG57" s="1192">
        <v>100</v>
      </c>
      <c r="AH57" s="1334">
        <v>90</v>
      </c>
      <c r="AI57" s="553">
        <f t="shared" si="1"/>
        <v>1578</v>
      </c>
      <c r="AJ57" s="1011">
        <v>51.348286589852712</v>
      </c>
      <c r="AK57" s="661">
        <f t="shared" si="3"/>
        <v>810.27596238787578</v>
      </c>
      <c r="AL57" s="1010" t="s">
        <v>40</v>
      </c>
      <c r="AM57" s="552"/>
      <c r="AN57" s="555"/>
      <c r="AO57" s="555"/>
    </row>
    <row r="58" spans="1:41" ht="54" customHeight="1">
      <c r="A58" s="1324">
        <v>42</v>
      </c>
      <c r="B58" s="1324">
        <v>42</v>
      </c>
      <c r="C58" s="552" t="str">
        <f>'Chấm công KT'!C54</f>
        <v>Lăm Ngân</v>
      </c>
      <c r="D58" s="1192">
        <v>0</v>
      </c>
      <c r="E58" s="1192">
        <v>0</v>
      </c>
      <c r="F58" s="1192">
        <v>0</v>
      </c>
      <c r="G58" s="1192">
        <v>0</v>
      </c>
      <c r="H58" s="1192">
        <v>0</v>
      </c>
      <c r="I58" s="1192">
        <v>0</v>
      </c>
      <c r="J58" s="1192">
        <v>0</v>
      </c>
      <c r="K58" s="1192">
        <v>0</v>
      </c>
      <c r="L58" s="1192">
        <v>0</v>
      </c>
      <c r="M58" s="1192">
        <v>76</v>
      </c>
      <c r="N58" s="1192">
        <v>187</v>
      </c>
      <c r="O58" s="1192">
        <v>154</v>
      </c>
      <c r="P58" s="1192">
        <v>0</v>
      </c>
      <c r="Q58" s="1192">
        <v>116</v>
      </c>
      <c r="R58" s="1192">
        <v>127</v>
      </c>
      <c r="S58" s="1192">
        <v>0</v>
      </c>
      <c r="T58" s="1192">
        <v>142</v>
      </c>
      <c r="U58" s="1192">
        <v>0</v>
      </c>
      <c r="V58" s="1192">
        <v>95</v>
      </c>
      <c r="W58" s="1192">
        <v>160</v>
      </c>
      <c r="X58" s="1192">
        <v>88</v>
      </c>
      <c r="Y58" s="1192">
        <v>90</v>
      </c>
      <c r="Z58" s="1192">
        <v>100</v>
      </c>
      <c r="AA58" s="1192">
        <v>83</v>
      </c>
      <c r="AB58" s="1192">
        <v>0</v>
      </c>
      <c r="AC58" s="1192">
        <v>0</v>
      </c>
      <c r="AD58" s="1192">
        <v>87</v>
      </c>
      <c r="AE58" s="1192">
        <v>93</v>
      </c>
      <c r="AF58" s="1192">
        <v>118</v>
      </c>
      <c r="AG58" s="1192">
        <v>100</v>
      </c>
      <c r="AH58" s="1334">
        <v>88</v>
      </c>
      <c r="AI58" s="553">
        <f t="shared" si="1"/>
        <v>1904</v>
      </c>
      <c r="AJ58" s="1011">
        <v>51.348286589852712</v>
      </c>
      <c r="AK58" s="661">
        <f t="shared" si="3"/>
        <v>977.67137667079555</v>
      </c>
      <c r="AL58" s="1010" t="s">
        <v>40</v>
      </c>
      <c r="AM58" s="552"/>
      <c r="AN58" s="555"/>
      <c r="AO58" s="555"/>
    </row>
    <row r="59" spans="1:41" ht="54" customHeight="1">
      <c r="A59" s="1324">
        <v>43</v>
      </c>
      <c r="B59" s="1324">
        <v>43</v>
      </c>
      <c r="C59" s="552" t="str">
        <f>'Chấm công KT'!C55</f>
        <v>T. Không</v>
      </c>
      <c r="D59" s="1192">
        <v>49</v>
      </c>
      <c r="E59" s="1192">
        <v>62</v>
      </c>
      <c r="F59" s="1192">
        <v>0</v>
      </c>
      <c r="G59" s="1192">
        <v>0</v>
      </c>
      <c r="H59" s="1192">
        <v>0</v>
      </c>
      <c r="I59" s="1192">
        <v>0</v>
      </c>
      <c r="J59" s="1192">
        <v>0</v>
      </c>
      <c r="K59" s="1192">
        <v>86</v>
      </c>
      <c r="L59" s="1192">
        <v>0</v>
      </c>
      <c r="M59" s="1192">
        <v>55</v>
      </c>
      <c r="N59" s="1192">
        <v>139</v>
      </c>
      <c r="O59" s="1192">
        <v>113</v>
      </c>
      <c r="P59" s="1192">
        <v>166</v>
      </c>
      <c r="Q59" s="1192">
        <v>126</v>
      </c>
      <c r="R59" s="1192">
        <v>81</v>
      </c>
      <c r="S59" s="1192">
        <v>0</v>
      </c>
      <c r="T59" s="1192">
        <v>95</v>
      </c>
      <c r="U59" s="1192">
        <v>0</v>
      </c>
      <c r="V59" s="1192">
        <v>67</v>
      </c>
      <c r="W59" s="1192">
        <v>143</v>
      </c>
      <c r="X59" s="1192">
        <v>110</v>
      </c>
      <c r="Y59" s="1192">
        <v>85</v>
      </c>
      <c r="Z59" s="1192">
        <v>55</v>
      </c>
      <c r="AA59" s="1192">
        <v>69</v>
      </c>
      <c r="AB59" s="1192">
        <v>0</v>
      </c>
      <c r="AC59" s="1192">
        <v>54</v>
      </c>
      <c r="AD59" s="1192">
        <v>42</v>
      </c>
      <c r="AE59" s="1192">
        <v>53</v>
      </c>
      <c r="AF59" s="1192">
        <v>116</v>
      </c>
      <c r="AG59" s="1192">
        <v>41</v>
      </c>
      <c r="AH59" s="1334">
        <v>40</v>
      </c>
      <c r="AI59" s="553">
        <f t="shared" si="1"/>
        <v>1847</v>
      </c>
      <c r="AJ59" s="1011">
        <v>51.348286589852712</v>
      </c>
      <c r="AK59" s="661">
        <f t="shared" si="3"/>
        <v>948.4028533145796</v>
      </c>
      <c r="AL59" s="1010" t="s">
        <v>48</v>
      </c>
      <c r="AM59" s="552"/>
      <c r="AN59" s="555"/>
      <c r="AO59" s="555"/>
    </row>
    <row r="60" spans="1:41" ht="54" customHeight="1">
      <c r="A60" s="1324">
        <v>44</v>
      </c>
      <c r="B60" s="1324">
        <v>44</v>
      </c>
      <c r="C60" s="552" t="str">
        <f>'Chấm công KT'!C56</f>
        <v>T. Lem</v>
      </c>
      <c r="D60" s="1192">
        <v>43</v>
      </c>
      <c r="E60" s="1192">
        <v>0</v>
      </c>
      <c r="F60" s="1192">
        <v>0</v>
      </c>
      <c r="G60" s="1192">
        <v>0</v>
      </c>
      <c r="H60" s="1192">
        <v>0</v>
      </c>
      <c r="I60" s="1192">
        <v>0</v>
      </c>
      <c r="J60" s="1192">
        <v>0</v>
      </c>
      <c r="K60" s="1192">
        <v>99</v>
      </c>
      <c r="L60" s="1192">
        <v>0</v>
      </c>
      <c r="M60" s="1192">
        <v>75</v>
      </c>
      <c r="N60" s="1192">
        <v>0</v>
      </c>
      <c r="O60" s="1192">
        <v>0</v>
      </c>
      <c r="P60" s="1192">
        <v>52</v>
      </c>
      <c r="Q60" s="1192">
        <v>0</v>
      </c>
      <c r="R60" s="1192">
        <v>0</v>
      </c>
      <c r="S60" s="1192">
        <v>80</v>
      </c>
      <c r="T60" s="1192">
        <v>85</v>
      </c>
      <c r="U60" s="1192">
        <v>148</v>
      </c>
      <c r="V60" s="1192">
        <v>104</v>
      </c>
      <c r="W60" s="1192">
        <v>0</v>
      </c>
      <c r="X60" s="1192">
        <v>0</v>
      </c>
      <c r="Y60" s="1192">
        <v>84</v>
      </c>
      <c r="Z60" s="1192">
        <v>76</v>
      </c>
      <c r="AA60" s="1192">
        <v>94</v>
      </c>
      <c r="AB60" s="1192">
        <v>100</v>
      </c>
      <c r="AC60" s="1192">
        <v>75</v>
      </c>
      <c r="AD60" s="1192">
        <v>62</v>
      </c>
      <c r="AE60" s="1192">
        <v>61</v>
      </c>
      <c r="AF60" s="1192">
        <v>0</v>
      </c>
      <c r="AG60" s="1192">
        <v>94</v>
      </c>
      <c r="AH60" s="1334">
        <v>0</v>
      </c>
      <c r="AI60" s="553">
        <f t="shared" si="1"/>
        <v>1332</v>
      </c>
      <c r="AJ60" s="1011">
        <v>51.348286589852712</v>
      </c>
      <c r="AK60" s="661">
        <f t="shared" si="3"/>
        <v>683.95917737683817</v>
      </c>
      <c r="AL60" s="1010" t="s">
        <v>40</v>
      </c>
      <c r="AM60" s="552"/>
      <c r="AN60" s="555"/>
      <c r="AO60" s="555"/>
    </row>
    <row r="61" spans="1:41" ht="54" customHeight="1">
      <c r="A61" s="1324">
        <v>45</v>
      </c>
      <c r="B61" s="1324">
        <v>45</v>
      </c>
      <c r="C61" s="552" t="str">
        <f>'Chấm công KT'!C57</f>
        <v>T. Pông</v>
      </c>
      <c r="D61" s="1192">
        <v>83</v>
      </c>
      <c r="E61" s="1192">
        <v>85</v>
      </c>
      <c r="F61" s="1192">
        <v>0</v>
      </c>
      <c r="G61" s="1192">
        <v>0</v>
      </c>
      <c r="H61" s="1192">
        <v>0</v>
      </c>
      <c r="I61" s="1192">
        <v>0</v>
      </c>
      <c r="J61" s="1192">
        <v>0</v>
      </c>
      <c r="K61" s="1192">
        <v>55</v>
      </c>
      <c r="L61" s="1192">
        <v>66</v>
      </c>
      <c r="M61" s="1192">
        <v>29</v>
      </c>
      <c r="N61" s="1192">
        <v>119</v>
      </c>
      <c r="O61" s="1192">
        <v>84</v>
      </c>
      <c r="P61" s="1192">
        <v>123</v>
      </c>
      <c r="Q61" s="1192">
        <v>28</v>
      </c>
      <c r="R61" s="1192">
        <v>77</v>
      </c>
      <c r="S61" s="1192">
        <v>85</v>
      </c>
      <c r="T61" s="1192">
        <v>105</v>
      </c>
      <c r="U61" s="1192">
        <v>103</v>
      </c>
      <c r="V61" s="1192">
        <v>88</v>
      </c>
      <c r="W61" s="1192">
        <v>107</v>
      </c>
      <c r="X61" s="1192">
        <v>85</v>
      </c>
      <c r="Y61" s="1192">
        <v>107</v>
      </c>
      <c r="Z61" s="1192">
        <v>93</v>
      </c>
      <c r="AA61" s="1192">
        <v>87</v>
      </c>
      <c r="AB61" s="1192">
        <v>80</v>
      </c>
      <c r="AC61" s="1192">
        <v>100</v>
      </c>
      <c r="AD61" s="1192">
        <v>82</v>
      </c>
      <c r="AE61" s="1192">
        <v>80</v>
      </c>
      <c r="AF61" s="1192">
        <v>110</v>
      </c>
      <c r="AG61" s="1192">
        <v>108</v>
      </c>
      <c r="AH61" s="1334">
        <v>94</v>
      </c>
      <c r="AI61" s="553">
        <f t="shared" si="1"/>
        <v>2263</v>
      </c>
      <c r="AJ61" s="1011">
        <v>51.348286589852712</v>
      </c>
      <c r="AK61" s="661">
        <f t="shared" si="3"/>
        <v>1162.0117255283669</v>
      </c>
      <c r="AL61" s="1010" t="s">
        <v>40</v>
      </c>
      <c r="AM61" s="552"/>
      <c r="AN61" s="555"/>
      <c r="AO61" s="555"/>
    </row>
    <row r="62" spans="1:41" ht="54" customHeight="1">
      <c r="A62" s="1324">
        <v>46</v>
      </c>
      <c r="B62" s="1324">
        <v>46</v>
      </c>
      <c r="C62" s="552" t="str">
        <f>'Chấm công KT'!C58</f>
        <v>T. Lốp</v>
      </c>
      <c r="D62" s="1192">
        <v>51</v>
      </c>
      <c r="E62" s="1192">
        <v>52</v>
      </c>
      <c r="F62" s="1192">
        <v>0</v>
      </c>
      <c r="G62" s="1192">
        <v>0</v>
      </c>
      <c r="H62" s="1192">
        <v>0</v>
      </c>
      <c r="I62" s="1192">
        <v>0</v>
      </c>
      <c r="J62" s="1192">
        <v>0</v>
      </c>
      <c r="K62" s="1192">
        <v>75</v>
      </c>
      <c r="L62" s="1192">
        <v>0</v>
      </c>
      <c r="M62" s="1192">
        <v>53</v>
      </c>
      <c r="N62" s="1192">
        <v>78</v>
      </c>
      <c r="O62" s="1192">
        <v>110</v>
      </c>
      <c r="P62" s="1192">
        <v>0</v>
      </c>
      <c r="Q62" s="1192">
        <v>154</v>
      </c>
      <c r="R62" s="1192">
        <v>0</v>
      </c>
      <c r="S62" s="1192">
        <v>115</v>
      </c>
      <c r="T62" s="1192">
        <v>149</v>
      </c>
      <c r="U62" s="1192">
        <v>82</v>
      </c>
      <c r="V62" s="1192">
        <v>151</v>
      </c>
      <c r="W62" s="1192">
        <v>76</v>
      </c>
      <c r="X62" s="1192">
        <v>0</v>
      </c>
      <c r="Y62" s="1192">
        <v>94</v>
      </c>
      <c r="Z62" s="1192">
        <v>96</v>
      </c>
      <c r="AA62" s="1192">
        <v>60</v>
      </c>
      <c r="AB62" s="1192">
        <v>132</v>
      </c>
      <c r="AC62" s="1192">
        <v>90</v>
      </c>
      <c r="AD62" s="1192">
        <v>110</v>
      </c>
      <c r="AE62" s="1192">
        <v>73</v>
      </c>
      <c r="AF62" s="1192">
        <v>80</v>
      </c>
      <c r="AG62" s="1192">
        <v>100</v>
      </c>
      <c r="AH62" s="1334">
        <v>130</v>
      </c>
      <c r="AI62" s="553">
        <f t="shared" si="1"/>
        <v>2111</v>
      </c>
      <c r="AJ62" s="1011">
        <v>51.348286589852712</v>
      </c>
      <c r="AK62" s="661">
        <f t="shared" si="3"/>
        <v>1083.9623299117907</v>
      </c>
      <c r="AL62" s="1010" t="s">
        <v>48</v>
      </c>
      <c r="AM62" s="552"/>
      <c r="AN62" s="555"/>
      <c r="AO62" s="555"/>
    </row>
    <row r="63" spans="1:41" ht="54" customHeight="1">
      <c r="A63" s="1324">
        <v>47</v>
      </c>
      <c r="B63" s="1324">
        <v>47</v>
      </c>
      <c r="C63" s="552" t="str">
        <f>'Chấm công KT'!C59</f>
        <v>N. Nu Ni</v>
      </c>
      <c r="D63" s="1192">
        <v>44</v>
      </c>
      <c r="E63" s="1192">
        <v>52</v>
      </c>
      <c r="F63" s="1192">
        <v>0</v>
      </c>
      <c r="G63" s="1192">
        <v>0</v>
      </c>
      <c r="H63" s="1192">
        <v>0</v>
      </c>
      <c r="I63" s="1192">
        <v>0</v>
      </c>
      <c r="J63" s="1192">
        <v>0</v>
      </c>
      <c r="K63" s="1192">
        <v>73</v>
      </c>
      <c r="L63" s="1192">
        <v>0</v>
      </c>
      <c r="M63" s="1192">
        <v>79</v>
      </c>
      <c r="N63" s="1192">
        <v>80</v>
      </c>
      <c r="O63" s="1192">
        <v>120</v>
      </c>
      <c r="P63" s="1192">
        <v>0</v>
      </c>
      <c r="Q63" s="1192">
        <v>111</v>
      </c>
      <c r="R63" s="1192">
        <v>0</v>
      </c>
      <c r="S63" s="1192">
        <v>104</v>
      </c>
      <c r="T63" s="1192">
        <v>151</v>
      </c>
      <c r="U63" s="1192">
        <v>94</v>
      </c>
      <c r="V63" s="1192">
        <v>143</v>
      </c>
      <c r="W63" s="1192">
        <v>85</v>
      </c>
      <c r="X63" s="1192">
        <v>0</v>
      </c>
      <c r="Y63" s="1192">
        <v>110</v>
      </c>
      <c r="Z63" s="1192">
        <v>103</v>
      </c>
      <c r="AA63" s="1192">
        <v>65</v>
      </c>
      <c r="AB63" s="1192">
        <v>130</v>
      </c>
      <c r="AC63" s="1192">
        <v>90</v>
      </c>
      <c r="AD63" s="1192">
        <v>118</v>
      </c>
      <c r="AE63" s="1192">
        <v>87</v>
      </c>
      <c r="AF63" s="1192">
        <v>61</v>
      </c>
      <c r="AG63" s="1192">
        <v>107</v>
      </c>
      <c r="AH63" s="1334">
        <v>141</v>
      </c>
      <c r="AI63" s="553">
        <f t="shared" si="1"/>
        <v>2148</v>
      </c>
      <c r="AJ63" s="1011">
        <v>51.348286589852712</v>
      </c>
      <c r="AK63" s="661">
        <f t="shared" si="3"/>
        <v>1102.9611959500362</v>
      </c>
      <c r="AL63" s="1010" t="s">
        <v>48</v>
      </c>
      <c r="AM63" s="552"/>
      <c r="AN63" s="555"/>
      <c r="AO63" s="555"/>
    </row>
    <row r="64" spans="1:41" ht="54" customHeight="1">
      <c r="A64" s="1324">
        <v>48</v>
      </c>
      <c r="B64" s="1324">
        <v>48</v>
      </c>
      <c r="C64" s="552" t="str">
        <f>'Chấm công KT'!C60</f>
        <v>T. Đi</v>
      </c>
      <c r="D64" s="1192">
        <v>0</v>
      </c>
      <c r="E64" s="1192">
        <v>30</v>
      </c>
      <c r="F64" s="1192">
        <v>0</v>
      </c>
      <c r="G64" s="1192">
        <v>0</v>
      </c>
      <c r="H64" s="1192">
        <v>0</v>
      </c>
      <c r="I64" s="1192">
        <v>0</v>
      </c>
      <c r="J64" s="1192">
        <v>0</v>
      </c>
      <c r="K64" s="1192">
        <v>40</v>
      </c>
      <c r="L64" s="1192">
        <v>44</v>
      </c>
      <c r="M64" s="1192">
        <v>49</v>
      </c>
      <c r="N64" s="1192">
        <v>0</v>
      </c>
      <c r="O64" s="1192">
        <v>0</v>
      </c>
      <c r="P64" s="1192">
        <v>0</v>
      </c>
      <c r="Q64" s="1192">
        <v>23</v>
      </c>
      <c r="R64" s="1192">
        <v>134</v>
      </c>
      <c r="S64" s="1192">
        <v>128</v>
      </c>
      <c r="T64" s="1192">
        <v>106</v>
      </c>
      <c r="U64" s="1192">
        <v>109</v>
      </c>
      <c r="V64" s="1192">
        <v>0</v>
      </c>
      <c r="W64" s="1192">
        <v>57</v>
      </c>
      <c r="X64" s="1192">
        <v>73</v>
      </c>
      <c r="Y64" s="1192">
        <v>73</v>
      </c>
      <c r="Z64" s="1192">
        <v>106</v>
      </c>
      <c r="AA64" s="1192">
        <v>41</v>
      </c>
      <c r="AB64" s="1192">
        <v>68</v>
      </c>
      <c r="AC64" s="1192">
        <v>60</v>
      </c>
      <c r="AD64" s="1192">
        <v>70</v>
      </c>
      <c r="AE64" s="1192">
        <v>61</v>
      </c>
      <c r="AF64" s="1192">
        <v>0</v>
      </c>
      <c r="AG64" s="1192">
        <v>71</v>
      </c>
      <c r="AH64" s="1334">
        <v>111</v>
      </c>
      <c r="AI64" s="553">
        <f t="shared" si="1"/>
        <v>1454</v>
      </c>
      <c r="AJ64" s="1011">
        <v>51.348286589852712</v>
      </c>
      <c r="AK64" s="661">
        <f t="shared" si="3"/>
        <v>746.60408701645849</v>
      </c>
      <c r="AL64" s="1010" t="s">
        <v>449</v>
      </c>
      <c r="AM64" s="552"/>
      <c r="AN64" s="555"/>
      <c r="AO64" s="555"/>
    </row>
    <row r="65" spans="1:41" ht="54" customHeight="1">
      <c r="A65" s="1324">
        <v>49</v>
      </c>
      <c r="B65" s="1324">
        <v>49</v>
      </c>
      <c r="C65" s="552" t="str">
        <f>'Chấm công KT'!C61</f>
        <v>N. On Xi</v>
      </c>
      <c r="D65" s="1192">
        <v>0</v>
      </c>
      <c r="E65" s="1192">
        <v>0</v>
      </c>
      <c r="F65" s="1192">
        <v>0</v>
      </c>
      <c r="G65" s="1192">
        <v>0</v>
      </c>
      <c r="H65" s="1192">
        <v>0</v>
      </c>
      <c r="I65" s="1192">
        <v>0</v>
      </c>
      <c r="J65" s="1192">
        <v>0</v>
      </c>
      <c r="K65" s="1192">
        <v>0</v>
      </c>
      <c r="L65" s="1192">
        <v>0</v>
      </c>
      <c r="M65" s="1192">
        <v>0</v>
      </c>
      <c r="N65" s="1192">
        <v>0</v>
      </c>
      <c r="O65" s="1192">
        <v>0</v>
      </c>
      <c r="P65" s="1192">
        <v>0</v>
      </c>
      <c r="Q65" s="1192">
        <v>113</v>
      </c>
      <c r="R65" s="1192">
        <v>0</v>
      </c>
      <c r="S65" s="1192">
        <v>0</v>
      </c>
      <c r="T65" s="1192">
        <v>51</v>
      </c>
      <c r="U65" s="1192">
        <v>13</v>
      </c>
      <c r="V65" s="1192">
        <v>89</v>
      </c>
      <c r="W65" s="1192">
        <v>57</v>
      </c>
      <c r="X65" s="1192">
        <v>0</v>
      </c>
      <c r="Y65" s="1192">
        <v>59</v>
      </c>
      <c r="Z65" s="1192">
        <v>15</v>
      </c>
      <c r="AA65" s="1192">
        <v>0</v>
      </c>
      <c r="AB65" s="1192">
        <v>78</v>
      </c>
      <c r="AC65" s="1192">
        <v>56</v>
      </c>
      <c r="AD65" s="1192">
        <v>21</v>
      </c>
      <c r="AE65" s="1192">
        <v>0</v>
      </c>
      <c r="AF65" s="1192">
        <v>70</v>
      </c>
      <c r="AG65" s="1192">
        <v>44</v>
      </c>
      <c r="AH65" s="1334">
        <v>0</v>
      </c>
      <c r="AI65" s="553">
        <f t="shared" si="1"/>
        <v>666</v>
      </c>
      <c r="AJ65" s="1011">
        <v>51.348286589852712</v>
      </c>
      <c r="AK65" s="661">
        <f t="shared" si="3"/>
        <v>341.97958868841908</v>
      </c>
      <c r="AL65" s="1010" t="s">
        <v>40</v>
      </c>
      <c r="AM65" s="552"/>
      <c r="AN65" s="555"/>
      <c r="AO65" s="555"/>
    </row>
    <row r="66" spans="1:41" ht="54" customHeight="1">
      <c r="A66" s="1324">
        <v>50</v>
      </c>
      <c r="B66" s="1324">
        <v>50</v>
      </c>
      <c r="C66" s="552" t="str">
        <f>'Chấm công KT'!C62</f>
        <v>N. Thông La</v>
      </c>
      <c r="D66" s="1192">
        <v>0</v>
      </c>
      <c r="E66" s="1192">
        <v>16</v>
      </c>
      <c r="F66" s="1192">
        <v>0</v>
      </c>
      <c r="G66" s="1192">
        <v>0</v>
      </c>
      <c r="H66" s="1192">
        <v>0</v>
      </c>
      <c r="I66" s="1192">
        <v>0</v>
      </c>
      <c r="J66" s="1192">
        <v>0</v>
      </c>
      <c r="K66" s="1192">
        <v>49</v>
      </c>
      <c r="L66" s="1192">
        <v>63</v>
      </c>
      <c r="M66" s="1192">
        <v>0</v>
      </c>
      <c r="N66" s="1192">
        <v>125</v>
      </c>
      <c r="O66" s="1192">
        <v>34</v>
      </c>
      <c r="P66" s="1192">
        <v>84</v>
      </c>
      <c r="Q66" s="1192">
        <v>65</v>
      </c>
      <c r="R66" s="1192">
        <v>81</v>
      </c>
      <c r="S66" s="1192">
        <v>99</v>
      </c>
      <c r="T66" s="1192">
        <v>68</v>
      </c>
      <c r="U66" s="1192">
        <v>46</v>
      </c>
      <c r="V66" s="1192">
        <v>102</v>
      </c>
      <c r="W66" s="1192">
        <v>87</v>
      </c>
      <c r="X66" s="1192">
        <v>77</v>
      </c>
      <c r="Y66" s="1192">
        <v>48</v>
      </c>
      <c r="Z66" s="1192">
        <v>92</v>
      </c>
      <c r="AA66" s="1192">
        <v>71</v>
      </c>
      <c r="AB66" s="1192">
        <v>58</v>
      </c>
      <c r="AC66" s="1192">
        <v>42</v>
      </c>
      <c r="AD66" s="1192">
        <v>74</v>
      </c>
      <c r="AE66" s="1192">
        <v>66</v>
      </c>
      <c r="AF66" s="1192">
        <v>55</v>
      </c>
      <c r="AG66" s="1192">
        <v>50</v>
      </c>
      <c r="AH66" s="1334">
        <v>94</v>
      </c>
      <c r="AI66" s="553">
        <f t="shared" si="1"/>
        <v>1646</v>
      </c>
      <c r="AJ66" s="1011">
        <v>51.348286589852712</v>
      </c>
      <c r="AK66" s="661">
        <f t="shared" si="3"/>
        <v>845.19279726897571</v>
      </c>
      <c r="AL66" s="1010" t="s">
        <v>40</v>
      </c>
      <c r="AM66" s="552"/>
      <c r="AN66" s="555"/>
      <c r="AO66" s="555"/>
    </row>
    <row r="67" spans="1:41" ht="54" customHeight="1">
      <c r="A67" s="1324">
        <v>51</v>
      </c>
      <c r="B67" s="1324">
        <v>51</v>
      </c>
      <c r="C67" s="552" t="str">
        <f>'Chấm công KT'!C63</f>
        <v>T. Son Xay</v>
      </c>
      <c r="D67" s="1192">
        <v>0</v>
      </c>
      <c r="E67" s="1192">
        <v>0</v>
      </c>
      <c r="F67" s="1192">
        <v>0</v>
      </c>
      <c r="G67" s="1192">
        <v>0</v>
      </c>
      <c r="H67" s="1192">
        <v>0</v>
      </c>
      <c r="I67" s="1192">
        <v>0</v>
      </c>
      <c r="J67" s="1192">
        <v>0</v>
      </c>
      <c r="K67" s="1192">
        <v>0</v>
      </c>
      <c r="L67" s="1192">
        <v>39</v>
      </c>
      <c r="M67" s="1192">
        <v>0</v>
      </c>
      <c r="N67" s="1192">
        <v>85</v>
      </c>
      <c r="O67" s="1192">
        <v>84</v>
      </c>
      <c r="P67" s="1192">
        <v>120</v>
      </c>
      <c r="Q67" s="1192">
        <v>94</v>
      </c>
      <c r="R67" s="1192">
        <v>120</v>
      </c>
      <c r="S67" s="1192">
        <v>87</v>
      </c>
      <c r="T67" s="1192">
        <v>90</v>
      </c>
      <c r="U67" s="1192">
        <v>71</v>
      </c>
      <c r="V67" s="1192">
        <v>104</v>
      </c>
      <c r="W67" s="1192">
        <v>75</v>
      </c>
      <c r="X67" s="1192">
        <v>82</v>
      </c>
      <c r="Y67" s="1192">
        <v>69</v>
      </c>
      <c r="Z67" s="1192">
        <v>82</v>
      </c>
      <c r="AA67" s="1192">
        <v>92</v>
      </c>
      <c r="AB67" s="1192">
        <v>60</v>
      </c>
      <c r="AC67" s="1192">
        <v>60</v>
      </c>
      <c r="AD67" s="1192">
        <v>72</v>
      </c>
      <c r="AE67" s="1192">
        <v>60</v>
      </c>
      <c r="AF67" s="1192">
        <v>70</v>
      </c>
      <c r="AG67" s="1192">
        <v>54</v>
      </c>
      <c r="AH67" s="1334">
        <v>100</v>
      </c>
      <c r="AI67" s="553">
        <f t="shared" si="1"/>
        <v>1770</v>
      </c>
      <c r="AJ67" s="1011">
        <v>51.348286589852712</v>
      </c>
      <c r="AK67" s="661">
        <f t="shared" si="3"/>
        <v>908.864672640393</v>
      </c>
      <c r="AL67" s="1010" t="s">
        <v>40</v>
      </c>
      <c r="AM67" s="552"/>
      <c r="AN67" s="555"/>
      <c r="AO67" s="555"/>
    </row>
    <row r="68" spans="1:41" ht="54" customHeight="1">
      <c r="A68" s="1324">
        <v>52</v>
      </c>
      <c r="B68" s="1324">
        <v>52</v>
      </c>
      <c r="C68" s="552" t="str">
        <f>'Chấm công KT'!C64</f>
        <v>N. Lăm Phay</v>
      </c>
      <c r="D68" s="1192">
        <v>0</v>
      </c>
      <c r="E68" s="1192">
        <v>0</v>
      </c>
      <c r="F68" s="1192">
        <v>0</v>
      </c>
      <c r="G68" s="1192">
        <v>0</v>
      </c>
      <c r="H68" s="1192">
        <v>0</v>
      </c>
      <c r="I68" s="1192">
        <v>0</v>
      </c>
      <c r="J68" s="1192">
        <v>0</v>
      </c>
      <c r="K68" s="1192">
        <v>0</v>
      </c>
      <c r="L68" s="1192">
        <v>45</v>
      </c>
      <c r="M68" s="1192">
        <v>0</v>
      </c>
      <c r="N68" s="1192">
        <v>85</v>
      </c>
      <c r="O68" s="1192">
        <v>81</v>
      </c>
      <c r="P68" s="1192">
        <v>147</v>
      </c>
      <c r="Q68" s="1192">
        <v>94</v>
      </c>
      <c r="R68" s="1192">
        <v>94</v>
      </c>
      <c r="S68" s="1192">
        <v>88</v>
      </c>
      <c r="T68" s="1192">
        <v>96</v>
      </c>
      <c r="U68" s="1192">
        <v>81</v>
      </c>
      <c r="V68" s="1192">
        <v>95</v>
      </c>
      <c r="W68" s="1192">
        <v>60</v>
      </c>
      <c r="X68" s="1192">
        <v>80</v>
      </c>
      <c r="Y68" s="1192">
        <v>51</v>
      </c>
      <c r="Z68" s="1192">
        <v>90</v>
      </c>
      <c r="AA68" s="1192">
        <v>64</v>
      </c>
      <c r="AB68" s="1192">
        <v>64</v>
      </c>
      <c r="AC68" s="1192">
        <v>60</v>
      </c>
      <c r="AD68" s="1192">
        <v>72</v>
      </c>
      <c r="AE68" s="1192">
        <v>68</v>
      </c>
      <c r="AF68" s="1192">
        <v>70</v>
      </c>
      <c r="AG68" s="1192">
        <v>75</v>
      </c>
      <c r="AH68" s="1334">
        <v>92</v>
      </c>
      <c r="AI68" s="553">
        <f t="shared" si="1"/>
        <v>1752</v>
      </c>
      <c r="AJ68" s="1011">
        <v>51.348286589852712</v>
      </c>
      <c r="AK68" s="661">
        <f t="shared" si="3"/>
        <v>899.62198105421953</v>
      </c>
      <c r="AL68" s="1010" t="s">
        <v>40</v>
      </c>
      <c r="AM68" s="552"/>
      <c r="AN68" s="555"/>
      <c r="AO68" s="555"/>
    </row>
    <row r="69" spans="1:41" ht="54" customHeight="1">
      <c r="A69" s="1324">
        <v>53</v>
      </c>
      <c r="B69" s="1324">
        <v>53</v>
      </c>
      <c r="C69" s="552" t="str">
        <f>'Chấm công KT'!C65</f>
        <v>T. Nhung</v>
      </c>
      <c r="D69" s="1192">
        <v>0</v>
      </c>
      <c r="E69" s="1192">
        <v>0</v>
      </c>
      <c r="F69" s="1192">
        <v>0</v>
      </c>
      <c r="G69" s="1192">
        <v>0</v>
      </c>
      <c r="H69" s="1192">
        <v>0</v>
      </c>
      <c r="I69" s="1192">
        <v>0</v>
      </c>
      <c r="J69" s="1192">
        <v>0</v>
      </c>
      <c r="K69" s="1192">
        <v>54</v>
      </c>
      <c r="L69" s="1192">
        <v>28</v>
      </c>
      <c r="M69" s="1192">
        <v>53</v>
      </c>
      <c r="N69" s="1192">
        <v>78</v>
      </c>
      <c r="O69" s="1192">
        <v>25</v>
      </c>
      <c r="P69" s="1192">
        <v>25</v>
      </c>
      <c r="Q69" s="1192">
        <v>20</v>
      </c>
      <c r="R69" s="1192">
        <v>89</v>
      </c>
      <c r="S69" s="1192">
        <v>84</v>
      </c>
      <c r="T69" s="1192">
        <v>89</v>
      </c>
      <c r="U69" s="1192">
        <v>120</v>
      </c>
      <c r="V69" s="1192">
        <v>103</v>
      </c>
      <c r="W69" s="1192">
        <v>75</v>
      </c>
      <c r="X69" s="1192">
        <v>62</v>
      </c>
      <c r="Y69" s="1192">
        <v>91</v>
      </c>
      <c r="Z69" s="1192">
        <v>85</v>
      </c>
      <c r="AA69" s="1192">
        <v>77</v>
      </c>
      <c r="AB69" s="1192">
        <v>68</v>
      </c>
      <c r="AC69" s="1192">
        <v>77</v>
      </c>
      <c r="AD69" s="1192">
        <v>77</v>
      </c>
      <c r="AE69" s="1192">
        <v>84</v>
      </c>
      <c r="AF69" s="1192">
        <v>64</v>
      </c>
      <c r="AG69" s="1192">
        <v>91</v>
      </c>
      <c r="AH69" s="1334">
        <v>83</v>
      </c>
      <c r="AI69" s="553">
        <f t="shared" si="1"/>
        <v>1702</v>
      </c>
      <c r="AJ69" s="1011">
        <v>51.348286589852712</v>
      </c>
      <c r="AK69" s="661">
        <f t="shared" si="3"/>
        <v>873.94783775929318</v>
      </c>
      <c r="AL69" s="1010" t="s">
        <v>40</v>
      </c>
      <c r="AM69" s="552"/>
      <c r="AN69" s="555"/>
      <c r="AO69" s="555"/>
    </row>
    <row r="70" spans="1:41" ht="54" customHeight="1">
      <c r="A70" s="1324">
        <v>54</v>
      </c>
      <c r="B70" s="1324">
        <v>54</v>
      </c>
      <c r="C70" s="552" t="str">
        <f>'Chấm công KT'!C66</f>
        <v>T. Khay Khăm</v>
      </c>
      <c r="D70" s="1192">
        <v>0</v>
      </c>
      <c r="E70" s="1192">
        <v>0</v>
      </c>
      <c r="F70" s="1192">
        <v>0</v>
      </c>
      <c r="G70" s="1192">
        <v>0</v>
      </c>
      <c r="H70" s="1192">
        <v>0</v>
      </c>
      <c r="I70" s="1192">
        <v>0</v>
      </c>
      <c r="J70" s="1192">
        <v>30</v>
      </c>
      <c r="K70" s="1192">
        <v>0</v>
      </c>
      <c r="L70" s="1192">
        <v>0</v>
      </c>
      <c r="M70" s="1192">
        <v>0</v>
      </c>
      <c r="N70" s="1192">
        <v>0</v>
      </c>
      <c r="O70" s="1192">
        <v>0</v>
      </c>
      <c r="P70" s="1192">
        <v>34</v>
      </c>
      <c r="Q70" s="1192">
        <v>0</v>
      </c>
      <c r="R70" s="1192">
        <v>103</v>
      </c>
      <c r="S70" s="1192">
        <v>60</v>
      </c>
      <c r="T70" s="1192">
        <v>60</v>
      </c>
      <c r="U70" s="1192">
        <v>0</v>
      </c>
      <c r="V70" s="1192">
        <v>56</v>
      </c>
      <c r="W70" s="1192">
        <v>30</v>
      </c>
      <c r="X70" s="1192">
        <v>50</v>
      </c>
      <c r="Y70" s="1192">
        <v>63</v>
      </c>
      <c r="Z70" s="1192">
        <v>78</v>
      </c>
      <c r="AA70" s="1192">
        <v>40</v>
      </c>
      <c r="AB70" s="1192">
        <v>87</v>
      </c>
      <c r="AC70" s="1192">
        <v>74</v>
      </c>
      <c r="AD70" s="1192">
        <v>0</v>
      </c>
      <c r="AE70" s="1192">
        <v>0</v>
      </c>
      <c r="AF70" s="1192">
        <v>0</v>
      </c>
      <c r="AG70" s="1192">
        <v>0</v>
      </c>
      <c r="AH70" s="1334">
        <v>73</v>
      </c>
      <c r="AI70" s="553">
        <f t="shared" si="1"/>
        <v>838</v>
      </c>
      <c r="AJ70" s="1011">
        <v>51.348286589852712</v>
      </c>
      <c r="AK70" s="661">
        <f t="shared" si="3"/>
        <v>430.29864162296576</v>
      </c>
      <c r="AL70" s="1010" t="s">
        <v>48</v>
      </c>
      <c r="AM70" s="552"/>
      <c r="AN70" s="555"/>
      <c r="AO70" s="555"/>
    </row>
    <row r="71" spans="1:41" ht="54" customHeight="1">
      <c r="A71" s="1324">
        <v>55</v>
      </c>
      <c r="B71" s="1324">
        <v>55</v>
      </c>
      <c r="C71" s="552" t="str">
        <f>'Chấm công KT'!C67</f>
        <v>N. Khay Chăn</v>
      </c>
      <c r="D71" s="1192">
        <v>73</v>
      </c>
      <c r="E71" s="1192">
        <v>0</v>
      </c>
      <c r="F71" s="1192">
        <v>0</v>
      </c>
      <c r="G71" s="1192">
        <v>0</v>
      </c>
      <c r="H71" s="1192">
        <v>0</v>
      </c>
      <c r="I71" s="1192">
        <v>0</v>
      </c>
      <c r="J71" s="1192">
        <v>0</v>
      </c>
      <c r="K71" s="1192">
        <v>40</v>
      </c>
      <c r="L71" s="1192">
        <v>47</v>
      </c>
      <c r="M71" s="1192">
        <v>78</v>
      </c>
      <c r="N71" s="1192">
        <v>0</v>
      </c>
      <c r="O71" s="1192">
        <v>90</v>
      </c>
      <c r="P71" s="1192">
        <v>113</v>
      </c>
      <c r="Q71" s="1192">
        <v>45</v>
      </c>
      <c r="R71" s="1192">
        <v>140</v>
      </c>
      <c r="S71" s="1192">
        <v>87</v>
      </c>
      <c r="T71" s="1192">
        <v>119</v>
      </c>
      <c r="U71" s="1192">
        <v>101</v>
      </c>
      <c r="V71" s="1192">
        <v>96</v>
      </c>
      <c r="W71" s="1192">
        <v>84</v>
      </c>
      <c r="X71" s="1192">
        <v>161</v>
      </c>
      <c r="Y71" s="1192">
        <v>62</v>
      </c>
      <c r="Z71" s="1192">
        <v>76</v>
      </c>
      <c r="AA71" s="1192">
        <v>83</v>
      </c>
      <c r="AB71" s="1192">
        <v>97</v>
      </c>
      <c r="AC71" s="1192">
        <v>45</v>
      </c>
      <c r="AD71" s="1192">
        <v>56</v>
      </c>
      <c r="AE71" s="1192">
        <v>85</v>
      </c>
      <c r="AF71" s="1192">
        <v>91</v>
      </c>
      <c r="AG71" s="1192">
        <v>48</v>
      </c>
      <c r="AH71" s="1334">
        <v>64</v>
      </c>
      <c r="AI71" s="553">
        <f t="shared" si="1"/>
        <v>1981</v>
      </c>
      <c r="AJ71" s="1011">
        <v>51.348286589852712</v>
      </c>
      <c r="AK71" s="661">
        <f t="shared" si="3"/>
        <v>1017.2095573449822</v>
      </c>
      <c r="AL71" s="1010" t="s">
        <v>40</v>
      </c>
      <c r="AM71" s="552"/>
      <c r="AN71" s="555"/>
      <c r="AO71" s="555"/>
    </row>
    <row r="72" spans="1:41" ht="54" customHeight="1">
      <c r="A72" s="1324">
        <v>56</v>
      </c>
      <c r="B72" s="1324">
        <v>56</v>
      </c>
      <c r="C72" s="552" t="str">
        <f>'Chấm công KT'!C68</f>
        <v>T Dăn</v>
      </c>
      <c r="D72" s="1192">
        <v>0</v>
      </c>
      <c r="E72" s="1192">
        <v>0</v>
      </c>
      <c r="F72" s="1192">
        <v>0</v>
      </c>
      <c r="G72" s="1192">
        <v>0</v>
      </c>
      <c r="H72" s="1192">
        <v>0</v>
      </c>
      <c r="I72" s="1192">
        <v>0</v>
      </c>
      <c r="J72" s="1192">
        <v>0</v>
      </c>
      <c r="K72" s="1192">
        <v>65</v>
      </c>
      <c r="L72" s="1192">
        <v>33</v>
      </c>
      <c r="M72" s="1192">
        <v>47</v>
      </c>
      <c r="N72" s="1192">
        <v>141</v>
      </c>
      <c r="O72" s="1192">
        <v>112</v>
      </c>
      <c r="P72" s="1192">
        <v>0</v>
      </c>
      <c r="Q72" s="1192">
        <v>0</v>
      </c>
      <c r="R72" s="1192">
        <v>0</v>
      </c>
      <c r="S72" s="1192">
        <v>0</v>
      </c>
      <c r="T72" s="1192">
        <v>45</v>
      </c>
      <c r="U72" s="1192">
        <v>140</v>
      </c>
      <c r="V72" s="1192">
        <v>137</v>
      </c>
      <c r="W72" s="1192">
        <v>96</v>
      </c>
      <c r="X72" s="1192">
        <v>15</v>
      </c>
      <c r="Y72" s="1192">
        <v>52</v>
      </c>
      <c r="Z72" s="1192">
        <v>84</v>
      </c>
      <c r="AA72" s="1192">
        <v>60</v>
      </c>
      <c r="AB72" s="1192">
        <v>55</v>
      </c>
      <c r="AC72" s="1192">
        <v>53</v>
      </c>
      <c r="AD72" s="1192">
        <v>70</v>
      </c>
      <c r="AE72" s="1192">
        <v>83</v>
      </c>
      <c r="AF72" s="1192">
        <v>0</v>
      </c>
      <c r="AG72" s="1192">
        <v>58</v>
      </c>
      <c r="AH72" s="1334">
        <v>61</v>
      </c>
      <c r="AI72" s="553">
        <f t="shared" si="1"/>
        <v>1407</v>
      </c>
      <c r="AJ72" s="1011">
        <v>51.348286589852712</v>
      </c>
      <c r="AK72" s="661">
        <f t="shared" si="3"/>
        <v>722.4703923192277</v>
      </c>
      <c r="AL72" s="1010" t="s">
        <v>48</v>
      </c>
      <c r="AM72" s="552"/>
      <c r="AN72" s="555"/>
      <c r="AO72" s="555"/>
    </row>
    <row r="73" spans="1:41" ht="54" customHeight="1">
      <c r="A73" s="1324">
        <v>57</v>
      </c>
      <c r="B73" s="1324">
        <v>57</v>
      </c>
      <c r="C73" s="552" t="str">
        <f>'Chấm công KT'!C69</f>
        <v>T. Xợt</v>
      </c>
      <c r="D73" s="1192">
        <v>0</v>
      </c>
      <c r="E73" s="1192">
        <v>0</v>
      </c>
      <c r="F73" s="1192">
        <v>0</v>
      </c>
      <c r="G73" s="1192">
        <v>0</v>
      </c>
      <c r="H73" s="1192">
        <v>0</v>
      </c>
      <c r="I73" s="1192">
        <v>0</v>
      </c>
      <c r="J73" s="1192">
        <v>30</v>
      </c>
      <c r="K73" s="1192">
        <v>50</v>
      </c>
      <c r="L73" s="1192">
        <v>40</v>
      </c>
      <c r="M73" s="1192">
        <v>90</v>
      </c>
      <c r="N73" s="1192">
        <v>120</v>
      </c>
      <c r="O73" s="1192">
        <v>120</v>
      </c>
      <c r="P73" s="1192">
        <v>110</v>
      </c>
      <c r="Q73" s="1192">
        <v>83</v>
      </c>
      <c r="R73" s="1192">
        <v>97</v>
      </c>
      <c r="S73" s="1192">
        <v>100</v>
      </c>
      <c r="T73" s="1192">
        <v>0</v>
      </c>
      <c r="U73" s="1192">
        <v>0</v>
      </c>
      <c r="V73" s="1192">
        <v>60</v>
      </c>
      <c r="W73" s="1192">
        <v>60</v>
      </c>
      <c r="X73" s="1192">
        <v>157</v>
      </c>
      <c r="Y73" s="1192">
        <v>0</v>
      </c>
      <c r="Z73" s="1192">
        <v>74</v>
      </c>
      <c r="AA73" s="1192">
        <v>60</v>
      </c>
      <c r="AB73" s="1192">
        <v>0</v>
      </c>
      <c r="AC73" s="1192">
        <v>109</v>
      </c>
      <c r="AD73" s="1192">
        <v>77</v>
      </c>
      <c r="AE73" s="1192">
        <v>82</v>
      </c>
      <c r="AF73" s="1192">
        <v>84</v>
      </c>
      <c r="AG73" s="1192">
        <v>51</v>
      </c>
      <c r="AH73" s="1334">
        <v>0</v>
      </c>
      <c r="AI73" s="553">
        <f t="shared" si="1"/>
        <v>1654</v>
      </c>
      <c r="AJ73" s="1011">
        <v>51.348286589852712</v>
      </c>
      <c r="AK73" s="661">
        <f t="shared" si="3"/>
        <v>849.30066019616379</v>
      </c>
      <c r="AL73" s="1010" t="s">
        <v>40</v>
      </c>
      <c r="AM73" s="552"/>
      <c r="AN73" s="555"/>
      <c r="AO73" s="555"/>
    </row>
    <row r="74" spans="1:41" ht="54" customHeight="1">
      <c r="A74" s="1324">
        <v>58</v>
      </c>
      <c r="B74" s="1324">
        <v>58</v>
      </c>
      <c r="C74" s="552" t="str">
        <f>'Chấm công KT'!C70</f>
        <v>N. Phết 2</v>
      </c>
      <c r="D74" s="1192">
        <v>0</v>
      </c>
      <c r="E74" s="1192">
        <v>0</v>
      </c>
      <c r="F74" s="1192">
        <v>0</v>
      </c>
      <c r="G74" s="1192">
        <v>0</v>
      </c>
      <c r="H74" s="1192">
        <v>0</v>
      </c>
      <c r="I74" s="1192">
        <v>0</v>
      </c>
      <c r="J74" s="1192">
        <v>0</v>
      </c>
      <c r="K74" s="1192">
        <v>52</v>
      </c>
      <c r="L74" s="1192">
        <v>0</v>
      </c>
      <c r="M74" s="1192">
        <v>27</v>
      </c>
      <c r="N74" s="1192">
        <v>138</v>
      </c>
      <c r="O74" s="1192">
        <v>0</v>
      </c>
      <c r="P74" s="1192">
        <v>58</v>
      </c>
      <c r="Q74" s="1192">
        <v>0</v>
      </c>
      <c r="R74" s="1192">
        <v>87</v>
      </c>
      <c r="S74" s="1192">
        <v>85</v>
      </c>
      <c r="T74" s="1192">
        <v>70</v>
      </c>
      <c r="U74" s="1192">
        <v>100</v>
      </c>
      <c r="V74" s="1192">
        <v>93</v>
      </c>
      <c r="W74" s="1192">
        <v>88</v>
      </c>
      <c r="X74" s="1192">
        <v>73</v>
      </c>
      <c r="Y74" s="1192">
        <v>60</v>
      </c>
      <c r="Z74" s="1192">
        <v>80</v>
      </c>
      <c r="AA74" s="1192">
        <v>63</v>
      </c>
      <c r="AB74" s="1192">
        <v>0</v>
      </c>
      <c r="AC74" s="1192">
        <v>0</v>
      </c>
      <c r="AD74" s="1192">
        <v>49</v>
      </c>
      <c r="AE74" s="1192">
        <v>54</v>
      </c>
      <c r="AF74" s="1192">
        <v>109</v>
      </c>
      <c r="AG74" s="1192">
        <v>98</v>
      </c>
      <c r="AH74" s="1334">
        <v>60</v>
      </c>
      <c r="AI74" s="553">
        <f t="shared" si="1"/>
        <v>1444</v>
      </c>
      <c r="AJ74" s="1011">
        <v>51.348286589852712</v>
      </c>
      <c r="AK74" s="661">
        <f t="shared" si="3"/>
        <v>741.46925835747311</v>
      </c>
      <c r="AL74" s="1010" t="s">
        <v>40</v>
      </c>
      <c r="AM74" s="552"/>
      <c r="AN74" s="555"/>
      <c r="AO74" s="555"/>
    </row>
    <row r="75" spans="1:41" ht="54" customHeight="1">
      <c r="A75" s="1324">
        <v>59</v>
      </c>
      <c r="B75" s="1324">
        <v>59</v>
      </c>
      <c r="C75" s="552" t="str">
        <f>'Chấm công KT'!C71</f>
        <v>T. Cạp</v>
      </c>
      <c r="D75" s="1192">
        <v>0</v>
      </c>
      <c r="E75" s="1192">
        <v>0</v>
      </c>
      <c r="F75" s="1192">
        <v>0</v>
      </c>
      <c r="G75" s="1192">
        <v>0</v>
      </c>
      <c r="H75" s="1192">
        <v>0</v>
      </c>
      <c r="I75" s="1192">
        <v>0</v>
      </c>
      <c r="J75" s="1192">
        <v>0</v>
      </c>
      <c r="K75" s="1192">
        <v>44</v>
      </c>
      <c r="L75" s="1192">
        <v>57</v>
      </c>
      <c r="M75" s="1192">
        <v>0</v>
      </c>
      <c r="N75" s="1192">
        <v>93</v>
      </c>
      <c r="O75" s="1192">
        <v>89</v>
      </c>
      <c r="P75" s="1192">
        <v>88</v>
      </c>
      <c r="Q75" s="1192">
        <v>108</v>
      </c>
      <c r="R75" s="1192">
        <v>0</v>
      </c>
      <c r="S75" s="1192">
        <v>0</v>
      </c>
      <c r="T75" s="1192">
        <v>76</v>
      </c>
      <c r="U75" s="1192">
        <v>0</v>
      </c>
      <c r="V75" s="1192">
        <v>107</v>
      </c>
      <c r="W75" s="1192">
        <v>152</v>
      </c>
      <c r="X75" s="1192">
        <v>0</v>
      </c>
      <c r="Y75" s="1192">
        <v>49</v>
      </c>
      <c r="Z75" s="1192">
        <v>62</v>
      </c>
      <c r="AA75" s="1192">
        <v>0</v>
      </c>
      <c r="AB75" s="1192">
        <v>143</v>
      </c>
      <c r="AC75" s="1192">
        <v>40</v>
      </c>
      <c r="AD75" s="1192">
        <v>0</v>
      </c>
      <c r="AE75" s="1192">
        <v>130</v>
      </c>
      <c r="AF75" s="1192">
        <v>69</v>
      </c>
      <c r="AG75" s="1192">
        <v>52</v>
      </c>
      <c r="AH75" s="1334">
        <v>117</v>
      </c>
      <c r="AI75" s="553">
        <f t="shared" si="1"/>
        <v>1476</v>
      </c>
      <c r="AJ75" s="1011">
        <v>51.348286589852712</v>
      </c>
      <c r="AK75" s="661">
        <f t="shared" si="3"/>
        <v>757.900710066226</v>
      </c>
      <c r="AL75" s="1010" t="s">
        <v>48</v>
      </c>
      <c r="AM75" s="552"/>
      <c r="AN75" s="555"/>
      <c r="AO75" s="555"/>
    </row>
    <row r="76" spans="1:41" ht="54" customHeight="1">
      <c r="A76" s="1324">
        <v>60</v>
      </c>
      <c r="B76" s="1324">
        <v>60</v>
      </c>
      <c r="C76" s="552" t="str">
        <f>'Chấm công KT'!C72</f>
        <v>T. Toi</v>
      </c>
      <c r="D76" s="1192">
        <v>0</v>
      </c>
      <c r="E76" s="1192">
        <v>0</v>
      </c>
      <c r="F76" s="1192">
        <v>0</v>
      </c>
      <c r="G76" s="1192">
        <v>0</v>
      </c>
      <c r="H76" s="1192">
        <v>0</v>
      </c>
      <c r="I76" s="1192">
        <v>0</v>
      </c>
      <c r="J76" s="1192">
        <v>0</v>
      </c>
      <c r="K76" s="1192">
        <v>0</v>
      </c>
      <c r="L76" s="1192">
        <v>0</v>
      </c>
      <c r="M76" s="1192">
        <v>58</v>
      </c>
      <c r="N76" s="1192">
        <v>110</v>
      </c>
      <c r="O76" s="1192">
        <v>145</v>
      </c>
      <c r="P76" s="1192">
        <v>0</v>
      </c>
      <c r="Q76" s="1192">
        <v>0</v>
      </c>
      <c r="R76" s="1192">
        <v>76</v>
      </c>
      <c r="S76" s="1192">
        <v>0</v>
      </c>
      <c r="T76" s="1192">
        <v>81</v>
      </c>
      <c r="U76" s="1192">
        <v>86</v>
      </c>
      <c r="V76" s="1192">
        <v>103</v>
      </c>
      <c r="W76" s="1192">
        <v>111</v>
      </c>
      <c r="X76" s="1192">
        <v>52</v>
      </c>
      <c r="Y76" s="1192">
        <v>47</v>
      </c>
      <c r="Z76" s="1192">
        <v>0</v>
      </c>
      <c r="AA76" s="1192">
        <v>47</v>
      </c>
      <c r="AB76" s="1192">
        <v>0</v>
      </c>
      <c r="AC76" s="1192">
        <v>45</v>
      </c>
      <c r="AD76" s="1192">
        <v>127</v>
      </c>
      <c r="AE76" s="1192">
        <v>80</v>
      </c>
      <c r="AF76" s="1192">
        <v>70</v>
      </c>
      <c r="AG76" s="1192">
        <v>31</v>
      </c>
      <c r="AH76" s="1334">
        <v>63</v>
      </c>
      <c r="AI76" s="553">
        <f t="shared" si="1"/>
        <v>1332</v>
      </c>
      <c r="AJ76" s="1011">
        <v>51.348286589852712</v>
      </c>
      <c r="AK76" s="661">
        <f t="shared" si="3"/>
        <v>683.95917737683817</v>
      </c>
      <c r="AL76" s="1010" t="s">
        <v>40</v>
      </c>
      <c r="AM76" s="552"/>
      <c r="AN76" s="555"/>
      <c r="AO76" s="555"/>
    </row>
    <row r="77" spans="1:41" ht="54" customHeight="1">
      <c r="A77" s="1324">
        <v>61</v>
      </c>
      <c r="B77" s="1324">
        <v>61</v>
      </c>
      <c r="C77" s="552" t="str">
        <f>'Chấm công KT'!C73</f>
        <v>N. Bua Hom</v>
      </c>
      <c r="D77" s="1192">
        <v>0</v>
      </c>
      <c r="E77" s="1192">
        <v>0</v>
      </c>
      <c r="F77" s="1192">
        <v>0</v>
      </c>
      <c r="G77" s="1192">
        <v>0</v>
      </c>
      <c r="H77" s="1192">
        <v>0</v>
      </c>
      <c r="I77" s="1192">
        <v>0</v>
      </c>
      <c r="J77" s="1192">
        <v>0</v>
      </c>
      <c r="K77" s="1192">
        <v>60</v>
      </c>
      <c r="L77" s="1192">
        <v>26</v>
      </c>
      <c r="M77" s="1192">
        <v>53</v>
      </c>
      <c r="N77" s="1192">
        <v>67</v>
      </c>
      <c r="O77" s="1192">
        <v>25</v>
      </c>
      <c r="P77" s="1192">
        <v>25</v>
      </c>
      <c r="Q77" s="1192">
        <v>25</v>
      </c>
      <c r="R77" s="1192">
        <v>86</v>
      </c>
      <c r="S77" s="1192">
        <v>87</v>
      </c>
      <c r="T77" s="1192">
        <v>68</v>
      </c>
      <c r="U77" s="1192">
        <v>107</v>
      </c>
      <c r="V77" s="1192">
        <v>93</v>
      </c>
      <c r="W77" s="1192">
        <v>74</v>
      </c>
      <c r="X77" s="1192">
        <v>74</v>
      </c>
      <c r="Y77" s="1192">
        <v>66</v>
      </c>
      <c r="Z77" s="1192">
        <v>93</v>
      </c>
      <c r="AA77" s="1192">
        <v>77</v>
      </c>
      <c r="AB77" s="1192">
        <v>60</v>
      </c>
      <c r="AC77" s="1192">
        <v>70</v>
      </c>
      <c r="AD77" s="1192">
        <v>78</v>
      </c>
      <c r="AE77" s="1192">
        <v>60</v>
      </c>
      <c r="AF77" s="1192">
        <v>54</v>
      </c>
      <c r="AG77" s="1192">
        <v>65</v>
      </c>
      <c r="AH77" s="1334">
        <v>89</v>
      </c>
      <c r="AI77" s="553">
        <f t="shared" si="1"/>
        <v>1582</v>
      </c>
      <c r="AJ77" s="1011">
        <v>51.348286589852712</v>
      </c>
      <c r="AK77" s="661">
        <f t="shared" si="3"/>
        <v>812.32989385146993</v>
      </c>
      <c r="AL77" s="1010" t="s">
        <v>48</v>
      </c>
      <c r="AM77" s="552"/>
      <c r="AN77" s="555"/>
      <c r="AO77" s="555"/>
    </row>
    <row r="78" spans="1:41" ht="54" customHeight="1">
      <c r="A78" s="1324">
        <v>62</v>
      </c>
      <c r="B78" s="1324">
        <v>62</v>
      </c>
      <c r="C78" s="552" t="str">
        <f>'Chấm công KT'!C74</f>
        <v>N. Lăm Phay (2)</v>
      </c>
      <c r="D78" s="1192">
        <v>0</v>
      </c>
      <c r="E78" s="1192">
        <v>0</v>
      </c>
      <c r="F78" s="1192">
        <v>0</v>
      </c>
      <c r="G78" s="1192">
        <v>0</v>
      </c>
      <c r="H78" s="1192">
        <v>0</v>
      </c>
      <c r="I78" s="1192">
        <v>0</v>
      </c>
      <c r="J78" s="1192">
        <v>0</v>
      </c>
      <c r="K78" s="1192">
        <v>32</v>
      </c>
      <c r="L78" s="1192">
        <v>33</v>
      </c>
      <c r="M78" s="1192">
        <v>0</v>
      </c>
      <c r="N78" s="1192">
        <v>134</v>
      </c>
      <c r="O78" s="1192">
        <v>79</v>
      </c>
      <c r="P78" s="1192">
        <v>75</v>
      </c>
      <c r="Q78" s="1192">
        <v>0</v>
      </c>
      <c r="R78" s="1192">
        <v>82</v>
      </c>
      <c r="S78" s="1192">
        <v>71</v>
      </c>
      <c r="T78" s="1192">
        <v>0</v>
      </c>
      <c r="U78" s="1192">
        <v>125</v>
      </c>
      <c r="V78" s="1192">
        <v>80</v>
      </c>
      <c r="W78" s="1192">
        <v>86</v>
      </c>
      <c r="X78" s="1192">
        <v>60</v>
      </c>
      <c r="Y78" s="1192">
        <v>0</v>
      </c>
      <c r="Z78" s="1192">
        <v>80</v>
      </c>
      <c r="AA78" s="1192">
        <v>58</v>
      </c>
      <c r="AB78" s="1192">
        <v>0</v>
      </c>
      <c r="AC78" s="1192">
        <v>105</v>
      </c>
      <c r="AD78" s="1192">
        <v>69</v>
      </c>
      <c r="AE78" s="1192">
        <v>54</v>
      </c>
      <c r="AF78" s="1192">
        <v>36</v>
      </c>
      <c r="AG78" s="1192">
        <v>54</v>
      </c>
      <c r="AH78" s="1334">
        <v>73</v>
      </c>
      <c r="AI78" s="553">
        <f t="shared" si="1"/>
        <v>1386</v>
      </c>
      <c r="AJ78" s="1011">
        <v>51.348286589852712</v>
      </c>
      <c r="AK78" s="661">
        <f t="shared" si="3"/>
        <v>711.68725213535856</v>
      </c>
      <c r="AL78" s="1010" t="s">
        <v>40</v>
      </c>
      <c r="AM78" s="552"/>
      <c r="AN78" s="555"/>
      <c r="AO78" s="555"/>
    </row>
    <row r="79" spans="1:41" ht="54" customHeight="1">
      <c r="A79" s="1324">
        <v>63</v>
      </c>
      <c r="B79" s="1324">
        <v>63</v>
      </c>
      <c r="C79" s="552" t="str">
        <f>'Chấm công KT'!C75</f>
        <v>T. Đèng</v>
      </c>
      <c r="D79" s="1192">
        <v>0</v>
      </c>
      <c r="E79" s="1192">
        <v>0</v>
      </c>
      <c r="F79" s="1192">
        <v>0</v>
      </c>
      <c r="G79" s="1192">
        <v>0</v>
      </c>
      <c r="H79" s="1192">
        <v>0</v>
      </c>
      <c r="I79" s="1192">
        <v>0</v>
      </c>
      <c r="J79" s="1192">
        <v>0</v>
      </c>
      <c r="K79" s="1192">
        <v>0</v>
      </c>
      <c r="L79" s="1192">
        <v>0</v>
      </c>
      <c r="M79" s="1192">
        <v>0</v>
      </c>
      <c r="N79" s="1192">
        <v>0</v>
      </c>
      <c r="O79" s="1192">
        <v>0</v>
      </c>
      <c r="P79" s="1192">
        <v>0</v>
      </c>
      <c r="Q79" s="1192">
        <v>0</v>
      </c>
      <c r="R79" s="1192">
        <v>0</v>
      </c>
      <c r="S79" s="1192">
        <v>7</v>
      </c>
      <c r="T79" s="1192">
        <v>0</v>
      </c>
      <c r="U79" s="1192">
        <v>50</v>
      </c>
      <c r="V79" s="1192">
        <v>44</v>
      </c>
      <c r="W79" s="1192">
        <v>0</v>
      </c>
      <c r="X79" s="1192">
        <v>0</v>
      </c>
      <c r="Y79" s="1192">
        <v>41</v>
      </c>
      <c r="Z79" s="1192">
        <v>50</v>
      </c>
      <c r="AA79" s="1192">
        <v>60</v>
      </c>
      <c r="AB79" s="1192">
        <v>0</v>
      </c>
      <c r="AC79" s="1192">
        <v>54</v>
      </c>
      <c r="AD79" s="1192">
        <v>0</v>
      </c>
      <c r="AE79" s="1192">
        <v>50</v>
      </c>
      <c r="AF79" s="1192">
        <v>0</v>
      </c>
      <c r="AG79" s="1192">
        <v>0</v>
      </c>
      <c r="AH79" s="1334">
        <v>77</v>
      </c>
      <c r="AI79" s="553">
        <f t="shared" si="1"/>
        <v>433</v>
      </c>
      <c r="AJ79" s="1011">
        <v>51.348286589852712</v>
      </c>
      <c r="AK79" s="661">
        <f t="shared" si="3"/>
        <v>222.33808093406225</v>
      </c>
      <c r="AL79" s="1010" t="s">
        <v>40</v>
      </c>
      <c r="AM79" s="552"/>
      <c r="AN79" s="555"/>
      <c r="AO79" s="555"/>
    </row>
    <row r="80" spans="1:41" ht="54" customHeight="1">
      <c r="A80" s="1324">
        <v>64</v>
      </c>
      <c r="B80" s="1324">
        <v>64</v>
      </c>
      <c r="C80" s="552" t="str">
        <f>'Chấm công KT'!C76</f>
        <v>N. Đon</v>
      </c>
      <c r="D80" s="1192">
        <v>0</v>
      </c>
      <c r="E80" s="1192">
        <v>0</v>
      </c>
      <c r="F80" s="1192">
        <v>0</v>
      </c>
      <c r="G80" s="1192">
        <v>0</v>
      </c>
      <c r="H80" s="1192">
        <v>0</v>
      </c>
      <c r="I80" s="1192">
        <v>0</v>
      </c>
      <c r="J80" s="1192">
        <v>0</v>
      </c>
      <c r="K80" s="1192">
        <v>0</v>
      </c>
      <c r="L80" s="1192">
        <v>0</v>
      </c>
      <c r="M80" s="1192">
        <v>0</v>
      </c>
      <c r="N80" s="1192">
        <v>0</v>
      </c>
      <c r="O80" s="1192">
        <v>0</v>
      </c>
      <c r="P80" s="1192">
        <v>0</v>
      </c>
      <c r="Q80" s="1192">
        <v>0</v>
      </c>
      <c r="R80" s="1192">
        <v>0</v>
      </c>
      <c r="S80" s="1192">
        <v>0</v>
      </c>
      <c r="T80" s="1192">
        <v>55</v>
      </c>
      <c r="U80" s="1192">
        <v>64</v>
      </c>
      <c r="V80" s="1192">
        <v>111</v>
      </c>
      <c r="W80" s="1192">
        <v>59</v>
      </c>
      <c r="X80" s="1192">
        <v>0</v>
      </c>
      <c r="Y80" s="1192">
        <v>67</v>
      </c>
      <c r="Z80" s="1192">
        <v>49</v>
      </c>
      <c r="AA80" s="1192">
        <v>58</v>
      </c>
      <c r="AB80" s="1192">
        <v>31</v>
      </c>
      <c r="AC80" s="1192">
        <v>69</v>
      </c>
      <c r="AD80" s="1192">
        <v>60</v>
      </c>
      <c r="AE80" s="1192">
        <v>0</v>
      </c>
      <c r="AF80" s="1192">
        <v>15</v>
      </c>
      <c r="AG80" s="1192">
        <v>57</v>
      </c>
      <c r="AH80" s="1334">
        <v>68</v>
      </c>
      <c r="AI80" s="553">
        <f t="shared" si="1"/>
        <v>763</v>
      </c>
      <c r="AJ80" s="1011">
        <v>51.348286589852712</v>
      </c>
      <c r="AK80" s="661">
        <f t="shared" si="3"/>
        <v>391.78742668057617</v>
      </c>
      <c r="AL80" s="1010" t="s">
        <v>48</v>
      </c>
      <c r="AM80" s="552"/>
      <c r="AN80" s="555"/>
      <c r="AO80" s="555"/>
    </row>
    <row r="81" spans="1:41" ht="54" customHeight="1">
      <c r="A81" s="1324">
        <v>65</v>
      </c>
      <c r="B81" s="1324">
        <v>65</v>
      </c>
      <c r="C81" s="552" t="str">
        <f>'Chấm công KT'!C77</f>
        <v xml:space="preserve">T. La </v>
      </c>
      <c r="D81" s="1192">
        <v>0</v>
      </c>
      <c r="E81" s="1192">
        <v>0</v>
      </c>
      <c r="F81" s="1192">
        <v>0</v>
      </c>
      <c r="G81" s="1192">
        <v>0</v>
      </c>
      <c r="H81" s="1192">
        <v>0</v>
      </c>
      <c r="I81" s="1192">
        <v>0</v>
      </c>
      <c r="J81" s="1192">
        <v>0</v>
      </c>
      <c r="K81" s="1192">
        <v>0</v>
      </c>
      <c r="L81" s="1192">
        <v>38</v>
      </c>
      <c r="M81" s="1192">
        <v>0</v>
      </c>
      <c r="N81" s="1192">
        <v>0</v>
      </c>
      <c r="O81" s="1192">
        <v>0</v>
      </c>
      <c r="P81" s="1192">
        <v>0</v>
      </c>
      <c r="Q81" s="1192">
        <v>54</v>
      </c>
      <c r="R81" s="1192">
        <v>71</v>
      </c>
      <c r="S81" s="1192">
        <v>60</v>
      </c>
      <c r="T81" s="1192">
        <v>79</v>
      </c>
      <c r="U81" s="1192">
        <v>104</v>
      </c>
      <c r="V81" s="1192">
        <v>0</v>
      </c>
      <c r="W81" s="1192">
        <v>56</v>
      </c>
      <c r="X81" s="1192">
        <v>0</v>
      </c>
      <c r="Y81" s="1192">
        <v>36</v>
      </c>
      <c r="Z81" s="1192">
        <v>136</v>
      </c>
      <c r="AA81" s="1192">
        <v>0</v>
      </c>
      <c r="AB81" s="1192">
        <v>52</v>
      </c>
      <c r="AC81" s="1192">
        <v>58</v>
      </c>
      <c r="AD81" s="1192">
        <v>54</v>
      </c>
      <c r="AE81" s="1192">
        <v>0</v>
      </c>
      <c r="AF81" s="1192">
        <v>43</v>
      </c>
      <c r="AG81" s="1192">
        <v>58</v>
      </c>
      <c r="AH81" s="1334">
        <v>68</v>
      </c>
      <c r="AI81" s="553">
        <f t="shared" si="1"/>
        <v>967</v>
      </c>
      <c r="AJ81" s="1011">
        <v>51.348286589852712</v>
      </c>
      <c r="AK81" s="661">
        <f t="shared" ref="AK81:AK96" si="4">AI81*AJ81/100</f>
        <v>496.53793132387574</v>
      </c>
      <c r="AL81" s="1010" t="s">
        <v>40</v>
      </c>
      <c r="AM81" s="552"/>
      <c r="AN81" s="555"/>
      <c r="AO81" s="555"/>
    </row>
    <row r="82" spans="1:41" ht="54" customHeight="1">
      <c r="A82" s="1324">
        <v>66</v>
      </c>
      <c r="B82" s="1324">
        <v>66</v>
      </c>
      <c r="C82" s="552" t="str">
        <f>'Chấm công KT'!C78</f>
        <v>T. Bờm</v>
      </c>
      <c r="D82" s="1192">
        <v>0</v>
      </c>
      <c r="E82" s="1192">
        <v>0</v>
      </c>
      <c r="F82" s="1192">
        <v>0</v>
      </c>
      <c r="G82" s="1192">
        <v>0</v>
      </c>
      <c r="H82" s="1192">
        <v>0</v>
      </c>
      <c r="I82" s="1192">
        <v>0</v>
      </c>
      <c r="J82" s="1192">
        <v>0</v>
      </c>
      <c r="K82" s="1192">
        <v>0</v>
      </c>
      <c r="L82" s="1192">
        <v>0</v>
      </c>
      <c r="M82" s="1192">
        <v>0</v>
      </c>
      <c r="N82" s="1192">
        <v>0</v>
      </c>
      <c r="O82" s="1192">
        <v>0</v>
      </c>
      <c r="P82" s="1192">
        <v>0</v>
      </c>
      <c r="Q82" s="1192">
        <v>0</v>
      </c>
      <c r="R82" s="1192">
        <v>0</v>
      </c>
      <c r="S82" s="1192">
        <v>0</v>
      </c>
      <c r="T82" s="1192">
        <v>40</v>
      </c>
      <c r="U82" s="1192">
        <v>88</v>
      </c>
      <c r="V82" s="1192">
        <v>111</v>
      </c>
      <c r="W82" s="1192">
        <v>81</v>
      </c>
      <c r="X82" s="1192">
        <v>0</v>
      </c>
      <c r="Y82" s="1192">
        <v>70</v>
      </c>
      <c r="Z82" s="1192">
        <v>42</v>
      </c>
      <c r="AA82" s="1192">
        <v>75</v>
      </c>
      <c r="AB82" s="1192">
        <v>30</v>
      </c>
      <c r="AC82" s="1192">
        <v>48</v>
      </c>
      <c r="AD82" s="1192">
        <v>61</v>
      </c>
      <c r="AE82" s="1192">
        <v>0</v>
      </c>
      <c r="AF82" s="1192">
        <v>15</v>
      </c>
      <c r="AG82" s="1192">
        <v>38</v>
      </c>
      <c r="AH82" s="1334">
        <v>57</v>
      </c>
      <c r="AI82" s="553">
        <f t="shared" ref="AI82:AI91" si="5">SUM(D82:AH82)</f>
        <v>756</v>
      </c>
      <c r="AJ82" s="1011">
        <v>51.348286589852712</v>
      </c>
      <c r="AK82" s="661">
        <f t="shared" si="4"/>
        <v>388.19304661928646</v>
      </c>
      <c r="AL82" s="1010" t="s">
        <v>48</v>
      </c>
      <c r="AM82" s="552"/>
      <c r="AN82" s="555"/>
      <c r="AO82" s="555"/>
    </row>
    <row r="83" spans="1:41" ht="54" customHeight="1">
      <c r="A83" s="1324">
        <v>67</v>
      </c>
      <c r="B83" s="1324">
        <v>67</v>
      </c>
      <c r="C83" s="552" t="str">
        <f>'Chấm công KT'!C79</f>
        <v>T. Nọi</v>
      </c>
      <c r="D83" s="1192">
        <v>0</v>
      </c>
      <c r="E83" s="1192">
        <v>0</v>
      </c>
      <c r="F83" s="1192">
        <v>0</v>
      </c>
      <c r="G83" s="1192">
        <v>0</v>
      </c>
      <c r="H83" s="1192">
        <v>0</v>
      </c>
      <c r="I83" s="1192">
        <v>0</v>
      </c>
      <c r="J83" s="1192">
        <v>29</v>
      </c>
      <c r="K83" s="1192">
        <v>67</v>
      </c>
      <c r="L83" s="1192">
        <v>41</v>
      </c>
      <c r="M83" s="1192">
        <v>40</v>
      </c>
      <c r="N83" s="1192">
        <v>83</v>
      </c>
      <c r="O83" s="1192">
        <v>67</v>
      </c>
      <c r="P83" s="1192">
        <v>50</v>
      </c>
      <c r="Q83" s="1192">
        <v>80</v>
      </c>
      <c r="R83" s="1192">
        <v>54</v>
      </c>
      <c r="S83" s="1192">
        <v>59</v>
      </c>
      <c r="T83" s="1192">
        <v>42</v>
      </c>
      <c r="U83" s="1192">
        <v>47</v>
      </c>
      <c r="V83" s="1192">
        <v>64</v>
      </c>
      <c r="W83" s="1192">
        <v>55</v>
      </c>
      <c r="X83" s="1192">
        <v>40</v>
      </c>
      <c r="Y83" s="1192">
        <v>0</v>
      </c>
      <c r="Z83" s="1192">
        <v>54</v>
      </c>
      <c r="AA83" s="1192">
        <v>52</v>
      </c>
      <c r="AB83" s="1192">
        <v>31</v>
      </c>
      <c r="AC83" s="1192">
        <v>58</v>
      </c>
      <c r="AD83" s="1192">
        <v>65</v>
      </c>
      <c r="AE83" s="1192">
        <v>53</v>
      </c>
      <c r="AF83" s="1192">
        <v>28</v>
      </c>
      <c r="AG83" s="1192">
        <v>41</v>
      </c>
      <c r="AH83" s="1334">
        <v>64</v>
      </c>
      <c r="AI83" s="553">
        <f t="shared" si="5"/>
        <v>1264</v>
      </c>
      <c r="AJ83" s="1011">
        <v>51.348286589852712</v>
      </c>
      <c r="AK83" s="661">
        <f t="shared" si="4"/>
        <v>649.04234249573824</v>
      </c>
      <c r="AL83" s="1010" t="s">
        <v>40</v>
      </c>
      <c r="AM83" s="552"/>
      <c r="AN83" s="555"/>
      <c r="AO83" s="555"/>
    </row>
    <row r="84" spans="1:41" ht="54" customHeight="1">
      <c r="A84" s="1324">
        <v>68</v>
      </c>
      <c r="B84" s="1324">
        <v>68</v>
      </c>
      <c r="C84" s="552" t="str">
        <f>'Chấm công KT'!C80</f>
        <v>T. Ê</v>
      </c>
      <c r="D84" s="1192">
        <v>0</v>
      </c>
      <c r="E84" s="1192">
        <v>0</v>
      </c>
      <c r="F84" s="1192">
        <v>0</v>
      </c>
      <c r="G84" s="1192">
        <v>0</v>
      </c>
      <c r="H84" s="1192">
        <v>0</v>
      </c>
      <c r="I84" s="1192">
        <v>0</v>
      </c>
      <c r="J84" s="1192">
        <v>0</v>
      </c>
      <c r="K84" s="1192">
        <v>0</v>
      </c>
      <c r="L84" s="1192">
        <v>0</v>
      </c>
      <c r="M84" s="1192">
        <v>0</v>
      </c>
      <c r="N84" s="1192">
        <v>0</v>
      </c>
      <c r="O84" s="1192">
        <v>0</v>
      </c>
      <c r="P84" s="1192">
        <v>0</v>
      </c>
      <c r="Q84" s="1192">
        <v>0</v>
      </c>
      <c r="R84" s="1192">
        <v>0</v>
      </c>
      <c r="S84" s="1192">
        <v>7</v>
      </c>
      <c r="T84" s="1192">
        <v>0</v>
      </c>
      <c r="U84" s="1192">
        <v>36</v>
      </c>
      <c r="V84" s="1192">
        <v>34</v>
      </c>
      <c r="W84" s="1192">
        <v>0</v>
      </c>
      <c r="X84" s="1192">
        <v>0</v>
      </c>
      <c r="Y84" s="1192">
        <v>43</v>
      </c>
      <c r="Z84" s="1192">
        <v>54</v>
      </c>
      <c r="AA84" s="1192">
        <v>56</v>
      </c>
      <c r="AB84" s="1192">
        <v>0</v>
      </c>
      <c r="AC84" s="1192">
        <v>61</v>
      </c>
      <c r="AD84" s="1192">
        <v>0</v>
      </c>
      <c r="AE84" s="1192">
        <v>34</v>
      </c>
      <c r="AF84" s="1192">
        <v>0</v>
      </c>
      <c r="AG84" s="1192">
        <v>0</v>
      </c>
      <c r="AH84" s="1334">
        <v>84</v>
      </c>
      <c r="AI84" s="553">
        <f t="shared" si="5"/>
        <v>409</v>
      </c>
      <c r="AJ84" s="1011">
        <v>51.348286589852712</v>
      </c>
      <c r="AK84" s="661">
        <f t="shared" si="4"/>
        <v>210.01449215249758</v>
      </c>
      <c r="AL84" s="1010" t="s">
        <v>48</v>
      </c>
      <c r="AM84" s="552"/>
      <c r="AN84" s="555"/>
      <c r="AO84" s="555"/>
    </row>
    <row r="85" spans="1:41" ht="54" customHeight="1">
      <c r="A85" s="1324">
        <v>69</v>
      </c>
      <c r="B85" s="1324">
        <v>69</v>
      </c>
      <c r="C85" s="552" t="str">
        <f>'Chấm công KT'!C81</f>
        <v>T Bun</v>
      </c>
      <c r="D85" s="1192">
        <v>0</v>
      </c>
      <c r="E85" s="1192">
        <v>36</v>
      </c>
      <c r="F85" s="1192">
        <v>0</v>
      </c>
      <c r="G85" s="1192">
        <v>0</v>
      </c>
      <c r="H85" s="1192">
        <v>0</v>
      </c>
      <c r="I85" s="1192">
        <v>0</v>
      </c>
      <c r="J85" s="1192">
        <v>0</v>
      </c>
      <c r="K85" s="1192">
        <v>50</v>
      </c>
      <c r="L85" s="1192">
        <v>83</v>
      </c>
      <c r="M85" s="1192">
        <v>22</v>
      </c>
      <c r="N85" s="1192">
        <v>71</v>
      </c>
      <c r="O85" s="1192">
        <v>56</v>
      </c>
      <c r="P85" s="1192">
        <v>99</v>
      </c>
      <c r="Q85" s="1192">
        <v>100</v>
      </c>
      <c r="R85" s="1192">
        <v>0</v>
      </c>
      <c r="S85" s="1192">
        <v>40</v>
      </c>
      <c r="T85" s="1192">
        <v>48</v>
      </c>
      <c r="U85" s="1192">
        <v>0</v>
      </c>
      <c r="V85" s="1192">
        <v>75</v>
      </c>
      <c r="W85" s="1192">
        <v>57</v>
      </c>
      <c r="X85" s="1192">
        <v>102</v>
      </c>
      <c r="Y85" s="1192">
        <v>33</v>
      </c>
      <c r="Z85" s="1192">
        <v>58</v>
      </c>
      <c r="AA85" s="1192">
        <v>56</v>
      </c>
      <c r="AB85" s="1192">
        <v>92</v>
      </c>
      <c r="AC85" s="1192">
        <v>40</v>
      </c>
      <c r="AD85" s="1192">
        <v>64</v>
      </c>
      <c r="AE85" s="1192">
        <v>41</v>
      </c>
      <c r="AF85" s="1192">
        <v>64</v>
      </c>
      <c r="AG85" s="1192">
        <v>42</v>
      </c>
      <c r="AH85" s="1334">
        <v>93</v>
      </c>
      <c r="AI85" s="553">
        <f t="shared" si="5"/>
        <v>1422</v>
      </c>
      <c r="AJ85" s="1011">
        <v>51.348286589852712</v>
      </c>
      <c r="AK85" s="661">
        <f t="shared" si="4"/>
        <v>730.1726353077056</v>
      </c>
      <c r="AL85" s="1010" t="s">
        <v>40</v>
      </c>
      <c r="AM85" s="552"/>
      <c r="AN85" s="555"/>
      <c r="AO85" s="555"/>
    </row>
    <row r="86" spans="1:41" ht="54" customHeight="1">
      <c r="A86" s="1324">
        <v>70</v>
      </c>
      <c r="B86" s="1324">
        <v>70</v>
      </c>
      <c r="C86" s="552" t="str">
        <f>'Chấm công KT'!C82</f>
        <v>N. Xi</v>
      </c>
      <c r="D86" s="1192">
        <v>0</v>
      </c>
      <c r="E86" s="1192">
        <v>0</v>
      </c>
      <c r="F86" s="1192">
        <v>0</v>
      </c>
      <c r="G86" s="1192">
        <v>0</v>
      </c>
      <c r="H86" s="1192">
        <v>0</v>
      </c>
      <c r="I86" s="1192">
        <v>0</v>
      </c>
      <c r="J86" s="1192">
        <v>30</v>
      </c>
      <c r="K86" s="1192">
        <v>56</v>
      </c>
      <c r="L86" s="1192">
        <v>31</v>
      </c>
      <c r="M86" s="1192">
        <v>89</v>
      </c>
      <c r="N86" s="1192">
        <v>122</v>
      </c>
      <c r="O86" s="1192">
        <v>110</v>
      </c>
      <c r="P86" s="1192">
        <v>132</v>
      </c>
      <c r="Q86" s="1192">
        <v>64</v>
      </c>
      <c r="R86" s="1192">
        <v>102</v>
      </c>
      <c r="S86" s="1192">
        <v>100</v>
      </c>
      <c r="T86" s="1192">
        <v>0</v>
      </c>
      <c r="U86" s="1192">
        <v>0</v>
      </c>
      <c r="V86" s="1192">
        <v>60</v>
      </c>
      <c r="W86" s="1192">
        <v>41</v>
      </c>
      <c r="X86" s="1192">
        <v>160</v>
      </c>
      <c r="Y86" s="1192">
        <v>0</v>
      </c>
      <c r="Z86" s="1192">
        <v>81</v>
      </c>
      <c r="AA86" s="1192">
        <v>77</v>
      </c>
      <c r="AB86" s="1192">
        <v>0</v>
      </c>
      <c r="AC86" s="1192">
        <v>110</v>
      </c>
      <c r="AD86" s="1192">
        <v>78</v>
      </c>
      <c r="AE86" s="1192">
        <v>79</v>
      </c>
      <c r="AF86" s="1192">
        <v>60</v>
      </c>
      <c r="AG86" s="1192">
        <v>62</v>
      </c>
      <c r="AH86" s="1334">
        <v>0</v>
      </c>
      <c r="AI86" s="553">
        <f t="shared" si="5"/>
        <v>1644</v>
      </c>
      <c r="AJ86" s="1011">
        <v>51.348286589852712</v>
      </c>
      <c r="AK86" s="661">
        <f t="shared" si="4"/>
        <v>844.16583153717863</v>
      </c>
      <c r="AL86" s="1010" t="s">
        <v>40</v>
      </c>
      <c r="AM86" s="552"/>
      <c r="AN86" s="555"/>
      <c r="AO86" s="555"/>
    </row>
    <row r="87" spans="1:41" ht="54" customHeight="1">
      <c r="A87" s="1324">
        <v>71</v>
      </c>
      <c r="B87" s="1324">
        <v>71</v>
      </c>
      <c r="C87" s="552" t="str">
        <f>'Chấm công KT'!C83</f>
        <v>N. Chay</v>
      </c>
      <c r="D87" s="1192">
        <v>0</v>
      </c>
      <c r="E87" s="1192">
        <v>31</v>
      </c>
      <c r="F87" s="1192">
        <v>0</v>
      </c>
      <c r="G87" s="1192">
        <v>0</v>
      </c>
      <c r="H87" s="1192">
        <v>0</v>
      </c>
      <c r="I87" s="1192">
        <v>0</v>
      </c>
      <c r="J87" s="1192">
        <v>0</v>
      </c>
      <c r="K87" s="1192">
        <v>43</v>
      </c>
      <c r="L87" s="1192">
        <v>40</v>
      </c>
      <c r="M87" s="1192">
        <v>44</v>
      </c>
      <c r="N87" s="1192">
        <v>0</v>
      </c>
      <c r="O87" s="1192">
        <v>0</v>
      </c>
      <c r="P87" s="1192">
        <v>0</v>
      </c>
      <c r="Q87" s="1192">
        <v>23</v>
      </c>
      <c r="R87" s="1192">
        <v>0</v>
      </c>
      <c r="S87" s="1192">
        <v>89</v>
      </c>
      <c r="T87" s="1192">
        <v>113</v>
      </c>
      <c r="U87" s="1192">
        <v>97</v>
      </c>
      <c r="V87" s="1192">
        <v>0</v>
      </c>
      <c r="W87" s="1192">
        <v>54</v>
      </c>
      <c r="X87" s="1192">
        <v>73</v>
      </c>
      <c r="Y87" s="1192">
        <v>71</v>
      </c>
      <c r="Z87" s="1192">
        <v>105</v>
      </c>
      <c r="AA87" s="1192">
        <v>76</v>
      </c>
      <c r="AB87" s="1192">
        <v>70</v>
      </c>
      <c r="AC87" s="1192">
        <v>50</v>
      </c>
      <c r="AD87" s="1192">
        <v>0</v>
      </c>
      <c r="AE87" s="1192">
        <v>0</v>
      </c>
      <c r="AF87" s="1192">
        <v>0</v>
      </c>
      <c r="AG87" s="1192">
        <v>56</v>
      </c>
      <c r="AH87" s="1334">
        <v>104</v>
      </c>
      <c r="AI87" s="553">
        <f t="shared" si="5"/>
        <v>1139</v>
      </c>
      <c r="AJ87" s="1011">
        <v>51.348286589852712</v>
      </c>
      <c r="AK87" s="661">
        <f t="shared" si="4"/>
        <v>584.85698425842236</v>
      </c>
      <c r="AL87" s="1010" t="s">
        <v>40</v>
      </c>
      <c r="AM87" s="552"/>
      <c r="AN87" s="555"/>
      <c r="AO87" s="555"/>
    </row>
    <row r="88" spans="1:41" ht="54" customHeight="1">
      <c r="A88" s="1324">
        <v>72</v>
      </c>
      <c r="B88" s="1324">
        <v>72</v>
      </c>
      <c r="C88" s="552" t="str">
        <f>'Chấm công KT'!C84</f>
        <v>T. Ta</v>
      </c>
      <c r="D88" s="1192">
        <v>0</v>
      </c>
      <c r="E88" s="1192">
        <v>0</v>
      </c>
      <c r="F88" s="1192">
        <v>0</v>
      </c>
      <c r="G88" s="1192">
        <v>0</v>
      </c>
      <c r="H88" s="1192">
        <v>0</v>
      </c>
      <c r="I88" s="1192">
        <v>0</v>
      </c>
      <c r="J88" s="1192">
        <v>0</v>
      </c>
      <c r="K88" s="1192">
        <v>30</v>
      </c>
      <c r="L88" s="1192">
        <v>0</v>
      </c>
      <c r="M88" s="1192">
        <v>37</v>
      </c>
      <c r="N88" s="1192">
        <v>74</v>
      </c>
      <c r="O88" s="1192">
        <v>55</v>
      </c>
      <c r="P88" s="1192">
        <v>55</v>
      </c>
      <c r="Q88" s="1192">
        <v>77</v>
      </c>
      <c r="R88" s="1192">
        <v>61</v>
      </c>
      <c r="S88" s="1192">
        <v>45</v>
      </c>
      <c r="T88" s="1192">
        <v>52</v>
      </c>
      <c r="U88" s="1192">
        <v>65</v>
      </c>
      <c r="V88" s="1192">
        <v>54</v>
      </c>
      <c r="W88" s="1192">
        <v>44</v>
      </c>
      <c r="X88" s="1192">
        <v>40</v>
      </c>
      <c r="Y88" s="1192">
        <v>46</v>
      </c>
      <c r="Z88" s="1192">
        <v>52</v>
      </c>
      <c r="AA88" s="1192">
        <v>34</v>
      </c>
      <c r="AB88" s="1192">
        <v>40</v>
      </c>
      <c r="AC88" s="1192">
        <v>47</v>
      </c>
      <c r="AD88" s="1192">
        <v>0</v>
      </c>
      <c r="AE88" s="1192">
        <v>61</v>
      </c>
      <c r="AF88" s="1192">
        <v>34</v>
      </c>
      <c r="AG88" s="1192">
        <v>0</v>
      </c>
      <c r="AH88" s="1334">
        <v>77</v>
      </c>
      <c r="AI88" s="553">
        <f t="shared" si="5"/>
        <v>1080</v>
      </c>
      <c r="AJ88" s="1011">
        <v>51.348286589852712</v>
      </c>
      <c r="AK88" s="661">
        <f t="shared" si="4"/>
        <v>554.56149517040933</v>
      </c>
      <c r="AL88" s="1010" t="s">
        <v>40</v>
      </c>
      <c r="AM88" s="552"/>
      <c r="AN88" s="555"/>
      <c r="AO88" s="555"/>
    </row>
    <row r="89" spans="1:41" ht="54" customHeight="1">
      <c r="A89" s="1324">
        <v>73</v>
      </c>
      <c r="B89" s="1324">
        <v>73</v>
      </c>
      <c r="C89" s="552" t="str">
        <f>'Chấm công KT'!C85</f>
        <v>T. Ne</v>
      </c>
      <c r="D89" s="1192">
        <v>0</v>
      </c>
      <c r="E89" s="1192">
        <v>0</v>
      </c>
      <c r="F89" s="1192">
        <v>0</v>
      </c>
      <c r="G89" s="1192">
        <v>0</v>
      </c>
      <c r="H89" s="1192">
        <v>0</v>
      </c>
      <c r="I89" s="1192">
        <v>0</v>
      </c>
      <c r="J89" s="1192">
        <v>0</v>
      </c>
      <c r="K89" s="1192">
        <v>31</v>
      </c>
      <c r="L89" s="1192">
        <v>0</v>
      </c>
      <c r="M89" s="1192">
        <v>37</v>
      </c>
      <c r="N89" s="1192">
        <v>74</v>
      </c>
      <c r="O89" s="1192">
        <v>53</v>
      </c>
      <c r="P89" s="1192">
        <v>55</v>
      </c>
      <c r="Q89" s="1192">
        <v>77</v>
      </c>
      <c r="R89" s="1192">
        <v>62</v>
      </c>
      <c r="S89" s="1192">
        <v>58</v>
      </c>
      <c r="T89" s="1192">
        <v>52</v>
      </c>
      <c r="U89" s="1192">
        <v>56</v>
      </c>
      <c r="V89" s="1192">
        <v>53</v>
      </c>
      <c r="W89" s="1192">
        <v>46</v>
      </c>
      <c r="X89" s="1192">
        <v>47</v>
      </c>
      <c r="Y89" s="1192">
        <v>46</v>
      </c>
      <c r="Z89" s="1192">
        <v>35</v>
      </c>
      <c r="AA89" s="1192">
        <v>35</v>
      </c>
      <c r="AB89" s="1192">
        <v>40</v>
      </c>
      <c r="AC89" s="1192">
        <v>39</v>
      </c>
      <c r="AD89" s="1192">
        <v>0</v>
      </c>
      <c r="AE89" s="1192">
        <v>62</v>
      </c>
      <c r="AF89" s="1192">
        <v>27</v>
      </c>
      <c r="AG89" s="1192">
        <v>0</v>
      </c>
      <c r="AH89" s="1334">
        <v>78</v>
      </c>
      <c r="AI89" s="553">
        <f t="shared" si="5"/>
        <v>1063</v>
      </c>
      <c r="AJ89" s="1011">
        <v>51.348286589852712</v>
      </c>
      <c r="AK89" s="661">
        <f t="shared" si="4"/>
        <v>545.83228645013435</v>
      </c>
      <c r="AL89" s="1010" t="s">
        <v>40</v>
      </c>
      <c r="AM89" s="552"/>
      <c r="AN89" s="555"/>
      <c r="AO89" s="555"/>
    </row>
    <row r="90" spans="1:41" ht="54" customHeight="1">
      <c r="A90" s="1324">
        <v>74</v>
      </c>
      <c r="B90" s="1324">
        <v>74</v>
      </c>
      <c r="C90" s="552" t="str">
        <f>'Chấm công KT'!C86</f>
        <v>T. Tý</v>
      </c>
      <c r="D90" s="1192">
        <v>0</v>
      </c>
      <c r="E90" s="1192">
        <v>0</v>
      </c>
      <c r="F90" s="1192">
        <v>0</v>
      </c>
      <c r="G90" s="1192">
        <v>0</v>
      </c>
      <c r="H90" s="1192">
        <v>0</v>
      </c>
      <c r="I90" s="1192">
        <v>0</v>
      </c>
      <c r="J90" s="1192">
        <v>0</v>
      </c>
      <c r="K90" s="1192">
        <v>0</v>
      </c>
      <c r="L90" s="1192">
        <v>0</v>
      </c>
      <c r="M90" s="1192">
        <v>0</v>
      </c>
      <c r="N90" s="1192">
        <v>0</v>
      </c>
      <c r="O90" s="1192">
        <v>0</v>
      </c>
      <c r="P90" s="1192">
        <v>0</v>
      </c>
      <c r="Q90" s="1192">
        <v>0</v>
      </c>
      <c r="R90" s="1192">
        <v>0</v>
      </c>
      <c r="S90" s="1192">
        <v>0</v>
      </c>
      <c r="T90" s="1192">
        <v>0</v>
      </c>
      <c r="U90" s="1192">
        <v>0</v>
      </c>
      <c r="V90" s="1192">
        <v>0</v>
      </c>
      <c r="W90" s="1192">
        <v>0</v>
      </c>
      <c r="X90" s="1192">
        <v>0</v>
      </c>
      <c r="Y90" s="1192">
        <v>0</v>
      </c>
      <c r="Z90" s="1192">
        <v>0</v>
      </c>
      <c r="AA90" s="1192">
        <v>0</v>
      </c>
      <c r="AB90" s="1192">
        <v>0</v>
      </c>
      <c r="AC90" s="1192">
        <v>0</v>
      </c>
      <c r="AD90" s="1192">
        <v>0</v>
      </c>
      <c r="AE90" s="1192">
        <v>0</v>
      </c>
      <c r="AF90" s="1192">
        <v>0</v>
      </c>
      <c r="AG90" s="1192">
        <v>0</v>
      </c>
      <c r="AH90" s="1334">
        <v>0</v>
      </c>
      <c r="AI90" s="553">
        <f t="shared" si="5"/>
        <v>0</v>
      </c>
      <c r="AJ90" s="1011">
        <v>51.348286589852712</v>
      </c>
      <c r="AK90" s="661">
        <f t="shared" si="4"/>
        <v>0</v>
      </c>
      <c r="AL90" s="654" t="s">
        <v>449</v>
      </c>
      <c r="AM90" s="552"/>
      <c r="AN90" s="555"/>
      <c r="AO90" s="555"/>
    </row>
    <row r="91" spans="1:41" ht="54" customHeight="1">
      <c r="A91" s="1324">
        <v>75</v>
      </c>
      <c r="B91" s="1324">
        <v>75</v>
      </c>
      <c r="C91" s="552" t="str">
        <f>'Chấm công KT'!C87</f>
        <v>T.Lã</v>
      </c>
      <c r="D91" s="1334">
        <v>0</v>
      </c>
      <c r="E91" s="1334">
        <v>0</v>
      </c>
      <c r="F91" s="1334">
        <v>0</v>
      </c>
      <c r="G91" s="1334">
        <v>0</v>
      </c>
      <c r="H91" s="1334">
        <v>0</v>
      </c>
      <c r="I91" s="1334">
        <v>0</v>
      </c>
      <c r="J91" s="1334">
        <v>0</v>
      </c>
      <c r="K91" s="1334">
        <v>0</v>
      </c>
      <c r="L91" s="1334">
        <v>0</v>
      </c>
      <c r="M91" s="1334">
        <v>0</v>
      </c>
      <c r="N91" s="1334">
        <v>0</v>
      </c>
      <c r="O91" s="1334">
        <v>0</v>
      </c>
      <c r="P91" s="1334">
        <v>0</v>
      </c>
      <c r="Q91" s="1334">
        <v>0</v>
      </c>
      <c r="R91" s="1334">
        <v>0</v>
      </c>
      <c r="S91" s="1334">
        <v>0</v>
      </c>
      <c r="T91" s="1334">
        <v>0</v>
      </c>
      <c r="U91" s="1334">
        <v>0</v>
      </c>
      <c r="V91" s="1334">
        <v>0</v>
      </c>
      <c r="W91" s="1334">
        <v>37</v>
      </c>
      <c r="X91" s="1334">
        <v>0</v>
      </c>
      <c r="Y91" s="1334">
        <v>0</v>
      </c>
      <c r="Z91" s="1334">
        <v>0</v>
      </c>
      <c r="AA91" s="1334">
        <v>0</v>
      </c>
      <c r="AB91" s="1334">
        <v>85</v>
      </c>
      <c r="AC91" s="1334">
        <v>0</v>
      </c>
      <c r="AD91" s="1334">
        <v>85</v>
      </c>
      <c r="AE91" s="1334">
        <v>0</v>
      </c>
      <c r="AF91" s="1334">
        <v>0</v>
      </c>
      <c r="AG91" s="1334">
        <v>0</v>
      </c>
      <c r="AH91" s="1334">
        <v>0</v>
      </c>
      <c r="AI91" s="553">
        <f t="shared" si="5"/>
        <v>207</v>
      </c>
      <c r="AJ91" s="1009">
        <v>51.348286589852712</v>
      </c>
      <c r="AK91" s="661">
        <f t="shared" si="4"/>
        <v>106.29095324099511</v>
      </c>
      <c r="AL91" s="654" t="s">
        <v>396</v>
      </c>
      <c r="AM91" s="552"/>
      <c r="AN91" s="555"/>
      <c r="AO91" s="555"/>
    </row>
    <row r="92" spans="1:41" ht="54" customHeight="1">
      <c r="A92" s="1324">
        <v>76</v>
      </c>
      <c r="B92" s="1324">
        <v>76</v>
      </c>
      <c r="C92" s="552" t="str">
        <f>'Chấm công KT'!C88</f>
        <v>N. Veo</v>
      </c>
      <c r="D92" s="1334">
        <v>0</v>
      </c>
      <c r="E92" s="1334">
        <v>0</v>
      </c>
      <c r="F92" s="1334">
        <v>0</v>
      </c>
      <c r="G92" s="1334">
        <v>0</v>
      </c>
      <c r="H92" s="1334">
        <v>0</v>
      </c>
      <c r="I92" s="1334">
        <v>0</v>
      </c>
      <c r="J92" s="1334">
        <v>0</v>
      </c>
      <c r="K92" s="1334">
        <v>0</v>
      </c>
      <c r="L92" s="1334">
        <v>0</v>
      </c>
      <c r="M92" s="1334">
        <v>0</v>
      </c>
      <c r="N92" s="1334">
        <v>0</v>
      </c>
      <c r="O92" s="1334">
        <v>0</v>
      </c>
      <c r="P92" s="1334">
        <v>0</v>
      </c>
      <c r="Q92" s="1334">
        <v>0</v>
      </c>
      <c r="R92" s="1334">
        <v>0</v>
      </c>
      <c r="S92" s="1334">
        <v>0</v>
      </c>
      <c r="T92" s="1334">
        <v>0</v>
      </c>
      <c r="U92" s="1334">
        <v>0</v>
      </c>
      <c r="V92" s="1334">
        <v>0</v>
      </c>
      <c r="W92" s="1334">
        <v>38</v>
      </c>
      <c r="X92" s="1334">
        <v>0</v>
      </c>
      <c r="Y92" s="1334">
        <v>0</v>
      </c>
      <c r="Z92" s="1334">
        <v>0</v>
      </c>
      <c r="AA92" s="1334">
        <v>0</v>
      </c>
      <c r="AB92" s="1334">
        <v>44</v>
      </c>
      <c r="AC92" s="1334">
        <v>0</v>
      </c>
      <c r="AD92" s="1334">
        <v>42</v>
      </c>
      <c r="AE92" s="1334">
        <v>0</v>
      </c>
      <c r="AF92" s="1334">
        <v>0</v>
      </c>
      <c r="AG92" s="1334">
        <v>0</v>
      </c>
      <c r="AH92" s="1334">
        <v>0</v>
      </c>
      <c r="AI92" s="553">
        <f>SUM(D92:AH92)</f>
        <v>124</v>
      </c>
      <c r="AJ92" s="1009">
        <v>51.348286589852712</v>
      </c>
      <c r="AK92" s="661">
        <f t="shared" si="4"/>
        <v>63.671875371417364</v>
      </c>
      <c r="AL92" s="654" t="s">
        <v>396</v>
      </c>
      <c r="AM92" s="552"/>
      <c r="AN92" s="555"/>
      <c r="AO92" s="555"/>
    </row>
    <row r="93" spans="1:41" ht="54" customHeight="1">
      <c r="A93" s="1324">
        <v>77</v>
      </c>
      <c r="B93" s="1324">
        <v>77</v>
      </c>
      <c r="C93" s="552" t="str">
        <f>'Chấm công KT'!C89</f>
        <v>T.Pu</v>
      </c>
      <c r="D93" s="1334">
        <v>0</v>
      </c>
      <c r="E93" s="1334">
        <v>0</v>
      </c>
      <c r="F93" s="1334">
        <v>0</v>
      </c>
      <c r="G93" s="1334">
        <v>0</v>
      </c>
      <c r="H93" s="1334">
        <v>0</v>
      </c>
      <c r="I93" s="1334">
        <v>0</v>
      </c>
      <c r="J93" s="1334">
        <v>0</v>
      </c>
      <c r="K93" s="1334">
        <v>0</v>
      </c>
      <c r="L93" s="1334">
        <v>0</v>
      </c>
      <c r="M93" s="1334">
        <v>0</v>
      </c>
      <c r="N93" s="1334">
        <v>0</v>
      </c>
      <c r="O93" s="1334">
        <v>0</v>
      </c>
      <c r="P93" s="1334">
        <v>0</v>
      </c>
      <c r="Q93" s="1334">
        <v>0</v>
      </c>
      <c r="R93" s="1334">
        <v>0</v>
      </c>
      <c r="S93" s="1334">
        <v>0</v>
      </c>
      <c r="T93" s="1334">
        <v>0</v>
      </c>
      <c r="U93" s="1334">
        <v>0</v>
      </c>
      <c r="V93" s="1334">
        <v>0</v>
      </c>
      <c r="W93" s="1334">
        <v>35</v>
      </c>
      <c r="X93" s="1334">
        <v>0</v>
      </c>
      <c r="Y93" s="1334">
        <v>0</v>
      </c>
      <c r="Z93" s="1334">
        <v>0</v>
      </c>
      <c r="AA93" s="1334">
        <v>0</v>
      </c>
      <c r="AB93" s="1334">
        <v>0</v>
      </c>
      <c r="AC93" s="1334">
        <v>0</v>
      </c>
      <c r="AD93" s="1334">
        <v>0</v>
      </c>
      <c r="AE93" s="1334">
        <v>0</v>
      </c>
      <c r="AF93" s="1334">
        <v>0</v>
      </c>
      <c r="AG93" s="1334">
        <v>0</v>
      </c>
      <c r="AH93" s="1334">
        <v>0</v>
      </c>
      <c r="AI93" s="553">
        <f>SUM(D93:AH93)</f>
        <v>35</v>
      </c>
      <c r="AJ93" s="1009">
        <v>51.348286589852712</v>
      </c>
      <c r="AK93" s="661">
        <f t="shared" si="4"/>
        <v>17.97190030644845</v>
      </c>
      <c r="AL93" s="654" t="s">
        <v>396</v>
      </c>
      <c r="AM93" s="552"/>
      <c r="AN93" s="555"/>
      <c r="AO93" s="555"/>
    </row>
    <row r="94" spans="1:41" s="1337" customFormat="1" ht="54" hidden="1" customHeight="1">
      <c r="A94" s="1190">
        <v>78</v>
      </c>
      <c r="B94" s="1190">
        <v>78</v>
      </c>
      <c r="C94" s="1191" t="str">
        <f>'Chấm công KT'!C90</f>
        <v>T.Ta</v>
      </c>
      <c r="D94" s="1192"/>
      <c r="E94" s="1192"/>
      <c r="F94" s="1192"/>
      <c r="G94" s="1192"/>
      <c r="H94" s="1192"/>
      <c r="I94" s="1192"/>
      <c r="J94" s="1192"/>
      <c r="K94" s="1192"/>
      <c r="L94" s="1192"/>
      <c r="M94" s="1192"/>
      <c r="N94" s="1192"/>
      <c r="O94" s="1192"/>
      <c r="P94" s="1192"/>
      <c r="Q94" s="1192"/>
      <c r="R94" s="1192"/>
      <c r="S94" s="1192"/>
      <c r="T94" s="1192"/>
      <c r="U94" s="1192"/>
      <c r="V94" s="1192"/>
      <c r="W94" s="1192"/>
      <c r="X94" s="1192"/>
      <c r="Y94" s="1192"/>
      <c r="Z94" s="1192"/>
      <c r="AA94" s="1192"/>
      <c r="AB94" s="1192"/>
      <c r="AC94" s="1192"/>
      <c r="AD94" s="1192"/>
      <c r="AE94" s="1192"/>
      <c r="AF94" s="1192"/>
      <c r="AG94" s="1192"/>
      <c r="AH94" s="1192"/>
      <c r="AI94" s="1193">
        <f>SUM(D94:AH94)</f>
        <v>0</v>
      </c>
      <c r="AJ94" s="1336"/>
      <c r="AK94" s="1194">
        <f t="shared" si="4"/>
        <v>0</v>
      </c>
      <c r="AL94" s="1195"/>
      <c r="AM94" s="1191"/>
    </row>
    <row r="95" spans="1:41" s="1337" customFormat="1" ht="54" hidden="1" customHeight="1">
      <c r="A95" s="1190">
        <v>79</v>
      </c>
      <c r="B95" s="1190">
        <v>79</v>
      </c>
      <c r="C95" s="1191" t="str">
        <f>'Chấm công KT'!C91</f>
        <v>N.Nang</v>
      </c>
      <c r="D95" s="1192"/>
      <c r="E95" s="1192"/>
      <c r="F95" s="1192"/>
      <c r="G95" s="1192"/>
      <c r="H95" s="1192"/>
      <c r="I95" s="1192"/>
      <c r="J95" s="1192"/>
      <c r="K95" s="1192"/>
      <c r="L95" s="1192"/>
      <c r="M95" s="1192"/>
      <c r="N95" s="1192"/>
      <c r="O95" s="1192"/>
      <c r="P95" s="1192"/>
      <c r="Q95" s="1192"/>
      <c r="R95" s="1192"/>
      <c r="S95" s="1192"/>
      <c r="T95" s="1192"/>
      <c r="U95" s="1192"/>
      <c r="V95" s="1192"/>
      <c r="W95" s="1192"/>
      <c r="X95" s="1192"/>
      <c r="Y95" s="1192"/>
      <c r="Z95" s="1192"/>
      <c r="AA95" s="1192"/>
      <c r="AB95" s="1192"/>
      <c r="AC95" s="1192"/>
      <c r="AD95" s="1192"/>
      <c r="AE95" s="1192"/>
      <c r="AF95" s="1192"/>
      <c r="AG95" s="1192"/>
      <c r="AH95" s="1192"/>
      <c r="AI95" s="1193">
        <f>SUM(D95:AH95)</f>
        <v>0</v>
      </c>
      <c r="AJ95" s="1336"/>
      <c r="AK95" s="1194">
        <f t="shared" si="4"/>
        <v>0</v>
      </c>
      <c r="AL95" s="1195"/>
      <c r="AM95" s="1191"/>
    </row>
    <row r="96" spans="1:41" s="1337" customFormat="1" ht="54" hidden="1" customHeight="1">
      <c r="A96" s="1190">
        <v>80</v>
      </c>
      <c r="B96" s="1190">
        <v>80</v>
      </c>
      <c r="C96" s="1191" t="str">
        <f>'Chấm công KT'!C92</f>
        <v>T. Tan</v>
      </c>
      <c r="D96" s="1192"/>
      <c r="E96" s="1192"/>
      <c r="F96" s="1192"/>
      <c r="G96" s="1192"/>
      <c r="H96" s="1192"/>
      <c r="I96" s="1192"/>
      <c r="J96" s="1192"/>
      <c r="K96" s="1192"/>
      <c r="L96" s="1192"/>
      <c r="M96" s="1192"/>
      <c r="N96" s="1192"/>
      <c r="O96" s="1192"/>
      <c r="P96" s="1192"/>
      <c r="Q96" s="1192"/>
      <c r="R96" s="1192"/>
      <c r="S96" s="1192"/>
      <c r="T96" s="1192"/>
      <c r="U96" s="1192"/>
      <c r="V96" s="1192"/>
      <c r="W96" s="1192"/>
      <c r="X96" s="1192"/>
      <c r="Y96" s="1192"/>
      <c r="Z96" s="1192"/>
      <c r="AA96" s="1192"/>
      <c r="AB96" s="1192"/>
      <c r="AC96" s="1192"/>
      <c r="AD96" s="1192"/>
      <c r="AE96" s="1192"/>
      <c r="AF96" s="1192"/>
      <c r="AG96" s="1192"/>
      <c r="AH96" s="1192"/>
      <c r="AI96" s="1193">
        <f>SUM(D96:AH96)</f>
        <v>0</v>
      </c>
      <c r="AJ96" s="1336"/>
      <c r="AK96" s="1194">
        <f t="shared" si="4"/>
        <v>0</v>
      </c>
      <c r="AL96" s="1195"/>
      <c r="AM96" s="1191"/>
    </row>
    <row r="97" spans="1:41" ht="54" customHeight="1">
      <c r="A97" s="1324"/>
      <c r="B97" s="1399" t="s">
        <v>633</v>
      </c>
      <c r="C97" s="1400"/>
      <c r="D97" s="1400"/>
      <c r="E97" s="1400"/>
      <c r="F97" s="1400"/>
      <c r="G97" s="1400"/>
      <c r="H97" s="1400"/>
      <c r="I97" s="1400"/>
      <c r="J97" s="1400"/>
      <c r="K97" s="1400"/>
      <c r="L97" s="1400"/>
      <c r="M97" s="1400"/>
      <c r="N97" s="1400"/>
      <c r="O97" s="1400"/>
      <c r="P97" s="1400"/>
      <c r="Q97" s="1400"/>
      <c r="R97" s="1400"/>
      <c r="S97" s="1400"/>
      <c r="T97" s="1400"/>
      <c r="U97" s="1400"/>
      <c r="V97" s="1400"/>
      <c r="W97" s="1400"/>
      <c r="X97" s="1400"/>
      <c r="Y97" s="1400"/>
      <c r="Z97" s="1400"/>
      <c r="AA97" s="1400"/>
      <c r="AB97" s="1400"/>
      <c r="AC97" s="1400"/>
      <c r="AD97" s="1400"/>
      <c r="AE97" s="1400"/>
      <c r="AF97" s="1400"/>
      <c r="AG97" s="1400"/>
      <c r="AH97" s="1400"/>
      <c r="AI97" s="1400"/>
      <c r="AJ97" s="1400"/>
      <c r="AK97" s="662"/>
      <c r="AL97" s="912"/>
      <c r="AM97" s="552"/>
      <c r="AN97" s="555"/>
      <c r="AO97" s="555"/>
    </row>
    <row r="98" spans="1:41" ht="54" customHeight="1">
      <c r="A98" s="1376" t="s">
        <v>18</v>
      </c>
      <c r="B98" s="1376"/>
      <c r="C98" s="1376"/>
      <c r="D98" s="771">
        <f>SUM(D99:D160)</f>
        <v>2615</v>
      </c>
      <c r="E98" s="771">
        <f t="shared" ref="E98:AH98" si="6">SUM(E99:E160)</f>
        <v>0</v>
      </c>
      <c r="F98" s="771">
        <f t="shared" si="6"/>
        <v>0</v>
      </c>
      <c r="G98" s="771">
        <f t="shared" si="6"/>
        <v>0</v>
      </c>
      <c r="H98" s="771">
        <f t="shared" si="6"/>
        <v>0</v>
      </c>
      <c r="I98" s="771">
        <f t="shared" si="6"/>
        <v>1417</v>
      </c>
      <c r="J98" s="771">
        <f t="shared" si="6"/>
        <v>1674</v>
      </c>
      <c r="K98" s="771">
        <f t="shared" si="6"/>
        <v>1678</v>
      </c>
      <c r="L98" s="771">
        <f t="shared" si="6"/>
        <v>3001</v>
      </c>
      <c r="M98" s="771">
        <f t="shared" si="6"/>
        <v>1108</v>
      </c>
      <c r="N98" s="771">
        <f t="shared" si="6"/>
        <v>4032</v>
      </c>
      <c r="O98" s="771">
        <f t="shared" si="6"/>
        <v>4088</v>
      </c>
      <c r="P98" s="771">
        <f t="shared" si="6"/>
        <v>3743</v>
      </c>
      <c r="Q98" s="771">
        <f t="shared" si="6"/>
        <v>3861</v>
      </c>
      <c r="R98" s="771">
        <f t="shared" si="6"/>
        <v>4039</v>
      </c>
      <c r="S98" s="771">
        <f t="shared" si="6"/>
        <v>4834</v>
      </c>
      <c r="T98" s="771">
        <f t="shared" si="6"/>
        <v>4669</v>
      </c>
      <c r="U98" s="771">
        <f t="shared" si="6"/>
        <v>3662</v>
      </c>
      <c r="V98" s="771">
        <f t="shared" si="6"/>
        <v>5336</v>
      </c>
      <c r="W98" s="771">
        <f t="shared" si="6"/>
        <v>4804</v>
      </c>
      <c r="X98" s="771">
        <f t="shared" si="6"/>
        <v>4629</v>
      </c>
      <c r="Y98" s="771">
        <f t="shared" si="6"/>
        <v>3181</v>
      </c>
      <c r="Z98" s="771">
        <f t="shared" si="6"/>
        <v>4558</v>
      </c>
      <c r="AA98" s="771">
        <f t="shared" si="6"/>
        <v>5364</v>
      </c>
      <c r="AB98" s="771">
        <f t="shared" si="6"/>
        <v>4138</v>
      </c>
      <c r="AC98" s="771">
        <f t="shared" si="6"/>
        <v>3016</v>
      </c>
      <c r="AD98" s="771">
        <f t="shared" si="6"/>
        <v>4618</v>
      </c>
      <c r="AE98" s="771">
        <f t="shared" si="6"/>
        <v>4904</v>
      </c>
      <c r="AF98" s="771">
        <f t="shared" si="6"/>
        <v>4174</v>
      </c>
      <c r="AG98" s="771">
        <f t="shared" si="6"/>
        <v>2657</v>
      </c>
      <c r="AH98" s="771">
        <f t="shared" si="6"/>
        <v>4180</v>
      </c>
      <c r="AI98" s="771">
        <f>SUM(AI99:AI160)</f>
        <v>99980</v>
      </c>
      <c r="AJ98" s="771"/>
      <c r="AK98" s="771">
        <f>SUM(AK99:AK160)</f>
        <v>50774.636000000028</v>
      </c>
      <c r="AL98" s="552"/>
      <c r="AM98" s="552"/>
      <c r="AN98" s="555"/>
      <c r="AO98" s="555"/>
    </row>
    <row r="99" spans="1:41" ht="54" customHeight="1">
      <c r="A99" s="1324">
        <v>78</v>
      </c>
      <c r="B99" s="1324">
        <v>1</v>
      </c>
      <c r="C99" s="552" t="str">
        <f>'Chấm công KT'!C94</f>
        <v xml:space="preserve">T. Lun </v>
      </c>
      <c r="D99" s="1338">
        <v>70</v>
      </c>
      <c r="E99" s="1338">
        <v>0</v>
      </c>
      <c r="F99" s="1338">
        <v>0</v>
      </c>
      <c r="G99" s="1338">
        <v>0</v>
      </c>
      <c r="H99" s="1338">
        <v>0</v>
      </c>
      <c r="I99" s="1338">
        <v>34</v>
      </c>
      <c r="J99" s="1338">
        <v>0</v>
      </c>
      <c r="K99" s="1338">
        <v>48</v>
      </c>
      <c r="L99" s="1338">
        <v>115</v>
      </c>
      <c r="M99" s="1338">
        <v>0</v>
      </c>
      <c r="N99" s="1338">
        <v>119</v>
      </c>
      <c r="O99" s="1338">
        <v>36</v>
      </c>
      <c r="P99" s="1338">
        <v>99</v>
      </c>
      <c r="Q99" s="1338">
        <v>98</v>
      </c>
      <c r="R99" s="1338">
        <v>0</v>
      </c>
      <c r="S99" s="1338">
        <v>85</v>
      </c>
      <c r="T99" s="1338">
        <v>76</v>
      </c>
      <c r="U99" s="1338">
        <v>0</v>
      </c>
      <c r="V99" s="1338">
        <v>151</v>
      </c>
      <c r="W99" s="1338">
        <v>89</v>
      </c>
      <c r="X99" s="1338">
        <v>149</v>
      </c>
      <c r="Y99" s="1338">
        <v>100</v>
      </c>
      <c r="Z99" s="1338">
        <v>73</v>
      </c>
      <c r="AA99" s="1338">
        <v>0</v>
      </c>
      <c r="AB99" s="1338">
        <v>127</v>
      </c>
      <c r="AC99" s="1338">
        <v>44</v>
      </c>
      <c r="AD99" s="1338">
        <v>61</v>
      </c>
      <c r="AE99" s="1338">
        <v>209</v>
      </c>
      <c r="AF99" s="1338">
        <v>132</v>
      </c>
      <c r="AG99" s="1338">
        <v>37</v>
      </c>
      <c r="AH99" s="1338">
        <v>54</v>
      </c>
      <c r="AI99" s="553">
        <f t="shared" ref="AI99:AI156" si="7">SUM(D99:AH99)</f>
        <v>2006</v>
      </c>
      <c r="AJ99" s="1128">
        <v>50.78479295859173</v>
      </c>
      <c r="AK99" s="661">
        <f t="shared" ref="AK99:AK130" si="8">AI99*AJ99/100</f>
        <v>1018.74294674935</v>
      </c>
      <c r="AL99" s="1128" t="s">
        <v>40</v>
      </c>
      <c r="AM99" s="552"/>
      <c r="AN99" s="555"/>
      <c r="AO99" s="555"/>
    </row>
    <row r="100" spans="1:41" ht="54" customHeight="1">
      <c r="A100" s="1324">
        <v>79</v>
      </c>
      <c r="B100" s="1324">
        <v>2</v>
      </c>
      <c r="C100" s="552" t="str">
        <f>'Chấm công KT'!C95</f>
        <v>N. Keo</v>
      </c>
      <c r="D100" s="1338">
        <v>92</v>
      </c>
      <c r="E100" s="1338">
        <v>0</v>
      </c>
      <c r="F100" s="1338">
        <v>0</v>
      </c>
      <c r="G100" s="1338">
        <v>0</v>
      </c>
      <c r="H100" s="1338">
        <v>0</v>
      </c>
      <c r="I100" s="1338">
        <v>30</v>
      </c>
      <c r="J100" s="1338">
        <v>37</v>
      </c>
      <c r="K100" s="1338">
        <v>23</v>
      </c>
      <c r="L100" s="1338">
        <v>69</v>
      </c>
      <c r="M100" s="1338">
        <v>34</v>
      </c>
      <c r="N100" s="1338">
        <v>103</v>
      </c>
      <c r="O100" s="1338">
        <v>84</v>
      </c>
      <c r="P100" s="1338">
        <v>54</v>
      </c>
      <c r="Q100" s="1338">
        <v>20</v>
      </c>
      <c r="R100" s="1338">
        <v>108</v>
      </c>
      <c r="S100" s="1338">
        <v>93</v>
      </c>
      <c r="T100" s="1338">
        <v>66</v>
      </c>
      <c r="U100" s="1338">
        <v>37</v>
      </c>
      <c r="V100" s="1338">
        <v>105</v>
      </c>
      <c r="W100" s="1338">
        <v>77</v>
      </c>
      <c r="X100" s="1338">
        <v>0</v>
      </c>
      <c r="Y100" s="1338">
        <v>126</v>
      </c>
      <c r="Z100" s="1338">
        <v>92</v>
      </c>
      <c r="AA100" s="1338">
        <v>46</v>
      </c>
      <c r="AB100" s="1338">
        <v>139</v>
      </c>
      <c r="AC100" s="1338">
        <v>100</v>
      </c>
      <c r="AD100" s="1338">
        <v>94</v>
      </c>
      <c r="AE100" s="1338">
        <v>79</v>
      </c>
      <c r="AF100" s="1338">
        <v>80</v>
      </c>
      <c r="AG100" s="1338">
        <v>0</v>
      </c>
      <c r="AH100" s="1338">
        <v>0</v>
      </c>
      <c r="AI100" s="553">
        <f t="shared" si="7"/>
        <v>1788</v>
      </c>
      <c r="AJ100" s="1128">
        <v>50.78479295859173</v>
      </c>
      <c r="AK100" s="661">
        <f t="shared" si="8"/>
        <v>908.03209809962016</v>
      </c>
      <c r="AL100" s="1128" t="s">
        <v>40</v>
      </c>
      <c r="AM100" s="552"/>
      <c r="AN100" s="555"/>
      <c r="AO100" s="555"/>
    </row>
    <row r="101" spans="1:41" ht="54" customHeight="1">
      <c r="A101" s="1324">
        <v>80</v>
      </c>
      <c r="B101" s="1324">
        <v>3</v>
      </c>
      <c r="C101" s="552" t="str">
        <f>'Chấm công KT'!C96</f>
        <v>T .Nhum</v>
      </c>
      <c r="D101" s="1338">
        <v>13</v>
      </c>
      <c r="E101" s="1338">
        <v>0</v>
      </c>
      <c r="F101" s="1338">
        <v>0</v>
      </c>
      <c r="G101" s="1338">
        <v>0</v>
      </c>
      <c r="H101" s="1338">
        <v>0</v>
      </c>
      <c r="I101" s="1338">
        <v>0</v>
      </c>
      <c r="J101" s="1338">
        <v>0</v>
      </c>
      <c r="K101" s="1338">
        <v>0</v>
      </c>
      <c r="L101" s="1338">
        <v>18</v>
      </c>
      <c r="M101" s="1338">
        <v>17</v>
      </c>
      <c r="N101" s="1338">
        <v>97</v>
      </c>
      <c r="O101" s="1338">
        <v>56</v>
      </c>
      <c r="P101" s="1338">
        <v>20</v>
      </c>
      <c r="Q101" s="1338">
        <v>23</v>
      </c>
      <c r="R101" s="1338">
        <v>76</v>
      </c>
      <c r="S101" s="1338">
        <v>41</v>
      </c>
      <c r="T101" s="1338">
        <v>70</v>
      </c>
      <c r="U101" s="1338">
        <v>40</v>
      </c>
      <c r="V101" s="1338">
        <v>67</v>
      </c>
      <c r="W101" s="1338">
        <v>68</v>
      </c>
      <c r="X101" s="1338">
        <v>94</v>
      </c>
      <c r="Y101" s="1338">
        <v>54</v>
      </c>
      <c r="Z101" s="1338">
        <v>65</v>
      </c>
      <c r="AA101" s="1338">
        <v>61</v>
      </c>
      <c r="AB101" s="1338">
        <v>0</v>
      </c>
      <c r="AC101" s="1338">
        <v>48</v>
      </c>
      <c r="AD101" s="1338">
        <v>0</v>
      </c>
      <c r="AE101" s="1338">
        <v>94</v>
      </c>
      <c r="AF101" s="1338">
        <v>150</v>
      </c>
      <c r="AG101" s="1338">
        <v>52</v>
      </c>
      <c r="AH101" s="1338">
        <v>120</v>
      </c>
      <c r="AI101" s="553">
        <f t="shared" si="7"/>
        <v>1344</v>
      </c>
      <c r="AJ101" s="1128">
        <v>50.78479295859173</v>
      </c>
      <c r="AK101" s="661">
        <f t="shared" si="8"/>
        <v>682.5476173634728</v>
      </c>
      <c r="AL101" s="1128" t="s">
        <v>40</v>
      </c>
      <c r="AM101" s="552"/>
      <c r="AN101" s="555"/>
      <c r="AO101" s="555"/>
    </row>
    <row r="102" spans="1:41" ht="54" customHeight="1">
      <c r="A102" s="1324">
        <v>81</v>
      </c>
      <c r="B102" s="1324">
        <v>4</v>
      </c>
      <c r="C102" s="552" t="str">
        <f>'Chấm công KT'!C97</f>
        <v>N.Vông Ma Ni</v>
      </c>
      <c r="D102" s="1338">
        <v>54</v>
      </c>
      <c r="E102" s="1338">
        <v>0</v>
      </c>
      <c r="F102" s="1338">
        <v>0</v>
      </c>
      <c r="G102" s="1338">
        <v>0</v>
      </c>
      <c r="H102" s="1338">
        <v>0</v>
      </c>
      <c r="I102" s="1338">
        <v>10</v>
      </c>
      <c r="J102" s="1338">
        <v>30</v>
      </c>
      <c r="K102" s="1338">
        <v>28</v>
      </c>
      <c r="L102" s="1338">
        <v>34</v>
      </c>
      <c r="M102" s="1338">
        <v>20</v>
      </c>
      <c r="N102" s="1338">
        <v>92</v>
      </c>
      <c r="O102" s="1338">
        <v>50</v>
      </c>
      <c r="P102" s="1338">
        <v>84</v>
      </c>
      <c r="Q102" s="1338">
        <v>70</v>
      </c>
      <c r="R102" s="1338">
        <v>52</v>
      </c>
      <c r="S102" s="1338">
        <v>83</v>
      </c>
      <c r="T102" s="1338">
        <v>103</v>
      </c>
      <c r="U102" s="1338">
        <v>57</v>
      </c>
      <c r="V102" s="1338">
        <v>74</v>
      </c>
      <c r="W102" s="1338">
        <v>74</v>
      </c>
      <c r="X102" s="1338">
        <v>98</v>
      </c>
      <c r="Y102" s="1338">
        <v>57</v>
      </c>
      <c r="Z102" s="1338">
        <v>91</v>
      </c>
      <c r="AA102" s="1338">
        <v>112</v>
      </c>
      <c r="AB102" s="1338">
        <v>129</v>
      </c>
      <c r="AC102" s="1338">
        <v>50</v>
      </c>
      <c r="AD102" s="1338">
        <v>91</v>
      </c>
      <c r="AE102" s="1338">
        <v>93</v>
      </c>
      <c r="AF102" s="1338">
        <v>134</v>
      </c>
      <c r="AG102" s="1338">
        <v>62</v>
      </c>
      <c r="AH102" s="1338">
        <v>74</v>
      </c>
      <c r="AI102" s="553">
        <f t="shared" si="7"/>
        <v>1906</v>
      </c>
      <c r="AJ102" s="1128">
        <v>50.78479295859173</v>
      </c>
      <c r="AK102" s="661">
        <f t="shared" si="8"/>
        <v>967.95815379075839</v>
      </c>
      <c r="AL102" s="1128" t="s">
        <v>40</v>
      </c>
      <c r="AM102" s="552"/>
      <c r="AN102" s="555"/>
      <c r="AO102" s="555"/>
    </row>
    <row r="103" spans="1:41" ht="54" customHeight="1">
      <c r="A103" s="1324">
        <v>82</v>
      </c>
      <c r="B103" s="1324">
        <v>5</v>
      </c>
      <c r="C103" s="552" t="str">
        <f>'Chấm công KT'!C98</f>
        <v>Đao Hương</v>
      </c>
      <c r="D103" s="1338">
        <v>83</v>
      </c>
      <c r="E103" s="1338">
        <v>0</v>
      </c>
      <c r="F103" s="1338">
        <v>0</v>
      </c>
      <c r="G103" s="1338">
        <v>0</v>
      </c>
      <c r="H103" s="1338">
        <v>0</v>
      </c>
      <c r="I103" s="1338">
        <v>18</v>
      </c>
      <c r="J103" s="1338">
        <v>25</v>
      </c>
      <c r="K103" s="1338">
        <v>20</v>
      </c>
      <c r="L103" s="1338">
        <v>34</v>
      </c>
      <c r="M103" s="1338">
        <v>26</v>
      </c>
      <c r="N103" s="1338">
        <v>74</v>
      </c>
      <c r="O103" s="1338">
        <v>50</v>
      </c>
      <c r="P103" s="1338">
        <v>114</v>
      </c>
      <c r="Q103" s="1338">
        <v>75</v>
      </c>
      <c r="R103" s="1338">
        <v>66</v>
      </c>
      <c r="S103" s="1338">
        <v>40</v>
      </c>
      <c r="T103" s="1338">
        <v>100</v>
      </c>
      <c r="U103" s="1338">
        <v>44</v>
      </c>
      <c r="V103" s="1338">
        <v>75</v>
      </c>
      <c r="W103" s="1338">
        <v>73</v>
      </c>
      <c r="X103" s="1338">
        <v>126</v>
      </c>
      <c r="Y103" s="1338">
        <v>50</v>
      </c>
      <c r="Z103" s="1338">
        <v>64</v>
      </c>
      <c r="AA103" s="1338">
        <v>105</v>
      </c>
      <c r="AB103" s="1338">
        <v>151</v>
      </c>
      <c r="AC103" s="1338">
        <v>58</v>
      </c>
      <c r="AD103" s="1338">
        <v>60</v>
      </c>
      <c r="AE103" s="1338">
        <v>94</v>
      </c>
      <c r="AF103" s="1338">
        <v>89</v>
      </c>
      <c r="AG103" s="1338">
        <v>50</v>
      </c>
      <c r="AH103" s="1338">
        <v>82</v>
      </c>
      <c r="AI103" s="553">
        <f t="shared" si="7"/>
        <v>1846</v>
      </c>
      <c r="AJ103" s="1128">
        <v>50.78479295859173</v>
      </c>
      <c r="AK103" s="661">
        <f t="shared" si="8"/>
        <v>937.48727801560335</v>
      </c>
      <c r="AL103" s="1128" t="s">
        <v>40</v>
      </c>
      <c r="AM103" s="552"/>
      <c r="AN103" s="555"/>
      <c r="AO103" s="555"/>
    </row>
    <row r="104" spans="1:41" ht="54" customHeight="1">
      <c r="A104" s="1324">
        <v>83</v>
      </c>
      <c r="B104" s="1324">
        <v>6</v>
      </c>
      <c r="C104" s="552" t="str">
        <f>'Chấm công KT'!C99</f>
        <v>T. Xi Nun</v>
      </c>
      <c r="D104" s="1338">
        <v>38</v>
      </c>
      <c r="E104" s="1338">
        <v>0</v>
      </c>
      <c r="F104" s="1338">
        <v>0</v>
      </c>
      <c r="G104" s="1338">
        <v>0</v>
      </c>
      <c r="H104" s="1338">
        <v>0</v>
      </c>
      <c r="I104" s="1338">
        <v>18</v>
      </c>
      <c r="J104" s="1338">
        <v>0</v>
      </c>
      <c r="K104" s="1338">
        <v>0</v>
      </c>
      <c r="L104" s="1338">
        <v>0</v>
      </c>
      <c r="M104" s="1338">
        <v>0</v>
      </c>
      <c r="N104" s="1338">
        <v>0</v>
      </c>
      <c r="O104" s="1338">
        <v>37</v>
      </c>
      <c r="P104" s="1338">
        <v>50</v>
      </c>
      <c r="Q104" s="1338">
        <v>0</v>
      </c>
      <c r="R104" s="1338">
        <v>104</v>
      </c>
      <c r="S104" s="1338">
        <v>102</v>
      </c>
      <c r="T104" s="1338">
        <v>122</v>
      </c>
      <c r="U104" s="1338">
        <v>34</v>
      </c>
      <c r="V104" s="1338">
        <v>92</v>
      </c>
      <c r="W104" s="1338">
        <v>0</v>
      </c>
      <c r="X104" s="1338">
        <v>0</v>
      </c>
      <c r="Y104" s="1338">
        <v>0</v>
      </c>
      <c r="Z104" s="1338">
        <v>45</v>
      </c>
      <c r="AA104" s="1338">
        <v>80</v>
      </c>
      <c r="AB104" s="1338">
        <v>0</v>
      </c>
      <c r="AC104" s="1338">
        <v>0</v>
      </c>
      <c r="AD104" s="1338">
        <v>34</v>
      </c>
      <c r="AE104" s="1338">
        <v>0</v>
      </c>
      <c r="AF104" s="1338">
        <v>128</v>
      </c>
      <c r="AG104" s="1338">
        <v>0</v>
      </c>
      <c r="AH104" s="1338">
        <v>0</v>
      </c>
      <c r="AI104" s="553">
        <f t="shared" si="7"/>
        <v>884</v>
      </c>
      <c r="AJ104" s="1128">
        <v>50.78479295859173</v>
      </c>
      <c r="AK104" s="661">
        <f t="shared" si="8"/>
        <v>448.93756975395087</v>
      </c>
      <c r="AL104" s="1128" t="s">
        <v>48</v>
      </c>
      <c r="AM104" s="552"/>
      <c r="AN104" s="555"/>
      <c r="AO104" s="555"/>
    </row>
    <row r="105" spans="1:41" ht="54" customHeight="1">
      <c r="A105" s="1324">
        <v>84</v>
      </c>
      <c r="B105" s="1324">
        <v>7</v>
      </c>
      <c r="C105" s="552" t="str">
        <f>'Chấm công KT'!C100</f>
        <v>T. Bun Hinh</v>
      </c>
      <c r="D105" s="1338">
        <v>40</v>
      </c>
      <c r="E105" s="1338">
        <v>0</v>
      </c>
      <c r="F105" s="1338">
        <v>0</v>
      </c>
      <c r="G105" s="1338">
        <v>0</v>
      </c>
      <c r="H105" s="1338">
        <v>0</v>
      </c>
      <c r="I105" s="1338">
        <v>35</v>
      </c>
      <c r="J105" s="1338">
        <v>27</v>
      </c>
      <c r="K105" s="1338">
        <v>40</v>
      </c>
      <c r="L105" s="1338">
        <v>100</v>
      </c>
      <c r="M105" s="1338">
        <v>20</v>
      </c>
      <c r="N105" s="1338">
        <v>142</v>
      </c>
      <c r="O105" s="1338">
        <v>76</v>
      </c>
      <c r="P105" s="1338">
        <v>72</v>
      </c>
      <c r="Q105" s="1338">
        <v>43</v>
      </c>
      <c r="R105" s="1338">
        <v>134</v>
      </c>
      <c r="S105" s="1338">
        <v>98</v>
      </c>
      <c r="T105" s="1338">
        <v>33</v>
      </c>
      <c r="U105" s="1338">
        <v>52</v>
      </c>
      <c r="V105" s="1338">
        <v>128</v>
      </c>
      <c r="W105" s="1338">
        <v>110</v>
      </c>
      <c r="X105" s="1338">
        <v>100</v>
      </c>
      <c r="Y105" s="1338">
        <v>63</v>
      </c>
      <c r="Z105" s="1338">
        <v>0</v>
      </c>
      <c r="AA105" s="1338">
        <v>100</v>
      </c>
      <c r="AB105" s="1338">
        <v>72</v>
      </c>
      <c r="AC105" s="1338">
        <v>64</v>
      </c>
      <c r="AD105" s="1338">
        <v>185</v>
      </c>
      <c r="AE105" s="1338">
        <v>111</v>
      </c>
      <c r="AF105" s="1338">
        <v>58</v>
      </c>
      <c r="AG105" s="1338">
        <v>50</v>
      </c>
      <c r="AH105" s="1338">
        <v>115</v>
      </c>
      <c r="AI105" s="553">
        <f t="shared" si="7"/>
        <v>2068</v>
      </c>
      <c r="AJ105" s="1128">
        <v>50.78479295859173</v>
      </c>
      <c r="AK105" s="661">
        <f t="shared" si="8"/>
        <v>1050.2295183836768</v>
      </c>
      <c r="AL105" s="1128" t="s">
        <v>40</v>
      </c>
      <c r="AM105" s="552"/>
      <c r="AN105" s="555"/>
      <c r="AO105" s="555"/>
    </row>
    <row r="106" spans="1:41" ht="54" customHeight="1">
      <c r="A106" s="1324">
        <v>85</v>
      </c>
      <c r="B106" s="1324">
        <v>8</v>
      </c>
      <c r="C106" s="552" t="str">
        <f>'Chấm công KT'!C101</f>
        <v>T. Miềng</v>
      </c>
      <c r="D106" s="1338">
        <v>54</v>
      </c>
      <c r="E106" s="1338">
        <v>0</v>
      </c>
      <c r="F106" s="1338">
        <v>0</v>
      </c>
      <c r="G106" s="1338">
        <v>0</v>
      </c>
      <c r="H106" s="1338">
        <v>0</v>
      </c>
      <c r="I106" s="1338">
        <v>43</v>
      </c>
      <c r="J106" s="1338">
        <v>35</v>
      </c>
      <c r="K106" s="1338">
        <v>51</v>
      </c>
      <c r="L106" s="1338">
        <v>76</v>
      </c>
      <c r="M106" s="1338">
        <v>22</v>
      </c>
      <c r="N106" s="1338">
        <v>57</v>
      </c>
      <c r="O106" s="1338">
        <v>61</v>
      </c>
      <c r="P106" s="1338">
        <v>44</v>
      </c>
      <c r="Q106" s="1338">
        <v>0</v>
      </c>
      <c r="R106" s="1338">
        <v>74</v>
      </c>
      <c r="S106" s="1338">
        <v>0</v>
      </c>
      <c r="T106" s="1338">
        <v>94</v>
      </c>
      <c r="U106" s="1338">
        <v>96</v>
      </c>
      <c r="V106" s="1338">
        <v>69</v>
      </c>
      <c r="W106" s="1338">
        <v>82</v>
      </c>
      <c r="X106" s="1338">
        <v>90</v>
      </c>
      <c r="Y106" s="1338">
        <v>52</v>
      </c>
      <c r="Z106" s="1338">
        <v>65</v>
      </c>
      <c r="AA106" s="1338">
        <v>99</v>
      </c>
      <c r="AB106" s="1338">
        <v>96</v>
      </c>
      <c r="AC106" s="1338">
        <v>22</v>
      </c>
      <c r="AD106" s="1338">
        <v>60</v>
      </c>
      <c r="AE106" s="1338">
        <v>107</v>
      </c>
      <c r="AF106" s="1338">
        <v>69</v>
      </c>
      <c r="AG106" s="1338">
        <v>0</v>
      </c>
      <c r="AH106" s="1338">
        <v>67</v>
      </c>
      <c r="AI106" s="553">
        <f t="shared" si="7"/>
        <v>1585</v>
      </c>
      <c r="AJ106" s="1128">
        <v>50.78479295859173</v>
      </c>
      <c r="AK106" s="661">
        <f t="shared" si="8"/>
        <v>804.93896839367892</v>
      </c>
      <c r="AL106" s="1128" t="s">
        <v>40</v>
      </c>
      <c r="AM106" s="552"/>
      <c r="AN106" s="555"/>
      <c r="AO106" s="555"/>
    </row>
    <row r="107" spans="1:41" ht="54" customHeight="1">
      <c r="A107" s="1324">
        <v>86</v>
      </c>
      <c r="B107" s="1324">
        <v>9</v>
      </c>
      <c r="C107" s="552" t="str">
        <f>'Chấm công KT'!C102</f>
        <v>N. Xúc</v>
      </c>
      <c r="D107" s="1338">
        <v>60</v>
      </c>
      <c r="E107" s="1338">
        <v>0</v>
      </c>
      <c r="F107" s="1338">
        <v>0</v>
      </c>
      <c r="G107" s="1338">
        <v>0</v>
      </c>
      <c r="H107" s="1338">
        <v>0</v>
      </c>
      <c r="I107" s="1338">
        <v>46</v>
      </c>
      <c r="J107" s="1338">
        <v>30</v>
      </c>
      <c r="K107" s="1338">
        <v>35</v>
      </c>
      <c r="L107" s="1338">
        <v>66</v>
      </c>
      <c r="M107" s="1338">
        <v>0</v>
      </c>
      <c r="N107" s="1338">
        <v>113</v>
      </c>
      <c r="O107" s="1338">
        <v>52</v>
      </c>
      <c r="P107" s="1338">
        <v>65</v>
      </c>
      <c r="Q107" s="1338">
        <v>102</v>
      </c>
      <c r="R107" s="1338">
        <v>121</v>
      </c>
      <c r="S107" s="1338">
        <v>127</v>
      </c>
      <c r="T107" s="1338">
        <v>45</v>
      </c>
      <c r="U107" s="1338">
        <v>72</v>
      </c>
      <c r="V107" s="1338">
        <v>151</v>
      </c>
      <c r="W107" s="1338">
        <v>101</v>
      </c>
      <c r="X107" s="1338">
        <v>100</v>
      </c>
      <c r="Y107" s="1338">
        <v>54</v>
      </c>
      <c r="Z107" s="1338">
        <v>142</v>
      </c>
      <c r="AA107" s="1338">
        <v>116</v>
      </c>
      <c r="AB107" s="1338">
        <v>71</v>
      </c>
      <c r="AC107" s="1338">
        <v>44</v>
      </c>
      <c r="AD107" s="1338">
        <v>110</v>
      </c>
      <c r="AE107" s="1338">
        <v>0</v>
      </c>
      <c r="AF107" s="1338">
        <v>77</v>
      </c>
      <c r="AG107" s="1338">
        <v>66</v>
      </c>
      <c r="AH107" s="1338">
        <v>144</v>
      </c>
      <c r="AI107" s="553">
        <f t="shared" si="7"/>
        <v>2110</v>
      </c>
      <c r="AJ107" s="1128">
        <v>50.78479295859173</v>
      </c>
      <c r="AK107" s="661">
        <f t="shared" si="8"/>
        <v>1071.5591314262854</v>
      </c>
      <c r="AL107" s="1128" t="s">
        <v>48</v>
      </c>
      <c r="AM107" s="552"/>
      <c r="AN107" s="555"/>
      <c r="AO107" s="555"/>
    </row>
    <row r="108" spans="1:41" ht="54" customHeight="1">
      <c r="A108" s="1324">
        <v>87</v>
      </c>
      <c r="B108" s="1324">
        <v>10</v>
      </c>
      <c r="C108" s="552" t="str">
        <f>'Chấm công KT'!C103</f>
        <v>N. Lẹ</v>
      </c>
      <c r="D108" s="1338">
        <v>20</v>
      </c>
      <c r="E108" s="1338">
        <v>0</v>
      </c>
      <c r="F108" s="1338">
        <v>0</v>
      </c>
      <c r="G108" s="1338">
        <v>0</v>
      </c>
      <c r="H108" s="1338">
        <v>0</v>
      </c>
      <c r="I108" s="1338">
        <v>0</v>
      </c>
      <c r="J108" s="1338">
        <v>0</v>
      </c>
      <c r="K108" s="1338">
        <v>0</v>
      </c>
      <c r="L108" s="1338">
        <v>15</v>
      </c>
      <c r="M108" s="1338">
        <v>10</v>
      </c>
      <c r="N108" s="1338">
        <v>77</v>
      </c>
      <c r="O108" s="1338">
        <v>21</v>
      </c>
      <c r="P108" s="1338">
        <v>30</v>
      </c>
      <c r="Q108" s="1338">
        <v>20</v>
      </c>
      <c r="R108" s="1338">
        <v>60</v>
      </c>
      <c r="S108" s="1338">
        <v>51</v>
      </c>
      <c r="T108" s="1338">
        <v>59</v>
      </c>
      <c r="U108" s="1338">
        <v>60</v>
      </c>
      <c r="V108" s="1338">
        <v>81</v>
      </c>
      <c r="W108" s="1338">
        <v>69</v>
      </c>
      <c r="X108" s="1338">
        <v>90</v>
      </c>
      <c r="Y108" s="1338">
        <v>64</v>
      </c>
      <c r="Z108" s="1338">
        <v>57</v>
      </c>
      <c r="AA108" s="1338">
        <v>100</v>
      </c>
      <c r="AB108" s="1338">
        <v>0</v>
      </c>
      <c r="AC108" s="1338">
        <v>56</v>
      </c>
      <c r="AD108" s="1338">
        <v>0</v>
      </c>
      <c r="AE108" s="1338">
        <v>100</v>
      </c>
      <c r="AF108" s="1338">
        <v>164</v>
      </c>
      <c r="AG108" s="1338">
        <v>49</v>
      </c>
      <c r="AH108" s="1338">
        <v>121</v>
      </c>
      <c r="AI108" s="553">
        <f t="shared" si="7"/>
        <v>1374</v>
      </c>
      <c r="AJ108" s="1128">
        <v>50.78479295859173</v>
      </c>
      <c r="AK108" s="661">
        <f t="shared" si="8"/>
        <v>697.78305525105043</v>
      </c>
      <c r="AL108" s="1128" t="s">
        <v>40</v>
      </c>
      <c r="AM108" s="552"/>
      <c r="AN108" s="555"/>
      <c r="AO108" s="555"/>
    </row>
    <row r="109" spans="1:41" ht="54" customHeight="1">
      <c r="A109" s="1324">
        <v>88</v>
      </c>
      <c r="B109" s="1324">
        <v>11</v>
      </c>
      <c r="C109" s="552" t="str">
        <f>'Chấm công KT'!C104</f>
        <v>N . Thích</v>
      </c>
      <c r="D109" s="1338">
        <v>30</v>
      </c>
      <c r="E109" s="1338">
        <v>0</v>
      </c>
      <c r="F109" s="1338">
        <v>0</v>
      </c>
      <c r="G109" s="1338">
        <v>0</v>
      </c>
      <c r="H109" s="1338">
        <v>0</v>
      </c>
      <c r="I109" s="1338">
        <v>0</v>
      </c>
      <c r="J109" s="1338">
        <v>29</v>
      </c>
      <c r="K109" s="1338">
        <v>10</v>
      </c>
      <c r="L109" s="1338">
        <v>51</v>
      </c>
      <c r="M109" s="1338">
        <v>0</v>
      </c>
      <c r="N109" s="1338">
        <v>107</v>
      </c>
      <c r="O109" s="1338">
        <v>69</v>
      </c>
      <c r="P109" s="1338">
        <v>40</v>
      </c>
      <c r="Q109" s="1338">
        <v>65</v>
      </c>
      <c r="R109" s="1338">
        <v>60</v>
      </c>
      <c r="S109" s="1338">
        <v>100</v>
      </c>
      <c r="T109" s="1338">
        <v>106</v>
      </c>
      <c r="U109" s="1338">
        <v>49</v>
      </c>
      <c r="V109" s="1338">
        <v>110</v>
      </c>
      <c r="W109" s="1338">
        <v>103</v>
      </c>
      <c r="X109" s="1338">
        <v>99</v>
      </c>
      <c r="Y109" s="1338">
        <v>34</v>
      </c>
      <c r="Z109" s="1338">
        <v>88</v>
      </c>
      <c r="AA109" s="1338">
        <v>79</v>
      </c>
      <c r="AB109" s="1338">
        <v>120</v>
      </c>
      <c r="AC109" s="1338">
        <v>30</v>
      </c>
      <c r="AD109" s="1338">
        <v>70</v>
      </c>
      <c r="AE109" s="1338">
        <v>108</v>
      </c>
      <c r="AF109" s="1338">
        <v>77</v>
      </c>
      <c r="AG109" s="1338">
        <v>38</v>
      </c>
      <c r="AH109" s="1338">
        <v>62</v>
      </c>
      <c r="AI109" s="553">
        <f t="shared" si="7"/>
        <v>1734</v>
      </c>
      <c r="AJ109" s="1128">
        <v>50.78479295859173</v>
      </c>
      <c r="AK109" s="661">
        <f t="shared" si="8"/>
        <v>880.60830990198053</v>
      </c>
      <c r="AL109" s="1128" t="s">
        <v>40</v>
      </c>
      <c r="AM109" s="552"/>
      <c r="AN109" s="555"/>
      <c r="AO109" s="555"/>
    </row>
    <row r="110" spans="1:41" ht="54" customHeight="1">
      <c r="A110" s="1324">
        <v>89</v>
      </c>
      <c r="B110" s="1324">
        <v>12</v>
      </c>
      <c r="C110" s="552" t="str">
        <f>'Chấm công KT'!C105</f>
        <v>N. Cong Mi</v>
      </c>
      <c r="D110" s="1338">
        <v>50</v>
      </c>
      <c r="E110" s="1338">
        <v>0</v>
      </c>
      <c r="F110" s="1338">
        <v>0</v>
      </c>
      <c r="G110" s="1338">
        <v>0</v>
      </c>
      <c r="H110" s="1338">
        <v>0</v>
      </c>
      <c r="I110" s="1338">
        <v>24</v>
      </c>
      <c r="J110" s="1338">
        <v>20</v>
      </c>
      <c r="K110" s="1338">
        <v>58</v>
      </c>
      <c r="L110" s="1338">
        <v>109</v>
      </c>
      <c r="M110" s="1338">
        <v>20</v>
      </c>
      <c r="N110" s="1338">
        <v>115</v>
      </c>
      <c r="O110" s="1338">
        <v>88</v>
      </c>
      <c r="P110" s="1338">
        <v>63</v>
      </c>
      <c r="Q110" s="1338">
        <v>40</v>
      </c>
      <c r="R110" s="1338">
        <v>100</v>
      </c>
      <c r="S110" s="1338">
        <v>100</v>
      </c>
      <c r="T110" s="1338">
        <v>36</v>
      </c>
      <c r="U110" s="1338">
        <v>88</v>
      </c>
      <c r="V110" s="1338">
        <v>128</v>
      </c>
      <c r="W110" s="1338">
        <v>88</v>
      </c>
      <c r="X110" s="1338">
        <v>60</v>
      </c>
      <c r="Y110" s="1338">
        <v>57</v>
      </c>
      <c r="Z110" s="1338">
        <v>0</v>
      </c>
      <c r="AA110" s="1338">
        <v>121</v>
      </c>
      <c r="AB110" s="1338">
        <v>78</v>
      </c>
      <c r="AC110" s="1338">
        <v>40</v>
      </c>
      <c r="AD110" s="1338">
        <v>178</v>
      </c>
      <c r="AE110" s="1338">
        <v>116</v>
      </c>
      <c r="AF110" s="1338">
        <v>74</v>
      </c>
      <c r="AG110" s="1338">
        <v>35</v>
      </c>
      <c r="AH110" s="1338">
        <v>116</v>
      </c>
      <c r="AI110" s="553">
        <f t="shared" si="7"/>
        <v>2002</v>
      </c>
      <c r="AJ110" s="1128">
        <v>50.78479295859173</v>
      </c>
      <c r="AK110" s="661">
        <f t="shared" si="8"/>
        <v>1016.7115550310065</v>
      </c>
      <c r="AL110" s="1128" t="s">
        <v>40</v>
      </c>
      <c r="AM110" s="552"/>
      <c r="AN110" s="555"/>
      <c r="AO110" s="555"/>
    </row>
    <row r="111" spans="1:41" ht="54" customHeight="1">
      <c r="A111" s="1324">
        <v>90</v>
      </c>
      <c r="B111" s="1324">
        <v>13</v>
      </c>
      <c r="C111" s="552" t="str">
        <f>'Chấm công KT'!C106</f>
        <v>T. Na</v>
      </c>
      <c r="D111" s="1338">
        <v>51</v>
      </c>
      <c r="E111" s="1338">
        <v>0</v>
      </c>
      <c r="F111" s="1338">
        <v>0</v>
      </c>
      <c r="G111" s="1338">
        <v>0</v>
      </c>
      <c r="H111" s="1338">
        <v>0</v>
      </c>
      <c r="I111" s="1338">
        <v>30</v>
      </c>
      <c r="J111" s="1338">
        <v>40</v>
      </c>
      <c r="K111" s="1338">
        <v>47</v>
      </c>
      <c r="L111" s="1338">
        <v>54</v>
      </c>
      <c r="M111" s="1338">
        <v>30</v>
      </c>
      <c r="N111" s="1338">
        <v>47</v>
      </c>
      <c r="O111" s="1338">
        <v>68</v>
      </c>
      <c r="P111" s="1338">
        <v>40</v>
      </c>
      <c r="Q111" s="1338">
        <v>0</v>
      </c>
      <c r="R111" s="1338">
        <v>61</v>
      </c>
      <c r="S111" s="1338">
        <v>0</v>
      </c>
      <c r="T111" s="1338">
        <v>81</v>
      </c>
      <c r="U111" s="1338">
        <v>101</v>
      </c>
      <c r="V111" s="1338">
        <v>49</v>
      </c>
      <c r="W111" s="1338">
        <v>82</v>
      </c>
      <c r="X111" s="1338">
        <v>94</v>
      </c>
      <c r="Y111" s="1338">
        <v>36</v>
      </c>
      <c r="Z111" s="1338">
        <v>66</v>
      </c>
      <c r="AA111" s="1338">
        <v>97</v>
      </c>
      <c r="AB111" s="1338">
        <v>80</v>
      </c>
      <c r="AC111" s="1338">
        <v>22</v>
      </c>
      <c r="AD111" s="1338">
        <v>47</v>
      </c>
      <c r="AE111" s="1338">
        <v>98</v>
      </c>
      <c r="AF111" s="1338">
        <v>91</v>
      </c>
      <c r="AG111" s="1338">
        <v>0</v>
      </c>
      <c r="AH111" s="1338">
        <v>86</v>
      </c>
      <c r="AI111" s="553">
        <f t="shared" si="7"/>
        <v>1498</v>
      </c>
      <c r="AJ111" s="1128">
        <v>50.78479295859173</v>
      </c>
      <c r="AK111" s="661">
        <f t="shared" si="8"/>
        <v>760.75619851970407</v>
      </c>
      <c r="AL111" s="1128" t="s">
        <v>48</v>
      </c>
      <c r="AM111" s="552"/>
      <c r="AN111" s="555"/>
      <c r="AO111" s="555"/>
    </row>
    <row r="112" spans="1:41" ht="54" customHeight="1">
      <c r="A112" s="1324">
        <v>91</v>
      </c>
      <c r="B112" s="1324">
        <v>14</v>
      </c>
      <c r="C112" s="552" t="str">
        <f>'Chấm công KT'!C107</f>
        <v>T. Khăm Mặn</v>
      </c>
      <c r="D112" s="1338">
        <v>60</v>
      </c>
      <c r="E112" s="1338">
        <v>0</v>
      </c>
      <c r="F112" s="1338">
        <v>0</v>
      </c>
      <c r="G112" s="1338">
        <v>0</v>
      </c>
      <c r="H112" s="1338">
        <v>0</v>
      </c>
      <c r="I112" s="1338">
        <v>23</v>
      </c>
      <c r="J112" s="1338">
        <v>36</v>
      </c>
      <c r="K112" s="1338">
        <v>60</v>
      </c>
      <c r="L112" s="1338">
        <v>68</v>
      </c>
      <c r="M112" s="1338">
        <v>44</v>
      </c>
      <c r="N112" s="1338">
        <v>106</v>
      </c>
      <c r="O112" s="1338">
        <v>112</v>
      </c>
      <c r="P112" s="1338">
        <v>111</v>
      </c>
      <c r="Q112" s="1338">
        <v>108</v>
      </c>
      <c r="R112" s="1338">
        <v>75</v>
      </c>
      <c r="S112" s="1338">
        <v>127</v>
      </c>
      <c r="T112" s="1338">
        <v>0</v>
      </c>
      <c r="U112" s="1338">
        <v>95</v>
      </c>
      <c r="V112" s="1338">
        <v>97</v>
      </c>
      <c r="W112" s="1338">
        <v>109</v>
      </c>
      <c r="X112" s="1338">
        <v>176</v>
      </c>
      <c r="Y112" s="1338">
        <v>67</v>
      </c>
      <c r="Z112" s="1338">
        <v>70</v>
      </c>
      <c r="AA112" s="1338">
        <v>100</v>
      </c>
      <c r="AB112" s="1338">
        <v>96</v>
      </c>
      <c r="AC112" s="1338">
        <v>64</v>
      </c>
      <c r="AD112" s="1338">
        <v>70</v>
      </c>
      <c r="AE112" s="1338">
        <v>143</v>
      </c>
      <c r="AF112" s="1338">
        <v>93</v>
      </c>
      <c r="AG112" s="1338">
        <v>57</v>
      </c>
      <c r="AH112" s="1338">
        <v>80</v>
      </c>
      <c r="AI112" s="553">
        <f t="shared" si="7"/>
        <v>2247</v>
      </c>
      <c r="AJ112" s="1128">
        <v>50.78479295859173</v>
      </c>
      <c r="AK112" s="661">
        <f t="shared" si="8"/>
        <v>1141.1342977795562</v>
      </c>
      <c r="AL112" s="1128" t="s">
        <v>40</v>
      </c>
      <c r="AM112" s="552"/>
      <c r="AN112" s="555"/>
      <c r="AO112" s="555"/>
    </row>
    <row r="113" spans="1:41" ht="54" customHeight="1">
      <c r="A113" s="1324">
        <v>92</v>
      </c>
      <c r="B113" s="1324">
        <v>15</v>
      </c>
      <c r="C113" s="552" t="str">
        <f>'Chấm công KT'!C108</f>
        <v>T . In Tong</v>
      </c>
      <c r="D113" s="1338">
        <v>28</v>
      </c>
      <c r="E113" s="1338">
        <v>0</v>
      </c>
      <c r="F113" s="1338">
        <v>0</v>
      </c>
      <c r="G113" s="1338">
        <v>0</v>
      </c>
      <c r="H113" s="1338">
        <v>0</v>
      </c>
      <c r="I113" s="1338">
        <v>0</v>
      </c>
      <c r="J113" s="1338">
        <v>24</v>
      </c>
      <c r="K113" s="1338">
        <v>24</v>
      </c>
      <c r="L113" s="1338">
        <v>54</v>
      </c>
      <c r="M113" s="1338">
        <v>0</v>
      </c>
      <c r="N113" s="1338">
        <v>97</v>
      </c>
      <c r="O113" s="1338">
        <v>93</v>
      </c>
      <c r="P113" s="1338">
        <v>0</v>
      </c>
      <c r="Q113" s="1338">
        <v>68</v>
      </c>
      <c r="R113" s="1338">
        <v>50</v>
      </c>
      <c r="S113" s="1338">
        <v>110</v>
      </c>
      <c r="T113" s="1338">
        <v>101</v>
      </c>
      <c r="U113" s="1338">
        <v>40</v>
      </c>
      <c r="V113" s="1338">
        <v>103</v>
      </c>
      <c r="W113" s="1338">
        <v>74</v>
      </c>
      <c r="X113" s="1338">
        <v>108</v>
      </c>
      <c r="Y113" s="1338">
        <v>32</v>
      </c>
      <c r="Z113" s="1338">
        <v>76</v>
      </c>
      <c r="AA113" s="1338">
        <v>94</v>
      </c>
      <c r="AB113" s="1338">
        <v>105</v>
      </c>
      <c r="AC113" s="1338">
        <v>30</v>
      </c>
      <c r="AD113" s="1338">
        <v>41</v>
      </c>
      <c r="AE113" s="1338">
        <v>100</v>
      </c>
      <c r="AF113" s="1338">
        <v>79</v>
      </c>
      <c r="AG113" s="1338">
        <v>38</v>
      </c>
      <c r="AH113" s="1338">
        <v>92</v>
      </c>
      <c r="AI113" s="553">
        <f t="shared" si="7"/>
        <v>1661</v>
      </c>
      <c r="AJ113" s="1128">
        <v>50.78479295859173</v>
      </c>
      <c r="AK113" s="661">
        <f t="shared" si="8"/>
        <v>843.53541104220858</v>
      </c>
      <c r="AL113" s="1128" t="s">
        <v>40</v>
      </c>
      <c r="AM113" s="552"/>
      <c r="AN113" s="555"/>
      <c r="AO113" s="555"/>
    </row>
    <row r="114" spans="1:41" ht="54" customHeight="1">
      <c r="A114" s="1324">
        <v>93</v>
      </c>
      <c r="B114" s="1324">
        <v>16</v>
      </c>
      <c r="C114" s="552" t="str">
        <f>'Chấm công KT'!C109</f>
        <v>T. Lốp</v>
      </c>
      <c r="D114" s="1338">
        <v>57</v>
      </c>
      <c r="E114" s="1338">
        <v>0</v>
      </c>
      <c r="F114" s="1338">
        <v>0</v>
      </c>
      <c r="G114" s="1338">
        <v>0</v>
      </c>
      <c r="H114" s="1338">
        <v>0</v>
      </c>
      <c r="I114" s="1338">
        <v>0</v>
      </c>
      <c r="J114" s="1338">
        <v>0</v>
      </c>
      <c r="K114" s="1338">
        <v>0</v>
      </c>
      <c r="L114" s="1338">
        <v>0</v>
      </c>
      <c r="M114" s="1338">
        <v>0</v>
      </c>
      <c r="N114" s="1338">
        <v>60</v>
      </c>
      <c r="O114" s="1338">
        <v>78</v>
      </c>
      <c r="P114" s="1338">
        <v>0</v>
      </c>
      <c r="Q114" s="1338">
        <v>56</v>
      </c>
      <c r="R114" s="1338">
        <v>38</v>
      </c>
      <c r="S114" s="1338">
        <v>0</v>
      </c>
      <c r="T114" s="1338">
        <v>70</v>
      </c>
      <c r="U114" s="1338">
        <v>76</v>
      </c>
      <c r="V114" s="1338">
        <v>127</v>
      </c>
      <c r="W114" s="1338">
        <v>0</v>
      </c>
      <c r="X114" s="1338">
        <v>48</v>
      </c>
      <c r="Y114" s="1338">
        <v>63</v>
      </c>
      <c r="Z114" s="1338">
        <v>111</v>
      </c>
      <c r="AA114" s="1338">
        <v>67</v>
      </c>
      <c r="AB114" s="1338">
        <v>93</v>
      </c>
      <c r="AC114" s="1338">
        <v>43</v>
      </c>
      <c r="AD114" s="1338">
        <v>104</v>
      </c>
      <c r="AE114" s="1338">
        <v>138</v>
      </c>
      <c r="AF114" s="1338">
        <v>0</v>
      </c>
      <c r="AG114" s="1338">
        <v>43</v>
      </c>
      <c r="AH114" s="1338">
        <v>0</v>
      </c>
      <c r="AI114" s="553">
        <f t="shared" si="7"/>
        <v>1272</v>
      </c>
      <c r="AJ114" s="1128">
        <v>50.78479295859173</v>
      </c>
      <c r="AK114" s="661">
        <f t="shared" si="8"/>
        <v>645.98256643328682</v>
      </c>
      <c r="AL114" s="1128" t="s">
        <v>48</v>
      </c>
      <c r="AM114" s="552"/>
      <c r="AN114" s="555"/>
      <c r="AO114" s="555"/>
    </row>
    <row r="115" spans="1:41" ht="54" customHeight="1">
      <c r="A115" s="1324">
        <v>94</v>
      </c>
      <c r="B115" s="1324">
        <v>17</v>
      </c>
      <c r="C115" s="552" t="str">
        <f>'Chấm công KT'!C110</f>
        <v>T. Lăm Phêng</v>
      </c>
      <c r="D115" s="1338">
        <v>46</v>
      </c>
      <c r="E115" s="1338">
        <v>0</v>
      </c>
      <c r="F115" s="1338">
        <v>0</v>
      </c>
      <c r="G115" s="1338">
        <v>0</v>
      </c>
      <c r="H115" s="1338">
        <v>0</v>
      </c>
      <c r="I115" s="1338">
        <v>0</v>
      </c>
      <c r="J115" s="1338">
        <v>0</v>
      </c>
      <c r="K115" s="1338">
        <v>0</v>
      </c>
      <c r="L115" s="1338">
        <v>20</v>
      </c>
      <c r="M115" s="1338">
        <v>0</v>
      </c>
      <c r="N115" s="1338">
        <v>20</v>
      </c>
      <c r="O115" s="1338">
        <v>54</v>
      </c>
      <c r="P115" s="1338">
        <v>140</v>
      </c>
      <c r="Q115" s="1338">
        <v>57</v>
      </c>
      <c r="R115" s="1338">
        <v>0</v>
      </c>
      <c r="S115" s="1338">
        <v>103</v>
      </c>
      <c r="T115" s="1338">
        <v>92</v>
      </c>
      <c r="U115" s="1338">
        <v>87</v>
      </c>
      <c r="V115" s="1338">
        <v>269</v>
      </c>
      <c r="W115" s="1338">
        <v>88</v>
      </c>
      <c r="X115" s="1338">
        <v>100</v>
      </c>
      <c r="Y115" s="1338">
        <v>56</v>
      </c>
      <c r="Z115" s="1338">
        <v>189</v>
      </c>
      <c r="AA115" s="1338">
        <v>118</v>
      </c>
      <c r="AB115" s="1338">
        <v>89</v>
      </c>
      <c r="AC115" s="1338">
        <v>52</v>
      </c>
      <c r="AD115" s="1338">
        <v>209</v>
      </c>
      <c r="AE115" s="1338">
        <v>148</v>
      </c>
      <c r="AF115" s="1338">
        <v>79</v>
      </c>
      <c r="AG115" s="1338">
        <v>60</v>
      </c>
      <c r="AH115" s="1338">
        <v>238</v>
      </c>
      <c r="AI115" s="553">
        <f t="shared" si="7"/>
        <v>2314</v>
      </c>
      <c r="AJ115" s="1128">
        <v>50.78479295859173</v>
      </c>
      <c r="AK115" s="661">
        <f t="shared" si="8"/>
        <v>1175.1601090618126</v>
      </c>
      <c r="AL115" s="1128" t="s">
        <v>40</v>
      </c>
      <c r="AM115" s="552"/>
      <c r="AN115" s="555"/>
      <c r="AO115" s="555"/>
    </row>
    <row r="116" spans="1:41" ht="54" customHeight="1">
      <c r="A116" s="1324">
        <v>95</v>
      </c>
      <c r="B116" s="1324">
        <v>18</v>
      </c>
      <c r="C116" s="552" t="str">
        <f>'Chấm công KT'!C111</f>
        <v>T Xèng</v>
      </c>
      <c r="D116" s="1338">
        <v>33</v>
      </c>
      <c r="E116" s="1338">
        <v>0</v>
      </c>
      <c r="F116" s="1338">
        <v>0</v>
      </c>
      <c r="G116" s="1338">
        <v>0</v>
      </c>
      <c r="H116" s="1338">
        <v>0</v>
      </c>
      <c r="I116" s="1338">
        <v>30</v>
      </c>
      <c r="J116" s="1338">
        <v>55</v>
      </c>
      <c r="K116" s="1338">
        <v>37</v>
      </c>
      <c r="L116" s="1338">
        <v>46</v>
      </c>
      <c r="M116" s="1338">
        <v>36</v>
      </c>
      <c r="N116" s="1338">
        <v>107</v>
      </c>
      <c r="O116" s="1338">
        <v>128</v>
      </c>
      <c r="P116" s="1338">
        <v>65</v>
      </c>
      <c r="Q116" s="1338">
        <v>122</v>
      </c>
      <c r="R116" s="1338">
        <v>121</v>
      </c>
      <c r="S116" s="1338">
        <v>97</v>
      </c>
      <c r="T116" s="1338">
        <v>71</v>
      </c>
      <c r="U116" s="1338">
        <v>90</v>
      </c>
      <c r="V116" s="1338">
        <v>109</v>
      </c>
      <c r="W116" s="1338">
        <v>104</v>
      </c>
      <c r="X116" s="1338">
        <v>69</v>
      </c>
      <c r="Y116" s="1338">
        <v>68</v>
      </c>
      <c r="Z116" s="1338">
        <v>101</v>
      </c>
      <c r="AA116" s="1338">
        <v>129</v>
      </c>
      <c r="AB116" s="1338">
        <v>60</v>
      </c>
      <c r="AC116" s="1338">
        <v>73</v>
      </c>
      <c r="AD116" s="1338">
        <v>99</v>
      </c>
      <c r="AE116" s="1338">
        <v>144</v>
      </c>
      <c r="AF116" s="1338">
        <v>63</v>
      </c>
      <c r="AG116" s="1338">
        <v>52</v>
      </c>
      <c r="AH116" s="1338">
        <v>123</v>
      </c>
      <c r="AI116" s="553">
        <f t="shared" si="7"/>
        <v>2232</v>
      </c>
      <c r="AJ116" s="1128">
        <v>50.78479295859173</v>
      </c>
      <c r="AK116" s="661">
        <f t="shared" si="8"/>
        <v>1133.5165788357674</v>
      </c>
      <c r="AL116" s="1128" t="s">
        <v>40</v>
      </c>
      <c r="AM116" s="552"/>
      <c r="AN116" s="555"/>
      <c r="AO116" s="555"/>
    </row>
    <row r="117" spans="1:41" ht="54" customHeight="1">
      <c r="A117" s="1324">
        <v>96</v>
      </c>
      <c r="B117" s="1324">
        <v>19</v>
      </c>
      <c r="C117" s="552" t="str">
        <f>'Chấm công KT'!C112</f>
        <v>T. May</v>
      </c>
      <c r="D117" s="1338">
        <v>64</v>
      </c>
      <c r="E117" s="1338">
        <v>0</v>
      </c>
      <c r="F117" s="1338">
        <v>0</v>
      </c>
      <c r="G117" s="1338">
        <v>0</v>
      </c>
      <c r="H117" s="1338">
        <v>0</v>
      </c>
      <c r="I117" s="1338">
        <v>34</v>
      </c>
      <c r="J117" s="1338">
        <v>26</v>
      </c>
      <c r="K117" s="1338">
        <v>12</v>
      </c>
      <c r="L117" s="1338">
        <v>74</v>
      </c>
      <c r="M117" s="1338">
        <v>0</v>
      </c>
      <c r="N117" s="1338">
        <v>0</v>
      </c>
      <c r="O117" s="1338">
        <v>92</v>
      </c>
      <c r="P117" s="1338">
        <v>93</v>
      </c>
      <c r="Q117" s="1338">
        <v>23</v>
      </c>
      <c r="R117" s="1338">
        <v>120</v>
      </c>
      <c r="S117" s="1338">
        <v>86</v>
      </c>
      <c r="T117" s="1338">
        <v>97</v>
      </c>
      <c r="U117" s="1338">
        <v>93</v>
      </c>
      <c r="V117" s="1338">
        <v>77</v>
      </c>
      <c r="W117" s="1338">
        <v>0</v>
      </c>
      <c r="X117" s="1338">
        <v>97</v>
      </c>
      <c r="Y117" s="1338">
        <v>63</v>
      </c>
      <c r="Z117" s="1338">
        <v>79</v>
      </c>
      <c r="AA117" s="1338">
        <v>142</v>
      </c>
      <c r="AB117" s="1338">
        <v>86</v>
      </c>
      <c r="AC117" s="1338">
        <v>56</v>
      </c>
      <c r="AD117" s="1338">
        <v>79</v>
      </c>
      <c r="AE117" s="1338">
        <v>81</v>
      </c>
      <c r="AF117" s="1338">
        <v>83</v>
      </c>
      <c r="AG117" s="1338">
        <v>51</v>
      </c>
      <c r="AH117" s="1338">
        <v>83</v>
      </c>
      <c r="AI117" s="553">
        <f t="shared" si="7"/>
        <v>1791</v>
      </c>
      <c r="AJ117" s="1128">
        <v>50.78479295859173</v>
      </c>
      <c r="AK117" s="661">
        <f t="shared" si="8"/>
        <v>909.55564188837786</v>
      </c>
      <c r="AL117" s="1128" t="s">
        <v>40</v>
      </c>
      <c r="AM117" s="552"/>
      <c r="AN117" s="555"/>
      <c r="AO117" s="555"/>
    </row>
    <row r="118" spans="1:41" ht="54" customHeight="1">
      <c r="A118" s="1324">
        <v>97</v>
      </c>
      <c r="B118" s="1324">
        <v>20</v>
      </c>
      <c r="C118" s="552" t="str">
        <f>'Chấm công KT'!C113</f>
        <v>T. Huôn</v>
      </c>
      <c r="D118" s="1338">
        <v>50</v>
      </c>
      <c r="E118" s="1338">
        <v>0</v>
      </c>
      <c r="F118" s="1338">
        <v>0</v>
      </c>
      <c r="G118" s="1338">
        <v>0</v>
      </c>
      <c r="H118" s="1338">
        <v>0</v>
      </c>
      <c r="I118" s="1338">
        <v>26</v>
      </c>
      <c r="J118" s="1338">
        <v>15</v>
      </c>
      <c r="K118" s="1338">
        <v>14</v>
      </c>
      <c r="L118" s="1338">
        <v>73</v>
      </c>
      <c r="M118" s="1338">
        <v>0</v>
      </c>
      <c r="N118" s="1338">
        <v>0</v>
      </c>
      <c r="O118" s="1338">
        <v>58</v>
      </c>
      <c r="P118" s="1338">
        <v>92</v>
      </c>
      <c r="Q118" s="1338">
        <v>20</v>
      </c>
      <c r="R118" s="1338">
        <v>73</v>
      </c>
      <c r="S118" s="1338">
        <v>47</v>
      </c>
      <c r="T118" s="1338">
        <v>83</v>
      </c>
      <c r="U118" s="1338">
        <v>119</v>
      </c>
      <c r="V118" s="1338">
        <v>56</v>
      </c>
      <c r="W118" s="1338">
        <v>0</v>
      </c>
      <c r="X118" s="1338">
        <v>83</v>
      </c>
      <c r="Y118" s="1338">
        <v>63</v>
      </c>
      <c r="Z118" s="1338">
        <v>62</v>
      </c>
      <c r="AA118" s="1338">
        <v>96</v>
      </c>
      <c r="AB118" s="1338">
        <v>77</v>
      </c>
      <c r="AC118" s="1338">
        <v>58</v>
      </c>
      <c r="AD118" s="1338">
        <v>80</v>
      </c>
      <c r="AE118" s="1338">
        <v>61</v>
      </c>
      <c r="AF118" s="1338">
        <v>70</v>
      </c>
      <c r="AG118" s="1338">
        <v>58</v>
      </c>
      <c r="AH118" s="1338">
        <v>48</v>
      </c>
      <c r="AI118" s="553">
        <f t="shared" si="7"/>
        <v>1482</v>
      </c>
      <c r="AJ118" s="1128">
        <v>50.78479295859173</v>
      </c>
      <c r="AK118" s="661">
        <f t="shared" si="8"/>
        <v>752.63063164632945</v>
      </c>
      <c r="AL118" s="1128" t="s">
        <v>40</v>
      </c>
      <c r="AM118" s="552"/>
      <c r="AN118" s="555"/>
      <c r="AO118" s="555"/>
    </row>
    <row r="119" spans="1:41" ht="54" customHeight="1">
      <c r="A119" s="1324">
        <v>98</v>
      </c>
      <c r="B119" s="1324">
        <v>21</v>
      </c>
      <c r="C119" s="552" t="str">
        <f>'Chấm công KT'!C114</f>
        <v>N. Lay</v>
      </c>
      <c r="D119" s="1338">
        <v>100</v>
      </c>
      <c r="E119" s="1338">
        <v>0</v>
      </c>
      <c r="F119" s="1338">
        <v>0</v>
      </c>
      <c r="G119" s="1338">
        <v>0</v>
      </c>
      <c r="H119" s="1338">
        <v>0</v>
      </c>
      <c r="I119" s="1338">
        <v>25</v>
      </c>
      <c r="J119" s="1338">
        <v>15</v>
      </c>
      <c r="K119" s="1338">
        <v>10</v>
      </c>
      <c r="L119" s="1338">
        <v>66</v>
      </c>
      <c r="M119" s="1338">
        <v>0</v>
      </c>
      <c r="N119" s="1338">
        <v>0</v>
      </c>
      <c r="O119" s="1338">
        <v>33</v>
      </c>
      <c r="P119" s="1338">
        <v>83</v>
      </c>
      <c r="Q119" s="1338">
        <v>30</v>
      </c>
      <c r="R119" s="1338">
        <v>61</v>
      </c>
      <c r="S119" s="1338">
        <v>46</v>
      </c>
      <c r="T119" s="1338">
        <v>83</v>
      </c>
      <c r="U119" s="1338">
        <v>58</v>
      </c>
      <c r="V119" s="1338">
        <v>51</v>
      </c>
      <c r="W119" s="1338">
        <v>0</v>
      </c>
      <c r="X119" s="1338">
        <v>91</v>
      </c>
      <c r="Y119" s="1338">
        <v>53</v>
      </c>
      <c r="Z119" s="1338">
        <v>48</v>
      </c>
      <c r="AA119" s="1338">
        <v>103</v>
      </c>
      <c r="AB119" s="1338">
        <v>90</v>
      </c>
      <c r="AC119" s="1338">
        <v>60</v>
      </c>
      <c r="AD119" s="1338">
        <v>60</v>
      </c>
      <c r="AE119" s="1338">
        <v>67</v>
      </c>
      <c r="AF119" s="1338">
        <v>92</v>
      </c>
      <c r="AG119" s="1338">
        <v>47</v>
      </c>
      <c r="AH119" s="1338">
        <v>53</v>
      </c>
      <c r="AI119" s="553">
        <f t="shared" si="7"/>
        <v>1425</v>
      </c>
      <c r="AJ119" s="1128">
        <v>50.78479295859173</v>
      </c>
      <c r="AK119" s="661">
        <f t="shared" si="8"/>
        <v>723.68329965993212</v>
      </c>
      <c r="AL119" s="1128" t="s">
        <v>40</v>
      </c>
      <c r="AM119" s="552"/>
      <c r="AN119" s="555"/>
      <c r="AO119" s="555"/>
    </row>
    <row r="120" spans="1:41" ht="54" customHeight="1">
      <c r="A120" s="1324">
        <v>99</v>
      </c>
      <c r="B120" s="1324">
        <v>22</v>
      </c>
      <c r="C120" s="552" t="str">
        <f>'Chấm công KT'!C115</f>
        <v>N. Pon</v>
      </c>
      <c r="D120" s="1338">
        <v>51</v>
      </c>
      <c r="E120" s="1338">
        <v>0</v>
      </c>
      <c r="F120" s="1338">
        <v>0</v>
      </c>
      <c r="G120" s="1338">
        <v>0</v>
      </c>
      <c r="H120" s="1338">
        <v>0</v>
      </c>
      <c r="I120" s="1338">
        <v>34</v>
      </c>
      <c r="J120" s="1338">
        <v>44</v>
      </c>
      <c r="K120" s="1338">
        <v>63</v>
      </c>
      <c r="L120" s="1338">
        <v>65</v>
      </c>
      <c r="M120" s="1338">
        <v>25</v>
      </c>
      <c r="N120" s="1338">
        <v>90</v>
      </c>
      <c r="O120" s="1338">
        <v>129</v>
      </c>
      <c r="P120" s="1338">
        <v>86</v>
      </c>
      <c r="Q120" s="1338">
        <v>88</v>
      </c>
      <c r="R120" s="1338">
        <v>93</v>
      </c>
      <c r="S120" s="1338">
        <v>130</v>
      </c>
      <c r="T120" s="1338">
        <v>91</v>
      </c>
      <c r="U120" s="1338">
        <v>58</v>
      </c>
      <c r="V120" s="1338">
        <v>0</v>
      </c>
      <c r="W120" s="1338">
        <v>146</v>
      </c>
      <c r="X120" s="1338">
        <v>95</v>
      </c>
      <c r="Y120" s="1338">
        <v>54</v>
      </c>
      <c r="Z120" s="1338">
        <v>184</v>
      </c>
      <c r="AA120" s="1338">
        <v>157</v>
      </c>
      <c r="AB120" s="1338">
        <v>82</v>
      </c>
      <c r="AC120" s="1338">
        <v>40</v>
      </c>
      <c r="AD120" s="1338">
        <v>96</v>
      </c>
      <c r="AE120" s="1338">
        <v>154</v>
      </c>
      <c r="AF120" s="1338">
        <v>78</v>
      </c>
      <c r="AG120" s="1338">
        <v>0</v>
      </c>
      <c r="AH120" s="1338">
        <v>79</v>
      </c>
      <c r="AI120" s="553">
        <f t="shared" si="7"/>
        <v>2212</v>
      </c>
      <c r="AJ120" s="1128">
        <v>50.78479295859173</v>
      </c>
      <c r="AK120" s="661">
        <f t="shared" si="8"/>
        <v>1123.359620244049</v>
      </c>
      <c r="AL120" s="1128" t="s">
        <v>40</v>
      </c>
      <c r="AM120" s="552"/>
      <c r="AN120" s="555"/>
      <c r="AO120" s="555"/>
    </row>
    <row r="121" spans="1:41" ht="54" customHeight="1">
      <c r="A121" s="1324">
        <v>100</v>
      </c>
      <c r="B121" s="1324">
        <v>23</v>
      </c>
      <c r="C121" s="552" t="str">
        <f>'Chấm công KT'!C116</f>
        <v>N. Bun Đi</v>
      </c>
      <c r="D121" s="1338">
        <v>9</v>
      </c>
      <c r="E121" s="1338">
        <v>0</v>
      </c>
      <c r="F121" s="1338">
        <v>0</v>
      </c>
      <c r="G121" s="1338">
        <v>0</v>
      </c>
      <c r="H121" s="1338">
        <v>0</v>
      </c>
      <c r="I121" s="1338">
        <v>30</v>
      </c>
      <c r="J121" s="1338">
        <v>50</v>
      </c>
      <c r="K121" s="1338">
        <v>20</v>
      </c>
      <c r="L121" s="1338">
        <v>25</v>
      </c>
      <c r="M121" s="1338">
        <v>20</v>
      </c>
      <c r="N121" s="1338">
        <v>105</v>
      </c>
      <c r="O121" s="1338">
        <v>0</v>
      </c>
      <c r="P121" s="1338">
        <v>0</v>
      </c>
      <c r="Q121" s="1338">
        <v>79</v>
      </c>
      <c r="R121" s="1338">
        <v>96</v>
      </c>
      <c r="S121" s="1338">
        <v>98</v>
      </c>
      <c r="T121" s="1338">
        <v>111</v>
      </c>
      <c r="U121" s="1338">
        <v>55</v>
      </c>
      <c r="V121" s="1338">
        <v>96</v>
      </c>
      <c r="W121" s="1338">
        <v>59</v>
      </c>
      <c r="X121" s="1338">
        <v>62</v>
      </c>
      <c r="Y121" s="1338">
        <v>48</v>
      </c>
      <c r="Z121" s="1338">
        <v>86</v>
      </c>
      <c r="AA121" s="1338">
        <v>72</v>
      </c>
      <c r="AB121" s="1338">
        <v>52</v>
      </c>
      <c r="AC121" s="1338">
        <v>43</v>
      </c>
      <c r="AD121" s="1338">
        <v>72</v>
      </c>
      <c r="AE121" s="1338">
        <v>91</v>
      </c>
      <c r="AF121" s="1338">
        <v>51</v>
      </c>
      <c r="AG121" s="1338">
        <v>37</v>
      </c>
      <c r="AH121" s="1338">
        <v>63</v>
      </c>
      <c r="AI121" s="553">
        <f t="shared" si="7"/>
        <v>1530</v>
      </c>
      <c r="AJ121" s="1128">
        <v>50.78479295859173</v>
      </c>
      <c r="AK121" s="661">
        <f t="shared" si="8"/>
        <v>777.00733226645343</v>
      </c>
      <c r="AL121" s="1128" t="s">
        <v>40</v>
      </c>
      <c r="AM121" s="552"/>
      <c r="AN121" s="555"/>
      <c r="AO121" s="555"/>
    </row>
    <row r="122" spans="1:41" ht="54" customHeight="1">
      <c r="A122" s="1324">
        <v>101</v>
      </c>
      <c r="B122" s="1324">
        <v>24</v>
      </c>
      <c r="C122" s="552" t="str">
        <f>'Chấm công KT'!C117</f>
        <v>N. Phon</v>
      </c>
      <c r="D122" s="1338">
        <v>9</v>
      </c>
      <c r="E122" s="1338">
        <v>0</v>
      </c>
      <c r="F122" s="1338">
        <v>0</v>
      </c>
      <c r="G122" s="1338">
        <v>0</v>
      </c>
      <c r="H122" s="1338">
        <v>0</v>
      </c>
      <c r="I122" s="1338">
        <v>30</v>
      </c>
      <c r="J122" s="1338">
        <v>37</v>
      </c>
      <c r="K122" s="1338">
        <v>30</v>
      </c>
      <c r="L122" s="1338">
        <v>28</v>
      </c>
      <c r="M122" s="1338">
        <v>20</v>
      </c>
      <c r="N122" s="1338">
        <v>87</v>
      </c>
      <c r="O122" s="1338">
        <v>0</v>
      </c>
      <c r="P122" s="1338">
        <v>0</v>
      </c>
      <c r="Q122" s="1338">
        <v>70</v>
      </c>
      <c r="R122" s="1338">
        <v>96</v>
      </c>
      <c r="S122" s="1338">
        <v>120</v>
      </c>
      <c r="T122" s="1338">
        <v>104</v>
      </c>
      <c r="U122" s="1338">
        <v>51</v>
      </c>
      <c r="V122" s="1338">
        <v>97</v>
      </c>
      <c r="W122" s="1338">
        <v>78</v>
      </c>
      <c r="X122" s="1338">
        <v>70</v>
      </c>
      <c r="Y122" s="1338">
        <v>44</v>
      </c>
      <c r="Z122" s="1338">
        <v>87</v>
      </c>
      <c r="AA122" s="1338">
        <v>68</v>
      </c>
      <c r="AB122" s="1338">
        <v>57</v>
      </c>
      <c r="AC122" s="1338">
        <v>42</v>
      </c>
      <c r="AD122" s="1338">
        <v>84</v>
      </c>
      <c r="AE122" s="1338">
        <v>81</v>
      </c>
      <c r="AF122" s="1338">
        <v>50</v>
      </c>
      <c r="AG122" s="1338">
        <v>42</v>
      </c>
      <c r="AH122" s="1338">
        <v>74</v>
      </c>
      <c r="AI122" s="553">
        <f t="shared" si="7"/>
        <v>1556</v>
      </c>
      <c r="AJ122" s="1128">
        <v>50.78479295859173</v>
      </c>
      <c r="AK122" s="661">
        <f t="shared" si="8"/>
        <v>790.21137843568738</v>
      </c>
      <c r="AL122" s="1128" t="s">
        <v>40</v>
      </c>
      <c r="AM122" s="552"/>
      <c r="AN122" s="555"/>
      <c r="AO122" s="555"/>
    </row>
    <row r="123" spans="1:41" ht="54" customHeight="1">
      <c r="A123" s="1324">
        <v>102</v>
      </c>
      <c r="B123" s="1324">
        <v>25</v>
      </c>
      <c r="C123" s="552" t="str">
        <f>'Chấm công KT'!C118</f>
        <v xml:space="preserve">N. Bun </v>
      </c>
      <c r="D123" s="1338">
        <v>55</v>
      </c>
      <c r="E123" s="1338">
        <v>0</v>
      </c>
      <c r="F123" s="1338">
        <v>0</v>
      </c>
      <c r="G123" s="1338">
        <v>0</v>
      </c>
      <c r="H123" s="1338">
        <v>0</v>
      </c>
      <c r="I123" s="1338">
        <v>32</v>
      </c>
      <c r="J123" s="1338">
        <v>39</v>
      </c>
      <c r="K123" s="1338">
        <v>40</v>
      </c>
      <c r="L123" s="1338">
        <v>40</v>
      </c>
      <c r="M123" s="1338">
        <v>20</v>
      </c>
      <c r="N123" s="1338">
        <v>116</v>
      </c>
      <c r="O123" s="1338">
        <v>116</v>
      </c>
      <c r="P123" s="1338">
        <v>82</v>
      </c>
      <c r="Q123" s="1338">
        <v>62</v>
      </c>
      <c r="R123" s="1338">
        <v>82</v>
      </c>
      <c r="S123" s="1338">
        <v>141</v>
      </c>
      <c r="T123" s="1338">
        <v>66</v>
      </c>
      <c r="U123" s="1338">
        <v>83</v>
      </c>
      <c r="V123" s="1338">
        <v>77</v>
      </c>
      <c r="W123" s="1338">
        <v>124</v>
      </c>
      <c r="X123" s="1338">
        <v>71</v>
      </c>
      <c r="Y123" s="1338">
        <v>60</v>
      </c>
      <c r="Z123" s="1338">
        <v>139</v>
      </c>
      <c r="AA123" s="1338">
        <v>144</v>
      </c>
      <c r="AB123" s="1338">
        <v>0</v>
      </c>
      <c r="AC123" s="1338">
        <v>115</v>
      </c>
      <c r="AD123" s="1338">
        <v>94</v>
      </c>
      <c r="AE123" s="1338">
        <v>117</v>
      </c>
      <c r="AF123" s="1338">
        <v>42</v>
      </c>
      <c r="AG123" s="1338">
        <v>54</v>
      </c>
      <c r="AH123" s="1338">
        <v>95</v>
      </c>
      <c r="AI123" s="553">
        <f t="shared" si="7"/>
        <v>2106</v>
      </c>
      <c r="AJ123" s="1128">
        <v>50.78479295859173</v>
      </c>
      <c r="AK123" s="661">
        <f t="shared" si="8"/>
        <v>1069.5277397079417</v>
      </c>
      <c r="AL123" s="1128" t="s">
        <v>40</v>
      </c>
      <c r="AM123" s="552"/>
      <c r="AN123" s="555"/>
      <c r="AO123" s="555"/>
    </row>
    <row r="124" spans="1:41" ht="54" customHeight="1">
      <c r="A124" s="1324">
        <v>103</v>
      </c>
      <c r="B124" s="1324">
        <v>26</v>
      </c>
      <c r="C124" s="552" t="str">
        <f>'Chấm công KT'!C119</f>
        <v>N. Phu Văn</v>
      </c>
      <c r="D124" s="1338">
        <v>30</v>
      </c>
      <c r="E124" s="1338">
        <v>0</v>
      </c>
      <c r="F124" s="1338">
        <v>0</v>
      </c>
      <c r="G124" s="1338">
        <v>0</v>
      </c>
      <c r="H124" s="1338">
        <v>0</v>
      </c>
      <c r="I124" s="1338">
        <v>52</v>
      </c>
      <c r="J124" s="1338">
        <v>61</v>
      </c>
      <c r="K124" s="1338">
        <v>32</v>
      </c>
      <c r="L124" s="1338">
        <v>60</v>
      </c>
      <c r="M124" s="1338">
        <v>90</v>
      </c>
      <c r="N124" s="1338">
        <v>123</v>
      </c>
      <c r="O124" s="1338">
        <v>129</v>
      </c>
      <c r="P124" s="1338">
        <v>70</v>
      </c>
      <c r="Q124" s="1338">
        <v>118</v>
      </c>
      <c r="R124" s="1338">
        <v>62</v>
      </c>
      <c r="S124" s="1338">
        <v>97</v>
      </c>
      <c r="T124" s="1338">
        <v>68</v>
      </c>
      <c r="U124" s="1338">
        <v>80</v>
      </c>
      <c r="V124" s="1338">
        <v>104</v>
      </c>
      <c r="W124" s="1338">
        <v>114</v>
      </c>
      <c r="X124" s="1338">
        <v>72</v>
      </c>
      <c r="Y124" s="1338">
        <v>75</v>
      </c>
      <c r="Z124" s="1338">
        <v>103</v>
      </c>
      <c r="AA124" s="1338">
        <v>110</v>
      </c>
      <c r="AB124" s="1338">
        <v>71</v>
      </c>
      <c r="AC124" s="1338">
        <v>61</v>
      </c>
      <c r="AD124" s="1338">
        <v>103</v>
      </c>
      <c r="AE124" s="1338">
        <v>119</v>
      </c>
      <c r="AF124" s="1338">
        <v>64</v>
      </c>
      <c r="AG124" s="1338">
        <v>85</v>
      </c>
      <c r="AH124" s="1338">
        <v>101</v>
      </c>
      <c r="AI124" s="553">
        <f t="shared" si="7"/>
        <v>2254</v>
      </c>
      <c r="AJ124" s="1128">
        <v>50.78479295859173</v>
      </c>
      <c r="AK124" s="661">
        <f t="shared" si="8"/>
        <v>1144.6892332866576</v>
      </c>
      <c r="AL124" s="1128" t="s">
        <v>40</v>
      </c>
      <c r="AM124" s="552"/>
      <c r="AN124" s="555"/>
      <c r="AO124" s="555"/>
    </row>
    <row r="125" spans="1:41" ht="54" customHeight="1">
      <c r="A125" s="1324">
        <v>104</v>
      </c>
      <c r="B125" s="1324">
        <v>27</v>
      </c>
      <c r="C125" s="552" t="str">
        <f>'Chấm công KT'!C120</f>
        <v>N. Lỷ</v>
      </c>
      <c r="D125" s="1338">
        <v>0</v>
      </c>
      <c r="E125" s="1338">
        <v>0</v>
      </c>
      <c r="F125" s="1338">
        <v>0</v>
      </c>
      <c r="G125" s="1338">
        <v>0</v>
      </c>
      <c r="H125" s="1338">
        <v>0</v>
      </c>
      <c r="I125" s="1338">
        <v>0</v>
      </c>
      <c r="J125" s="1338">
        <v>0</v>
      </c>
      <c r="K125" s="1338">
        <v>0</v>
      </c>
      <c r="L125" s="1338">
        <v>0</v>
      </c>
      <c r="M125" s="1338">
        <v>0</v>
      </c>
      <c r="N125" s="1338">
        <v>0</v>
      </c>
      <c r="O125" s="1338">
        <v>0</v>
      </c>
      <c r="P125" s="1338">
        <v>0</v>
      </c>
      <c r="Q125" s="1338">
        <v>0</v>
      </c>
      <c r="R125" s="1338">
        <v>0</v>
      </c>
      <c r="S125" s="1338">
        <v>0</v>
      </c>
      <c r="T125" s="1338">
        <v>0</v>
      </c>
      <c r="U125" s="1338">
        <v>0</v>
      </c>
      <c r="V125" s="1338">
        <v>0</v>
      </c>
      <c r="W125" s="1338">
        <v>0</v>
      </c>
      <c r="X125" s="1338">
        <v>0</v>
      </c>
      <c r="Y125" s="1338">
        <v>0</v>
      </c>
      <c r="Z125" s="1338">
        <v>0</v>
      </c>
      <c r="AA125" s="1338">
        <v>0</v>
      </c>
      <c r="AB125" s="1338">
        <v>0</v>
      </c>
      <c r="AC125" s="1338">
        <v>30</v>
      </c>
      <c r="AD125" s="1338">
        <v>20</v>
      </c>
      <c r="AE125" s="1338">
        <v>57</v>
      </c>
      <c r="AF125" s="1338">
        <v>35</v>
      </c>
      <c r="AG125" s="1338">
        <v>25</v>
      </c>
      <c r="AH125" s="1338">
        <v>34</v>
      </c>
      <c r="AI125" s="553">
        <f t="shared" si="7"/>
        <v>201</v>
      </c>
      <c r="AJ125" s="1128">
        <v>50.78479295859173</v>
      </c>
      <c r="AK125" s="661">
        <f t="shared" si="8"/>
        <v>102.07743384676938</v>
      </c>
      <c r="AL125" s="1128" t="s">
        <v>40</v>
      </c>
      <c r="AM125" s="552"/>
      <c r="AN125" s="555"/>
      <c r="AO125" s="555"/>
    </row>
    <row r="126" spans="1:41" ht="54" customHeight="1">
      <c r="A126" s="1324">
        <v>105</v>
      </c>
      <c r="B126" s="1324">
        <v>28</v>
      </c>
      <c r="C126" s="552" t="str">
        <f>'Chấm công KT'!C121</f>
        <v>N. Quen</v>
      </c>
      <c r="D126" s="1338">
        <v>41</v>
      </c>
      <c r="E126" s="1338">
        <v>0</v>
      </c>
      <c r="F126" s="1338">
        <v>0</v>
      </c>
      <c r="G126" s="1338">
        <v>0</v>
      </c>
      <c r="H126" s="1338">
        <v>0</v>
      </c>
      <c r="I126" s="1338">
        <v>0</v>
      </c>
      <c r="J126" s="1338">
        <v>0</v>
      </c>
      <c r="K126" s="1338">
        <v>0</v>
      </c>
      <c r="L126" s="1338">
        <v>20</v>
      </c>
      <c r="M126" s="1338">
        <v>0</v>
      </c>
      <c r="N126" s="1338">
        <v>20</v>
      </c>
      <c r="O126" s="1338">
        <v>45</v>
      </c>
      <c r="P126" s="1338">
        <v>147</v>
      </c>
      <c r="Q126" s="1338">
        <v>100</v>
      </c>
      <c r="R126" s="1338">
        <v>0</v>
      </c>
      <c r="S126" s="1338">
        <v>115</v>
      </c>
      <c r="T126" s="1338">
        <v>111</v>
      </c>
      <c r="U126" s="1338">
        <v>86</v>
      </c>
      <c r="V126" s="1338">
        <v>103</v>
      </c>
      <c r="W126" s="1338">
        <v>93</v>
      </c>
      <c r="X126" s="1338">
        <v>106</v>
      </c>
      <c r="Y126" s="1338">
        <v>60</v>
      </c>
      <c r="Z126" s="1338">
        <v>86</v>
      </c>
      <c r="AA126" s="1338">
        <v>113</v>
      </c>
      <c r="AB126" s="1338">
        <v>88</v>
      </c>
      <c r="AC126" s="1338">
        <v>50</v>
      </c>
      <c r="AD126" s="1338">
        <v>75</v>
      </c>
      <c r="AE126" s="1338">
        <v>90</v>
      </c>
      <c r="AF126" s="1338">
        <v>96</v>
      </c>
      <c r="AG126" s="1338">
        <v>60</v>
      </c>
      <c r="AH126" s="1338">
        <v>90</v>
      </c>
      <c r="AI126" s="553">
        <f t="shared" si="7"/>
        <v>1795</v>
      </c>
      <c r="AJ126" s="1128">
        <v>50.78479295859173</v>
      </c>
      <c r="AK126" s="661">
        <f t="shared" si="8"/>
        <v>911.58703360672155</v>
      </c>
      <c r="AL126" s="1128" t="s">
        <v>40</v>
      </c>
      <c r="AM126" s="552"/>
      <c r="AN126" s="555"/>
      <c r="AO126" s="555"/>
    </row>
    <row r="127" spans="1:41" ht="54" customHeight="1">
      <c r="A127" s="1324">
        <v>106</v>
      </c>
      <c r="B127" s="1324">
        <v>29</v>
      </c>
      <c r="C127" s="552" t="str">
        <f>'Chấm công KT'!C122</f>
        <v>T. Xi Nuôn</v>
      </c>
      <c r="D127" s="1338">
        <v>73</v>
      </c>
      <c r="E127" s="1338">
        <v>0</v>
      </c>
      <c r="F127" s="1338">
        <v>0</v>
      </c>
      <c r="G127" s="1338">
        <v>0</v>
      </c>
      <c r="H127" s="1338">
        <v>0</v>
      </c>
      <c r="I127" s="1338">
        <v>38</v>
      </c>
      <c r="J127" s="1338">
        <v>82</v>
      </c>
      <c r="K127" s="1338">
        <v>0</v>
      </c>
      <c r="L127" s="1338">
        <v>82</v>
      </c>
      <c r="M127" s="1338">
        <v>0</v>
      </c>
      <c r="N127" s="1338">
        <v>88</v>
      </c>
      <c r="O127" s="1338">
        <v>130</v>
      </c>
      <c r="P127" s="1338">
        <v>93</v>
      </c>
      <c r="Q127" s="1338">
        <v>64</v>
      </c>
      <c r="R127" s="1338">
        <v>0</v>
      </c>
      <c r="S127" s="1338">
        <v>95</v>
      </c>
      <c r="T127" s="1338">
        <v>88</v>
      </c>
      <c r="U127" s="1338">
        <v>0</v>
      </c>
      <c r="V127" s="1338">
        <v>0</v>
      </c>
      <c r="W127" s="1338">
        <v>108</v>
      </c>
      <c r="X127" s="1338">
        <v>0</v>
      </c>
      <c r="Y127" s="1338">
        <v>0</v>
      </c>
      <c r="Z127" s="1338">
        <v>185</v>
      </c>
      <c r="AA127" s="1338">
        <v>0</v>
      </c>
      <c r="AB127" s="1338">
        <v>0</v>
      </c>
      <c r="AC127" s="1338">
        <v>0</v>
      </c>
      <c r="AD127" s="1338">
        <v>0</v>
      </c>
      <c r="AE127" s="1338">
        <v>0</v>
      </c>
      <c r="AF127" s="1338">
        <v>80</v>
      </c>
      <c r="AG127" s="1338">
        <v>0</v>
      </c>
      <c r="AH127" s="1338">
        <v>0</v>
      </c>
      <c r="AI127" s="553">
        <f t="shared" si="7"/>
        <v>1206</v>
      </c>
      <c r="AJ127" s="1128">
        <v>50.78479295859173</v>
      </c>
      <c r="AK127" s="661">
        <f t="shared" si="8"/>
        <v>612.46460308061626</v>
      </c>
      <c r="AL127" s="1128" t="s">
        <v>48</v>
      </c>
      <c r="AM127" s="552"/>
      <c r="AN127" s="555"/>
      <c r="AO127" s="555"/>
    </row>
    <row r="128" spans="1:41" ht="54" customHeight="1">
      <c r="A128" s="1324">
        <v>107</v>
      </c>
      <c r="B128" s="1324">
        <v>30</v>
      </c>
      <c r="C128" s="552" t="str">
        <f>'Chấm công KT'!C123</f>
        <v>N. Ốc</v>
      </c>
      <c r="D128" s="1338">
        <v>0</v>
      </c>
      <c r="E128" s="1338">
        <v>0</v>
      </c>
      <c r="F128" s="1338">
        <v>0</v>
      </c>
      <c r="G128" s="1338">
        <v>0</v>
      </c>
      <c r="H128" s="1338">
        <v>0</v>
      </c>
      <c r="I128" s="1338">
        <v>0</v>
      </c>
      <c r="J128" s="1338">
        <v>0</v>
      </c>
      <c r="K128" s="1338">
        <v>0</v>
      </c>
      <c r="L128" s="1338">
        <v>0</v>
      </c>
      <c r="M128" s="1338">
        <v>0</v>
      </c>
      <c r="N128" s="1338">
        <v>0</v>
      </c>
      <c r="O128" s="1338">
        <v>0</v>
      </c>
      <c r="P128" s="1338">
        <v>0</v>
      </c>
      <c r="Q128" s="1338">
        <v>0</v>
      </c>
      <c r="R128" s="1338">
        <v>0</v>
      </c>
      <c r="S128" s="1338">
        <v>0</v>
      </c>
      <c r="T128" s="1338">
        <v>0</v>
      </c>
      <c r="U128" s="1338">
        <v>0</v>
      </c>
      <c r="V128" s="1338">
        <v>0</v>
      </c>
      <c r="W128" s="1338">
        <v>0</v>
      </c>
      <c r="X128" s="1338">
        <v>0</v>
      </c>
      <c r="Y128" s="1338">
        <v>0</v>
      </c>
      <c r="Z128" s="1338">
        <v>0</v>
      </c>
      <c r="AA128" s="1338">
        <v>0</v>
      </c>
      <c r="AB128" s="1338">
        <v>0</v>
      </c>
      <c r="AC128" s="1338">
        <v>33</v>
      </c>
      <c r="AD128" s="1338">
        <v>24</v>
      </c>
      <c r="AE128" s="1338">
        <v>60</v>
      </c>
      <c r="AF128" s="1338">
        <v>40</v>
      </c>
      <c r="AG128" s="1338">
        <v>25</v>
      </c>
      <c r="AH128" s="1338">
        <v>35</v>
      </c>
      <c r="AI128" s="553">
        <f t="shared" si="7"/>
        <v>217</v>
      </c>
      <c r="AJ128" s="1128">
        <v>50.78479295859173</v>
      </c>
      <c r="AK128" s="661">
        <f t="shared" si="8"/>
        <v>110.20300072014405</v>
      </c>
      <c r="AL128" s="1128" t="s">
        <v>40</v>
      </c>
      <c r="AM128" s="552"/>
      <c r="AN128" s="555"/>
      <c r="AO128" s="555"/>
    </row>
    <row r="129" spans="1:41" ht="54" customHeight="1">
      <c r="A129" s="1324">
        <v>108</v>
      </c>
      <c r="B129" s="1324">
        <v>31</v>
      </c>
      <c r="C129" s="552" t="str">
        <f>'Chấm công KT'!C124</f>
        <v>T. Văn Nô</v>
      </c>
      <c r="D129" s="1338">
        <v>34</v>
      </c>
      <c r="E129" s="1338">
        <v>0</v>
      </c>
      <c r="F129" s="1338">
        <v>0</v>
      </c>
      <c r="G129" s="1338">
        <v>0</v>
      </c>
      <c r="H129" s="1338">
        <v>0</v>
      </c>
      <c r="I129" s="1338">
        <v>85</v>
      </c>
      <c r="J129" s="1338">
        <v>34</v>
      </c>
      <c r="K129" s="1338">
        <v>47</v>
      </c>
      <c r="L129" s="1338">
        <v>74</v>
      </c>
      <c r="M129" s="1338">
        <v>32</v>
      </c>
      <c r="N129" s="1338">
        <v>113</v>
      </c>
      <c r="O129" s="1338">
        <v>102</v>
      </c>
      <c r="P129" s="1338">
        <v>56</v>
      </c>
      <c r="Q129" s="1338">
        <v>136</v>
      </c>
      <c r="R129" s="1338">
        <v>85</v>
      </c>
      <c r="S129" s="1338">
        <v>106</v>
      </c>
      <c r="T129" s="1338">
        <v>86</v>
      </c>
      <c r="U129" s="1338">
        <v>103</v>
      </c>
      <c r="V129" s="1338">
        <v>121</v>
      </c>
      <c r="W129" s="1338">
        <v>142</v>
      </c>
      <c r="X129" s="1338">
        <v>81</v>
      </c>
      <c r="Y129" s="1338">
        <v>94</v>
      </c>
      <c r="Z129" s="1338">
        <v>93</v>
      </c>
      <c r="AA129" s="1338">
        <v>108</v>
      </c>
      <c r="AB129" s="1338">
        <v>52</v>
      </c>
      <c r="AC129" s="1338">
        <v>67</v>
      </c>
      <c r="AD129" s="1338">
        <v>88</v>
      </c>
      <c r="AE129" s="1338">
        <v>107</v>
      </c>
      <c r="AF129" s="1338">
        <v>71</v>
      </c>
      <c r="AG129" s="1338">
        <v>93</v>
      </c>
      <c r="AH129" s="1338">
        <v>76</v>
      </c>
      <c r="AI129" s="553">
        <f t="shared" si="7"/>
        <v>2286</v>
      </c>
      <c r="AJ129" s="1128">
        <v>50.78479295859173</v>
      </c>
      <c r="AK129" s="661">
        <f t="shared" si="8"/>
        <v>1160.940367033407</v>
      </c>
      <c r="AL129" s="1128" t="s">
        <v>40</v>
      </c>
      <c r="AM129" s="552"/>
      <c r="AN129" s="555"/>
      <c r="AO129" s="555"/>
    </row>
    <row r="130" spans="1:41" ht="54" customHeight="1">
      <c r="A130" s="1324">
        <v>109</v>
      </c>
      <c r="B130" s="1324">
        <v>32</v>
      </c>
      <c r="C130" s="552" t="str">
        <f>'Chấm công KT'!C125</f>
        <v>N. Văn Ta</v>
      </c>
      <c r="D130" s="1338">
        <v>0</v>
      </c>
      <c r="E130" s="1338">
        <v>0</v>
      </c>
      <c r="F130" s="1338">
        <v>0</v>
      </c>
      <c r="G130" s="1338">
        <v>0</v>
      </c>
      <c r="H130" s="1338">
        <v>0</v>
      </c>
      <c r="I130" s="1338">
        <v>0</v>
      </c>
      <c r="J130" s="1338">
        <v>0</v>
      </c>
      <c r="K130" s="1338">
        <v>0</v>
      </c>
      <c r="L130" s="1338">
        <v>0</v>
      </c>
      <c r="M130" s="1338">
        <v>0</v>
      </c>
      <c r="N130" s="1338">
        <v>112</v>
      </c>
      <c r="O130" s="1338">
        <v>55</v>
      </c>
      <c r="P130" s="1338">
        <v>36</v>
      </c>
      <c r="Q130" s="1338">
        <v>39</v>
      </c>
      <c r="R130" s="1338">
        <v>85</v>
      </c>
      <c r="S130" s="1338">
        <v>227</v>
      </c>
      <c r="T130" s="1338">
        <v>22</v>
      </c>
      <c r="U130" s="1338">
        <v>53</v>
      </c>
      <c r="V130" s="1338">
        <v>101</v>
      </c>
      <c r="W130" s="1338">
        <v>135</v>
      </c>
      <c r="X130" s="1338">
        <v>45</v>
      </c>
      <c r="Y130" s="1338">
        <v>35</v>
      </c>
      <c r="Z130" s="1338">
        <v>85</v>
      </c>
      <c r="AA130" s="1338">
        <v>140</v>
      </c>
      <c r="AB130" s="1338">
        <v>48</v>
      </c>
      <c r="AC130" s="1338">
        <v>40</v>
      </c>
      <c r="AD130" s="1338">
        <v>64</v>
      </c>
      <c r="AE130" s="1338">
        <v>161</v>
      </c>
      <c r="AF130" s="1338">
        <v>0</v>
      </c>
      <c r="AG130" s="1338">
        <v>44</v>
      </c>
      <c r="AH130" s="1338">
        <v>85</v>
      </c>
      <c r="AI130" s="553">
        <f t="shared" si="7"/>
        <v>1612</v>
      </c>
      <c r="AJ130" s="1128">
        <v>50.78479295859173</v>
      </c>
      <c r="AK130" s="661">
        <f t="shared" si="8"/>
        <v>818.65086249249873</v>
      </c>
      <c r="AL130" s="1128" t="s">
        <v>40</v>
      </c>
      <c r="AM130" s="552"/>
      <c r="AN130" s="555"/>
      <c r="AO130" s="555"/>
    </row>
    <row r="131" spans="1:41" ht="54" customHeight="1">
      <c r="A131" s="1324">
        <v>110</v>
      </c>
      <c r="B131" s="1324">
        <v>33</v>
      </c>
      <c r="C131" s="552" t="str">
        <f>'Chấm công KT'!C126</f>
        <v>T. Thon</v>
      </c>
      <c r="D131" s="1338">
        <v>0</v>
      </c>
      <c r="E131" s="1338">
        <v>0</v>
      </c>
      <c r="F131" s="1338">
        <v>0</v>
      </c>
      <c r="G131" s="1338">
        <v>0</v>
      </c>
      <c r="H131" s="1338">
        <v>0</v>
      </c>
      <c r="I131" s="1338">
        <v>0</v>
      </c>
      <c r="J131" s="1338">
        <v>105</v>
      </c>
      <c r="K131" s="1338">
        <v>0</v>
      </c>
      <c r="L131" s="1338">
        <v>130</v>
      </c>
      <c r="M131" s="1338">
        <v>43</v>
      </c>
      <c r="N131" s="1338">
        <v>0</v>
      </c>
      <c r="O131" s="1338">
        <v>125</v>
      </c>
      <c r="P131" s="1338">
        <v>75</v>
      </c>
      <c r="Q131" s="1338">
        <v>57</v>
      </c>
      <c r="R131" s="1338">
        <v>199</v>
      </c>
      <c r="S131" s="1338">
        <v>82</v>
      </c>
      <c r="T131" s="1338">
        <v>95</v>
      </c>
      <c r="U131" s="1338">
        <v>0</v>
      </c>
      <c r="V131" s="1338">
        <v>0</v>
      </c>
      <c r="W131" s="1338">
        <v>82</v>
      </c>
      <c r="X131" s="1338">
        <v>25</v>
      </c>
      <c r="Y131" s="1338">
        <v>0</v>
      </c>
      <c r="Z131" s="1338">
        <v>155</v>
      </c>
      <c r="AA131" s="1338">
        <v>98</v>
      </c>
      <c r="AB131" s="1338">
        <v>130</v>
      </c>
      <c r="AC131" s="1338">
        <v>53</v>
      </c>
      <c r="AD131" s="1338">
        <v>96</v>
      </c>
      <c r="AE131" s="1338">
        <v>95</v>
      </c>
      <c r="AF131" s="1338">
        <v>94</v>
      </c>
      <c r="AG131" s="1338">
        <v>58</v>
      </c>
      <c r="AH131" s="1338">
        <v>0</v>
      </c>
      <c r="AI131" s="553">
        <f t="shared" si="7"/>
        <v>1797</v>
      </c>
      <c r="AJ131" s="1128">
        <v>50.78479295859173</v>
      </c>
      <c r="AK131" s="661">
        <f t="shared" ref="AK131:AK160" si="9">AI131*AJ131/100</f>
        <v>912.60272946589339</v>
      </c>
      <c r="AL131" s="1128" t="s">
        <v>40</v>
      </c>
      <c r="AM131" s="552"/>
      <c r="AN131" s="555"/>
      <c r="AO131" s="555"/>
    </row>
    <row r="132" spans="1:41" ht="54" customHeight="1">
      <c r="A132" s="1324">
        <v>111</v>
      </c>
      <c r="B132" s="1324">
        <v>34</v>
      </c>
      <c r="C132" s="552" t="str">
        <f>'Chấm công KT'!C127</f>
        <v>Bun Thon</v>
      </c>
      <c r="D132" s="1338">
        <v>58</v>
      </c>
      <c r="E132" s="1338">
        <v>0</v>
      </c>
      <c r="F132" s="1338">
        <v>0</v>
      </c>
      <c r="G132" s="1338">
        <v>0</v>
      </c>
      <c r="H132" s="1338">
        <v>0</v>
      </c>
      <c r="I132" s="1338">
        <v>58</v>
      </c>
      <c r="J132" s="1338">
        <v>30</v>
      </c>
      <c r="K132" s="1338">
        <v>0</v>
      </c>
      <c r="L132" s="1338">
        <v>76</v>
      </c>
      <c r="M132" s="1338">
        <v>55</v>
      </c>
      <c r="N132" s="1338">
        <v>0</v>
      </c>
      <c r="O132" s="1338">
        <v>110</v>
      </c>
      <c r="P132" s="1338">
        <v>108</v>
      </c>
      <c r="Q132" s="1338">
        <v>60</v>
      </c>
      <c r="R132" s="1338">
        <v>0</v>
      </c>
      <c r="S132" s="1338">
        <v>104</v>
      </c>
      <c r="T132" s="1338">
        <v>80</v>
      </c>
      <c r="U132" s="1338">
        <v>41</v>
      </c>
      <c r="V132" s="1338">
        <v>117</v>
      </c>
      <c r="W132" s="1338">
        <v>90</v>
      </c>
      <c r="X132" s="1338">
        <v>91</v>
      </c>
      <c r="Y132" s="1338">
        <v>34</v>
      </c>
      <c r="Z132" s="1338">
        <v>0</v>
      </c>
      <c r="AA132" s="1338">
        <v>57</v>
      </c>
      <c r="AB132" s="1338">
        <v>88</v>
      </c>
      <c r="AC132" s="1338">
        <v>29</v>
      </c>
      <c r="AD132" s="1338">
        <v>156</v>
      </c>
      <c r="AE132" s="1338">
        <v>68</v>
      </c>
      <c r="AF132" s="1338">
        <v>61</v>
      </c>
      <c r="AG132" s="1338">
        <v>53</v>
      </c>
      <c r="AH132" s="1338">
        <v>99</v>
      </c>
      <c r="AI132" s="553">
        <f t="shared" si="7"/>
        <v>1723</v>
      </c>
      <c r="AJ132" s="1128">
        <v>50.78479295859173</v>
      </c>
      <c r="AK132" s="661">
        <f t="shared" si="9"/>
        <v>875.02198267653557</v>
      </c>
      <c r="AL132" s="1128" t="s">
        <v>40</v>
      </c>
      <c r="AM132" s="552"/>
      <c r="AN132" s="555"/>
      <c r="AO132" s="555"/>
    </row>
    <row r="133" spans="1:41" ht="54" customHeight="1">
      <c r="A133" s="1324">
        <v>112</v>
      </c>
      <c r="B133" s="1324">
        <v>35</v>
      </c>
      <c r="C133" s="552" t="str">
        <f>'Chấm công KT'!C128</f>
        <v>Lăm Thong</v>
      </c>
      <c r="D133" s="1338">
        <v>50</v>
      </c>
      <c r="E133" s="1338">
        <v>0</v>
      </c>
      <c r="F133" s="1338">
        <v>0</v>
      </c>
      <c r="G133" s="1338">
        <v>0</v>
      </c>
      <c r="H133" s="1338">
        <v>0</v>
      </c>
      <c r="I133" s="1338">
        <v>46</v>
      </c>
      <c r="J133" s="1338">
        <v>40</v>
      </c>
      <c r="K133" s="1338">
        <v>51</v>
      </c>
      <c r="L133" s="1338">
        <v>56</v>
      </c>
      <c r="M133" s="1338">
        <v>27</v>
      </c>
      <c r="N133" s="1338">
        <v>86</v>
      </c>
      <c r="O133" s="1338">
        <v>96</v>
      </c>
      <c r="P133" s="1338">
        <v>67</v>
      </c>
      <c r="Q133" s="1338">
        <v>90</v>
      </c>
      <c r="R133" s="1338">
        <v>80</v>
      </c>
      <c r="S133" s="1338">
        <v>96</v>
      </c>
      <c r="T133" s="1338">
        <v>84</v>
      </c>
      <c r="U133" s="1338">
        <v>66</v>
      </c>
      <c r="V133" s="1338">
        <v>70</v>
      </c>
      <c r="W133" s="1338">
        <v>76</v>
      </c>
      <c r="X133" s="1338">
        <v>77</v>
      </c>
      <c r="Y133" s="1338">
        <v>61</v>
      </c>
      <c r="Z133" s="1338">
        <v>62</v>
      </c>
      <c r="AA133" s="1338">
        <v>75</v>
      </c>
      <c r="AB133" s="1338">
        <v>71</v>
      </c>
      <c r="AC133" s="1338">
        <v>60</v>
      </c>
      <c r="AD133" s="1338">
        <v>53</v>
      </c>
      <c r="AE133" s="1338">
        <v>86</v>
      </c>
      <c r="AF133" s="1338">
        <v>77</v>
      </c>
      <c r="AG133" s="1338">
        <v>54</v>
      </c>
      <c r="AH133" s="1338">
        <v>57</v>
      </c>
      <c r="AI133" s="553">
        <f t="shared" si="7"/>
        <v>1814</v>
      </c>
      <c r="AJ133" s="1128">
        <v>50.78479295859173</v>
      </c>
      <c r="AK133" s="661">
        <f t="shared" si="9"/>
        <v>921.23614426885399</v>
      </c>
      <c r="AL133" s="1128" t="s">
        <v>40</v>
      </c>
      <c r="AM133" s="552"/>
      <c r="AN133" s="555"/>
      <c r="AO133" s="555"/>
    </row>
    <row r="134" spans="1:41" ht="54" customHeight="1">
      <c r="A134" s="1324">
        <v>113</v>
      </c>
      <c r="B134" s="1324">
        <v>36</v>
      </c>
      <c r="C134" s="552" t="str">
        <f>'Chấm công KT'!C129</f>
        <v>N. Xeo Khăm</v>
      </c>
      <c r="D134" s="1338">
        <v>0</v>
      </c>
      <c r="E134" s="1338">
        <v>0</v>
      </c>
      <c r="F134" s="1338">
        <v>0</v>
      </c>
      <c r="G134" s="1338">
        <v>0</v>
      </c>
      <c r="H134" s="1338">
        <v>0</v>
      </c>
      <c r="I134" s="1338">
        <v>0</v>
      </c>
      <c r="J134" s="1338">
        <v>0</v>
      </c>
      <c r="K134" s="1338">
        <v>0</v>
      </c>
      <c r="L134" s="1338">
        <v>0</v>
      </c>
      <c r="M134" s="1338">
        <v>0</v>
      </c>
      <c r="N134" s="1338">
        <v>0</v>
      </c>
      <c r="O134" s="1338">
        <v>0</v>
      </c>
      <c r="P134" s="1338">
        <v>88</v>
      </c>
      <c r="Q134" s="1338">
        <v>0</v>
      </c>
      <c r="R134" s="1338">
        <v>70</v>
      </c>
      <c r="S134" s="1338">
        <v>40</v>
      </c>
      <c r="T134" s="1338">
        <v>50</v>
      </c>
      <c r="U134" s="1338">
        <v>120</v>
      </c>
      <c r="V134" s="1338">
        <v>30</v>
      </c>
      <c r="W134" s="1338">
        <v>70</v>
      </c>
      <c r="X134" s="1338">
        <v>124</v>
      </c>
      <c r="Y134" s="1338">
        <v>59</v>
      </c>
      <c r="Z134" s="1338">
        <v>110</v>
      </c>
      <c r="AA134" s="1338">
        <v>60</v>
      </c>
      <c r="AB134" s="1338">
        <v>112</v>
      </c>
      <c r="AC134" s="1338">
        <v>40</v>
      </c>
      <c r="AD134" s="1338">
        <v>110</v>
      </c>
      <c r="AE134" s="1338">
        <v>81</v>
      </c>
      <c r="AF134" s="1338">
        <v>110</v>
      </c>
      <c r="AG134" s="1338">
        <v>40</v>
      </c>
      <c r="AH134" s="1338">
        <v>132</v>
      </c>
      <c r="AI134" s="553">
        <f t="shared" si="7"/>
        <v>1446</v>
      </c>
      <c r="AJ134" s="1128">
        <v>50.78479295859173</v>
      </c>
      <c r="AK134" s="661">
        <f t="shared" si="9"/>
        <v>734.3481061812364</v>
      </c>
      <c r="AL134" s="1128" t="s">
        <v>40</v>
      </c>
      <c r="AM134" s="552"/>
      <c r="AN134" s="555"/>
      <c r="AO134" s="555"/>
    </row>
    <row r="135" spans="1:41" ht="54" customHeight="1">
      <c r="A135" s="1324">
        <v>114</v>
      </c>
      <c r="B135" s="1324">
        <v>37</v>
      </c>
      <c r="C135" s="552" t="str">
        <f>'Chấm công KT'!C130</f>
        <v>T. Khăm...</v>
      </c>
      <c r="D135" s="1338">
        <v>96</v>
      </c>
      <c r="E135" s="1338">
        <v>0</v>
      </c>
      <c r="F135" s="1338">
        <v>0</v>
      </c>
      <c r="G135" s="1338">
        <v>0</v>
      </c>
      <c r="H135" s="1338">
        <v>0</v>
      </c>
      <c r="I135" s="1338">
        <v>45</v>
      </c>
      <c r="J135" s="1338">
        <v>71</v>
      </c>
      <c r="K135" s="1338">
        <v>0</v>
      </c>
      <c r="L135" s="1338">
        <v>155</v>
      </c>
      <c r="M135" s="1338">
        <v>38</v>
      </c>
      <c r="N135" s="1338">
        <v>105</v>
      </c>
      <c r="O135" s="1338">
        <v>95</v>
      </c>
      <c r="P135" s="1338">
        <v>136</v>
      </c>
      <c r="Q135" s="1338">
        <v>99</v>
      </c>
      <c r="R135" s="1338">
        <v>0</v>
      </c>
      <c r="S135" s="1338">
        <v>108</v>
      </c>
      <c r="T135" s="1338">
        <v>154</v>
      </c>
      <c r="U135" s="1338">
        <v>52</v>
      </c>
      <c r="V135" s="1338">
        <v>157</v>
      </c>
      <c r="W135" s="1338">
        <v>87</v>
      </c>
      <c r="X135" s="1338">
        <v>168</v>
      </c>
      <c r="Y135" s="1338">
        <v>0</v>
      </c>
      <c r="Z135" s="1338">
        <v>68</v>
      </c>
      <c r="AA135" s="1338">
        <v>75</v>
      </c>
      <c r="AB135" s="1338">
        <v>170</v>
      </c>
      <c r="AC135" s="1338">
        <v>0</v>
      </c>
      <c r="AD135" s="1338">
        <v>93</v>
      </c>
      <c r="AE135" s="1338">
        <v>66</v>
      </c>
      <c r="AF135" s="1338">
        <v>156</v>
      </c>
      <c r="AG135" s="1338">
        <v>95</v>
      </c>
      <c r="AH135" s="1338">
        <v>0</v>
      </c>
      <c r="AI135" s="553">
        <f t="shared" si="7"/>
        <v>2289</v>
      </c>
      <c r="AJ135" s="1128">
        <v>50.78479295859173</v>
      </c>
      <c r="AK135" s="661">
        <f t="shared" si="9"/>
        <v>1162.4639108221647</v>
      </c>
      <c r="AL135" s="1128" t="s">
        <v>40</v>
      </c>
      <c r="AM135" s="552"/>
      <c r="AN135" s="555"/>
      <c r="AO135" s="555"/>
    </row>
    <row r="136" spans="1:41" ht="54" customHeight="1">
      <c r="A136" s="1324">
        <v>115</v>
      </c>
      <c r="B136" s="1324">
        <v>38</v>
      </c>
      <c r="C136" s="552" t="str">
        <f>'Chấm công KT'!C131</f>
        <v>N. Túc</v>
      </c>
      <c r="D136" s="1338">
        <v>117</v>
      </c>
      <c r="E136" s="1338">
        <v>0</v>
      </c>
      <c r="F136" s="1338">
        <v>0</v>
      </c>
      <c r="G136" s="1338">
        <v>0</v>
      </c>
      <c r="H136" s="1338">
        <v>0</v>
      </c>
      <c r="I136" s="1338">
        <v>45</v>
      </c>
      <c r="J136" s="1338">
        <v>0</v>
      </c>
      <c r="K136" s="1338">
        <v>76</v>
      </c>
      <c r="L136" s="1338">
        <v>96</v>
      </c>
      <c r="M136" s="1338">
        <v>41</v>
      </c>
      <c r="N136" s="1338">
        <v>161</v>
      </c>
      <c r="O136" s="1338">
        <v>112</v>
      </c>
      <c r="P136" s="1338">
        <v>86</v>
      </c>
      <c r="Q136" s="1338">
        <v>52</v>
      </c>
      <c r="R136" s="1338">
        <v>129</v>
      </c>
      <c r="S136" s="1338">
        <v>134</v>
      </c>
      <c r="T136" s="1338">
        <v>97</v>
      </c>
      <c r="U136" s="1338">
        <v>69</v>
      </c>
      <c r="V136" s="1338">
        <v>138</v>
      </c>
      <c r="W136" s="1338">
        <v>106</v>
      </c>
      <c r="X136" s="1338">
        <v>96</v>
      </c>
      <c r="Y136" s="1338">
        <v>45</v>
      </c>
      <c r="Z136" s="1338">
        <v>105</v>
      </c>
      <c r="AA136" s="1338">
        <v>131</v>
      </c>
      <c r="AB136" s="1338">
        <v>89</v>
      </c>
      <c r="AC136" s="1338">
        <v>51</v>
      </c>
      <c r="AD136" s="1338">
        <v>96</v>
      </c>
      <c r="AE136" s="1338">
        <v>0</v>
      </c>
      <c r="AF136" s="1338">
        <v>103</v>
      </c>
      <c r="AG136" s="1338">
        <v>55</v>
      </c>
      <c r="AH136" s="1338">
        <v>109</v>
      </c>
      <c r="AI136" s="553">
        <f t="shared" si="7"/>
        <v>2339</v>
      </c>
      <c r="AJ136" s="1128">
        <v>50.78479295859173</v>
      </c>
      <c r="AK136" s="661">
        <f t="shared" si="9"/>
        <v>1187.8563073014607</v>
      </c>
      <c r="AL136" s="1128" t="s">
        <v>40</v>
      </c>
      <c r="AM136" s="552"/>
      <c r="AN136" s="555"/>
      <c r="AO136" s="555"/>
    </row>
    <row r="137" spans="1:41" ht="54" customHeight="1">
      <c r="A137" s="1324">
        <v>116</v>
      </c>
      <c r="B137" s="1324">
        <v>39</v>
      </c>
      <c r="C137" s="552" t="str">
        <f>'Chấm công KT'!C132</f>
        <v>N. Pheng</v>
      </c>
      <c r="D137" s="1338">
        <v>53</v>
      </c>
      <c r="E137" s="1338">
        <v>0</v>
      </c>
      <c r="F137" s="1338">
        <v>0</v>
      </c>
      <c r="G137" s="1338">
        <v>0</v>
      </c>
      <c r="H137" s="1338">
        <v>0</v>
      </c>
      <c r="I137" s="1338">
        <v>30</v>
      </c>
      <c r="J137" s="1338">
        <v>34</v>
      </c>
      <c r="K137" s="1338">
        <v>40</v>
      </c>
      <c r="L137" s="1338">
        <v>115</v>
      </c>
      <c r="M137" s="1338">
        <v>40</v>
      </c>
      <c r="N137" s="1338">
        <v>54</v>
      </c>
      <c r="O137" s="1338">
        <v>107</v>
      </c>
      <c r="P137" s="1338">
        <v>116</v>
      </c>
      <c r="Q137" s="1338">
        <v>98</v>
      </c>
      <c r="R137" s="1338">
        <v>81</v>
      </c>
      <c r="S137" s="1338">
        <v>112</v>
      </c>
      <c r="T137" s="1338">
        <v>0</v>
      </c>
      <c r="U137" s="1338">
        <v>87</v>
      </c>
      <c r="V137" s="1338">
        <v>88</v>
      </c>
      <c r="W137" s="1338">
        <v>115</v>
      </c>
      <c r="X137" s="1338">
        <v>146</v>
      </c>
      <c r="Y137" s="1338">
        <v>64</v>
      </c>
      <c r="Z137" s="1338">
        <v>69</v>
      </c>
      <c r="AA137" s="1338">
        <v>112</v>
      </c>
      <c r="AB137" s="1338">
        <v>121</v>
      </c>
      <c r="AC137" s="1338">
        <v>60</v>
      </c>
      <c r="AD137" s="1338">
        <v>64</v>
      </c>
      <c r="AE137" s="1338">
        <v>130</v>
      </c>
      <c r="AF137" s="1338">
        <v>106</v>
      </c>
      <c r="AG137" s="1338">
        <v>66</v>
      </c>
      <c r="AH137" s="1338">
        <v>90</v>
      </c>
      <c r="AI137" s="553">
        <f t="shared" si="7"/>
        <v>2198</v>
      </c>
      <c r="AJ137" s="1128">
        <v>50.78479295859173</v>
      </c>
      <c r="AK137" s="661">
        <f t="shared" si="9"/>
        <v>1116.2497492298462</v>
      </c>
      <c r="AL137" s="1128" t="s">
        <v>40</v>
      </c>
      <c r="AM137" s="552"/>
      <c r="AN137" s="555"/>
      <c r="AO137" s="555"/>
    </row>
    <row r="138" spans="1:41" ht="54" customHeight="1">
      <c r="A138" s="1324">
        <v>117</v>
      </c>
      <c r="B138" s="1324">
        <v>40</v>
      </c>
      <c r="C138" s="552" t="str">
        <f>'Chấm công KT'!C133</f>
        <v>N. Mom</v>
      </c>
      <c r="D138" s="1338">
        <v>34</v>
      </c>
      <c r="E138" s="1338">
        <v>0</v>
      </c>
      <c r="F138" s="1338">
        <v>0</v>
      </c>
      <c r="G138" s="1338">
        <v>0</v>
      </c>
      <c r="H138" s="1338">
        <v>0</v>
      </c>
      <c r="I138" s="1338">
        <v>52</v>
      </c>
      <c r="J138" s="1338">
        <v>41</v>
      </c>
      <c r="K138" s="1338">
        <v>82</v>
      </c>
      <c r="L138" s="1338">
        <v>76</v>
      </c>
      <c r="M138" s="1338">
        <v>43</v>
      </c>
      <c r="N138" s="1338">
        <v>81</v>
      </c>
      <c r="O138" s="1338">
        <v>116</v>
      </c>
      <c r="P138" s="1338">
        <v>94</v>
      </c>
      <c r="Q138" s="1338">
        <v>102</v>
      </c>
      <c r="R138" s="1338">
        <v>91</v>
      </c>
      <c r="S138" s="1338">
        <v>133</v>
      </c>
      <c r="T138" s="1338">
        <v>85</v>
      </c>
      <c r="U138" s="1338">
        <v>82</v>
      </c>
      <c r="V138" s="1338">
        <v>106</v>
      </c>
      <c r="W138" s="1338">
        <v>147</v>
      </c>
      <c r="X138" s="1338">
        <v>87</v>
      </c>
      <c r="Y138" s="1338">
        <v>92</v>
      </c>
      <c r="Z138" s="1338">
        <v>82</v>
      </c>
      <c r="AA138" s="1338">
        <v>118</v>
      </c>
      <c r="AB138" s="1338">
        <v>95</v>
      </c>
      <c r="AC138" s="1338">
        <v>88</v>
      </c>
      <c r="AD138" s="1338">
        <v>63</v>
      </c>
      <c r="AE138" s="1338">
        <v>141</v>
      </c>
      <c r="AF138" s="1338">
        <v>78</v>
      </c>
      <c r="AG138" s="1338">
        <v>53</v>
      </c>
      <c r="AH138" s="1338">
        <v>86</v>
      </c>
      <c r="AI138" s="553">
        <f t="shared" si="7"/>
        <v>2348</v>
      </c>
      <c r="AJ138" s="1128">
        <v>50.78479295859173</v>
      </c>
      <c r="AK138" s="661">
        <f t="shared" si="9"/>
        <v>1192.4269386677338</v>
      </c>
      <c r="AL138" s="1128" t="s">
        <v>40</v>
      </c>
      <c r="AM138" s="552"/>
      <c r="AN138" s="555"/>
      <c r="AO138" s="555"/>
    </row>
    <row r="139" spans="1:41" ht="54" customHeight="1">
      <c r="A139" s="1324">
        <v>118</v>
      </c>
      <c r="B139" s="1324">
        <v>41</v>
      </c>
      <c r="C139" s="552" t="str">
        <f>'Chấm công KT'!C134</f>
        <v>T. Môn</v>
      </c>
      <c r="D139" s="1338">
        <v>19</v>
      </c>
      <c r="E139" s="1338">
        <v>0</v>
      </c>
      <c r="F139" s="1338">
        <v>0</v>
      </c>
      <c r="G139" s="1338">
        <v>0</v>
      </c>
      <c r="H139" s="1338">
        <v>0</v>
      </c>
      <c r="I139" s="1338">
        <v>37</v>
      </c>
      <c r="J139" s="1338">
        <v>33</v>
      </c>
      <c r="K139" s="1338">
        <v>24</v>
      </c>
      <c r="L139" s="1338">
        <v>23</v>
      </c>
      <c r="M139" s="1338">
        <v>42</v>
      </c>
      <c r="N139" s="1338">
        <v>76</v>
      </c>
      <c r="O139" s="1338">
        <v>48</v>
      </c>
      <c r="P139" s="1338">
        <v>42</v>
      </c>
      <c r="Q139" s="1338">
        <v>42</v>
      </c>
      <c r="R139" s="1338">
        <v>65</v>
      </c>
      <c r="S139" s="1338">
        <v>60</v>
      </c>
      <c r="T139" s="1338">
        <v>51</v>
      </c>
      <c r="U139" s="1338">
        <v>60</v>
      </c>
      <c r="V139" s="1338">
        <v>92</v>
      </c>
      <c r="W139" s="1338">
        <v>60</v>
      </c>
      <c r="X139" s="1338">
        <v>50</v>
      </c>
      <c r="Y139" s="1338">
        <v>35</v>
      </c>
      <c r="Z139" s="1338">
        <v>91</v>
      </c>
      <c r="AA139" s="1338">
        <v>53</v>
      </c>
      <c r="AB139" s="1338">
        <v>43</v>
      </c>
      <c r="AC139" s="1338">
        <v>33</v>
      </c>
      <c r="AD139" s="1338">
        <v>74</v>
      </c>
      <c r="AE139" s="1338">
        <v>52</v>
      </c>
      <c r="AF139" s="1338">
        <v>47</v>
      </c>
      <c r="AG139" s="1338">
        <v>36</v>
      </c>
      <c r="AH139" s="1338">
        <v>82</v>
      </c>
      <c r="AI139" s="553">
        <f t="shared" si="7"/>
        <v>1370</v>
      </c>
      <c r="AJ139" s="1128">
        <v>50.78479295859173</v>
      </c>
      <c r="AK139" s="661">
        <f t="shared" si="9"/>
        <v>695.75166353270674</v>
      </c>
      <c r="AL139" s="1128" t="s">
        <v>48</v>
      </c>
      <c r="AM139" s="552"/>
      <c r="AN139" s="555"/>
      <c r="AO139" s="555"/>
    </row>
    <row r="140" spans="1:41" ht="54" customHeight="1">
      <c r="A140" s="1324">
        <v>119</v>
      </c>
      <c r="B140" s="1324">
        <v>42</v>
      </c>
      <c r="C140" s="552" t="str">
        <f>'Chấm công KT'!C135</f>
        <v>Khăn Hạ</v>
      </c>
      <c r="D140" s="1338">
        <v>0</v>
      </c>
      <c r="E140" s="1338">
        <v>0</v>
      </c>
      <c r="F140" s="1338">
        <v>0</v>
      </c>
      <c r="G140" s="1338">
        <v>0</v>
      </c>
      <c r="H140" s="1338">
        <v>0</v>
      </c>
      <c r="I140" s="1338">
        <v>44</v>
      </c>
      <c r="J140" s="1338">
        <v>44</v>
      </c>
      <c r="K140" s="1338">
        <v>28</v>
      </c>
      <c r="L140" s="1338">
        <v>26</v>
      </c>
      <c r="M140" s="1338">
        <v>20</v>
      </c>
      <c r="N140" s="1338">
        <v>48</v>
      </c>
      <c r="O140" s="1338">
        <v>65</v>
      </c>
      <c r="P140" s="1338">
        <v>13</v>
      </c>
      <c r="Q140" s="1338">
        <v>56</v>
      </c>
      <c r="R140" s="1338">
        <v>0</v>
      </c>
      <c r="S140" s="1338">
        <v>85</v>
      </c>
      <c r="T140" s="1338">
        <v>53</v>
      </c>
      <c r="U140" s="1338">
        <v>57</v>
      </c>
      <c r="V140" s="1338">
        <v>90</v>
      </c>
      <c r="W140" s="1338">
        <v>68</v>
      </c>
      <c r="X140" s="1338">
        <v>25</v>
      </c>
      <c r="Y140" s="1338">
        <v>57</v>
      </c>
      <c r="Z140" s="1338">
        <v>55</v>
      </c>
      <c r="AA140" s="1338">
        <v>64</v>
      </c>
      <c r="AB140" s="1338">
        <v>24</v>
      </c>
      <c r="AC140" s="1338">
        <v>47</v>
      </c>
      <c r="AD140" s="1338">
        <v>52</v>
      </c>
      <c r="AE140" s="1338">
        <v>0</v>
      </c>
      <c r="AF140" s="1338">
        <v>12</v>
      </c>
      <c r="AG140" s="1338">
        <v>53</v>
      </c>
      <c r="AH140" s="1338">
        <v>36</v>
      </c>
      <c r="AI140" s="553">
        <f t="shared" si="7"/>
        <v>1122</v>
      </c>
      <c r="AJ140" s="1128">
        <v>50.78479295859173</v>
      </c>
      <c r="AK140" s="661">
        <f t="shared" si="9"/>
        <v>569.80537699539923</v>
      </c>
      <c r="AL140" s="1128" t="s">
        <v>48</v>
      </c>
      <c r="AM140" s="552"/>
      <c r="AN140" s="555"/>
      <c r="AO140" s="555"/>
    </row>
    <row r="141" spans="1:41" ht="54" customHeight="1">
      <c r="A141" s="1324">
        <v>120</v>
      </c>
      <c r="B141" s="1324">
        <v>43</v>
      </c>
      <c r="C141" s="552" t="str">
        <f>'Chấm công KT'!C136</f>
        <v>T. Chăn La .</v>
      </c>
      <c r="D141" s="1338">
        <v>40</v>
      </c>
      <c r="E141" s="1338">
        <v>0</v>
      </c>
      <c r="F141" s="1338">
        <v>0</v>
      </c>
      <c r="G141" s="1338">
        <v>0</v>
      </c>
      <c r="H141" s="1338">
        <v>0</v>
      </c>
      <c r="I141" s="1338">
        <v>17</v>
      </c>
      <c r="J141" s="1338">
        <v>0</v>
      </c>
      <c r="K141" s="1338">
        <v>46</v>
      </c>
      <c r="L141" s="1338">
        <v>54</v>
      </c>
      <c r="M141" s="1338">
        <v>10</v>
      </c>
      <c r="N141" s="1338">
        <v>0</v>
      </c>
      <c r="O141" s="1338">
        <v>54</v>
      </c>
      <c r="P141" s="1338">
        <v>65</v>
      </c>
      <c r="Q141" s="1338">
        <v>45</v>
      </c>
      <c r="R141" s="1338">
        <v>164</v>
      </c>
      <c r="S141" s="1338">
        <v>61</v>
      </c>
      <c r="T141" s="1338">
        <v>101</v>
      </c>
      <c r="U141" s="1338">
        <v>57</v>
      </c>
      <c r="V141" s="1338">
        <v>99</v>
      </c>
      <c r="W141" s="1338">
        <v>99</v>
      </c>
      <c r="X141" s="1338">
        <v>41</v>
      </c>
      <c r="Y141" s="1338">
        <v>30</v>
      </c>
      <c r="Z141" s="1338">
        <v>65</v>
      </c>
      <c r="AA141" s="1338">
        <v>88</v>
      </c>
      <c r="AB141" s="1338">
        <v>48</v>
      </c>
      <c r="AC141" s="1338">
        <v>30</v>
      </c>
      <c r="AD141" s="1338">
        <v>63</v>
      </c>
      <c r="AE141" s="1338">
        <v>0</v>
      </c>
      <c r="AF141" s="1338">
        <v>47</v>
      </c>
      <c r="AG141" s="1338">
        <v>35</v>
      </c>
      <c r="AH141" s="1338">
        <v>62</v>
      </c>
      <c r="AI141" s="553">
        <f t="shared" si="7"/>
        <v>1421</v>
      </c>
      <c r="AJ141" s="1128">
        <v>50.78479295859173</v>
      </c>
      <c r="AK141" s="661">
        <f t="shared" si="9"/>
        <v>721.65190794158843</v>
      </c>
      <c r="AL141" s="1128" t="s">
        <v>48</v>
      </c>
      <c r="AM141" s="552"/>
      <c r="AN141" s="555"/>
      <c r="AO141" s="555"/>
    </row>
    <row r="142" spans="1:41" ht="54" customHeight="1">
      <c r="A142" s="1324">
        <v>121</v>
      </c>
      <c r="B142" s="1324">
        <v>44</v>
      </c>
      <c r="C142" s="552" t="str">
        <f>'Chấm công KT'!C137</f>
        <v>T. Nú</v>
      </c>
      <c r="D142" s="1338">
        <v>0</v>
      </c>
      <c r="E142" s="1338">
        <v>0</v>
      </c>
      <c r="F142" s="1338">
        <v>0</v>
      </c>
      <c r="G142" s="1338">
        <v>0</v>
      </c>
      <c r="H142" s="1338">
        <v>0</v>
      </c>
      <c r="I142" s="1338">
        <v>34</v>
      </c>
      <c r="J142" s="1338">
        <v>29</v>
      </c>
      <c r="K142" s="1338">
        <v>20</v>
      </c>
      <c r="L142" s="1338">
        <v>30</v>
      </c>
      <c r="M142" s="1338">
        <v>19</v>
      </c>
      <c r="N142" s="1338">
        <v>50</v>
      </c>
      <c r="O142" s="1338">
        <v>93</v>
      </c>
      <c r="P142" s="1338">
        <v>20</v>
      </c>
      <c r="Q142" s="1338">
        <v>85</v>
      </c>
      <c r="R142" s="1338">
        <v>0</v>
      </c>
      <c r="S142" s="1338">
        <v>56</v>
      </c>
      <c r="T142" s="1338">
        <v>43</v>
      </c>
      <c r="U142" s="1338">
        <v>54</v>
      </c>
      <c r="V142" s="1338">
        <v>90</v>
      </c>
      <c r="W142" s="1338">
        <v>69</v>
      </c>
      <c r="X142" s="1338">
        <v>26</v>
      </c>
      <c r="Y142" s="1338">
        <v>47</v>
      </c>
      <c r="Z142" s="1338">
        <v>50</v>
      </c>
      <c r="AA142" s="1338">
        <v>84</v>
      </c>
      <c r="AB142" s="1338">
        <v>20</v>
      </c>
      <c r="AC142" s="1338">
        <v>42</v>
      </c>
      <c r="AD142" s="1338">
        <v>29</v>
      </c>
      <c r="AE142" s="1338">
        <v>0</v>
      </c>
      <c r="AF142" s="1338">
        <v>20</v>
      </c>
      <c r="AG142" s="1338">
        <v>45</v>
      </c>
      <c r="AH142" s="1338">
        <v>36</v>
      </c>
      <c r="AI142" s="553">
        <f t="shared" si="7"/>
        <v>1091</v>
      </c>
      <c r="AJ142" s="1128">
        <v>50.78479295859173</v>
      </c>
      <c r="AK142" s="661">
        <f t="shared" si="9"/>
        <v>554.06209117823573</v>
      </c>
      <c r="AL142" s="1128" t="s">
        <v>48</v>
      </c>
      <c r="AM142" s="552"/>
      <c r="AN142" s="555"/>
      <c r="AO142" s="555"/>
    </row>
    <row r="143" spans="1:41" ht="54" customHeight="1">
      <c r="A143" s="1324">
        <v>122</v>
      </c>
      <c r="B143" s="1324">
        <v>45</v>
      </c>
      <c r="C143" s="552" t="str">
        <f>'Chấm công KT'!C138</f>
        <v>T. Xan Nha</v>
      </c>
      <c r="D143" s="1338">
        <v>41</v>
      </c>
      <c r="E143" s="1338">
        <v>0</v>
      </c>
      <c r="F143" s="1338">
        <v>0</v>
      </c>
      <c r="G143" s="1338">
        <v>0</v>
      </c>
      <c r="H143" s="1338">
        <v>0</v>
      </c>
      <c r="I143" s="1338">
        <v>20</v>
      </c>
      <c r="J143" s="1338">
        <v>0</v>
      </c>
      <c r="K143" s="1338">
        <v>42</v>
      </c>
      <c r="L143" s="1338">
        <v>45</v>
      </c>
      <c r="M143" s="1338">
        <v>10</v>
      </c>
      <c r="N143" s="1338">
        <v>0</v>
      </c>
      <c r="O143" s="1338">
        <v>107</v>
      </c>
      <c r="P143" s="1338">
        <v>55</v>
      </c>
      <c r="Q143" s="1338">
        <v>53</v>
      </c>
      <c r="R143" s="1338">
        <v>176</v>
      </c>
      <c r="S143" s="1338">
        <v>58</v>
      </c>
      <c r="T143" s="1338">
        <v>90</v>
      </c>
      <c r="U143" s="1338">
        <v>48</v>
      </c>
      <c r="V143" s="1338">
        <v>98</v>
      </c>
      <c r="W143" s="1338">
        <v>104</v>
      </c>
      <c r="X143" s="1338">
        <v>71</v>
      </c>
      <c r="Y143" s="1338">
        <v>37</v>
      </c>
      <c r="Z143" s="1338">
        <v>50</v>
      </c>
      <c r="AA143" s="1338">
        <v>78</v>
      </c>
      <c r="AB143" s="1338">
        <v>26</v>
      </c>
      <c r="AC143" s="1338">
        <v>37</v>
      </c>
      <c r="AD143" s="1338">
        <v>67</v>
      </c>
      <c r="AE143" s="1338">
        <v>0</v>
      </c>
      <c r="AF143" s="1338">
        <v>32</v>
      </c>
      <c r="AG143" s="1338">
        <v>30</v>
      </c>
      <c r="AH143" s="1338">
        <v>63</v>
      </c>
      <c r="AI143" s="553">
        <f t="shared" si="7"/>
        <v>1438</v>
      </c>
      <c r="AJ143" s="1128">
        <v>50.78479295859173</v>
      </c>
      <c r="AK143" s="661">
        <f t="shared" si="9"/>
        <v>730.28532274454903</v>
      </c>
      <c r="AL143" s="1128" t="s">
        <v>40</v>
      </c>
      <c r="AM143" s="552"/>
      <c r="AN143" s="555"/>
      <c r="AO143" s="555"/>
    </row>
    <row r="144" spans="1:41" ht="54" customHeight="1">
      <c r="A144" s="1324">
        <v>123</v>
      </c>
      <c r="B144" s="1324">
        <v>46</v>
      </c>
      <c r="C144" s="552" t="str">
        <f>'Chấm công KT'!C139</f>
        <v>T. A lem</v>
      </c>
      <c r="D144" s="1338">
        <v>60</v>
      </c>
      <c r="E144" s="1338">
        <v>0</v>
      </c>
      <c r="F144" s="1338">
        <v>0</v>
      </c>
      <c r="G144" s="1338">
        <v>0</v>
      </c>
      <c r="H144" s="1338">
        <v>0</v>
      </c>
      <c r="I144" s="1338">
        <v>14</v>
      </c>
      <c r="J144" s="1338">
        <v>21</v>
      </c>
      <c r="K144" s="1338">
        <v>15</v>
      </c>
      <c r="L144" s="1338">
        <v>47</v>
      </c>
      <c r="M144" s="1338">
        <v>0</v>
      </c>
      <c r="N144" s="1338">
        <v>97</v>
      </c>
      <c r="O144" s="1338">
        <v>57</v>
      </c>
      <c r="P144" s="1338">
        <v>0</v>
      </c>
      <c r="Q144" s="1338">
        <v>103</v>
      </c>
      <c r="R144" s="1338">
        <v>54</v>
      </c>
      <c r="S144" s="1338">
        <v>61</v>
      </c>
      <c r="T144" s="1338">
        <v>150</v>
      </c>
      <c r="U144" s="1338">
        <v>50</v>
      </c>
      <c r="V144" s="1338">
        <v>0</v>
      </c>
      <c r="W144" s="1338">
        <v>126</v>
      </c>
      <c r="X144" s="1338">
        <v>82</v>
      </c>
      <c r="Y144" s="1338">
        <v>48</v>
      </c>
      <c r="Z144" s="1338">
        <v>136</v>
      </c>
      <c r="AA144" s="1338">
        <v>121</v>
      </c>
      <c r="AB144" s="1338">
        <v>62</v>
      </c>
      <c r="AC144" s="1338">
        <v>52</v>
      </c>
      <c r="AD144" s="1338">
        <v>70</v>
      </c>
      <c r="AE144" s="1338">
        <v>112</v>
      </c>
      <c r="AF144" s="1338">
        <v>54</v>
      </c>
      <c r="AG144" s="1338">
        <v>40</v>
      </c>
      <c r="AH144" s="1338">
        <v>63</v>
      </c>
      <c r="AI144" s="553">
        <f t="shared" si="7"/>
        <v>1695</v>
      </c>
      <c r="AJ144" s="1128">
        <v>50.78479295859173</v>
      </c>
      <c r="AK144" s="661">
        <f t="shared" si="9"/>
        <v>860.80224064812978</v>
      </c>
      <c r="AL144" s="1128" t="s">
        <v>48</v>
      </c>
      <c r="AM144" s="552"/>
      <c r="AN144" s="555"/>
      <c r="AO144" s="555"/>
    </row>
    <row r="145" spans="1:41" ht="54" customHeight="1">
      <c r="A145" s="1324">
        <v>124</v>
      </c>
      <c r="B145" s="1324">
        <v>47</v>
      </c>
      <c r="C145" s="552" t="str">
        <f>'Chấm công KT'!C140</f>
        <v>T. Phan</v>
      </c>
      <c r="D145" s="1338">
        <v>51</v>
      </c>
      <c r="E145" s="1338">
        <v>0</v>
      </c>
      <c r="F145" s="1338">
        <v>0</v>
      </c>
      <c r="G145" s="1338">
        <v>0</v>
      </c>
      <c r="H145" s="1338">
        <v>0</v>
      </c>
      <c r="I145" s="1338">
        <v>15</v>
      </c>
      <c r="J145" s="1338">
        <v>44</v>
      </c>
      <c r="K145" s="1338">
        <v>22</v>
      </c>
      <c r="L145" s="1338">
        <v>44</v>
      </c>
      <c r="M145" s="1338">
        <v>0</v>
      </c>
      <c r="N145" s="1338">
        <v>61</v>
      </c>
      <c r="O145" s="1338">
        <v>77</v>
      </c>
      <c r="P145" s="1338">
        <v>15</v>
      </c>
      <c r="Q145" s="1338">
        <v>123</v>
      </c>
      <c r="R145" s="1338">
        <v>75</v>
      </c>
      <c r="S145" s="1338">
        <v>82</v>
      </c>
      <c r="T145" s="1338">
        <v>50</v>
      </c>
      <c r="U145" s="1338">
        <v>81</v>
      </c>
      <c r="V145" s="1338">
        <v>115</v>
      </c>
      <c r="W145" s="1338">
        <v>89</v>
      </c>
      <c r="X145" s="1338">
        <v>70</v>
      </c>
      <c r="Y145" s="1338">
        <v>68</v>
      </c>
      <c r="Z145" s="1338">
        <v>97</v>
      </c>
      <c r="AA145" s="1338">
        <v>70</v>
      </c>
      <c r="AB145" s="1338">
        <v>45</v>
      </c>
      <c r="AC145" s="1338">
        <v>46</v>
      </c>
      <c r="AD145" s="1338">
        <v>80</v>
      </c>
      <c r="AE145" s="1338">
        <v>58</v>
      </c>
      <c r="AF145" s="1338">
        <v>43</v>
      </c>
      <c r="AG145" s="1338">
        <v>38</v>
      </c>
      <c r="AH145" s="1338">
        <v>64</v>
      </c>
      <c r="AI145" s="553">
        <f t="shared" si="7"/>
        <v>1623</v>
      </c>
      <c r="AJ145" s="1128">
        <v>50.78479295859173</v>
      </c>
      <c r="AK145" s="661">
        <f t="shared" si="9"/>
        <v>824.23718971794381</v>
      </c>
      <c r="AL145" s="1128" t="s">
        <v>48</v>
      </c>
      <c r="AM145" s="552"/>
      <c r="AN145" s="555"/>
      <c r="AO145" s="555"/>
    </row>
    <row r="146" spans="1:41" ht="54" customHeight="1">
      <c r="A146" s="1324">
        <v>125</v>
      </c>
      <c r="B146" s="1324">
        <v>48</v>
      </c>
      <c r="C146" s="552" t="str">
        <f>'Chấm công KT'!C141</f>
        <v>T . Cổ</v>
      </c>
      <c r="D146" s="1338">
        <v>0</v>
      </c>
      <c r="E146" s="1338">
        <v>0</v>
      </c>
      <c r="F146" s="1338">
        <v>0</v>
      </c>
      <c r="G146" s="1338">
        <v>0</v>
      </c>
      <c r="H146" s="1338">
        <v>0</v>
      </c>
      <c r="I146" s="1338">
        <v>0</v>
      </c>
      <c r="J146" s="1338">
        <v>43</v>
      </c>
      <c r="K146" s="1338">
        <v>195</v>
      </c>
      <c r="L146" s="1338">
        <v>0</v>
      </c>
      <c r="M146" s="1338">
        <v>0</v>
      </c>
      <c r="N146" s="1338">
        <v>0</v>
      </c>
      <c r="O146" s="1338">
        <v>116</v>
      </c>
      <c r="P146" s="1338">
        <v>180</v>
      </c>
      <c r="Q146" s="1338">
        <v>0</v>
      </c>
      <c r="R146" s="1338">
        <v>0</v>
      </c>
      <c r="S146" s="1338">
        <v>144</v>
      </c>
      <c r="T146" s="1338">
        <v>142</v>
      </c>
      <c r="U146" s="1338">
        <v>0</v>
      </c>
      <c r="V146" s="1338">
        <v>128</v>
      </c>
      <c r="W146" s="1338">
        <v>159</v>
      </c>
      <c r="X146" s="1338">
        <v>81</v>
      </c>
      <c r="Y146" s="1338">
        <v>160</v>
      </c>
      <c r="Z146" s="1338">
        <v>71</v>
      </c>
      <c r="AA146" s="1338">
        <v>200</v>
      </c>
      <c r="AB146" s="1338">
        <v>67</v>
      </c>
      <c r="AC146" s="1338">
        <v>67</v>
      </c>
      <c r="AD146" s="1338">
        <v>82</v>
      </c>
      <c r="AE146" s="1338">
        <v>0</v>
      </c>
      <c r="AF146" s="1338">
        <v>0</v>
      </c>
      <c r="AG146" s="1338">
        <v>0</v>
      </c>
      <c r="AH146" s="1338">
        <v>0</v>
      </c>
      <c r="AI146" s="553">
        <f t="shared" si="7"/>
        <v>1835</v>
      </c>
      <c r="AJ146" s="1128">
        <v>50.78479295859173</v>
      </c>
      <c r="AK146" s="661">
        <f t="shared" si="9"/>
        <v>931.90095079015828</v>
      </c>
      <c r="AL146" s="1128" t="s">
        <v>40</v>
      </c>
      <c r="AM146" s="552"/>
      <c r="AN146" s="555"/>
      <c r="AO146" s="555"/>
    </row>
    <row r="147" spans="1:41" ht="54" customHeight="1">
      <c r="A147" s="1324">
        <v>126</v>
      </c>
      <c r="B147" s="1324">
        <v>49</v>
      </c>
      <c r="C147" s="552" t="str">
        <f>'Chấm công KT'!C142</f>
        <v>N. Phim Pha</v>
      </c>
      <c r="D147" s="1338">
        <v>77</v>
      </c>
      <c r="E147" s="1338">
        <v>0</v>
      </c>
      <c r="F147" s="1338">
        <v>0</v>
      </c>
      <c r="G147" s="1338">
        <v>0</v>
      </c>
      <c r="H147" s="1338">
        <v>0</v>
      </c>
      <c r="I147" s="1338">
        <v>0</v>
      </c>
      <c r="J147" s="1338">
        <v>36</v>
      </c>
      <c r="K147" s="1338">
        <v>0</v>
      </c>
      <c r="L147" s="1338">
        <v>30</v>
      </c>
      <c r="M147" s="1338">
        <v>24</v>
      </c>
      <c r="N147" s="1338">
        <v>12</v>
      </c>
      <c r="O147" s="1338">
        <v>0</v>
      </c>
      <c r="P147" s="1338">
        <v>23</v>
      </c>
      <c r="Q147" s="1338">
        <v>40</v>
      </c>
      <c r="R147" s="1338">
        <v>20</v>
      </c>
      <c r="S147" s="1338">
        <v>46</v>
      </c>
      <c r="T147" s="1338">
        <v>56</v>
      </c>
      <c r="U147" s="1338">
        <v>57</v>
      </c>
      <c r="V147" s="1338">
        <v>87</v>
      </c>
      <c r="W147" s="1338">
        <v>0</v>
      </c>
      <c r="X147" s="1338">
        <v>92</v>
      </c>
      <c r="Y147" s="1338">
        <v>78</v>
      </c>
      <c r="Z147" s="1338">
        <v>75</v>
      </c>
      <c r="AA147" s="1338">
        <v>123</v>
      </c>
      <c r="AB147" s="1338">
        <v>60</v>
      </c>
      <c r="AC147" s="1338">
        <v>77</v>
      </c>
      <c r="AD147" s="1338">
        <v>82</v>
      </c>
      <c r="AE147" s="1338">
        <v>80</v>
      </c>
      <c r="AF147" s="1338">
        <v>42</v>
      </c>
      <c r="AG147" s="1338">
        <v>30</v>
      </c>
      <c r="AH147" s="1338">
        <v>66</v>
      </c>
      <c r="AI147" s="553">
        <f t="shared" si="7"/>
        <v>1313</v>
      </c>
      <c r="AJ147" s="1128">
        <v>50.78479295859173</v>
      </c>
      <c r="AK147" s="661">
        <f t="shared" si="9"/>
        <v>666.80433154630941</v>
      </c>
      <c r="AL147" s="1128" t="s">
        <v>449</v>
      </c>
      <c r="AM147" s="552"/>
      <c r="AN147" s="555"/>
      <c r="AO147" s="555"/>
    </row>
    <row r="148" spans="1:41" ht="54" customHeight="1">
      <c r="A148" s="1324">
        <v>127</v>
      </c>
      <c r="B148" s="1324">
        <v>50</v>
      </c>
      <c r="C148" s="552" t="str">
        <f>'Chấm công KT'!C143</f>
        <v xml:space="preserve">T. Xeng </v>
      </c>
      <c r="D148" s="1338">
        <v>51</v>
      </c>
      <c r="E148" s="1338">
        <v>0</v>
      </c>
      <c r="F148" s="1338">
        <v>0</v>
      </c>
      <c r="G148" s="1338">
        <v>0</v>
      </c>
      <c r="H148" s="1338">
        <v>0</v>
      </c>
      <c r="I148" s="1338">
        <v>30</v>
      </c>
      <c r="J148" s="1338">
        <v>48</v>
      </c>
      <c r="K148" s="1338">
        <v>35</v>
      </c>
      <c r="L148" s="1338">
        <v>61</v>
      </c>
      <c r="M148" s="1338">
        <v>24</v>
      </c>
      <c r="N148" s="1338">
        <v>110</v>
      </c>
      <c r="O148" s="1338">
        <v>90</v>
      </c>
      <c r="P148" s="1338">
        <v>86</v>
      </c>
      <c r="Q148" s="1338">
        <v>80</v>
      </c>
      <c r="R148" s="1338">
        <v>88</v>
      </c>
      <c r="S148" s="1338">
        <v>98</v>
      </c>
      <c r="T148" s="1338">
        <v>112</v>
      </c>
      <c r="U148" s="1338">
        <v>51</v>
      </c>
      <c r="V148" s="1338">
        <v>90</v>
      </c>
      <c r="W148" s="1338">
        <v>97</v>
      </c>
      <c r="X148" s="1338">
        <v>83</v>
      </c>
      <c r="Y148" s="1338">
        <v>45</v>
      </c>
      <c r="Z148" s="1338">
        <v>83</v>
      </c>
      <c r="AA148" s="1338">
        <v>91</v>
      </c>
      <c r="AB148" s="1338">
        <v>64</v>
      </c>
      <c r="AC148" s="1338">
        <v>48</v>
      </c>
      <c r="AD148" s="1338">
        <v>74</v>
      </c>
      <c r="AE148" s="1338">
        <v>97</v>
      </c>
      <c r="AF148" s="1338">
        <v>53</v>
      </c>
      <c r="AG148" s="1338">
        <v>48</v>
      </c>
      <c r="AH148" s="1338">
        <v>76</v>
      </c>
      <c r="AI148" s="553">
        <f t="shared" si="7"/>
        <v>1913</v>
      </c>
      <c r="AJ148" s="1128">
        <v>50.78479295859173</v>
      </c>
      <c r="AK148" s="661">
        <f t="shared" si="9"/>
        <v>971.51308929785989</v>
      </c>
      <c r="AL148" s="1128" t="s">
        <v>40</v>
      </c>
      <c r="AM148" s="552"/>
      <c r="AN148" s="555"/>
      <c r="AO148" s="555"/>
    </row>
    <row r="149" spans="1:41" ht="54" customHeight="1">
      <c r="A149" s="1324">
        <v>128</v>
      </c>
      <c r="B149" s="1324">
        <v>51</v>
      </c>
      <c r="C149" s="552" t="str">
        <f>'Chấm công KT'!C144</f>
        <v>T. Vạt</v>
      </c>
      <c r="D149" s="1338">
        <v>71</v>
      </c>
      <c r="E149" s="1338">
        <v>0</v>
      </c>
      <c r="F149" s="1338">
        <v>0</v>
      </c>
      <c r="G149" s="1338">
        <v>0</v>
      </c>
      <c r="H149" s="1338">
        <v>0</v>
      </c>
      <c r="I149" s="1338">
        <v>43</v>
      </c>
      <c r="J149" s="1338">
        <v>55</v>
      </c>
      <c r="K149" s="1338">
        <v>54</v>
      </c>
      <c r="L149" s="1338">
        <v>0</v>
      </c>
      <c r="M149" s="1338">
        <v>38</v>
      </c>
      <c r="N149" s="1338">
        <v>126</v>
      </c>
      <c r="O149" s="1338">
        <v>50</v>
      </c>
      <c r="P149" s="1338">
        <v>0</v>
      </c>
      <c r="Q149" s="1338">
        <v>107</v>
      </c>
      <c r="R149" s="1338">
        <v>97</v>
      </c>
      <c r="S149" s="1338">
        <v>34</v>
      </c>
      <c r="T149" s="1338">
        <v>178</v>
      </c>
      <c r="U149" s="1338">
        <v>67</v>
      </c>
      <c r="V149" s="1338">
        <v>99</v>
      </c>
      <c r="W149" s="1338">
        <v>142</v>
      </c>
      <c r="X149" s="1338">
        <v>77</v>
      </c>
      <c r="Y149" s="1338">
        <v>66</v>
      </c>
      <c r="Z149" s="1338">
        <v>88</v>
      </c>
      <c r="AA149" s="1338">
        <v>128</v>
      </c>
      <c r="AB149" s="1338">
        <v>54</v>
      </c>
      <c r="AC149" s="1338">
        <v>69</v>
      </c>
      <c r="AD149" s="1338">
        <v>91</v>
      </c>
      <c r="AE149" s="1338">
        <v>122</v>
      </c>
      <c r="AF149" s="1338">
        <v>49</v>
      </c>
      <c r="AG149" s="1338">
        <v>73</v>
      </c>
      <c r="AH149" s="1338">
        <v>50</v>
      </c>
      <c r="AI149" s="553">
        <f t="shared" si="7"/>
        <v>2028</v>
      </c>
      <c r="AJ149" s="1128">
        <v>50.78479295859173</v>
      </c>
      <c r="AK149" s="661">
        <f t="shared" si="9"/>
        <v>1029.9156012002404</v>
      </c>
      <c r="AL149" s="1128" t="s">
        <v>40</v>
      </c>
      <c r="AM149" s="552"/>
      <c r="AN149" s="555"/>
      <c r="AO149" s="555"/>
    </row>
    <row r="150" spans="1:41" ht="54" customHeight="1">
      <c r="A150" s="1324">
        <v>129</v>
      </c>
      <c r="B150" s="1324">
        <v>52</v>
      </c>
      <c r="C150" s="552" t="str">
        <f>'Chấm công KT'!C145</f>
        <v>T. Lay</v>
      </c>
      <c r="D150" s="1338">
        <v>90</v>
      </c>
      <c r="E150" s="1338">
        <v>0</v>
      </c>
      <c r="F150" s="1338">
        <v>0</v>
      </c>
      <c r="G150" s="1338">
        <v>0</v>
      </c>
      <c r="H150" s="1338">
        <v>0</v>
      </c>
      <c r="I150" s="1338">
        <v>45</v>
      </c>
      <c r="J150" s="1338">
        <v>53</v>
      </c>
      <c r="K150" s="1338">
        <v>45</v>
      </c>
      <c r="L150" s="1338">
        <v>125</v>
      </c>
      <c r="M150" s="1338">
        <v>25</v>
      </c>
      <c r="N150" s="1338">
        <v>118</v>
      </c>
      <c r="O150" s="1338">
        <v>0</v>
      </c>
      <c r="P150" s="1338">
        <v>136</v>
      </c>
      <c r="Q150" s="1338">
        <v>114</v>
      </c>
      <c r="R150" s="1338">
        <v>109</v>
      </c>
      <c r="S150" s="1338">
        <v>128</v>
      </c>
      <c r="T150" s="1338">
        <v>138</v>
      </c>
      <c r="U150" s="1338">
        <v>71</v>
      </c>
      <c r="V150" s="1338">
        <v>130</v>
      </c>
      <c r="W150" s="1338">
        <v>72</v>
      </c>
      <c r="X150" s="1338">
        <v>151</v>
      </c>
      <c r="Y150" s="1338">
        <v>0</v>
      </c>
      <c r="Z150" s="1338">
        <v>0</v>
      </c>
      <c r="AA150" s="1338">
        <v>70</v>
      </c>
      <c r="AB150" s="1338">
        <v>141</v>
      </c>
      <c r="AC150" s="1338">
        <v>126</v>
      </c>
      <c r="AD150" s="1338">
        <v>192</v>
      </c>
      <c r="AE150" s="1338">
        <v>70</v>
      </c>
      <c r="AF150" s="1338">
        <v>156</v>
      </c>
      <c r="AG150" s="1338">
        <v>71</v>
      </c>
      <c r="AH150" s="1338">
        <v>78</v>
      </c>
      <c r="AI150" s="553">
        <f t="shared" si="7"/>
        <v>2454</v>
      </c>
      <c r="AJ150" s="1128">
        <v>50.78479295859173</v>
      </c>
      <c r="AK150" s="661">
        <f t="shared" si="9"/>
        <v>1246.2588192038411</v>
      </c>
      <c r="AL150" s="1128" t="s">
        <v>40</v>
      </c>
      <c r="AM150" s="552"/>
      <c r="AN150" s="555"/>
      <c r="AO150" s="555"/>
    </row>
    <row r="151" spans="1:41" ht="54" customHeight="1">
      <c r="A151" s="1324">
        <v>130</v>
      </c>
      <c r="B151" s="1324">
        <v>53</v>
      </c>
      <c r="C151" s="552" t="str">
        <f>'Chấm công KT'!C146</f>
        <v>N. Nọi</v>
      </c>
      <c r="D151" s="1338">
        <v>89</v>
      </c>
      <c r="E151" s="1338">
        <v>0</v>
      </c>
      <c r="F151" s="1338">
        <v>0</v>
      </c>
      <c r="G151" s="1338">
        <v>0</v>
      </c>
      <c r="H151" s="1338">
        <v>0</v>
      </c>
      <c r="I151" s="1338">
        <v>31</v>
      </c>
      <c r="J151" s="1338">
        <v>36</v>
      </c>
      <c r="K151" s="1338">
        <v>30</v>
      </c>
      <c r="L151" s="1338">
        <v>101</v>
      </c>
      <c r="M151" s="1338">
        <v>20</v>
      </c>
      <c r="N151" s="1338">
        <v>91</v>
      </c>
      <c r="O151" s="1338">
        <v>0</v>
      </c>
      <c r="P151" s="1338">
        <v>93</v>
      </c>
      <c r="Q151" s="1338">
        <v>120</v>
      </c>
      <c r="R151" s="1338">
        <v>101</v>
      </c>
      <c r="S151" s="1338">
        <v>162</v>
      </c>
      <c r="T151" s="1338">
        <v>146</v>
      </c>
      <c r="U151" s="1338">
        <v>87</v>
      </c>
      <c r="V151" s="1338">
        <v>107</v>
      </c>
      <c r="W151" s="1338">
        <v>70</v>
      </c>
      <c r="X151" s="1338">
        <v>170</v>
      </c>
      <c r="Y151" s="1338">
        <v>0</v>
      </c>
      <c r="Z151" s="1338">
        <v>0</v>
      </c>
      <c r="AA151" s="1338">
        <v>70</v>
      </c>
      <c r="AB151" s="1338">
        <v>156</v>
      </c>
      <c r="AC151" s="1338">
        <v>112</v>
      </c>
      <c r="AD151" s="1338">
        <v>140</v>
      </c>
      <c r="AE151" s="1338">
        <v>68</v>
      </c>
      <c r="AF151" s="1338">
        <v>134</v>
      </c>
      <c r="AG151" s="1338">
        <v>70</v>
      </c>
      <c r="AH151" s="1338">
        <v>87</v>
      </c>
      <c r="AI151" s="553">
        <f t="shared" si="7"/>
        <v>2291</v>
      </c>
      <c r="AJ151" s="1128">
        <v>50.78479295859173</v>
      </c>
      <c r="AK151" s="661">
        <f t="shared" si="9"/>
        <v>1163.4796066813367</v>
      </c>
      <c r="AL151" s="1128" t="s">
        <v>40</v>
      </c>
      <c r="AM151" s="552"/>
      <c r="AN151" s="555"/>
      <c r="AO151" s="555"/>
    </row>
    <row r="152" spans="1:41" ht="54" customHeight="1">
      <c r="A152" s="1324">
        <v>131</v>
      </c>
      <c r="B152" s="1324">
        <v>54</v>
      </c>
      <c r="C152" s="552" t="str">
        <f>'Chấm công KT'!C147</f>
        <v>T Bun Xi</v>
      </c>
      <c r="D152" s="1338">
        <v>43</v>
      </c>
      <c r="E152" s="1338">
        <v>0</v>
      </c>
      <c r="F152" s="1338">
        <v>0</v>
      </c>
      <c r="G152" s="1338">
        <v>0</v>
      </c>
      <c r="H152" s="1338">
        <v>0</v>
      </c>
      <c r="I152" s="1338">
        <v>0</v>
      </c>
      <c r="J152" s="1338">
        <v>0</v>
      </c>
      <c r="K152" s="1338">
        <v>0</v>
      </c>
      <c r="L152" s="1338">
        <v>0</v>
      </c>
      <c r="M152" s="1338">
        <v>0</v>
      </c>
      <c r="N152" s="1338">
        <v>57</v>
      </c>
      <c r="O152" s="1338">
        <v>55</v>
      </c>
      <c r="P152" s="1338">
        <v>0</v>
      </c>
      <c r="Q152" s="1338">
        <v>66</v>
      </c>
      <c r="R152" s="1338">
        <v>30</v>
      </c>
      <c r="S152" s="1338">
        <v>0</v>
      </c>
      <c r="T152" s="1338">
        <v>56</v>
      </c>
      <c r="U152" s="1338">
        <v>93</v>
      </c>
      <c r="V152" s="1338">
        <v>120</v>
      </c>
      <c r="W152" s="1338">
        <v>127</v>
      </c>
      <c r="X152" s="1338">
        <v>33</v>
      </c>
      <c r="Y152" s="1338">
        <v>70</v>
      </c>
      <c r="Z152" s="1338">
        <v>80</v>
      </c>
      <c r="AA152" s="1338">
        <v>111</v>
      </c>
      <c r="AB152" s="1338">
        <v>26</v>
      </c>
      <c r="AC152" s="1338">
        <v>69</v>
      </c>
      <c r="AD152" s="1338">
        <v>73</v>
      </c>
      <c r="AE152" s="1338">
        <v>102</v>
      </c>
      <c r="AF152" s="1338">
        <v>0</v>
      </c>
      <c r="AG152" s="1338">
        <v>80</v>
      </c>
      <c r="AH152" s="1338">
        <v>81</v>
      </c>
      <c r="AI152" s="553">
        <f t="shared" si="7"/>
        <v>1372</v>
      </c>
      <c r="AJ152" s="1128">
        <v>50.78479295859173</v>
      </c>
      <c r="AK152" s="661">
        <f t="shared" si="9"/>
        <v>696.76735939187859</v>
      </c>
      <c r="AL152" s="1128" t="s">
        <v>48</v>
      </c>
      <c r="AM152" s="552"/>
      <c r="AN152" s="555"/>
      <c r="AO152" s="555"/>
    </row>
    <row r="153" spans="1:41" ht="54" customHeight="1">
      <c r="A153" s="1324">
        <v>132</v>
      </c>
      <c r="B153" s="1324">
        <v>55</v>
      </c>
      <c r="C153" s="552" t="str">
        <f>'Chấm công KT'!C148</f>
        <v>N. Bù</v>
      </c>
      <c r="D153" s="1338">
        <v>46</v>
      </c>
      <c r="E153" s="1338">
        <v>0</v>
      </c>
      <c r="F153" s="1338">
        <v>0</v>
      </c>
      <c r="G153" s="1338">
        <v>0</v>
      </c>
      <c r="H153" s="1338">
        <v>0</v>
      </c>
      <c r="I153" s="1338">
        <v>19</v>
      </c>
      <c r="J153" s="1338">
        <v>31</v>
      </c>
      <c r="K153" s="1338">
        <v>42</v>
      </c>
      <c r="L153" s="1338">
        <v>86</v>
      </c>
      <c r="M153" s="1338">
        <v>25</v>
      </c>
      <c r="N153" s="1338">
        <v>90</v>
      </c>
      <c r="O153" s="1338">
        <v>120</v>
      </c>
      <c r="P153" s="1338">
        <v>104</v>
      </c>
      <c r="Q153" s="1338">
        <v>92</v>
      </c>
      <c r="R153" s="1338">
        <v>73</v>
      </c>
      <c r="S153" s="1338">
        <v>98</v>
      </c>
      <c r="T153" s="1338">
        <v>81</v>
      </c>
      <c r="U153" s="1338">
        <v>61</v>
      </c>
      <c r="V153" s="1338">
        <v>78</v>
      </c>
      <c r="W153" s="1338">
        <v>86</v>
      </c>
      <c r="X153" s="1338">
        <v>81</v>
      </c>
      <c r="Y153" s="1338">
        <v>48</v>
      </c>
      <c r="Z153" s="1338">
        <v>54</v>
      </c>
      <c r="AA153" s="1338">
        <v>87</v>
      </c>
      <c r="AB153" s="1338">
        <v>68</v>
      </c>
      <c r="AC153" s="1338">
        <v>36</v>
      </c>
      <c r="AD153" s="1338">
        <v>51</v>
      </c>
      <c r="AE153" s="1338">
        <v>90</v>
      </c>
      <c r="AF153" s="1338">
        <v>57</v>
      </c>
      <c r="AG153" s="1338">
        <v>47</v>
      </c>
      <c r="AH153" s="1338">
        <v>64</v>
      </c>
      <c r="AI153" s="553">
        <f t="shared" si="7"/>
        <v>1815</v>
      </c>
      <c r="AJ153" s="1128">
        <v>50.78479295859173</v>
      </c>
      <c r="AK153" s="661">
        <f t="shared" si="9"/>
        <v>921.74399219843997</v>
      </c>
      <c r="AL153" s="1128" t="s">
        <v>48</v>
      </c>
      <c r="AM153" s="552"/>
      <c r="AN153" s="555"/>
      <c r="AO153" s="555"/>
    </row>
    <row r="154" spans="1:41" ht="54" customHeight="1">
      <c r="A154" s="1324">
        <v>133</v>
      </c>
      <c r="B154" s="1324">
        <v>56</v>
      </c>
      <c r="C154" s="552" t="str">
        <f>'Chấm công KT'!C149</f>
        <v>T. Xơn</v>
      </c>
      <c r="D154" s="1338">
        <v>50</v>
      </c>
      <c r="E154" s="1338">
        <v>0</v>
      </c>
      <c r="F154" s="1338">
        <v>0</v>
      </c>
      <c r="G154" s="1338">
        <v>0</v>
      </c>
      <c r="H154" s="1338">
        <v>0</v>
      </c>
      <c r="I154" s="1338">
        <v>0</v>
      </c>
      <c r="J154" s="1338">
        <v>0</v>
      </c>
      <c r="K154" s="1338">
        <v>0</v>
      </c>
      <c r="L154" s="1338">
        <v>0</v>
      </c>
      <c r="M154" s="1338">
        <v>0</v>
      </c>
      <c r="N154" s="1338">
        <v>52</v>
      </c>
      <c r="O154" s="1338">
        <v>43</v>
      </c>
      <c r="P154" s="1338">
        <v>0</v>
      </c>
      <c r="Q154" s="1338">
        <v>101</v>
      </c>
      <c r="R154" s="1338">
        <v>36</v>
      </c>
      <c r="S154" s="1338">
        <v>0</v>
      </c>
      <c r="T154" s="1338">
        <v>41</v>
      </c>
      <c r="U154" s="1338">
        <v>91</v>
      </c>
      <c r="V154" s="1338">
        <v>127</v>
      </c>
      <c r="W154" s="1338">
        <v>130</v>
      </c>
      <c r="X154" s="1338">
        <v>31</v>
      </c>
      <c r="Y154" s="1338">
        <v>65</v>
      </c>
      <c r="Z154" s="1338">
        <v>66</v>
      </c>
      <c r="AA154" s="1338">
        <v>110</v>
      </c>
      <c r="AB154" s="1338">
        <v>20</v>
      </c>
      <c r="AC154" s="1338">
        <v>65</v>
      </c>
      <c r="AD154" s="1338">
        <v>70</v>
      </c>
      <c r="AE154" s="1338">
        <v>109</v>
      </c>
      <c r="AF154" s="1338">
        <v>0</v>
      </c>
      <c r="AG154" s="1338">
        <v>70</v>
      </c>
      <c r="AH154" s="1338">
        <v>102</v>
      </c>
      <c r="AI154" s="553">
        <f t="shared" si="7"/>
        <v>1379</v>
      </c>
      <c r="AJ154" s="1128">
        <v>50.78479295859173</v>
      </c>
      <c r="AK154" s="661">
        <f t="shared" si="9"/>
        <v>700.32229489897986</v>
      </c>
      <c r="AL154" s="1128" t="s">
        <v>48</v>
      </c>
      <c r="AM154" s="552"/>
      <c r="AN154" s="555"/>
      <c r="AO154" s="555"/>
    </row>
    <row r="155" spans="1:41" ht="54" customHeight="1">
      <c r="A155" s="1324">
        <v>134</v>
      </c>
      <c r="B155" s="1324">
        <v>57</v>
      </c>
      <c r="C155" s="552" t="str">
        <f>'Chấm công KT'!C150</f>
        <v>T. Thi</v>
      </c>
      <c r="D155" s="1338">
        <v>50</v>
      </c>
      <c r="E155" s="1338">
        <v>0</v>
      </c>
      <c r="F155" s="1338">
        <v>0</v>
      </c>
      <c r="G155" s="1338">
        <v>0</v>
      </c>
      <c r="H155" s="1338">
        <v>0</v>
      </c>
      <c r="I155" s="1338">
        <v>34</v>
      </c>
      <c r="J155" s="1338">
        <v>44</v>
      </c>
      <c r="K155" s="1338">
        <v>30</v>
      </c>
      <c r="L155" s="1338">
        <v>48</v>
      </c>
      <c r="M155" s="1338">
        <v>37</v>
      </c>
      <c r="N155" s="1338">
        <v>77</v>
      </c>
      <c r="O155" s="1338">
        <v>85</v>
      </c>
      <c r="P155" s="1338">
        <v>64</v>
      </c>
      <c r="Q155" s="1338">
        <v>111</v>
      </c>
      <c r="R155" s="1338">
        <v>82</v>
      </c>
      <c r="S155" s="1338">
        <v>101</v>
      </c>
      <c r="T155" s="1338">
        <v>97</v>
      </c>
      <c r="U155" s="1338">
        <v>81</v>
      </c>
      <c r="V155" s="1338">
        <v>105</v>
      </c>
      <c r="W155" s="1338">
        <v>91</v>
      </c>
      <c r="X155" s="1338">
        <v>60</v>
      </c>
      <c r="Y155" s="1338">
        <v>67</v>
      </c>
      <c r="Z155" s="1338">
        <v>80</v>
      </c>
      <c r="AA155" s="1338">
        <v>86</v>
      </c>
      <c r="AB155" s="1338">
        <v>40</v>
      </c>
      <c r="AC155" s="1338">
        <v>54</v>
      </c>
      <c r="AD155" s="1338">
        <v>58</v>
      </c>
      <c r="AE155" s="1338">
        <v>87</v>
      </c>
      <c r="AF155" s="1338">
        <v>33</v>
      </c>
      <c r="AG155" s="1338">
        <v>54</v>
      </c>
      <c r="AH155" s="1338">
        <v>60</v>
      </c>
      <c r="AI155" s="553">
        <f t="shared" si="7"/>
        <v>1816</v>
      </c>
      <c r="AJ155" s="1128">
        <v>50.78479295859173</v>
      </c>
      <c r="AK155" s="661">
        <f t="shared" si="9"/>
        <v>922.25184012802583</v>
      </c>
      <c r="AL155" s="1128" t="s">
        <v>48</v>
      </c>
      <c r="AM155" s="552"/>
      <c r="AN155" s="555"/>
      <c r="AO155" s="555"/>
    </row>
    <row r="156" spans="1:41" ht="54" customHeight="1">
      <c r="A156" s="1324">
        <v>135</v>
      </c>
      <c r="B156" s="1324">
        <v>58</v>
      </c>
      <c r="C156" s="552" t="str">
        <f>'Chấm công KT'!C151</f>
        <v>On chay</v>
      </c>
      <c r="D156" s="1338">
        <v>34</v>
      </c>
      <c r="E156" s="1338">
        <v>0</v>
      </c>
      <c r="F156" s="1338">
        <v>0</v>
      </c>
      <c r="G156" s="1338">
        <v>0</v>
      </c>
      <c r="H156" s="1338">
        <v>0</v>
      </c>
      <c r="I156" s="1338">
        <v>31</v>
      </c>
      <c r="J156" s="1338">
        <v>45</v>
      </c>
      <c r="K156" s="1338">
        <v>52</v>
      </c>
      <c r="L156" s="1338">
        <v>41</v>
      </c>
      <c r="M156" s="1338">
        <v>21</v>
      </c>
      <c r="N156" s="1338">
        <v>54</v>
      </c>
      <c r="O156" s="1338">
        <v>73</v>
      </c>
      <c r="P156" s="1338">
        <v>58</v>
      </c>
      <c r="Q156" s="1338">
        <v>83</v>
      </c>
      <c r="R156" s="1338">
        <v>66</v>
      </c>
      <c r="S156" s="1338">
        <v>56</v>
      </c>
      <c r="T156" s="1338">
        <v>63</v>
      </c>
      <c r="U156" s="1338">
        <v>62</v>
      </c>
      <c r="V156" s="1338">
        <v>62</v>
      </c>
      <c r="W156" s="1338">
        <v>52</v>
      </c>
      <c r="X156" s="1338">
        <v>52</v>
      </c>
      <c r="Y156" s="1338">
        <v>52</v>
      </c>
      <c r="Z156" s="1338">
        <v>47</v>
      </c>
      <c r="AA156" s="1338">
        <v>57</v>
      </c>
      <c r="AB156" s="1338">
        <v>48</v>
      </c>
      <c r="AC156" s="1338">
        <v>56</v>
      </c>
      <c r="AD156" s="1338">
        <v>47</v>
      </c>
      <c r="AE156" s="1338">
        <v>62</v>
      </c>
      <c r="AF156" s="1338">
        <v>41</v>
      </c>
      <c r="AG156" s="1338">
        <v>0</v>
      </c>
      <c r="AH156" s="1338">
        <v>47</v>
      </c>
      <c r="AI156" s="553">
        <f t="shared" si="7"/>
        <v>1362</v>
      </c>
      <c r="AJ156" s="1128">
        <v>50.78479295859173</v>
      </c>
      <c r="AK156" s="661">
        <f t="shared" si="9"/>
        <v>691.68888009601937</v>
      </c>
      <c r="AL156" s="1128" t="s">
        <v>40</v>
      </c>
      <c r="AM156" s="552"/>
      <c r="AN156" s="555"/>
      <c r="AO156" s="555"/>
    </row>
    <row r="157" spans="1:41" ht="54" customHeight="1">
      <c r="A157" s="1324">
        <v>136</v>
      </c>
      <c r="B157" s="1324">
        <v>59</v>
      </c>
      <c r="C157" s="552" t="str">
        <f>'Chấm công KT'!C152</f>
        <v>T. Thong</v>
      </c>
      <c r="D157" s="1338">
        <v>0</v>
      </c>
      <c r="E157" s="1338">
        <v>0</v>
      </c>
      <c r="F157" s="1338">
        <v>0</v>
      </c>
      <c r="G157" s="1338">
        <v>0</v>
      </c>
      <c r="H157" s="1338">
        <v>0</v>
      </c>
      <c r="I157" s="1338">
        <v>0</v>
      </c>
      <c r="J157" s="1338">
        <v>0</v>
      </c>
      <c r="K157" s="1338">
        <v>0</v>
      </c>
      <c r="L157" s="1338">
        <v>0</v>
      </c>
      <c r="M157" s="1338">
        <v>20</v>
      </c>
      <c r="N157" s="1338">
        <v>39</v>
      </c>
      <c r="O157" s="1338">
        <v>50</v>
      </c>
      <c r="P157" s="1338">
        <v>50</v>
      </c>
      <c r="Q157" s="1338">
        <v>86</v>
      </c>
      <c r="R157" s="1338">
        <v>0</v>
      </c>
      <c r="S157" s="1338">
        <v>30</v>
      </c>
      <c r="T157" s="1338">
        <v>41</v>
      </c>
      <c r="U157" s="1338">
        <v>60</v>
      </c>
      <c r="V157" s="1338">
        <v>45</v>
      </c>
      <c r="W157" s="1338">
        <v>0</v>
      </c>
      <c r="X157" s="1338">
        <v>25</v>
      </c>
      <c r="Y157" s="1338">
        <v>80</v>
      </c>
      <c r="Z157" s="1338">
        <v>45</v>
      </c>
      <c r="AA157" s="1338">
        <v>70</v>
      </c>
      <c r="AB157" s="1338">
        <v>41</v>
      </c>
      <c r="AC157" s="1338">
        <v>34</v>
      </c>
      <c r="AD157" s="1338">
        <v>40</v>
      </c>
      <c r="AE157" s="1338">
        <v>0</v>
      </c>
      <c r="AF157" s="1338">
        <v>80</v>
      </c>
      <c r="AG157" s="1338">
        <v>53</v>
      </c>
      <c r="AH157" s="1338">
        <v>0</v>
      </c>
      <c r="AI157" s="553">
        <f>SUM(D157:AH157)</f>
        <v>889</v>
      </c>
      <c r="AJ157" s="1011">
        <v>50.78479295859173</v>
      </c>
      <c r="AK157" s="661">
        <f t="shared" si="9"/>
        <v>451.47680940188047</v>
      </c>
      <c r="AL157" s="1011" t="s">
        <v>449</v>
      </c>
      <c r="AM157" s="552"/>
      <c r="AN157" s="555"/>
      <c r="AO157" s="555"/>
    </row>
    <row r="158" spans="1:41" ht="54" customHeight="1">
      <c r="A158" s="1324">
        <v>137</v>
      </c>
      <c r="B158" s="1324">
        <v>60</v>
      </c>
      <c r="C158" s="552" t="str">
        <f>'Chấm công KT'!C153</f>
        <v>T. Khách</v>
      </c>
      <c r="D158" s="1338">
        <v>0</v>
      </c>
      <c r="E158" s="1338">
        <v>0</v>
      </c>
      <c r="F158" s="1338">
        <v>0</v>
      </c>
      <c r="G158" s="1338">
        <v>0</v>
      </c>
      <c r="H158" s="1338">
        <v>0</v>
      </c>
      <c r="I158" s="1338">
        <v>0</v>
      </c>
      <c r="J158" s="1338">
        <v>0</v>
      </c>
      <c r="K158" s="1338">
        <v>0</v>
      </c>
      <c r="L158" s="1338">
        <v>0</v>
      </c>
      <c r="M158" s="1338">
        <v>0</v>
      </c>
      <c r="N158" s="1338">
        <v>0</v>
      </c>
      <c r="O158" s="1338">
        <v>42</v>
      </c>
      <c r="P158" s="1338">
        <v>40</v>
      </c>
      <c r="Q158" s="1338">
        <v>0</v>
      </c>
      <c r="R158" s="1338">
        <v>0</v>
      </c>
      <c r="S158" s="1338">
        <v>0</v>
      </c>
      <c r="T158" s="1338">
        <v>0</v>
      </c>
      <c r="U158" s="1338">
        <v>0</v>
      </c>
      <c r="V158" s="1338">
        <v>0</v>
      </c>
      <c r="W158" s="1338">
        <v>0</v>
      </c>
      <c r="X158" s="1338">
        <v>40</v>
      </c>
      <c r="Y158" s="1338">
        <v>91</v>
      </c>
      <c r="Z158" s="1338">
        <v>42</v>
      </c>
      <c r="AA158" s="1338">
        <v>0</v>
      </c>
      <c r="AB158" s="1338">
        <v>0</v>
      </c>
      <c r="AC158" s="1338">
        <v>0</v>
      </c>
      <c r="AD158" s="1338">
        <v>0</v>
      </c>
      <c r="AE158" s="1338">
        <v>0</v>
      </c>
      <c r="AF158" s="1338">
        <v>0</v>
      </c>
      <c r="AG158" s="1338">
        <v>0</v>
      </c>
      <c r="AH158" s="1338">
        <v>0</v>
      </c>
      <c r="AI158" s="553">
        <f>SUM(D158:AH158)</f>
        <v>255</v>
      </c>
      <c r="AJ158" s="1011">
        <v>50.78479295859173</v>
      </c>
      <c r="AK158" s="661">
        <f t="shared" si="9"/>
        <v>129.50122204440891</v>
      </c>
      <c r="AL158" s="1011" t="s">
        <v>396</v>
      </c>
      <c r="AM158" s="552"/>
      <c r="AN158" s="555"/>
      <c r="AO158" s="555"/>
    </row>
    <row r="159" spans="1:41" ht="54" hidden="1" customHeight="1">
      <c r="A159" s="1324">
        <v>138</v>
      </c>
      <c r="B159" s="1324">
        <v>61</v>
      </c>
      <c r="C159" s="552" t="str">
        <f>'Chấm công KT'!C154</f>
        <v>Nang On Xi</v>
      </c>
      <c r="D159" s="1012"/>
      <c r="E159" s="1012"/>
      <c r="F159" s="1012"/>
      <c r="G159" s="1012"/>
      <c r="H159" s="1012"/>
      <c r="I159" s="1012"/>
      <c r="J159" s="1012"/>
      <c r="K159" s="1012"/>
      <c r="L159" s="1012"/>
      <c r="M159" s="1012"/>
      <c r="N159" s="1012"/>
      <c r="O159" s="1012"/>
      <c r="P159" s="1013"/>
      <c r="Q159" s="1013"/>
      <c r="R159" s="1013"/>
      <c r="S159" s="1013"/>
      <c r="T159" s="1013"/>
      <c r="U159" s="1013"/>
      <c r="V159" s="1013"/>
      <c r="W159" s="1013"/>
      <c r="X159" s="1013"/>
      <c r="Y159" s="1013"/>
      <c r="Z159" s="1013"/>
      <c r="AA159" s="1013"/>
      <c r="AB159" s="1013"/>
      <c r="AC159" s="1013"/>
      <c r="AD159" s="1013"/>
      <c r="AE159" s="1013"/>
      <c r="AF159" s="1013"/>
      <c r="AG159" s="1013"/>
      <c r="AH159" s="913"/>
      <c r="AI159" s="553">
        <f>SUM(D159:AH159)</f>
        <v>0</v>
      </c>
      <c r="AJ159" s="1011"/>
      <c r="AK159" s="661">
        <f t="shared" si="9"/>
        <v>0</v>
      </c>
      <c r="AL159" s="1011"/>
      <c r="AM159" s="552"/>
      <c r="AN159" s="555"/>
      <c r="AO159" s="555"/>
    </row>
    <row r="160" spans="1:41" ht="54" hidden="1" customHeight="1">
      <c r="A160" s="1324">
        <v>139</v>
      </c>
      <c r="B160" s="1324">
        <v>62</v>
      </c>
      <c r="C160" s="552" t="str">
        <f>'Chấm công KT'!C155</f>
        <v>Thảo Túc</v>
      </c>
      <c r="D160" s="1012"/>
      <c r="E160" s="1012"/>
      <c r="F160" s="1012"/>
      <c r="G160" s="1012"/>
      <c r="H160" s="1012"/>
      <c r="I160" s="1012"/>
      <c r="J160" s="1012"/>
      <c r="K160" s="1012"/>
      <c r="L160" s="1012"/>
      <c r="M160" s="1012"/>
      <c r="N160" s="1012"/>
      <c r="O160" s="1012"/>
      <c r="P160" s="1013"/>
      <c r="Q160" s="1013"/>
      <c r="R160" s="1013"/>
      <c r="S160" s="1013"/>
      <c r="T160" s="1013"/>
      <c r="U160" s="1013"/>
      <c r="V160" s="1013"/>
      <c r="W160" s="1013"/>
      <c r="X160" s="1013"/>
      <c r="Y160" s="1013"/>
      <c r="Z160" s="1013"/>
      <c r="AA160" s="1013"/>
      <c r="AB160" s="1013"/>
      <c r="AC160" s="1013"/>
      <c r="AD160" s="1013"/>
      <c r="AE160" s="1013"/>
      <c r="AF160" s="1013"/>
      <c r="AG160" s="1013"/>
      <c r="AH160" s="913"/>
      <c r="AI160" s="553">
        <f>SUM(D160:AH160)</f>
        <v>0</v>
      </c>
      <c r="AJ160" s="1011"/>
      <c r="AK160" s="661">
        <f t="shared" si="9"/>
        <v>0</v>
      </c>
      <c r="AL160" s="1011"/>
      <c r="AM160" s="552"/>
      <c r="AN160" s="555"/>
      <c r="AO160" s="555"/>
    </row>
    <row r="161" spans="1:43" ht="54" customHeight="1">
      <c r="A161" s="1421" t="s">
        <v>158</v>
      </c>
      <c r="B161" s="1421"/>
      <c r="C161" s="1421"/>
      <c r="D161" s="554">
        <f>D16+D98</f>
        <v>3702</v>
      </c>
      <c r="E161" s="554">
        <f t="shared" ref="E161:AK161" si="10">E16+E98</f>
        <v>732</v>
      </c>
      <c r="F161" s="554">
        <f t="shared" si="10"/>
        <v>0</v>
      </c>
      <c r="G161" s="554">
        <f t="shared" si="10"/>
        <v>0</v>
      </c>
      <c r="H161" s="554">
        <f t="shared" si="10"/>
        <v>0</v>
      </c>
      <c r="I161" s="554">
        <f t="shared" si="10"/>
        <v>1417</v>
      </c>
      <c r="J161" s="554">
        <f t="shared" si="10"/>
        <v>1957</v>
      </c>
      <c r="K161" s="554">
        <f t="shared" si="10"/>
        <v>3954</v>
      </c>
      <c r="L161" s="554">
        <f t="shared" si="10"/>
        <v>4857</v>
      </c>
      <c r="M161" s="554">
        <f t="shared" si="10"/>
        <v>3212</v>
      </c>
      <c r="N161" s="554">
        <f t="shared" si="10"/>
        <v>9265</v>
      </c>
      <c r="O161" s="554">
        <f t="shared" si="10"/>
        <v>8632</v>
      </c>
      <c r="P161" s="554">
        <f t="shared" si="10"/>
        <v>8638</v>
      </c>
      <c r="Q161" s="554">
        <f t="shared" si="10"/>
        <v>7581</v>
      </c>
      <c r="R161" s="554">
        <f t="shared" si="10"/>
        <v>8216</v>
      </c>
      <c r="S161" s="554">
        <f t="shared" si="10"/>
        <v>9059</v>
      </c>
      <c r="T161" s="554">
        <f t="shared" si="10"/>
        <v>10039</v>
      </c>
      <c r="U161" s="554">
        <f t="shared" si="10"/>
        <v>8044</v>
      </c>
      <c r="V161" s="554">
        <f t="shared" si="10"/>
        <v>11011</v>
      </c>
      <c r="W161" s="554">
        <f t="shared" si="10"/>
        <v>10458</v>
      </c>
      <c r="X161" s="554">
        <f t="shared" si="10"/>
        <v>9452</v>
      </c>
      <c r="Y161" s="554">
        <f t="shared" si="10"/>
        <v>8219</v>
      </c>
      <c r="Z161" s="554">
        <f t="shared" si="10"/>
        <v>9207</v>
      </c>
      <c r="AA161" s="554">
        <f t="shared" si="10"/>
        <v>9855</v>
      </c>
      <c r="AB161" s="554">
        <f t="shared" si="10"/>
        <v>9293</v>
      </c>
      <c r="AC161" s="554">
        <f t="shared" si="10"/>
        <v>7636</v>
      </c>
      <c r="AD161" s="554">
        <f t="shared" si="10"/>
        <v>8527</v>
      </c>
      <c r="AE161" s="554">
        <f t="shared" si="10"/>
        <v>9946</v>
      </c>
      <c r="AF161" s="554">
        <f t="shared" si="10"/>
        <v>8568</v>
      </c>
      <c r="AG161" s="554">
        <f t="shared" si="10"/>
        <v>6938</v>
      </c>
      <c r="AH161" s="554">
        <f t="shared" si="10"/>
        <v>8924</v>
      </c>
      <c r="AI161" s="554">
        <f t="shared" si="10"/>
        <v>207339</v>
      </c>
      <c r="AJ161" s="554"/>
      <c r="AK161" s="554">
        <f t="shared" si="10"/>
        <v>105901.64300000001</v>
      </c>
      <c r="AL161" s="552"/>
      <c r="AM161" s="552"/>
      <c r="AN161" s="555"/>
      <c r="AO161" s="555" t="e">
        <f>SUM(#REF!)</f>
        <v>#REF!</v>
      </c>
    </row>
    <row r="162" spans="1:43" ht="41.25" customHeight="1">
      <c r="B162" s="556"/>
      <c r="C162" s="556"/>
      <c r="D162" s="556"/>
      <c r="E162" s="556"/>
      <c r="F162" s="556"/>
      <c r="G162" s="556"/>
      <c r="H162" s="556"/>
      <c r="I162" s="556"/>
      <c r="J162" s="556"/>
      <c r="K162" s="556"/>
      <c r="L162" s="556"/>
      <c r="M162" s="556"/>
      <c r="N162" s="556"/>
      <c r="O162" s="556"/>
      <c r="P162" s="556"/>
      <c r="Q162" s="556"/>
      <c r="R162" s="556"/>
      <c r="S162" s="556"/>
      <c r="T162" s="556"/>
      <c r="U162" s="556"/>
      <c r="V162" s="556"/>
      <c r="W162" s="556"/>
      <c r="X162" s="556"/>
      <c r="AM162" s="555"/>
      <c r="AN162" s="555"/>
      <c r="AO162" s="555"/>
    </row>
    <row r="163" spans="1:43" ht="41.25" customHeight="1">
      <c r="A163" s="1376" t="s">
        <v>6</v>
      </c>
      <c r="B163" s="1376"/>
      <c r="C163" s="1376"/>
      <c r="D163" s="1380" t="s">
        <v>387</v>
      </c>
      <c r="E163" s="1381"/>
      <c r="F163" s="1382"/>
      <c r="G163" s="1376" t="s">
        <v>389</v>
      </c>
      <c r="H163" s="1376"/>
      <c r="I163" s="1376"/>
      <c r="J163" s="1376"/>
      <c r="K163" s="1380" t="s">
        <v>392</v>
      </c>
      <c r="L163" s="1381"/>
      <c r="M163" s="1381"/>
      <c r="N163" s="1381"/>
      <c r="O163" s="1382"/>
      <c r="P163" s="1380" t="s">
        <v>393</v>
      </c>
      <c r="Q163" s="1381"/>
      <c r="R163" s="1381"/>
      <c r="S163" s="1381"/>
      <c r="T163" s="1382"/>
      <c r="U163" s="1414" t="s">
        <v>470</v>
      </c>
      <c r="V163" s="1415"/>
      <c r="W163" s="1415"/>
      <c r="X163" s="1415"/>
      <c r="Y163" s="1415"/>
      <c r="Z163" s="1415"/>
      <c r="AA163" s="1415"/>
      <c r="AB163" s="1416"/>
      <c r="AC163" s="1414" t="s">
        <v>471</v>
      </c>
      <c r="AD163" s="1415"/>
      <c r="AE163" s="1416"/>
      <c r="AF163" s="546"/>
      <c r="AG163" s="546"/>
      <c r="AH163" s="546"/>
      <c r="AI163" s="546"/>
      <c r="AJ163" s="1387"/>
      <c r="AK163" s="1387"/>
      <c r="AM163" s="555"/>
      <c r="AN163" s="555"/>
      <c r="AO163" s="555" t="e">
        <f>SUM(AO13:AO161)</f>
        <v>#REF!</v>
      </c>
    </row>
    <row r="164" spans="1:43" ht="41.25" customHeight="1">
      <c r="A164" s="1339" t="s">
        <v>394</v>
      </c>
      <c r="B164" s="1340"/>
      <c r="C164" s="1340"/>
      <c r="D164" s="1381">
        <f>SUM(D165:F168)</f>
        <v>133</v>
      </c>
      <c r="E164" s="1381"/>
      <c r="F164" s="1382"/>
      <c r="G164" s="1380"/>
      <c r="H164" s="1381"/>
      <c r="I164" s="1381"/>
      <c r="J164" s="1382"/>
      <c r="K164" s="1377">
        <f>SUM(K165:O168)</f>
        <v>206718</v>
      </c>
      <c r="L164" s="1378"/>
      <c r="M164" s="1378"/>
      <c r="N164" s="1378"/>
      <c r="O164" s="1379"/>
      <c r="P164" s="1377">
        <f>SUM(P165:T168)</f>
        <v>105584.20704903672</v>
      </c>
      <c r="Q164" s="1378"/>
      <c r="R164" s="1378"/>
      <c r="S164" s="1378"/>
      <c r="T164" s="1379"/>
      <c r="U164" s="1417">
        <f>SUM(U165:AB167)</f>
        <v>99.700253988539842</v>
      </c>
      <c r="V164" s="1418"/>
      <c r="W164" s="1418"/>
      <c r="X164" s="1418"/>
      <c r="Y164" s="1418"/>
      <c r="Z164" s="1418"/>
      <c r="AA164" s="1418"/>
      <c r="AB164" s="1418"/>
      <c r="AC164" s="1389"/>
      <c r="AD164" s="1390"/>
      <c r="AE164" s="1391"/>
      <c r="AF164" s="546"/>
      <c r="AG164" s="546"/>
      <c r="AH164" s="546"/>
      <c r="AI164" s="546"/>
      <c r="AJ164" s="546"/>
      <c r="AK164" s="546"/>
      <c r="AM164" s="555"/>
      <c r="AN164" s="555"/>
      <c r="AO164" s="555"/>
    </row>
    <row r="165" spans="1:43" ht="41.25" customHeight="1">
      <c r="A165" s="1420">
        <v>1</v>
      </c>
      <c r="B165" s="1420"/>
      <c r="C165" s="1420"/>
      <c r="D165" s="1420">
        <f>SUM(COUNTIF(AL16:AL160,"A"))</f>
        <v>89</v>
      </c>
      <c r="E165" s="1420"/>
      <c r="F165" s="1420"/>
      <c r="G165" s="1420" t="s">
        <v>40</v>
      </c>
      <c r="H165" s="1420"/>
      <c r="I165" s="1420"/>
      <c r="J165" s="1420"/>
      <c r="K165" s="1411">
        <f>SUMIF($AL$15:$AL$160,"A",$AI$15:$AI$160)</f>
        <v>147860</v>
      </c>
      <c r="L165" s="1412"/>
      <c r="M165" s="1412"/>
      <c r="N165" s="1412"/>
      <c r="O165" s="1413"/>
      <c r="P165" s="1407">
        <f>SUMIF($AL$15:$AL$160,"A",$AK$15:$AK$160)</f>
        <v>75496.172267381087</v>
      </c>
      <c r="Q165" s="1407"/>
      <c r="R165" s="1407"/>
      <c r="S165" s="1407"/>
      <c r="T165" s="1407"/>
      <c r="U165" s="1392">
        <f>P165/P171*100</f>
        <v>71.288952776097247</v>
      </c>
      <c r="V165" s="1392"/>
      <c r="W165" s="1392"/>
      <c r="X165" s="1392"/>
      <c r="Y165" s="1392"/>
      <c r="Z165" s="1392"/>
      <c r="AA165" s="1392"/>
      <c r="AB165" s="1392"/>
      <c r="AC165" s="1389"/>
      <c r="AD165" s="1390"/>
      <c r="AE165" s="1391"/>
      <c r="AF165" s="546"/>
      <c r="AG165" s="546"/>
      <c r="AH165" s="546"/>
      <c r="AI165" s="546"/>
      <c r="AJ165" s="546"/>
      <c r="AK165" s="546"/>
      <c r="AM165" s="555"/>
      <c r="AN165" s="555"/>
      <c r="AO165" s="555"/>
    </row>
    <row r="166" spans="1:43" ht="41.25" customHeight="1">
      <c r="A166" s="1420">
        <v>2</v>
      </c>
      <c r="B166" s="1420"/>
      <c r="C166" s="1420"/>
      <c r="D166" s="1420">
        <f>SUM(COUNTIF(AL16:AL160,"B"))</f>
        <v>38</v>
      </c>
      <c r="E166" s="1420"/>
      <c r="F166" s="1420"/>
      <c r="G166" s="1420" t="s">
        <v>48</v>
      </c>
      <c r="H166" s="1420"/>
      <c r="I166" s="1420"/>
      <c r="J166" s="1420"/>
      <c r="K166" s="1407">
        <f>SUMIF($AL$15:$AL$160,"B",$AI$15:$AI$160)</f>
        <v>53328</v>
      </c>
      <c r="L166" s="1407"/>
      <c r="M166" s="1407"/>
      <c r="N166" s="1407"/>
      <c r="O166" s="1407"/>
      <c r="P166" s="1407">
        <f>SUMIF($AL$15:$AL$160,"B",$AK$15:$AK$160)</f>
        <v>27260.882662997141</v>
      </c>
      <c r="Q166" s="1407"/>
      <c r="R166" s="1407"/>
      <c r="S166" s="1407"/>
      <c r="T166" s="1407"/>
      <c r="U166" s="1392">
        <f>P166/P171*100</f>
        <v>25.741699458805513</v>
      </c>
      <c r="V166" s="1392"/>
      <c r="W166" s="1392"/>
      <c r="X166" s="1392"/>
      <c r="Y166" s="1392"/>
      <c r="Z166" s="1392"/>
      <c r="AA166" s="1392"/>
      <c r="AB166" s="1392"/>
      <c r="AC166" s="1389"/>
      <c r="AD166" s="1390"/>
      <c r="AE166" s="1391"/>
      <c r="AF166" s="546"/>
      <c r="AG166" s="546"/>
      <c r="AH166" s="546"/>
      <c r="AI166" s="546"/>
      <c r="AJ166" s="546"/>
      <c r="AK166" s="640"/>
      <c r="AM166" s="555"/>
      <c r="AN166" s="555"/>
      <c r="AO166" s="555"/>
    </row>
    <row r="167" spans="1:43" ht="41.25" customHeight="1">
      <c r="A167" s="1420">
        <v>3</v>
      </c>
      <c r="B167" s="1420"/>
      <c r="C167" s="1420"/>
      <c r="D167" s="1420">
        <f>SUM(COUNTIF(AL16:AL160,"C"))</f>
        <v>6</v>
      </c>
      <c r="E167" s="1420"/>
      <c r="F167" s="1420"/>
      <c r="G167" s="1420" t="s">
        <v>388</v>
      </c>
      <c r="H167" s="1420"/>
      <c r="I167" s="1420"/>
      <c r="J167" s="1420"/>
      <c r="K167" s="1407">
        <f>SUMIF($AL$15:$AL$160,"C",$AI$15:$AI$160)</f>
        <v>5530</v>
      </c>
      <c r="L167" s="1407"/>
      <c r="M167" s="1407"/>
      <c r="N167" s="1407"/>
      <c r="O167" s="1407"/>
      <c r="P167" s="1407">
        <f>SUMIF($AL$15:$AL$160,"C",$AK$15:$AK$160)</f>
        <v>2827.1521186584882</v>
      </c>
      <c r="Q167" s="1407"/>
      <c r="R167" s="1407"/>
      <c r="S167" s="1407"/>
      <c r="T167" s="1407"/>
      <c r="U167" s="1392">
        <f>P167/P171*100</f>
        <v>2.6696017536370884</v>
      </c>
      <c r="V167" s="1392"/>
      <c r="W167" s="1392"/>
      <c r="X167" s="1392"/>
      <c r="Y167" s="1392"/>
      <c r="Z167" s="1392"/>
      <c r="AA167" s="1392"/>
      <c r="AB167" s="1392"/>
      <c r="AC167" s="1389"/>
      <c r="AD167" s="1390"/>
      <c r="AE167" s="1391"/>
      <c r="AF167" s="546"/>
      <c r="AG167" s="546"/>
      <c r="AH167" s="546"/>
      <c r="AI167" s="546"/>
      <c r="AJ167" s="546"/>
      <c r="AK167" s="546"/>
      <c r="AM167" s="555"/>
      <c r="AN167" s="555"/>
      <c r="AO167" s="555"/>
    </row>
    <row r="168" spans="1:43" ht="41.25" customHeight="1">
      <c r="A168" s="1420">
        <v>4</v>
      </c>
      <c r="B168" s="1420"/>
      <c r="C168" s="1420"/>
      <c r="D168" s="1420">
        <f>SUM(COUNTIF(AL16:AL160,"D"))</f>
        <v>0</v>
      </c>
      <c r="E168" s="1420"/>
      <c r="F168" s="1420"/>
      <c r="G168" s="1420" t="s">
        <v>49</v>
      </c>
      <c r="H168" s="1420"/>
      <c r="I168" s="1420"/>
      <c r="J168" s="1420"/>
      <c r="K168" s="1407">
        <f>SUMIF($AL$15:$AL$160,"D",$AI$15:$AI$160)</f>
        <v>0</v>
      </c>
      <c r="L168" s="1407"/>
      <c r="M168" s="1407"/>
      <c r="N168" s="1407"/>
      <c r="O168" s="1407"/>
      <c r="P168" s="1407">
        <f>SUMIF($AL$15:$AL$160,"D",$AK$15:$AK$160)</f>
        <v>0</v>
      </c>
      <c r="Q168" s="1407"/>
      <c r="R168" s="1407"/>
      <c r="S168" s="1407"/>
      <c r="T168" s="1407"/>
      <c r="U168" s="1392">
        <f>P168/P171*100</f>
        <v>0</v>
      </c>
      <c r="V168" s="1392"/>
      <c r="W168" s="1392"/>
      <c r="X168" s="1392"/>
      <c r="Y168" s="1392"/>
      <c r="Z168" s="1392"/>
      <c r="AA168" s="1392"/>
      <c r="AB168" s="1392"/>
      <c r="AC168" s="1389"/>
      <c r="AD168" s="1390"/>
      <c r="AE168" s="1391"/>
      <c r="AF168" s="546"/>
      <c r="AG168" s="546"/>
      <c r="AH168" s="546"/>
      <c r="AI168" s="546"/>
      <c r="AJ168" s="546"/>
      <c r="AK168" s="546"/>
      <c r="AM168" s="555"/>
      <c r="AN168" s="555"/>
      <c r="AO168" s="555"/>
    </row>
    <row r="169" spans="1:43" s="1295" customFormat="1" ht="41.25" customHeight="1">
      <c r="A169" s="1339" t="s">
        <v>395</v>
      </c>
      <c r="B169" s="1340"/>
      <c r="C169" s="1340"/>
      <c r="D169" s="1381">
        <f>D170</f>
        <v>4</v>
      </c>
      <c r="E169" s="1381"/>
      <c r="F169" s="1382"/>
      <c r="G169" s="1380"/>
      <c r="H169" s="1381"/>
      <c r="I169" s="1381"/>
      <c r="J169" s="1382"/>
      <c r="K169" s="1377">
        <f>K170</f>
        <v>621</v>
      </c>
      <c r="L169" s="1378"/>
      <c r="M169" s="1378"/>
      <c r="N169" s="1378"/>
      <c r="O169" s="1379"/>
      <c r="P169" s="1377">
        <f>P170</f>
        <v>317.43595096326982</v>
      </c>
      <c r="Q169" s="1378"/>
      <c r="R169" s="1378"/>
      <c r="S169" s="1378"/>
      <c r="T169" s="1379"/>
      <c r="U169" s="1424">
        <f>U170</f>
        <v>0.29974601146015256</v>
      </c>
      <c r="V169" s="1425"/>
      <c r="W169" s="1425"/>
      <c r="X169" s="1425"/>
      <c r="Y169" s="1425"/>
      <c r="Z169" s="1425"/>
      <c r="AA169" s="1425"/>
      <c r="AB169" s="1426"/>
      <c r="AC169" s="1389"/>
      <c r="AD169" s="1390"/>
      <c r="AE169" s="1391"/>
      <c r="AF169" s="1341"/>
      <c r="AG169" s="1341"/>
      <c r="AH169" s="1341"/>
      <c r="AI169" s="1341"/>
      <c r="AJ169" s="1341"/>
      <c r="AK169" s="1341"/>
    </row>
    <row r="170" spans="1:43" ht="41.25" customHeight="1">
      <c r="A170" s="1408">
        <v>1</v>
      </c>
      <c r="B170" s="1409"/>
      <c r="C170" s="1410"/>
      <c r="D170" s="1420">
        <f>SUM(COUNTIF(AL19:AL163,"C."))</f>
        <v>4</v>
      </c>
      <c r="E170" s="1420"/>
      <c r="F170" s="1420"/>
      <c r="G170" s="1408" t="s">
        <v>396</v>
      </c>
      <c r="H170" s="1409"/>
      <c r="I170" s="1409"/>
      <c r="J170" s="1410"/>
      <c r="K170" s="1407">
        <f>SUMIF($AL$15:$AL$160,"C.",$AI$15:$AI$160)</f>
        <v>621</v>
      </c>
      <c r="L170" s="1407"/>
      <c r="M170" s="1407"/>
      <c r="N170" s="1407"/>
      <c r="O170" s="1407"/>
      <c r="P170" s="1407">
        <f>SUMIF($AL$15:$AL$160,"C.",$AK$15:$AK$160)</f>
        <v>317.43595096326982</v>
      </c>
      <c r="Q170" s="1407"/>
      <c r="R170" s="1407"/>
      <c r="S170" s="1407"/>
      <c r="T170" s="1407"/>
      <c r="U170" s="1392">
        <f>P170/P171*100</f>
        <v>0.29974601146015256</v>
      </c>
      <c r="V170" s="1392"/>
      <c r="W170" s="1392"/>
      <c r="X170" s="1392"/>
      <c r="Y170" s="1392"/>
      <c r="Z170" s="1392"/>
      <c r="AA170" s="1392"/>
      <c r="AB170" s="1392"/>
      <c r="AC170" s="1389"/>
      <c r="AD170" s="1390"/>
      <c r="AE170" s="1391"/>
      <c r="AF170" s="546"/>
      <c r="AG170" s="546"/>
      <c r="AH170" s="546"/>
      <c r="AI170" s="546"/>
      <c r="AJ170" s="546"/>
      <c r="AK170" s="546"/>
      <c r="AM170" s="555"/>
      <c r="AN170" s="555"/>
      <c r="AO170" s="555"/>
    </row>
    <row r="171" spans="1:43" ht="41.25" customHeight="1">
      <c r="A171" s="1376" t="s">
        <v>158</v>
      </c>
      <c r="B171" s="1376"/>
      <c r="C171" s="1376"/>
      <c r="D171" s="1376">
        <f>D164+D169</f>
        <v>137</v>
      </c>
      <c r="E171" s="1376"/>
      <c r="F171" s="1376"/>
      <c r="G171" s="1380"/>
      <c r="H171" s="1381"/>
      <c r="I171" s="1381"/>
      <c r="J171" s="1382"/>
      <c r="K171" s="1384">
        <f>K164+K169</f>
        <v>207339</v>
      </c>
      <c r="L171" s="1385"/>
      <c r="M171" s="1385"/>
      <c r="N171" s="1385"/>
      <c r="O171" s="1386"/>
      <c r="P171" s="1384">
        <f>P164+P169</f>
        <v>105901.64299999998</v>
      </c>
      <c r="Q171" s="1385"/>
      <c r="R171" s="1385"/>
      <c r="S171" s="1385"/>
      <c r="T171" s="1386"/>
      <c r="U171" s="1393">
        <f>U164+U169</f>
        <v>100</v>
      </c>
      <c r="V171" s="1393"/>
      <c r="W171" s="1393"/>
      <c r="X171" s="1393"/>
      <c r="Y171" s="1393"/>
      <c r="Z171" s="1393"/>
      <c r="AA171" s="1393"/>
      <c r="AB171" s="1393"/>
      <c r="AC171" s="1394"/>
      <c r="AD171" s="1395"/>
      <c r="AE171" s="1396"/>
      <c r="AF171" s="546"/>
      <c r="AG171" s="546"/>
      <c r="AH171" s="546"/>
      <c r="AI171" s="546"/>
      <c r="AJ171" s="546"/>
      <c r="AK171" s="546"/>
      <c r="AM171" s="555"/>
      <c r="AN171" s="555"/>
      <c r="AO171" s="555"/>
    </row>
    <row r="172" spans="1:43" ht="79.5" customHeight="1">
      <c r="B172" s="556"/>
      <c r="C172" s="556"/>
      <c r="D172" s="556"/>
      <c r="E172" s="556"/>
      <c r="F172" s="556"/>
      <c r="G172" s="556"/>
      <c r="H172" s="556"/>
      <c r="I172" s="556"/>
      <c r="J172" s="556"/>
      <c r="K172" s="556"/>
      <c r="L172" s="556"/>
      <c r="M172" s="556"/>
      <c r="N172" s="556"/>
      <c r="O172" s="556"/>
      <c r="P172" s="556"/>
      <c r="Q172" s="556"/>
      <c r="R172" s="556"/>
      <c r="S172" s="556"/>
      <c r="T172" s="556"/>
      <c r="U172" s="556"/>
      <c r="V172" s="556"/>
      <c r="W172" s="556"/>
      <c r="X172" s="556"/>
      <c r="Y172" s="1383" t="s">
        <v>695</v>
      </c>
      <c r="Z172" s="1383"/>
      <c r="AA172" s="1383"/>
      <c r="AB172" s="1383"/>
      <c r="AC172" s="1383"/>
      <c r="AD172" s="1383"/>
      <c r="AE172" s="1383"/>
      <c r="AF172" s="1383"/>
      <c r="AG172" s="1383"/>
      <c r="AH172" s="1383"/>
      <c r="AI172" s="1383"/>
      <c r="AJ172" s="1383"/>
      <c r="AK172" s="1383"/>
      <c r="AL172" s="1383"/>
      <c r="AM172" s="555"/>
      <c r="AN172" s="555"/>
      <c r="AO172" s="555"/>
    </row>
    <row r="173" spans="1:43" ht="106.5" customHeight="1">
      <c r="A173" s="1423" t="s">
        <v>657</v>
      </c>
      <c r="B173" s="1423"/>
      <c r="C173" s="1423"/>
      <c r="D173" s="1423"/>
      <c r="E173" s="1423"/>
      <c r="F173" s="1423"/>
      <c r="G173" s="1423"/>
      <c r="H173" s="1423"/>
      <c r="I173" s="1423"/>
      <c r="J173" s="1423"/>
      <c r="K173" s="1423"/>
      <c r="L173" s="1423"/>
      <c r="M173" s="1423"/>
      <c r="N173" s="1423"/>
      <c r="O173" s="1423"/>
      <c r="P173" s="1423"/>
      <c r="Q173" s="1423"/>
      <c r="R173" s="1423"/>
      <c r="S173" s="1423"/>
      <c r="T173" s="1423"/>
      <c r="U173" s="1423"/>
      <c r="V173" s="1423"/>
      <c r="W173" s="1423"/>
      <c r="X173" s="1423"/>
      <c r="Y173" s="1423"/>
      <c r="Z173" s="1423"/>
      <c r="AA173" s="1423"/>
      <c r="AB173" s="1423"/>
      <c r="AC173" s="1423"/>
      <c r="AD173" s="1423"/>
      <c r="AE173" s="1423"/>
      <c r="AF173" s="1423"/>
      <c r="AG173" s="1423"/>
      <c r="AH173" s="1423"/>
      <c r="AI173" s="1423"/>
      <c r="AJ173" s="1423"/>
      <c r="AK173" s="1423"/>
      <c r="AL173" s="1423"/>
      <c r="AM173" s="1423"/>
      <c r="AN173" s="1423"/>
      <c r="AO173" s="1342"/>
      <c r="AP173" s="1342"/>
      <c r="AQ173" s="1342"/>
    </row>
    <row r="174" spans="1:43" ht="28.5" customHeight="1">
      <c r="A174" s="1343"/>
      <c r="B174" s="1344"/>
      <c r="C174" s="1343"/>
      <c r="D174" s="1343"/>
      <c r="E174" s="1343"/>
      <c r="F174" s="1343"/>
      <c r="G174" s="1343"/>
      <c r="H174" s="1343"/>
      <c r="I174" s="1343"/>
      <c r="J174" s="1343"/>
      <c r="K174" s="1343"/>
      <c r="L174" s="1343"/>
      <c r="M174" s="1343"/>
      <c r="N174" s="1343"/>
      <c r="O174" s="1343"/>
      <c r="P174" s="1343"/>
      <c r="Q174" s="1343"/>
      <c r="R174" s="1350">
        <f>P170+P167</f>
        <v>3144.5880696217582</v>
      </c>
      <c r="S174" s="1343"/>
      <c r="T174" s="1343"/>
      <c r="U174" s="1343"/>
      <c r="V174" s="1343"/>
      <c r="W174" s="1343"/>
      <c r="X174" s="1343"/>
      <c r="Y174" s="1343"/>
      <c r="Z174" s="1343"/>
      <c r="AA174" s="1343"/>
      <c r="AB174" s="1343"/>
      <c r="AC174" s="1343"/>
      <c r="AD174" s="1343"/>
      <c r="AE174" s="1343"/>
      <c r="AF174" s="1343"/>
      <c r="AG174" s="1343"/>
      <c r="AH174" s="1343"/>
      <c r="AI174" s="1343"/>
      <c r="AJ174" s="1343"/>
      <c r="AK174" s="1343"/>
      <c r="AL174" s="1343"/>
      <c r="AM174" s="1343"/>
      <c r="AN174" s="1343"/>
      <c r="AO174" s="1343"/>
      <c r="AP174" s="1345"/>
      <c r="AQ174" s="1344"/>
    </row>
    <row r="175" spans="1:43" ht="28.5" customHeight="1">
      <c r="A175" s="1343"/>
      <c r="B175" s="1343"/>
      <c r="C175" s="1343"/>
      <c r="D175" s="1343"/>
      <c r="E175" s="1343"/>
      <c r="F175" s="1343"/>
      <c r="G175" s="1343"/>
      <c r="H175" s="1343"/>
      <c r="I175" s="1346"/>
      <c r="J175" s="1346"/>
      <c r="K175" s="1346"/>
      <c r="L175" s="1343"/>
      <c r="M175" s="1346"/>
      <c r="N175" s="1346"/>
      <c r="O175" s="1346"/>
      <c r="P175" s="1343"/>
      <c r="Q175" s="1346"/>
      <c r="R175" s="1343"/>
      <c r="S175" s="1343"/>
      <c r="T175" s="1345"/>
      <c r="U175" s="1343"/>
      <c r="V175" s="1343"/>
      <c r="W175" s="1343"/>
      <c r="X175" s="1343"/>
      <c r="Y175" s="1343"/>
      <c r="Z175" s="1343"/>
      <c r="AA175" s="1343"/>
      <c r="AB175" s="1343"/>
      <c r="AC175" s="1343"/>
      <c r="AD175" s="1343"/>
      <c r="AE175" s="1343"/>
      <c r="AF175" s="1343"/>
      <c r="AG175" s="1343"/>
      <c r="AH175" s="1343"/>
      <c r="AI175" s="1343"/>
      <c r="AJ175" s="1345"/>
      <c r="AK175" s="1345"/>
      <c r="AL175" s="1345"/>
      <c r="AM175" s="1345"/>
      <c r="AN175" s="1345"/>
      <c r="AO175" s="1345"/>
      <c r="AP175" s="1343"/>
      <c r="AQ175" s="1344"/>
    </row>
    <row r="176" spans="1:43" ht="28.5" customHeight="1">
      <c r="A176" s="1343"/>
      <c r="B176" s="1343"/>
      <c r="C176" s="1343"/>
      <c r="D176" s="1343"/>
      <c r="E176" s="1343"/>
      <c r="F176" s="1343"/>
      <c r="G176" s="1343"/>
      <c r="H176" s="1343"/>
      <c r="I176" s="1346"/>
      <c r="J176" s="1346"/>
      <c r="K176" s="1343"/>
      <c r="L176" s="1343"/>
      <c r="M176" s="1346"/>
      <c r="N176" s="1346"/>
      <c r="O176" s="1343"/>
      <c r="P176" s="1343"/>
      <c r="Q176" s="1346"/>
      <c r="R176" s="1343"/>
      <c r="S176" s="1343"/>
      <c r="T176" s="1345"/>
      <c r="U176" s="1343"/>
      <c r="V176" s="1343"/>
      <c r="W176" s="1343"/>
      <c r="X176" s="1343"/>
      <c r="Y176" s="1343"/>
      <c r="Z176" s="1343"/>
      <c r="AA176" s="1343"/>
      <c r="AB176" s="1343"/>
      <c r="AC176" s="1343"/>
      <c r="AD176" s="1343"/>
      <c r="AE176" s="1343"/>
      <c r="AF176" s="1343"/>
      <c r="AG176" s="1343"/>
      <c r="AH176" s="1343"/>
      <c r="AI176" s="1343"/>
      <c r="AJ176" s="1343"/>
      <c r="AK176" s="1343"/>
      <c r="AL176" s="1343"/>
      <c r="AM176" s="1343"/>
      <c r="AN176" s="1343"/>
      <c r="AO176" s="1343"/>
      <c r="AP176" s="1343"/>
      <c r="AQ176" s="1344"/>
    </row>
    <row r="177" spans="1:43" ht="28.5" customHeight="1">
      <c r="A177" s="1343"/>
      <c r="B177" s="1343"/>
      <c r="C177" s="1343"/>
      <c r="D177" s="1343"/>
      <c r="E177" s="1343"/>
      <c r="F177" s="1343"/>
      <c r="G177" s="1343"/>
      <c r="H177" s="1343"/>
      <c r="I177" s="1346"/>
      <c r="J177" s="1346"/>
      <c r="K177" s="1346"/>
      <c r="L177" s="1343"/>
      <c r="M177" s="1343"/>
      <c r="N177" s="1343"/>
      <c r="O177" s="1343"/>
      <c r="P177" s="1343"/>
      <c r="Q177" s="1346"/>
      <c r="R177" s="1343"/>
      <c r="S177" s="1343"/>
      <c r="T177" s="1345"/>
      <c r="U177" s="1343"/>
      <c r="V177" s="1343"/>
      <c r="W177" s="1343"/>
      <c r="X177" s="1343"/>
      <c r="Y177" s="1343"/>
      <c r="Z177" s="1343"/>
      <c r="AA177" s="1343"/>
      <c r="AB177" s="1343"/>
      <c r="AC177" s="1343"/>
      <c r="AD177" s="1343"/>
      <c r="AE177" s="1343"/>
      <c r="AF177" s="1343"/>
      <c r="AG177" s="1343"/>
      <c r="AH177" s="1343"/>
      <c r="AI177" s="1343"/>
      <c r="AJ177" s="1343"/>
      <c r="AK177" s="1343"/>
      <c r="AL177" s="1343"/>
      <c r="AM177" s="1343"/>
      <c r="AN177" s="1343"/>
      <c r="AO177" s="1343"/>
      <c r="AP177" s="1343"/>
      <c r="AQ177" s="1344"/>
    </row>
    <row r="178" spans="1:43" ht="28.5" customHeight="1">
      <c r="A178" s="1343"/>
      <c r="B178" s="1343"/>
      <c r="C178" s="1343"/>
      <c r="D178" s="1401"/>
      <c r="E178" s="1401"/>
      <c r="F178" s="1401"/>
      <c r="G178" s="1401"/>
      <c r="H178" s="1401"/>
      <c r="I178" s="1346"/>
      <c r="J178" s="1346"/>
      <c r="K178" s="1346"/>
      <c r="L178" s="1343"/>
      <c r="M178" s="1401"/>
      <c r="N178" s="1401"/>
      <c r="O178" s="1401"/>
      <c r="P178" s="1401"/>
      <c r="Q178" s="1401"/>
      <c r="R178" s="1401"/>
      <c r="S178" s="1401"/>
      <c r="T178" s="1345"/>
      <c r="U178" s="1401"/>
      <c r="V178" s="1401"/>
      <c r="W178" s="1401"/>
      <c r="X178" s="1401"/>
      <c r="Y178" s="1401"/>
      <c r="Z178" s="1401"/>
      <c r="AA178" s="1401"/>
      <c r="AB178" s="1401"/>
      <c r="AC178" s="1343"/>
      <c r="AD178" s="1343"/>
      <c r="AE178" s="1347"/>
      <c r="AF178" s="1343"/>
      <c r="AG178" s="1343"/>
      <c r="AH178" s="1343"/>
      <c r="AI178" s="1343"/>
      <c r="AJ178" s="1343"/>
      <c r="AK178" s="1343"/>
      <c r="AL178" s="1343"/>
      <c r="AM178" s="1343"/>
      <c r="AN178" s="1343"/>
      <c r="AO178" s="1343"/>
      <c r="AP178" s="1343"/>
      <c r="AQ178" s="1344"/>
    </row>
    <row r="179" spans="1:43" ht="28.5" customHeight="1">
      <c r="A179" s="1343"/>
      <c r="B179" s="1343"/>
      <c r="C179" s="1343"/>
      <c r="D179" s="1343"/>
      <c r="E179" s="1343"/>
      <c r="F179" s="1343"/>
      <c r="G179" s="1343"/>
      <c r="H179" s="1343"/>
      <c r="I179" s="1346"/>
      <c r="J179" s="1346"/>
      <c r="K179" s="1346"/>
      <c r="L179" s="1344"/>
      <c r="M179" s="1344"/>
      <c r="N179" s="1344"/>
      <c r="O179" s="1344"/>
      <c r="P179" s="1344"/>
      <c r="Q179" s="1343"/>
      <c r="R179" s="1343"/>
      <c r="S179" s="1343"/>
      <c r="T179" s="1345"/>
      <c r="U179" s="1343"/>
      <c r="V179" s="1343"/>
      <c r="W179" s="1343"/>
      <c r="X179" s="1343"/>
      <c r="Y179" s="1343"/>
      <c r="Z179" s="1343"/>
      <c r="AA179" s="1343"/>
      <c r="AB179" s="1343"/>
      <c r="AC179" s="1343"/>
      <c r="AD179" s="1343"/>
      <c r="AE179" s="1343"/>
      <c r="AF179" s="1343"/>
      <c r="AG179" s="1343"/>
      <c r="AH179" s="1343"/>
      <c r="AI179" s="1343"/>
      <c r="AJ179" s="1343"/>
      <c r="AK179" s="1343"/>
      <c r="AL179" s="1343"/>
      <c r="AM179" s="1343"/>
      <c r="AN179" s="1343"/>
      <c r="AO179" s="1343"/>
      <c r="AP179" s="1343"/>
      <c r="AQ179" s="1343"/>
    </row>
    <row r="180" spans="1:43" ht="28.5" customHeight="1">
      <c r="A180" s="1401"/>
      <c r="B180" s="1401"/>
      <c r="C180" s="1401"/>
      <c r="D180" s="1401"/>
      <c r="E180" s="1401"/>
      <c r="F180" s="1401"/>
      <c r="G180" s="1401"/>
      <c r="H180" s="1401"/>
      <c r="I180" s="1401"/>
      <c r="J180" s="1401"/>
      <c r="K180" s="1401"/>
      <c r="L180" s="1401"/>
      <c r="M180" s="1401"/>
      <c r="N180" s="1401"/>
      <c r="O180" s="1401"/>
      <c r="P180" s="1401"/>
      <c r="Q180" s="1401"/>
      <c r="R180" s="1401"/>
      <c r="S180" s="1401"/>
      <c r="T180" s="1401"/>
      <c r="U180" s="1401"/>
      <c r="V180" s="1401"/>
      <c r="W180" s="1401"/>
      <c r="X180" s="1401"/>
      <c r="Y180" s="1401"/>
      <c r="Z180" s="1401"/>
      <c r="AA180" s="1401"/>
      <c r="AB180" s="1401"/>
      <c r="AC180" s="1401"/>
      <c r="AD180" s="1401"/>
      <c r="AE180" s="1401"/>
      <c r="AF180" s="1401"/>
      <c r="AG180" s="1401"/>
      <c r="AH180" s="1401"/>
      <c r="AI180" s="1401"/>
      <c r="AJ180" s="1401"/>
      <c r="AK180" s="1401"/>
      <c r="AL180" s="1401"/>
      <c r="AM180" s="1401"/>
      <c r="AN180" s="1347"/>
      <c r="AO180" s="1347"/>
      <c r="AP180" s="1347"/>
      <c r="AQ180" s="1347"/>
    </row>
    <row r="181" spans="1:43" ht="85.5" customHeight="1">
      <c r="B181" s="556"/>
      <c r="C181" s="556"/>
      <c r="D181" s="556"/>
      <c r="E181" s="556"/>
      <c r="F181" s="556"/>
      <c r="G181" s="556"/>
      <c r="H181" s="556"/>
      <c r="I181" s="556"/>
      <c r="J181" s="556"/>
      <c r="K181" s="556"/>
      <c r="L181" s="556"/>
      <c r="M181" s="556"/>
      <c r="N181" s="556"/>
      <c r="O181" s="556"/>
      <c r="P181" s="556"/>
      <c r="Q181" s="556"/>
      <c r="R181" s="556"/>
      <c r="S181" s="556"/>
      <c r="T181" s="556"/>
      <c r="U181" s="556"/>
      <c r="V181" s="556"/>
      <c r="W181" s="1422"/>
      <c r="X181" s="1422"/>
      <c r="Y181" s="1422"/>
      <c r="Z181" s="1422"/>
      <c r="AA181" s="1422"/>
      <c r="AB181" s="546"/>
      <c r="AC181" s="546"/>
      <c r="AD181" s="546"/>
      <c r="AI181" s="1375"/>
      <c r="AJ181" s="1375"/>
      <c r="AK181" s="1375"/>
      <c r="AL181" s="1375"/>
      <c r="AM181" s="555"/>
      <c r="AN181" s="555"/>
      <c r="AO181" s="555"/>
    </row>
    <row r="182" spans="1:43" ht="28.5" customHeight="1">
      <c r="B182" s="556"/>
      <c r="C182" s="556"/>
      <c r="D182" s="556"/>
      <c r="E182" s="556"/>
      <c r="F182" s="556"/>
      <c r="G182" s="556"/>
      <c r="H182" s="556"/>
      <c r="I182" s="556"/>
      <c r="J182" s="556"/>
      <c r="K182" s="556"/>
      <c r="L182" s="556"/>
      <c r="M182" s="556"/>
      <c r="N182" s="556"/>
      <c r="O182" s="556"/>
      <c r="P182" s="556"/>
      <c r="Q182" s="556"/>
      <c r="R182" s="556"/>
      <c r="S182" s="556"/>
      <c r="T182" s="556"/>
      <c r="U182" s="556"/>
      <c r="V182" s="556"/>
      <c r="W182" s="556"/>
      <c r="X182" s="556"/>
      <c r="Y182" s="546"/>
      <c r="Z182" s="546"/>
      <c r="AA182" s="546"/>
      <c r="AB182" s="546"/>
      <c r="AC182" s="546"/>
      <c r="AD182" s="546"/>
      <c r="AE182" s="546"/>
      <c r="AF182" s="546"/>
      <c r="AG182" s="546"/>
      <c r="AH182" s="546"/>
      <c r="AI182" s="546"/>
      <c r="AJ182" s="546"/>
      <c r="AK182" s="546"/>
      <c r="AM182" s="555"/>
      <c r="AN182" s="555"/>
      <c r="AO182" s="555"/>
    </row>
    <row r="183" spans="1:43" ht="28.5" customHeight="1">
      <c r="B183" s="556"/>
      <c r="C183" s="556"/>
      <c r="D183" s="556"/>
      <c r="E183" s="556"/>
      <c r="F183" s="556"/>
      <c r="G183" s="556"/>
      <c r="H183" s="556"/>
      <c r="I183" s="556"/>
      <c r="J183" s="556"/>
      <c r="K183" s="556"/>
      <c r="L183" s="556"/>
      <c r="M183" s="556"/>
      <c r="N183" s="556"/>
      <c r="O183" s="556"/>
      <c r="P183" s="556"/>
      <c r="Q183" s="556"/>
      <c r="R183" s="556"/>
      <c r="S183" s="556"/>
      <c r="T183" s="556"/>
      <c r="U183" s="556"/>
      <c r="V183" s="556"/>
      <c r="W183" s="556"/>
      <c r="X183" s="556"/>
      <c r="Y183" s="546"/>
      <c r="Z183" s="546"/>
      <c r="AA183" s="546"/>
      <c r="AB183" s="546"/>
      <c r="AC183" s="546"/>
      <c r="AD183" s="546"/>
      <c r="AE183" s="546"/>
      <c r="AF183" s="546"/>
      <c r="AG183" s="546"/>
      <c r="AH183" s="546"/>
      <c r="AI183" s="546"/>
      <c r="AJ183" s="546"/>
      <c r="AK183" s="546"/>
      <c r="AM183" s="555"/>
      <c r="AN183" s="555"/>
      <c r="AO183" s="555"/>
    </row>
    <row r="184" spans="1:43" ht="28.5" customHeight="1">
      <c r="B184" s="556"/>
      <c r="C184" s="556"/>
      <c r="D184" s="556"/>
      <c r="E184" s="556"/>
      <c r="F184" s="556"/>
      <c r="G184" s="556"/>
      <c r="H184" s="556"/>
      <c r="I184" s="556"/>
      <c r="J184" s="556"/>
      <c r="K184" s="556"/>
      <c r="L184" s="556"/>
      <c r="M184" s="556"/>
      <c r="N184" s="556"/>
      <c r="O184" s="556"/>
      <c r="P184" s="556"/>
      <c r="Q184" s="556"/>
      <c r="R184" s="556"/>
      <c r="S184" s="556"/>
      <c r="T184" s="556"/>
      <c r="U184" s="556"/>
      <c r="V184" s="556"/>
      <c r="W184" s="556"/>
      <c r="X184" s="556"/>
      <c r="Y184" s="546"/>
      <c r="Z184" s="546"/>
      <c r="AA184" s="546"/>
      <c r="AB184" s="546"/>
      <c r="AC184" s="1383"/>
      <c r="AD184" s="1383"/>
      <c r="AE184" s="546"/>
      <c r="AF184" s="546"/>
      <c r="AG184" s="546"/>
      <c r="AH184" s="546"/>
      <c r="AI184" s="546"/>
      <c r="AJ184" s="546"/>
      <c r="AK184" s="546"/>
      <c r="AM184" s="555"/>
      <c r="AN184" s="555"/>
      <c r="AO184" s="555"/>
    </row>
    <row r="185" spans="1:43" ht="28.5" customHeight="1">
      <c r="B185" s="556"/>
      <c r="C185" s="556"/>
      <c r="D185" s="556"/>
      <c r="E185" s="556"/>
      <c r="F185" s="556"/>
      <c r="G185" s="556"/>
      <c r="H185" s="556"/>
      <c r="I185" s="556"/>
      <c r="J185" s="556"/>
      <c r="K185" s="556"/>
      <c r="L185" s="556"/>
      <c r="M185" s="556"/>
      <c r="N185" s="556"/>
      <c r="O185" s="556"/>
      <c r="P185" s="556"/>
      <c r="Q185" s="556"/>
      <c r="R185" s="556"/>
      <c r="S185" s="556"/>
      <c r="T185" s="556"/>
      <c r="U185" s="556"/>
      <c r="V185" s="556"/>
      <c r="W185" s="556"/>
      <c r="X185" s="556"/>
      <c r="Y185" s="546"/>
      <c r="Z185" s="546"/>
      <c r="AA185" s="546"/>
      <c r="AB185" s="546"/>
      <c r="AC185" s="546"/>
      <c r="AD185" s="546"/>
      <c r="AE185" s="546"/>
      <c r="AF185" s="546"/>
      <c r="AG185" s="546"/>
      <c r="AH185" s="546"/>
      <c r="AI185" s="546"/>
      <c r="AJ185" s="546"/>
      <c r="AK185" s="546"/>
      <c r="AM185" s="555"/>
      <c r="AN185" s="555"/>
      <c r="AO185" s="555"/>
    </row>
    <row r="186" spans="1:43" ht="28.5" customHeight="1">
      <c r="B186" s="556"/>
      <c r="C186" s="556"/>
      <c r="D186" s="556"/>
      <c r="E186" s="556"/>
      <c r="F186" s="556"/>
      <c r="G186" s="556"/>
      <c r="H186" s="556"/>
      <c r="I186" s="556"/>
      <c r="J186" s="556"/>
      <c r="K186" s="556"/>
      <c r="L186" s="556"/>
      <c r="M186" s="556"/>
      <c r="N186" s="556"/>
      <c r="O186" s="556"/>
      <c r="P186" s="556"/>
      <c r="Q186" s="556"/>
      <c r="R186" s="556"/>
      <c r="S186" s="556"/>
      <c r="T186" s="556"/>
      <c r="U186" s="556"/>
      <c r="V186" s="556"/>
      <c r="W186" s="556"/>
      <c r="X186" s="556"/>
      <c r="Y186" s="546"/>
      <c r="Z186" s="546"/>
      <c r="AA186" s="546"/>
      <c r="AB186" s="546"/>
      <c r="AC186" s="546"/>
      <c r="AD186" s="546"/>
      <c r="AE186" s="546"/>
      <c r="AF186" s="546"/>
      <c r="AG186" s="546"/>
      <c r="AH186" s="546"/>
      <c r="AI186" s="546"/>
      <c r="AJ186" s="546"/>
      <c r="AK186" s="546"/>
      <c r="AM186" s="555"/>
      <c r="AN186" s="555"/>
      <c r="AO186" s="555"/>
    </row>
    <row r="187" spans="1:43" ht="28.5" customHeight="1">
      <c r="B187" s="556"/>
      <c r="C187" s="556"/>
      <c r="D187" s="556"/>
      <c r="E187" s="556"/>
      <c r="F187" s="556"/>
      <c r="G187" s="556"/>
      <c r="H187" s="556"/>
      <c r="I187" s="556"/>
      <c r="J187" s="556"/>
      <c r="K187" s="556"/>
      <c r="L187" s="556"/>
      <c r="M187" s="556"/>
      <c r="N187" s="556"/>
      <c r="O187" s="556"/>
      <c r="P187" s="556"/>
      <c r="Q187" s="556"/>
      <c r="R187" s="556"/>
      <c r="S187" s="556"/>
      <c r="T187" s="556"/>
      <c r="U187" s="556"/>
      <c r="V187" s="556"/>
      <c r="W187" s="556"/>
      <c r="X187" s="556"/>
      <c r="Y187" s="546"/>
      <c r="Z187" s="546"/>
      <c r="AA187" s="546"/>
      <c r="AB187" s="546"/>
      <c r="AC187" s="546"/>
      <c r="AD187" s="546"/>
      <c r="AE187" s="546"/>
      <c r="AF187" s="546"/>
      <c r="AG187" s="546"/>
      <c r="AH187" s="546"/>
      <c r="AI187" s="546"/>
      <c r="AJ187" s="546"/>
      <c r="AK187" s="546"/>
      <c r="AM187" s="555"/>
      <c r="AN187" s="555"/>
      <c r="AO187" s="555"/>
    </row>
    <row r="188" spans="1:43" ht="28.5" customHeight="1">
      <c r="B188" s="556"/>
      <c r="C188" s="556"/>
      <c r="D188" s="556"/>
      <c r="E188" s="556"/>
      <c r="F188" s="556"/>
      <c r="G188" s="556"/>
      <c r="H188" s="556"/>
      <c r="I188" s="556"/>
      <c r="J188" s="556"/>
      <c r="K188" s="556"/>
      <c r="L188" s="556"/>
      <c r="M188" s="556"/>
      <c r="N188" s="556"/>
      <c r="O188" s="556"/>
      <c r="P188" s="556"/>
      <c r="Q188" s="556"/>
      <c r="R188" s="556"/>
      <c r="S188" s="556"/>
      <c r="T188" s="556"/>
      <c r="U188" s="556"/>
      <c r="V188" s="556"/>
      <c r="W188" s="556"/>
      <c r="X188" s="556"/>
      <c r="Y188" s="546"/>
      <c r="Z188" s="546"/>
      <c r="AA188" s="546"/>
      <c r="AB188" s="546"/>
      <c r="AC188" s="546"/>
      <c r="AD188" s="546"/>
      <c r="AE188" s="546"/>
      <c r="AF188" s="546"/>
      <c r="AG188" s="546"/>
      <c r="AH188" s="546"/>
      <c r="AI188" s="546"/>
      <c r="AJ188" s="546"/>
      <c r="AK188" s="546"/>
      <c r="AM188" s="555"/>
      <c r="AN188" s="555"/>
      <c r="AO188" s="555"/>
    </row>
    <row r="189" spans="1:43" ht="28.5" customHeight="1">
      <c r="B189" s="556"/>
      <c r="C189" s="556"/>
      <c r="D189" s="556"/>
      <c r="E189" s="556"/>
      <c r="F189" s="556"/>
      <c r="G189" s="556"/>
      <c r="H189" s="556"/>
      <c r="I189" s="556"/>
      <c r="J189" s="556"/>
      <c r="K189" s="556"/>
      <c r="L189" s="556"/>
      <c r="M189" s="556"/>
      <c r="N189" s="556"/>
      <c r="O189" s="556"/>
      <c r="P189" s="556"/>
      <c r="Q189" s="556"/>
      <c r="R189" s="556"/>
      <c r="S189" s="556"/>
      <c r="T189" s="556"/>
      <c r="U189" s="556"/>
      <c r="V189" s="556"/>
      <c r="W189" s="556"/>
      <c r="X189" s="556"/>
      <c r="Y189" s="546"/>
      <c r="Z189" s="546"/>
      <c r="AA189" s="546"/>
      <c r="AB189" s="546"/>
      <c r="AC189" s="546"/>
      <c r="AD189" s="546"/>
      <c r="AE189" s="546"/>
      <c r="AF189" s="546"/>
      <c r="AG189" s="546"/>
      <c r="AH189" s="546"/>
      <c r="AI189" s="546"/>
      <c r="AJ189" s="546"/>
      <c r="AK189" s="546"/>
      <c r="AM189" s="555"/>
      <c r="AN189" s="555"/>
      <c r="AO189" s="555"/>
    </row>
    <row r="190" spans="1:43" ht="28.5" customHeight="1">
      <c r="B190" s="556"/>
      <c r="C190" s="556"/>
      <c r="D190" s="556"/>
      <c r="E190" s="556"/>
      <c r="F190" s="556"/>
      <c r="G190" s="556"/>
      <c r="H190" s="556"/>
      <c r="I190" s="556"/>
      <c r="J190" s="556"/>
      <c r="K190" s="556"/>
      <c r="L190" s="556"/>
      <c r="M190" s="556"/>
      <c r="N190" s="556"/>
      <c r="O190" s="556"/>
      <c r="P190" s="556"/>
      <c r="Q190" s="556"/>
      <c r="R190" s="556"/>
      <c r="S190" s="556"/>
      <c r="T190" s="556"/>
      <c r="U190" s="556"/>
      <c r="V190" s="556"/>
      <c r="W190" s="556"/>
      <c r="X190" s="556"/>
      <c r="Y190" s="546"/>
      <c r="Z190" s="546"/>
      <c r="AA190" s="546"/>
      <c r="AB190" s="546"/>
      <c r="AC190" s="546"/>
      <c r="AD190" s="546"/>
      <c r="AE190" s="546"/>
      <c r="AF190" s="546"/>
      <c r="AG190" s="546"/>
      <c r="AH190" s="546"/>
      <c r="AI190" s="546"/>
      <c r="AJ190" s="546"/>
      <c r="AK190" s="546"/>
      <c r="AM190" s="555"/>
      <c r="AN190" s="555"/>
      <c r="AO190" s="555"/>
    </row>
    <row r="191" spans="1:43" ht="28.5" customHeight="1">
      <c r="B191" s="556"/>
      <c r="C191" s="556"/>
      <c r="D191" s="556"/>
      <c r="E191" s="556"/>
      <c r="F191" s="556"/>
      <c r="G191" s="556"/>
      <c r="H191" s="556"/>
      <c r="I191" s="556"/>
      <c r="J191" s="556"/>
      <c r="K191" s="556"/>
      <c r="L191" s="556"/>
      <c r="M191" s="556"/>
      <c r="N191" s="556"/>
      <c r="O191" s="556"/>
      <c r="P191" s="556"/>
      <c r="Q191" s="556"/>
      <c r="R191" s="556"/>
      <c r="S191" s="556"/>
      <c r="T191" s="556"/>
      <c r="U191" s="556"/>
      <c r="V191" s="556"/>
      <c r="W191" s="556"/>
      <c r="X191" s="556"/>
      <c r="Y191" s="546"/>
      <c r="Z191" s="546"/>
      <c r="AA191" s="546"/>
      <c r="AB191" s="546"/>
      <c r="AC191" s="546"/>
      <c r="AD191" s="546"/>
      <c r="AE191" s="546"/>
      <c r="AF191" s="546"/>
      <c r="AG191" s="546"/>
      <c r="AH191" s="546"/>
      <c r="AI191" s="546"/>
      <c r="AJ191" s="546"/>
      <c r="AK191" s="546"/>
      <c r="AM191" s="555"/>
      <c r="AN191" s="555"/>
      <c r="AO191" s="555"/>
    </row>
    <row r="192" spans="1:43" ht="28.5" customHeight="1">
      <c r="B192" s="556"/>
      <c r="C192" s="556"/>
      <c r="D192" s="556"/>
      <c r="E192" s="556"/>
      <c r="F192" s="556"/>
      <c r="G192" s="556"/>
      <c r="H192" s="556"/>
      <c r="I192" s="556"/>
      <c r="J192" s="556"/>
      <c r="K192" s="556"/>
      <c r="L192" s="556"/>
      <c r="M192" s="556"/>
      <c r="N192" s="556"/>
      <c r="O192" s="556"/>
      <c r="P192" s="556"/>
      <c r="Q192" s="556"/>
      <c r="R192" s="556"/>
      <c r="S192" s="556"/>
      <c r="T192" s="556"/>
      <c r="U192" s="556"/>
      <c r="V192" s="556"/>
      <c r="W192" s="556"/>
      <c r="X192" s="556"/>
      <c r="Y192" s="546"/>
      <c r="Z192" s="546"/>
      <c r="AA192" s="546"/>
      <c r="AB192" s="546"/>
      <c r="AC192" s="546"/>
      <c r="AD192" s="546"/>
      <c r="AE192" s="546"/>
      <c r="AF192" s="546"/>
      <c r="AG192" s="546"/>
      <c r="AH192" s="546"/>
      <c r="AI192" s="546"/>
      <c r="AJ192" s="546"/>
      <c r="AK192" s="546"/>
      <c r="AM192" s="555"/>
      <c r="AN192" s="555"/>
      <c r="AO192" s="555"/>
    </row>
    <row r="193" spans="2:41" ht="28.5" customHeight="1">
      <c r="B193" s="556"/>
      <c r="C193" s="556"/>
      <c r="D193" s="556"/>
      <c r="E193" s="556"/>
      <c r="F193" s="556"/>
      <c r="G193" s="556"/>
      <c r="H193" s="556"/>
      <c r="I193" s="556"/>
      <c r="J193" s="556"/>
      <c r="K193" s="556"/>
      <c r="L193" s="556"/>
      <c r="M193" s="556"/>
      <c r="N193" s="556"/>
      <c r="O193" s="556"/>
      <c r="P193" s="556"/>
      <c r="Q193" s="556"/>
      <c r="R193" s="556"/>
      <c r="S193" s="556"/>
      <c r="T193" s="556"/>
      <c r="U193" s="556"/>
      <c r="V193" s="556"/>
      <c r="W193" s="556"/>
      <c r="X193" s="556"/>
      <c r="Y193" s="546"/>
      <c r="Z193" s="546"/>
      <c r="AA193" s="546"/>
      <c r="AB193" s="546"/>
      <c r="AC193" s="546"/>
      <c r="AD193" s="546"/>
      <c r="AE193" s="546"/>
      <c r="AF193" s="546"/>
      <c r="AG193" s="546"/>
      <c r="AH193" s="546"/>
      <c r="AI193" s="546"/>
      <c r="AJ193" s="546"/>
      <c r="AK193" s="546"/>
      <c r="AM193" s="555"/>
      <c r="AN193" s="555"/>
      <c r="AO193" s="555"/>
    </row>
    <row r="194" spans="2:41" ht="28.5" customHeight="1">
      <c r="B194" s="556"/>
      <c r="C194" s="556"/>
      <c r="D194" s="556"/>
      <c r="E194" s="556"/>
      <c r="F194" s="556"/>
      <c r="G194" s="556"/>
      <c r="H194" s="556"/>
      <c r="I194" s="556"/>
      <c r="J194" s="556"/>
      <c r="K194" s="556"/>
      <c r="L194" s="556"/>
      <c r="M194" s="556"/>
      <c r="N194" s="556"/>
      <c r="O194" s="556"/>
      <c r="P194" s="556"/>
      <c r="Q194" s="556"/>
      <c r="R194" s="556"/>
      <c r="S194" s="556"/>
      <c r="T194" s="556"/>
      <c r="U194" s="556"/>
      <c r="V194" s="556"/>
      <c r="W194" s="556"/>
      <c r="X194" s="556"/>
      <c r="Y194" s="546"/>
      <c r="Z194" s="546"/>
      <c r="AA194" s="546"/>
      <c r="AB194" s="546"/>
      <c r="AC194" s="546"/>
      <c r="AD194" s="546"/>
      <c r="AE194" s="546"/>
      <c r="AF194" s="546"/>
      <c r="AG194" s="546"/>
      <c r="AH194" s="546"/>
      <c r="AI194" s="546"/>
      <c r="AJ194" s="546"/>
      <c r="AK194" s="546"/>
      <c r="AM194" s="555"/>
      <c r="AN194" s="555"/>
      <c r="AO194" s="555"/>
    </row>
    <row r="195" spans="2:41" ht="28.5" customHeight="1">
      <c r="B195" s="556"/>
      <c r="C195" s="556"/>
      <c r="D195" s="556"/>
      <c r="E195" s="556"/>
      <c r="F195" s="556"/>
      <c r="G195" s="556"/>
      <c r="H195" s="556"/>
      <c r="I195" s="556"/>
      <c r="J195" s="556"/>
      <c r="K195" s="556"/>
      <c r="L195" s="556"/>
      <c r="M195" s="556"/>
      <c r="N195" s="556"/>
      <c r="O195" s="556"/>
      <c r="P195" s="556"/>
      <c r="Q195" s="556"/>
      <c r="R195" s="556"/>
      <c r="S195" s="556"/>
      <c r="T195" s="556"/>
      <c r="U195" s="556"/>
      <c r="V195" s="556"/>
      <c r="W195" s="556"/>
      <c r="X195" s="556"/>
      <c r="Y195" s="546"/>
      <c r="Z195" s="546"/>
      <c r="AA195" s="546"/>
      <c r="AB195" s="546"/>
      <c r="AC195" s="546"/>
      <c r="AD195" s="546"/>
      <c r="AE195" s="546"/>
      <c r="AF195" s="546"/>
      <c r="AG195" s="546"/>
      <c r="AH195" s="546"/>
      <c r="AI195" s="546"/>
      <c r="AJ195" s="546"/>
      <c r="AK195" s="546"/>
      <c r="AM195" s="555"/>
      <c r="AN195" s="555"/>
      <c r="AO195" s="555"/>
    </row>
    <row r="196" spans="2:41" ht="28.5" customHeight="1">
      <c r="B196" s="556"/>
      <c r="C196" s="556"/>
      <c r="D196" s="556"/>
      <c r="E196" s="556"/>
      <c r="F196" s="556"/>
      <c r="G196" s="556"/>
      <c r="H196" s="556"/>
      <c r="I196" s="556"/>
      <c r="J196" s="556"/>
      <c r="K196" s="556"/>
      <c r="L196" s="556"/>
      <c r="M196" s="556"/>
      <c r="N196" s="556"/>
      <c r="O196" s="556"/>
      <c r="P196" s="556"/>
      <c r="Q196" s="556"/>
      <c r="R196" s="556"/>
      <c r="S196" s="556"/>
      <c r="T196" s="556"/>
      <c r="U196" s="556"/>
      <c r="V196" s="556"/>
      <c r="W196" s="556"/>
      <c r="X196" s="556"/>
      <c r="Y196" s="546"/>
      <c r="Z196" s="546"/>
      <c r="AA196" s="546"/>
      <c r="AB196" s="546"/>
      <c r="AC196" s="546"/>
      <c r="AD196" s="546"/>
      <c r="AE196" s="546"/>
      <c r="AF196" s="546"/>
      <c r="AG196" s="546"/>
      <c r="AH196" s="546"/>
      <c r="AI196" s="546"/>
      <c r="AJ196" s="546"/>
      <c r="AK196" s="546"/>
      <c r="AM196" s="555"/>
      <c r="AN196" s="555"/>
      <c r="AO196" s="555"/>
    </row>
    <row r="197" spans="2:41">
      <c r="AM197" s="555"/>
      <c r="AN197" s="555"/>
      <c r="AO197" s="555"/>
    </row>
    <row r="198" spans="2:41">
      <c r="B198" s="1348"/>
      <c r="C198" s="1348"/>
      <c r="AM198" s="555"/>
      <c r="AN198" s="555"/>
      <c r="AO198" s="555"/>
    </row>
    <row r="199" spans="2:41">
      <c r="B199" s="1348"/>
      <c r="C199" s="1348"/>
      <c r="AM199" s="555"/>
      <c r="AN199" s="555"/>
      <c r="AO199" s="555"/>
    </row>
    <row r="200" spans="2:41">
      <c r="B200" s="1348"/>
      <c r="C200" s="1348"/>
      <c r="AM200" s="555"/>
      <c r="AN200" s="555"/>
      <c r="AO200" s="555"/>
    </row>
    <row r="201" spans="2:41">
      <c r="AM201" s="555"/>
      <c r="AN201" s="555"/>
      <c r="AO201" s="555"/>
    </row>
    <row r="202" spans="2:41" ht="15.75" customHeight="1">
      <c r="AM202" s="555"/>
      <c r="AN202" s="555"/>
      <c r="AO202" s="555"/>
    </row>
    <row r="203" spans="2:41">
      <c r="AM203" s="555"/>
      <c r="AN203" s="555"/>
      <c r="AO203" s="555"/>
    </row>
    <row r="204" spans="2:41">
      <c r="E204" s="1375"/>
      <c r="F204" s="1375"/>
      <c r="G204" s="1375"/>
      <c r="H204" s="1375"/>
      <c r="I204" s="1375"/>
      <c r="N204" s="1375"/>
      <c r="O204" s="1375"/>
      <c r="P204" s="1375"/>
      <c r="Q204" s="1375"/>
      <c r="R204" s="1375"/>
      <c r="S204" s="1375"/>
      <c r="T204" s="1375"/>
      <c r="V204" s="1375"/>
      <c r="W204" s="1375"/>
      <c r="X204" s="1375"/>
      <c r="Y204" s="1375"/>
      <c r="Z204" s="1375"/>
      <c r="AA204" s="1375"/>
      <c r="AB204" s="1375"/>
      <c r="AC204" s="1375"/>
      <c r="AM204" s="555"/>
      <c r="AN204" s="555"/>
      <c r="AO204" s="555"/>
    </row>
    <row r="205" spans="2:41">
      <c r="M205" s="1348"/>
      <c r="N205" s="1348"/>
      <c r="O205" s="1348"/>
      <c r="P205" s="1348"/>
      <c r="Q205" s="1348"/>
      <c r="AM205" s="555"/>
      <c r="AN205" s="555"/>
      <c r="AO205" s="555"/>
    </row>
    <row r="209" spans="2:41">
      <c r="B209" s="1403"/>
      <c r="C209" s="1403"/>
      <c r="D209" s="1403"/>
      <c r="AM209" s="555"/>
      <c r="AN209" s="555"/>
      <c r="AO209" s="555"/>
    </row>
    <row r="210" spans="2:41">
      <c r="B210" s="1331"/>
      <c r="C210" s="556"/>
      <c r="D210" s="1403"/>
      <c r="E210" s="1403"/>
      <c r="F210" s="1403"/>
      <c r="G210" s="1403"/>
      <c r="H210" s="1403"/>
      <c r="I210" s="1403"/>
      <c r="AM210" s="555"/>
      <c r="AN210" s="555"/>
      <c r="AO210" s="555"/>
    </row>
    <row r="211" spans="2:41">
      <c r="B211" s="1332"/>
      <c r="C211" s="1348"/>
      <c r="D211" s="1402"/>
      <c r="E211" s="1402"/>
      <c r="F211" s="1402"/>
      <c r="G211" s="1402"/>
      <c r="H211" s="1402"/>
      <c r="I211" s="1402"/>
      <c r="AM211" s="555"/>
      <c r="AN211" s="555"/>
      <c r="AO211" s="555"/>
    </row>
    <row r="212" spans="2:41">
      <c r="B212" s="1332"/>
      <c r="C212" s="1348"/>
      <c r="D212" s="1402"/>
      <c r="E212" s="1402"/>
      <c r="F212" s="1402"/>
      <c r="G212" s="1402"/>
      <c r="H212" s="1402"/>
      <c r="I212" s="1402"/>
      <c r="AM212" s="555"/>
      <c r="AN212" s="555"/>
      <c r="AO212" s="555"/>
    </row>
    <row r="213" spans="2:41">
      <c r="B213" s="1332"/>
      <c r="C213" s="1348"/>
      <c r="D213" s="1402"/>
      <c r="E213" s="1402"/>
      <c r="F213" s="1402"/>
      <c r="G213" s="1402"/>
      <c r="H213" s="1402"/>
      <c r="I213" s="1402"/>
      <c r="AM213" s="555"/>
      <c r="AN213" s="555"/>
      <c r="AO213" s="555"/>
    </row>
    <row r="214" spans="2:41">
      <c r="B214" s="1295"/>
      <c r="D214" s="1402"/>
      <c r="E214" s="1402"/>
      <c r="F214" s="1402"/>
      <c r="G214" s="1402"/>
      <c r="H214" s="1402"/>
      <c r="I214" s="1402"/>
      <c r="AM214" s="555"/>
      <c r="AN214" s="555"/>
      <c r="AO214" s="555"/>
    </row>
    <row r="215" spans="2:41">
      <c r="B215" s="1295"/>
      <c r="D215" s="1402"/>
      <c r="E215" s="1402"/>
      <c r="F215" s="1402"/>
      <c r="G215" s="1402"/>
      <c r="H215" s="1402"/>
      <c r="I215" s="1402"/>
      <c r="AM215" s="555"/>
      <c r="AN215" s="555"/>
      <c r="AO215" s="555"/>
    </row>
    <row r="216" spans="2:41">
      <c r="B216" s="1295"/>
      <c r="D216" s="1402"/>
      <c r="E216" s="1402"/>
      <c r="F216" s="1402"/>
      <c r="G216" s="1402"/>
      <c r="H216" s="1402"/>
      <c r="I216" s="1402"/>
      <c r="AM216" s="555"/>
      <c r="AN216" s="555"/>
      <c r="AO216" s="555"/>
    </row>
    <row r="217" spans="2:41">
      <c r="B217" s="1295"/>
      <c r="D217" s="1402"/>
      <c r="E217" s="1402"/>
      <c r="F217" s="1402"/>
      <c r="G217" s="1402"/>
      <c r="H217" s="1402"/>
      <c r="I217" s="1402"/>
      <c r="AM217" s="555"/>
      <c r="AN217" s="555"/>
      <c r="AO217" s="555"/>
    </row>
  </sheetData>
  <mergeCells count="107">
    <mergeCell ref="M178:S178"/>
    <mergeCell ref="U178:AB178"/>
    <mergeCell ref="A173:AN173"/>
    <mergeCell ref="A180:AM180"/>
    <mergeCell ref="AO14:AO15"/>
    <mergeCell ref="B13:B14"/>
    <mergeCell ref="AC168:AE168"/>
    <mergeCell ref="U169:AB169"/>
    <mergeCell ref="AC169:AE169"/>
    <mergeCell ref="A167:C167"/>
    <mergeCell ref="A168:C168"/>
    <mergeCell ref="A171:C171"/>
    <mergeCell ref="D167:F167"/>
    <mergeCell ref="A170:C170"/>
    <mergeCell ref="D170:F170"/>
    <mergeCell ref="D169:F169"/>
    <mergeCell ref="D163:F163"/>
    <mergeCell ref="D164:F164"/>
    <mergeCell ref="D165:F165"/>
    <mergeCell ref="D166:F166"/>
    <mergeCell ref="P170:T170"/>
    <mergeCell ref="A165:C165"/>
    <mergeCell ref="A166:C166"/>
    <mergeCell ref="AC184:AD184"/>
    <mergeCell ref="A2:AL2"/>
    <mergeCell ref="A3:AL3"/>
    <mergeCell ref="A4:AL4"/>
    <mergeCell ref="P165:T165"/>
    <mergeCell ref="P166:T166"/>
    <mergeCell ref="P167:T167"/>
    <mergeCell ref="P168:T168"/>
    <mergeCell ref="D168:F168"/>
    <mergeCell ref="D171:F171"/>
    <mergeCell ref="G163:J163"/>
    <mergeCell ref="G165:J165"/>
    <mergeCell ref="G166:J166"/>
    <mergeCell ref="G167:J167"/>
    <mergeCell ref="G168:J168"/>
    <mergeCell ref="B6:P6"/>
    <mergeCell ref="B7:P7"/>
    <mergeCell ref="A161:C161"/>
    <mergeCell ref="W181:AA181"/>
    <mergeCell ref="B15:AK15"/>
    <mergeCell ref="C13:C14"/>
    <mergeCell ref="D13:AH13"/>
    <mergeCell ref="A98:C98"/>
    <mergeCell ref="A13:A14"/>
    <mergeCell ref="A9:AM9"/>
    <mergeCell ref="A10:AM10"/>
    <mergeCell ref="B8:AK8"/>
    <mergeCell ref="AI12:AJ12"/>
    <mergeCell ref="G171:J171"/>
    <mergeCell ref="K168:O168"/>
    <mergeCell ref="G169:J169"/>
    <mergeCell ref="G170:J170"/>
    <mergeCell ref="K171:O171"/>
    <mergeCell ref="K169:O169"/>
    <mergeCell ref="K170:O170"/>
    <mergeCell ref="K166:O166"/>
    <mergeCell ref="K167:O167"/>
    <mergeCell ref="A16:C16"/>
    <mergeCell ref="AI13:AI14"/>
    <mergeCell ref="AK13:AK14"/>
    <mergeCell ref="K163:O163"/>
    <mergeCell ref="K165:O165"/>
    <mergeCell ref="K164:O164"/>
    <mergeCell ref="G164:J164"/>
    <mergeCell ref="U163:AB163"/>
    <mergeCell ref="AC163:AE163"/>
    <mergeCell ref="U164:AB164"/>
    <mergeCell ref="A163:C163"/>
    <mergeCell ref="N204:T204"/>
    <mergeCell ref="V204:AC204"/>
    <mergeCell ref="D215:I215"/>
    <mergeCell ref="D216:I216"/>
    <mergeCell ref="D217:I217"/>
    <mergeCell ref="B209:D209"/>
    <mergeCell ref="D210:I210"/>
    <mergeCell ref="D211:I211"/>
    <mergeCell ref="D212:I212"/>
    <mergeCell ref="D213:I213"/>
    <mergeCell ref="D214:I214"/>
    <mergeCell ref="E204:I204"/>
    <mergeCell ref="AI181:AL181"/>
    <mergeCell ref="AM13:AM14"/>
    <mergeCell ref="P164:T164"/>
    <mergeCell ref="P163:T163"/>
    <mergeCell ref="Y172:AL172"/>
    <mergeCell ref="P171:T171"/>
    <mergeCell ref="P169:T169"/>
    <mergeCell ref="AJ163:AK163"/>
    <mergeCell ref="AL13:AL14"/>
    <mergeCell ref="AC164:AE164"/>
    <mergeCell ref="U165:AB165"/>
    <mergeCell ref="AC165:AE165"/>
    <mergeCell ref="U166:AB166"/>
    <mergeCell ref="AC166:AE166"/>
    <mergeCell ref="U170:AB170"/>
    <mergeCell ref="AC170:AE170"/>
    <mergeCell ref="U171:AB171"/>
    <mergeCell ref="AC171:AE171"/>
    <mergeCell ref="AJ13:AJ14"/>
    <mergeCell ref="U167:AB167"/>
    <mergeCell ref="AC167:AE167"/>
    <mergeCell ref="U168:AB168"/>
    <mergeCell ref="B97:AJ97"/>
    <mergeCell ref="D178:H178"/>
  </mergeCells>
  <conditionalFormatting sqref="D91:AG96">
    <cfRule type="containsBlanks" dxfId="19715" priority="24808">
      <formula>LEN(TRIM(D91))=0</formula>
    </cfRule>
    <cfRule type="containsBlanks" dxfId="19714" priority="24809">
      <formula>LEN(TRIM(D91))=0</formula>
    </cfRule>
  </conditionalFormatting>
  <conditionalFormatting sqref="AH90 H91:Q96 S91:Z96">
    <cfRule type="expression" dxfId="19713" priority="24790">
      <formula>#REF!="x"</formula>
    </cfRule>
  </conditionalFormatting>
  <conditionalFormatting sqref="F90 H90:AG90">
    <cfRule type="expression" dxfId="19712" priority="19713">
      <formula>#REF!="x"</formula>
    </cfRule>
  </conditionalFormatting>
  <conditionalFormatting sqref="D118:D119">
    <cfRule type="containsBlanks" dxfId="19711" priority="16625">
      <formula>LEN(TRIM(D118))=0</formula>
    </cfRule>
    <cfRule type="containsBlanks" dxfId="19710" priority="16626">
      <formula>LEN(TRIM(D118))=0</formula>
    </cfRule>
    <cfRule type="containsBlanks" dxfId="19709" priority="16627">
      <formula>LEN(TRIM(D118))=0</formula>
    </cfRule>
    <cfRule type="containsBlanks" dxfId="19708" priority="16628">
      <formula>LEN(TRIM(D118))=0</formula>
    </cfRule>
    <cfRule type="containsBlanks" dxfId="19707" priority="16629">
      <formula>LEN(TRIM(D118))=0</formula>
    </cfRule>
    <cfRule type="containsBlanks" dxfId="19706" priority="16630">
      <formula>LEN(TRIM(D118))=0</formula>
    </cfRule>
    <cfRule type="containsBlanks" dxfId="19705" priority="16631">
      <formula>LEN(TRIM(D118))=0</formula>
    </cfRule>
    <cfRule type="containsBlanks" dxfId="19704" priority="16632">
      <formula>LEN(TRIM(D118))=0</formula>
    </cfRule>
    <cfRule type="containsBlanks" dxfId="19703" priority="16633">
      <formula>LEN(TRIM(D118))=0</formula>
    </cfRule>
    <cfRule type="containsBlanks" dxfId="19702" priority="16634">
      <formula>LEN(TRIM(D118))=0</formula>
    </cfRule>
    <cfRule type="containsBlanks" dxfId="19701" priority="16635">
      <formula>LEN(TRIM(D118))=0</formula>
    </cfRule>
    <cfRule type="containsBlanks" dxfId="19700" priority="16636">
      <formula>LEN(TRIM(D118))=0</formula>
    </cfRule>
    <cfRule type="containsBlanks" dxfId="19699" priority="16637">
      <formula>LEN(TRIM(D118))=0</formula>
    </cfRule>
    <cfRule type="containsBlanks" dxfId="19698" priority="16638">
      <formula>LEN(TRIM(D118))=0</formula>
    </cfRule>
  </conditionalFormatting>
  <conditionalFormatting sqref="D134:E134">
    <cfRule type="containsBlanks" dxfId="19697" priority="16664">
      <formula>LEN(TRIM(D134))=0</formula>
    </cfRule>
    <cfRule type="containsBlanks" dxfId="19696" priority="16665">
      <formula>LEN(TRIM(D134))=0</formula>
    </cfRule>
    <cfRule type="containsBlanks" dxfId="19695" priority="16666">
      <formula>LEN(TRIM(D134))=0</formula>
    </cfRule>
    <cfRule type="containsBlanks" dxfId="19694" priority="16667">
      <formula>LEN(TRIM(D134))=0</formula>
    </cfRule>
    <cfRule type="containsBlanks" dxfId="19693" priority="16668">
      <formula>LEN(TRIM(D134))=0</formula>
    </cfRule>
    <cfRule type="containsBlanks" dxfId="19692" priority="16669">
      <formula>LEN(TRIM(D134))=0</formula>
    </cfRule>
    <cfRule type="containsBlanks" dxfId="19691" priority="16670">
      <formula>LEN(TRIM(D134))=0</formula>
    </cfRule>
    <cfRule type="containsBlanks" dxfId="19690" priority="16671">
      <formula>LEN(TRIM(D134))=0</formula>
    </cfRule>
    <cfRule type="containsBlanks" dxfId="19689" priority="16672">
      <formula>LEN(TRIM(D134))=0</formula>
    </cfRule>
    <cfRule type="containsBlanks" dxfId="19688" priority="16673">
      <formula>LEN(TRIM(D134))=0</formula>
    </cfRule>
    <cfRule type="containsBlanks" dxfId="19687" priority="16674">
      <formula>LEN(TRIM(D134))=0</formula>
    </cfRule>
    <cfRule type="containsBlanks" dxfId="19686" priority="16675">
      <formula>LEN(TRIM(D134))=0</formula>
    </cfRule>
  </conditionalFormatting>
  <conditionalFormatting sqref="D139:E139">
    <cfRule type="containsBlanks" dxfId="19685" priority="16639">
      <formula>LEN(TRIM(D139))=0</formula>
    </cfRule>
    <cfRule type="containsBlanks" dxfId="19684" priority="16640">
      <formula>LEN(TRIM(D139))=0</formula>
    </cfRule>
    <cfRule type="containsBlanks" dxfId="19683" priority="16641">
      <formula>LEN(TRIM(D139))=0</formula>
    </cfRule>
    <cfRule type="containsBlanks" dxfId="19682" priority="16642">
      <formula>LEN(TRIM(D139))=0</formula>
    </cfRule>
    <cfRule type="containsBlanks" dxfId="19681" priority="16643">
      <formula>LEN(TRIM(D139))=0</formula>
    </cfRule>
    <cfRule type="containsBlanks" dxfId="19680" priority="16644">
      <formula>LEN(TRIM(D139))=0</formula>
    </cfRule>
    <cfRule type="containsBlanks" dxfId="19679" priority="16645">
      <formula>LEN(TRIM(D139))=0</formula>
    </cfRule>
    <cfRule type="containsBlanks" dxfId="19678" priority="16646">
      <formula>LEN(TRIM(D139))=0</formula>
    </cfRule>
    <cfRule type="containsBlanks" dxfId="19677" priority="16647">
      <formula>LEN(TRIM(D139))=0</formula>
    </cfRule>
    <cfRule type="containsBlanks" dxfId="19676" priority="16648">
      <formula>LEN(TRIM(D139))=0</formula>
    </cfRule>
    <cfRule type="containsBlanks" dxfId="19675" priority="16649">
      <formula>LEN(TRIM(D139))=0</formula>
    </cfRule>
    <cfRule type="containsBlanks" dxfId="19674" priority="16650">
      <formula>LEN(TRIM(D139))=0</formula>
    </cfRule>
  </conditionalFormatting>
  <conditionalFormatting sqref="D134:F134">
    <cfRule type="containsBlanks" dxfId="19673" priority="16676">
      <formula>LEN(TRIM(D134))=0</formula>
    </cfRule>
  </conditionalFormatting>
  <conditionalFormatting sqref="D139:F139">
    <cfRule type="containsBlanks" dxfId="19672" priority="16651">
      <formula>LEN(TRIM(D139))=0</formula>
    </cfRule>
  </conditionalFormatting>
  <conditionalFormatting sqref="D99:K158">
    <cfRule type="containsBlanks" dxfId="19671" priority="17131">
      <formula>LEN(TRIM(D99))=0</formula>
    </cfRule>
    <cfRule type="containsBlanks" dxfId="19670" priority="17132">
      <formula>LEN(TRIM(D99))=0</formula>
    </cfRule>
  </conditionalFormatting>
  <conditionalFormatting sqref="E104">
    <cfRule type="containsBlanks" dxfId="19669" priority="16689">
      <formula>LEN(TRIM(E104))=0</formula>
    </cfRule>
    <cfRule type="containsBlanks" dxfId="19668" priority="16690">
      <formula>LEN(TRIM(E104))=0</formula>
    </cfRule>
    <cfRule type="containsBlanks" dxfId="19667" priority="16691">
      <formula>LEN(TRIM(E104))=0</formula>
    </cfRule>
    <cfRule type="containsBlanks" dxfId="19666" priority="16692">
      <formula>LEN(TRIM(E104))=0</formula>
    </cfRule>
    <cfRule type="containsBlanks" dxfId="19665" priority="16693">
      <formula>LEN(TRIM(E104))=0</formula>
    </cfRule>
    <cfRule type="containsBlanks" dxfId="19664" priority="16694">
      <formula>LEN(TRIM(E104))=0</formula>
    </cfRule>
    <cfRule type="containsBlanks" dxfId="19663" priority="16695">
      <formula>LEN(TRIM(E104))=0</formula>
    </cfRule>
    <cfRule type="containsBlanks" dxfId="19662" priority="16696">
      <formula>LEN(TRIM(E104))=0</formula>
    </cfRule>
    <cfRule type="containsBlanks" dxfId="19661" priority="16697">
      <formula>LEN(TRIM(E104))=0</formula>
    </cfRule>
    <cfRule type="containsBlanks" dxfId="19660" priority="16698">
      <formula>LEN(TRIM(E104))=0</formula>
    </cfRule>
    <cfRule type="containsBlanks" dxfId="19659" priority="16699">
      <formula>LEN(TRIM(E104))=0</formula>
    </cfRule>
    <cfRule type="containsBlanks" dxfId="19658" priority="16700">
      <formula>LEN(TRIM(E104))=0</formula>
    </cfRule>
  </conditionalFormatting>
  <conditionalFormatting sqref="E106">
    <cfRule type="containsBlanks" dxfId="19657" priority="17130">
      <formula>LEN(TRIM(E106))=0</formula>
    </cfRule>
  </conditionalFormatting>
  <conditionalFormatting sqref="E104:F104">
    <cfRule type="containsBlanks" dxfId="19656" priority="16701">
      <formula>LEN(TRIM(E104))=0</formula>
    </cfRule>
  </conditionalFormatting>
  <conditionalFormatting sqref="F99:F100">
    <cfRule type="containsBlanks" dxfId="19655" priority="17116">
      <formula>LEN(TRIM(F99))=0</formula>
    </cfRule>
    <cfRule type="containsBlanks" dxfId="19654" priority="17117">
      <formula>LEN(TRIM(F99))=0</formula>
    </cfRule>
    <cfRule type="containsBlanks" dxfId="19653" priority="17118">
      <formula>LEN(TRIM(F99))=0</formula>
    </cfRule>
    <cfRule type="containsBlanks" dxfId="19652" priority="17119">
      <formula>LEN(TRIM(F99))=0</formula>
    </cfRule>
    <cfRule type="containsBlanks" dxfId="19651" priority="17120">
      <formula>LEN(TRIM(F99))=0</formula>
    </cfRule>
    <cfRule type="containsBlanks" dxfId="19650" priority="17121">
      <formula>LEN(TRIM(F99))=0</formula>
    </cfRule>
    <cfRule type="containsBlanks" dxfId="19649" priority="17122">
      <formula>LEN(TRIM(F99))=0</formula>
    </cfRule>
    <cfRule type="containsBlanks" dxfId="19648" priority="17123">
      <formula>LEN(TRIM(F99))=0</formula>
    </cfRule>
    <cfRule type="containsBlanks" dxfId="19647" priority="17124">
      <formula>LEN(TRIM(F99))=0</formula>
    </cfRule>
    <cfRule type="containsBlanks" dxfId="19646" priority="17125">
      <formula>LEN(TRIM(F99))=0</formula>
    </cfRule>
    <cfRule type="containsBlanks" dxfId="19645" priority="17126">
      <formula>LEN(TRIM(F99))=0</formula>
    </cfRule>
    <cfRule type="containsBlanks" dxfId="19644" priority="17127">
      <formula>LEN(TRIM(F99))=0</formula>
    </cfRule>
    <cfRule type="containsBlanks" dxfId="19643" priority="17128">
      <formula>LEN(TRIM(F99))=0</formula>
    </cfRule>
  </conditionalFormatting>
  <conditionalFormatting sqref="F104">
    <cfRule type="containsBlanks" dxfId="19642" priority="16702">
      <formula>LEN(TRIM(F104))=0</formula>
    </cfRule>
    <cfRule type="containsBlanks" dxfId="19641" priority="16703">
      <formula>LEN(TRIM(F104))=0</formula>
    </cfRule>
    <cfRule type="containsBlanks" dxfId="19640" priority="16704">
      <formula>LEN(TRIM(F104))=0</formula>
    </cfRule>
    <cfRule type="containsBlanks" dxfId="19639" priority="16705">
      <formula>LEN(TRIM(F104))=0</formula>
    </cfRule>
    <cfRule type="containsBlanks" dxfId="19638" priority="16706">
      <formula>LEN(TRIM(F104))=0</formula>
    </cfRule>
    <cfRule type="containsBlanks" dxfId="19637" priority="16707">
      <formula>LEN(TRIM(F104))=0</formula>
    </cfRule>
    <cfRule type="containsBlanks" dxfId="19636" priority="16708">
      <formula>LEN(TRIM(F104))=0</formula>
    </cfRule>
    <cfRule type="containsBlanks" dxfId="19635" priority="16709">
      <formula>LEN(TRIM(F104))=0</formula>
    </cfRule>
    <cfRule type="containsBlanks" dxfId="19634" priority="16710">
      <formula>LEN(TRIM(F104))=0</formula>
    </cfRule>
    <cfRule type="containsBlanks" dxfId="19633" priority="16711">
      <formula>LEN(TRIM(F104))=0</formula>
    </cfRule>
    <cfRule type="containsBlanks" dxfId="19632" priority="16712">
      <formula>LEN(TRIM(F104))=0</formula>
    </cfRule>
    <cfRule type="containsBlanks" dxfId="19631" priority="16713">
      <formula>LEN(TRIM(F104))=0</formula>
    </cfRule>
  </conditionalFormatting>
  <conditionalFormatting sqref="F134">
    <cfRule type="containsBlanks" dxfId="19630" priority="16677">
      <formula>LEN(TRIM(F134))=0</formula>
    </cfRule>
    <cfRule type="containsBlanks" dxfId="19629" priority="16678">
      <formula>LEN(TRIM(F134))=0</formula>
    </cfRule>
    <cfRule type="containsBlanks" dxfId="19628" priority="16679">
      <formula>LEN(TRIM(F134))=0</formula>
    </cfRule>
    <cfRule type="containsBlanks" dxfId="19627" priority="16680">
      <formula>LEN(TRIM(F134))=0</formula>
    </cfRule>
    <cfRule type="containsBlanks" dxfId="19626" priority="16681">
      <formula>LEN(TRIM(F134))=0</formula>
    </cfRule>
    <cfRule type="containsBlanks" dxfId="19625" priority="16682">
      <formula>LEN(TRIM(F134))=0</formula>
    </cfRule>
    <cfRule type="containsBlanks" dxfId="19624" priority="16683">
      <formula>LEN(TRIM(F134))=0</formula>
    </cfRule>
    <cfRule type="containsBlanks" dxfId="19623" priority="16684">
      <formula>LEN(TRIM(F134))=0</formula>
    </cfRule>
    <cfRule type="containsBlanks" dxfId="19622" priority="16685">
      <formula>LEN(TRIM(F134))=0</formula>
    </cfRule>
    <cfRule type="containsBlanks" dxfId="19621" priority="16686">
      <formula>LEN(TRIM(F134))=0</formula>
    </cfRule>
    <cfRule type="containsBlanks" dxfId="19620" priority="16687">
      <formula>LEN(TRIM(F134))=0</formula>
    </cfRule>
    <cfRule type="containsBlanks" dxfId="19619" priority="16688">
      <formula>LEN(TRIM(F134))=0</formula>
    </cfRule>
  </conditionalFormatting>
  <conditionalFormatting sqref="F135">
    <cfRule type="containsBlanks" dxfId="19618" priority="17104">
      <formula>LEN(TRIM(F135))=0</formula>
    </cfRule>
    <cfRule type="containsBlanks" dxfId="19617" priority="17105">
      <formula>LEN(TRIM(F135))=0</formula>
    </cfRule>
    <cfRule type="containsBlanks" dxfId="19616" priority="17106">
      <formula>LEN(TRIM(F135))=0</formula>
    </cfRule>
    <cfRule type="containsBlanks" dxfId="19615" priority="17107">
      <formula>LEN(TRIM(F135))=0</formula>
    </cfRule>
    <cfRule type="containsBlanks" dxfId="19614" priority="17108">
      <formula>LEN(TRIM(F135))=0</formula>
    </cfRule>
    <cfRule type="containsBlanks" dxfId="19613" priority="17109">
      <formula>LEN(TRIM(F135))=0</formula>
    </cfRule>
    <cfRule type="containsBlanks" dxfId="19612" priority="17110">
      <formula>LEN(TRIM(F135))=0</formula>
    </cfRule>
    <cfRule type="containsBlanks" dxfId="19611" priority="17111">
      <formula>LEN(TRIM(F135))=0</formula>
    </cfRule>
    <cfRule type="containsBlanks" dxfId="19610" priority="17112">
      <formula>LEN(TRIM(F135))=0</formula>
    </cfRule>
    <cfRule type="containsBlanks" dxfId="19609" priority="17113">
      <formula>LEN(TRIM(F135))=0</formula>
    </cfRule>
    <cfRule type="containsBlanks" dxfId="19608" priority="17114">
      <formula>LEN(TRIM(F135))=0</formula>
    </cfRule>
    <cfRule type="containsBlanks" dxfId="19607" priority="17115">
      <formula>LEN(TRIM(F135))=0</formula>
    </cfRule>
  </conditionalFormatting>
  <conditionalFormatting sqref="F139">
    <cfRule type="containsBlanks" dxfId="19606" priority="16652">
      <formula>LEN(TRIM(F139))=0</formula>
    </cfRule>
    <cfRule type="containsBlanks" dxfId="19605" priority="16653">
      <formula>LEN(TRIM(F139))=0</formula>
    </cfRule>
    <cfRule type="containsBlanks" dxfId="19604" priority="16654">
      <formula>LEN(TRIM(F139))=0</formula>
    </cfRule>
    <cfRule type="containsBlanks" dxfId="19603" priority="16655">
      <formula>LEN(TRIM(F139))=0</formula>
    </cfRule>
    <cfRule type="containsBlanks" dxfId="19602" priority="16656">
      <formula>LEN(TRIM(F139))=0</formula>
    </cfRule>
    <cfRule type="containsBlanks" dxfId="19601" priority="16657">
      <formula>LEN(TRIM(F139))=0</formula>
    </cfRule>
    <cfRule type="containsBlanks" dxfId="19600" priority="16658">
      <formula>LEN(TRIM(F139))=0</formula>
    </cfRule>
    <cfRule type="containsBlanks" dxfId="19599" priority="16659">
      <formula>LEN(TRIM(F139))=0</formula>
    </cfRule>
    <cfRule type="containsBlanks" dxfId="19598" priority="16660">
      <formula>LEN(TRIM(F139))=0</formula>
    </cfRule>
    <cfRule type="containsBlanks" dxfId="19597" priority="16661">
      <formula>LEN(TRIM(F139))=0</formula>
    </cfRule>
    <cfRule type="containsBlanks" dxfId="19596" priority="16662">
      <formula>LEN(TRIM(F139))=0</formula>
    </cfRule>
  </conditionalFormatting>
  <conditionalFormatting sqref="F150">
    <cfRule type="containsBlanks" dxfId="19595" priority="17091">
      <formula>LEN(TRIM(F150))=0</formula>
    </cfRule>
    <cfRule type="containsBlanks" dxfId="19594" priority="17092">
      <formula>LEN(TRIM(F150))=0</formula>
    </cfRule>
    <cfRule type="containsBlanks" dxfId="19593" priority="17093">
      <formula>LEN(TRIM(F150))=0</formula>
    </cfRule>
    <cfRule type="containsBlanks" dxfId="19592" priority="17094">
      <formula>LEN(TRIM(F150))=0</formula>
    </cfRule>
    <cfRule type="containsBlanks" dxfId="19591" priority="17095">
      <formula>LEN(TRIM(F150))=0</formula>
    </cfRule>
    <cfRule type="containsBlanks" dxfId="19590" priority="17096">
      <formula>LEN(TRIM(F150))=0</formula>
    </cfRule>
    <cfRule type="containsBlanks" dxfId="19589" priority="17097">
      <formula>LEN(TRIM(F150))=0</formula>
    </cfRule>
    <cfRule type="containsBlanks" dxfId="19588" priority="17098">
      <formula>LEN(TRIM(F150))=0</formula>
    </cfRule>
    <cfRule type="containsBlanks" dxfId="19587" priority="17099">
      <formula>LEN(TRIM(F150))=0</formula>
    </cfRule>
    <cfRule type="containsBlanks" dxfId="19586" priority="17100">
      <formula>LEN(TRIM(F150))=0</formula>
    </cfRule>
    <cfRule type="containsBlanks" dxfId="19585" priority="17101">
      <formula>LEN(TRIM(F150))=0</formula>
    </cfRule>
    <cfRule type="containsBlanks" dxfId="19584" priority="17102">
      <formula>LEN(TRIM(F150))=0</formula>
    </cfRule>
    <cfRule type="containsBlanks" dxfId="19583" priority="17103">
      <formula>LEN(TRIM(F150))=0</formula>
    </cfRule>
  </conditionalFormatting>
  <conditionalFormatting sqref="F135:G135">
    <cfRule type="containsBlanks" dxfId="19582" priority="16800">
      <formula>LEN(TRIM(F135))=0</formula>
    </cfRule>
  </conditionalFormatting>
  <conditionalFormatting sqref="F139:G139">
    <cfRule type="containsBlanks" dxfId="19581" priority="16663">
      <formula>LEN(TRIM(F139))=0</formula>
    </cfRule>
  </conditionalFormatting>
  <conditionalFormatting sqref="G99:G156">
    <cfRule type="containsBlanks" dxfId="19580" priority="16826">
      <formula>LEN(TRIM(G99))=0</formula>
    </cfRule>
    <cfRule type="containsBlanks" dxfId="19579" priority="16827">
      <formula>LEN(TRIM(G99))=0</formula>
    </cfRule>
    <cfRule type="containsBlanks" dxfId="19578" priority="16828">
      <formula>LEN(TRIM(G99))=0</formula>
    </cfRule>
    <cfRule type="containsBlanks" dxfId="19577" priority="16829">
      <formula>LEN(TRIM(G99))=0</formula>
    </cfRule>
    <cfRule type="containsBlanks" dxfId="19576" priority="16830">
      <formula>LEN(TRIM(G99))=0</formula>
    </cfRule>
    <cfRule type="containsBlanks" dxfId="19575" priority="16831">
      <formula>LEN(TRIM(G99))=0</formula>
    </cfRule>
    <cfRule type="containsBlanks" dxfId="19574" priority="16832">
      <formula>LEN(TRIM(G99))=0</formula>
    </cfRule>
    <cfRule type="containsBlanks" dxfId="19573" priority="16833">
      <formula>LEN(TRIM(G99))=0</formula>
    </cfRule>
    <cfRule type="containsBlanks" dxfId="19572" priority="16834">
      <formula>LEN(TRIM(G99))=0</formula>
    </cfRule>
    <cfRule type="containsBlanks" dxfId="19571" priority="16835">
      <formula>LEN(TRIM(G99))=0</formula>
    </cfRule>
    <cfRule type="containsBlanks" dxfId="19570" priority="16836">
      <formula>LEN(TRIM(G99))=0</formula>
    </cfRule>
    <cfRule type="containsBlanks" dxfId="19569" priority="16837">
      <formula>LEN(TRIM(G99))=0</formula>
    </cfRule>
    <cfRule type="containsBlanks" dxfId="19568" priority="16838">
      <formula>LEN(TRIM(G99))=0</formula>
    </cfRule>
    <cfRule type="containsBlanks" dxfId="19567" priority="16839">
      <formula>LEN(TRIM(G99))=0</formula>
    </cfRule>
    <cfRule type="containsBlanks" dxfId="19566" priority="16840">
      <formula>LEN(TRIM(G99))=0</formula>
    </cfRule>
    <cfRule type="containsBlanks" dxfId="19565" priority="16841">
      <formula>LEN(TRIM(G99))=0</formula>
    </cfRule>
    <cfRule type="containsBlanks" dxfId="19564" priority="16842">
      <formula>LEN(TRIM(G99))=0</formula>
    </cfRule>
    <cfRule type="containsBlanks" dxfId="19563" priority="16843">
      <formula>LEN(TRIM(G99))=0</formula>
    </cfRule>
    <cfRule type="containsBlanks" dxfId="19562" priority="16844">
      <formula>LEN(TRIM(G99))=0</formula>
    </cfRule>
    <cfRule type="containsBlanks" dxfId="19561" priority="16845">
      <formula>LEN(TRIM(G99))=0</formula>
    </cfRule>
    <cfRule type="containsBlanks" dxfId="19560" priority="16846">
      <formula>LEN(TRIM(G99))=0</formula>
    </cfRule>
    <cfRule type="containsBlanks" dxfId="19559" priority="16847">
      <formula>LEN(TRIM(G99))=0</formula>
    </cfRule>
    <cfRule type="containsBlanks" dxfId="19558" priority="16848">
      <formula>LEN(TRIM(G99))=0</formula>
    </cfRule>
    <cfRule type="containsBlanks" dxfId="19557" priority="16849">
      <formula>LEN(TRIM(G99))=0</formula>
    </cfRule>
    <cfRule type="containsBlanks" dxfId="19556" priority="16850">
      <formula>LEN(TRIM(G99))=0</formula>
    </cfRule>
  </conditionalFormatting>
  <conditionalFormatting sqref="G104">
    <cfRule type="containsBlanks" dxfId="19555" priority="17081">
      <formula>LEN(TRIM(G104))=0</formula>
    </cfRule>
    <cfRule type="containsBlanks" dxfId="19554" priority="17082">
      <formula>LEN(TRIM(G104))=0</formula>
    </cfRule>
    <cfRule type="containsBlanks" dxfId="19553" priority="17083">
      <formula>LEN(TRIM(G104))=0</formula>
    </cfRule>
    <cfRule type="containsBlanks" dxfId="19552" priority="17084">
      <formula>LEN(TRIM(G104))=0</formula>
    </cfRule>
    <cfRule type="containsBlanks" dxfId="19551" priority="17085">
      <formula>LEN(TRIM(G104))=0</formula>
    </cfRule>
    <cfRule type="containsBlanks" dxfId="19550" priority="17086">
      <formula>LEN(TRIM(G104))=0</formula>
    </cfRule>
    <cfRule type="containsBlanks" dxfId="19549" priority="17087">
      <formula>LEN(TRIM(G104))=0</formula>
    </cfRule>
    <cfRule type="containsBlanks" dxfId="19548" priority="17088">
      <formula>LEN(TRIM(G104))=0</formula>
    </cfRule>
    <cfRule type="containsBlanks" dxfId="19547" priority="17089">
      <formula>LEN(TRIM(G104))=0</formula>
    </cfRule>
    <cfRule type="containsBlanks" dxfId="19546" priority="17090">
      <formula>LEN(TRIM(G104))=0</formula>
    </cfRule>
    <cfRule type="containsBlanks" dxfId="19545" priority="17129">
      <formula>LEN(TRIM(G104))=0</formula>
    </cfRule>
  </conditionalFormatting>
  <conditionalFormatting sqref="G121:G122">
    <cfRule type="containsBlanks" dxfId="19544" priority="17035">
      <formula>LEN(TRIM(G121))=0</formula>
    </cfRule>
    <cfRule type="containsBlanks" dxfId="19543" priority="17036">
      <formula>LEN(TRIM(G121))=0</formula>
    </cfRule>
    <cfRule type="containsBlanks" dxfId="19542" priority="17037">
      <formula>LEN(TRIM(G121))=0</formula>
    </cfRule>
    <cfRule type="containsBlanks" dxfId="19541" priority="17038">
      <formula>LEN(TRIM(G121))=0</formula>
    </cfRule>
    <cfRule type="containsBlanks" dxfId="19540" priority="17039">
      <formula>LEN(TRIM(G121))=0</formula>
    </cfRule>
    <cfRule type="containsBlanks" dxfId="19539" priority="17040">
      <formula>LEN(TRIM(G121))=0</formula>
    </cfRule>
    <cfRule type="containsBlanks" dxfId="19538" priority="17041">
      <formula>LEN(TRIM(G121))=0</formula>
    </cfRule>
    <cfRule type="containsBlanks" dxfId="19537" priority="17042">
      <formula>LEN(TRIM(G121))=0</formula>
    </cfRule>
    <cfRule type="containsBlanks" dxfId="19536" priority="17043">
      <formula>LEN(TRIM(G121))=0</formula>
    </cfRule>
    <cfRule type="containsBlanks" dxfId="19535" priority="17044">
      <formula>LEN(TRIM(G121))=0</formula>
    </cfRule>
    <cfRule type="containsBlanks" dxfId="19534" priority="17045">
      <formula>LEN(TRIM(G121))=0</formula>
    </cfRule>
    <cfRule type="containsBlanks" dxfId="19533" priority="17046">
      <formula>LEN(TRIM(G121))=0</formula>
    </cfRule>
    <cfRule type="containsBlanks" dxfId="19532" priority="17047">
      <formula>LEN(TRIM(G121))=0</formula>
    </cfRule>
    <cfRule type="containsBlanks" dxfId="19531" priority="17048">
      <formula>LEN(TRIM(G121))=0</formula>
    </cfRule>
    <cfRule type="containsBlanks" dxfId="19530" priority="17049">
      <formula>LEN(TRIM(G121))=0</formula>
    </cfRule>
    <cfRule type="containsBlanks" dxfId="19529" priority="17050">
      <formula>LEN(TRIM(G121))=0</formula>
    </cfRule>
    <cfRule type="containsBlanks" dxfId="19528" priority="17051">
      <formula>LEN(TRIM(G121))=0</formula>
    </cfRule>
    <cfRule type="containsBlanks" dxfId="19527" priority="17052">
      <formula>LEN(TRIM(G121))=0</formula>
    </cfRule>
    <cfRule type="containsBlanks" dxfId="19526" priority="17053">
      <formula>LEN(TRIM(G121))=0</formula>
    </cfRule>
    <cfRule type="containsBlanks" dxfId="19525" priority="17054">
      <formula>LEN(TRIM(G121))=0</formula>
    </cfRule>
    <cfRule type="containsBlanks" dxfId="19524" priority="17055">
      <formula>LEN(TRIM(G121))=0</formula>
    </cfRule>
    <cfRule type="containsBlanks" dxfId="19523" priority="17056">
      <formula>LEN(TRIM(G121))=0</formula>
    </cfRule>
    <cfRule type="containsBlanks" dxfId="19522" priority="17057">
      <formula>LEN(TRIM(G121))=0</formula>
    </cfRule>
    <cfRule type="containsBlanks" dxfId="19521" priority="17058">
      <formula>LEN(TRIM(G121))=0</formula>
    </cfRule>
    <cfRule type="containsBlanks" dxfId="19520" priority="17059">
      <formula>LEN(TRIM(G121))=0</formula>
    </cfRule>
    <cfRule type="containsBlanks" dxfId="19519" priority="17060">
      <formula>LEN(TRIM(G121))=0</formula>
    </cfRule>
    <cfRule type="containsBlanks" dxfId="19518" priority="17061">
      <formula>LEN(TRIM(G121))=0</formula>
    </cfRule>
    <cfRule type="containsBlanks" dxfId="19517" priority="17062">
      <formula>LEN(TRIM(G121))=0</formula>
    </cfRule>
    <cfRule type="containsBlanks" dxfId="19516" priority="17063">
      <formula>LEN(TRIM(G121))=0</formula>
    </cfRule>
    <cfRule type="containsBlanks" dxfId="19515" priority="17064">
      <formula>LEN(TRIM(G121))=0</formula>
    </cfRule>
    <cfRule type="containsBlanks" dxfId="19514" priority="17065">
      <formula>LEN(TRIM(G121))=0</formula>
    </cfRule>
    <cfRule type="containsBlanks" dxfId="19513" priority="17066">
      <formula>LEN(TRIM(G121))=0</formula>
    </cfRule>
    <cfRule type="containsBlanks" dxfId="19512" priority="17067">
      <formula>LEN(TRIM(G121))=0</formula>
    </cfRule>
    <cfRule type="containsBlanks" dxfId="19511" priority="17068">
      <formula>LEN(TRIM(G121))=0</formula>
    </cfRule>
    <cfRule type="containsBlanks" dxfId="19510" priority="17069">
      <formula>LEN(TRIM(G121))=0</formula>
    </cfRule>
    <cfRule type="containsBlanks" dxfId="19509" priority="17070">
      <formula>LEN(TRIM(G121))=0</formula>
    </cfRule>
    <cfRule type="containsBlanks" dxfId="19508" priority="17071">
      <formula>LEN(TRIM(G121))=0</formula>
    </cfRule>
    <cfRule type="containsBlanks" dxfId="19507" priority="17072">
      <formula>LEN(TRIM(G121))=0</formula>
    </cfRule>
    <cfRule type="containsBlanks" dxfId="19506" priority="17073">
      <formula>LEN(TRIM(G121))=0</formula>
    </cfRule>
    <cfRule type="containsBlanks" dxfId="19505" priority="17074">
      <formula>LEN(TRIM(G121))=0</formula>
    </cfRule>
    <cfRule type="containsBlanks" dxfId="19504" priority="17075">
      <formula>LEN(TRIM(G121))=0</formula>
    </cfRule>
    <cfRule type="containsBlanks" dxfId="19503" priority="17076">
      <formula>LEN(TRIM(G121))=0</formula>
    </cfRule>
    <cfRule type="containsBlanks" dxfId="19502" priority="17077">
      <formula>LEN(TRIM(G121))=0</formula>
    </cfRule>
    <cfRule type="containsBlanks" dxfId="19501" priority="17078">
      <formula>LEN(TRIM(G121))=0</formula>
    </cfRule>
    <cfRule type="containsBlanks" dxfId="19500" priority="17079">
      <formula>LEN(TRIM(G121))=0</formula>
    </cfRule>
    <cfRule type="containsBlanks" dxfId="19499" priority="17080">
      <formula>LEN(TRIM(G121))=0</formula>
    </cfRule>
  </conditionalFormatting>
  <conditionalFormatting sqref="G127">
    <cfRule type="containsBlanks" dxfId="19498" priority="16814">
      <formula>LEN(TRIM(G127))=0</formula>
    </cfRule>
    <cfRule type="containsBlanks" dxfId="19497" priority="16815">
      <formula>LEN(TRIM(G127))=0</formula>
    </cfRule>
    <cfRule type="containsBlanks" dxfId="19496" priority="16816">
      <formula>LEN(TRIM(G127))=0</formula>
    </cfRule>
    <cfRule type="containsBlanks" dxfId="19495" priority="16817">
      <formula>LEN(TRIM(G127))=0</formula>
    </cfRule>
    <cfRule type="containsBlanks" dxfId="19494" priority="16818">
      <formula>LEN(TRIM(G127))=0</formula>
    </cfRule>
    <cfRule type="containsBlanks" dxfId="19493" priority="16819">
      <formula>LEN(TRIM(G127))=0</formula>
    </cfRule>
    <cfRule type="containsBlanks" dxfId="19492" priority="16820">
      <formula>LEN(TRIM(G127))=0</formula>
    </cfRule>
    <cfRule type="containsBlanks" dxfId="19491" priority="16821">
      <formula>LEN(TRIM(G127))=0</formula>
    </cfRule>
    <cfRule type="containsBlanks" dxfId="19490" priority="16822">
      <formula>LEN(TRIM(G127))=0</formula>
    </cfRule>
    <cfRule type="containsBlanks" dxfId="19489" priority="16823">
      <formula>LEN(TRIM(G127))=0</formula>
    </cfRule>
    <cfRule type="containsBlanks" dxfId="19488" priority="16824">
      <formula>LEN(TRIM(G127))=0</formula>
    </cfRule>
    <cfRule type="containsBlanks" dxfId="19487" priority="16825">
      <formula>LEN(TRIM(G127))=0</formula>
    </cfRule>
    <cfRule type="containsBlanks" dxfId="19486" priority="16943">
      <formula>LEN(TRIM(G127))=0</formula>
    </cfRule>
    <cfRule type="containsBlanks" dxfId="19485" priority="16944">
      <formula>LEN(TRIM(G127))=0</formula>
    </cfRule>
    <cfRule type="containsBlanks" dxfId="19484" priority="16945">
      <formula>LEN(TRIM(G127))=0</formula>
    </cfRule>
    <cfRule type="containsBlanks" dxfId="19483" priority="16946">
      <formula>LEN(TRIM(G127))=0</formula>
    </cfRule>
    <cfRule type="containsBlanks" dxfId="19482" priority="16947">
      <formula>LEN(TRIM(G127))=0</formula>
    </cfRule>
    <cfRule type="containsBlanks" dxfId="19481" priority="16948">
      <formula>LEN(TRIM(G127))=0</formula>
    </cfRule>
    <cfRule type="containsBlanks" dxfId="19480" priority="16949">
      <formula>LEN(TRIM(G127))=0</formula>
    </cfRule>
    <cfRule type="containsBlanks" dxfId="19479" priority="16950">
      <formula>LEN(TRIM(G127))=0</formula>
    </cfRule>
    <cfRule type="containsBlanks" dxfId="19478" priority="16951">
      <formula>LEN(TRIM(G127))=0</formula>
    </cfRule>
    <cfRule type="containsBlanks" dxfId="19477" priority="16952">
      <formula>LEN(TRIM(G127))=0</formula>
    </cfRule>
    <cfRule type="containsBlanks" dxfId="19476" priority="16953">
      <formula>LEN(TRIM(G127))=0</formula>
    </cfRule>
    <cfRule type="containsBlanks" dxfId="19475" priority="16954">
      <formula>LEN(TRIM(G127))=0</formula>
    </cfRule>
    <cfRule type="containsBlanks" dxfId="19474" priority="16955">
      <formula>LEN(TRIM(G127))=0</formula>
    </cfRule>
    <cfRule type="containsBlanks" dxfId="19473" priority="16956">
      <formula>LEN(TRIM(G127))=0</formula>
    </cfRule>
    <cfRule type="containsBlanks" dxfId="19472" priority="16957">
      <formula>LEN(TRIM(G127))=0</formula>
    </cfRule>
    <cfRule type="containsBlanks" dxfId="19471" priority="16958">
      <formula>LEN(TRIM(G127))=0</formula>
    </cfRule>
    <cfRule type="containsBlanks" dxfId="19470" priority="16959">
      <formula>LEN(TRIM(G127))=0</formula>
    </cfRule>
    <cfRule type="containsBlanks" dxfId="19469" priority="16960">
      <formula>LEN(TRIM(G127))=0</formula>
    </cfRule>
    <cfRule type="containsBlanks" dxfId="19468" priority="16961">
      <formula>LEN(TRIM(G127))=0</formula>
    </cfRule>
    <cfRule type="containsBlanks" dxfId="19467" priority="16962">
      <formula>LEN(TRIM(G127))=0</formula>
    </cfRule>
    <cfRule type="containsBlanks" dxfId="19466" priority="16963">
      <formula>LEN(TRIM(G127))=0</formula>
    </cfRule>
    <cfRule type="containsBlanks" dxfId="19465" priority="16964">
      <formula>LEN(TRIM(G127))=0</formula>
    </cfRule>
    <cfRule type="containsBlanks" dxfId="19464" priority="16965">
      <formula>LEN(TRIM(G127))=0</formula>
    </cfRule>
    <cfRule type="containsBlanks" dxfId="19463" priority="16966">
      <formula>LEN(TRIM(G127))=0</formula>
    </cfRule>
    <cfRule type="containsBlanks" dxfId="19462" priority="16967">
      <formula>LEN(TRIM(G127))=0</formula>
    </cfRule>
    <cfRule type="containsBlanks" dxfId="19461" priority="16968">
      <formula>LEN(TRIM(G127))=0</formula>
    </cfRule>
    <cfRule type="containsBlanks" dxfId="19460" priority="16969">
      <formula>LEN(TRIM(G127))=0</formula>
    </cfRule>
    <cfRule type="containsBlanks" dxfId="19459" priority="16970">
      <formula>LEN(TRIM(G127))=0</formula>
    </cfRule>
    <cfRule type="containsBlanks" dxfId="19458" priority="16971">
      <formula>LEN(TRIM(G127))=0</formula>
    </cfRule>
    <cfRule type="containsBlanks" dxfId="19457" priority="16972">
      <formula>LEN(TRIM(G127))=0</formula>
    </cfRule>
    <cfRule type="containsBlanks" dxfId="19456" priority="16973">
      <formula>LEN(TRIM(G127))=0</formula>
    </cfRule>
    <cfRule type="containsBlanks" dxfId="19455" priority="16974">
      <formula>LEN(TRIM(G127))=0</formula>
    </cfRule>
    <cfRule type="containsBlanks" dxfId="19454" priority="16975">
      <formula>LEN(TRIM(G127))=0</formula>
    </cfRule>
    <cfRule type="containsBlanks" dxfId="19453" priority="16976">
      <formula>LEN(TRIM(G127))=0</formula>
    </cfRule>
    <cfRule type="containsBlanks" dxfId="19452" priority="16977">
      <formula>LEN(TRIM(G127))=0</formula>
    </cfRule>
    <cfRule type="containsBlanks" dxfId="19451" priority="16978">
      <formula>LEN(TRIM(G127))=0</formula>
    </cfRule>
    <cfRule type="containsBlanks" dxfId="19450" priority="16979">
      <formula>LEN(TRIM(G127))=0</formula>
    </cfRule>
    <cfRule type="containsBlanks" dxfId="19449" priority="16980">
      <formula>LEN(TRIM(G127))=0</formula>
    </cfRule>
    <cfRule type="containsBlanks" dxfId="19448" priority="16981">
      <formula>LEN(TRIM(G127))=0</formula>
    </cfRule>
    <cfRule type="containsBlanks" dxfId="19447" priority="16982">
      <formula>LEN(TRIM(G127))=0</formula>
    </cfRule>
    <cfRule type="containsBlanks" dxfId="19446" priority="16983">
      <formula>LEN(TRIM(G127))=0</formula>
    </cfRule>
    <cfRule type="containsBlanks" dxfId="19445" priority="16984">
      <formula>LEN(TRIM(G127))=0</formula>
    </cfRule>
    <cfRule type="containsBlanks" dxfId="19444" priority="16985">
      <formula>LEN(TRIM(G127))=0</formula>
    </cfRule>
    <cfRule type="containsBlanks" dxfId="19443" priority="16986">
      <formula>LEN(TRIM(G127))=0</formula>
    </cfRule>
    <cfRule type="containsBlanks" dxfId="19442" priority="16987">
      <formula>LEN(TRIM(G127))=0</formula>
    </cfRule>
    <cfRule type="containsBlanks" dxfId="19441" priority="16988">
      <formula>LEN(TRIM(G127))=0</formula>
    </cfRule>
  </conditionalFormatting>
  <conditionalFormatting sqref="G129:G133">
    <cfRule type="containsBlanks" dxfId="19440" priority="16801">
      <formula>LEN(TRIM(G129))=0</formula>
    </cfRule>
    <cfRule type="containsBlanks" dxfId="19439" priority="16802">
      <formula>LEN(TRIM(G129))=0</formula>
    </cfRule>
    <cfRule type="containsBlanks" dxfId="19438" priority="16803">
      <formula>LEN(TRIM(G129))=0</formula>
    </cfRule>
    <cfRule type="containsBlanks" dxfId="19437" priority="16804">
      <formula>LEN(TRIM(G129))=0</formula>
    </cfRule>
    <cfRule type="containsBlanks" dxfId="19436" priority="16805">
      <formula>LEN(TRIM(G129))=0</formula>
    </cfRule>
    <cfRule type="containsBlanks" dxfId="19435" priority="16806">
      <formula>LEN(TRIM(G129))=0</formula>
    </cfRule>
    <cfRule type="containsBlanks" dxfId="19434" priority="16807">
      <formula>LEN(TRIM(G129))=0</formula>
    </cfRule>
    <cfRule type="containsBlanks" dxfId="19433" priority="16808">
      <formula>LEN(TRIM(G129))=0</formula>
    </cfRule>
    <cfRule type="containsBlanks" dxfId="19432" priority="16809">
      <formula>LEN(TRIM(G129))=0</formula>
    </cfRule>
    <cfRule type="containsBlanks" dxfId="19431" priority="16810">
      <formula>LEN(TRIM(G129))=0</formula>
    </cfRule>
    <cfRule type="containsBlanks" dxfId="19430" priority="16811">
      <formula>LEN(TRIM(G129))=0</formula>
    </cfRule>
    <cfRule type="containsBlanks" dxfId="19429" priority="16812">
      <formula>LEN(TRIM(G129))=0</formula>
    </cfRule>
    <cfRule type="containsBlanks" dxfId="19428" priority="16813">
      <formula>LEN(TRIM(G129))=0</formula>
    </cfRule>
  </conditionalFormatting>
  <conditionalFormatting sqref="G131">
    <cfRule type="containsBlanks" dxfId="19427" priority="16989">
      <formula>LEN(TRIM(G131))=0</formula>
    </cfRule>
    <cfRule type="containsBlanks" dxfId="19426" priority="16990">
      <formula>LEN(TRIM(G131))=0</formula>
    </cfRule>
    <cfRule type="containsBlanks" dxfId="19425" priority="16991">
      <formula>LEN(TRIM(G131))=0</formula>
    </cfRule>
    <cfRule type="containsBlanks" dxfId="19424" priority="16992">
      <formula>LEN(TRIM(G131))=0</formula>
    </cfRule>
    <cfRule type="containsBlanks" dxfId="19423" priority="16993">
      <formula>LEN(TRIM(G131))=0</formula>
    </cfRule>
    <cfRule type="containsBlanks" dxfId="19422" priority="16994">
      <formula>LEN(TRIM(G131))=0</formula>
    </cfRule>
    <cfRule type="containsBlanks" dxfId="19421" priority="16995">
      <formula>LEN(TRIM(G131))=0</formula>
    </cfRule>
    <cfRule type="containsBlanks" dxfId="19420" priority="16996">
      <formula>LEN(TRIM(G131))=0</formula>
    </cfRule>
    <cfRule type="containsBlanks" dxfId="19419" priority="16997">
      <formula>LEN(TRIM(G131))=0</formula>
    </cfRule>
    <cfRule type="containsBlanks" dxfId="19418" priority="16998">
      <formula>LEN(TRIM(G131))=0</formula>
    </cfRule>
    <cfRule type="containsBlanks" dxfId="19417" priority="16999">
      <formula>LEN(TRIM(G131))=0</formula>
    </cfRule>
    <cfRule type="containsBlanks" dxfId="19416" priority="17000">
      <formula>LEN(TRIM(G131))=0</formula>
    </cfRule>
    <cfRule type="containsBlanks" dxfId="19415" priority="17001">
      <formula>LEN(TRIM(G131))=0</formula>
    </cfRule>
    <cfRule type="containsBlanks" dxfId="19414" priority="17002">
      <formula>LEN(TRIM(G131))=0</formula>
    </cfRule>
    <cfRule type="containsBlanks" dxfId="19413" priority="17003">
      <formula>LEN(TRIM(G131))=0</formula>
    </cfRule>
    <cfRule type="containsBlanks" dxfId="19412" priority="17004">
      <formula>LEN(TRIM(G131))=0</formula>
    </cfRule>
    <cfRule type="containsBlanks" dxfId="19411" priority="17005">
      <formula>LEN(TRIM(G131))=0</formula>
    </cfRule>
    <cfRule type="containsBlanks" dxfId="19410" priority="17006">
      <formula>LEN(TRIM(G131))=0</formula>
    </cfRule>
    <cfRule type="containsBlanks" dxfId="19409" priority="17007">
      <formula>LEN(TRIM(G131))=0</formula>
    </cfRule>
    <cfRule type="containsBlanks" dxfId="19408" priority="17008">
      <formula>LEN(TRIM(G131))=0</formula>
    </cfRule>
    <cfRule type="containsBlanks" dxfId="19407" priority="17009">
      <formula>LEN(TRIM(G131))=0</formula>
    </cfRule>
    <cfRule type="containsBlanks" dxfId="19406" priority="17010">
      <formula>LEN(TRIM(G131))=0</formula>
    </cfRule>
    <cfRule type="containsBlanks" dxfId="19405" priority="17011">
      <formula>LEN(TRIM(G131))=0</formula>
    </cfRule>
    <cfRule type="containsBlanks" dxfId="19404" priority="17012">
      <formula>LEN(TRIM(G131))=0</formula>
    </cfRule>
    <cfRule type="containsBlanks" dxfId="19403" priority="17013">
      <formula>LEN(TRIM(G131))=0</formula>
    </cfRule>
    <cfRule type="containsBlanks" dxfId="19402" priority="17014">
      <formula>LEN(TRIM(G131))=0</formula>
    </cfRule>
    <cfRule type="containsBlanks" dxfId="19401" priority="17015">
      <formula>LEN(TRIM(G131))=0</formula>
    </cfRule>
    <cfRule type="containsBlanks" dxfId="19400" priority="17016">
      <formula>LEN(TRIM(G131))=0</formula>
    </cfRule>
    <cfRule type="containsBlanks" dxfId="19399" priority="17017">
      <formula>LEN(TRIM(G131))=0</formula>
    </cfRule>
    <cfRule type="containsBlanks" dxfId="19398" priority="17018">
      <formula>LEN(TRIM(G131))=0</formula>
    </cfRule>
    <cfRule type="containsBlanks" dxfId="19397" priority="17019">
      <formula>LEN(TRIM(G131))=0</formula>
    </cfRule>
    <cfRule type="containsBlanks" dxfId="19396" priority="17020">
      <formula>LEN(TRIM(G131))=0</formula>
    </cfRule>
    <cfRule type="containsBlanks" dxfId="19395" priority="17021">
      <formula>LEN(TRIM(G131))=0</formula>
    </cfRule>
    <cfRule type="containsBlanks" dxfId="19394" priority="17022">
      <formula>LEN(TRIM(G131))=0</formula>
    </cfRule>
    <cfRule type="containsBlanks" dxfId="19393" priority="17023">
      <formula>LEN(TRIM(G131))=0</formula>
    </cfRule>
    <cfRule type="containsBlanks" dxfId="19392" priority="17024">
      <formula>LEN(TRIM(G131))=0</formula>
    </cfRule>
    <cfRule type="containsBlanks" dxfId="19391" priority="17025">
      <formula>LEN(TRIM(G131))=0</formula>
    </cfRule>
    <cfRule type="containsBlanks" dxfId="19390" priority="17026">
      <formula>LEN(TRIM(G131))=0</formula>
    </cfRule>
    <cfRule type="containsBlanks" dxfId="19389" priority="17027">
      <formula>LEN(TRIM(G131))=0</formula>
    </cfRule>
    <cfRule type="containsBlanks" dxfId="19388" priority="17028">
      <formula>LEN(TRIM(G131))=0</formula>
    </cfRule>
    <cfRule type="containsBlanks" dxfId="19387" priority="17029">
      <formula>LEN(TRIM(G131))=0</formula>
    </cfRule>
    <cfRule type="containsBlanks" dxfId="19386" priority="17030">
      <formula>LEN(TRIM(G131))=0</formula>
    </cfRule>
    <cfRule type="containsBlanks" dxfId="19385" priority="17031">
      <formula>LEN(TRIM(G131))=0</formula>
    </cfRule>
    <cfRule type="containsBlanks" dxfId="19384" priority="17032">
      <formula>LEN(TRIM(G131))=0</formula>
    </cfRule>
    <cfRule type="containsBlanks" dxfId="19383" priority="17033">
      <formula>LEN(TRIM(G131))=0</formula>
    </cfRule>
    <cfRule type="containsBlanks" dxfId="19382" priority="17034">
      <formula>LEN(TRIM(G131))=0</formula>
    </cfRule>
  </conditionalFormatting>
  <conditionalFormatting sqref="G135">
    <cfRule type="containsBlanks" dxfId="19381" priority="16788">
      <formula>LEN(TRIM(G135))=0</formula>
    </cfRule>
    <cfRule type="containsBlanks" dxfId="19380" priority="16789">
      <formula>LEN(TRIM(G135))=0</formula>
    </cfRule>
    <cfRule type="containsBlanks" dxfId="19379" priority="16790">
      <formula>LEN(TRIM(G135))=0</formula>
    </cfRule>
    <cfRule type="containsBlanks" dxfId="19378" priority="16791">
      <formula>LEN(TRIM(G135))=0</formula>
    </cfRule>
    <cfRule type="containsBlanks" dxfId="19377" priority="16792">
      <formula>LEN(TRIM(G135))=0</formula>
    </cfRule>
    <cfRule type="containsBlanks" dxfId="19376" priority="16793">
      <formula>LEN(TRIM(G135))=0</formula>
    </cfRule>
    <cfRule type="containsBlanks" dxfId="19375" priority="16794">
      <formula>LEN(TRIM(G135))=0</formula>
    </cfRule>
    <cfRule type="containsBlanks" dxfId="19374" priority="16795">
      <formula>LEN(TRIM(G135))=0</formula>
    </cfRule>
    <cfRule type="containsBlanks" dxfId="19373" priority="16796">
      <formula>LEN(TRIM(G135))=0</formula>
    </cfRule>
    <cfRule type="containsBlanks" dxfId="19372" priority="16797">
      <formula>LEN(TRIM(G135))=0</formula>
    </cfRule>
    <cfRule type="containsBlanks" dxfId="19371" priority="16798">
      <formula>LEN(TRIM(G135))=0</formula>
    </cfRule>
    <cfRule type="containsBlanks" dxfId="19370" priority="16799">
      <formula>LEN(TRIM(G135))=0</formula>
    </cfRule>
  </conditionalFormatting>
  <conditionalFormatting sqref="G137:G138">
    <cfRule type="containsBlanks" dxfId="19369" priority="16776">
      <formula>LEN(TRIM(G137))=0</formula>
    </cfRule>
    <cfRule type="containsBlanks" dxfId="19368" priority="16777">
      <formula>LEN(TRIM(G137))=0</formula>
    </cfRule>
    <cfRule type="containsBlanks" dxfId="19367" priority="16778">
      <formula>LEN(TRIM(G137))=0</formula>
    </cfRule>
    <cfRule type="containsBlanks" dxfId="19366" priority="16779">
      <formula>LEN(TRIM(G137))=0</formula>
    </cfRule>
    <cfRule type="containsBlanks" dxfId="19365" priority="16780">
      <formula>LEN(TRIM(G137))=0</formula>
    </cfRule>
    <cfRule type="containsBlanks" dxfId="19364" priority="16781">
      <formula>LEN(TRIM(G137))=0</formula>
    </cfRule>
    <cfRule type="containsBlanks" dxfId="19363" priority="16782">
      <formula>LEN(TRIM(G137))=0</formula>
    </cfRule>
    <cfRule type="containsBlanks" dxfId="19362" priority="16783">
      <formula>LEN(TRIM(G137))=0</formula>
    </cfRule>
    <cfRule type="containsBlanks" dxfId="19361" priority="16784">
      <formula>LEN(TRIM(G137))=0</formula>
    </cfRule>
    <cfRule type="containsBlanks" dxfId="19360" priority="16785">
      <formula>LEN(TRIM(G137))=0</formula>
    </cfRule>
    <cfRule type="containsBlanks" dxfId="19359" priority="16786">
      <formula>LEN(TRIM(G137))=0</formula>
    </cfRule>
    <cfRule type="containsBlanks" dxfId="19358" priority="16787">
      <formula>LEN(TRIM(G137))=0</formula>
    </cfRule>
  </conditionalFormatting>
  <conditionalFormatting sqref="G137:G156">
    <cfRule type="containsBlanks" dxfId="19357" priority="16775">
      <formula>LEN(TRIM(G137))=0</formula>
    </cfRule>
  </conditionalFormatting>
  <conditionalFormatting sqref="G139">
    <cfRule type="containsBlanks" dxfId="19356" priority="16714">
      <formula>LEN(TRIM(G139))=0</formula>
    </cfRule>
    <cfRule type="containsBlanks" dxfId="19355" priority="16715">
      <formula>LEN(TRIM(G139))=0</formula>
    </cfRule>
    <cfRule type="containsBlanks" dxfId="19354" priority="16716">
      <formula>LEN(TRIM(G139))=0</formula>
    </cfRule>
    <cfRule type="containsBlanks" dxfId="19353" priority="16717">
      <formula>LEN(TRIM(G139))=0</formula>
    </cfRule>
    <cfRule type="containsBlanks" dxfId="19352" priority="16718">
      <formula>LEN(TRIM(G139))=0</formula>
    </cfRule>
    <cfRule type="containsBlanks" dxfId="19351" priority="16719">
      <formula>LEN(TRIM(G139))=0</formula>
    </cfRule>
    <cfRule type="containsBlanks" dxfId="19350" priority="16720">
      <formula>LEN(TRIM(G139))=0</formula>
    </cfRule>
    <cfRule type="containsBlanks" dxfId="19349" priority="16721">
      <formula>LEN(TRIM(G139))=0</formula>
    </cfRule>
    <cfRule type="containsBlanks" dxfId="19348" priority="16722">
      <formula>LEN(TRIM(G139))=0</formula>
    </cfRule>
    <cfRule type="containsBlanks" dxfId="19347" priority="16723">
      <formula>LEN(TRIM(G139))=0</formula>
    </cfRule>
    <cfRule type="containsBlanks" dxfId="19346" priority="16724">
      <formula>LEN(TRIM(G139))=0</formula>
    </cfRule>
  </conditionalFormatting>
  <conditionalFormatting sqref="G139:G140">
    <cfRule type="containsBlanks" dxfId="19345" priority="16725">
      <formula>LEN(TRIM(G139))=0</formula>
    </cfRule>
  </conditionalFormatting>
  <conditionalFormatting sqref="G139:G156">
    <cfRule type="containsBlanks" dxfId="19344" priority="16764">
      <formula>LEN(TRIM(G139))=0</formula>
    </cfRule>
    <cfRule type="containsBlanks" dxfId="19343" priority="16765">
      <formula>LEN(TRIM(G139))=0</formula>
    </cfRule>
    <cfRule type="containsBlanks" dxfId="19342" priority="16766">
      <formula>LEN(TRIM(G139))=0</formula>
    </cfRule>
    <cfRule type="containsBlanks" dxfId="19341" priority="16767">
      <formula>LEN(TRIM(G139))=0</formula>
    </cfRule>
    <cfRule type="containsBlanks" dxfId="19340" priority="16768">
      <formula>LEN(TRIM(G139))=0</formula>
    </cfRule>
    <cfRule type="containsBlanks" dxfId="19339" priority="16769">
      <formula>LEN(TRIM(G139))=0</formula>
    </cfRule>
    <cfRule type="containsBlanks" dxfId="19338" priority="16770">
      <formula>LEN(TRIM(G139))=0</formula>
    </cfRule>
    <cfRule type="containsBlanks" dxfId="19337" priority="16771">
      <formula>LEN(TRIM(G139))=0</formula>
    </cfRule>
    <cfRule type="containsBlanks" dxfId="19336" priority="16772">
      <formula>LEN(TRIM(G139))=0</formula>
    </cfRule>
    <cfRule type="containsBlanks" dxfId="19335" priority="16773">
      <formula>LEN(TRIM(G139))=0</formula>
    </cfRule>
    <cfRule type="containsBlanks" dxfId="19334" priority="16774">
      <formula>LEN(TRIM(G139))=0</formula>
    </cfRule>
  </conditionalFormatting>
  <conditionalFormatting sqref="G139:G158">
    <cfRule type="containsBlanks" dxfId="19333" priority="16763">
      <formula>LEN(TRIM(G139))=0</formula>
    </cfRule>
  </conditionalFormatting>
  <conditionalFormatting sqref="G140">
    <cfRule type="containsBlanks" dxfId="19332" priority="16739">
      <formula>LEN(TRIM(G140))=0</formula>
    </cfRule>
    <cfRule type="containsBlanks" dxfId="19331" priority="16740">
      <formula>LEN(TRIM(G140))=0</formula>
    </cfRule>
    <cfRule type="containsBlanks" dxfId="19330" priority="16741">
      <formula>LEN(TRIM(G140))=0</formula>
    </cfRule>
    <cfRule type="containsBlanks" dxfId="19329" priority="16742">
      <formula>LEN(TRIM(G140))=0</formula>
    </cfRule>
    <cfRule type="containsBlanks" dxfId="19328" priority="16743">
      <formula>LEN(TRIM(G140))=0</formula>
    </cfRule>
    <cfRule type="containsBlanks" dxfId="19327" priority="16744">
      <formula>LEN(TRIM(G140))=0</formula>
    </cfRule>
    <cfRule type="containsBlanks" dxfId="19326" priority="16745">
      <formula>LEN(TRIM(G140))=0</formula>
    </cfRule>
    <cfRule type="containsBlanks" dxfId="19325" priority="16746">
      <formula>LEN(TRIM(G140))=0</formula>
    </cfRule>
    <cfRule type="containsBlanks" dxfId="19324" priority="16747">
      <formula>LEN(TRIM(G140))=0</formula>
    </cfRule>
    <cfRule type="containsBlanks" dxfId="19323" priority="16748">
      <formula>LEN(TRIM(G140))=0</formula>
    </cfRule>
    <cfRule type="containsBlanks" dxfId="19322" priority="16749">
      <formula>LEN(TRIM(G140))=0</formula>
    </cfRule>
    <cfRule type="containsBlanks" dxfId="19321" priority="16750">
      <formula>LEN(TRIM(G140))=0</formula>
    </cfRule>
  </conditionalFormatting>
  <conditionalFormatting sqref="G142">
    <cfRule type="containsBlanks" dxfId="19320" priority="16726">
      <formula>LEN(TRIM(G142))=0</formula>
    </cfRule>
    <cfRule type="containsBlanks" dxfId="19319" priority="16727">
      <formula>LEN(TRIM(G142))=0</formula>
    </cfRule>
    <cfRule type="containsBlanks" dxfId="19318" priority="16728">
      <formula>LEN(TRIM(G142))=0</formula>
    </cfRule>
    <cfRule type="containsBlanks" dxfId="19317" priority="16729">
      <formula>LEN(TRIM(G142))=0</formula>
    </cfRule>
    <cfRule type="containsBlanks" dxfId="19316" priority="16730">
      <formula>LEN(TRIM(G142))=0</formula>
    </cfRule>
    <cfRule type="containsBlanks" dxfId="19315" priority="16731">
      <formula>LEN(TRIM(G142))=0</formula>
    </cfRule>
    <cfRule type="containsBlanks" dxfId="19314" priority="16732">
      <formula>LEN(TRIM(G142))=0</formula>
    </cfRule>
    <cfRule type="containsBlanks" dxfId="19313" priority="16733">
      <formula>LEN(TRIM(G142))=0</formula>
    </cfRule>
    <cfRule type="containsBlanks" dxfId="19312" priority="16734">
      <formula>LEN(TRIM(G142))=0</formula>
    </cfRule>
    <cfRule type="containsBlanks" dxfId="19311" priority="16735">
      <formula>LEN(TRIM(G142))=0</formula>
    </cfRule>
    <cfRule type="containsBlanks" dxfId="19310" priority="16736">
      <formula>LEN(TRIM(G142))=0</formula>
    </cfRule>
    <cfRule type="containsBlanks" dxfId="19309" priority="16737">
      <formula>LEN(TRIM(G142))=0</formula>
    </cfRule>
    <cfRule type="containsBlanks" dxfId="19308" priority="16738">
      <formula>LEN(TRIM(G142))=0</formula>
    </cfRule>
  </conditionalFormatting>
  <conditionalFormatting sqref="G144">
    <cfRule type="containsBlanks" dxfId="19307" priority="16897">
      <formula>LEN(TRIM(G144))=0</formula>
    </cfRule>
    <cfRule type="containsBlanks" dxfId="19306" priority="16898">
      <formula>LEN(TRIM(G144))=0</formula>
    </cfRule>
    <cfRule type="containsBlanks" dxfId="19305" priority="16899">
      <formula>LEN(TRIM(G144))=0</formula>
    </cfRule>
    <cfRule type="containsBlanks" dxfId="19304" priority="16900">
      <formula>LEN(TRIM(G144))=0</formula>
    </cfRule>
    <cfRule type="containsBlanks" dxfId="19303" priority="16901">
      <formula>LEN(TRIM(G144))=0</formula>
    </cfRule>
    <cfRule type="containsBlanks" dxfId="19302" priority="16902">
      <formula>LEN(TRIM(G144))=0</formula>
    </cfRule>
    <cfRule type="containsBlanks" dxfId="19301" priority="16903">
      <formula>LEN(TRIM(G144))=0</formula>
    </cfRule>
    <cfRule type="containsBlanks" dxfId="19300" priority="16904">
      <formula>LEN(TRIM(G144))=0</formula>
    </cfRule>
    <cfRule type="containsBlanks" dxfId="19299" priority="16905">
      <formula>LEN(TRIM(G144))=0</formula>
    </cfRule>
    <cfRule type="containsBlanks" dxfId="19298" priority="16906">
      <formula>LEN(TRIM(G144))=0</formula>
    </cfRule>
    <cfRule type="containsBlanks" dxfId="19297" priority="16907">
      <formula>LEN(TRIM(G144))=0</formula>
    </cfRule>
    <cfRule type="containsBlanks" dxfId="19296" priority="16908">
      <formula>LEN(TRIM(G144))=0</formula>
    </cfRule>
    <cfRule type="containsBlanks" dxfId="19295" priority="16909">
      <formula>LEN(TRIM(G144))=0</formula>
    </cfRule>
    <cfRule type="containsBlanks" dxfId="19294" priority="16910">
      <formula>LEN(TRIM(G144))=0</formula>
    </cfRule>
    <cfRule type="containsBlanks" dxfId="19293" priority="16911">
      <formula>LEN(TRIM(G144))=0</formula>
    </cfRule>
    <cfRule type="containsBlanks" dxfId="19292" priority="16912">
      <formula>LEN(TRIM(G144))=0</formula>
    </cfRule>
    <cfRule type="containsBlanks" dxfId="19291" priority="16913">
      <formula>LEN(TRIM(G144))=0</formula>
    </cfRule>
    <cfRule type="containsBlanks" dxfId="19290" priority="16914">
      <formula>LEN(TRIM(G144))=0</formula>
    </cfRule>
    <cfRule type="containsBlanks" dxfId="19289" priority="16915">
      <formula>LEN(TRIM(G144))=0</formula>
    </cfRule>
    <cfRule type="containsBlanks" dxfId="19288" priority="16916">
      <formula>LEN(TRIM(G144))=0</formula>
    </cfRule>
    <cfRule type="containsBlanks" dxfId="19287" priority="16917">
      <formula>LEN(TRIM(G144))=0</formula>
    </cfRule>
    <cfRule type="containsBlanks" dxfId="19286" priority="16918">
      <formula>LEN(TRIM(G144))=0</formula>
    </cfRule>
    <cfRule type="containsBlanks" dxfId="19285" priority="16919">
      <formula>LEN(TRIM(G144))=0</formula>
    </cfRule>
    <cfRule type="containsBlanks" dxfId="19284" priority="16920">
      <formula>LEN(TRIM(G144))=0</formula>
    </cfRule>
    <cfRule type="containsBlanks" dxfId="19283" priority="16921">
      <formula>LEN(TRIM(G144))=0</formula>
    </cfRule>
    <cfRule type="containsBlanks" dxfId="19282" priority="16922">
      <formula>LEN(TRIM(G144))=0</formula>
    </cfRule>
    <cfRule type="containsBlanks" dxfId="19281" priority="16923">
      <formula>LEN(TRIM(G144))=0</formula>
    </cfRule>
    <cfRule type="containsBlanks" dxfId="19280" priority="16924">
      <formula>LEN(TRIM(G144))=0</formula>
    </cfRule>
    <cfRule type="containsBlanks" dxfId="19279" priority="16925">
      <formula>LEN(TRIM(G144))=0</formula>
    </cfRule>
    <cfRule type="containsBlanks" dxfId="19278" priority="16926">
      <formula>LEN(TRIM(G144))=0</formula>
    </cfRule>
    <cfRule type="containsBlanks" dxfId="19277" priority="16927">
      <formula>LEN(TRIM(G144))=0</formula>
    </cfRule>
    <cfRule type="containsBlanks" dxfId="19276" priority="16928">
      <formula>LEN(TRIM(G144))=0</formula>
    </cfRule>
    <cfRule type="containsBlanks" dxfId="19275" priority="16929">
      <formula>LEN(TRIM(G144))=0</formula>
    </cfRule>
    <cfRule type="containsBlanks" dxfId="19274" priority="16930">
      <formula>LEN(TRIM(G144))=0</formula>
    </cfRule>
    <cfRule type="containsBlanks" dxfId="19273" priority="16931">
      <formula>LEN(TRIM(G144))=0</formula>
    </cfRule>
    <cfRule type="containsBlanks" dxfId="19272" priority="16932">
      <formula>LEN(TRIM(G144))=0</formula>
    </cfRule>
    <cfRule type="containsBlanks" dxfId="19271" priority="16933">
      <formula>LEN(TRIM(G144))=0</formula>
    </cfRule>
    <cfRule type="containsBlanks" dxfId="19270" priority="16934">
      <formula>LEN(TRIM(G144))=0</formula>
    </cfRule>
    <cfRule type="containsBlanks" dxfId="19269" priority="16935">
      <formula>LEN(TRIM(G144))=0</formula>
    </cfRule>
    <cfRule type="containsBlanks" dxfId="19268" priority="16936">
      <formula>LEN(TRIM(G144))=0</formula>
    </cfRule>
    <cfRule type="containsBlanks" dxfId="19267" priority="16937">
      <formula>LEN(TRIM(G144))=0</formula>
    </cfRule>
    <cfRule type="containsBlanks" dxfId="19266" priority="16938">
      <formula>LEN(TRIM(G144))=0</formula>
    </cfRule>
    <cfRule type="containsBlanks" dxfId="19265" priority="16939">
      <formula>LEN(TRIM(G144))=0</formula>
    </cfRule>
    <cfRule type="containsBlanks" dxfId="19264" priority="16940">
      <formula>LEN(TRIM(G144))=0</formula>
    </cfRule>
    <cfRule type="containsBlanks" dxfId="19263" priority="16941">
      <formula>LEN(TRIM(G144))=0</formula>
    </cfRule>
    <cfRule type="containsBlanks" dxfId="19262" priority="16942">
      <formula>LEN(TRIM(G144))=0</formula>
    </cfRule>
  </conditionalFormatting>
  <conditionalFormatting sqref="G147">
    <cfRule type="containsBlanks" dxfId="19261" priority="16851">
      <formula>LEN(TRIM(G147))=0</formula>
    </cfRule>
    <cfRule type="containsBlanks" dxfId="19260" priority="16852">
      <formula>LEN(TRIM(G147))=0</formula>
    </cfRule>
    <cfRule type="containsBlanks" dxfId="19259" priority="16853">
      <formula>LEN(TRIM(G147))=0</formula>
    </cfRule>
    <cfRule type="containsBlanks" dxfId="19258" priority="16854">
      <formula>LEN(TRIM(G147))=0</formula>
    </cfRule>
    <cfRule type="containsBlanks" dxfId="19257" priority="16855">
      <formula>LEN(TRIM(G147))=0</formula>
    </cfRule>
    <cfRule type="containsBlanks" dxfId="19256" priority="16856">
      <formula>LEN(TRIM(G147))=0</formula>
    </cfRule>
    <cfRule type="containsBlanks" dxfId="19255" priority="16857">
      <formula>LEN(TRIM(G147))=0</formula>
    </cfRule>
    <cfRule type="containsBlanks" dxfId="19254" priority="16858">
      <formula>LEN(TRIM(G147))=0</formula>
    </cfRule>
    <cfRule type="containsBlanks" dxfId="19253" priority="16859">
      <formula>LEN(TRIM(G147))=0</formula>
    </cfRule>
    <cfRule type="containsBlanks" dxfId="19252" priority="16860">
      <formula>LEN(TRIM(G147))=0</formula>
    </cfRule>
    <cfRule type="containsBlanks" dxfId="19251" priority="16861">
      <formula>LEN(TRIM(G147))=0</formula>
    </cfRule>
    <cfRule type="containsBlanks" dxfId="19250" priority="16862">
      <formula>LEN(TRIM(G147))=0</formula>
    </cfRule>
    <cfRule type="containsBlanks" dxfId="19249" priority="16863">
      <formula>LEN(TRIM(G147))=0</formula>
    </cfRule>
    <cfRule type="containsBlanks" dxfId="19248" priority="16864">
      <formula>LEN(TRIM(G147))=0</formula>
    </cfRule>
    <cfRule type="containsBlanks" dxfId="19247" priority="16865">
      <formula>LEN(TRIM(G147))=0</formula>
    </cfRule>
    <cfRule type="containsBlanks" dxfId="19246" priority="16866">
      <formula>LEN(TRIM(G147))=0</formula>
    </cfRule>
    <cfRule type="containsBlanks" dxfId="19245" priority="16867">
      <formula>LEN(TRIM(G147))=0</formula>
    </cfRule>
    <cfRule type="containsBlanks" dxfId="19244" priority="16868">
      <formula>LEN(TRIM(G147))=0</formula>
    </cfRule>
    <cfRule type="containsBlanks" dxfId="19243" priority="16869">
      <formula>LEN(TRIM(G147))=0</formula>
    </cfRule>
    <cfRule type="containsBlanks" dxfId="19242" priority="16870">
      <formula>LEN(TRIM(G147))=0</formula>
    </cfRule>
    <cfRule type="containsBlanks" dxfId="19241" priority="16871">
      <formula>LEN(TRIM(G147))=0</formula>
    </cfRule>
    <cfRule type="containsBlanks" dxfId="19240" priority="16872">
      <formula>LEN(TRIM(G147))=0</formula>
    </cfRule>
    <cfRule type="containsBlanks" dxfId="19239" priority="16873">
      <formula>LEN(TRIM(G147))=0</formula>
    </cfRule>
    <cfRule type="containsBlanks" dxfId="19238" priority="16874">
      <formula>LEN(TRIM(G147))=0</formula>
    </cfRule>
    <cfRule type="containsBlanks" dxfId="19237" priority="16875">
      <formula>LEN(TRIM(G147))=0</formula>
    </cfRule>
    <cfRule type="containsBlanks" dxfId="19236" priority="16876">
      <formula>LEN(TRIM(G147))=0</formula>
    </cfRule>
    <cfRule type="containsBlanks" dxfId="19235" priority="16877">
      <formula>LEN(TRIM(G147))=0</formula>
    </cfRule>
    <cfRule type="containsBlanks" dxfId="19234" priority="16878">
      <formula>LEN(TRIM(G147))=0</formula>
    </cfRule>
    <cfRule type="containsBlanks" dxfId="19233" priority="16879">
      <formula>LEN(TRIM(G147))=0</formula>
    </cfRule>
    <cfRule type="containsBlanks" dxfId="19232" priority="16880">
      <formula>LEN(TRIM(G147))=0</formula>
    </cfRule>
    <cfRule type="containsBlanks" dxfId="19231" priority="16881">
      <formula>LEN(TRIM(G147))=0</formula>
    </cfRule>
    <cfRule type="containsBlanks" dxfId="19230" priority="16882">
      <formula>LEN(TRIM(G147))=0</formula>
    </cfRule>
    <cfRule type="containsBlanks" dxfId="19229" priority="16883">
      <formula>LEN(TRIM(G147))=0</formula>
    </cfRule>
    <cfRule type="containsBlanks" dxfId="19228" priority="16884">
      <formula>LEN(TRIM(G147))=0</formula>
    </cfRule>
    <cfRule type="containsBlanks" dxfId="19227" priority="16885">
      <formula>LEN(TRIM(G147))=0</formula>
    </cfRule>
    <cfRule type="containsBlanks" dxfId="19226" priority="16886">
      <formula>LEN(TRIM(G147))=0</formula>
    </cfRule>
    <cfRule type="containsBlanks" dxfId="19225" priority="16887">
      <formula>LEN(TRIM(G147))=0</formula>
    </cfRule>
    <cfRule type="containsBlanks" dxfId="19224" priority="16888">
      <formula>LEN(TRIM(G147))=0</formula>
    </cfRule>
    <cfRule type="containsBlanks" dxfId="19223" priority="16889">
      <formula>LEN(TRIM(G147))=0</formula>
    </cfRule>
    <cfRule type="containsBlanks" dxfId="19222" priority="16890">
      <formula>LEN(TRIM(G147))=0</formula>
    </cfRule>
    <cfRule type="containsBlanks" dxfId="19221" priority="16891">
      <formula>LEN(TRIM(G147))=0</formula>
    </cfRule>
    <cfRule type="containsBlanks" dxfId="19220" priority="16892">
      <formula>LEN(TRIM(G147))=0</formula>
    </cfRule>
    <cfRule type="containsBlanks" dxfId="19219" priority="16893">
      <formula>LEN(TRIM(G147))=0</formula>
    </cfRule>
    <cfRule type="containsBlanks" dxfId="19218" priority="16894">
      <formula>LEN(TRIM(G147))=0</formula>
    </cfRule>
    <cfRule type="containsBlanks" dxfId="19217" priority="16895">
      <formula>LEN(TRIM(G147))=0</formula>
    </cfRule>
    <cfRule type="containsBlanks" dxfId="19216" priority="16896">
      <formula>LEN(TRIM(G147))=0</formula>
    </cfRule>
  </conditionalFormatting>
  <conditionalFormatting sqref="G157:G158">
    <cfRule type="containsBlanks" dxfId="19215" priority="16751">
      <formula>LEN(TRIM(G157))=0</formula>
    </cfRule>
    <cfRule type="containsBlanks" dxfId="19214" priority="16752">
      <formula>LEN(TRIM(G157))=0</formula>
    </cfRule>
    <cfRule type="containsBlanks" dxfId="19213" priority="16753">
      <formula>LEN(TRIM(G157))=0</formula>
    </cfRule>
    <cfRule type="containsBlanks" dxfId="19212" priority="16754">
      <formula>LEN(TRIM(G157))=0</formula>
    </cfRule>
    <cfRule type="containsBlanks" dxfId="19211" priority="16755">
      <formula>LEN(TRIM(G157))=0</formula>
    </cfRule>
    <cfRule type="containsBlanks" dxfId="19210" priority="16756">
      <formula>LEN(TRIM(G157))=0</formula>
    </cfRule>
    <cfRule type="containsBlanks" dxfId="19209" priority="16757">
      <formula>LEN(TRIM(G157))=0</formula>
    </cfRule>
    <cfRule type="containsBlanks" dxfId="19208" priority="16758">
      <formula>LEN(TRIM(G157))=0</formula>
    </cfRule>
    <cfRule type="containsBlanks" dxfId="19207" priority="16759">
      <formula>LEN(TRIM(G157))=0</formula>
    </cfRule>
    <cfRule type="containsBlanks" dxfId="19206" priority="16760">
      <formula>LEN(TRIM(G157))=0</formula>
    </cfRule>
    <cfRule type="containsBlanks" dxfId="19205" priority="16761">
      <formula>LEN(TRIM(G157))=0</formula>
    </cfRule>
    <cfRule type="containsBlanks" dxfId="19204" priority="16762">
      <formula>LEN(TRIM(G157))=0</formula>
    </cfRule>
  </conditionalFormatting>
  <conditionalFormatting sqref="H99:H100">
    <cfRule type="containsBlanks" dxfId="19203" priority="13993">
      <formula>LEN(TRIM(H99))=0</formula>
    </cfRule>
    <cfRule type="containsBlanks" dxfId="19202" priority="13994">
      <formula>LEN(TRIM(H99))=0</formula>
    </cfRule>
    <cfRule type="containsBlanks" dxfId="19201" priority="13995">
      <formula>LEN(TRIM(H99))=0</formula>
    </cfRule>
    <cfRule type="containsBlanks" dxfId="19200" priority="13996">
      <formula>LEN(TRIM(H99))=0</formula>
    </cfRule>
    <cfRule type="containsBlanks" dxfId="19199" priority="13997">
      <formula>LEN(TRIM(H99))=0</formula>
    </cfRule>
    <cfRule type="containsBlanks" dxfId="19198" priority="13998">
      <formula>LEN(TRIM(H99))=0</formula>
    </cfRule>
    <cfRule type="containsBlanks" dxfId="19197" priority="13999">
      <formula>LEN(TRIM(H99))=0</formula>
    </cfRule>
    <cfRule type="containsBlanks" dxfId="19196" priority="14000">
      <formula>LEN(TRIM(H99))=0</formula>
    </cfRule>
    <cfRule type="containsBlanks" dxfId="19195" priority="14001">
      <formula>LEN(TRIM(H99))=0</formula>
    </cfRule>
    <cfRule type="containsBlanks" dxfId="19194" priority="14002">
      <formula>LEN(TRIM(H99))=0</formula>
    </cfRule>
    <cfRule type="containsBlanks" dxfId="19193" priority="14003">
      <formula>LEN(TRIM(H99))=0</formula>
    </cfRule>
    <cfRule type="containsBlanks" dxfId="19192" priority="14004">
      <formula>LEN(TRIM(H99))=0</formula>
    </cfRule>
    <cfRule type="containsBlanks" dxfId="19191" priority="14005">
      <formula>LEN(TRIM(H99))=0</formula>
    </cfRule>
  </conditionalFormatting>
  <conditionalFormatting sqref="H99:H155">
    <cfRule type="containsBlanks" dxfId="19190" priority="16599">
      <formula>LEN(TRIM(H99))=0</formula>
    </cfRule>
    <cfRule type="containsBlanks" dxfId="19189" priority="16600">
      <formula>LEN(TRIM(H99))=0</formula>
    </cfRule>
    <cfRule type="containsBlanks" dxfId="19188" priority="16601">
      <formula>LEN(TRIM(H99))=0</formula>
    </cfRule>
    <cfRule type="containsBlanks" dxfId="19187" priority="16602">
      <formula>LEN(TRIM(H99))=0</formula>
    </cfRule>
    <cfRule type="containsBlanks" dxfId="19186" priority="16603">
      <formula>LEN(TRIM(H99))=0</formula>
    </cfRule>
    <cfRule type="containsBlanks" dxfId="19185" priority="16604">
      <formula>LEN(TRIM(H99))=0</formula>
    </cfRule>
    <cfRule type="containsBlanks" dxfId="19184" priority="16605">
      <formula>LEN(TRIM(H99))=0</formula>
    </cfRule>
    <cfRule type="containsBlanks" dxfId="19183" priority="16606">
      <formula>LEN(TRIM(H99))=0</formula>
    </cfRule>
    <cfRule type="containsBlanks" dxfId="19182" priority="16607">
      <formula>LEN(TRIM(H99))=0</formula>
    </cfRule>
    <cfRule type="containsBlanks" dxfId="19181" priority="16608">
      <formula>LEN(TRIM(H99))=0</formula>
    </cfRule>
    <cfRule type="containsBlanks" dxfId="19180" priority="16609">
      <formula>LEN(TRIM(H99))=0</formula>
    </cfRule>
    <cfRule type="containsBlanks" dxfId="19179" priority="16610">
      <formula>LEN(TRIM(H99))=0</formula>
    </cfRule>
    <cfRule type="containsBlanks" dxfId="19178" priority="16611">
      <formula>LEN(TRIM(H99))=0</formula>
    </cfRule>
    <cfRule type="containsBlanks" dxfId="19177" priority="16612">
      <formula>LEN(TRIM(H99))=0</formula>
    </cfRule>
    <cfRule type="containsBlanks" dxfId="19176" priority="16613">
      <formula>LEN(TRIM(H99))=0</formula>
    </cfRule>
    <cfRule type="containsBlanks" dxfId="19175" priority="16614">
      <formula>LEN(TRIM(H99))=0</formula>
    </cfRule>
    <cfRule type="containsBlanks" dxfId="19174" priority="16615">
      <formula>LEN(TRIM(H99))=0</formula>
    </cfRule>
    <cfRule type="containsBlanks" dxfId="19173" priority="16616">
      <formula>LEN(TRIM(H99))=0</formula>
    </cfRule>
    <cfRule type="containsBlanks" dxfId="19172" priority="16617">
      <formula>LEN(TRIM(H99))=0</formula>
    </cfRule>
    <cfRule type="containsBlanks" dxfId="19171" priority="16618">
      <formula>LEN(TRIM(H99))=0</formula>
    </cfRule>
    <cfRule type="containsBlanks" dxfId="19170" priority="16619">
      <formula>LEN(TRIM(H99))=0</formula>
    </cfRule>
    <cfRule type="containsBlanks" dxfId="19169" priority="16620">
      <formula>LEN(TRIM(H99))=0</formula>
    </cfRule>
    <cfRule type="containsBlanks" dxfId="19168" priority="16621">
      <formula>LEN(TRIM(H99))=0</formula>
    </cfRule>
    <cfRule type="containsBlanks" dxfId="19167" priority="16622">
      <formula>LEN(TRIM(H99))=0</formula>
    </cfRule>
    <cfRule type="containsBlanks" dxfId="19166" priority="16623">
      <formula>LEN(TRIM(H99))=0</formula>
    </cfRule>
    <cfRule type="containsBlanks" dxfId="19165" priority="16624">
      <formula>LEN(TRIM(H99))=0</formula>
    </cfRule>
  </conditionalFormatting>
  <conditionalFormatting sqref="H99:H156">
    <cfRule type="containsBlanks" dxfId="19164" priority="14006">
      <formula>LEN(TRIM(H99))=0</formula>
    </cfRule>
    <cfRule type="containsBlanks" dxfId="19163" priority="14007">
      <formula>LEN(TRIM(H99))=0</formula>
    </cfRule>
    <cfRule type="containsBlanks" dxfId="19162" priority="14008">
      <formula>LEN(TRIM(H99))=0</formula>
    </cfRule>
    <cfRule type="containsBlanks" dxfId="19161" priority="14009">
      <formula>LEN(TRIM(H99))=0</formula>
    </cfRule>
  </conditionalFormatting>
  <conditionalFormatting sqref="H99:H158">
    <cfRule type="containsBlanks" dxfId="19160" priority="16573">
      <formula>LEN(TRIM(H99))=0</formula>
    </cfRule>
    <cfRule type="containsBlanks" dxfId="19159" priority="16574">
      <formula>LEN(TRIM(H99))=0</formula>
    </cfRule>
    <cfRule type="containsBlanks" dxfId="19158" priority="16575">
      <formula>LEN(TRIM(H99))=0</formula>
    </cfRule>
    <cfRule type="containsBlanks" dxfId="19157" priority="16576">
      <formula>LEN(TRIM(H99))=0</formula>
    </cfRule>
    <cfRule type="containsBlanks" dxfId="19156" priority="16577">
      <formula>LEN(TRIM(H99))=0</formula>
    </cfRule>
    <cfRule type="containsBlanks" dxfId="19155" priority="16578">
      <formula>LEN(TRIM(H99))=0</formula>
    </cfRule>
    <cfRule type="containsBlanks" dxfId="19154" priority="16579">
      <formula>LEN(TRIM(H99))=0</formula>
    </cfRule>
    <cfRule type="containsBlanks" dxfId="19153" priority="16580">
      <formula>LEN(TRIM(H99))=0</formula>
    </cfRule>
    <cfRule type="containsBlanks" dxfId="19152" priority="16581">
      <formula>LEN(TRIM(H99))=0</formula>
    </cfRule>
    <cfRule type="containsBlanks" dxfId="19151" priority="16582">
      <formula>LEN(TRIM(H99))=0</formula>
    </cfRule>
    <cfRule type="containsBlanks" dxfId="19150" priority="16583">
      <formula>LEN(TRIM(H99))=0</formula>
    </cfRule>
    <cfRule type="containsBlanks" dxfId="19149" priority="16584">
      <formula>LEN(TRIM(H99))=0</formula>
    </cfRule>
    <cfRule type="containsBlanks" dxfId="19148" priority="16585">
      <formula>LEN(TRIM(H99))=0</formula>
    </cfRule>
    <cfRule type="containsBlanks" dxfId="19147" priority="16586">
      <formula>LEN(TRIM(H99))=0</formula>
    </cfRule>
    <cfRule type="containsBlanks" dxfId="19146" priority="16587">
      <formula>LEN(TRIM(H99))=0</formula>
    </cfRule>
    <cfRule type="containsBlanks" dxfId="19145" priority="16588">
      <formula>LEN(TRIM(H99))=0</formula>
    </cfRule>
    <cfRule type="containsBlanks" dxfId="19144" priority="16589">
      <formula>LEN(TRIM(H99))=0</formula>
    </cfRule>
    <cfRule type="containsBlanks" dxfId="19143" priority="16590">
      <formula>LEN(TRIM(H99))=0</formula>
    </cfRule>
    <cfRule type="containsBlanks" dxfId="19142" priority="16591">
      <formula>LEN(TRIM(H99))=0</formula>
    </cfRule>
    <cfRule type="containsBlanks" dxfId="19141" priority="16592">
      <formula>LEN(TRIM(H99))=0</formula>
    </cfRule>
    <cfRule type="containsBlanks" dxfId="19140" priority="16593">
      <formula>LEN(TRIM(H99))=0</formula>
    </cfRule>
    <cfRule type="containsBlanks" dxfId="19139" priority="16594">
      <formula>LEN(TRIM(H99))=0</formula>
    </cfRule>
    <cfRule type="containsBlanks" dxfId="19138" priority="16595">
      <formula>LEN(TRIM(H99))=0</formula>
    </cfRule>
    <cfRule type="containsBlanks" dxfId="19137" priority="16596">
      <formula>LEN(TRIM(H99))=0</formula>
    </cfRule>
    <cfRule type="containsBlanks" dxfId="19136" priority="16597">
      <formula>LEN(TRIM(H99))=0</formula>
    </cfRule>
    <cfRule type="containsBlanks" dxfId="19135" priority="16598">
      <formula>LEN(TRIM(H99))=0</formula>
    </cfRule>
  </conditionalFormatting>
  <conditionalFormatting sqref="H104:J104">
    <cfRule type="containsBlanks" dxfId="19134" priority="13953">
      <formula>LEN(TRIM(H104))=0</formula>
    </cfRule>
    <cfRule type="containsBlanks" dxfId="19133" priority="13954">
      <formula>LEN(TRIM(H104))=0</formula>
    </cfRule>
    <cfRule type="containsBlanks" dxfId="19132" priority="13955">
      <formula>LEN(TRIM(H104))=0</formula>
    </cfRule>
    <cfRule type="containsBlanks" dxfId="19131" priority="13956">
      <formula>LEN(TRIM(H104))=0</formula>
    </cfRule>
    <cfRule type="containsBlanks" dxfId="19130" priority="13957">
      <formula>LEN(TRIM(H104))=0</formula>
    </cfRule>
    <cfRule type="containsBlanks" dxfId="19129" priority="13958">
      <formula>LEN(TRIM(H104))=0</formula>
    </cfRule>
    <cfRule type="containsBlanks" dxfId="19128" priority="13959">
      <formula>LEN(TRIM(H104))=0</formula>
    </cfRule>
    <cfRule type="containsBlanks" dxfId="19127" priority="13960">
      <formula>LEN(TRIM(H104))=0</formula>
    </cfRule>
    <cfRule type="containsBlanks" dxfId="19126" priority="13961">
      <formula>LEN(TRIM(H104))=0</formula>
    </cfRule>
    <cfRule type="containsBlanks" dxfId="19125" priority="13962">
      <formula>LEN(TRIM(H104))=0</formula>
    </cfRule>
    <cfRule type="containsBlanks" dxfId="19124" priority="13963">
      <formula>LEN(TRIM(H104))=0</formula>
    </cfRule>
    <cfRule type="containsBlanks" dxfId="19123" priority="13964">
      <formula>LEN(TRIM(H104))=0</formula>
    </cfRule>
    <cfRule type="containsBlanks" dxfId="19122" priority="13965">
      <formula>LEN(TRIM(H104))=0</formula>
    </cfRule>
    <cfRule type="containsBlanks" dxfId="19121" priority="13966">
      <formula>LEN(TRIM(H104))=0</formula>
    </cfRule>
  </conditionalFormatting>
  <conditionalFormatting sqref="H123:J123">
    <cfRule type="containsBlanks" dxfId="19120" priority="16559">
      <formula>LEN(TRIM(H123))=0</formula>
    </cfRule>
    <cfRule type="containsBlanks" dxfId="19119" priority="16560">
      <formula>LEN(TRIM(H123))=0</formula>
    </cfRule>
    <cfRule type="containsBlanks" dxfId="19118" priority="16561">
      <formula>LEN(TRIM(H123))=0</formula>
    </cfRule>
    <cfRule type="containsBlanks" dxfId="19117" priority="16562">
      <formula>LEN(TRIM(H123))=0</formula>
    </cfRule>
    <cfRule type="containsBlanks" dxfId="19116" priority="16563">
      <formula>LEN(TRIM(H123))=0</formula>
    </cfRule>
    <cfRule type="containsBlanks" dxfId="19115" priority="16564">
      <formula>LEN(TRIM(H123))=0</formula>
    </cfRule>
    <cfRule type="containsBlanks" dxfId="19114" priority="16565">
      <formula>LEN(TRIM(H123))=0</formula>
    </cfRule>
    <cfRule type="containsBlanks" dxfId="19113" priority="16566">
      <formula>LEN(TRIM(H123))=0</formula>
    </cfRule>
    <cfRule type="containsBlanks" dxfId="19112" priority="16567">
      <formula>LEN(TRIM(H123))=0</formula>
    </cfRule>
    <cfRule type="containsBlanks" dxfId="19111" priority="16568">
      <formula>LEN(TRIM(H123))=0</formula>
    </cfRule>
    <cfRule type="containsBlanks" dxfId="19110" priority="16569">
      <formula>LEN(TRIM(H123))=0</formula>
    </cfRule>
    <cfRule type="containsBlanks" dxfId="19109" priority="16570">
      <formula>LEN(TRIM(H123))=0</formula>
    </cfRule>
    <cfRule type="containsBlanks" dxfId="19108" priority="16571">
      <formula>LEN(TRIM(H123))=0</formula>
    </cfRule>
    <cfRule type="containsBlanks" dxfId="19107" priority="16572">
      <formula>LEN(TRIM(H123))=0</formula>
    </cfRule>
  </conditionalFormatting>
  <conditionalFormatting sqref="H130:J130">
    <cfRule type="containsBlanks" dxfId="19106" priority="16545">
      <formula>LEN(TRIM(H130))=0</formula>
    </cfRule>
    <cfRule type="containsBlanks" dxfId="19105" priority="16546">
      <formula>LEN(TRIM(H130))=0</formula>
    </cfRule>
    <cfRule type="containsBlanks" dxfId="19104" priority="16547">
      <formula>LEN(TRIM(H130))=0</formula>
    </cfRule>
    <cfRule type="containsBlanks" dxfId="19103" priority="16548">
      <formula>LEN(TRIM(H130))=0</formula>
    </cfRule>
    <cfRule type="containsBlanks" dxfId="19102" priority="16549">
      <formula>LEN(TRIM(H130))=0</formula>
    </cfRule>
    <cfRule type="containsBlanks" dxfId="19101" priority="16550">
      <formula>LEN(TRIM(H130))=0</formula>
    </cfRule>
    <cfRule type="containsBlanks" dxfId="19100" priority="16551">
      <formula>LEN(TRIM(H130))=0</formula>
    </cfRule>
    <cfRule type="containsBlanks" dxfId="19099" priority="16552">
      <formula>LEN(TRIM(H130))=0</formula>
    </cfRule>
    <cfRule type="containsBlanks" dxfId="19098" priority="16553">
      <formula>LEN(TRIM(H130))=0</formula>
    </cfRule>
    <cfRule type="containsBlanks" dxfId="19097" priority="16554">
      <formula>LEN(TRIM(H130))=0</formula>
    </cfRule>
    <cfRule type="containsBlanks" dxfId="19096" priority="16555">
      <formula>LEN(TRIM(H130))=0</formula>
    </cfRule>
    <cfRule type="containsBlanks" dxfId="19095" priority="16556">
      <formula>LEN(TRIM(H130))=0</formula>
    </cfRule>
    <cfRule type="containsBlanks" dxfId="19094" priority="16557">
      <formula>LEN(TRIM(H130))=0</formula>
    </cfRule>
    <cfRule type="containsBlanks" dxfId="19093" priority="16558">
      <formula>LEN(TRIM(H130))=0</formula>
    </cfRule>
  </conditionalFormatting>
  <conditionalFormatting sqref="H134:J134">
    <cfRule type="containsBlanks" dxfId="19092" priority="13939">
      <formula>LEN(TRIM(H134))=0</formula>
    </cfRule>
    <cfRule type="containsBlanks" dxfId="19091" priority="13940">
      <formula>LEN(TRIM(H134))=0</formula>
    </cfRule>
    <cfRule type="containsBlanks" dxfId="19090" priority="13941">
      <formula>LEN(TRIM(H134))=0</formula>
    </cfRule>
    <cfRule type="containsBlanks" dxfId="19089" priority="13942">
      <formula>LEN(TRIM(H134))=0</formula>
    </cfRule>
    <cfRule type="containsBlanks" dxfId="19088" priority="13943">
      <formula>LEN(TRIM(H134))=0</formula>
    </cfRule>
    <cfRule type="containsBlanks" dxfId="19087" priority="13944">
      <formula>LEN(TRIM(H134))=0</formula>
    </cfRule>
    <cfRule type="containsBlanks" dxfId="19086" priority="13945">
      <formula>LEN(TRIM(H134))=0</formula>
    </cfRule>
    <cfRule type="containsBlanks" dxfId="19085" priority="13946">
      <formula>LEN(TRIM(H134))=0</formula>
    </cfRule>
    <cfRule type="containsBlanks" dxfId="19084" priority="13947">
      <formula>LEN(TRIM(H134))=0</formula>
    </cfRule>
    <cfRule type="containsBlanks" dxfId="19083" priority="13948">
      <formula>LEN(TRIM(H134))=0</formula>
    </cfRule>
    <cfRule type="containsBlanks" dxfId="19082" priority="13949">
      <formula>LEN(TRIM(H134))=0</formula>
    </cfRule>
    <cfRule type="containsBlanks" dxfId="19081" priority="13950">
      <formula>LEN(TRIM(H134))=0</formula>
    </cfRule>
    <cfRule type="containsBlanks" dxfId="19080" priority="13951">
      <formula>LEN(TRIM(H134))=0</formula>
    </cfRule>
    <cfRule type="containsBlanks" dxfId="19079" priority="13952">
      <formula>LEN(TRIM(H134))=0</formula>
    </cfRule>
  </conditionalFormatting>
  <conditionalFormatting sqref="H135:J135">
    <cfRule type="containsBlanks" dxfId="19078" priority="13980">
      <formula>LEN(TRIM(H135))=0</formula>
    </cfRule>
    <cfRule type="containsBlanks" dxfId="19077" priority="13981">
      <formula>LEN(TRIM(H135))=0</formula>
    </cfRule>
    <cfRule type="containsBlanks" dxfId="19076" priority="13982">
      <formula>LEN(TRIM(H135))=0</formula>
    </cfRule>
    <cfRule type="containsBlanks" dxfId="19075" priority="13983">
      <formula>LEN(TRIM(H135))=0</formula>
    </cfRule>
    <cfRule type="containsBlanks" dxfId="19074" priority="13984">
      <formula>LEN(TRIM(H135))=0</formula>
    </cfRule>
    <cfRule type="containsBlanks" dxfId="19073" priority="13985">
      <formula>LEN(TRIM(H135))=0</formula>
    </cfRule>
    <cfRule type="containsBlanks" dxfId="19072" priority="13986">
      <formula>LEN(TRIM(H135))=0</formula>
    </cfRule>
    <cfRule type="containsBlanks" dxfId="19071" priority="13987">
      <formula>LEN(TRIM(H135))=0</formula>
    </cfRule>
    <cfRule type="containsBlanks" dxfId="19070" priority="13988">
      <formula>LEN(TRIM(H135))=0</formula>
    </cfRule>
    <cfRule type="containsBlanks" dxfId="19069" priority="13989">
      <formula>LEN(TRIM(H135))=0</formula>
    </cfRule>
    <cfRule type="containsBlanks" dxfId="19068" priority="13990">
      <formula>LEN(TRIM(H135))=0</formula>
    </cfRule>
    <cfRule type="containsBlanks" dxfId="19067" priority="13991">
      <formula>LEN(TRIM(H135))=0</formula>
    </cfRule>
    <cfRule type="containsBlanks" dxfId="19066" priority="13992">
      <formula>LEN(TRIM(H135))=0</formula>
    </cfRule>
  </conditionalFormatting>
  <conditionalFormatting sqref="H139:J139">
    <cfRule type="containsBlanks" dxfId="19065" priority="13925">
      <formula>LEN(TRIM(H139))=0</formula>
    </cfRule>
    <cfRule type="containsBlanks" dxfId="19064" priority="13926">
      <formula>LEN(TRIM(H139))=0</formula>
    </cfRule>
    <cfRule type="containsBlanks" dxfId="19063" priority="13927">
      <formula>LEN(TRIM(H139))=0</formula>
    </cfRule>
    <cfRule type="containsBlanks" dxfId="19062" priority="13928">
      <formula>LEN(TRIM(H139))=0</formula>
    </cfRule>
    <cfRule type="containsBlanks" dxfId="19061" priority="13929">
      <formula>LEN(TRIM(H139))=0</formula>
    </cfRule>
    <cfRule type="containsBlanks" dxfId="19060" priority="13930">
      <formula>LEN(TRIM(H139))=0</formula>
    </cfRule>
    <cfRule type="containsBlanks" dxfId="19059" priority="13931">
      <formula>LEN(TRIM(H139))=0</formula>
    </cfRule>
    <cfRule type="containsBlanks" dxfId="19058" priority="13932">
      <formula>LEN(TRIM(H139))=0</formula>
    </cfRule>
    <cfRule type="containsBlanks" dxfId="19057" priority="13933">
      <formula>LEN(TRIM(H139))=0</formula>
    </cfRule>
    <cfRule type="containsBlanks" dxfId="19056" priority="13934">
      <formula>LEN(TRIM(H139))=0</formula>
    </cfRule>
    <cfRule type="containsBlanks" dxfId="19055" priority="13935">
      <formula>LEN(TRIM(H139))=0</formula>
    </cfRule>
    <cfRule type="containsBlanks" dxfId="19054" priority="13936">
      <formula>LEN(TRIM(H139))=0</formula>
    </cfRule>
    <cfRule type="containsBlanks" dxfId="19053" priority="13937">
      <formula>LEN(TRIM(H139))=0</formula>
    </cfRule>
    <cfRule type="containsBlanks" dxfId="19052" priority="13938">
      <formula>LEN(TRIM(H139))=0</formula>
    </cfRule>
  </conditionalFormatting>
  <conditionalFormatting sqref="H150:J150">
    <cfRule type="containsBlanks" dxfId="19051" priority="13967">
      <formula>LEN(TRIM(H150))=0</formula>
    </cfRule>
    <cfRule type="containsBlanks" dxfId="19050" priority="13968">
      <formula>LEN(TRIM(H150))=0</formula>
    </cfRule>
    <cfRule type="containsBlanks" dxfId="19049" priority="13969">
      <formula>LEN(TRIM(H150))=0</formula>
    </cfRule>
    <cfRule type="containsBlanks" dxfId="19048" priority="13970">
      <formula>LEN(TRIM(H150))=0</formula>
    </cfRule>
    <cfRule type="containsBlanks" dxfId="19047" priority="13971">
      <formula>LEN(TRIM(H150))=0</formula>
    </cfRule>
    <cfRule type="containsBlanks" dxfId="19046" priority="13972">
      <formula>LEN(TRIM(H150))=0</formula>
    </cfRule>
    <cfRule type="containsBlanks" dxfId="19045" priority="13973">
      <formula>LEN(TRIM(H150))=0</formula>
    </cfRule>
    <cfRule type="containsBlanks" dxfId="19044" priority="13974">
      <formula>LEN(TRIM(H150))=0</formula>
    </cfRule>
    <cfRule type="containsBlanks" dxfId="19043" priority="13975">
      <formula>LEN(TRIM(H150))=0</formula>
    </cfRule>
    <cfRule type="containsBlanks" dxfId="19042" priority="13976">
      <formula>LEN(TRIM(H150))=0</formula>
    </cfRule>
    <cfRule type="containsBlanks" dxfId="19041" priority="13977">
      <formula>LEN(TRIM(H150))=0</formula>
    </cfRule>
    <cfRule type="containsBlanks" dxfId="19040" priority="13978">
      <formula>LEN(TRIM(H150))=0</formula>
    </cfRule>
    <cfRule type="containsBlanks" dxfId="19039" priority="13979">
      <formula>LEN(TRIM(H150))=0</formula>
    </cfRule>
  </conditionalFormatting>
  <conditionalFormatting sqref="I99:I100">
    <cfRule type="containsBlanks" dxfId="19038" priority="13846">
      <formula>LEN(TRIM(I99))=0</formula>
    </cfRule>
    <cfRule type="containsBlanks" dxfId="19037" priority="13847">
      <formula>LEN(TRIM(I99))=0</formula>
    </cfRule>
    <cfRule type="containsBlanks" dxfId="19036" priority="13848">
      <formula>LEN(TRIM(I99))=0</formula>
    </cfRule>
    <cfRule type="containsBlanks" dxfId="19035" priority="13849">
      <formula>LEN(TRIM(I99))=0</formula>
    </cfRule>
    <cfRule type="containsBlanks" dxfId="19034" priority="13850">
      <formula>LEN(TRIM(I99))=0</formula>
    </cfRule>
    <cfRule type="containsBlanks" dxfId="19033" priority="13851">
      <formula>LEN(TRIM(I99))=0</formula>
    </cfRule>
    <cfRule type="containsBlanks" dxfId="19032" priority="13852">
      <formula>LEN(TRIM(I99))=0</formula>
    </cfRule>
    <cfRule type="containsBlanks" dxfId="19031" priority="13853">
      <formula>LEN(TRIM(I99))=0</formula>
    </cfRule>
    <cfRule type="containsBlanks" dxfId="19030" priority="13854">
      <formula>LEN(TRIM(I99))=0</formula>
    </cfRule>
    <cfRule type="containsBlanks" dxfId="19029" priority="13855">
      <formula>LEN(TRIM(I99))=0</formula>
    </cfRule>
    <cfRule type="containsBlanks" dxfId="19028" priority="13856">
      <formula>LEN(TRIM(I99))=0</formula>
    </cfRule>
    <cfRule type="containsBlanks" dxfId="19027" priority="13857">
      <formula>LEN(TRIM(I99))=0</formula>
    </cfRule>
    <cfRule type="containsBlanks" dxfId="19026" priority="13858">
      <formula>LEN(TRIM(I99))=0</formula>
    </cfRule>
  </conditionalFormatting>
  <conditionalFormatting sqref="I99:I155">
    <cfRule type="containsBlanks" dxfId="19025" priority="13894">
      <formula>LEN(TRIM(I99))=0</formula>
    </cfRule>
    <cfRule type="containsBlanks" dxfId="19024" priority="13895">
      <formula>LEN(TRIM(I99))=0</formula>
    </cfRule>
    <cfRule type="containsBlanks" dxfId="19023" priority="13896">
      <formula>LEN(TRIM(I99))=0</formula>
    </cfRule>
    <cfRule type="containsBlanks" dxfId="19022" priority="13897">
      <formula>LEN(TRIM(I99))=0</formula>
    </cfRule>
    <cfRule type="containsBlanks" dxfId="19021" priority="13898">
      <formula>LEN(TRIM(I99))=0</formula>
    </cfRule>
    <cfRule type="containsBlanks" dxfId="19020" priority="13899">
      <formula>LEN(TRIM(I99))=0</formula>
    </cfRule>
    <cfRule type="containsBlanks" dxfId="19019" priority="13900">
      <formula>LEN(TRIM(I99))=0</formula>
    </cfRule>
    <cfRule type="containsBlanks" dxfId="19018" priority="13901">
      <formula>LEN(TRIM(I99))=0</formula>
    </cfRule>
    <cfRule type="containsBlanks" dxfId="19017" priority="13902">
      <formula>LEN(TRIM(I99))=0</formula>
    </cfRule>
    <cfRule type="containsBlanks" dxfId="19016" priority="13903">
      <formula>LEN(TRIM(I99))=0</formula>
    </cfRule>
    <cfRule type="containsBlanks" dxfId="19015" priority="13904">
      <formula>LEN(TRIM(I99))=0</formula>
    </cfRule>
    <cfRule type="containsBlanks" dxfId="19014" priority="13905">
      <formula>LEN(TRIM(I99))=0</formula>
    </cfRule>
    <cfRule type="containsBlanks" dxfId="19013" priority="13906">
      <formula>LEN(TRIM(I99))=0</formula>
    </cfRule>
    <cfRule type="containsBlanks" dxfId="19012" priority="13907">
      <formula>LEN(TRIM(I99))=0</formula>
    </cfRule>
    <cfRule type="containsBlanks" dxfId="19011" priority="13908">
      <formula>LEN(TRIM(I99))=0</formula>
    </cfRule>
    <cfRule type="containsBlanks" dxfId="19010" priority="13909">
      <formula>LEN(TRIM(I99))=0</formula>
    </cfRule>
    <cfRule type="containsBlanks" dxfId="19009" priority="13910">
      <formula>LEN(TRIM(I99))=0</formula>
    </cfRule>
    <cfRule type="containsBlanks" dxfId="19008" priority="13911">
      <formula>LEN(TRIM(I99))=0</formula>
    </cfRule>
    <cfRule type="containsBlanks" dxfId="19007" priority="13912">
      <formula>LEN(TRIM(I99))=0</formula>
    </cfRule>
    <cfRule type="containsBlanks" dxfId="19006" priority="13913">
      <formula>LEN(TRIM(I99))=0</formula>
    </cfRule>
    <cfRule type="containsBlanks" dxfId="19005" priority="13914">
      <formula>LEN(TRIM(I99))=0</formula>
    </cfRule>
    <cfRule type="containsBlanks" dxfId="19004" priority="13915">
      <formula>LEN(TRIM(I99))=0</formula>
    </cfRule>
    <cfRule type="containsBlanks" dxfId="19003" priority="13916">
      <formula>LEN(TRIM(I99))=0</formula>
    </cfRule>
    <cfRule type="containsBlanks" dxfId="19002" priority="13917">
      <formula>LEN(TRIM(I99))=0</formula>
    </cfRule>
    <cfRule type="containsBlanks" dxfId="19001" priority="13918">
      <formula>LEN(TRIM(I99))=0</formula>
    </cfRule>
    <cfRule type="containsBlanks" dxfId="19000" priority="13919">
      <formula>LEN(TRIM(I99))=0</formula>
    </cfRule>
    <cfRule type="containsBlanks" dxfId="18999" priority="13920">
      <formula>LEN(TRIM(I99))=0</formula>
    </cfRule>
    <cfRule type="containsBlanks" dxfId="18998" priority="13921">
      <formula>LEN(TRIM(I99))=0</formula>
    </cfRule>
    <cfRule type="containsBlanks" dxfId="18997" priority="13922">
      <formula>LEN(TRIM(I99))=0</formula>
    </cfRule>
    <cfRule type="containsBlanks" dxfId="18996" priority="13923">
      <formula>LEN(TRIM(I99))=0</formula>
    </cfRule>
    <cfRule type="containsBlanks" dxfId="18995" priority="13924">
      <formula>LEN(TRIM(I99))=0</formula>
    </cfRule>
  </conditionalFormatting>
  <conditionalFormatting sqref="I99:I156">
    <cfRule type="containsBlanks" dxfId="18994" priority="13859">
      <formula>LEN(TRIM(I99))=0</formula>
    </cfRule>
    <cfRule type="containsBlanks" dxfId="18993" priority="13860">
      <formula>LEN(TRIM(I99))=0</formula>
    </cfRule>
    <cfRule type="containsBlanks" dxfId="18992" priority="13861">
      <formula>LEN(TRIM(I99))=0</formula>
    </cfRule>
    <cfRule type="containsBlanks" dxfId="18991" priority="13862">
      <formula>LEN(TRIM(I99))=0</formula>
    </cfRule>
    <cfRule type="containsBlanks" dxfId="18990" priority="13863">
      <formula>LEN(TRIM(I99))=0</formula>
    </cfRule>
    <cfRule type="containsBlanks" dxfId="18989" priority="13864">
      <formula>LEN(TRIM(I99))=0</formula>
    </cfRule>
    <cfRule type="containsBlanks" dxfId="18988" priority="13865">
      <formula>LEN(TRIM(I99))=0</formula>
    </cfRule>
    <cfRule type="containsBlanks" dxfId="18987" priority="13866">
      <formula>LEN(TRIM(I99))=0</formula>
    </cfRule>
    <cfRule type="containsBlanks" dxfId="18986" priority="13867">
      <formula>LEN(TRIM(I99))=0</formula>
    </cfRule>
    <cfRule type="containsBlanks" dxfId="18985" priority="13868">
      <formula>LEN(TRIM(I99))=0</formula>
    </cfRule>
    <cfRule type="containsBlanks" dxfId="18984" priority="13869">
      <formula>LEN(TRIM(I99))=0</formula>
    </cfRule>
    <cfRule type="containsBlanks" dxfId="18983" priority="13870">
      <formula>LEN(TRIM(I99))=0</formula>
    </cfRule>
    <cfRule type="containsBlanks" dxfId="18982" priority="13871">
      <formula>LEN(TRIM(I99))=0</formula>
    </cfRule>
    <cfRule type="containsBlanks" dxfId="18981" priority="13872">
      <formula>LEN(TRIM(I99))=0</formula>
    </cfRule>
    <cfRule type="containsBlanks" dxfId="18980" priority="13873">
      <formula>LEN(TRIM(I99))=0</formula>
    </cfRule>
    <cfRule type="containsBlanks" dxfId="18979" priority="13874">
      <formula>LEN(TRIM(I99))=0</formula>
    </cfRule>
    <cfRule type="containsBlanks" dxfId="18978" priority="13875">
      <formula>LEN(TRIM(I99))=0</formula>
    </cfRule>
    <cfRule type="containsBlanks" dxfId="18977" priority="13876">
      <formula>LEN(TRIM(I99))=0</formula>
    </cfRule>
    <cfRule type="containsBlanks" dxfId="18976" priority="13877">
      <formula>LEN(TRIM(I99))=0</formula>
    </cfRule>
    <cfRule type="containsBlanks" dxfId="18975" priority="13878">
      <formula>LEN(TRIM(I99))=0</formula>
    </cfRule>
    <cfRule type="containsBlanks" dxfId="18974" priority="13879">
      <formula>LEN(TRIM(I99))=0</formula>
    </cfRule>
    <cfRule type="containsBlanks" dxfId="18973" priority="13880">
      <formula>LEN(TRIM(I99))=0</formula>
    </cfRule>
    <cfRule type="containsBlanks" dxfId="18972" priority="13881">
      <formula>LEN(TRIM(I99))=0</formula>
    </cfRule>
    <cfRule type="containsBlanks" dxfId="18971" priority="13882">
      <formula>LEN(TRIM(I99))=0</formula>
    </cfRule>
    <cfRule type="containsBlanks" dxfId="18970" priority="13883">
      <formula>LEN(TRIM(I99))=0</formula>
    </cfRule>
    <cfRule type="containsBlanks" dxfId="18969" priority="13884">
      <formula>LEN(TRIM(I99))=0</formula>
    </cfRule>
    <cfRule type="containsBlanks" dxfId="18968" priority="13885">
      <formula>LEN(TRIM(I99))=0</formula>
    </cfRule>
    <cfRule type="containsBlanks" dxfId="18967" priority="13886">
      <formula>LEN(TRIM(I99))=0</formula>
    </cfRule>
    <cfRule type="containsBlanks" dxfId="18966" priority="13887">
      <formula>LEN(TRIM(I99))=0</formula>
    </cfRule>
    <cfRule type="containsBlanks" dxfId="18965" priority="13888">
      <formula>LEN(TRIM(I99))=0</formula>
    </cfRule>
    <cfRule type="containsBlanks" dxfId="18964" priority="13889">
      <formula>LEN(TRIM(I99))=0</formula>
    </cfRule>
    <cfRule type="containsBlanks" dxfId="18963" priority="13890">
      <formula>LEN(TRIM(I99))=0</formula>
    </cfRule>
    <cfRule type="containsBlanks" dxfId="18962" priority="13891">
      <formula>LEN(TRIM(I99))=0</formula>
    </cfRule>
    <cfRule type="containsBlanks" dxfId="18961" priority="13892">
      <formula>LEN(TRIM(I99))=0</formula>
    </cfRule>
    <cfRule type="containsBlanks" dxfId="18960" priority="13893">
      <formula>LEN(TRIM(I99))=0</formula>
    </cfRule>
    <cfRule type="containsBlanks" dxfId="18959" priority="16272">
      <formula>LEN(TRIM(I99))=0</formula>
    </cfRule>
    <cfRule type="containsBlanks" dxfId="18958" priority="16273">
      <formula>LEN(TRIM(I99))=0</formula>
    </cfRule>
    <cfRule type="containsBlanks" dxfId="18957" priority="16274">
      <formula>LEN(TRIM(I99))=0</formula>
    </cfRule>
    <cfRule type="containsBlanks" dxfId="18956" priority="16275">
      <formula>LEN(TRIM(I99))=0</formula>
    </cfRule>
    <cfRule type="containsBlanks" dxfId="18955" priority="16276">
      <formula>LEN(TRIM(I99))=0</formula>
    </cfRule>
    <cfRule type="containsBlanks" dxfId="18954" priority="16277">
      <formula>LEN(TRIM(I99))=0</formula>
    </cfRule>
    <cfRule type="containsBlanks" dxfId="18953" priority="16278">
      <formula>LEN(TRIM(I99))=0</formula>
    </cfRule>
    <cfRule type="containsBlanks" dxfId="18952" priority="16279">
      <formula>LEN(TRIM(I99))=0</formula>
    </cfRule>
    <cfRule type="containsBlanks" dxfId="18951" priority="16280">
      <formula>LEN(TRIM(I99))=0</formula>
    </cfRule>
    <cfRule type="containsBlanks" dxfId="18950" priority="16281">
      <formula>LEN(TRIM(I99))=0</formula>
    </cfRule>
    <cfRule type="containsBlanks" dxfId="18949" priority="16282">
      <formula>LEN(TRIM(I99))=0</formula>
    </cfRule>
    <cfRule type="containsBlanks" dxfId="18948" priority="16283">
      <formula>LEN(TRIM(I99))=0</formula>
    </cfRule>
    <cfRule type="containsBlanks" dxfId="18947" priority="16284">
      <formula>LEN(TRIM(I99))=0</formula>
    </cfRule>
    <cfRule type="containsBlanks" dxfId="18946" priority="16285">
      <formula>LEN(TRIM(I99))=0</formula>
    </cfRule>
    <cfRule type="containsBlanks" dxfId="18945" priority="16286">
      <formula>LEN(TRIM(I99))=0</formula>
    </cfRule>
    <cfRule type="containsBlanks" dxfId="18944" priority="16287">
      <formula>LEN(TRIM(I99))=0</formula>
    </cfRule>
    <cfRule type="containsBlanks" dxfId="18943" priority="16288">
      <formula>LEN(TRIM(I99))=0</formula>
    </cfRule>
    <cfRule type="containsBlanks" dxfId="18942" priority="16289">
      <formula>LEN(TRIM(I99))=0</formula>
    </cfRule>
    <cfRule type="containsBlanks" dxfId="18941" priority="16290">
      <formula>LEN(TRIM(I99))=0</formula>
    </cfRule>
    <cfRule type="containsBlanks" dxfId="18940" priority="16291">
      <formula>LEN(TRIM(I99))=0</formula>
    </cfRule>
    <cfRule type="containsBlanks" dxfId="18939" priority="16292">
      <formula>LEN(TRIM(I99))=0</formula>
    </cfRule>
    <cfRule type="containsBlanks" dxfId="18938" priority="16293">
      <formula>LEN(TRIM(I99))=0</formula>
    </cfRule>
    <cfRule type="containsBlanks" dxfId="18937" priority="16294">
      <formula>LEN(TRIM(I99))=0</formula>
    </cfRule>
    <cfRule type="containsBlanks" dxfId="18936" priority="16295">
      <formula>LEN(TRIM(I99))=0</formula>
    </cfRule>
    <cfRule type="containsBlanks" dxfId="18935" priority="16296">
      <formula>LEN(TRIM(I99))=0</formula>
    </cfRule>
    <cfRule type="containsBlanks" dxfId="18934" priority="16297">
      <formula>LEN(TRIM(I99))=0</formula>
    </cfRule>
    <cfRule type="containsBlanks" dxfId="18933" priority="16298">
      <formula>LEN(TRIM(I99))=0</formula>
    </cfRule>
    <cfRule type="containsBlanks" dxfId="18932" priority="16299">
      <formula>LEN(TRIM(I99))=0</formula>
    </cfRule>
    <cfRule type="containsBlanks" dxfId="18931" priority="16300">
      <formula>LEN(TRIM(I99))=0</formula>
    </cfRule>
    <cfRule type="containsBlanks" dxfId="18930" priority="16301">
      <formula>LEN(TRIM(I99))=0</formula>
    </cfRule>
    <cfRule type="containsBlanks" dxfId="18929" priority="16302">
      <formula>LEN(TRIM(I99))=0</formula>
    </cfRule>
    <cfRule type="containsBlanks" dxfId="18928" priority="16303">
      <formula>LEN(TRIM(I99))=0</formula>
    </cfRule>
    <cfRule type="containsBlanks" dxfId="18927" priority="16304">
      <formula>LEN(TRIM(I99))=0</formula>
    </cfRule>
    <cfRule type="containsBlanks" dxfId="18926" priority="16305">
      <formula>LEN(TRIM(I99))=0</formula>
    </cfRule>
    <cfRule type="containsBlanks" dxfId="18925" priority="16306">
      <formula>LEN(TRIM(I99))=0</formula>
    </cfRule>
    <cfRule type="containsBlanks" dxfId="18924" priority="16307">
      <formula>LEN(TRIM(I99))=0</formula>
    </cfRule>
    <cfRule type="containsBlanks" dxfId="18923" priority="16308">
      <formula>LEN(TRIM(I99))=0</formula>
    </cfRule>
    <cfRule type="containsBlanks" dxfId="18922" priority="16309">
      <formula>LEN(TRIM(I99))=0</formula>
    </cfRule>
    <cfRule type="containsBlanks" dxfId="18921" priority="16310">
      <formula>LEN(TRIM(I99))=0</formula>
    </cfRule>
    <cfRule type="containsBlanks" dxfId="18920" priority="16311">
      <formula>LEN(TRIM(I99))=0</formula>
    </cfRule>
    <cfRule type="containsBlanks" dxfId="18919" priority="16312">
      <formula>LEN(TRIM(I99))=0</formula>
    </cfRule>
    <cfRule type="containsBlanks" dxfId="18918" priority="16313">
      <formula>LEN(TRIM(I99))=0</formula>
    </cfRule>
    <cfRule type="containsBlanks" dxfId="18917" priority="16314">
      <formula>LEN(TRIM(I99))=0</formula>
    </cfRule>
    <cfRule type="containsBlanks" dxfId="18916" priority="16315">
      <formula>LEN(TRIM(I99))=0</formula>
    </cfRule>
    <cfRule type="containsBlanks" dxfId="18915" priority="16316">
      <formula>LEN(TRIM(I99))=0</formula>
    </cfRule>
    <cfRule type="containsBlanks" dxfId="18914" priority="16317">
      <formula>LEN(TRIM(I99))=0</formula>
    </cfRule>
    <cfRule type="containsBlanks" dxfId="18913" priority="16318">
      <formula>LEN(TRIM(I99))=0</formula>
    </cfRule>
    <cfRule type="containsBlanks" dxfId="18912" priority="16319">
      <formula>LEN(TRIM(I99))=0</formula>
    </cfRule>
    <cfRule type="containsBlanks" dxfId="18911" priority="16320">
      <formula>LEN(TRIM(I99))=0</formula>
    </cfRule>
    <cfRule type="containsBlanks" dxfId="18910" priority="16321">
      <formula>LEN(TRIM(I99))=0</formula>
    </cfRule>
    <cfRule type="containsBlanks" dxfId="18909" priority="16322">
      <formula>LEN(TRIM(I99))=0</formula>
    </cfRule>
    <cfRule type="containsBlanks" dxfId="18908" priority="16323">
      <formula>LEN(TRIM(I99))=0</formula>
    </cfRule>
  </conditionalFormatting>
  <conditionalFormatting sqref="I99:I158">
    <cfRule type="containsBlanks" dxfId="18907" priority="16493">
      <formula>LEN(TRIM(I99))=0</formula>
    </cfRule>
    <cfRule type="containsBlanks" dxfId="18906" priority="16494">
      <formula>LEN(TRIM(I99))=0</formula>
    </cfRule>
    <cfRule type="containsBlanks" dxfId="18905" priority="16495">
      <formula>LEN(TRIM(I99))=0</formula>
    </cfRule>
    <cfRule type="containsBlanks" dxfId="18904" priority="16496">
      <formula>LEN(TRIM(I99))=0</formula>
    </cfRule>
    <cfRule type="containsBlanks" dxfId="18903" priority="16497">
      <formula>LEN(TRIM(I99))=0</formula>
    </cfRule>
    <cfRule type="containsBlanks" dxfId="18902" priority="16498">
      <formula>LEN(TRIM(I99))=0</formula>
    </cfRule>
    <cfRule type="containsBlanks" dxfId="18901" priority="16499">
      <formula>LEN(TRIM(I99))=0</formula>
    </cfRule>
    <cfRule type="containsBlanks" dxfId="18900" priority="16500">
      <formula>LEN(TRIM(I99))=0</formula>
    </cfRule>
    <cfRule type="containsBlanks" dxfId="18899" priority="16501">
      <formula>LEN(TRIM(I99))=0</formula>
    </cfRule>
    <cfRule type="containsBlanks" dxfId="18898" priority="16502">
      <formula>LEN(TRIM(I99))=0</formula>
    </cfRule>
    <cfRule type="containsBlanks" dxfId="18897" priority="16503">
      <formula>LEN(TRIM(I99))=0</formula>
    </cfRule>
    <cfRule type="containsBlanks" dxfId="18896" priority="16504">
      <formula>LEN(TRIM(I99))=0</formula>
    </cfRule>
    <cfRule type="containsBlanks" dxfId="18895" priority="16505">
      <formula>LEN(TRIM(I99))=0</formula>
    </cfRule>
    <cfRule type="containsBlanks" dxfId="18894" priority="16506">
      <formula>LEN(TRIM(I99))=0</formula>
    </cfRule>
    <cfRule type="containsBlanks" dxfId="18893" priority="16507">
      <formula>LEN(TRIM(I99))=0</formula>
    </cfRule>
    <cfRule type="containsBlanks" dxfId="18892" priority="16508">
      <formula>LEN(TRIM(I99))=0</formula>
    </cfRule>
    <cfRule type="containsBlanks" dxfId="18891" priority="16509">
      <formula>LEN(TRIM(I99))=0</formula>
    </cfRule>
    <cfRule type="containsBlanks" dxfId="18890" priority="16510">
      <formula>LEN(TRIM(I99))=0</formula>
    </cfRule>
    <cfRule type="containsBlanks" dxfId="18889" priority="16511">
      <formula>LEN(TRIM(I99))=0</formula>
    </cfRule>
    <cfRule type="containsBlanks" dxfId="18888" priority="16512">
      <formula>LEN(TRIM(I99))=0</formula>
    </cfRule>
    <cfRule type="containsBlanks" dxfId="18887" priority="16513">
      <formula>LEN(TRIM(I99))=0</formula>
    </cfRule>
    <cfRule type="containsBlanks" dxfId="18886" priority="16514">
      <formula>LEN(TRIM(I99))=0</formula>
    </cfRule>
    <cfRule type="containsBlanks" dxfId="18885" priority="16515">
      <formula>LEN(TRIM(I99))=0</formula>
    </cfRule>
    <cfRule type="containsBlanks" dxfId="18884" priority="16516">
      <formula>LEN(TRIM(I99))=0</formula>
    </cfRule>
    <cfRule type="containsBlanks" dxfId="18883" priority="16517">
      <formula>LEN(TRIM(I99))=0</formula>
    </cfRule>
    <cfRule type="containsBlanks" dxfId="18882" priority="16518">
      <formula>LEN(TRIM(I99))=0</formula>
    </cfRule>
    <cfRule type="containsBlanks" dxfId="18881" priority="16519">
      <formula>LEN(TRIM(I99))=0</formula>
    </cfRule>
    <cfRule type="containsBlanks" dxfId="18880" priority="16520">
      <formula>LEN(TRIM(I99))=0</formula>
    </cfRule>
    <cfRule type="containsBlanks" dxfId="18879" priority="16521">
      <formula>LEN(TRIM(I99))=0</formula>
    </cfRule>
    <cfRule type="containsBlanks" dxfId="18878" priority="16522">
      <formula>LEN(TRIM(I99))=0</formula>
    </cfRule>
    <cfRule type="containsBlanks" dxfId="18877" priority="16523">
      <formula>LEN(TRIM(I99))=0</formula>
    </cfRule>
    <cfRule type="containsBlanks" dxfId="18876" priority="16524">
      <formula>LEN(TRIM(I99))=0</formula>
    </cfRule>
    <cfRule type="containsBlanks" dxfId="18875" priority="16525">
      <formula>LEN(TRIM(I99))=0</formula>
    </cfRule>
    <cfRule type="containsBlanks" dxfId="18874" priority="16526">
      <formula>LEN(TRIM(I99))=0</formula>
    </cfRule>
    <cfRule type="containsBlanks" dxfId="18873" priority="16527">
      <formula>LEN(TRIM(I99))=0</formula>
    </cfRule>
    <cfRule type="containsBlanks" dxfId="18872" priority="16528">
      <formula>LEN(TRIM(I99))=0</formula>
    </cfRule>
    <cfRule type="containsBlanks" dxfId="18871" priority="16529">
      <formula>LEN(TRIM(I99))=0</formula>
    </cfRule>
    <cfRule type="containsBlanks" dxfId="18870" priority="16530">
      <formula>LEN(TRIM(I99))=0</formula>
    </cfRule>
    <cfRule type="containsBlanks" dxfId="18869" priority="16531">
      <formula>LEN(TRIM(I99))=0</formula>
    </cfRule>
    <cfRule type="containsBlanks" dxfId="18868" priority="16532">
      <formula>LEN(TRIM(I99))=0</formula>
    </cfRule>
    <cfRule type="containsBlanks" dxfId="18867" priority="16533">
      <formula>LEN(TRIM(I99))=0</formula>
    </cfRule>
    <cfRule type="containsBlanks" dxfId="18866" priority="16534">
      <formula>LEN(TRIM(I99))=0</formula>
    </cfRule>
    <cfRule type="containsBlanks" dxfId="18865" priority="16535">
      <formula>LEN(TRIM(I99))=0</formula>
    </cfRule>
    <cfRule type="containsBlanks" dxfId="18864" priority="16536">
      <formula>LEN(TRIM(I99))=0</formula>
    </cfRule>
    <cfRule type="containsBlanks" dxfId="18863" priority="16537">
      <formula>LEN(TRIM(I99))=0</formula>
    </cfRule>
    <cfRule type="containsBlanks" dxfId="18862" priority="16538">
      <formula>LEN(TRIM(I99))=0</formula>
    </cfRule>
    <cfRule type="containsBlanks" dxfId="18861" priority="16539">
      <formula>LEN(TRIM(I99))=0</formula>
    </cfRule>
    <cfRule type="containsBlanks" dxfId="18860" priority="16540">
      <formula>LEN(TRIM(I99))=0</formula>
    </cfRule>
    <cfRule type="containsBlanks" dxfId="18859" priority="16541">
      <formula>LEN(TRIM(I99))=0</formula>
    </cfRule>
    <cfRule type="containsBlanks" dxfId="18858" priority="16542">
      <formula>LEN(TRIM(I99))=0</formula>
    </cfRule>
    <cfRule type="containsBlanks" dxfId="18857" priority="16543">
      <formula>LEN(TRIM(I99))=0</formula>
    </cfRule>
    <cfRule type="containsBlanks" dxfId="18856" priority="16544">
      <formula>LEN(TRIM(I99))=0</formula>
    </cfRule>
  </conditionalFormatting>
  <conditionalFormatting sqref="I123:J123">
    <cfRule type="containsBlanks" dxfId="18855" priority="16375">
      <formula>LEN(TRIM(I123))=0</formula>
    </cfRule>
    <cfRule type="containsBlanks" dxfId="18854" priority="16376">
      <formula>LEN(TRIM(I123))=0</formula>
    </cfRule>
    <cfRule type="containsBlanks" dxfId="18853" priority="16377">
      <formula>LEN(TRIM(I123))=0</formula>
    </cfRule>
    <cfRule type="containsBlanks" dxfId="18852" priority="16378">
      <formula>LEN(TRIM(I123))=0</formula>
    </cfRule>
    <cfRule type="containsBlanks" dxfId="18851" priority="16379">
      <formula>LEN(TRIM(I123))=0</formula>
    </cfRule>
    <cfRule type="containsBlanks" dxfId="18850" priority="16380">
      <formula>LEN(TRIM(I123))=0</formula>
    </cfRule>
    <cfRule type="containsBlanks" dxfId="18849" priority="16381">
      <formula>LEN(TRIM(I123))=0</formula>
    </cfRule>
    <cfRule type="containsBlanks" dxfId="18848" priority="16382">
      <formula>LEN(TRIM(I123))=0</formula>
    </cfRule>
    <cfRule type="containsBlanks" dxfId="18847" priority="16383">
      <formula>LEN(TRIM(I123))=0</formula>
    </cfRule>
    <cfRule type="containsBlanks" dxfId="18846" priority="16384">
      <formula>LEN(TRIM(I123))=0</formula>
    </cfRule>
    <cfRule type="containsBlanks" dxfId="18845" priority="16385">
      <formula>LEN(TRIM(I123))=0</formula>
    </cfRule>
    <cfRule type="containsBlanks" dxfId="18844" priority="16386">
      <formula>LEN(TRIM(I123))=0</formula>
    </cfRule>
    <cfRule type="containsBlanks" dxfId="18843" priority="16387">
      <formula>LEN(TRIM(I123))=0</formula>
    </cfRule>
    <cfRule type="containsBlanks" dxfId="18842" priority="16388">
      <formula>LEN(TRIM(I123))=0</formula>
    </cfRule>
    <cfRule type="containsBlanks" dxfId="18841" priority="16389">
      <formula>LEN(TRIM(I123))=0</formula>
    </cfRule>
    <cfRule type="containsBlanks" dxfId="18840" priority="16390">
      <formula>LEN(TRIM(I123))=0</formula>
    </cfRule>
    <cfRule type="containsBlanks" dxfId="18839" priority="16391">
      <formula>LEN(TRIM(I123))=0</formula>
    </cfRule>
    <cfRule type="containsBlanks" dxfId="18838" priority="16392">
      <formula>LEN(TRIM(I123))=0</formula>
    </cfRule>
    <cfRule type="containsBlanks" dxfId="18837" priority="16393">
      <formula>LEN(TRIM(I123))=0</formula>
    </cfRule>
    <cfRule type="containsBlanks" dxfId="18836" priority="16394">
      <formula>LEN(TRIM(I123))=0</formula>
    </cfRule>
    <cfRule type="containsBlanks" dxfId="18835" priority="16395">
      <formula>LEN(TRIM(I123))=0</formula>
    </cfRule>
    <cfRule type="containsBlanks" dxfId="18834" priority="16396">
      <formula>LEN(TRIM(I123))=0</formula>
    </cfRule>
    <cfRule type="containsBlanks" dxfId="18833" priority="16397">
      <formula>LEN(TRIM(I123))=0</formula>
    </cfRule>
    <cfRule type="containsBlanks" dxfId="18832" priority="16398">
      <formula>LEN(TRIM(I123))=0</formula>
    </cfRule>
    <cfRule type="containsBlanks" dxfId="18831" priority="16399">
      <formula>LEN(TRIM(I123))=0</formula>
    </cfRule>
    <cfRule type="containsBlanks" dxfId="18830" priority="16400">
      <formula>LEN(TRIM(I123))=0</formula>
    </cfRule>
    <cfRule type="containsBlanks" dxfId="18829" priority="16401">
      <formula>LEN(TRIM(I123))=0</formula>
    </cfRule>
    <cfRule type="containsBlanks" dxfId="18828" priority="16402">
      <formula>LEN(TRIM(I123))=0</formula>
    </cfRule>
    <cfRule type="containsBlanks" dxfId="18827" priority="16403">
      <formula>LEN(TRIM(I123))=0</formula>
    </cfRule>
    <cfRule type="containsBlanks" dxfId="18826" priority="16404">
      <formula>LEN(TRIM(I123))=0</formula>
    </cfRule>
    <cfRule type="containsBlanks" dxfId="18825" priority="16405">
      <formula>LEN(TRIM(I123))=0</formula>
    </cfRule>
    <cfRule type="containsBlanks" dxfId="18824" priority="16406">
      <formula>LEN(TRIM(I123))=0</formula>
    </cfRule>
    <cfRule type="containsBlanks" dxfId="18823" priority="16407">
      <formula>LEN(TRIM(I123))=0</formula>
    </cfRule>
    <cfRule type="containsBlanks" dxfId="18822" priority="16408">
      <formula>LEN(TRIM(I123))=0</formula>
    </cfRule>
    <cfRule type="containsBlanks" dxfId="18821" priority="16409">
      <formula>LEN(TRIM(I123))=0</formula>
    </cfRule>
    <cfRule type="containsBlanks" dxfId="18820" priority="16410">
      <formula>LEN(TRIM(I123))=0</formula>
    </cfRule>
    <cfRule type="containsBlanks" dxfId="18819" priority="16411">
      <formula>LEN(TRIM(I123))=0</formula>
    </cfRule>
    <cfRule type="containsBlanks" dxfId="18818" priority="16412">
      <formula>LEN(TRIM(I123))=0</formula>
    </cfRule>
    <cfRule type="containsBlanks" dxfId="18817" priority="16413">
      <formula>LEN(TRIM(I123))=0</formula>
    </cfRule>
    <cfRule type="containsBlanks" dxfId="18816" priority="16414">
      <formula>LEN(TRIM(I123))=0</formula>
    </cfRule>
    <cfRule type="containsBlanks" dxfId="18815" priority="16415">
      <formula>LEN(TRIM(I123))=0</formula>
    </cfRule>
    <cfRule type="containsBlanks" dxfId="18814" priority="16416">
      <formula>LEN(TRIM(I123))=0</formula>
    </cfRule>
    <cfRule type="containsBlanks" dxfId="18813" priority="16417">
      <formula>LEN(TRIM(I123))=0</formula>
    </cfRule>
    <cfRule type="containsBlanks" dxfId="18812" priority="16418">
      <formula>LEN(TRIM(I123))=0</formula>
    </cfRule>
    <cfRule type="containsBlanks" dxfId="18811" priority="16419">
      <formula>LEN(TRIM(I123))=0</formula>
    </cfRule>
    <cfRule type="containsBlanks" dxfId="18810" priority="16420">
      <formula>LEN(TRIM(I123))=0</formula>
    </cfRule>
    <cfRule type="containsBlanks" dxfId="18809" priority="16421">
      <formula>LEN(TRIM(I123))=0</formula>
    </cfRule>
    <cfRule type="containsBlanks" dxfId="18808" priority="16422">
      <formula>LEN(TRIM(I123))=0</formula>
    </cfRule>
    <cfRule type="containsBlanks" dxfId="18807" priority="16423">
      <formula>LEN(TRIM(I123))=0</formula>
    </cfRule>
    <cfRule type="containsBlanks" dxfId="18806" priority="16424">
      <formula>LEN(TRIM(I123))=0</formula>
    </cfRule>
    <cfRule type="containsBlanks" dxfId="18805" priority="16425">
      <formula>LEN(TRIM(I123))=0</formula>
    </cfRule>
    <cfRule type="containsBlanks" dxfId="18804" priority="16426">
      <formula>LEN(TRIM(I123))=0</formula>
    </cfRule>
    <cfRule type="containsBlanks" dxfId="18803" priority="16427">
      <formula>LEN(TRIM(I123))=0</formula>
    </cfRule>
    <cfRule type="containsBlanks" dxfId="18802" priority="16428">
      <formula>LEN(TRIM(I123))=0</formula>
    </cfRule>
    <cfRule type="containsBlanks" dxfId="18801" priority="16429">
      <formula>LEN(TRIM(I123))=0</formula>
    </cfRule>
    <cfRule type="containsBlanks" dxfId="18800" priority="16430">
      <formula>LEN(TRIM(I123))=0</formula>
    </cfRule>
    <cfRule type="containsBlanks" dxfId="18799" priority="16431">
      <formula>LEN(TRIM(I123))=0</formula>
    </cfRule>
    <cfRule type="containsBlanks" dxfId="18798" priority="16432">
      <formula>LEN(TRIM(I123))=0</formula>
    </cfRule>
    <cfRule type="containsBlanks" dxfId="18797" priority="16433">
      <formula>LEN(TRIM(I123))=0</formula>
    </cfRule>
    <cfRule type="containsBlanks" dxfId="18796" priority="16434">
      <formula>LEN(TRIM(I123))=0</formula>
    </cfRule>
    <cfRule type="containsBlanks" dxfId="18795" priority="16435">
      <formula>LEN(TRIM(I123))=0</formula>
    </cfRule>
    <cfRule type="containsBlanks" dxfId="18794" priority="16436">
      <formula>LEN(TRIM(I123))=0</formula>
    </cfRule>
    <cfRule type="containsBlanks" dxfId="18793" priority="16437">
      <formula>LEN(TRIM(I123))=0</formula>
    </cfRule>
    <cfRule type="containsBlanks" dxfId="18792" priority="16438">
      <formula>LEN(TRIM(I123))=0</formula>
    </cfRule>
    <cfRule type="containsBlanks" dxfId="18791" priority="16439">
      <formula>LEN(TRIM(I123))=0</formula>
    </cfRule>
    <cfRule type="containsBlanks" dxfId="18790" priority="16440">
      <formula>LEN(TRIM(I123))=0</formula>
    </cfRule>
  </conditionalFormatting>
  <conditionalFormatting sqref="I130:J130">
    <cfRule type="containsBlanks" dxfId="18789" priority="16441">
      <formula>LEN(TRIM(I130))=0</formula>
    </cfRule>
    <cfRule type="containsBlanks" dxfId="18788" priority="16442">
      <formula>LEN(TRIM(I130))=0</formula>
    </cfRule>
    <cfRule type="containsBlanks" dxfId="18787" priority="16443">
      <formula>LEN(TRIM(I130))=0</formula>
    </cfRule>
    <cfRule type="containsBlanks" dxfId="18786" priority="16444">
      <formula>LEN(TRIM(I130))=0</formula>
    </cfRule>
    <cfRule type="containsBlanks" dxfId="18785" priority="16445">
      <formula>LEN(TRIM(I130))=0</formula>
    </cfRule>
    <cfRule type="containsBlanks" dxfId="18784" priority="16446">
      <formula>LEN(TRIM(I130))=0</formula>
    </cfRule>
    <cfRule type="containsBlanks" dxfId="18783" priority="16447">
      <formula>LEN(TRIM(I130))=0</formula>
    </cfRule>
    <cfRule type="containsBlanks" dxfId="18782" priority="16448">
      <formula>LEN(TRIM(I130))=0</formula>
    </cfRule>
    <cfRule type="containsBlanks" dxfId="18781" priority="16449">
      <formula>LEN(TRIM(I130))=0</formula>
    </cfRule>
    <cfRule type="containsBlanks" dxfId="18780" priority="16450">
      <formula>LEN(TRIM(I130))=0</formula>
    </cfRule>
    <cfRule type="containsBlanks" dxfId="18779" priority="16451">
      <formula>LEN(TRIM(I130))=0</formula>
    </cfRule>
    <cfRule type="containsBlanks" dxfId="18778" priority="16452">
      <formula>LEN(TRIM(I130))=0</formula>
    </cfRule>
    <cfRule type="containsBlanks" dxfId="18777" priority="16453">
      <formula>LEN(TRIM(I130))=0</formula>
    </cfRule>
    <cfRule type="containsBlanks" dxfId="18776" priority="16454">
      <formula>LEN(TRIM(I130))=0</formula>
    </cfRule>
    <cfRule type="containsBlanks" dxfId="18775" priority="16455">
      <formula>LEN(TRIM(I130))=0</formula>
    </cfRule>
    <cfRule type="containsBlanks" dxfId="18774" priority="16456">
      <formula>LEN(TRIM(I130))=0</formula>
    </cfRule>
    <cfRule type="containsBlanks" dxfId="18773" priority="16457">
      <formula>LEN(TRIM(I130))=0</formula>
    </cfRule>
    <cfRule type="containsBlanks" dxfId="18772" priority="16458">
      <formula>LEN(TRIM(I130))=0</formula>
    </cfRule>
    <cfRule type="containsBlanks" dxfId="18771" priority="16459">
      <formula>LEN(TRIM(I130))=0</formula>
    </cfRule>
    <cfRule type="containsBlanks" dxfId="18770" priority="16460">
      <formula>LEN(TRIM(I130))=0</formula>
    </cfRule>
    <cfRule type="containsBlanks" dxfId="18769" priority="16461">
      <formula>LEN(TRIM(I130))=0</formula>
    </cfRule>
    <cfRule type="containsBlanks" dxfId="18768" priority="16462">
      <formula>LEN(TRIM(I130))=0</formula>
    </cfRule>
    <cfRule type="containsBlanks" dxfId="18767" priority="16463">
      <formula>LEN(TRIM(I130))=0</formula>
    </cfRule>
    <cfRule type="containsBlanks" dxfId="18766" priority="16464">
      <formula>LEN(TRIM(I130))=0</formula>
    </cfRule>
    <cfRule type="containsBlanks" dxfId="18765" priority="16465">
      <formula>LEN(TRIM(I130))=0</formula>
    </cfRule>
    <cfRule type="containsBlanks" dxfId="18764" priority="16466">
      <formula>LEN(TRIM(I130))=0</formula>
    </cfRule>
    <cfRule type="containsBlanks" dxfId="18763" priority="16467">
      <formula>LEN(TRIM(I130))=0</formula>
    </cfRule>
    <cfRule type="containsBlanks" dxfId="18762" priority="16468">
      <formula>LEN(TRIM(I130))=0</formula>
    </cfRule>
    <cfRule type="containsBlanks" dxfId="18761" priority="16469">
      <formula>LEN(TRIM(I130))=0</formula>
    </cfRule>
    <cfRule type="containsBlanks" dxfId="18760" priority="16470">
      <formula>LEN(TRIM(I130))=0</formula>
    </cfRule>
    <cfRule type="containsBlanks" dxfId="18759" priority="16471">
      <formula>LEN(TRIM(I130))=0</formula>
    </cfRule>
    <cfRule type="containsBlanks" dxfId="18758" priority="16472">
      <formula>LEN(TRIM(I130))=0</formula>
    </cfRule>
    <cfRule type="containsBlanks" dxfId="18757" priority="16473">
      <formula>LEN(TRIM(I130))=0</formula>
    </cfRule>
    <cfRule type="containsBlanks" dxfId="18756" priority="16474">
      <formula>LEN(TRIM(I130))=0</formula>
    </cfRule>
    <cfRule type="containsBlanks" dxfId="18755" priority="16475">
      <formula>LEN(TRIM(I130))=0</formula>
    </cfRule>
    <cfRule type="containsBlanks" dxfId="18754" priority="16476">
      <formula>LEN(TRIM(I130))=0</formula>
    </cfRule>
    <cfRule type="containsBlanks" dxfId="18753" priority="16477">
      <formula>LEN(TRIM(I130))=0</formula>
    </cfRule>
    <cfRule type="containsBlanks" dxfId="18752" priority="16478">
      <formula>LEN(TRIM(I130))=0</formula>
    </cfRule>
    <cfRule type="containsBlanks" dxfId="18751" priority="16479">
      <formula>LEN(TRIM(I130))=0</formula>
    </cfRule>
    <cfRule type="containsBlanks" dxfId="18750" priority="16480">
      <formula>LEN(TRIM(I130))=0</formula>
    </cfRule>
    <cfRule type="containsBlanks" dxfId="18749" priority="16481">
      <formula>LEN(TRIM(I130))=0</formula>
    </cfRule>
    <cfRule type="containsBlanks" dxfId="18748" priority="16482">
      <formula>LEN(TRIM(I130))=0</formula>
    </cfRule>
    <cfRule type="containsBlanks" dxfId="18747" priority="16483">
      <formula>LEN(TRIM(I130))=0</formula>
    </cfRule>
    <cfRule type="containsBlanks" dxfId="18746" priority="16484">
      <formula>LEN(TRIM(I130))=0</formula>
    </cfRule>
    <cfRule type="containsBlanks" dxfId="18745" priority="16485">
      <formula>LEN(TRIM(I130))=0</formula>
    </cfRule>
    <cfRule type="containsBlanks" dxfId="18744" priority="16486">
      <formula>LEN(TRIM(I130))=0</formula>
    </cfRule>
    <cfRule type="containsBlanks" dxfId="18743" priority="16487">
      <formula>LEN(TRIM(I130))=0</formula>
    </cfRule>
    <cfRule type="containsBlanks" dxfId="18742" priority="16488">
      <formula>LEN(TRIM(I130))=0</formula>
    </cfRule>
    <cfRule type="containsBlanks" dxfId="18741" priority="16489">
      <formula>LEN(TRIM(I130))=0</formula>
    </cfRule>
    <cfRule type="containsBlanks" dxfId="18740" priority="16490">
      <formula>LEN(TRIM(I130))=0</formula>
    </cfRule>
    <cfRule type="containsBlanks" dxfId="18739" priority="16491">
      <formula>LEN(TRIM(I130))=0</formula>
    </cfRule>
    <cfRule type="containsBlanks" dxfId="18738" priority="16492">
      <formula>LEN(TRIM(I130))=0</formula>
    </cfRule>
  </conditionalFormatting>
  <conditionalFormatting sqref="J99:J100">
    <cfRule type="containsBlanks" dxfId="18737" priority="13643">
      <formula>LEN(TRIM(J99))=0</formula>
    </cfRule>
    <cfRule type="containsBlanks" dxfId="18736" priority="13644">
      <formula>LEN(TRIM(J99))=0</formula>
    </cfRule>
    <cfRule type="containsBlanks" dxfId="18735" priority="13645">
      <formula>LEN(TRIM(J99))=0</formula>
    </cfRule>
    <cfRule type="containsBlanks" dxfId="18734" priority="13646">
      <formula>LEN(TRIM(J99))=0</formula>
    </cfRule>
    <cfRule type="containsBlanks" dxfId="18733" priority="13647">
      <formula>LEN(TRIM(J99))=0</formula>
    </cfRule>
    <cfRule type="containsBlanks" dxfId="18732" priority="13648">
      <formula>LEN(TRIM(J99))=0</formula>
    </cfRule>
    <cfRule type="containsBlanks" dxfId="18731" priority="13649">
      <formula>LEN(TRIM(J99))=0</formula>
    </cfRule>
    <cfRule type="containsBlanks" dxfId="18730" priority="13650">
      <formula>LEN(TRIM(J99))=0</formula>
    </cfRule>
    <cfRule type="containsBlanks" dxfId="18729" priority="13651">
      <formula>LEN(TRIM(J99))=0</formula>
    </cfRule>
    <cfRule type="containsBlanks" dxfId="18728" priority="13652">
      <formula>LEN(TRIM(J99))=0</formula>
    </cfRule>
    <cfRule type="containsBlanks" dxfId="18727" priority="13653">
      <formula>LEN(TRIM(J99))=0</formula>
    </cfRule>
    <cfRule type="containsBlanks" dxfId="18726" priority="13654">
      <formula>LEN(TRIM(J99))=0</formula>
    </cfRule>
    <cfRule type="containsBlanks" dxfId="18725" priority="13655">
      <formula>LEN(TRIM(J99))=0</formula>
    </cfRule>
  </conditionalFormatting>
  <conditionalFormatting sqref="J99:J155">
    <cfRule type="containsBlanks" dxfId="18724" priority="13691">
      <formula>LEN(TRIM(J99))=0</formula>
    </cfRule>
    <cfRule type="containsBlanks" dxfId="18723" priority="13692">
      <formula>LEN(TRIM(J99))=0</formula>
    </cfRule>
    <cfRule type="containsBlanks" dxfId="18722" priority="13693">
      <formula>LEN(TRIM(J99))=0</formula>
    </cfRule>
    <cfRule type="containsBlanks" dxfId="18721" priority="13694">
      <formula>LEN(TRIM(J99))=0</formula>
    </cfRule>
    <cfRule type="containsBlanks" dxfId="18720" priority="13695">
      <formula>LEN(TRIM(J99))=0</formula>
    </cfRule>
    <cfRule type="containsBlanks" dxfId="18719" priority="13696">
      <formula>LEN(TRIM(J99))=0</formula>
    </cfRule>
    <cfRule type="containsBlanks" dxfId="18718" priority="13697">
      <formula>LEN(TRIM(J99))=0</formula>
    </cfRule>
    <cfRule type="containsBlanks" dxfId="18717" priority="13698">
      <formula>LEN(TRIM(J99))=0</formula>
    </cfRule>
    <cfRule type="containsBlanks" dxfId="18716" priority="13699">
      <formula>LEN(TRIM(J99))=0</formula>
    </cfRule>
    <cfRule type="containsBlanks" dxfId="18715" priority="13700">
      <formula>LEN(TRIM(J99))=0</formula>
    </cfRule>
    <cfRule type="containsBlanks" dxfId="18714" priority="13701">
      <formula>LEN(TRIM(J99))=0</formula>
    </cfRule>
    <cfRule type="containsBlanks" dxfId="18713" priority="13702">
      <formula>LEN(TRIM(J99))=0</formula>
    </cfRule>
    <cfRule type="containsBlanks" dxfId="18712" priority="13703">
      <formula>LEN(TRIM(J99))=0</formula>
    </cfRule>
    <cfRule type="containsBlanks" dxfId="18711" priority="13704">
      <formula>LEN(TRIM(J99))=0</formula>
    </cfRule>
    <cfRule type="containsBlanks" dxfId="18710" priority="13705">
      <formula>LEN(TRIM(J99))=0</formula>
    </cfRule>
    <cfRule type="containsBlanks" dxfId="18709" priority="13706">
      <formula>LEN(TRIM(J99))=0</formula>
    </cfRule>
    <cfRule type="containsBlanks" dxfId="18708" priority="13707">
      <formula>LEN(TRIM(J99))=0</formula>
    </cfRule>
    <cfRule type="containsBlanks" dxfId="18707" priority="13708">
      <formula>LEN(TRIM(J99))=0</formula>
    </cfRule>
    <cfRule type="containsBlanks" dxfId="18706" priority="13709">
      <formula>LEN(TRIM(J99))=0</formula>
    </cfRule>
    <cfRule type="containsBlanks" dxfId="18705" priority="13710">
      <formula>LEN(TRIM(J99))=0</formula>
    </cfRule>
    <cfRule type="containsBlanks" dxfId="18704" priority="13711">
      <formula>LEN(TRIM(J99))=0</formula>
    </cfRule>
    <cfRule type="containsBlanks" dxfId="18703" priority="13712">
      <formula>LEN(TRIM(J99))=0</formula>
    </cfRule>
    <cfRule type="containsBlanks" dxfId="18702" priority="13713">
      <formula>LEN(TRIM(J99))=0</formula>
    </cfRule>
    <cfRule type="containsBlanks" dxfId="18701" priority="13714">
      <formula>LEN(TRIM(J99))=0</formula>
    </cfRule>
    <cfRule type="containsBlanks" dxfId="18700" priority="13715">
      <formula>LEN(TRIM(J99))=0</formula>
    </cfRule>
    <cfRule type="containsBlanks" dxfId="18699" priority="13716">
      <formula>LEN(TRIM(J99))=0</formula>
    </cfRule>
    <cfRule type="containsBlanks" dxfId="18698" priority="13717">
      <formula>LEN(TRIM(J99))=0</formula>
    </cfRule>
    <cfRule type="containsBlanks" dxfId="18697" priority="13718">
      <formula>LEN(TRIM(J99))=0</formula>
    </cfRule>
    <cfRule type="containsBlanks" dxfId="18696" priority="13719">
      <formula>LEN(TRIM(J99))=0</formula>
    </cfRule>
    <cfRule type="containsBlanks" dxfId="18695" priority="13720">
      <formula>LEN(TRIM(J99))=0</formula>
    </cfRule>
    <cfRule type="containsBlanks" dxfId="18694" priority="13721">
      <formula>LEN(TRIM(J99))=0</formula>
    </cfRule>
  </conditionalFormatting>
  <conditionalFormatting sqref="J99:J158">
    <cfRule type="containsBlanks" dxfId="18693" priority="13656">
      <formula>LEN(TRIM(J99))=0</formula>
    </cfRule>
    <cfRule type="containsBlanks" dxfId="18692" priority="13657">
      <formula>LEN(TRIM(J99))=0</formula>
    </cfRule>
    <cfRule type="containsBlanks" dxfId="18691" priority="13658">
      <formula>LEN(TRIM(J99))=0</formula>
    </cfRule>
    <cfRule type="containsBlanks" dxfId="18690" priority="13659">
      <formula>LEN(TRIM(J99))=0</formula>
    </cfRule>
    <cfRule type="containsBlanks" dxfId="18689" priority="13660">
      <formula>LEN(TRIM(J99))=0</formula>
    </cfRule>
    <cfRule type="containsBlanks" dxfId="18688" priority="13661">
      <formula>LEN(TRIM(J99))=0</formula>
    </cfRule>
    <cfRule type="containsBlanks" dxfId="18687" priority="13662">
      <formula>LEN(TRIM(J99))=0</formula>
    </cfRule>
    <cfRule type="containsBlanks" dxfId="18686" priority="13663">
      <formula>LEN(TRIM(J99))=0</formula>
    </cfRule>
    <cfRule type="containsBlanks" dxfId="18685" priority="13664">
      <formula>LEN(TRIM(J99))=0</formula>
    </cfRule>
    <cfRule type="containsBlanks" dxfId="18684" priority="13665">
      <formula>LEN(TRIM(J99))=0</formula>
    </cfRule>
    <cfRule type="containsBlanks" dxfId="18683" priority="13666">
      <formula>LEN(TRIM(J99))=0</formula>
    </cfRule>
    <cfRule type="containsBlanks" dxfId="18682" priority="13667">
      <formula>LEN(TRIM(J99))=0</formula>
    </cfRule>
    <cfRule type="containsBlanks" dxfId="18681" priority="13668">
      <formula>LEN(TRIM(J99))=0</formula>
    </cfRule>
    <cfRule type="containsBlanks" dxfId="18680" priority="13669">
      <formula>LEN(TRIM(J99))=0</formula>
    </cfRule>
    <cfRule type="containsBlanks" dxfId="18679" priority="13670">
      <formula>LEN(TRIM(J99))=0</formula>
    </cfRule>
    <cfRule type="containsBlanks" dxfId="18678" priority="13671">
      <formula>LEN(TRIM(J99))=0</formula>
    </cfRule>
    <cfRule type="containsBlanks" dxfId="18677" priority="13672">
      <formula>LEN(TRIM(J99))=0</formula>
    </cfRule>
    <cfRule type="containsBlanks" dxfId="18676" priority="13673">
      <formula>LEN(TRIM(J99))=0</formula>
    </cfRule>
    <cfRule type="containsBlanks" dxfId="18675" priority="13674">
      <formula>LEN(TRIM(J99))=0</formula>
    </cfRule>
    <cfRule type="containsBlanks" dxfId="18674" priority="13675">
      <formula>LEN(TRIM(J99))=0</formula>
    </cfRule>
    <cfRule type="containsBlanks" dxfId="18673" priority="13676">
      <formula>LEN(TRIM(J99))=0</formula>
    </cfRule>
    <cfRule type="containsBlanks" dxfId="18672" priority="13677">
      <formula>LEN(TRIM(J99))=0</formula>
    </cfRule>
    <cfRule type="containsBlanks" dxfId="18671" priority="13678">
      <formula>LEN(TRIM(J99))=0</formula>
    </cfRule>
    <cfRule type="containsBlanks" dxfId="18670" priority="13679">
      <formula>LEN(TRIM(J99))=0</formula>
    </cfRule>
    <cfRule type="containsBlanks" dxfId="18669" priority="13680">
      <formula>LEN(TRIM(J99))=0</formula>
    </cfRule>
    <cfRule type="containsBlanks" dxfId="18668" priority="13681">
      <formula>LEN(TRIM(J99))=0</formula>
    </cfRule>
    <cfRule type="containsBlanks" dxfId="18667" priority="13682">
      <formula>LEN(TRIM(J99))=0</formula>
    </cfRule>
    <cfRule type="containsBlanks" dxfId="18666" priority="13683">
      <formula>LEN(TRIM(J99))=0</formula>
    </cfRule>
    <cfRule type="containsBlanks" dxfId="18665" priority="13684">
      <formula>LEN(TRIM(J99))=0</formula>
    </cfRule>
    <cfRule type="containsBlanks" dxfId="18664" priority="13685">
      <formula>LEN(TRIM(J99))=0</formula>
    </cfRule>
    <cfRule type="containsBlanks" dxfId="18663" priority="13686">
      <formula>LEN(TRIM(J99))=0</formula>
    </cfRule>
    <cfRule type="containsBlanks" dxfId="18662" priority="13687">
      <formula>LEN(TRIM(J99))=0</formula>
    </cfRule>
    <cfRule type="containsBlanks" dxfId="18661" priority="13688">
      <formula>LEN(TRIM(J99))=0</formula>
    </cfRule>
    <cfRule type="containsBlanks" dxfId="18660" priority="13689">
      <formula>LEN(TRIM(J99))=0</formula>
    </cfRule>
    <cfRule type="containsBlanks" dxfId="18659" priority="13690">
      <formula>LEN(TRIM(J99))=0</formula>
    </cfRule>
    <cfRule type="containsBlanks" dxfId="18658" priority="13722">
      <formula>LEN(TRIM(J99))=0</formula>
    </cfRule>
    <cfRule type="containsBlanks" dxfId="18657" priority="13723">
      <formula>LEN(TRIM(J99))=0</formula>
    </cfRule>
    <cfRule type="containsBlanks" dxfId="18656" priority="13724">
      <formula>LEN(TRIM(J99))=0</formula>
    </cfRule>
    <cfRule type="containsBlanks" dxfId="18655" priority="13725">
      <formula>LEN(TRIM(J99))=0</formula>
    </cfRule>
    <cfRule type="containsBlanks" dxfId="18654" priority="13726">
      <formula>LEN(TRIM(J99))=0</formula>
    </cfRule>
    <cfRule type="containsBlanks" dxfId="18653" priority="13727">
      <formula>LEN(TRIM(J99))=0</formula>
    </cfRule>
    <cfRule type="containsBlanks" dxfId="18652" priority="13728">
      <formula>LEN(TRIM(J99))=0</formula>
    </cfRule>
    <cfRule type="containsBlanks" dxfId="18651" priority="13729">
      <formula>LEN(TRIM(J99))=0</formula>
    </cfRule>
    <cfRule type="containsBlanks" dxfId="18650" priority="13730">
      <formula>LEN(TRIM(J99))=0</formula>
    </cfRule>
    <cfRule type="containsBlanks" dxfId="18649" priority="13731">
      <formula>LEN(TRIM(J99))=0</formula>
    </cfRule>
    <cfRule type="containsBlanks" dxfId="18648" priority="13732">
      <formula>LEN(TRIM(J99))=0</formula>
    </cfRule>
    <cfRule type="containsBlanks" dxfId="18647" priority="13733">
      <formula>LEN(TRIM(J99))=0</formula>
    </cfRule>
    <cfRule type="containsBlanks" dxfId="18646" priority="13734">
      <formula>LEN(TRIM(J99))=0</formula>
    </cfRule>
    <cfRule type="containsBlanks" dxfId="18645" priority="13735">
      <formula>LEN(TRIM(J99))=0</formula>
    </cfRule>
    <cfRule type="containsBlanks" dxfId="18644" priority="13736">
      <formula>LEN(TRIM(J99))=0</formula>
    </cfRule>
    <cfRule type="containsBlanks" dxfId="18643" priority="13737">
      <formula>LEN(TRIM(J99))=0</formula>
    </cfRule>
    <cfRule type="containsBlanks" dxfId="18642" priority="13738">
      <formula>LEN(TRIM(J99))=0</formula>
    </cfRule>
    <cfRule type="containsBlanks" dxfId="18641" priority="13739">
      <formula>LEN(TRIM(J99))=0</formula>
    </cfRule>
    <cfRule type="containsBlanks" dxfId="18640" priority="13740">
      <formula>LEN(TRIM(J99))=0</formula>
    </cfRule>
    <cfRule type="containsBlanks" dxfId="18639" priority="13741">
      <formula>LEN(TRIM(J99))=0</formula>
    </cfRule>
    <cfRule type="containsBlanks" dxfId="18638" priority="13742">
      <formula>LEN(TRIM(J99))=0</formula>
    </cfRule>
    <cfRule type="containsBlanks" dxfId="18637" priority="13743">
      <formula>LEN(TRIM(J99))=0</formula>
    </cfRule>
    <cfRule type="containsBlanks" dxfId="18636" priority="13744">
      <formula>LEN(TRIM(J99))=0</formula>
    </cfRule>
    <cfRule type="containsBlanks" dxfId="18635" priority="13745">
      <formula>LEN(TRIM(J99))=0</formula>
    </cfRule>
    <cfRule type="containsBlanks" dxfId="18634" priority="13746">
      <formula>LEN(TRIM(J99))=0</formula>
    </cfRule>
    <cfRule type="containsBlanks" dxfId="18633" priority="13747">
      <formula>LEN(TRIM(J99))=0</formula>
    </cfRule>
    <cfRule type="containsBlanks" dxfId="18632" priority="13748">
      <formula>LEN(TRIM(J99))=0</formula>
    </cfRule>
    <cfRule type="containsBlanks" dxfId="18631" priority="13749">
      <formula>LEN(TRIM(J99))=0</formula>
    </cfRule>
    <cfRule type="containsBlanks" dxfId="18630" priority="13750">
      <formula>LEN(TRIM(J99))=0</formula>
    </cfRule>
    <cfRule type="containsBlanks" dxfId="18629" priority="13751">
      <formula>LEN(TRIM(J99))=0</formula>
    </cfRule>
    <cfRule type="containsBlanks" dxfId="18628" priority="13752">
      <formula>LEN(TRIM(J99))=0</formula>
    </cfRule>
    <cfRule type="containsBlanks" dxfId="18627" priority="13753">
      <formula>LEN(TRIM(J99))=0</formula>
    </cfRule>
    <cfRule type="containsBlanks" dxfId="18626" priority="13754">
      <formula>LEN(TRIM(J99))=0</formula>
    </cfRule>
    <cfRule type="containsBlanks" dxfId="18625" priority="13755">
      <formula>LEN(TRIM(J99))=0</formula>
    </cfRule>
    <cfRule type="containsBlanks" dxfId="18624" priority="13756">
      <formula>LEN(TRIM(J99))=0</formula>
    </cfRule>
    <cfRule type="containsBlanks" dxfId="18623" priority="13757">
      <formula>LEN(TRIM(J99))=0</formula>
    </cfRule>
    <cfRule type="containsBlanks" dxfId="18622" priority="13758">
      <formula>LEN(TRIM(J99))=0</formula>
    </cfRule>
    <cfRule type="containsBlanks" dxfId="18621" priority="13759">
      <formula>LEN(TRIM(J99))=0</formula>
    </cfRule>
    <cfRule type="containsBlanks" dxfId="18620" priority="13760">
      <formula>LEN(TRIM(J99))=0</formula>
    </cfRule>
    <cfRule type="containsBlanks" dxfId="18619" priority="13761">
      <formula>LEN(TRIM(J99))=0</formula>
    </cfRule>
    <cfRule type="containsBlanks" dxfId="18618" priority="13762">
      <formula>LEN(TRIM(J99))=0</formula>
    </cfRule>
    <cfRule type="containsBlanks" dxfId="18617" priority="13763">
      <formula>LEN(TRIM(J99))=0</formula>
    </cfRule>
    <cfRule type="containsBlanks" dxfId="18616" priority="13764">
      <formula>LEN(TRIM(J99))=0</formula>
    </cfRule>
    <cfRule type="containsBlanks" dxfId="18615" priority="13765">
      <formula>LEN(TRIM(J99))=0</formula>
    </cfRule>
    <cfRule type="containsBlanks" dxfId="18614" priority="13766">
      <formula>LEN(TRIM(J99))=0</formula>
    </cfRule>
    <cfRule type="containsBlanks" dxfId="18613" priority="13767">
      <formula>LEN(TRIM(J99))=0</formula>
    </cfRule>
    <cfRule type="containsBlanks" dxfId="18612" priority="13768">
      <formula>LEN(TRIM(J99))=0</formula>
    </cfRule>
    <cfRule type="containsBlanks" dxfId="18611" priority="13769">
      <formula>LEN(TRIM(J99))=0</formula>
    </cfRule>
    <cfRule type="containsBlanks" dxfId="18610" priority="13770">
      <formula>LEN(TRIM(J99))=0</formula>
    </cfRule>
    <cfRule type="containsBlanks" dxfId="18609" priority="13771">
      <formula>LEN(TRIM(J99))=0</formula>
    </cfRule>
    <cfRule type="containsBlanks" dxfId="18608" priority="13772">
      <formula>LEN(TRIM(J99))=0</formula>
    </cfRule>
    <cfRule type="containsBlanks" dxfId="18607" priority="13773">
      <formula>LEN(TRIM(J99))=0</formula>
    </cfRule>
    <cfRule type="containsBlanks" dxfId="18606" priority="13774">
      <formula>LEN(TRIM(J99))=0</formula>
    </cfRule>
    <cfRule type="containsBlanks" dxfId="18605" priority="13775">
      <formula>LEN(TRIM(J99))=0</formula>
    </cfRule>
    <cfRule type="containsBlanks" dxfId="18604" priority="13776">
      <formula>LEN(TRIM(J99))=0</formula>
    </cfRule>
    <cfRule type="containsBlanks" dxfId="18603" priority="13777">
      <formula>LEN(TRIM(J99))=0</formula>
    </cfRule>
    <cfRule type="containsBlanks" dxfId="18602" priority="13778">
      <formula>LEN(TRIM(J99))=0</formula>
    </cfRule>
    <cfRule type="containsBlanks" dxfId="18601" priority="13779">
      <formula>LEN(TRIM(J99))=0</formula>
    </cfRule>
    <cfRule type="containsBlanks" dxfId="18600" priority="13780">
      <formula>LEN(TRIM(J99))=0</formula>
    </cfRule>
    <cfRule type="containsBlanks" dxfId="18599" priority="13781">
      <formula>LEN(TRIM(J99))=0</formula>
    </cfRule>
    <cfRule type="containsBlanks" dxfId="18598" priority="13782">
      <formula>LEN(TRIM(J99))=0</formula>
    </cfRule>
    <cfRule type="containsBlanks" dxfId="18597" priority="13783">
      <formula>LEN(TRIM(J99))=0</formula>
    </cfRule>
    <cfRule type="containsBlanks" dxfId="18596" priority="13784">
      <formula>LEN(TRIM(J99))=0</formula>
    </cfRule>
    <cfRule type="containsBlanks" dxfId="18595" priority="13785">
      <formula>LEN(TRIM(J99))=0</formula>
    </cfRule>
    <cfRule type="containsBlanks" dxfId="18594" priority="13786">
      <formula>LEN(TRIM(J99))=0</formula>
    </cfRule>
    <cfRule type="containsBlanks" dxfId="18593" priority="13787">
      <formula>LEN(TRIM(J99))=0</formula>
    </cfRule>
    <cfRule type="containsBlanks" dxfId="18592" priority="13788">
      <formula>LEN(TRIM(J99))=0</formula>
    </cfRule>
    <cfRule type="containsBlanks" dxfId="18591" priority="13789">
      <formula>LEN(TRIM(J99))=0</formula>
    </cfRule>
    <cfRule type="containsBlanks" dxfId="18590" priority="13790">
      <formula>LEN(TRIM(J99))=0</formula>
    </cfRule>
    <cfRule type="containsBlanks" dxfId="18589" priority="13791">
      <formula>LEN(TRIM(J99))=0</formula>
    </cfRule>
    <cfRule type="containsBlanks" dxfId="18588" priority="13792">
      <formula>LEN(TRIM(J99))=0</formula>
    </cfRule>
    <cfRule type="containsBlanks" dxfId="18587" priority="13793">
      <formula>LEN(TRIM(J99))=0</formula>
    </cfRule>
    <cfRule type="containsBlanks" dxfId="18586" priority="13794">
      <formula>LEN(TRIM(J99))=0</formula>
    </cfRule>
    <cfRule type="containsBlanks" dxfId="18585" priority="13795">
      <formula>LEN(TRIM(J99))=0</formula>
    </cfRule>
    <cfRule type="containsBlanks" dxfId="18584" priority="13796">
      <formula>LEN(TRIM(J99))=0</formula>
    </cfRule>
    <cfRule type="containsBlanks" dxfId="18583" priority="13797">
      <formula>LEN(TRIM(J99))=0</formula>
    </cfRule>
    <cfRule type="containsBlanks" dxfId="18582" priority="13798">
      <formula>LEN(TRIM(J99))=0</formula>
    </cfRule>
    <cfRule type="containsBlanks" dxfId="18581" priority="13799">
      <formula>LEN(TRIM(J99))=0</formula>
    </cfRule>
    <cfRule type="containsBlanks" dxfId="18580" priority="13800">
      <formula>LEN(TRIM(J99))=0</formula>
    </cfRule>
    <cfRule type="containsBlanks" dxfId="18579" priority="13801">
      <formula>LEN(TRIM(J99))=0</formula>
    </cfRule>
    <cfRule type="containsBlanks" dxfId="18578" priority="13802">
      <formula>LEN(TRIM(J99))=0</formula>
    </cfRule>
    <cfRule type="containsBlanks" dxfId="18577" priority="13803">
      <formula>LEN(TRIM(J99))=0</formula>
    </cfRule>
    <cfRule type="containsBlanks" dxfId="18576" priority="13804">
      <formula>LEN(TRIM(J99))=0</formula>
    </cfRule>
    <cfRule type="containsBlanks" dxfId="18575" priority="13805">
      <formula>LEN(TRIM(J99))=0</formula>
    </cfRule>
    <cfRule type="containsBlanks" dxfId="18574" priority="13806">
      <formula>LEN(TRIM(J99))=0</formula>
    </cfRule>
    <cfRule type="containsBlanks" dxfId="18573" priority="13807">
      <formula>LEN(TRIM(J99))=0</formula>
    </cfRule>
    <cfRule type="containsBlanks" dxfId="18572" priority="13808">
      <formula>LEN(TRIM(J99))=0</formula>
    </cfRule>
    <cfRule type="containsBlanks" dxfId="18571" priority="13809">
      <formula>LEN(TRIM(J99))=0</formula>
    </cfRule>
    <cfRule type="containsBlanks" dxfId="18570" priority="13810">
      <formula>LEN(TRIM(J99))=0</formula>
    </cfRule>
    <cfRule type="containsBlanks" dxfId="18569" priority="13811">
      <formula>LEN(TRIM(J99))=0</formula>
    </cfRule>
    <cfRule type="containsBlanks" dxfId="18568" priority="13812">
      <formula>LEN(TRIM(J99))=0</formula>
    </cfRule>
    <cfRule type="containsBlanks" dxfId="18567" priority="13813">
      <formula>LEN(TRIM(J99))=0</formula>
    </cfRule>
    <cfRule type="containsBlanks" dxfId="18566" priority="13814">
      <formula>LEN(TRIM(J99))=0</formula>
    </cfRule>
    <cfRule type="containsBlanks" dxfId="18565" priority="13815">
      <formula>LEN(TRIM(J99))=0</formula>
    </cfRule>
    <cfRule type="containsBlanks" dxfId="18564" priority="13816">
      <formula>LEN(TRIM(J99))=0</formula>
    </cfRule>
    <cfRule type="containsBlanks" dxfId="18563" priority="13817">
      <formula>LEN(TRIM(J99))=0</formula>
    </cfRule>
    <cfRule type="containsBlanks" dxfId="18562" priority="13818">
      <formula>LEN(TRIM(J99))=0</formula>
    </cfRule>
    <cfRule type="containsBlanks" dxfId="18561" priority="13819">
      <formula>LEN(TRIM(J99))=0</formula>
    </cfRule>
    <cfRule type="containsBlanks" dxfId="18560" priority="13820">
      <formula>LEN(TRIM(J99))=0</formula>
    </cfRule>
    <cfRule type="containsBlanks" dxfId="18559" priority="13821">
      <formula>LEN(TRIM(J99))=0</formula>
    </cfRule>
    <cfRule type="containsBlanks" dxfId="18558" priority="13822">
      <formula>LEN(TRIM(J99))=0</formula>
    </cfRule>
    <cfRule type="containsBlanks" dxfId="18557" priority="13823">
      <formula>LEN(TRIM(J99))=0</formula>
    </cfRule>
    <cfRule type="containsBlanks" dxfId="18556" priority="13824">
      <formula>LEN(TRIM(J99))=0</formula>
    </cfRule>
    <cfRule type="containsBlanks" dxfId="18555" priority="13825">
      <formula>LEN(TRIM(J99))=0</formula>
    </cfRule>
    <cfRule type="containsBlanks" dxfId="18554" priority="13826">
      <formula>LEN(TRIM(J99))=0</formula>
    </cfRule>
    <cfRule type="containsBlanks" dxfId="18553" priority="13827">
      <formula>LEN(TRIM(J99))=0</formula>
    </cfRule>
    <cfRule type="containsBlanks" dxfId="18552" priority="13828">
      <formula>LEN(TRIM(J99))=0</formula>
    </cfRule>
    <cfRule type="containsBlanks" dxfId="18551" priority="13829">
      <formula>LEN(TRIM(J99))=0</formula>
    </cfRule>
    <cfRule type="containsBlanks" dxfId="18550" priority="13830">
      <formula>LEN(TRIM(J99))=0</formula>
    </cfRule>
    <cfRule type="containsBlanks" dxfId="18549" priority="13831">
      <formula>LEN(TRIM(J99))=0</formula>
    </cfRule>
    <cfRule type="containsBlanks" dxfId="18548" priority="13832">
      <formula>LEN(TRIM(J99))=0</formula>
    </cfRule>
    <cfRule type="containsBlanks" dxfId="18547" priority="13833">
      <formula>LEN(TRIM(J99))=0</formula>
    </cfRule>
    <cfRule type="containsBlanks" dxfId="18546" priority="13834">
      <formula>LEN(TRIM(J99))=0</formula>
    </cfRule>
    <cfRule type="containsBlanks" dxfId="18545" priority="13835">
      <formula>LEN(TRIM(J99))=0</formula>
    </cfRule>
    <cfRule type="containsBlanks" dxfId="18544" priority="13836">
      <formula>LEN(TRIM(J99))=0</formula>
    </cfRule>
    <cfRule type="containsBlanks" dxfId="18543" priority="13837">
      <formula>LEN(TRIM(J99))=0</formula>
    </cfRule>
    <cfRule type="containsBlanks" dxfId="18542" priority="13838">
      <formula>LEN(TRIM(J99))=0</formula>
    </cfRule>
    <cfRule type="containsBlanks" dxfId="18541" priority="13839">
      <formula>LEN(TRIM(J99))=0</formula>
    </cfRule>
    <cfRule type="containsBlanks" dxfId="18540" priority="13840">
      <formula>LEN(TRIM(J99))=0</formula>
    </cfRule>
    <cfRule type="containsBlanks" dxfId="18539" priority="13841">
      <formula>LEN(TRIM(J99))=0</formula>
    </cfRule>
    <cfRule type="containsBlanks" dxfId="18538" priority="13842">
      <formula>LEN(TRIM(J99))=0</formula>
    </cfRule>
    <cfRule type="containsBlanks" dxfId="18537" priority="13843">
      <formula>LEN(TRIM(J99))=0</formula>
    </cfRule>
    <cfRule type="containsBlanks" dxfId="18536" priority="13844">
      <formula>LEN(TRIM(J99))=0</formula>
    </cfRule>
    <cfRule type="containsBlanks" dxfId="18535" priority="13845">
      <formula>LEN(TRIM(J99))=0</formula>
    </cfRule>
    <cfRule type="containsBlanks" dxfId="18534" priority="14952">
      <formula>LEN(TRIM(J99))=0</formula>
    </cfRule>
    <cfRule type="containsBlanks" dxfId="18533" priority="14953">
      <formula>LEN(TRIM(J99))=0</formula>
    </cfRule>
    <cfRule type="containsBlanks" dxfId="18532" priority="14954">
      <formula>LEN(TRIM(J99))=0</formula>
    </cfRule>
    <cfRule type="containsBlanks" dxfId="18531" priority="14955">
      <formula>LEN(TRIM(J99))=0</formula>
    </cfRule>
    <cfRule type="containsBlanks" dxfId="18530" priority="14956">
      <formula>LEN(TRIM(J99))=0</formula>
    </cfRule>
    <cfRule type="containsBlanks" dxfId="18529" priority="14957">
      <formula>LEN(TRIM(J99))=0</formula>
    </cfRule>
    <cfRule type="containsBlanks" dxfId="18528" priority="14958">
      <formula>LEN(TRIM(J99))=0</formula>
    </cfRule>
    <cfRule type="containsBlanks" dxfId="18527" priority="14959">
      <formula>LEN(TRIM(J99))=0</formula>
    </cfRule>
    <cfRule type="containsBlanks" dxfId="18526" priority="14960">
      <formula>LEN(TRIM(J99))=0</formula>
    </cfRule>
    <cfRule type="containsBlanks" dxfId="18525" priority="14961">
      <formula>LEN(TRIM(J99))=0</formula>
    </cfRule>
    <cfRule type="containsBlanks" dxfId="18524" priority="14962">
      <formula>LEN(TRIM(J99))=0</formula>
    </cfRule>
    <cfRule type="containsBlanks" dxfId="18523" priority="14963">
      <formula>LEN(TRIM(J99))=0</formula>
    </cfRule>
    <cfRule type="containsBlanks" dxfId="18522" priority="14964">
      <formula>LEN(TRIM(J99))=0</formula>
    </cfRule>
    <cfRule type="containsBlanks" dxfId="18521" priority="14965">
      <formula>LEN(TRIM(J99))=0</formula>
    </cfRule>
    <cfRule type="containsBlanks" dxfId="18520" priority="14966">
      <formula>LEN(TRIM(J99))=0</formula>
    </cfRule>
    <cfRule type="containsBlanks" dxfId="18519" priority="14967">
      <formula>LEN(TRIM(J99))=0</formula>
    </cfRule>
    <cfRule type="containsBlanks" dxfId="18518" priority="14968">
      <formula>LEN(TRIM(J99))=0</formula>
    </cfRule>
    <cfRule type="containsBlanks" dxfId="18517" priority="14969">
      <formula>LEN(TRIM(J99))=0</formula>
    </cfRule>
    <cfRule type="containsBlanks" dxfId="18516" priority="14970">
      <formula>LEN(TRIM(J99))=0</formula>
    </cfRule>
    <cfRule type="containsBlanks" dxfId="18515" priority="14971">
      <formula>LEN(TRIM(J99))=0</formula>
    </cfRule>
    <cfRule type="containsBlanks" dxfId="18514" priority="14972">
      <formula>LEN(TRIM(J99))=0</formula>
    </cfRule>
    <cfRule type="containsBlanks" dxfId="18513" priority="14973">
      <formula>LEN(TRIM(J99))=0</formula>
    </cfRule>
    <cfRule type="containsBlanks" dxfId="18512" priority="14974">
      <formula>LEN(TRIM(J99))=0</formula>
    </cfRule>
    <cfRule type="containsBlanks" dxfId="18511" priority="14975">
      <formula>LEN(TRIM(J99))=0</formula>
    </cfRule>
    <cfRule type="containsBlanks" dxfId="18510" priority="14976">
      <formula>LEN(TRIM(J99))=0</formula>
    </cfRule>
    <cfRule type="containsBlanks" dxfId="18509" priority="14977">
      <formula>LEN(TRIM(J99))=0</formula>
    </cfRule>
    <cfRule type="containsBlanks" dxfId="18508" priority="14978">
      <formula>LEN(TRIM(J99))=0</formula>
    </cfRule>
    <cfRule type="containsBlanks" dxfId="18507" priority="14979">
      <formula>LEN(TRIM(J99))=0</formula>
    </cfRule>
    <cfRule type="containsBlanks" dxfId="18506" priority="14980">
      <formula>LEN(TRIM(J99))=0</formula>
    </cfRule>
    <cfRule type="containsBlanks" dxfId="18505" priority="14981">
      <formula>LEN(TRIM(J99))=0</formula>
    </cfRule>
    <cfRule type="containsBlanks" dxfId="18504" priority="14982">
      <formula>LEN(TRIM(J99))=0</formula>
    </cfRule>
    <cfRule type="containsBlanks" dxfId="18503" priority="14983">
      <formula>LEN(TRIM(J99))=0</formula>
    </cfRule>
    <cfRule type="containsBlanks" dxfId="18502" priority="14984">
      <formula>LEN(TRIM(J99))=0</formula>
    </cfRule>
    <cfRule type="containsBlanks" dxfId="18501" priority="14985">
      <formula>LEN(TRIM(J99))=0</formula>
    </cfRule>
    <cfRule type="containsBlanks" dxfId="18500" priority="14986">
      <formula>LEN(TRIM(J99))=0</formula>
    </cfRule>
    <cfRule type="containsBlanks" dxfId="18499" priority="14987">
      <formula>LEN(TRIM(J99))=0</formula>
    </cfRule>
    <cfRule type="containsBlanks" dxfId="18498" priority="14988">
      <formula>LEN(TRIM(J99))=0</formula>
    </cfRule>
    <cfRule type="containsBlanks" dxfId="18497" priority="14989">
      <formula>LEN(TRIM(J99))=0</formula>
    </cfRule>
    <cfRule type="containsBlanks" dxfId="18496" priority="14990">
      <formula>LEN(TRIM(J99))=0</formula>
    </cfRule>
    <cfRule type="containsBlanks" dxfId="18495" priority="14991">
      <formula>LEN(TRIM(J99))=0</formula>
    </cfRule>
    <cfRule type="containsBlanks" dxfId="18494" priority="14992">
      <formula>LEN(TRIM(J99))=0</formula>
    </cfRule>
    <cfRule type="containsBlanks" dxfId="18493" priority="14993">
      <formula>LEN(TRIM(J99))=0</formula>
    </cfRule>
    <cfRule type="containsBlanks" dxfId="18492" priority="14994">
      <formula>LEN(TRIM(J99))=0</formula>
    </cfRule>
    <cfRule type="containsBlanks" dxfId="18491" priority="14995">
      <formula>LEN(TRIM(J99))=0</formula>
    </cfRule>
    <cfRule type="containsBlanks" dxfId="18490" priority="14996">
      <formula>LEN(TRIM(J99))=0</formula>
    </cfRule>
    <cfRule type="containsBlanks" dxfId="18489" priority="14997">
      <formula>LEN(TRIM(J99))=0</formula>
    </cfRule>
    <cfRule type="containsBlanks" dxfId="18488" priority="14998">
      <formula>LEN(TRIM(J99))=0</formula>
    </cfRule>
    <cfRule type="containsBlanks" dxfId="18487" priority="14999">
      <formula>LEN(TRIM(J99))=0</formula>
    </cfRule>
    <cfRule type="containsBlanks" dxfId="18486" priority="15000">
      <formula>LEN(TRIM(J99))=0</formula>
    </cfRule>
    <cfRule type="containsBlanks" dxfId="18485" priority="15001">
      <formula>LEN(TRIM(J99))=0</formula>
    </cfRule>
    <cfRule type="containsBlanks" dxfId="18484" priority="15002">
      <formula>LEN(TRIM(J99))=0</formula>
    </cfRule>
    <cfRule type="containsBlanks" dxfId="18483" priority="15003">
      <formula>LEN(TRIM(J99))=0</formula>
    </cfRule>
  </conditionalFormatting>
  <conditionalFormatting sqref="J99:J158">
    <cfRule type="containsBlanks" dxfId="18482" priority="16324">
      <formula>LEN(TRIM(J99))=0</formula>
    </cfRule>
    <cfRule type="containsBlanks" dxfId="18481" priority="16325">
      <formula>LEN(TRIM(J99))=0</formula>
    </cfRule>
    <cfRule type="containsBlanks" dxfId="18480" priority="16326">
      <formula>LEN(TRIM(J99))=0</formula>
    </cfRule>
    <cfRule type="containsBlanks" dxfId="18479" priority="16327">
      <formula>LEN(TRIM(J99))=0</formula>
    </cfRule>
    <cfRule type="containsBlanks" dxfId="18478" priority="16328">
      <formula>LEN(TRIM(J99))=0</formula>
    </cfRule>
    <cfRule type="containsBlanks" dxfId="18477" priority="16329">
      <formula>LEN(TRIM(J99))=0</formula>
    </cfRule>
    <cfRule type="containsBlanks" dxfId="18476" priority="16330">
      <formula>LEN(TRIM(J99))=0</formula>
    </cfRule>
    <cfRule type="containsBlanks" dxfId="18475" priority="16331">
      <formula>LEN(TRIM(J99))=0</formula>
    </cfRule>
    <cfRule type="containsBlanks" dxfId="18474" priority="16332">
      <formula>LEN(TRIM(J99))=0</formula>
    </cfRule>
    <cfRule type="containsBlanks" dxfId="18473" priority="16333">
      <formula>LEN(TRIM(J99))=0</formula>
    </cfRule>
    <cfRule type="containsBlanks" dxfId="18472" priority="16334">
      <formula>LEN(TRIM(J99))=0</formula>
    </cfRule>
    <cfRule type="containsBlanks" dxfId="18471" priority="16335">
      <formula>LEN(TRIM(J99))=0</formula>
    </cfRule>
    <cfRule type="containsBlanks" dxfId="18470" priority="16336">
      <formula>LEN(TRIM(J99))=0</formula>
    </cfRule>
    <cfRule type="containsBlanks" dxfId="18469" priority="16337">
      <formula>LEN(TRIM(J99))=0</formula>
    </cfRule>
    <cfRule type="containsBlanks" dxfId="18468" priority="16338">
      <formula>LEN(TRIM(J99))=0</formula>
    </cfRule>
    <cfRule type="containsBlanks" dxfId="18467" priority="16339">
      <formula>LEN(TRIM(J99))=0</formula>
    </cfRule>
    <cfRule type="containsBlanks" dxfId="18466" priority="16340">
      <formula>LEN(TRIM(J99))=0</formula>
    </cfRule>
    <cfRule type="containsBlanks" dxfId="18465" priority="16341">
      <formula>LEN(TRIM(J99))=0</formula>
    </cfRule>
    <cfRule type="containsBlanks" dxfId="18464" priority="16342">
      <formula>LEN(TRIM(J99))=0</formula>
    </cfRule>
    <cfRule type="containsBlanks" dxfId="18463" priority="16343">
      <formula>LEN(TRIM(J99))=0</formula>
    </cfRule>
    <cfRule type="containsBlanks" dxfId="18462" priority="16344">
      <formula>LEN(TRIM(J99))=0</formula>
    </cfRule>
    <cfRule type="containsBlanks" dxfId="18461" priority="16345">
      <formula>LEN(TRIM(J99))=0</formula>
    </cfRule>
    <cfRule type="containsBlanks" dxfId="18460" priority="16346">
      <formula>LEN(TRIM(J99))=0</formula>
    </cfRule>
    <cfRule type="containsBlanks" dxfId="18459" priority="16347">
      <formula>LEN(TRIM(J99))=0</formula>
    </cfRule>
    <cfRule type="containsBlanks" dxfId="18458" priority="16348">
      <formula>LEN(TRIM(J99))=0</formula>
    </cfRule>
    <cfRule type="containsBlanks" dxfId="18457" priority="16349">
      <formula>LEN(TRIM(J99))=0</formula>
    </cfRule>
    <cfRule type="containsBlanks" dxfId="18456" priority="16350">
      <formula>LEN(TRIM(J99))=0</formula>
    </cfRule>
    <cfRule type="containsBlanks" dxfId="18455" priority="16351">
      <formula>LEN(TRIM(J99))=0</formula>
    </cfRule>
    <cfRule type="containsBlanks" dxfId="18454" priority="16352">
      <formula>LEN(TRIM(J99))=0</formula>
    </cfRule>
    <cfRule type="containsBlanks" dxfId="18453" priority="16353">
      <formula>LEN(TRIM(J99))=0</formula>
    </cfRule>
    <cfRule type="containsBlanks" dxfId="18452" priority="16354">
      <formula>LEN(TRIM(J99))=0</formula>
    </cfRule>
    <cfRule type="containsBlanks" dxfId="18451" priority="16355">
      <formula>LEN(TRIM(J99))=0</formula>
    </cfRule>
    <cfRule type="containsBlanks" dxfId="18450" priority="16356">
      <formula>LEN(TRIM(J99))=0</formula>
    </cfRule>
    <cfRule type="containsBlanks" dxfId="18449" priority="16357">
      <formula>LEN(TRIM(J99))=0</formula>
    </cfRule>
    <cfRule type="containsBlanks" dxfId="18448" priority="16358">
      <formula>LEN(TRIM(J99))=0</formula>
    </cfRule>
    <cfRule type="containsBlanks" dxfId="18447" priority="16359">
      <formula>LEN(TRIM(J99))=0</formula>
    </cfRule>
    <cfRule type="containsBlanks" dxfId="18446" priority="16360">
      <formula>LEN(TRIM(J99))=0</formula>
    </cfRule>
    <cfRule type="containsBlanks" dxfId="18445" priority="16361">
      <formula>LEN(TRIM(J99))=0</formula>
    </cfRule>
    <cfRule type="containsBlanks" dxfId="18444" priority="16362">
      <formula>LEN(TRIM(J99))=0</formula>
    </cfRule>
    <cfRule type="containsBlanks" dxfId="18443" priority="16363">
      <formula>LEN(TRIM(J99))=0</formula>
    </cfRule>
    <cfRule type="containsBlanks" dxfId="18442" priority="16364">
      <formula>LEN(TRIM(J99))=0</formula>
    </cfRule>
    <cfRule type="containsBlanks" dxfId="18441" priority="16365">
      <formula>LEN(TRIM(J99))=0</formula>
    </cfRule>
    <cfRule type="containsBlanks" dxfId="18440" priority="16366">
      <formula>LEN(TRIM(J99))=0</formula>
    </cfRule>
    <cfRule type="containsBlanks" dxfId="18439" priority="16367">
      <formula>LEN(TRIM(J99))=0</formula>
    </cfRule>
    <cfRule type="containsBlanks" dxfId="18438" priority="16368">
      <formula>LEN(TRIM(J99))=0</formula>
    </cfRule>
    <cfRule type="containsBlanks" dxfId="18437" priority="16369">
      <formula>LEN(TRIM(J99))=0</formula>
    </cfRule>
    <cfRule type="containsBlanks" dxfId="18436" priority="16370">
      <formula>LEN(TRIM(J99))=0</formula>
    </cfRule>
    <cfRule type="containsBlanks" dxfId="18435" priority="16371">
      <formula>LEN(TRIM(J99))=0</formula>
    </cfRule>
    <cfRule type="containsBlanks" dxfId="18434" priority="16372">
      <formula>LEN(TRIM(J99))=0</formula>
    </cfRule>
    <cfRule type="containsBlanks" dxfId="18433" priority="16373">
      <formula>LEN(TRIM(J99))=0</formula>
    </cfRule>
    <cfRule type="containsBlanks" dxfId="18432" priority="16374">
      <formula>LEN(TRIM(J99))=0</formula>
    </cfRule>
  </conditionalFormatting>
  <conditionalFormatting sqref="J99:K158">
    <cfRule type="containsBlanks" dxfId="18431" priority="16270">
      <formula>LEN(TRIM(J99))=0</formula>
    </cfRule>
  </conditionalFormatting>
  <conditionalFormatting sqref="K99:K156">
    <cfRule type="containsBlanks" dxfId="18430" priority="14848">
      <formula>LEN(TRIM(K99))=0</formula>
    </cfRule>
    <cfRule type="containsBlanks" dxfId="18429" priority="14849">
      <formula>LEN(TRIM(K99))=0</formula>
    </cfRule>
    <cfRule type="containsBlanks" dxfId="18428" priority="14850">
      <formula>LEN(TRIM(K99))=0</formula>
    </cfRule>
    <cfRule type="containsBlanks" dxfId="18427" priority="14851">
      <formula>LEN(TRIM(K99))=0</formula>
    </cfRule>
    <cfRule type="containsBlanks" dxfId="18426" priority="14852">
      <formula>LEN(TRIM(K99))=0</formula>
    </cfRule>
    <cfRule type="containsBlanks" dxfId="18425" priority="14853">
      <formula>LEN(TRIM(K99))=0</formula>
    </cfRule>
    <cfRule type="containsBlanks" dxfId="18424" priority="14854">
      <formula>LEN(TRIM(K99))=0</formula>
    </cfRule>
    <cfRule type="containsBlanks" dxfId="18423" priority="14855">
      <formula>LEN(TRIM(K99))=0</formula>
    </cfRule>
    <cfRule type="containsBlanks" dxfId="18422" priority="14856">
      <formula>LEN(TRIM(K99))=0</formula>
    </cfRule>
    <cfRule type="containsBlanks" dxfId="18421" priority="14857">
      <formula>LEN(TRIM(K99))=0</formula>
    </cfRule>
    <cfRule type="containsBlanks" dxfId="18420" priority="14858">
      <formula>LEN(TRIM(K99))=0</formula>
    </cfRule>
    <cfRule type="containsBlanks" dxfId="18419" priority="14859">
      <formula>LEN(TRIM(K99))=0</formula>
    </cfRule>
    <cfRule type="containsBlanks" dxfId="18418" priority="14860">
      <formula>LEN(TRIM(K99))=0</formula>
    </cfRule>
    <cfRule type="containsBlanks" dxfId="18417" priority="14861">
      <formula>LEN(TRIM(K99))=0</formula>
    </cfRule>
    <cfRule type="containsBlanks" dxfId="18416" priority="14862">
      <formula>LEN(TRIM(K99))=0</formula>
    </cfRule>
    <cfRule type="containsBlanks" dxfId="18415" priority="14863">
      <formula>LEN(TRIM(K99))=0</formula>
    </cfRule>
    <cfRule type="containsBlanks" dxfId="18414" priority="14864">
      <formula>LEN(TRIM(K99))=0</formula>
    </cfRule>
    <cfRule type="containsBlanks" dxfId="18413" priority="14865">
      <formula>LEN(TRIM(K99))=0</formula>
    </cfRule>
    <cfRule type="containsBlanks" dxfId="18412" priority="14866">
      <formula>LEN(TRIM(K99))=0</formula>
    </cfRule>
    <cfRule type="containsBlanks" dxfId="18411" priority="14867">
      <formula>LEN(TRIM(K99))=0</formula>
    </cfRule>
    <cfRule type="containsBlanks" dxfId="18410" priority="14868">
      <formula>LEN(TRIM(K99))=0</formula>
    </cfRule>
    <cfRule type="containsBlanks" dxfId="18409" priority="14869">
      <formula>LEN(TRIM(K99))=0</formula>
    </cfRule>
    <cfRule type="containsBlanks" dxfId="18408" priority="14870">
      <formula>LEN(TRIM(K99))=0</formula>
    </cfRule>
    <cfRule type="containsBlanks" dxfId="18407" priority="14871">
      <formula>LEN(TRIM(K99))=0</formula>
    </cfRule>
    <cfRule type="containsBlanks" dxfId="18406" priority="14872">
      <formula>LEN(TRIM(K99))=0</formula>
    </cfRule>
    <cfRule type="containsBlanks" dxfId="18405" priority="14873">
      <formula>LEN(TRIM(K99))=0</formula>
    </cfRule>
    <cfRule type="containsBlanks" dxfId="18404" priority="14874">
      <formula>LEN(TRIM(K99))=0</formula>
    </cfRule>
    <cfRule type="containsBlanks" dxfId="18403" priority="14875">
      <formula>LEN(TRIM(K99))=0</formula>
    </cfRule>
    <cfRule type="containsBlanks" dxfId="18402" priority="14876">
      <formula>LEN(TRIM(K99))=0</formula>
    </cfRule>
    <cfRule type="containsBlanks" dxfId="18401" priority="14877">
      <formula>LEN(TRIM(K99))=0</formula>
    </cfRule>
    <cfRule type="containsBlanks" dxfId="18400" priority="14878">
      <formula>LEN(TRIM(K99))=0</formula>
    </cfRule>
    <cfRule type="containsBlanks" dxfId="18399" priority="14879">
      <formula>LEN(TRIM(K99))=0</formula>
    </cfRule>
    <cfRule type="containsBlanks" dxfId="18398" priority="14880">
      <formula>LEN(TRIM(K99))=0</formula>
    </cfRule>
    <cfRule type="containsBlanks" dxfId="18397" priority="14881">
      <formula>LEN(TRIM(K99))=0</formula>
    </cfRule>
    <cfRule type="containsBlanks" dxfId="18396" priority="14882">
      <formula>LEN(TRIM(K99))=0</formula>
    </cfRule>
    <cfRule type="containsBlanks" dxfId="18395" priority="14883">
      <formula>LEN(TRIM(K99))=0</formula>
    </cfRule>
    <cfRule type="containsBlanks" dxfId="18394" priority="14884">
      <formula>LEN(TRIM(K99))=0</formula>
    </cfRule>
    <cfRule type="containsBlanks" dxfId="18393" priority="14885">
      <formula>LEN(TRIM(K99))=0</formula>
    </cfRule>
    <cfRule type="containsBlanks" dxfId="18392" priority="14886">
      <formula>LEN(TRIM(K99))=0</formula>
    </cfRule>
    <cfRule type="containsBlanks" dxfId="18391" priority="14887">
      <formula>LEN(TRIM(K99))=0</formula>
    </cfRule>
    <cfRule type="containsBlanks" dxfId="18390" priority="14888">
      <formula>LEN(TRIM(K99))=0</formula>
    </cfRule>
    <cfRule type="containsBlanks" dxfId="18389" priority="14889">
      <formula>LEN(TRIM(K99))=0</formula>
    </cfRule>
    <cfRule type="containsBlanks" dxfId="18388" priority="14890">
      <formula>LEN(TRIM(K99))=0</formula>
    </cfRule>
    <cfRule type="containsBlanks" dxfId="18387" priority="14891">
      <formula>LEN(TRIM(K99))=0</formula>
    </cfRule>
    <cfRule type="containsBlanks" dxfId="18386" priority="14892">
      <formula>LEN(TRIM(K99))=0</formula>
    </cfRule>
    <cfRule type="containsBlanks" dxfId="18385" priority="14893">
      <formula>LEN(TRIM(K99))=0</formula>
    </cfRule>
    <cfRule type="containsBlanks" dxfId="18384" priority="14894">
      <formula>LEN(TRIM(K99))=0</formula>
    </cfRule>
    <cfRule type="containsBlanks" dxfId="18383" priority="14895">
      <formula>LEN(TRIM(K99))=0</formula>
    </cfRule>
    <cfRule type="containsBlanks" dxfId="18382" priority="14896">
      <formula>LEN(TRIM(K99))=0</formula>
    </cfRule>
    <cfRule type="containsBlanks" dxfId="18381" priority="14897">
      <formula>LEN(TRIM(K99))=0</formula>
    </cfRule>
    <cfRule type="containsBlanks" dxfId="18380" priority="14898">
      <formula>LEN(TRIM(K99))=0</formula>
    </cfRule>
    <cfRule type="containsBlanks" dxfId="18379" priority="14899">
      <formula>LEN(TRIM(K99))=0</formula>
    </cfRule>
    <cfRule type="containsBlanks" dxfId="18378" priority="14900">
      <formula>LEN(TRIM(K99))=0</formula>
    </cfRule>
    <cfRule type="containsBlanks" dxfId="18377" priority="14901">
      <formula>LEN(TRIM(K99))=0</formula>
    </cfRule>
    <cfRule type="containsBlanks" dxfId="18376" priority="14902">
      <formula>LEN(TRIM(K99))=0</formula>
    </cfRule>
    <cfRule type="containsBlanks" dxfId="18375" priority="14903">
      <formula>LEN(TRIM(K99))=0</formula>
    </cfRule>
    <cfRule type="containsBlanks" dxfId="18374" priority="14904">
      <formula>LEN(TRIM(K99))=0</formula>
    </cfRule>
    <cfRule type="containsBlanks" dxfId="18373" priority="14905">
      <formula>LEN(TRIM(K99))=0</formula>
    </cfRule>
    <cfRule type="containsBlanks" dxfId="18372" priority="14906">
      <formula>LEN(TRIM(K99))=0</formula>
    </cfRule>
    <cfRule type="containsBlanks" dxfId="18371" priority="14907">
      <formula>LEN(TRIM(K99))=0</formula>
    </cfRule>
    <cfRule type="containsBlanks" dxfId="18370" priority="14908">
      <formula>LEN(TRIM(K99))=0</formula>
    </cfRule>
    <cfRule type="containsBlanks" dxfId="18369" priority="14909">
      <formula>LEN(TRIM(K99))=0</formula>
    </cfRule>
    <cfRule type="containsBlanks" dxfId="18368" priority="14910">
      <formula>LEN(TRIM(K99))=0</formula>
    </cfRule>
    <cfRule type="containsBlanks" dxfId="18367" priority="14911">
      <formula>LEN(TRIM(K99))=0</formula>
    </cfRule>
    <cfRule type="containsBlanks" dxfId="18366" priority="14912">
      <formula>LEN(TRIM(K99))=0</formula>
    </cfRule>
    <cfRule type="containsBlanks" dxfId="18365" priority="14913">
      <formula>LEN(TRIM(K99))=0</formula>
    </cfRule>
    <cfRule type="containsBlanks" dxfId="18364" priority="14914">
      <formula>LEN(TRIM(K99))=0</formula>
    </cfRule>
    <cfRule type="containsBlanks" dxfId="18363" priority="14915">
      <formula>LEN(TRIM(K99))=0</formula>
    </cfRule>
    <cfRule type="containsBlanks" dxfId="18362" priority="14916">
      <formula>LEN(TRIM(K99))=0</formula>
    </cfRule>
    <cfRule type="containsBlanks" dxfId="18361" priority="14917">
      <formula>LEN(TRIM(K99))=0</formula>
    </cfRule>
    <cfRule type="containsBlanks" dxfId="18360" priority="14918">
      <formula>LEN(TRIM(K99))=0</formula>
    </cfRule>
    <cfRule type="containsBlanks" dxfId="18359" priority="14919">
      <formula>LEN(TRIM(K99))=0</formula>
    </cfRule>
    <cfRule type="containsBlanks" dxfId="18358" priority="14920">
      <formula>LEN(TRIM(K99))=0</formula>
    </cfRule>
    <cfRule type="containsBlanks" dxfId="18357" priority="14921">
      <formula>LEN(TRIM(K99))=0</formula>
    </cfRule>
    <cfRule type="containsBlanks" dxfId="18356" priority="14922">
      <formula>LEN(TRIM(K99))=0</formula>
    </cfRule>
    <cfRule type="containsBlanks" dxfId="18355" priority="14923">
      <formula>LEN(TRIM(K99))=0</formula>
    </cfRule>
    <cfRule type="containsBlanks" dxfId="18354" priority="14924">
      <formula>LEN(TRIM(K99))=0</formula>
    </cfRule>
    <cfRule type="containsBlanks" dxfId="18353" priority="14925">
      <formula>LEN(TRIM(K99))=0</formula>
    </cfRule>
    <cfRule type="containsBlanks" dxfId="18352" priority="14926">
      <formula>LEN(TRIM(K99))=0</formula>
    </cfRule>
    <cfRule type="containsBlanks" dxfId="18351" priority="14927">
      <formula>LEN(TRIM(K99))=0</formula>
    </cfRule>
    <cfRule type="containsBlanks" dxfId="18350" priority="14928">
      <formula>LEN(TRIM(K99))=0</formula>
    </cfRule>
    <cfRule type="containsBlanks" dxfId="18349" priority="14929">
      <formula>LEN(TRIM(K99))=0</formula>
    </cfRule>
    <cfRule type="containsBlanks" dxfId="18348" priority="14930">
      <formula>LEN(TRIM(K99))=0</formula>
    </cfRule>
    <cfRule type="containsBlanks" dxfId="18347" priority="14931">
      <formula>LEN(TRIM(K99))=0</formula>
    </cfRule>
    <cfRule type="containsBlanks" dxfId="18346" priority="14932">
      <formula>LEN(TRIM(K99))=0</formula>
    </cfRule>
    <cfRule type="containsBlanks" dxfId="18345" priority="14933">
      <formula>LEN(TRIM(K99))=0</formula>
    </cfRule>
    <cfRule type="containsBlanks" dxfId="18344" priority="14934">
      <formula>LEN(TRIM(K99))=0</formula>
    </cfRule>
    <cfRule type="containsBlanks" dxfId="18343" priority="14935">
      <formula>LEN(TRIM(K99))=0</formula>
    </cfRule>
    <cfRule type="containsBlanks" dxfId="18342" priority="14936">
      <formula>LEN(TRIM(K99))=0</formula>
    </cfRule>
    <cfRule type="containsBlanks" dxfId="18341" priority="14937">
      <formula>LEN(TRIM(K99))=0</formula>
    </cfRule>
    <cfRule type="containsBlanks" dxfId="18340" priority="14938">
      <formula>LEN(TRIM(K99))=0</formula>
    </cfRule>
    <cfRule type="containsBlanks" dxfId="18339" priority="14939">
      <formula>LEN(TRIM(K99))=0</formula>
    </cfRule>
    <cfRule type="containsBlanks" dxfId="18338" priority="14940">
      <formula>LEN(TRIM(K99))=0</formula>
    </cfRule>
    <cfRule type="containsBlanks" dxfId="18337" priority="14941">
      <formula>LEN(TRIM(K99))=0</formula>
    </cfRule>
    <cfRule type="containsBlanks" dxfId="18336" priority="14942">
      <formula>LEN(TRIM(K99))=0</formula>
    </cfRule>
    <cfRule type="containsBlanks" dxfId="18335" priority="14943">
      <formula>LEN(TRIM(K99))=0</formula>
    </cfRule>
    <cfRule type="containsBlanks" dxfId="18334" priority="14944">
      <formula>LEN(TRIM(K99))=0</formula>
    </cfRule>
    <cfRule type="containsBlanks" dxfId="18333" priority="14945">
      <formula>LEN(TRIM(K99))=0</formula>
    </cfRule>
    <cfRule type="containsBlanks" dxfId="18332" priority="14946">
      <formula>LEN(TRIM(K99))=0</formula>
    </cfRule>
    <cfRule type="containsBlanks" dxfId="18331" priority="14947">
      <formula>LEN(TRIM(K99))=0</formula>
    </cfRule>
    <cfRule type="containsBlanks" dxfId="18330" priority="14948">
      <formula>LEN(TRIM(K99))=0</formula>
    </cfRule>
    <cfRule type="containsBlanks" dxfId="18329" priority="14949">
      <formula>LEN(TRIM(K99))=0</formula>
    </cfRule>
    <cfRule type="containsBlanks" dxfId="18328" priority="14950">
      <formula>LEN(TRIM(K99))=0</formula>
    </cfRule>
    <cfRule type="containsBlanks" dxfId="18327" priority="14951">
      <formula>LEN(TRIM(K99))=0</formula>
    </cfRule>
  </conditionalFormatting>
  <conditionalFormatting sqref="K99:K158">
    <cfRule type="containsBlanks" dxfId="18326" priority="13316">
      <formula>LEN(TRIM(K99))=0</formula>
    </cfRule>
    <cfRule type="containsBlanks" dxfId="18325" priority="13317">
      <formula>LEN(TRIM(K99))=0</formula>
    </cfRule>
    <cfRule type="containsBlanks" dxfId="18324" priority="13318">
      <formula>LEN(TRIM(K99))=0</formula>
    </cfRule>
    <cfRule type="containsBlanks" dxfId="18323" priority="13319">
      <formula>LEN(TRIM(K99))=0</formula>
    </cfRule>
    <cfRule type="containsBlanks" dxfId="18322" priority="13320">
      <formula>LEN(TRIM(K99))=0</formula>
    </cfRule>
    <cfRule type="containsBlanks" dxfId="18321" priority="13321">
      <formula>LEN(TRIM(K99))=0</formula>
    </cfRule>
    <cfRule type="containsBlanks" dxfId="18320" priority="13322">
      <formula>LEN(TRIM(K99))=0</formula>
    </cfRule>
    <cfRule type="containsBlanks" dxfId="18319" priority="13323">
      <formula>LEN(TRIM(K99))=0</formula>
    </cfRule>
    <cfRule type="containsBlanks" dxfId="18318" priority="13324">
      <formula>LEN(TRIM(K99))=0</formula>
    </cfRule>
    <cfRule type="containsBlanks" dxfId="18317" priority="13325">
      <formula>LEN(TRIM(K99))=0</formula>
    </cfRule>
    <cfRule type="containsBlanks" dxfId="18316" priority="13326">
      <formula>LEN(TRIM(K99))=0</formula>
    </cfRule>
    <cfRule type="containsBlanks" dxfId="18315" priority="13327">
      <formula>LEN(TRIM(K99))=0</formula>
    </cfRule>
    <cfRule type="containsBlanks" dxfId="18314" priority="13328">
      <formula>LEN(TRIM(K99))=0</formula>
    </cfRule>
    <cfRule type="containsBlanks" dxfId="18313" priority="13329">
      <formula>LEN(TRIM(K99))=0</formula>
    </cfRule>
    <cfRule type="containsBlanks" dxfId="18312" priority="13330">
      <formula>LEN(TRIM(K99))=0</formula>
    </cfRule>
    <cfRule type="containsBlanks" dxfId="18311" priority="13331">
      <formula>LEN(TRIM(K99))=0</formula>
    </cfRule>
    <cfRule type="containsBlanks" dxfId="18310" priority="13332">
      <formula>LEN(TRIM(K99))=0</formula>
    </cfRule>
    <cfRule type="containsBlanks" dxfId="18309" priority="13333">
      <formula>LEN(TRIM(K99))=0</formula>
    </cfRule>
    <cfRule type="containsBlanks" dxfId="18308" priority="13334">
      <formula>LEN(TRIM(K99))=0</formula>
    </cfRule>
    <cfRule type="containsBlanks" dxfId="18307" priority="13335">
      <formula>LEN(TRIM(K99))=0</formula>
    </cfRule>
    <cfRule type="containsBlanks" dxfId="18306" priority="13336">
      <formula>LEN(TRIM(K99))=0</formula>
    </cfRule>
    <cfRule type="containsBlanks" dxfId="18305" priority="13337">
      <formula>LEN(TRIM(K99))=0</formula>
    </cfRule>
    <cfRule type="containsBlanks" dxfId="18304" priority="13338">
      <formula>LEN(TRIM(K99))=0</formula>
    </cfRule>
    <cfRule type="containsBlanks" dxfId="18303" priority="13339">
      <formula>LEN(TRIM(K99))=0</formula>
    </cfRule>
    <cfRule type="containsBlanks" dxfId="18302" priority="13340">
      <formula>LEN(TRIM(K99))=0</formula>
    </cfRule>
    <cfRule type="containsBlanks" dxfId="18301" priority="13341">
      <formula>LEN(TRIM(K99))=0</formula>
    </cfRule>
    <cfRule type="containsBlanks" dxfId="18300" priority="13342">
      <formula>LEN(TRIM(K99))=0</formula>
    </cfRule>
    <cfRule type="containsBlanks" dxfId="18299" priority="13343">
      <formula>LEN(TRIM(K99))=0</formula>
    </cfRule>
    <cfRule type="containsBlanks" dxfId="18298" priority="13344">
      <formula>LEN(TRIM(K99))=0</formula>
    </cfRule>
    <cfRule type="containsBlanks" dxfId="18297" priority="13345">
      <formula>LEN(TRIM(K99))=0</formula>
    </cfRule>
    <cfRule type="containsBlanks" dxfId="18296" priority="13346">
      <formula>LEN(TRIM(K99))=0</formula>
    </cfRule>
    <cfRule type="containsBlanks" dxfId="18295" priority="13347">
      <formula>LEN(TRIM(K99))=0</formula>
    </cfRule>
    <cfRule type="containsBlanks" dxfId="18294" priority="13348">
      <formula>LEN(TRIM(K99))=0</formula>
    </cfRule>
    <cfRule type="containsBlanks" dxfId="18293" priority="13349">
      <formula>LEN(TRIM(K99))=0</formula>
    </cfRule>
    <cfRule type="containsBlanks" dxfId="18292" priority="13350">
      <formula>LEN(TRIM(K99))=0</formula>
    </cfRule>
    <cfRule type="containsBlanks" dxfId="18291" priority="13351">
      <formula>LEN(TRIM(K99))=0</formula>
    </cfRule>
    <cfRule type="containsBlanks" dxfId="18290" priority="13352">
      <formula>LEN(TRIM(K99))=0</formula>
    </cfRule>
    <cfRule type="containsBlanks" dxfId="18289" priority="13353">
      <formula>LEN(TRIM(K99))=0</formula>
    </cfRule>
    <cfRule type="containsBlanks" dxfId="18288" priority="13354">
      <formula>LEN(TRIM(K99))=0</formula>
    </cfRule>
    <cfRule type="containsBlanks" dxfId="18287" priority="13355">
      <formula>LEN(TRIM(K99))=0</formula>
    </cfRule>
    <cfRule type="containsBlanks" dxfId="18286" priority="13356">
      <formula>LEN(TRIM(K99))=0</formula>
    </cfRule>
    <cfRule type="containsBlanks" dxfId="18285" priority="13357">
      <formula>LEN(TRIM(K99))=0</formula>
    </cfRule>
    <cfRule type="containsBlanks" dxfId="18284" priority="13358">
      <formula>LEN(TRIM(K99))=0</formula>
    </cfRule>
    <cfRule type="containsBlanks" dxfId="18283" priority="13359">
      <formula>LEN(TRIM(K99))=0</formula>
    </cfRule>
    <cfRule type="containsBlanks" dxfId="18282" priority="13360">
      <formula>LEN(TRIM(K99))=0</formula>
    </cfRule>
    <cfRule type="containsBlanks" dxfId="18281" priority="13361">
      <formula>LEN(TRIM(K99))=0</formula>
    </cfRule>
    <cfRule type="containsBlanks" dxfId="18280" priority="13362">
      <formula>LEN(TRIM(K99))=0</formula>
    </cfRule>
    <cfRule type="containsBlanks" dxfId="18279" priority="13363">
      <formula>LEN(TRIM(K99))=0</formula>
    </cfRule>
    <cfRule type="containsBlanks" dxfId="18278" priority="13364">
      <formula>LEN(TRIM(K99))=0</formula>
    </cfRule>
    <cfRule type="containsBlanks" dxfId="18277" priority="13365">
      <formula>LEN(TRIM(K99))=0</formula>
    </cfRule>
    <cfRule type="containsBlanks" dxfId="18276" priority="13366">
      <formula>LEN(TRIM(K99))=0</formula>
    </cfRule>
    <cfRule type="containsBlanks" dxfId="18275" priority="13367">
      <formula>LEN(TRIM(K99))=0</formula>
    </cfRule>
    <cfRule type="containsBlanks" dxfId="18274" priority="13368">
      <formula>LEN(TRIM(K99))=0</formula>
    </cfRule>
    <cfRule type="containsBlanks" dxfId="18273" priority="13369">
      <formula>LEN(TRIM(K99))=0</formula>
    </cfRule>
    <cfRule type="containsBlanks" dxfId="18272" priority="13370">
      <formula>LEN(TRIM(K99))=0</formula>
    </cfRule>
    <cfRule type="containsBlanks" dxfId="18271" priority="13371">
      <formula>LEN(TRIM(K99))=0</formula>
    </cfRule>
    <cfRule type="containsBlanks" dxfId="18270" priority="13372">
      <formula>LEN(TRIM(K99))=0</formula>
    </cfRule>
    <cfRule type="containsBlanks" dxfId="18269" priority="13373">
      <formula>LEN(TRIM(K99))=0</formula>
    </cfRule>
    <cfRule type="containsBlanks" dxfId="18268" priority="13374">
      <formula>LEN(TRIM(K99))=0</formula>
    </cfRule>
    <cfRule type="containsBlanks" dxfId="18267" priority="13375">
      <formula>LEN(TRIM(K99))=0</formula>
    </cfRule>
    <cfRule type="containsBlanks" dxfId="18266" priority="13376">
      <formula>LEN(TRIM(K99))=0</formula>
    </cfRule>
    <cfRule type="containsBlanks" dxfId="18265" priority="13377">
      <formula>LEN(TRIM(K99))=0</formula>
    </cfRule>
    <cfRule type="containsBlanks" dxfId="18264" priority="13378">
      <formula>LEN(TRIM(K99))=0</formula>
    </cfRule>
    <cfRule type="containsBlanks" dxfId="18263" priority="13379">
      <formula>LEN(TRIM(K99))=0</formula>
    </cfRule>
    <cfRule type="containsBlanks" dxfId="18262" priority="13380">
      <formula>LEN(TRIM(K99))=0</formula>
    </cfRule>
    <cfRule type="containsBlanks" dxfId="18261" priority="13381">
      <formula>LEN(TRIM(K99))=0</formula>
    </cfRule>
    <cfRule type="containsBlanks" dxfId="18260" priority="13382">
      <formula>LEN(TRIM(K99))=0</formula>
    </cfRule>
    <cfRule type="containsBlanks" dxfId="18259" priority="13383">
      <formula>LEN(TRIM(K99))=0</formula>
    </cfRule>
    <cfRule type="containsBlanks" dxfId="18258" priority="13384">
      <formula>LEN(TRIM(K99))=0</formula>
    </cfRule>
    <cfRule type="containsBlanks" dxfId="18257" priority="13385">
      <formula>LEN(TRIM(K99))=0</formula>
    </cfRule>
    <cfRule type="containsBlanks" dxfId="18256" priority="13386">
      <formula>LEN(TRIM(K99))=0</formula>
    </cfRule>
    <cfRule type="containsBlanks" dxfId="18255" priority="13387">
      <formula>LEN(TRIM(K99))=0</formula>
    </cfRule>
    <cfRule type="containsBlanks" dxfId="18254" priority="13388">
      <formula>LEN(TRIM(K99))=0</formula>
    </cfRule>
    <cfRule type="containsBlanks" dxfId="18253" priority="13389">
      <formula>LEN(TRIM(K99))=0</formula>
    </cfRule>
    <cfRule type="containsBlanks" dxfId="18252" priority="13390">
      <formula>LEN(TRIM(K99))=0</formula>
    </cfRule>
    <cfRule type="containsBlanks" dxfId="18251" priority="13391">
      <formula>LEN(TRIM(K99))=0</formula>
    </cfRule>
    <cfRule type="containsBlanks" dxfId="18250" priority="13392">
      <formula>LEN(TRIM(K99))=0</formula>
    </cfRule>
    <cfRule type="containsBlanks" dxfId="18249" priority="13393">
      <formula>LEN(TRIM(K99))=0</formula>
    </cfRule>
    <cfRule type="containsBlanks" dxfId="18248" priority="13394">
      <formula>LEN(TRIM(K99))=0</formula>
    </cfRule>
    <cfRule type="containsBlanks" dxfId="18247" priority="13395">
      <formula>LEN(TRIM(K99))=0</formula>
    </cfRule>
    <cfRule type="containsBlanks" dxfId="18246" priority="13396">
      <formula>LEN(TRIM(K99))=0</formula>
    </cfRule>
    <cfRule type="containsBlanks" dxfId="18245" priority="13397">
      <formula>LEN(TRIM(K99))=0</formula>
    </cfRule>
    <cfRule type="containsBlanks" dxfId="18244" priority="13398">
      <formula>LEN(TRIM(K99))=0</formula>
    </cfRule>
    <cfRule type="containsBlanks" dxfId="18243" priority="13399">
      <formula>LEN(TRIM(K99))=0</formula>
    </cfRule>
    <cfRule type="containsBlanks" dxfId="18242" priority="13400">
      <formula>LEN(TRIM(K99))=0</formula>
    </cfRule>
    <cfRule type="containsBlanks" dxfId="18241" priority="13401">
      <formula>LEN(TRIM(K99))=0</formula>
    </cfRule>
    <cfRule type="containsBlanks" dxfId="18240" priority="13402">
      <formula>LEN(TRIM(K99))=0</formula>
    </cfRule>
    <cfRule type="containsBlanks" dxfId="18239" priority="13403">
      <formula>LEN(TRIM(K99))=0</formula>
    </cfRule>
    <cfRule type="containsBlanks" dxfId="18238" priority="13404">
      <formula>LEN(TRIM(K99))=0</formula>
    </cfRule>
    <cfRule type="containsBlanks" dxfId="18237" priority="13405">
      <formula>LEN(TRIM(K99))=0</formula>
    </cfRule>
    <cfRule type="containsBlanks" dxfId="18236" priority="13406">
      <formula>LEN(TRIM(K99))=0</formula>
    </cfRule>
    <cfRule type="containsBlanks" dxfId="18235" priority="13407">
      <formula>LEN(TRIM(K99))=0</formula>
    </cfRule>
    <cfRule type="containsBlanks" dxfId="18234" priority="13408">
      <formula>LEN(TRIM(K99))=0</formula>
    </cfRule>
    <cfRule type="containsBlanks" dxfId="18233" priority="13409">
      <formula>LEN(TRIM(K99))=0</formula>
    </cfRule>
    <cfRule type="containsBlanks" dxfId="18232" priority="13410">
      <formula>LEN(TRIM(K99))=0</formula>
    </cfRule>
    <cfRule type="containsBlanks" dxfId="18231" priority="13411">
      <formula>LEN(TRIM(K99))=0</formula>
    </cfRule>
    <cfRule type="containsBlanks" dxfId="18230" priority="13412">
      <formula>LEN(TRIM(K99))=0</formula>
    </cfRule>
    <cfRule type="containsBlanks" dxfId="18229" priority="13413">
      <formula>LEN(TRIM(K99))=0</formula>
    </cfRule>
    <cfRule type="containsBlanks" dxfId="18228" priority="13414">
      <formula>LEN(TRIM(K99))=0</formula>
    </cfRule>
    <cfRule type="containsBlanks" dxfId="18227" priority="13415">
      <formula>LEN(TRIM(K99))=0</formula>
    </cfRule>
    <cfRule type="containsBlanks" dxfId="18226" priority="13416">
      <formula>LEN(TRIM(K99))=0</formula>
    </cfRule>
    <cfRule type="containsBlanks" dxfId="18225" priority="13417">
      <formula>LEN(TRIM(K99))=0</formula>
    </cfRule>
    <cfRule type="containsBlanks" dxfId="18224" priority="13418">
      <formula>LEN(TRIM(K99))=0</formula>
    </cfRule>
    <cfRule type="containsBlanks" dxfId="18223" priority="13419">
      <formula>LEN(TRIM(K99))=0</formula>
    </cfRule>
    <cfRule type="containsBlanks" dxfId="18222" priority="13420">
      <formula>LEN(TRIM(K99))=0</formula>
    </cfRule>
    <cfRule type="containsBlanks" dxfId="18221" priority="13421">
      <formula>LEN(TRIM(K99))=0</formula>
    </cfRule>
    <cfRule type="containsBlanks" dxfId="18220" priority="13422">
      <formula>LEN(TRIM(K99))=0</formula>
    </cfRule>
    <cfRule type="containsBlanks" dxfId="18219" priority="13423">
      <formula>LEN(TRIM(K99))=0</formula>
    </cfRule>
    <cfRule type="containsBlanks" dxfId="18218" priority="13424">
      <formula>LEN(TRIM(K99))=0</formula>
    </cfRule>
    <cfRule type="containsBlanks" dxfId="18217" priority="13425">
      <formula>LEN(TRIM(K99))=0</formula>
    </cfRule>
    <cfRule type="containsBlanks" dxfId="18216" priority="13426">
      <formula>LEN(TRIM(K99))=0</formula>
    </cfRule>
    <cfRule type="containsBlanks" dxfId="18215" priority="13427">
      <formula>LEN(TRIM(K99))=0</formula>
    </cfRule>
    <cfRule type="containsBlanks" dxfId="18214" priority="13428">
      <formula>LEN(TRIM(K99))=0</formula>
    </cfRule>
    <cfRule type="containsBlanks" dxfId="18213" priority="13429">
      <formula>LEN(TRIM(K99))=0</formula>
    </cfRule>
    <cfRule type="containsBlanks" dxfId="18212" priority="13430">
      <formula>LEN(TRIM(K99))=0</formula>
    </cfRule>
    <cfRule type="containsBlanks" dxfId="18211" priority="13431">
      <formula>LEN(TRIM(K99))=0</formula>
    </cfRule>
    <cfRule type="containsBlanks" dxfId="18210" priority="13432">
      <formula>LEN(TRIM(K99))=0</formula>
    </cfRule>
    <cfRule type="containsBlanks" dxfId="18209" priority="13433">
      <formula>LEN(TRIM(K99))=0</formula>
    </cfRule>
    <cfRule type="containsBlanks" dxfId="18208" priority="13434">
      <formula>LEN(TRIM(K99))=0</formula>
    </cfRule>
    <cfRule type="containsBlanks" dxfId="18207" priority="13435">
      <formula>LEN(TRIM(K99))=0</formula>
    </cfRule>
    <cfRule type="containsBlanks" dxfId="18206" priority="13436">
      <formula>LEN(TRIM(K99))=0</formula>
    </cfRule>
    <cfRule type="containsBlanks" dxfId="18205" priority="13437">
      <formula>LEN(TRIM(K99))=0</formula>
    </cfRule>
    <cfRule type="containsBlanks" dxfId="18204" priority="13438">
      <formula>LEN(TRIM(K99))=0</formula>
    </cfRule>
    <cfRule type="containsBlanks" dxfId="18203" priority="13439">
      <formula>LEN(TRIM(K99))=0</formula>
    </cfRule>
    <cfRule type="containsBlanks" dxfId="18202" priority="13440">
      <formula>LEN(TRIM(K99))=0</formula>
    </cfRule>
    <cfRule type="containsBlanks" dxfId="18201" priority="13441">
      <formula>LEN(TRIM(K99))=0</formula>
    </cfRule>
    <cfRule type="containsBlanks" dxfId="18200" priority="13442">
      <formula>LEN(TRIM(K99))=0</formula>
    </cfRule>
    <cfRule type="containsBlanks" dxfId="18199" priority="13443">
      <formula>LEN(TRIM(K99))=0</formula>
    </cfRule>
    <cfRule type="containsBlanks" dxfId="18198" priority="13444">
      <formula>LEN(TRIM(K99))=0</formula>
    </cfRule>
    <cfRule type="containsBlanks" dxfId="18197" priority="13445">
      <formula>LEN(TRIM(K99))=0</formula>
    </cfRule>
    <cfRule type="containsBlanks" dxfId="18196" priority="13446">
      <formula>LEN(TRIM(K99))=0</formula>
    </cfRule>
    <cfRule type="containsBlanks" dxfId="18195" priority="13447">
      <formula>LEN(TRIM(K99))=0</formula>
    </cfRule>
    <cfRule type="containsBlanks" dxfId="18194" priority="13448">
      <formula>LEN(TRIM(K99))=0</formula>
    </cfRule>
    <cfRule type="containsBlanks" dxfId="18193" priority="13449">
      <formula>LEN(TRIM(K99))=0</formula>
    </cfRule>
    <cfRule type="containsBlanks" dxfId="18192" priority="13450">
      <formula>LEN(TRIM(K99))=0</formula>
    </cfRule>
    <cfRule type="containsBlanks" dxfId="18191" priority="13451">
      <formula>LEN(TRIM(K99))=0</formula>
    </cfRule>
    <cfRule type="containsBlanks" dxfId="18190" priority="13452">
      <formula>LEN(TRIM(K99))=0</formula>
    </cfRule>
    <cfRule type="containsBlanks" dxfId="18189" priority="13453">
      <formula>LEN(TRIM(K99))=0</formula>
    </cfRule>
    <cfRule type="containsBlanks" dxfId="18188" priority="13454">
      <formula>LEN(TRIM(K99))=0</formula>
    </cfRule>
    <cfRule type="containsBlanks" dxfId="18187" priority="13455">
      <formula>LEN(TRIM(K99))=0</formula>
    </cfRule>
    <cfRule type="containsBlanks" dxfId="18186" priority="13456">
      <formula>LEN(TRIM(K99))=0</formula>
    </cfRule>
    <cfRule type="containsBlanks" dxfId="18185" priority="13457">
      <formula>LEN(TRIM(K99))=0</formula>
    </cfRule>
    <cfRule type="containsBlanks" dxfId="18184" priority="13458">
      <formula>LEN(TRIM(K99))=0</formula>
    </cfRule>
    <cfRule type="containsBlanks" dxfId="18183" priority="13459">
      <formula>LEN(TRIM(K99))=0</formula>
    </cfRule>
    <cfRule type="containsBlanks" dxfId="18182" priority="13460">
      <formula>LEN(TRIM(K99))=0</formula>
    </cfRule>
    <cfRule type="containsBlanks" dxfId="18181" priority="13461">
      <formula>LEN(TRIM(K99))=0</formula>
    </cfRule>
    <cfRule type="containsBlanks" dxfId="18180" priority="13462">
      <formula>LEN(TRIM(K99))=0</formula>
    </cfRule>
    <cfRule type="containsBlanks" dxfId="18179" priority="13463">
      <formula>LEN(TRIM(K99))=0</formula>
    </cfRule>
    <cfRule type="containsBlanks" dxfId="18178" priority="13464">
      <formula>LEN(TRIM(K99))=0</formula>
    </cfRule>
    <cfRule type="containsBlanks" dxfId="18177" priority="13465">
      <formula>LEN(TRIM(K99))=0</formula>
    </cfRule>
    <cfRule type="containsBlanks" dxfId="18176" priority="13466">
      <formula>LEN(TRIM(K99))=0</formula>
    </cfRule>
    <cfRule type="containsBlanks" dxfId="18175" priority="13467">
      <formula>LEN(TRIM(K99))=0</formula>
    </cfRule>
    <cfRule type="containsBlanks" dxfId="18174" priority="13468">
      <formula>LEN(TRIM(K99))=0</formula>
    </cfRule>
    <cfRule type="containsBlanks" dxfId="18173" priority="13469">
      <formula>LEN(TRIM(K99))=0</formula>
    </cfRule>
    <cfRule type="containsBlanks" dxfId="18172" priority="13470">
      <formula>LEN(TRIM(K99))=0</formula>
    </cfRule>
    <cfRule type="containsBlanks" dxfId="18171" priority="13471">
      <formula>LEN(TRIM(K99))=0</formula>
    </cfRule>
    <cfRule type="containsBlanks" dxfId="18170" priority="13472">
      <formula>LEN(TRIM(K99))=0</formula>
    </cfRule>
    <cfRule type="containsBlanks" dxfId="18169" priority="13473">
      <formula>LEN(TRIM(K99))=0</formula>
    </cfRule>
    <cfRule type="containsBlanks" dxfId="18168" priority="13474">
      <formula>LEN(TRIM(K99))=0</formula>
    </cfRule>
    <cfRule type="containsBlanks" dxfId="18167" priority="13475">
      <formula>LEN(TRIM(K99))=0</formula>
    </cfRule>
    <cfRule type="containsBlanks" dxfId="18166" priority="13476">
      <formula>LEN(TRIM(K99))=0</formula>
    </cfRule>
    <cfRule type="containsBlanks" dxfId="18165" priority="13477">
      <formula>LEN(TRIM(K99))=0</formula>
    </cfRule>
    <cfRule type="containsBlanks" dxfId="18164" priority="13478">
      <formula>LEN(TRIM(K99))=0</formula>
    </cfRule>
    <cfRule type="containsBlanks" dxfId="18163" priority="13479">
      <formula>LEN(TRIM(K99))=0</formula>
    </cfRule>
    <cfRule type="containsBlanks" dxfId="18162" priority="13480">
      <formula>LEN(TRIM(K99))=0</formula>
    </cfRule>
    <cfRule type="containsBlanks" dxfId="18161" priority="13481">
      <formula>LEN(TRIM(K99))=0</formula>
    </cfRule>
    <cfRule type="containsBlanks" dxfId="18160" priority="13482">
      <formula>LEN(TRIM(K99))=0</formula>
    </cfRule>
    <cfRule type="containsBlanks" dxfId="18159" priority="13483">
      <formula>LEN(TRIM(K99))=0</formula>
    </cfRule>
    <cfRule type="containsBlanks" dxfId="18158" priority="13484">
      <formula>LEN(TRIM(K99))=0</formula>
    </cfRule>
    <cfRule type="containsBlanks" dxfId="18157" priority="13485">
      <formula>LEN(TRIM(K99))=0</formula>
    </cfRule>
    <cfRule type="containsBlanks" dxfId="18156" priority="13486">
      <formula>LEN(TRIM(K99))=0</formula>
    </cfRule>
    <cfRule type="containsBlanks" dxfId="18155" priority="13487">
      <formula>LEN(TRIM(K99))=0</formula>
    </cfRule>
    <cfRule type="containsBlanks" dxfId="18154" priority="13488">
      <formula>LEN(TRIM(K99))=0</formula>
    </cfRule>
    <cfRule type="containsBlanks" dxfId="18153" priority="13489">
      <formula>LEN(TRIM(K99))=0</formula>
    </cfRule>
    <cfRule type="containsBlanks" dxfId="18152" priority="13490">
      <formula>LEN(TRIM(K99))=0</formula>
    </cfRule>
    <cfRule type="containsBlanks" dxfId="18151" priority="13491">
      <formula>LEN(TRIM(K99))=0</formula>
    </cfRule>
    <cfRule type="containsBlanks" dxfId="18150" priority="13492">
      <formula>LEN(TRIM(K99))=0</formula>
    </cfRule>
    <cfRule type="containsBlanks" dxfId="18149" priority="13493">
      <formula>LEN(TRIM(K99))=0</formula>
    </cfRule>
    <cfRule type="containsBlanks" dxfId="18148" priority="13494">
      <formula>LEN(TRIM(K99))=0</formula>
    </cfRule>
    <cfRule type="containsBlanks" dxfId="18147" priority="13495">
      <formula>LEN(TRIM(K99))=0</formula>
    </cfRule>
    <cfRule type="containsBlanks" dxfId="18146" priority="13496">
      <formula>LEN(TRIM(K99))=0</formula>
    </cfRule>
    <cfRule type="containsBlanks" dxfId="18145" priority="13497">
      <formula>LEN(TRIM(K99))=0</formula>
    </cfRule>
    <cfRule type="containsBlanks" dxfId="18144" priority="13498">
      <formula>LEN(TRIM(K99))=0</formula>
    </cfRule>
    <cfRule type="containsBlanks" dxfId="18143" priority="13499">
      <formula>LEN(TRIM(K99))=0</formula>
    </cfRule>
    <cfRule type="containsBlanks" dxfId="18142" priority="13500">
      <formula>LEN(TRIM(K99))=0</formula>
    </cfRule>
    <cfRule type="containsBlanks" dxfId="18141" priority="13501">
      <formula>LEN(TRIM(K99))=0</formula>
    </cfRule>
    <cfRule type="containsBlanks" dxfId="18140" priority="13502">
      <formula>LEN(TRIM(K99))=0</formula>
    </cfRule>
    <cfRule type="containsBlanks" dxfId="18139" priority="13503">
      <formula>LEN(TRIM(K99))=0</formula>
    </cfRule>
    <cfRule type="containsBlanks" dxfId="18138" priority="13504">
      <formula>LEN(TRIM(K99))=0</formula>
    </cfRule>
    <cfRule type="containsBlanks" dxfId="18137" priority="13505">
      <formula>LEN(TRIM(K99))=0</formula>
    </cfRule>
    <cfRule type="containsBlanks" dxfId="18136" priority="13506">
      <formula>LEN(TRIM(K99))=0</formula>
    </cfRule>
    <cfRule type="containsBlanks" dxfId="18135" priority="13507">
      <formula>LEN(TRIM(K99))=0</formula>
    </cfRule>
    <cfRule type="containsBlanks" dxfId="18134" priority="13508">
      <formula>LEN(TRIM(K99))=0</formula>
    </cfRule>
    <cfRule type="containsBlanks" dxfId="18133" priority="13509">
      <formula>LEN(TRIM(K99))=0</formula>
    </cfRule>
    <cfRule type="containsBlanks" dxfId="18132" priority="13510">
      <formula>LEN(TRIM(K99))=0</formula>
    </cfRule>
    <cfRule type="containsBlanks" dxfId="18131" priority="13511">
      <formula>LEN(TRIM(K99))=0</formula>
    </cfRule>
    <cfRule type="containsBlanks" dxfId="18130" priority="13512">
      <formula>LEN(TRIM(K99))=0</formula>
    </cfRule>
    <cfRule type="containsBlanks" dxfId="18129" priority="13513">
      <formula>LEN(TRIM(K99))=0</formula>
    </cfRule>
    <cfRule type="containsBlanks" dxfId="18128" priority="13514">
      <formula>LEN(TRIM(K99))=0</formula>
    </cfRule>
    <cfRule type="containsBlanks" dxfId="18127" priority="13515">
      <formula>LEN(TRIM(K99))=0</formula>
    </cfRule>
    <cfRule type="containsBlanks" dxfId="18126" priority="13516">
      <formula>LEN(TRIM(K99))=0</formula>
    </cfRule>
    <cfRule type="containsBlanks" dxfId="18125" priority="13517">
      <formula>LEN(TRIM(K99))=0</formula>
    </cfRule>
    <cfRule type="containsBlanks" dxfId="18124" priority="13518">
      <formula>LEN(TRIM(K99))=0</formula>
    </cfRule>
    <cfRule type="containsBlanks" dxfId="18123" priority="13519">
      <formula>LEN(TRIM(K99))=0</formula>
    </cfRule>
    <cfRule type="containsBlanks" dxfId="18122" priority="13520">
      <formula>LEN(TRIM(K99))=0</formula>
    </cfRule>
    <cfRule type="containsBlanks" dxfId="18121" priority="13521">
      <formula>LEN(TRIM(K99))=0</formula>
    </cfRule>
    <cfRule type="containsBlanks" dxfId="18120" priority="13522">
      <formula>LEN(TRIM(K99))=0</formula>
    </cfRule>
    <cfRule type="containsBlanks" dxfId="18119" priority="13523">
      <formula>LEN(TRIM(K99))=0</formula>
    </cfRule>
    <cfRule type="containsBlanks" dxfId="18118" priority="13524">
      <formula>LEN(TRIM(K99))=0</formula>
    </cfRule>
    <cfRule type="containsBlanks" dxfId="18117" priority="13525">
      <formula>LEN(TRIM(K99))=0</formula>
    </cfRule>
    <cfRule type="containsBlanks" dxfId="18116" priority="13526">
      <formula>LEN(TRIM(K99))=0</formula>
    </cfRule>
    <cfRule type="containsBlanks" dxfId="18115" priority="13527">
      <formula>LEN(TRIM(K99))=0</formula>
    </cfRule>
    <cfRule type="containsBlanks" dxfId="18114" priority="13528">
      <formula>LEN(TRIM(K99))=0</formula>
    </cfRule>
    <cfRule type="containsBlanks" dxfId="18113" priority="13529">
      <formula>LEN(TRIM(K99))=0</formula>
    </cfRule>
    <cfRule type="containsBlanks" dxfId="18112" priority="13530">
      <formula>LEN(TRIM(K99))=0</formula>
    </cfRule>
    <cfRule type="containsBlanks" dxfId="18111" priority="13531">
      <formula>LEN(TRIM(K99))=0</formula>
    </cfRule>
    <cfRule type="containsBlanks" dxfId="18110" priority="13532">
      <formula>LEN(TRIM(K99))=0</formula>
    </cfRule>
    <cfRule type="containsBlanks" dxfId="18109" priority="13533">
      <formula>LEN(TRIM(K99))=0</formula>
    </cfRule>
    <cfRule type="containsBlanks" dxfId="18108" priority="13534">
      <formula>LEN(TRIM(K99))=0</formula>
    </cfRule>
    <cfRule type="containsBlanks" dxfId="18107" priority="13535">
      <formula>LEN(TRIM(K99))=0</formula>
    </cfRule>
    <cfRule type="containsBlanks" dxfId="18106" priority="13536">
      <formula>LEN(TRIM(K99))=0</formula>
    </cfRule>
    <cfRule type="containsBlanks" dxfId="18105" priority="13537">
      <formula>LEN(TRIM(K99))=0</formula>
    </cfRule>
    <cfRule type="containsBlanks" dxfId="18104" priority="13538">
      <formula>LEN(TRIM(K99))=0</formula>
    </cfRule>
    <cfRule type="containsBlanks" dxfId="18103" priority="13539">
      <formula>LEN(TRIM(K99))=0</formula>
    </cfRule>
    <cfRule type="containsBlanks" dxfId="18102" priority="13540">
      <formula>LEN(TRIM(K99))=0</formula>
    </cfRule>
    <cfRule type="containsBlanks" dxfId="18101" priority="13541">
      <formula>LEN(TRIM(K99))=0</formula>
    </cfRule>
    <cfRule type="containsBlanks" dxfId="18100" priority="13542">
      <formula>LEN(TRIM(K99))=0</formula>
    </cfRule>
    <cfRule type="containsBlanks" dxfId="18099" priority="13543">
      <formula>LEN(TRIM(K99))=0</formula>
    </cfRule>
    <cfRule type="containsBlanks" dxfId="18098" priority="13544">
      <formula>LEN(TRIM(K99))=0</formula>
    </cfRule>
    <cfRule type="containsBlanks" dxfId="18097" priority="13545">
      <formula>LEN(TRIM(K99))=0</formula>
    </cfRule>
    <cfRule type="containsBlanks" dxfId="18096" priority="13546">
      <formula>LEN(TRIM(K99))=0</formula>
    </cfRule>
    <cfRule type="containsBlanks" dxfId="18095" priority="13547">
      <formula>LEN(TRIM(K99))=0</formula>
    </cfRule>
    <cfRule type="containsBlanks" dxfId="18094" priority="13548">
      <formula>LEN(TRIM(K99))=0</formula>
    </cfRule>
    <cfRule type="containsBlanks" dxfId="18093" priority="13549">
      <formula>LEN(TRIM(K99))=0</formula>
    </cfRule>
    <cfRule type="containsBlanks" dxfId="18092" priority="13550">
      <formula>LEN(TRIM(K99))=0</formula>
    </cfRule>
    <cfRule type="containsBlanks" dxfId="18091" priority="13551">
      <formula>LEN(TRIM(K99))=0</formula>
    </cfRule>
    <cfRule type="containsBlanks" dxfId="18090" priority="13552">
      <formula>LEN(TRIM(K99))=0</formula>
    </cfRule>
    <cfRule type="containsBlanks" dxfId="18089" priority="13553">
      <formula>LEN(TRIM(K99))=0</formula>
    </cfRule>
    <cfRule type="containsBlanks" dxfId="18088" priority="13554">
      <formula>LEN(TRIM(K99))=0</formula>
    </cfRule>
    <cfRule type="containsBlanks" dxfId="18087" priority="13555">
      <formula>LEN(TRIM(K99))=0</formula>
    </cfRule>
    <cfRule type="containsBlanks" dxfId="18086" priority="13556">
      <formula>LEN(TRIM(K99))=0</formula>
    </cfRule>
    <cfRule type="containsBlanks" dxfId="18085" priority="13557">
      <formula>LEN(TRIM(K99))=0</formula>
    </cfRule>
    <cfRule type="containsBlanks" dxfId="18084" priority="13558">
      <formula>LEN(TRIM(K99))=0</formula>
    </cfRule>
    <cfRule type="containsBlanks" dxfId="18083" priority="13559">
      <formula>LEN(TRIM(K99))=0</formula>
    </cfRule>
    <cfRule type="containsBlanks" dxfId="18082" priority="13560">
      <formula>LEN(TRIM(K99))=0</formula>
    </cfRule>
    <cfRule type="containsBlanks" dxfId="18081" priority="13561">
      <formula>LEN(TRIM(K99))=0</formula>
    </cfRule>
    <cfRule type="containsBlanks" dxfId="18080" priority="13562">
      <formula>LEN(TRIM(K99))=0</formula>
    </cfRule>
    <cfRule type="containsBlanks" dxfId="18079" priority="13563">
      <formula>LEN(TRIM(K99))=0</formula>
    </cfRule>
    <cfRule type="containsBlanks" dxfId="18078" priority="13564">
      <formula>LEN(TRIM(K99))=0</formula>
    </cfRule>
    <cfRule type="containsBlanks" dxfId="18077" priority="13565">
      <formula>LEN(TRIM(K99))=0</formula>
    </cfRule>
    <cfRule type="containsBlanks" dxfId="18076" priority="13566">
      <formula>LEN(TRIM(K99))=0</formula>
    </cfRule>
    <cfRule type="containsBlanks" dxfId="18075" priority="13567">
      <formula>LEN(TRIM(K99))=0</formula>
    </cfRule>
    <cfRule type="containsBlanks" dxfId="18074" priority="13568">
      <formula>LEN(TRIM(K99))=0</formula>
    </cfRule>
    <cfRule type="containsBlanks" dxfId="18073" priority="13569">
      <formula>LEN(TRIM(K99))=0</formula>
    </cfRule>
    <cfRule type="containsBlanks" dxfId="18072" priority="13570">
      <formula>LEN(TRIM(K99))=0</formula>
    </cfRule>
    <cfRule type="containsBlanks" dxfId="18071" priority="13571">
      <formula>LEN(TRIM(K99))=0</formula>
    </cfRule>
    <cfRule type="containsBlanks" dxfId="18070" priority="13572">
      <formula>LEN(TRIM(K99))=0</formula>
    </cfRule>
    <cfRule type="containsBlanks" dxfId="18069" priority="13573">
      <formula>LEN(TRIM(K99))=0</formula>
    </cfRule>
    <cfRule type="containsBlanks" dxfId="18068" priority="13574">
      <formula>LEN(TRIM(K99))=0</formula>
    </cfRule>
    <cfRule type="containsBlanks" dxfId="18067" priority="13575">
      <formula>LEN(TRIM(K99))=0</formula>
    </cfRule>
    <cfRule type="containsBlanks" dxfId="18066" priority="13576">
      <formula>LEN(TRIM(K99))=0</formula>
    </cfRule>
    <cfRule type="containsBlanks" dxfId="18065" priority="13577">
      <formula>LEN(TRIM(K99))=0</formula>
    </cfRule>
    <cfRule type="containsBlanks" dxfId="18064" priority="13578">
      <formula>LEN(TRIM(K99))=0</formula>
    </cfRule>
    <cfRule type="containsBlanks" dxfId="18063" priority="13579">
      <formula>LEN(TRIM(K99))=0</formula>
    </cfRule>
    <cfRule type="containsBlanks" dxfId="18062" priority="13580">
      <formula>LEN(TRIM(K99))=0</formula>
    </cfRule>
    <cfRule type="containsBlanks" dxfId="18061" priority="13581">
      <formula>LEN(TRIM(K99))=0</formula>
    </cfRule>
    <cfRule type="containsBlanks" dxfId="18060" priority="13582">
      <formula>LEN(TRIM(K99))=0</formula>
    </cfRule>
    <cfRule type="containsBlanks" dxfId="18059" priority="13583">
      <formula>LEN(TRIM(K99))=0</formula>
    </cfRule>
    <cfRule type="containsBlanks" dxfId="18058" priority="13584">
      <formula>LEN(TRIM(K99))=0</formula>
    </cfRule>
    <cfRule type="containsBlanks" dxfId="18057" priority="13585">
      <formula>LEN(TRIM(K99))=0</formula>
    </cfRule>
    <cfRule type="containsBlanks" dxfId="18056" priority="13586">
      <formula>LEN(TRIM(K99))=0</formula>
    </cfRule>
    <cfRule type="containsBlanks" dxfId="18055" priority="13587">
      <formula>LEN(TRIM(K99))=0</formula>
    </cfRule>
    <cfRule type="containsBlanks" dxfId="18054" priority="13588">
      <formula>LEN(TRIM(K99))=0</formula>
    </cfRule>
    <cfRule type="containsBlanks" dxfId="18053" priority="13589">
      <formula>LEN(TRIM(K99))=0</formula>
    </cfRule>
    <cfRule type="containsBlanks" dxfId="18052" priority="13590">
      <formula>LEN(TRIM(K99))=0</formula>
    </cfRule>
    <cfRule type="containsBlanks" dxfId="18051" priority="13591">
      <formula>LEN(TRIM(K99))=0</formula>
    </cfRule>
    <cfRule type="containsBlanks" dxfId="18050" priority="13592">
      <formula>LEN(TRIM(K99))=0</formula>
    </cfRule>
    <cfRule type="containsBlanks" dxfId="18049" priority="13593">
      <formula>LEN(TRIM(K99))=0</formula>
    </cfRule>
    <cfRule type="containsBlanks" dxfId="18048" priority="13594">
      <formula>LEN(TRIM(K99))=0</formula>
    </cfRule>
    <cfRule type="containsBlanks" dxfId="18047" priority="13595">
      <formula>LEN(TRIM(K99))=0</formula>
    </cfRule>
    <cfRule type="containsBlanks" dxfId="18046" priority="13596">
      <formula>LEN(TRIM(K99))=0</formula>
    </cfRule>
    <cfRule type="containsBlanks" dxfId="18045" priority="13597">
      <formula>LEN(TRIM(K99))=0</formula>
    </cfRule>
    <cfRule type="containsBlanks" dxfId="18044" priority="13598">
      <formula>LEN(TRIM(K99))=0</formula>
    </cfRule>
    <cfRule type="containsBlanks" dxfId="18043" priority="13599">
      <formula>LEN(TRIM(K99))=0</formula>
    </cfRule>
    <cfRule type="containsBlanks" dxfId="18042" priority="13600">
      <formula>LEN(TRIM(K99))=0</formula>
    </cfRule>
    <cfRule type="containsBlanks" dxfId="18041" priority="13601">
      <formula>LEN(TRIM(K99))=0</formula>
    </cfRule>
    <cfRule type="containsBlanks" dxfId="18040" priority="13602">
      <formula>LEN(TRIM(K99))=0</formula>
    </cfRule>
    <cfRule type="containsBlanks" dxfId="18039" priority="13603">
      <formula>LEN(TRIM(K99))=0</formula>
    </cfRule>
    <cfRule type="containsBlanks" dxfId="18038" priority="13604">
      <formula>LEN(TRIM(K99))=0</formula>
    </cfRule>
    <cfRule type="containsBlanks" dxfId="18037" priority="13605">
      <formula>LEN(TRIM(K99))=0</formula>
    </cfRule>
    <cfRule type="containsBlanks" dxfId="18036" priority="13606">
      <formula>LEN(TRIM(K99))=0</formula>
    </cfRule>
    <cfRule type="containsBlanks" dxfId="18035" priority="13607">
      <formula>LEN(TRIM(K99))=0</formula>
    </cfRule>
    <cfRule type="containsBlanks" dxfId="18034" priority="13608">
      <formula>LEN(TRIM(K99))=0</formula>
    </cfRule>
    <cfRule type="containsBlanks" dxfId="18033" priority="13609">
      <formula>LEN(TRIM(K99))=0</formula>
    </cfRule>
    <cfRule type="containsBlanks" dxfId="18032" priority="13610">
      <formula>LEN(TRIM(K99))=0</formula>
    </cfRule>
    <cfRule type="containsBlanks" dxfId="18031" priority="13611">
      <formula>LEN(TRIM(K99))=0</formula>
    </cfRule>
    <cfRule type="containsBlanks" dxfId="18030" priority="13612">
      <formula>LEN(TRIM(K99))=0</formula>
    </cfRule>
    <cfRule type="containsBlanks" dxfId="18029" priority="13613">
      <formula>LEN(TRIM(K99))=0</formula>
    </cfRule>
    <cfRule type="containsBlanks" dxfId="18028" priority="13614">
      <formula>LEN(TRIM(K99))=0</formula>
    </cfRule>
    <cfRule type="containsBlanks" dxfId="18027" priority="13615">
      <formula>LEN(TRIM(K99))=0</formula>
    </cfRule>
    <cfRule type="containsBlanks" dxfId="18026" priority="13616">
      <formula>LEN(TRIM(K99))=0</formula>
    </cfRule>
    <cfRule type="containsBlanks" dxfId="18025" priority="13617">
      <formula>LEN(TRIM(K99))=0</formula>
    </cfRule>
    <cfRule type="containsBlanks" dxfId="18024" priority="13618">
      <formula>LEN(TRIM(K99))=0</formula>
    </cfRule>
    <cfRule type="containsBlanks" dxfId="18023" priority="13619">
      <formula>LEN(TRIM(K99))=0</formula>
    </cfRule>
    <cfRule type="containsBlanks" dxfId="18022" priority="13620">
      <formula>LEN(TRIM(K99))=0</formula>
    </cfRule>
    <cfRule type="containsBlanks" dxfId="18021" priority="13621">
      <formula>LEN(TRIM(K99))=0</formula>
    </cfRule>
    <cfRule type="containsBlanks" dxfId="18020" priority="13622">
      <formula>LEN(TRIM(K99))=0</formula>
    </cfRule>
    <cfRule type="containsBlanks" dxfId="18019" priority="13623">
      <formula>LEN(TRIM(K99))=0</formula>
    </cfRule>
    <cfRule type="containsBlanks" dxfId="18018" priority="13624">
      <formula>LEN(TRIM(K99))=0</formula>
    </cfRule>
    <cfRule type="containsBlanks" dxfId="18017" priority="13625">
      <formula>LEN(TRIM(K99))=0</formula>
    </cfRule>
    <cfRule type="containsBlanks" dxfId="18016" priority="13626">
      <formula>LEN(TRIM(K99))=0</formula>
    </cfRule>
    <cfRule type="containsBlanks" dxfId="18015" priority="13627">
      <formula>LEN(TRIM(K99))=0</formula>
    </cfRule>
    <cfRule type="containsBlanks" dxfId="18014" priority="13628">
      <formula>LEN(TRIM(K99))=0</formula>
    </cfRule>
    <cfRule type="containsBlanks" dxfId="18013" priority="13629">
      <formula>LEN(TRIM(K99))=0</formula>
    </cfRule>
    <cfRule type="containsBlanks" dxfId="18012" priority="13630">
      <formula>LEN(TRIM(K99))=0</formula>
    </cfRule>
    <cfRule type="containsBlanks" dxfId="18011" priority="13631">
      <formula>LEN(TRIM(K99))=0</formula>
    </cfRule>
    <cfRule type="containsBlanks" dxfId="18010" priority="13632">
      <formula>LEN(TRIM(K99))=0</formula>
    </cfRule>
    <cfRule type="containsBlanks" dxfId="18009" priority="13633">
      <formula>LEN(TRIM(K99))=0</formula>
    </cfRule>
    <cfRule type="containsBlanks" dxfId="18008" priority="13634">
      <formula>LEN(TRIM(K99))=0</formula>
    </cfRule>
    <cfRule type="containsBlanks" dxfId="18007" priority="13635">
      <formula>LEN(TRIM(K99))=0</formula>
    </cfRule>
    <cfRule type="containsBlanks" dxfId="18006" priority="13636">
      <formula>LEN(TRIM(K99))=0</formula>
    </cfRule>
    <cfRule type="containsBlanks" dxfId="18005" priority="13637">
      <formula>LEN(TRIM(K99))=0</formula>
    </cfRule>
    <cfRule type="containsBlanks" dxfId="18004" priority="13638">
      <formula>LEN(TRIM(K99))=0</formula>
    </cfRule>
    <cfRule type="containsBlanks" dxfId="18003" priority="13639">
      <formula>LEN(TRIM(K99))=0</formula>
    </cfRule>
    <cfRule type="containsBlanks" dxfId="18002" priority="13640">
      <formula>LEN(TRIM(K99))=0</formula>
    </cfRule>
    <cfRule type="containsBlanks" dxfId="18001" priority="13641">
      <formula>LEN(TRIM(K99))=0</formula>
    </cfRule>
    <cfRule type="containsBlanks" dxfId="18000" priority="13642">
      <formula>LEN(TRIM(K99))=0</formula>
    </cfRule>
  </conditionalFormatting>
  <conditionalFormatting sqref="K99:K158">
    <cfRule type="containsBlanks" dxfId="17999" priority="16220">
      <formula>LEN(TRIM(K99))=0</formula>
    </cfRule>
    <cfRule type="containsBlanks" dxfId="17998" priority="16221">
      <formula>LEN(TRIM(K99))=0</formula>
    </cfRule>
    <cfRule type="containsBlanks" dxfId="17997" priority="16222">
      <formula>LEN(TRIM(K99))=0</formula>
    </cfRule>
    <cfRule type="containsBlanks" dxfId="17996" priority="16223">
      <formula>LEN(TRIM(K99))=0</formula>
    </cfRule>
    <cfRule type="containsBlanks" dxfId="17995" priority="16224">
      <formula>LEN(TRIM(K99))=0</formula>
    </cfRule>
    <cfRule type="containsBlanks" dxfId="17994" priority="16225">
      <formula>LEN(TRIM(K99))=0</formula>
    </cfRule>
    <cfRule type="containsBlanks" dxfId="17993" priority="16226">
      <formula>LEN(TRIM(K99))=0</formula>
    </cfRule>
    <cfRule type="containsBlanks" dxfId="17992" priority="16227">
      <formula>LEN(TRIM(K99))=0</formula>
    </cfRule>
    <cfRule type="containsBlanks" dxfId="17991" priority="16228">
      <formula>LEN(TRIM(K99))=0</formula>
    </cfRule>
    <cfRule type="containsBlanks" dxfId="17990" priority="16229">
      <formula>LEN(TRIM(K99))=0</formula>
    </cfRule>
    <cfRule type="containsBlanks" dxfId="17989" priority="16230">
      <formula>LEN(TRIM(K99))=0</formula>
    </cfRule>
    <cfRule type="containsBlanks" dxfId="17988" priority="16231">
      <formula>LEN(TRIM(K99))=0</formula>
    </cfRule>
    <cfRule type="containsBlanks" dxfId="17987" priority="16232">
      <formula>LEN(TRIM(K99))=0</formula>
    </cfRule>
    <cfRule type="containsBlanks" dxfId="17986" priority="16233">
      <formula>LEN(TRIM(K99))=0</formula>
    </cfRule>
    <cfRule type="containsBlanks" dxfId="17985" priority="16234">
      <formula>LEN(TRIM(K99))=0</formula>
    </cfRule>
    <cfRule type="containsBlanks" dxfId="17984" priority="16235">
      <formula>LEN(TRIM(K99))=0</formula>
    </cfRule>
    <cfRule type="containsBlanks" dxfId="17983" priority="16236">
      <formula>LEN(TRIM(K99))=0</formula>
    </cfRule>
    <cfRule type="containsBlanks" dxfId="17982" priority="16237">
      <formula>LEN(TRIM(K99))=0</formula>
    </cfRule>
    <cfRule type="containsBlanks" dxfId="17981" priority="16238">
      <formula>LEN(TRIM(K99))=0</formula>
    </cfRule>
    <cfRule type="containsBlanks" dxfId="17980" priority="16239">
      <formula>LEN(TRIM(K99))=0</formula>
    </cfRule>
    <cfRule type="containsBlanks" dxfId="17979" priority="16240">
      <formula>LEN(TRIM(K99))=0</formula>
    </cfRule>
    <cfRule type="containsBlanks" dxfId="17978" priority="16241">
      <formula>LEN(TRIM(K99))=0</formula>
    </cfRule>
    <cfRule type="containsBlanks" dxfId="17977" priority="16242">
      <formula>LEN(TRIM(K99))=0</formula>
    </cfRule>
    <cfRule type="containsBlanks" dxfId="17976" priority="16243">
      <formula>LEN(TRIM(K99))=0</formula>
    </cfRule>
    <cfRule type="containsBlanks" dxfId="17975" priority="16244">
      <formula>LEN(TRIM(K99))=0</formula>
    </cfRule>
    <cfRule type="containsBlanks" dxfId="17974" priority="16245">
      <formula>LEN(TRIM(K99))=0</formula>
    </cfRule>
    <cfRule type="containsBlanks" dxfId="17973" priority="16246">
      <formula>LEN(TRIM(K99))=0</formula>
    </cfRule>
    <cfRule type="containsBlanks" dxfId="17972" priority="16247">
      <formula>LEN(TRIM(K99))=0</formula>
    </cfRule>
    <cfRule type="containsBlanks" dxfId="17971" priority="16248">
      <formula>LEN(TRIM(K99))=0</formula>
    </cfRule>
    <cfRule type="containsBlanks" dxfId="17970" priority="16249">
      <formula>LEN(TRIM(K99))=0</formula>
    </cfRule>
    <cfRule type="containsBlanks" dxfId="17969" priority="16250">
      <formula>LEN(TRIM(K99))=0</formula>
    </cfRule>
    <cfRule type="containsBlanks" dxfId="17968" priority="16251">
      <formula>LEN(TRIM(K99))=0</formula>
    </cfRule>
    <cfRule type="containsBlanks" dxfId="17967" priority="16252">
      <formula>LEN(TRIM(K99))=0</formula>
    </cfRule>
    <cfRule type="containsBlanks" dxfId="17966" priority="16253">
      <formula>LEN(TRIM(K99))=0</formula>
    </cfRule>
    <cfRule type="containsBlanks" dxfId="17965" priority="16254">
      <formula>LEN(TRIM(K99))=0</formula>
    </cfRule>
    <cfRule type="containsBlanks" dxfId="17964" priority="16255">
      <formula>LEN(TRIM(K99))=0</formula>
    </cfRule>
    <cfRule type="containsBlanks" dxfId="17963" priority="16256">
      <formula>LEN(TRIM(K99))=0</formula>
    </cfRule>
    <cfRule type="containsBlanks" dxfId="17962" priority="16257">
      <formula>LEN(TRIM(K99))=0</formula>
    </cfRule>
    <cfRule type="containsBlanks" dxfId="17961" priority="16258">
      <formula>LEN(TRIM(K99))=0</formula>
    </cfRule>
    <cfRule type="containsBlanks" dxfId="17960" priority="16259">
      <formula>LEN(TRIM(K99))=0</formula>
    </cfRule>
    <cfRule type="containsBlanks" dxfId="17959" priority="16260">
      <formula>LEN(TRIM(K99))=0</formula>
    </cfRule>
    <cfRule type="containsBlanks" dxfId="17958" priority="16261">
      <formula>LEN(TRIM(K99))=0</formula>
    </cfRule>
    <cfRule type="containsBlanks" dxfId="17957" priority="16262">
      <formula>LEN(TRIM(K99))=0</formula>
    </cfRule>
    <cfRule type="containsBlanks" dxfId="17956" priority="16263">
      <formula>LEN(TRIM(K99))=0</formula>
    </cfRule>
    <cfRule type="containsBlanks" dxfId="17955" priority="16264">
      <formula>LEN(TRIM(K99))=0</formula>
    </cfRule>
    <cfRule type="containsBlanks" dxfId="17954" priority="16265">
      <formula>LEN(TRIM(K99))=0</formula>
    </cfRule>
    <cfRule type="containsBlanks" dxfId="17953" priority="16266">
      <formula>LEN(TRIM(K99))=0</formula>
    </cfRule>
    <cfRule type="containsBlanks" dxfId="17952" priority="16267">
      <formula>LEN(TRIM(K99))=0</formula>
    </cfRule>
    <cfRule type="containsBlanks" dxfId="17951" priority="16268">
      <formula>LEN(TRIM(K99))=0</formula>
    </cfRule>
    <cfRule type="containsBlanks" dxfId="17950" priority="16269">
      <formula>LEN(TRIM(K99))=0</formula>
    </cfRule>
    <cfRule type="containsBlanks" dxfId="17949" priority="16271">
      <formula>LEN(TRIM(K99))=0</formula>
    </cfRule>
  </conditionalFormatting>
  <conditionalFormatting sqref="K135:M135">
    <cfRule type="containsBlanks" dxfId="17948" priority="16116">
      <formula>LEN(TRIM(K135))=0</formula>
    </cfRule>
    <cfRule type="containsBlanks" dxfId="17947" priority="16117">
      <formula>LEN(TRIM(K135))=0</formula>
    </cfRule>
    <cfRule type="containsBlanks" dxfId="17946" priority="16118">
      <formula>LEN(TRIM(K135))=0</formula>
    </cfRule>
    <cfRule type="containsBlanks" dxfId="17945" priority="16119">
      <formula>LEN(TRIM(K135))=0</formula>
    </cfRule>
    <cfRule type="containsBlanks" dxfId="17944" priority="16120">
      <formula>LEN(TRIM(K135))=0</formula>
    </cfRule>
    <cfRule type="containsBlanks" dxfId="17943" priority="16121">
      <formula>LEN(TRIM(K135))=0</formula>
    </cfRule>
    <cfRule type="containsBlanks" dxfId="17942" priority="16122">
      <formula>LEN(TRIM(K135))=0</formula>
    </cfRule>
    <cfRule type="containsBlanks" dxfId="17941" priority="16123">
      <formula>LEN(TRIM(K135))=0</formula>
    </cfRule>
    <cfRule type="containsBlanks" dxfId="17940" priority="16124">
      <formula>LEN(TRIM(K135))=0</formula>
    </cfRule>
    <cfRule type="containsBlanks" dxfId="17939" priority="16125">
      <formula>LEN(TRIM(K135))=0</formula>
    </cfRule>
    <cfRule type="containsBlanks" dxfId="17938" priority="16126">
      <formula>LEN(TRIM(K135))=0</formula>
    </cfRule>
    <cfRule type="containsBlanks" dxfId="17937" priority="16127">
      <formula>LEN(TRIM(K135))=0</formula>
    </cfRule>
    <cfRule type="containsBlanks" dxfId="17936" priority="16128">
      <formula>LEN(TRIM(K135))=0</formula>
    </cfRule>
    <cfRule type="containsBlanks" dxfId="17935" priority="16129">
      <formula>LEN(TRIM(K135))=0</formula>
    </cfRule>
    <cfRule type="containsBlanks" dxfId="17934" priority="16130">
      <formula>LEN(TRIM(K135))=0</formula>
    </cfRule>
    <cfRule type="containsBlanks" dxfId="17933" priority="16131">
      <formula>LEN(TRIM(K135))=0</formula>
    </cfRule>
    <cfRule type="containsBlanks" dxfId="17932" priority="16132">
      <formula>LEN(TRIM(K135))=0</formula>
    </cfRule>
    <cfRule type="containsBlanks" dxfId="17931" priority="16133">
      <formula>LEN(TRIM(K135))=0</formula>
    </cfRule>
    <cfRule type="containsBlanks" dxfId="17930" priority="16134">
      <formula>LEN(TRIM(K135))=0</formula>
    </cfRule>
    <cfRule type="containsBlanks" dxfId="17929" priority="16135">
      <formula>LEN(TRIM(K135))=0</formula>
    </cfRule>
    <cfRule type="containsBlanks" dxfId="17928" priority="16136">
      <formula>LEN(TRIM(K135))=0</formula>
    </cfRule>
    <cfRule type="containsBlanks" dxfId="17927" priority="16137">
      <formula>LEN(TRIM(K135))=0</formula>
    </cfRule>
    <cfRule type="containsBlanks" dxfId="17926" priority="16138">
      <formula>LEN(TRIM(K135))=0</formula>
    </cfRule>
    <cfRule type="containsBlanks" dxfId="17925" priority="16139">
      <formula>LEN(TRIM(K135))=0</formula>
    </cfRule>
    <cfRule type="containsBlanks" dxfId="17924" priority="16140">
      <formula>LEN(TRIM(K135))=0</formula>
    </cfRule>
    <cfRule type="containsBlanks" dxfId="17923" priority="16141">
      <formula>LEN(TRIM(K135))=0</formula>
    </cfRule>
    <cfRule type="containsBlanks" dxfId="17922" priority="16142">
      <formula>LEN(TRIM(K135))=0</formula>
    </cfRule>
    <cfRule type="containsBlanks" dxfId="17921" priority="16143">
      <formula>LEN(TRIM(K135))=0</formula>
    </cfRule>
    <cfRule type="containsBlanks" dxfId="17920" priority="16144">
      <formula>LEN(TRIM(K135))=0</formula>
    </cfRule>
    <cfRule type="containsBlanks" dxfId="17919" priority="16145">
      <formula>LEN(TRIM(K135))=0</formula>
    </cfRule>
    <cfRule type="containsBlanks" dxfId="17918" priority="16146">
      <formula>LEN(TRIM(K135))=0</formula>
    </cfRule>
    <cfRule type="containsBlanks" dxfId="17917" priority="16147">
      <formula>LEN(TRIM(K135))=0</formula>
    </cfRule>
    <cfRule type="containsBlanks" dxfId="17916" priority="16148">
      <formula>LEN(TRIM(K135))=0</formula>
    </cfRule>
    <cfRule type="containsBlanks" dxfId="17915" priority="16149">
      <formula>LEN(TRIM(K135))=0</formula>
    </cfRule>
    <cfRule type="containsBlanks" dxfId="17914" priority="16150">
      <formula>LEN(TRIM(K135))=0</formula>
    </cfRule>
    <cfRule type="containsBlanks" dxfId="17913" priority="16151">
      <formula>LEN(TRIM(K135))=0</formula>
    </cfRule>
    <cfRule type="containsBlanks" dxfId="17912" priority="16152">
      <formula>LEN(TRIM(K135))=0</formula>
    </cfRule>
    <cfRule type="containsBlanks" dxfId="17911" priority="16153">
      <formula>LEN(TRIM(K135))=0</formula>
    </cfRule>
    <cfRule type="containsBlanks" dxfId="17910" priority="16154">
      <formula>LEN(TRIM(K135))=0</formula>
    </cfRule>
    <cfRule type="containsBlanks" dxfId="17909" priority="16155">
      <formula>LEN(TRIM(K135))=0</formula>
    </cfRule>
    <cfRule type="containsBlanks" dxfId="17908" priority="16156">
      <formula>LEN(TRIM(K135))=0</formula>
    </cfRule>
    <cfRule type="containsBlanks" dxfId="17907" priority="16157">
      <formula>LEN(TRIM(K135))=0</formula>
    </cfRule>
    <cfRule type="containsBlanks" dxfId="17906" priority="16158">
      <formula>LEN(TRIM(K135))=0</formula>
    </cfRule>
    <cfRule type="containsBlanks" dxfId="17905" priority="16159">
      <formula>LEN(TRIM(K135))=0</formula>
    </cfRule>
    <cfRule type="containsBlanks" dxfId="17904" priority="16160">
      <formula>LEN(TRIM(K135))=0</formula>
    </cfRule>
    <cfRule type="containsBlanks" dxfId="17903" priority="16161">
      <formula>LEN(TRIM(K135))=0</formula>
    </cfRule>
    <cfRule type="containsBlanks" dxfId="17902" priority="16162">
      <formula>LEN(TRIM(K135))=0</formula>
    </cfRule>
    <cfRule type="containsBlanks" dxfId="17901" priority="16163">
      <formula>LEN(TRIM(K135))=0</formula>
    </cfRule>
    <cfRule type="containsBlanks" dxfId="17900" priority="16164">
      <formula>LEN(TRIM(K135))=0</formula>
    </cfRule>
    <cfRule type="containsBlanks" dxfId="17899" priority="16165">
      <formula>LEN(TRIM(K135))=0</formula>
    </cfRule>
    <cfRule type="containsBlanks" dxfId="17898" priority="16166">
      <formula>LEN(TRIM(K135))=0</formula>
    </cfRule>
    <cfRule type="containsBlanks" dxfId="17897" priority="16167">
      <formula>LEN(TRIM(K135))=0</formula>
    </cfRule>
  </conditionalFormatting>
  <conditionalFormatting sqref="K146:M146">
    <cfRule type="containsBlanks" dxfId="17896" priority="15004">
      <formula>LEN(TRIM(K146))=0</formula>
    </cfRule>
    <cfRule type="containsBlanks" dxfId="17895" priority="15005">
      <formula>LEN(TRIM(K146))=0</formula>
    </cfRule>
    <cfRule type="containsBlanks" dxfId="17894" priority="15006">
      <formula>LEN(TRIM(K146))=0</formula>
    </cfRule>
    <cfRule type="containsBlanks" dxfId="17893" priority="15007">
      <formula>LEN(TRIM(K146))=0</formula>
    </cfRule>
    <cfRule type="containsBlanks" dxfId="17892" priority="15008">
      <formula>LEN(TRIM(K146))=0</formula>
    </cfRule>
    <cfRule type="containsBlanks" dxfId="17891" priority="15009">
      <formula>LEN(TRIM(K146))=0</formula>
    </cfRule>
    <cfRule type="containsBlanks" dxfId="17890" priority="15010">
      <formula>LEN(TRIM(K146))=0</formula>
    </cfRule>
    <cfRule type="containsBlanks" dxfId="17889" priority="15011">
      <formula>LEN(TRIM(K146))=0</formula>
    </cfRule>
    <cfRule type="containsBlanks" dxfId="17888" priority="15012">
      <formula>LEN(TRIM(K146))=0</formula>
    </cfRule>
    <cfRule type="containsBlanks" dxfId="17887" priority="15013">
      <formula>LEN(TRIM(K146))=0</formula>
    </cfRule>
    <cfRule type="containsBlanks" dxfId="17886" priority="15014">
      <formula>LEN(TRIM(K146))=0</formula>
    </cfRule>
    <cfRule type="containsBlanks" dxfId="17885" priority="15015">
      <formula>LEN(TRIM(K146))=0</formula>
    </cfRule>
    <cfRule type="containsBlanks" dxfId="17884" priority="15016">
      <formula>LEN(TRIM(K146))=0</formula>
    </cfRule>
    <cfRule type="containsBlanks" dxfId="17883" priority="15017">
      <formula>LEN(TRIM(K146))=0</formula>
    </cfRule>
    <cfRule type="containsBlanks" dxfId="17882" priority="15018">
      <formula>LEN(TRIM(K146))=0</formula>
    </cfRule>
    <cfRule type="containsBlanks" dxfId="17881" priority="15019">
      <formula>LEN(TRIM(K146))=0</formula>
    </cfRule>
    <cfRule type="containsBlanks" dxfId="17880" priority="15020">
      <formula>LEN(TRIM(K146))=0</formula>
    </cfRule>
    <cfRule type="containsBlanks" dxfId="17879" priority="15021">
      <formula>LEN(TRIM(K146))=0</formula>
    </cfRule>
    <cfRule type="containsBlanks" dxfId="17878" priority="15022">
      <formula>LEN(TRIM(K146))=0</formula>
    </cfRule>
    <cfRule type="containsBlanks" dxfId="17877" priority="15023">
      <formula>LEN(TRIM(K146))=0</formula>
    </cfRule>
    <cfRule type="containsBlanks" dxfId="17876" priority="15024">
      <formula>LEN(TRIM(K146))=0</formula>
    </cfRule>
    <cfRule type="containsBlanks" dxfId="17875" priority="15025">
      <formula>LEN(TRIM(K146))=0</formula>
    </cfRule>
    <cfRule type="containsBlanks" dxfId="17874" priority="15026">
      <formula>LEN(TRIM(K146))=0</formula>
    </cfRule>
    <cfRule type="containsBlanks" dxfId="17873" priority="15027">
      <formula>LEN(TRIM(K146))=0</formula>
    </cfRule>
    <cfRule type="containsBlanks" dxfId="17872" priority="15028">
      <formula>LEN(TRIM(K146))=0</formula>
    </cfRule>
    <cfRule type="containsBlanks" dxfId="17871" priority="15029">
      <formula>LEN(TRIM(K146))=0</formula>
    </cfRule>
    <cfRule type="containsBlanks" dxfId="17870" priority="15030">
      <formula>LEN(TRIM(K146))=0</formula>
    </cfRule>
    <cfRule type="containsBlanks" dxfId="17869" priority="15031">
      <formula>LEN(TRIM(K146))=0</formula>
    </cfRule>
    <cfRule type="containsBlanks" dxfId="17868" priority="15032">
      <formula>LEN(TRIM(K146))=0</formula>
    </cfRule>
    <cfRule type="containsBlanks" dxfId="17867" priority="15033">
      <formula>LEN(TRIM(K146))=0</formula>
    </cfRule>
    <cfRule type="containsBlanks" dxfId="17866" priority="15034">
      <formula>LEN(TRIM(K146))=0</formula>
    </cfRule>
    <cfRule type="containsBlanks" dxfId="17865" priority="15035">
      <formula>LEN(TRIM(K146))=0</formula>
    </cfRule>
    <cfRule type="containsBlanks" dxfId="17864" priority="15036">
      <formula>LEN(TRIM(K146))=0</formula>
    </cfRule>
    <cfRule type="containsBlanks" dxfId="17863" priority="15037">
      <formula>LEN(TRIM(K146))=0</formula>
    </cfRule>
    <cfRule type="containsBlanks" dxfId="17862" priority="15038">
      <formula>LEN(TRIM(K146))=0</formula>
    </cfRule>
    <cfRule type="containsBlanks" dxfId="17861" priority="15039">
      <formula>LEN(TRIM(K146))=0</formula>
    </cfRule>
    <cfRule type="containsBlanks" dxfId="17860" priority="15040">
      <formula>LEN(TRIM(K146))=0</formula>
    </cfRule>
    <cfRule type="containsBlanks" dxfId="17859" priority="15041">
      <formula>LEN(TRIM(K146))=0</formula>
    </cfRule>
    <cfRule type="containsBlanks" dxfId="17858" priority="15042">
      <formula>LEN(TRIM(K146))=0</formula>
    </cfRule>
    <cfRule type="containsBlanks" dxfId="17857" priority="15043">
      <formula>LEN(TRIM(K146))=0</formula>
    </cfRule>
    <cfRule type="containsBlanks" dxfId="17856" priority="15044">
      <formula>LEN(TRIM(K146))=0</formula>
    </cfRule>
    <cfRule type="containsBlanks" dxfId="17855" priority="15045">
      <formula>LEN(TRIM(K146))=0</formula>
    </cfRule>
    <cfRule type="containsBlanks" dxfId="17854" priority="15046">
      <formula>LEN(TRIM(K146))=0</formula>
    </cfRule>
    <cfRule type="containsBlanks" dxfId="17853" priority="15047">
      <formula>LEN(TRIM(K146))=0</formula>
    </cfRule>
    <cfRule type="containsBlanks" dxfId="17852" priority="15048">
      <formula>LEN(TRIM(K146))=0</formula>
    </cfRule>
    <cfRule type="containsBlanks" dxfId="17851" priority="15049">
      <formula>LEN(TRIM(K146))=0</formula>
    </cfRule>
    <cfRule type="containsBlanks" dxfId="17850" priority="15050">
      <formula>LEN(TRIM(K146))=0</formula>
    </cfRule>
    <cfRule type="containsBlanks" dxfId="17849" priority="15051">
      <formula>LEN(TRIM(K146))=0</formula>
    </cfRule>
    <cfRule type="containsBlanks" dxfId="17848" priority="15052">
      <formula>LEN(TRIM(K146))=0</formula>
    </cfRule>
    <cfRule type="containsBlanks" dxfId="17847" priority="15053">
      <formula>LEN(TRIM(K146))=0</formula>
    </cfRule>
    <cfRule type="containsBlanks" dxfId="17846" priority="15054">
      <formula>LEN(TRIM(K146))=0</formula>
    </cfRule>
    <cfRule type="containsBlanks" dxfId="17845" priority="15055">
      <formula>LEN(TRIM(K146))=0</formula>
    </cfRule>
  </conditionalFormatting>
  <conditionalFormatting sqref="K150:M150">
    <cfRule type="containsBlanks" dxfId="17844" priority="16168">
      <formula>LEN(TRIM(K150))=0</formula>
    </cfRule>
    <cfRule type="containsBlanks" dxfId="17843" priority="16169">
      <formula>LEN(TRIM(K150))=0</formula>
    </cfRule>
    <cfRule type="containsBlanks" dxfId="17842" priority="16170">
      <formula>LEN(TRIM(K150))=0</formula>
    </cfRule>
    <cfRule type="containsBlanks" dxfId="17841" priority="16171">
      <formula>LEN(TRIM(K150))=0</formula>
    </cfRule>
    <cfRule type="containsBlanks" dxfId="17840" priority="16172">
      <formula>LEN(TRIM(K150))=0</formula>
    </cfRule>
    <cfRule type="containsBlanks" dxfId="17839" priority="16173">
      <formula>LEN(TRIM(K150))=0</formula>
    </cfRule>
    <cfRule type="containsBlanks" dxfId="17838" priority="16174">
      <formula>LEN(TRIM(K150))=0</formula>
    </cfRule>
    <cfRule type="containsBlanks" dxfId="17837" priority="16175">
      <formula>LEN(TRIM(K150))=0</formula>
    </cfRule>
    <cfRule type="containsBlanks" dxfId="17836" priority="16176">
      <formula>LEN(TRIM(K150))=0</formula>
    </cfRule>
    <cfRule type="containsBlanks" dxfId="17835" priority="16177">
      <formula>LEN(TRIM(K150))=0</formula>
    </cfRule>
    <cfRule type="containsBlanks" dxfId="17834" priority="16178">
      <formula>LEN(TRIM(K150))=0</formula>
    </cfRule>
    <cfRule type="containsBlanks" dxfId="17833" priority="16179">
      <formula>LEN(TRIM(K150))=0</formula>
    </cfRule>
    <cfRule type="containsBlanks" dxfId="17832" priority="16180">
      <formula>LEN(TRIM(K150))=0</formula>
    </cfRule>
    <cfRule type="containsBlanks" dxfId="17831" priority="16181">
      <formula>LEN(TRIM(K150))=0</formula>
    </cfRule>
    <cfRule type="containsBlanks" dxfId="17830" priority="16182">
      <formula>LEN(TRIM(K150))=0</formula>
    </cfRule>
    <cfRule type="containsBlanks" dxfId="17829" priority="16183">
      <formula>LEN(TRIM(K150))=0</formula>
    </cfRule>
    <cfRule type="containsBlanks" dxfId="17828" priority="16184">
      <formula>LEN(TRIM(K150))=0</formula>
    </cfRule>
    <cfRule type="containsBlanks" dxfId="17827" priority="16185">
      <formula>LEN(TRIM(K150))=0</formula>
    </cfRule>
    <cfRule type="containsBlanks" dxfId="17826" priority="16186">
      <formula>LEN(TRIM(K150))=0</formula>
    </cfRule>
    <cfRule type="containsBlanks" dxfId="17825" priority="16187">
      <formula>LEN(TRIM(K150))=0</formula>
    </cfRule>
    <cfRule type="containsBlanks" dxfId="17824" priority="16188">
      <formula>LEN(TRIM(K150))=0</formula>
    </cfRule>
    <cfRule type="containsBlanks" dxfId="17823" priority="16189">
      <formula>LEN(TRIM(K150))=0</formula>
    </cfRule>
    <cfRule type="containsBlanks" dxfId="17822" priority="16190">
      <formula>LEN(TRIM(K150))=0</formula>
    </cfRule>
    <cfRule type="containsBlanks" dxfId="17821" priority="16191">
      <formula>LEN(TRIM(K150))=0</formula>
    </cfRule>
    <cfRule type="containsBlanks" dxfId="17820" priority="16192">
      <formula>LEN(TRIM(K150))=0</formula>
    </cfRule>
    <cfRule type="containsBlanks" dxfId="17819" priority="16193">
      <formula>LEN(TRIM(K150))=0</formula>
    </cfRule>
    <cfRule type="containsBlanks" dxfId="17818" priority="16194">
      <formula>LEN(TRIM(K150))=0</formula>
    </cfRule>
    <cfRule type="containsBlanks" dxfId="17817" priority="16195">
      <formula>LEN(TRIM(K150))=0</formula>
    </cfRule>
    <cfRule type="containsBlanks" dxfId="17816" priority="16196">
      <formula>LEN(TRIM(K150))=0</formula>
    </cfRule>
    <cfRule type="containsBlanks" dxfId="17815" priority="16197">
      <formula>LEN(TRIM(K150))=0</formula>
    </cfRule>
    <cfRule type="containsBlanks" dxfId="17814" priority="16198">
      <formula>LEN(TRIM(K150))=0</formula>
    </cfRule>
    <cfRule type="containsBlanks" dxfId="17813" priority="16199">
      <formula>LEN(TRIM(K150))=0</formula>
    </cfRule>
    <cfRule type="containsBlanks" dxfId="17812" priority="16200">
      <formula>LEN(TRIM(K150))=0</formula>
    </cfRule>
    <cfRule type="containsBlanks" dxfId="17811" priority="16201">
      <formula>LEN(TRIM(K150))=0</formula>
    </cfRule>
    <cfRule type="containsBlanks" dxfId="17810" priority="16202">
      <formula>LEN(TRIM(K150))=0</formula>
    </cfRule>
    <cfRule type="containsBlanks" dxfId="17809" priority="16203">
      <formula>LEN(TRIM(K150))=0</formula>
    </cfRule>
    <cfRule type="containsBlanks" dxfId="17808" priority="16204">
      <formula>LEN(TRIM(K150))=0</formula>
    </cfRule>
    <cfRule type="containsBlanks" dxfId="17807" priority="16205">
      <formula>LEN(TRIM(K150))=0</formula>
    </cfRule>
    <cfRule type="containsBlanks" dxfId="17806" priority="16206">
      <formula>LEN(TRIM(K150))=0</formula>
    </cfRule>
    <cfRule type="containsBlanks" dxfId="17805" priority="16207">
      <formula>LEN(TRIM(K150))=0</formula>
    </cfRule>
    <cfRule type="containsBlanks" dxfId="17804" priority="16208">
      <formula>LEN(TRIM(K150))=0</formula>
    </cfRule>
    <cfRule type="containsBlanks" dxfId="17803" priority="16209">
      <formula>LEN(TRIM(K150))=0</formula>
    </cfRule>
    <cfRule type="containsBlanks" dxfId="17802" priority="16210">
      <formula>LEN(TRIM(K150))=0</formula>
    </cfRule>
    <cfRule type="containsBlanks" dxfId="17801" priority="16211">
      <formula>LEN(TRIM(K150))=0</formula>
    </cfRule>
    <cfRule type="containsBlanks" dxfId="17800" priority="16212">
      <formula>LEN(TRIM(K150))=0</formula>
    </cfRule>
    <cfRule type="containsBlanks" dxfId="17799" priority="16213">
      <formula>LEN(TRIM(K150))=0</formula>
    </cfRule>
    <cfRule type="containsBlanks" dxfId="17798" priority="16214">
      <formula>LEN(TRIM(K150))=0</formula>
    </cfRule>
    <cfRule type="containsBlanks" dxfId="17797" priority="16215">
      <formula>LEN(TRIM(K150))=0</formula>
    </cfRule>
    <cfRule type="containsBlanks" dxfId="17796" priority="16216">
      <formula>LEN(TRIM(K150))=0</formula>
    </cfRule>
    <cfRule type="containsBlanks" dxfId="17795" priority="16217">
      <formula>LEN(TRIM(K150))=0</formula>
    </cfRule>
    <cfRule type="containsBlanks" dxfId="17794" priority="16218">
      <formula>LEN(TRIM(K150))=0</formula>
    </cfRule>
    <cfRule type="containsBlanks" dxfId="17793" priority="16219">
      <formula>LEN(TRIM(K150))=0</formula>
    </cfRule>
  </conditionalFormatting>
  <conditionalFormatting sqref="L99:L158">
    <cfRule type="containsBlanks" dxfId="17792" priority="12801">
      <formula>LEN(TRIM(L99))=0</formula>
    </cfRule>
    <cfRule type="containsBlanks" dxfId="17791" priority="12802">
      <formula>LEN(TRIM(L99))=0</formula>
    </cfRule>
    <cfRule type="containsBlanks" dxfId="17790" priority="12803">
      <formula>LEN(TRIM(L99))=0</formula>
    </cfRule>
    <cfRule type="containsBlanks" dxfId="17789" priority="12804">
      <formula>LEN(TRIM(L99))=0</formula>
    </cfRule>
    <cfRule type="containsBlanks" dxfId="17788" priority="12805">
      <formula>LEN(TRIM(L99))=0</formula>
    </cfRule>
    <cfRule type="containsBlanks" dxfId="17787" priority="12806">
      <formula>LEN(TRIM(L99))=0</formula>
    </cfRule>
    <cfRule type="containsBlanks" dxfId="17786" priority="12807">
      <formula>LEN(TRIM(L99))=0</formula>
    </cfRule>
    <cfRule type="containsBlanks" dxfId="17785" priority="12808">
      <formula>LEN(TRIM(L99))=0</formula>
    </cfRule>
    <cfRule type="containsBlanks" dxfId="17784" priority="12809">
      <formula>LEN(TRIM(L99))=0</formula>
    </cfRule>
    <cfRule type="containsBlanks" dxfId="17783" priority="12810">
      <formula>LEN(TRIM(L99))=0</formula>
    </cfRule>
    <cfRule type="containsBlanks" dxfId="17782" priority="12811">
      <formula>LEN(TRIM(L99))=0</formula>
    </cfRule>
    <cfRule type="containsBlanks" dxfId="17781" priority="12812">
      <formula>LEN(TRIM(L99))=0</formula>
    </cfRule>
    <cfRule type="containsBlanks" dxfId="17780" priority="12813">
      <formula>LEN(TRIM(L99))=0</formula>
    </cfRule>
    <cfRule type="containsBlanks" dxfId="17779" priority="12814">
      <formula>LEN(TRIM(L99))=0</formula>
    </cfRule>
    <cfRule type="containsBlanks" dxfId="17778" priority="12815">
      <formula>LEN(TRIM(L99))=0</formula>
    </cfRule>
    <cfRule type="containsBlanks" dxfId="17777" priority="12816">
      <formula>LEN(TRIM(L99))=0</formula>
    </cfRule>
    <cfRule type="containsBlanks" dxfId="17776" priority="12817">
      <formula>LEN(TRIM(L99))=0</formula>
    </cfRule>
    <cfRule type="containsBlanks" dxfId="17775" priority="12818">
      <formula>LEN(TRIM(L99))=0</formula>
    </cfRule>
    <cfRule type="containsBlanks" dxfId="17774" priority="12819">
      <formula>LEN(TRIM(L99))=0</formula>
    </cfRule>
    <cfRule type="containsBlanks" dxfId="17773" priority="12820">
      <formula>LEN(TRIM(L99))=0</formula>
    </cfRule>
    <cfRule type="containsBlanks" dxfId="17772" priority="12821">
      <formula>LEN(TRIM(L99))=0</formula>
    </cfRule>
    <cfRule type="containsBlanks" dxfId="17771" priority="12822">
      <formula>LEN(TRIM(L99))=0</formula>
    </cfRule>
    <cfRule type="containsBlanks" dxfId="17770" priority="12823">
      <formula>LEN(TRIM(L99))=0</formula>
    </cfRule>
    <cfRule type="containsBlanks" dxfId="17769" priority="12824">
      <formula>LEN(TRIM(L99))=0</formula>
    </cfRule>
    <cfRule type="containsBlanks" dxfId="17768" priority="12825">
      <formula>LEN(TRIM(L99))=0</formula>
    </cfRule>
    <cfRule type="containsBlanks" dxfId="17767" priority="12826">
      <formula>LEN(TRIM(L99))=0</formula>
    </cfRule>
    <cfRule type="containsBlanks" dxfId="17766" priority="12827">
      <formula>LEN(TRIM(L99))=0</formula>
    </cfRule>
    <cfRule type="containsBlanks" dxfId="17765" priority="12828">
      <formula>LEN(TRIM(L99))=0</formula>
    </cfRule>
    <cfRule type="containsBlanks" dxfId="17764" priority="12829">
      <formula>LEN(TRIM(L99))=0</formula>
    </cfRule>
    <cfRule type="containsBlanks" dxfId="17763" priority="12830">
      <formula>LEN(TRIM(L99))=0</formula>
    </cfRule>
    <cfRule type="containsBlanks" dxfId="17762" priority="12831">
      <formula>LEN(TRIM(L99))=0</formula>
    </cfRule>
    <cfRule type="containsBlanks" dxfId="17761" priority="12832">
      <formula>LEN(TRIM(L99))=0</formula>
    </cfRule>
    <cfRule type="containsBlanks" dxfId="17760" priority="12833">
      <formula>LEN(TRIM(L99))=0</formula>
    </cfRule>
    <cfRule type="containsBlanks" dxfId="17759" priority="12834">
      <formula>LEN(TRIM(L99))=0</formula>
    </cfRule>
    <cfRule type="containsBlanks" dxfId="17758" priority="12835">
      <formula>LEN(TRIM(L99))=0</formula>
    </cfRule>
    <cfRule type="containsBlanks" dxfId="17757" priority="12836">
      <formula>LEN(TRIM(L99))=0</formula>
    </cfRule>
    <cfRule type="containsBlanks" dxfId="17756" priority="12837">
      <formula>LEN(TRIM(L99))=0</formula>
    </cfRule>
    <cfRule type="containsBlanks" dxfId="17755" priority="12838">
      <formula>LEN(TRIM(L99))=0</formula>
    </cfRule>
    <cfRule type="containsBlanks" dxfId="17754" priority="12839">
      <formula>LEN(TRIM(L99))=0</formula>
    </cfRule>
    <cfRule type="containsBlanks" dxfId="17753" priority="12840">
      <formula>LEN(TRIM(L99))=0</formula>
    </cfRule>
    <cfRule type="containsBlanks" dxfId="17752" priority="12841">
      <formula>LEN(TRIM(L99))=0</formula>
    </cfRule>
    <cfRule type="containsBlanks" dxfId="17751" priority="12842">
      <formula>LEN(TRIM(L99))=0</formula>
    </cfRule>
    <cfRule type="containsBlanks" dxfId="17750" priority="12843">
      <formula>LEN(TRIM(L99))=0</formula>
    </cfRule>
    <cfRule type="containsBlanks" dxfId="17749" priority="12844">
      <formula>LEN(TRIM(L99))=0</formula>
    </cfRule>
    <cfRule type="containsBlanks" dxfId="17748" priority="12845">
      <formula>LEN(TRIM(L99))=0</formula>
    </cfRule>
    <cfRule type="containsBlanks" dxfId="17747" priority="12846">
      <formula>LEN(TRIM(L99))=0</formula>
    </cfRule>
    <cfRule type="containsBlanks" dxfId="17746" priority="12847">
      <formula>LEN(TRIM(L99))=0</formula>
    </cfRule>
    <cfRule type="containsBlanks" dxfId="17745" priority="12848">
      <formula>LEN(TRIM(L99))=0</formula>
    </cfRule>
    <cfRule type="containsBlanks" dxfId="17744" priority="12849">
      <formula>LEN(TRIM(L99))=0</formula>
    </cfRule>
    <cfRule type="containsBlanks" dxfId="17743" priority="12850">
      <formula>LEN(TRIM(L99))=0</formula>
    </cfRule>
    <cfRule type="containsBlanks" dxfId="17742" priority="12851">
      <formula>LEN(TRIM(L99))=0</formula>
    </cfRule>
    <cfRule type="containsBlanks" dxfId="17741" priority="12852">
      <formula>LEN(TRIM(L99))=0</formula>
    </cfRule>
    <cfRule type="containsBlanks" dxfId="17740" priority="12853">
      <formula>LEN(TRIM(L99))=0</formula>
    </cfRule>
    <cfRule type="containsBlanks" dxfId="17739" priority="12854">
      <formula>LEN(TRIM(L99))=0</formula>
    </cfRule>
    <cfRule type="containsBlanks" dxfId="17738" priority="12855">
      <formula>LEN(TRIM(L99))=0</formula>
    </cfRule>
    <cfRule type="containsBlanks" dxfId="17737" priority="12856">
      <formula>LEN(TRIM(L99))=0</formula>
    </cfRule>
    <cfRule type="containsBlanks" dxfId="17736" priority="12857">
      <formula>LEN(TRIM(L99))=0</formula>
    </cfRule>
    <cfRule type="containsBlanks" dxfId="17735" priority="12858">
      <formula>LEN(TRIM(L99))=0</formula>
    </cfRule>
    <cfRule type="containsBlanks" dxfId="17734" priority="12859">
      <formula>LEN(TRIM(L99))=0</formula>
    </cfRule>
    <cfRule type="containsBlanks" dxfId="17733" priority="12860">
      <formula>LEN(TRIM(L99))=0</formula>
    </cfRule>
    <cfRule type="containsBlanks" dxfId="17732" priority="12861">
      <formula>LEN(TRIM(L99))=0</formula>
    </cfRule>
    <cfRule type="containsBlanks" dxfId="17731" priority="12862">
      <formula>LEN(TRIM(L99))=0</formula>
    </cfRule>
    <cfRule type="containsBlanks" dxfId="17730" priority="12863">
      <formula>LEN(TRIM(L99))=0</formula>
    </cfRule>
    <cfRule type="containsBlanks" dxfId="17729" priority="12864">
      <formula>LEN(TRIM(L99))=0</formula>
    </cfRule>
    <cfRule type="containsBlanks" dxfId="17728" priority="12865">
      <formula>LEN(TRIM(L99))=0</formula>
    </cfRule>
    <cfRule type="containsBlanks" dxfId="17727" priority="12866">
      <formula>LEN(TRIM(L99))=0</formula>
    </cfRule>
    <cfRule type="containsBlanks" dxfId="17726" priority="12867">
      <formula>LEN(TRIM(L99))=0</formula>
    </cfRule>
    <cfRule type="containsBlanks" dxfId="17725" priority="12868">
      <formula>LEN(TRIM(L99))=0</formula>
    </cfRule>
    <cfRule type="containsBlanks" dxfId="17724" priority="12869">
      <formula>LEN(TRIM(L99))=0</formula>
    </cfRule>
    <cfRule type="containsBlanks" dxfId="17723" priority="12870">
      <formula>LEN(TRIM(L99))=0</formula>
    </cfRule>
    <cfRule type="containsBlanks" dxfId="17722" priority="12871">
      <formula>LEN(TRIM(L99))=0</formula>
    </cfRule>
    <cfRule type="containsBlanks" dxfId="17721" priority="12872">
      <formula>LEN(TRIM(L99))=0</formula>
    </cfRule>
    <cfRule type="containsBlanks" dxfId="17720" priority="12873">
      <formula>LEN(TRIM(L99))=0</formula>
    </cfRule>
    <cfRule type="containsBlanks" dxfId="17719" priority="12874">
      <formula>LEN(TRIM(L99))=0</formula>
    </cfRule>
    <cfRule type="containsBlanks" dxfId="17718" priority="12875">
      <formula>LEN(TRIM(L99))=0</formula>
    </cfRule>
    <cfRule type="containsBlanks" dxfId="17717" priority="12876">
      <formula>LEN(TRIM(L99))=0</formula>
    </cfRule>
    <cfRule type="containsBlanks" dxfId="17716" priority="12877">
      <formula>LEN(TRIM(L99))=0</formula>
    </cfRule>
    <cfRule type="containsBlanks" dxfId="17715" priority="12878">
      <formula>LEN(TRIM(L99))=0</formula>
    </cfRule>
    <cfRule type="containsBlanks" dxfId="17714" priority="12879">
      <formula>LEN(TRIM(L99))=0</formula>
    </cfRule>
    <cfRule type="containsBlanks" dxfId="17713" priority="12880">
      <formula>LEN(TRIM(L99))=0</formula>
    </cfRule>
    <cfRule type="containsBlanks" dxfId="17712" priority="12881">
      <formula>LEN(TRIM(L99))=0</formula>
    </cfRule>
    <cfRule type="containsBlanks" dxfId="17711" priority="12882">
      <formula>LEN(TRIM(L99))=0</formula>
    </cfRule>
    <cfRule type="containsBlanks" dxfId="17710" priority="12883">
      <formula>LEN(TRIM(L99))=0</formula>
    </cfRule>
    <cfRule type="containsBlanks" dxfId="17709" priority="12884">
      <formula>LEN(TRIM(L99))=0</formula>
    </cfRule>
    <cfRule type="containsBlanks" dxfId="17708" priority="12885">
      <formula>LEN(TRIM(L99))=0</formula>
    </cfRule>
    <cfRule type="containsBlanks" dxfId="17707" priority="12886">
      <formula>LEN(TRIM(L99))=0</formula>
    </cfRule>
    <cfRule type="containsBlanks" dxfId="17706" priority="12887">
      <formula>LEN(TRIM(L99))=0</formula>
    </cfRule>
    <cfRule type="containsBlanks" dxfId="17705" priority="12888">
      <formula>LEN(TRIM(L99))=0</formula>
    </cfRule>
    <cfRule type="containsBlanks" dxfId="17704" priority="12889">
      <formula>LEN(TRIM(L99))=0</formula>
    </cfRule>
    <cfRule type="containsBlanks" dxfId="17703" priority="12890">
      <formula>LEN(TRIM(L99))=0</formula>
    </cfRule>
    <cfRule type="containsBlanks" dxfId="17702" priority="12891">
      <formula>LEN(TRIM(L99))=0</formula>
    </cfRule>
    <cfRule type="containsBlanks" dxfId="17701" priority="12892">
      <formula>LEN(TRIM(L99))=0</formula>
    </cfRule>
    <cfRule type="containsBlanks" dxfId="17700" priority="12893">
      <formula>LEN(TRIM(L99))=0</formula>
    </cfRule>
    <cfRule type="containsBlanks" dxfId="17699" priority="12894">
      <formula>LEN(TRIM(L99))=0</formula>
    </cfRule>
    <cfRule type="containsBlanks" dxfId="17698" priority="12895">
      <formula>LEN(TRIM(L99))=0</formula>
    </cfRule>
    <cfRule type="containsBlanks" dxfId="17697" priority="12896">
      <formula>LEN(TRIM(L99))=0</formula>
    </cfRule>
    <cfRule type="containsBlanks" dxfId="17696" priority="12897">
      <formula>LEN(TRIM(L99))=0</formula>
    </cfRule>
    <cfRule type="containsBlanks" dxfId="17695" priority="12898">
      <formula>LEN(TRIM(L99))=0</formula>
    </cfRule>
    <cfRule type="containsBlanks" dxfId="17694" priority="12899">
      <formula>LEN(TRIM(L99))=0</formula>
    </cfRule>
    <cfRule type="containsBlanks" dxfId="17693" priority="12900">
      <formula>LEN(TRIM(L99))=0</formula>
    </cfRule>
    <cfRule type="containsBlanks" dxfId="17692" priority="12901">
      <formula>LEN(TRIM(L99))=0</formula>
    </cfRule>
    <cfRule type="containsBlanks" dxfId="17691" priority="12902">
      <formula>LEN(TRIM(L99))=0</formula>
    </cfRule>
    <cfRule type="containsBlanks" dxfId="17690" priority="12903">
      <formula>LEN(TRIM(L99))=0</formula>
    </cfRule>
    <cfRule type="containsBlanks" dxfId="17689" priority="12904">
      <formula>LEN(TRIM(L99))=0</formula>
    </cfRule>
    <cfRule type="containsBlanks" dxfId="17688" priority="12905">
      <formula>LEN(TRIM(L99))=0</formula>
    </cfRule>
    <cfRule type="containsBlanks" dxfId="17687" priority="12906">
      <formula>LEN(TRIM(L99))=0</formula>
    </cfRule>
    <cfRule type="containsBlanks" dxfId="17686" priority="12907">
      <formula>LEN(TRIM(L99))=0</formula>
    </cfRule>
    <cfRule type="containsBlanks" dxfId="17685" priority="12908">
      <formula>LEN(TRIM(L99))=0</formula>
    </cfRule>
    <cfRule type="containsBlanks" dxfId="17684" priority="12909">
      <formula>LEN(TRIM(L99))=0</formula>
    </cfRule>
    <cfRule type="containsBlanks" dxfId="17683" priority="12910">
      <formula>LEN(TRIM(L99))=0</formula>
    </cfRule>
    <cfRule type="containsBlanks" dxfId="17682" priority="12911">
      <formula>LEN(TRIM(L99))=0</formula>
    </cfRule>
    <cfRule type="containsBlanks" dxfId="17681" priority="12912">
      <formula>LEN(TRIM(L99))=0</formula>
    </cfRule>
    <cfRule type="containsBlanks" dxfId="17680" priority="12913">
      <formula>LEN(TRIM(L99))=0</formula>
    </cfRule>
    <cfRule type="containsBlanks" dxfId="17679" priority="12914">
      <formula>LEN(TRIM(L99))=0</formula>
    </cfRule>
    <cfRule type="containsBlanks" dxfId="17678" priority="12915">
      <formula>LEN(TRIM(L99))=0</formula>
    </cfRule>
    <cfRule type="containsBlanks" dxfId="17677" priority="12916">
      <formula>LEN(TRIM(L99))=0</formula>
    </cfRule>
    <cfRule type="containsBlanks" dxfId="17676" priority="12917">
      <formula>LEN(TRIM(L99))=0</formula>
    </cfRule>
    <cfRule type="containsBlanks" dxfId="17675" priority="12918">
      <formula>LEN(TRIM(L99))=0</formula>
    </cfRule>
    <cfRule type="containsBlanks" dxfId="17674" priority="12919">
      <formula>LEN(TRIM(L99))=0</formula>
    </cfRule>
    <cfRule type="containsBlanks" dxfId="17673" priority="12920">
      <formula>LEN(TRIM(L99))=0</formula>
    </cfRule>
    <cfRule type="containsBlanks" dxfId="17672" priority="12921">
      <formula>LEN(TRIM(L99))=0</formula>
    </cfRule>
    <cfRule type="containsBlanks" dxfId="17671" priority="12922">
      <formula>LEN(TRIM(L99))=0</formula>
    </cfRule>
    <cfRule type="containsBlanks" dxfId="17670" priority="12923">
      <formula>LEN(TRIM(L99))=0</formula>
    </cfRule>
    <cfRule type="containsBlanks" dxfId="17669" priority="12924">
      <formula>LEN(TRIM(L99))=0</formula>
    </cfRule>
    <cfRule type="containsBlanks" dxfId="17668" priority="12925">
      <formula>LEN(TRIM(L99))=0</formula>
    </cfRule>
    <cfRule type="containsBlanks" dxfId="17667" priority="12926">
      <formula>LEN(TRIM(L99))=0</formula>
    </cfRule>
    <cfRule type="containsBlanks" dxfId="17666" priority="12927">
      <formula>LEN(TRIM(L99))=0</formula>
    </cfRule>
    <cfRule type="containsBlanks" dxfId="17665" priority="12928">
      <formula>LEN(TRIM(L99))=0</formula>
    </cfRule>
    <cfRule type="containsBlanks" dxfId="17664" priority="12929">
      <formula>LEN(TRIM(L99))=0</formula>
    </cfRule>
    <cfRule type="containsBlanks" dxfId="17663" priority="12930">
      <formula>LEN(TRIM(L99))=0</formula>
    </cfRule>
    <cfRule type="containsBlanks" dxfId="17662" priority="12931">
      <formula>LEN(TRIM(L99))=0</formula>
    </cfRule>
    <cfRule type="containsBlanks" dxfId="17661" priority="12932">
      <formula>LEN(TRIM(L99))=0</formula>
    </cfRule>
    <cfRule type="containsBlanks" dxfId="17660" priority="12933">
      <formula>LEN(TRIM(L99))=0</formula>
    </cfRule>
    <cfRule type="containsBlanks" dxfId="17659" priority="12934">
      <formula>LEN(TRIM(L99))=0</formula>
    </cfRule>
    <cfRule type="containsBlanks" dxfId="17658" priority="12935">
      <formula>LEN(TRIM(L99))=0</formula>
    </cfRule>
    <cfRule type="containsBlanks" dxfId="17657" priority="12936">
      <formula>LEN(TRIM(L99))=0</formula>
    </cfRule>
    <cfRule type="containsBlanks" dxfId="17656" priority="12937">
      <formula>LEN(TRIM(L99))=0</formula>
    </cfRule>
    <cfRule type="containsBlanks" dxfId="17655" priority="12938">
      <formula>LEN(TRIM(L99))=0</formula>
    </cfRule>
    <cfRule type="containsBlanks" dxfId="17654" priority="12939">
      <formula>LEN(TRIM(L99))=0</formula>
    </cfRule>
    <cfRule type="containsBlanks" dxfId="17653" priority="12940">
      <formula>LEN(TRIM(L99))=0</formula>
    </cfRule>
    <cfRule type="containsBlanks" dxfId="17652" priority="12941">
      <formula>LEN(TRIM(L99))=0</formula>
    </cfRule>
    <cfRule type="containsBlanks" dxfId="17651" priority="12942">
      <formula>LEN(TRIM(L99))=0</formula>
    </cfRule>
    <cfRule type="containsBlanks" dxfId="17650" priority="12943">
      <formula>LEN(TRIM(L99))=0</formula>
    </cfRule>
    <cfRule type="containsBlanks" dxfId="17649" priority="12944">
      <formula>LEN(TRIM(L99))=0</formula>
    </cfRule>
    <cfRule type="containsBlanks" dxfId="17648" priority="12945">
      <formula>LEN(TRIM(L99))=0</formula>
    </cfRule>
    <cfRule type="containsBlanks" dxfId="17647" priority="12946">
      <formula>LEN(TRIM(L99))=0</formula>
    </cfRule>
    <cfRule type="containsBlanks" dxfId="17646" priority="12947">
      <formula>LEN(TRIM(L99))=0</formula>
    </cfRule>
    <cfRule type="containsBlanks" dxfId="17645" priority="12948">
      <formula>LEN(TRIM(L99))=0</formula>
    </cfRule>
    <cfRule type="containsBlanks" dxfId="17644" priority="12949">
      <formula>LEN(TRIM(L99))=0</formula>
    </cfRule>
    <cfRule type="containsBlanks" dxfId="17643" priority="12950">
      <formula>LEN(TRIM(L99))=0</formula>
    </cfRule>
    <cfRule type="containsBlanks" dxfId="17642" priority="12951">
      <formula>LEN(TRIM(L99))=0</formula>
    </cfRule>
    <cfRule type="containsBlanks" dxfId="17641" priority="12952">
      <formula>LEN(TRIM(L99))=0</formula>
    </cfRule>
    <cfRule type="containsBlanks" dxfId="17640" priority="12953">
      <formula>LEN(TRIM(L99))=0</formula>
    </cfRule>
    <cfRule type="containsBlanks" dxfId="17639" priority="12954">
      <formula>LEN(TRIM(L99))=0</formula>
    </cfRule>
    <cfRule type="containsBlanks" dxfId="17638" priority="12955">
      <formula>LEN(TRIM(L99))=0</formula>
    </cfRule>
    <cfRule type="containsBlanks" dxfId="17637" priority="12956">
      <formula>LEN(TRIM(L99))=0</formula>
    </cfRule>
    <cfRule type="containsBlanks" dxfId="17636" priority="12957">
      <formula>LEN(TRIM(L99))=0</formula>
    </cfRule>
    <cfRule type="containsBlanks" dxfId="17635" priority="12958">
      <formula>LEN(TRIM(L99))=0</formula>
    </cfRule>
    <cfRule type="containsBlanks" dxfId="17634" priority="12959">
      <formula>LEN(TRIM(L99))=0</formula>
    </cfRule>
    <cfRule type="containsBlanks" dxfId="17633" priority="12960">
      <formula>LEN(TRIM(L99))=0</formula>
    </cfRule>
    <cfRule type="containsBlanks" dxfId="17632" priority="12961">
      <formula>LEN(TRIM(L99))=0</formula>
    </cfRule>
    <cfRule type="containsBlanks" dxfId="17631" priority="12962">
      <formula>LEN(TRIM(L99))=0</formula>
    </cfRule>
    <cfRule type="containsBlanks" dxfId="17630" priority="12963">
      <formula>LEN(TRIM(L99))=0</formula>
    </cfRule>
    <cfRule type="containsBlanks" dxfId="17629" priority="12964">
      <formula>LEN(TRIM(L99))=0</formula>
    </cfRule>
    <cfRule type="containsBlanks" dxfId="17628" priority="12965">
      <formula>LEN(TRIM(L99))=0</formula>
    </cfRule>
    <cfRule type="containsBlanks" dxfId="17627" priority="12966">
      <formula>LEN(TRIM(L99))=0</formula>
    </cfRule>
    <cfRule type="containsBlanks" dxfId="17626" priority="12967">
      <formula>LEN(TRIM(L99))=0</formula>
    </cfRule>
    <cfRule type="containsBlanks" dxfId="17625" priority="12968">
      <formula>LEN(TRIM(L99))=0</formula>
    </cfRule>
    <cfRule type="containsBlanks" dxfId="17624" priority="12969">
      <formula>LEN(TRIM(L99))=0</formula>
    </cfRule>
    <cfRule type="containsBlanks" dxfId="17623" priority="12970">
      <formula>LEN(TRIM(L99))=0</formula>
    </cfRule>
    <cfRule type="containsBlanks" dxfId="17622" priority="12971">
      <formula>LEN(TRIM(L99))=0</formula>
    </cfRule>
    <cfRule type="containsBlanks" dxfId="17621" priority="12972">
      <formula>LEN(TRIM(L99))=0</formula>
    </cfRule>
    <cfRule type="containsBlanks" dxfId="17620" priority="12973">
      <formula>LEN(TRIM(L99))=0</formula>
    </cfRule>
    <cfRule type="containsBlanks" dxfId="17619" priority="12974">
      <formula>LEN(TRIM(L99))=0</formula>
    </cfRule>
    <cfRule type="containsBlanks" dxfId="17618" priority="12975">
      <formula>LEN(TRIM(L99))=0</formula>
    </cfRule>
    <cfRule type="containsBlanks" dxfId="17617" priority="12976">
      <formula>LEN(TRIM(L99))=0</formula>
    </cfRule>
    <cfRule type="containsBlanks" dxfId="17616" priority="12977">
      <formula>LEN(TRIM(L99))=0</formula>
    </cfRule>
    <cfRule type="containsBlanks" dxfId="17615" priority="12978">
      <formula>LEN(TRIM(L99))=0</formula>
    </cfRule>
    <cfRule type="containsBlanks" dxfId="17614" priority="12979">
      <formula>LEN(TRIM(L99))=0</formula>
    </cfRule>
    <cfRule type="containsBlanks" dxfId="17613" priority="12980">
      <formula>LEN(TRIM(L99))=0</formula>
    </cfRule>
    <cfRule type="containsBlanks" dxfId="17612" priority="12981">
      <formula>LEN(TRIM(L99))=0</formula>
    </cfRule>
    <cfRule type="containsBlanks" dxfId="17611" priority="12982">
      <formula>LEN(TRIM(L99))=0</formula>
    </cfRule>
    <cfRule type="containsBlanks" dxfId="17610" priority="12983">
      <formula>LEN(TRIM(L99))=0</formula>
    </cfRule>
    <cfRule type="containsBlanks" dxfId="17609" priority="12984">
      <formula>LEN(TRIM(L99))=0</formula>
    </cfRule>
    <cfRule type="containsBlanks" dxfId="17608" priority="12985">
      <formula>LEN(TRIM(L99))=0</formula>
    </cfRule>
    <cfRule type="containsBlanks" dxfId="17607" priority="12986">
      <formula>LEN(TRIM(L99))=0</formula>
    </cfRule>
    <cfRule type="containsBlanks" dxfId="17606" priority="12987">
      <formula>LEN(TRIM(L99))=0</formula>
    </cfRule>
    <cfRule type="containsBlanks" dxfId="17605" priority="12988">
      <formula>LEN(TRIM(L99))=0</formula>
    </cfRule>
    <cfRule type="containsBlanks" dxfId="17604" priority="12989">
      <formula>LEN(TRIM(L99))=0</formula>
    </cfRule>
    <cfRule type="containsBlanks" dxfId="17603" priority="12990">
      <formula>LEN(TRIM(L99))=0</formula>
    </cfRule>
    <cfRule type="containsBlanks" dxfId="17602" priority="12991">
      <formula>LEN(TRIM(L99))=0</formula>
    </cfRule>
    <cfRule type="containsBlanks" dxfId="17601" priority="12992">
      <formula>LEN(TRIM(L99))=0</formula>
    </cfRule>
    <cfRule type="containsBlanks" dxfId="17600" priority="12993">
      <formula>LEN(TRIM(L99))=0</formula>
    </cfRule>
    <cfRule type="containsBlanks" dxfId="17599" priority="12994">
      <formula>LEN(TRIM(L99))=0</formula>
    </cfRule>
    <cfRule type="containsBlanks" dxfId="17598" priority="12995">
      <formula>LEN(TRIM(L99))=0</formula>
    </cfRule>
    <cfRule type="containsBlanks" dxfId="17597" priority="12996">
      <formula>LEN(TRIM(L99))=0</formula>
    </cfRule>
    <cfRule type="containsBlanks" dxfId="17596" priority="12997">
      <formula>LEN(TRIM(L99))=0</formula>
    </cfRule>
    <cfRule type="containsBlanks" dxfId="17595" priority="12998">
      <formula>LEN(TRIM(L99))=0</formula>
    </cfRule>
    <cfRule type="containsBlanks" dxfId="17594" priority="12999">
      <formula>LEN(TRIM(L99))=0</formula>
    </cfRule>
    <cfRule type="containsBlanks" dxfId="17593" priority="13000">
      <formula>LEN(TRIM(L99))=0</formula>
    </cfRule>
    <cfRule type="containsBlanks" dxfId="17592" priority="13001">
      <formula>LEN(TRIM(L99))=0</formula>
    </cfRule>
    <cfRule type="containsBlanks" dxfId="17591" priority="13002">
      <formula>LEN(TRIM(L99))=0</formula>
    </cfRule>
    <cfRule type="containsBlanks" dxfId="17590" priority="13003">
      <formula>LEN(TRIM(L99))=0</formula>
    </cfRule>
    <cfRule type="containsBlanks" dxfId="17589" priority="13004">
      <formula>LEN(TRIM(L99))=0</formula>
    </cfRule>
    <cfRule type="containsBlanks" dxfId="17588" priority="13005">
      <formula>LEN(TRIM(L99))=0</formula>
    </cfRule>
    <cfRule type="containsBlanks" dxfId="17587" priority="13006">
      <formula>LEN(TRIM(L99))=0</formula>
    </cfRule>
    <cfRule type="containsBlanks" dxfId="17586" priority="13007">
      <formula>LEN(TRIM(L99))=0</formula>
    </cfRule>
    <cfRule type="containsBlanks" dxfId="17585" priority="13008">
      <formula>LEN(TRIM(L99))=0</formula>
    </cfRule>
    <cfRule type="containsBlanks" dxfId="17584" priority="13009">
      <formula>LEN(TRIM(L99))=0</formula>
    </cfRule>
    <cfRule type="containsBlanks" dxfId="17583" priority="13010">
      <formula>LEN(TRIM(L99))=0</formula>
    </cfRule>
    <cfRule type="containsBlanks" dxfId="17582" priority="13011">
      <formula>LEN(TRIM(L99))=0</formula>
    </cfRule>
    <cfRule type="containsBlanks" dxfId="17581" priority="13012">
      <formula>LEN(TRIM(L99))=0</formula>
    </cfRule>
    <cfRule type="containsBlanks" dxfId="17580" priority="13013">
      <formula>LEN(TRIM(L99))=0</formula>
    </cfRule>
    <cfRule type="containsBlanks" dxfId="17579" priority="13014">
      <formula>LEN(TRIM(L99))=0</formula>
    </cfRule>
    <cfRule type="containsBlanks" dxfId="17578" priority="13015">
      <formula>LEN(TRIM(L99))=0</formula>
    </cfRule>
    <cfRule type="containsBlanks" dxfId="17577" priority="13016">
      <formula>LEN(TRIM(L99))=0</formula>
    </cfRule>
    <cfRule type="containsBlanks" dxfId="17576" priority="13017">
      <formula>LEN(TRIM(L99))=0</formula>
    </cfRule>
    <cfRule type="containsBlanks" dxfId="17575" priority="13018">
      <formula>LEN(TRIM(L99))=0</formula>
    </cfRule>
    <cfRule type="containsBlanks" dxfId="17574" priority="13019">
      <formula>LEN(TRIM(L99))=0</formula>
    </cfRule>
    <cfRule type="containsBlanks" dxfId="17573" priority="13020">
      <formula>LEN(TRIM(L99))=0</formula>
    </cfRule>
    <cfRule type="containsBlanks" dxfId="17572" priority="13021">
      <formula>LEN(TRIM(L99))=0</formula>
    </cfRule>
    <cfRule type="containsBlanks" dxfId="17571" priority="13022">
      <formula>LEN(TRIM(L99))=0</formula>
    </cfRule>
    <cfRule type="containsBlanks" dxfId="17570" priority="13023">
      <formula>LEN(TRIM(L99))=0</formula>
    </cfRule>
    <cfRule type="containsBlanks" dxfId="17569" priority="13024">
      <formula>LEN(TRIM(L99))=0</formula>
    </cfRule>
    <cfRule type="containsBlanks" dxfId="17568" priority="13025">
      <formula>LEN(TRIM(L99))=0</formula>
    </cfRule>
    <cfRule type="containsBlanks" dxfId="17567" priority="13026">
      <formula>LEN(TRIM(L99))=0</formula>
    </cfRule>
    <cfRule type="containsBlanks" dxfId="17566" priority="13027">
      <formula>LEN(TRIM(L99))=0</formula>
    </cfRule>
    <cfRule type="containsBlanks" dxfId="17565" priority="13028">
      <formula>LEN(TRIM(L99))=0</formula>
    </cfRule>
    <cfRule type="containsBlanks" dxfId="17564" priority="13029">
      <formula>LEN(TRIM(L99))=0</formula>
    </cfRule>
    <cfRule type="containsBlanks" dxfId="17563" priority="13030">
      <formula>LEN(TRIM(L99))=0</formula>
    </cfRule>
    <cfRule type="containsBlanks" dxfId="17562" priority="13031">
      <formula>LEN(TRIM(L99))=0</formula>
    </cfRule>
    <cfRule type="containsBlanks" dxfId="17561" priority="13032">
      <formula>LEN(TRIM(L99))=0</formula>
    </cfRule>
    <cfRule type="containsBlanks" dxfId="17560" priority="13033">
      <formula>LEN(TRIM(L99))=0</formula>
    </cfRule>
    <cfRule type="containsBlanks" dxfId="17559" priority="13034">
      <formula>LEN(TRIM(L99))=0</formula>
    </cfRule>
    <cfRule type="containsBlanks" dxfId="17558" priority="13035">
      <formula>LEN(TRIM(L99))=0</formula>
    </cfRule>
    <cfRule type="containsBlanks" dxfId="17557" priority="13036">
      <formula>LEN(TRIM(L99))=0</formula>
    </cfRule>
    <cfRule type="containsBlanks" dxfId="17556" priority="13037">
      <formula>LEN(TRIM(L99))=0</formula>
    </cfRule>
    <cfRule type="containsBlanks" dxfId="17555" priority="13038">
      <formula>LEN(TRIM(L99))=0</formula>
    </cfRule>
    <cfRule type="containsBlanks" dxfId="17554" priority="13039">
      <formula>LEN(TRIM(L99))=0</formula>
    </cfRule>
    <cfRule type="containsBlanks" dxfId="17553" priority="13040">
      <formula>LEN(TRIM(L99))=0</formula>
    </cfRule>
    <cfRule type="containsBlanks" dxfId="17552" priority="13041">
      <formula>LEN(TRIM(L99))=0</formula>
    </cfRule>
    <cfRule type="containsBlanks" dxfId="17551" priority="13042">
      <formula>LEN(TRIM(L99))=0</formula>
    </cfRule>
    <cfRule type="containsBlanks" dxfId="17550" priority="13043">
      <formula>LEN(TRIM(L99))=0</formula>
    </cfRule>
    <cfRule type="containsBlanks" dxfId="17549" priority="13044">
      <formula>LEN(TRIM(L99))=0</formula>
    </cfRule>
    <cfRule type="containsBlanks" dxfId="17548" priority="13045">
      <formula>LEN(TRIM(L99))=0</formula>
    </cfRule>
    <cfRule type="containsBlanks" dxfId="17547" priority="13046">
      <formula>LEN(TRIM(L99))=0</formula>
    </cfRule>
    <cfRule type="containsBlanks" dxfId="17546" priority="13047">
      <formula>LEN(TRIM(L99))=0</formula>
    </cfRule>
    <cfRule type="containsBlanks" dxfId="17545" priority="13048">
      <formula>LEN(TRIM(L99))=0</formula>
    </cfRule>
    <cfRule type="containsBlanks" dxfId="17544" priority="13049">
      <formula>LEN(TRIM(L99))=0</formula>
    </cfRule>
    <cfRule type="containsBlanks" dxfId="17543" priority="13050">
      <formula>LEN(TRIM(L99))=0</formula>
    </cfRule>
    <cfRule type="containsBlanks" dxfId="17542" priority="13051">
      <formula>LEN(TRIM(L99))=0</formula>
    </cfRule>
    <cfRule type="containsBlanks" dxfId="17541" priority="13052">
      <formula>LEN(TRIM(L99))=0</formula>
    </cfRule>
    <cfRule type="containsBlanks" dxfId="17540" priority="13053">
      <formula>LEN(TRIM(L99))=0</formula>
    </cfRule>
    <cfRule type="containsBlanks" dxfId="17539" priority="13054">
      <formula>LEN(TRIM(L99))=0</formula>
    </cfRule>
    <cfRule type="containsBlanks" dxfId="17538" priority="13055">
      <formula>LEN(TRIM(L99))=0</formula>
    </cfRule>
    <cfRule type="containsBlanks" dxfId="17537" priority="13056">
      <formula>LEN(TRIM(L99))=0</formula>
    </cfRule>
    <cfRule type="containsBlanks" dxfId="17536" priority="13057">
      <formula>LEN(TRIM(L99))=0</formula>
    </cfRule>
    <cfRule type="containsBlanks" dxfId="17535" priority="13058">
      <formula>LEN(TRIM(L99))=0</formula>
    </cfRule>
    <cfRule type="containsBlanks" dxfId="17534" priority="13059">
      <formula>LEN(TRIM(L99))=0</formula>
    </cfRule>
    <cfRule type="containsBlanks" dxfId="17533" priority="13060">
      <formula>LEN(TRIM(L99))=0</formula>
    </cfRule>
    <cfRule type="containsBlanks" dxfId="17532" priority="13061">
      <formula>LEN(TRIM(L99))=0</formula>
    </cfRule>
    <cfRule type="containsBlanks" dxfId="17531" priority="13062">
      <formula>LEN(TRIM(L99))=0</formula>
    </cfRule>
    <cfRule type="containsBlanks" dxfId="17530" priority="13063">
      <formula>LEN(TRIM(L99))=0</formula>
    </cfRule>
    <cfRule type="containsBlanks" dxfId="17529" priority="13064">
      <formula>LEN(TRIM(L99))=0</formula>
    </cfRule>
    <cfRule type="containsBlanks" dxfId="17528" priority="13065">
      <formula>LEN(TRIM(L99))=0</formula>
    </cfRule>
    <cfRule type="containsBlanks" dxfId="17527" priority="13066">
      <formula>LEN(TRIM(L99))=0</formula>
    </cfRule>
    <cfRule type="containsBlanks" dxfId="17526" priority="13067">
      <formula>LEN(TRIM(L99))=0</formula>
    </cfRule>
    <cfRule type="containsBlanks" dxfId="17525" priority="13068">
      <formula>LEN(TRIM(L99))=0</formula>
    </cfRule>
    <cfRule type="containsBlanks" dxfId="17524" priority="13069">
      <formula>LEN(TRIM(L99))=0</formula>
    </cfRule>
    <cfRule type="containsBlanks" dxfId="17523" priority="13070">
      <formula>LEN(TRIM(L99))=0</formula>
    </cfRule>
    <cfRule type="containsBlanks" dxfId="17522" priority="13071">
      <formula>LEN(TRIM(L99))=0</formula>
    </cfRule>
    <cfRule type="containsBlanks" dxfId="17521" priority="13072">
      <formula>LEN(TRIM(L99))=0</formula>
    </cfRule>
    <cfRule type="containsBlanks" dxfId="17520" priority="13073">
      <formula>LEN(TRIM(L99))=0</formula>
    </cfRule>
    <cfRule type="containsBlanks" dxfId="17519" priority="13074">
      <formula>LEN(TRIM(L99))=0</formula>
    </cfRule>
    <cfRule type="containsBlanks" dxfId="17518" priority="13075">
      <formula>LEN(TRIM(L99))=0</formula>
    </cfRule>
    <cfRule type="containsBlanks" dxfId="17517" priority="13076">
      <formula>LEN(TRIM(L99))=0</formula>
    </cfRule>
    <cfRule type="containsBlanks" dxfId="17516" priority="13077">
      <formula>LEN(TRIM(L99))=0</formula>
    </cfRule>
    <cfRule type="containsBlanks" dxfId="17515" priority="13078">
      <formula>LEN(TRIM(L99))=0</formula>
    </cfRule>
    <cfRule type="containsBlanks" dxfId="17514" priority="13079">
      <formula>LEN(TRIM(L99))=0</formula>
    </cfRule>
    <cfRule type="containsBlanks" dxfId="17513" priority="13080">
      <formula>LEN(TRIM(L99))=0</formula>
    </cfRule>
    <cfRule type="containsBlanks" dxfId="17512" priority="13081">
      <formula>LEN(TRIM(L99))=0</formula>
    </cfRule>
    <cfRule type="containsBlanks" dxfId="17511" priority="13082">
      <formula>LEN(TRIM(L99))=0</formula>
    </cfRule>
    <cfRule type="containsBlanks" dxfId="17510" priority="13083">
      <formula>LEN(TRIM(L99))=0</formula>
    </cfRule>
    <cfRule type="containsBlanks" dxfId="17509" priority="13084">
      <formula>LEN(TRIM(L99))=0</formula>
    </cfRule>
    <cfRule type="containsBlanks" dxfId="17508" priority="13085">
      <formula>LEN(TRIM(L99))=0</formula>
    </cfRule>
    <cfRule type="containsBlanks" dxfId="17507" priority="13086">
      <formula>LEN(TRIM(L99))=0</formula>
    </cfRule>
    <cfRule type="containsBlanks" dxfId="17506" priority="13087">
      <formula>LEN(TRIM(L99))=0</formula>
    </cfRule>
    <cfRule type="containsBlanks" dxfId="17505" priority="13088">
      <formula>LEN(TRIM(L99))=0</formula>
    </cfRule>
    <cfRule type="containsBlanks" dxfId="17504" priority="13089">
      <formula>LEN(TRIM(L99))=0</formula>
    </cfRule>
    <cfRule type="containsBlanks" dxfId="17503" priority="13090">
      <formula>LEN(TRIM(L99))=0</formula>
    </cfRule>
    <cfRule type="containsBlanks" dxfId="17502" priority="13091">
      <formula>LEN(TRIM(L99))=0</formula>
    </cfRule>
    <cfRule type="containsBlanks" dxfId="17501" priority="13092">
      <formula>LEN(TRIM(L99))=0</formula>
    </cfRule>
    <cfRule type="containsBlanks" dxfId="17500" priority="13093">
      <formula>LEN(TRIM(L99))=0</formula>
    </cfRule>
    <cfRule type="containsBlanks" dxfId="17499" priority="13094">
      <formula>LEN(TRIM(L99))=0</formula>
    </cfRule>
    <cfRule type="containsBlanks" dxfId="17498" priority="13095">
      <formula>LEN(TRIM(L99))=0</formula>
    </cfRule>
    <cfRule type="containsBlanks" dxfId="17497" priority="13096">
      <formula>LEN(TRIM(L99))=0</formula>
    </cfRule>
    <cfRule type="containsBlanks" dxfId="17496" priority="13097">
      <formula>LEN(TRIM(L99))=0</formula>
    </cfRule>
    <cfRule type="containsBlanks" dxfId="17495" priority="13098">
      <formula>LEN(TRIM(L99))=0</formula>
    </cfRule>
    <cfRule type="containsBlanks" dxfId="17494" priority="13099">
      <formula>LEN(TRIM(L99))=0</formula>
    </cfRule>
    <cfRule type="containsBlanks" dxfId="17493" priority="13100">
      <formula>LEN(TRIM(L99))=0</formula>
    </cfRule>
    <cfRule type="containsBlanks" dxfId="17492" priority="13101">
      <formula>LEN(TRIM(L99))=0</formula>
    </cfRule>
    <cfRule type="containsBlanks" dxfId="17491" priority="13102">
      <formula>LEN(TRIM(L99))=0</formula>
    </cfRule>
    <cfRule type="containsBlanks" dxfId="17490" priority="13103">
      <formula>LEN(TRIM(L99))=0</formula>
    </cfRule>
    <cfRule type="containsBlanks" dxfId="17489" priority="13104">
      <formula>LEN(TRIM(L99))=0</formula>
    </cfRule>
    <cfRule type="containsBlanks" dxfId="17488" priority="13105">
      <formula>LEN(TRIM(L99))=0</formula>
    </cfRule>
    <cfRule type="containsBlanks" dxfId="17487" priority="13106">
      <formula>LEN(TRIM(L99))=0</formula>
    </cfRule>
    <cfRule type="containsBlanks" dxfId="17486" priority="13107">
      <formula>LEN(TRIM(L99))=0</formula>
    </cfRule>
    <cfRule type="containsBlanks" dxfId="17485" priority="13108">
      <formula>LEN(TRIM(L99))=0</formula>
    </cfRule>
    <cfRule type="containsBlanks" dxfId="17484" priority="13109">
      <formula>LEN(TRIM(L99))=0</formula>
    </cfRule>
    <cfRule type="containsBlanks" dxfId="17483" priority="13110">
      <formula>LEN(TRIM(L99))=0</formula>
    </cfRule>
    <cfRule type="containsBlanks" dxfId="17482" priority="13111">
      <formula>LEN(TRIM(L99))=0</formula>
    </cfRule>
    <cfRule type="containsBlanks" dxfId="17481" priority="13112">
      <formula>LEN(TRIM(L99))=0</formula>
    </cfRule>
    <cfRule type="containsBlanks" dxfId="17480" priority="13113">
      <formula>LEN(TRIM(L99))=0</formula>
    </cfRule>
    <cfRule type="containsBlanks" dxfId="17479" priority="13114">
      <formula>LEN(TRIM(L99))=0</formula>
    </cfRule>
    <cfRule type="containsBlanks" dxfId="17478" priority="13115">
      <formula>LEN(TRIM(L99))=0</formula>
    </cfRule>
    <cfRule type="containsBlanks" dxfId="17477" priority="13116">
      <formula>LEN(TRIM(L99))=0</formula>
    </cfRule>
    <cfRule type="containsBlanks" dxfId="17476" priority="13117">
      <formula>LEN(TRIM(L99))=0</formula>
    </cfRule>
    <cfRule type="containsBlanks" dxfId="17475" priority="13118">
      <formula>LEN(TRIM(L99))=0</formula>
    </cfRule>
    <cfRule type="containsBlanks" dxfId="17474" priority="13119">
      <formula>LEN(TRIM(L99))=0</formula>
    </cfRule>
    <cfRule type="containsBlanks" dxfId="17473" priority="13120">
      <formula>LEN(TRIM(L99))=0</formula>
    </cfRule>
    <cfRule type="containsBlanks" dxfId="17472" priority="13121">
      <formula>LEN(TRIM(L99))=0</formula>
    </cfRule>
    <cfRule type="containsBlanks" dxfId="17471" priority="13122">
      <formula>LEN(TRIM(L99))=0</formula>
    </cfRule>
    <cfRule type="containsBlanks" dxfId="17470" priority="13123">
      <formula>LEN(TRIM(L99))=0</formula>
    </cfRule>
    <cfRule type="containsBlanks" dxfId="17469" priority="13124">
      <formula>LEN(TRIM(L99))=0</formula>
    </cfRule>
    <cfRule type="containsBlanks" dxfId="17468" priority="13125">
      <formula>LEN(TRIM(L99))=0</formula>
    </cfRule>
    <cfRule type="containsBlanks" dxfId="17467" priority="13126">
      <formula>LEN(TRIM(L99))=0</formula>
    </cfRule>
    <cfRule type="containsBlanks" dxfId="17466" priority="13127">
      <formula>LEN(TRIM(L99))=0</formula>
    </cfRule>
    <cfRule type="containsBlanks" dxfId="17465" priority="13128">
      <formula>LEN(TRIM(L99))=0</formula>
    </cfRule>
    <cfRule type="containsBlanks" dxfId="17464" priority="13129">
      <formula>LEN(TRIM(L99))=0</formula>
    </cfRule>
    <cfRule type="containsBlanks" dxfId="17463" priority="13130">
      <formula>LEN(TRIM(L99))=0</formula>
    </cfRule>
    <cfRule type="containsBlanks" dxfId="17462" priority="13131">
      <formula>LEN(TRIM(L99))=0</formula>
    </cfRule>
    <cfRule type="containsBlanks" dxfId="17461" priority="13132">
      <formula>LEN(TRIM(L99))=0</formula>
    </cfRule>
    <cfRule type="containsBlanks" dxfId="17460" priority="13133">
      <formula>LEN(TRIM(L99))=0</formula>
    </cfRule>
    <cfRule type="containsBlanks" dxfId="17459" priority="13134">
      <formula>LEN(TRIM(L99))=0</formula>
    </cfRule>
    <cfRule type="containsBlanks" dxfId="17458" priority="13135">
      <formula>LEN(TRIM(L99))=0</formula>
    </cfRule>
    <cfRule type="containsBlanks" dxfId="17457" priority="13136">
      <formula>LEN(TRIM(L99))=0</formula>
    </cfRule>
    <cfRule type="containsBlanks" dxfId="17456" priority="13137">
      <formula>LEN(TRIM(L99))=0</formula>
    </cfRule>
    <cfRule type="containsBlanks" dxfId="17455" priority="13138">
      <formula>LEN(TRIM(L99))=0</formula>
    </cfRule>
    <cfRule type="containsBlanks" dxfId="17454" priority="13139">
      <formula>LEN(TRIM(L99))=0</formula>
    </cfRule>
    <cfRule type="containsBlanks" dxfId="17453" priority="13140">
      <formula>LEN(TRIM(L99))=0</formula>
    </cfRule>
    <cfRule type="containsBlanks" dxfId="17452" priority="13141">
      <formula>LEN(TRIM(L99))=0</formula>
    </cfRule>
    <cfRule type="containsBlanks" dxfId="17451" priority="13142">
      <formula>LEN(TRIM(L99))=0</formula>
    </cfRule>
    <cfRule type="containsBlanks" dxfId="17450" priority="13143">
      <formula>LEN(TRIM(L99))=0</formula>
    </cfRule>
    <cfRule type="containsBlanks" dxfId="17449" priority="13144">
      <formula>LEN(TRIM(L99))=0</formula>
    </cfRule>
    <cfRule type="containsBlanks" dxfId="17448" priority="13145">
      <formula>LEN(TRIM(L99))=0</formula>
    </cfRule>
    <cfRule type="containsBlanks" dxfId="17447" priority="13146">
      <formula>LEN(TRIM(L99))=0</formula>
    </cfRule>
    <cfRule type="containsBlanks" dxfId="17446" priority="13147">
      <formula>LEN(TRIM(L99))=0</formula>
    </cfRule>
    <cfRule type="containsBlanks" dxfId="17445" priority="13148">
      <formula>LEN(TRIM(L99))=0</formula>
    </cfRule>
    <cfRule type="containsBlanks" dxfId="17444" priority="13149">
      <formula>LEN(TRIM(L99))=0</formula>
    </cfRule>
    <cfRule type="containsBlanks" dxfId="17443" priority="13150">
      <formula>LEN(TRIM(L99))=0</formula>
    </cfRule>
    <cfRule type="containsBlanks" dxfId="17442" priority="13151">
      <formula>LEN(TRIM(L99))=0</formula>
    </cfRule>
    <cfRule type="containsBlanks" dxfId="17441" priority="13152">
      <formula>LEN(TRIM(L99))=0</formula>
    </cfRule>
    <cfRule type="containsBlanks" dxfId="17440" priority="13153">
      <formula>LEN(TRIM(L99))=0</formula>
    </cfRule>
    <cfRule type="containsBlanks" dxfId="17439" priority="13154">
      <formula>LEN(TRIM(L99))=0</formula>
    </cfRule>
    <cfRule type="containsBlanks" dxfId="17438" priority="13155">
      <formula>LEN(TRIM(L99))=0</formula>
    </cfRule>
    <cfRule type="containsBlanks" dxfId="17437" priority="13156">
      <formula>LEN(TRIM(L99))=0</formula>
    </cfRule>
    <cfRule type="containsBlanks" dxfId="17436" priority="13157">
      <formula>LEN(TRIM(L99))=0</formula>
    </cfRule>
    <cfRule type="containsBlanks" dxfId="17435" priority="13158">
      <formula>LEN(TRIM(L99))=0</formula>
    </cfRule>
    <cfRule type="containsBlanks" dxfId="17434" priority="13159">
      <formula>LEN(TRIM(L99))=0</formula>
    </cfRule>
    <cfRule type="containsBlanks" dxfId="17433" priority="13160">
      <formula>LEN(TRIM(L99))=0</formula>
    </cfRule>
    <cfRule type="containsBlanks" dxfId="17432" priority="13161">
      <formula>LEN(TRIM(L99))=0</formula>
    </cfRule>
    <cfRule type="containsBlanks" dxfId="17431" priority="13162">
      <formula>LEN(TRIM(L99))=0</formula>
    </cfRule>
    <cfRule type="containsBlanks" dxfId="17430" priority="13163">
      <formula>LEN(TRIM(L99))=0</formula>
    </cfRule>
    <cfRule type="containsBlanks" dxfId="17429" priority="13164">
      <formula>LEN(TRIM(L99))=0</formula>
    </cfRule>
    <cfRule type="containsBlanks" dxfId="17428" priority="13165">
      <formula>LEN(TRIM(L99))=0</formula>
    </cfRule>
    <cfRule type="containsBlanks" dxfId="17427" priority="13166">
      <formula>LEN(TRIM(L99))=0</formula>
    </cfRule>
    <cfRule type="containsBlanks" dxfId="17426" priority="13167">
      <formula>LEN(TRIM(L99))=0</formula>
    </cfRule>
    <cfRule type="containsBlanks" dxfId="17425" priority="13168">
      <formula>LEN(TRIM(L99))=0</formula>
    </cfRule>
    <cfRule type="containsBlanks" dxfId="17424" priority="13169">
      <formula>LEN(TRIM(L99))=0</formula>
    </cfRule>
    <cfRule type="containsBlanks" dxfId="17423" priority="13170">
      <formula>LEN(TRIM(L99))=0</formula>
    </cfRule>
    <cfRule type="containsBlanks" dxfId="17422" priority="13171">
      <formula>LEN(TRIM(L99))=0</formula>
    </cfRule>
    <cfRule type="containsBlanks" dxfId="17421" priority="13172">
      <formula>LEN(TRIM(L99))=0</formula>
    </cfRule>
    <cfRule type="containsBlanks" dxfId="17420" priority="13173">
      <formula>LEN(TRIM(L99))=0</formula>
    </cfRule>
    <cfRule type="containsBlanks" dxfId="17419" priority="13174">
      <formula>LEN(TRIM(L99))=0</formula>
    </cfRule>
    <cfRule type="containsBlanks" dxfId="17418" priority="13175">
      <formula>LEN(TRIM(L99))=0</formula>
    </cfRule>
    <cfRule type="containsBlanks" dxfId="17417" priority="13176">
      <formula>LEN(TRIM(L99))=0</formula>
    </cfRule>
    <cfRule type="containsBlanks" dxfId="17416" priority="13177">
      <formula>LEN(TRIM(L99))=0</formula>
    </cfRule>
    <cfRule type="containsBlanks" dxfId="17415" priority="13178">
      <formula>LEN(TRIM(L99))=0</formula>
    </cfRule>
    <cfRule type="containsBlanks" dxfId="17414" priority="13179">
      <formula>LEN(TRIM(L99))=0</formula>
    </cfRule>
    <cfRule type="containsBlanks" dxfId="17413" priority="13180">
      <formula>LEN(TRIM(L99))=0</formula>
    </cfRule>
    <cfRule type="containsBlanks" dxfId="17412" priority="13181">
      <formula>LEN(TRIM(L99))=0</formula>
    </cfRule>
    <cfRule type="containsBlanks" dxfId="17411" priority="13182">
      <formula>LEN(TRIM(L99))=0</formula>
    </cfRule>
    <cfRule type="containsBlanks" dxfId="17410" priority="13183">
      <formula>LEN(TRIM(L99))=0</formula>
    </cfRule>
    <cfRule type="containsBlanks" dxfId="17409" priority="13184">
      <formula>LEN(TRIM(L99))=0</formula>
    </cfRule>
    <cfRule type="containsBlanks" dxfId="17408" priority="13185">
      <formula>LEN(TRIM(L99))=0</formula>
    </cfRule>
    <cfRule type="containsBlanks" dxfId="17407" priority="13186">
      <formula>LEN(TRIM(L99))=0</formula>
    </cfRule>
    <cfRule type="containsBlanks" dxfId="17406" priority="13187">
      <formula>LEN(TRIM(L99))=0</formula>
    </cfRule>
    <cfRule type="containsBlanks" dxfId="17405" priority="13188">
      <formula>LEN(TRIM(L99))=0</formula>
    </cfRule>
    <cfRule type="containsBlanks" dxfId="17404" priority="13189">
      <formula>LEN(TRIM(L99))=0</formula>
    </cfRule>
    <cfRule type="containsBlanks" dxfId="17403" priority="13190">
      <formula>LEN(TRIM(L99))=0</formula>
    </cfRule>
    <cfRule type="containsBlanks" dxfId="17402" priority="13191">
      <formula>LEN(TRIM(L99))=0</formula>
    </cfRule>
    <cfRule type="containsBlanks" dxfId="17401" priority="13192">
      <formula>LEN(TRIM(L99))=0</formula>
    </cfRule>
    <cfRule type="containsBlanks" dxfId="17400" priority="13193">
      <formula>LEN(TRIM(L99))=0</formula>
    </cfRule>
    <cfRule type="containsBlanks" dxfId="17399" priority="13194">
      <formula>LEN(TRIM(L99))=0</formula>
    </cfRule>
    <cfRule type="containsBlanks" dxfId="17398" priority="13195">
      <formula>LEN(TRIM(L99))=0</formula>
    </cfRule>
    <cfRule type="containsBlanks" dxfId="17397" priority="13196">
      <formula>LEN(TRIM(L99))=0</formula>
    </cfRule>
    <cfRule type="containsBlanks" dxfId="17396" priority="13197">
      <formula>LEN(TRIM(L99))=0</formula>
    </cfRule>
    <cfRule type="containsBlanks" dxfId="17395" priority="13198">
      <formula>LEN(TRIM(L99))=0</formula>
    </cfRule>
    <cfRule type="containsBlanks" dxfId="17394" priority="13199">
      <formula>LEN(TRIM(L99))=0</formula>
    </cfRule>
    <cfRule type="containsBlanks" dxfId="17393" priority="13200">
      <formula>LEN(TRIM(L99))=0</formula>
    </cfRule>
    <cfRule type="containsBlanks" dxfId="17392" priority="13201">
      <formula>LEN(TRIM(L99))=0</formula>
    </cfRule>
    <cfRule type="containsBlanks" dxfId="17391" priority="13202">
      <formula>LEN(TRIM(L99))=0</formula>
    </cfRule>
    <cfRule type="containsBlanks" dxfId="17390" priority="13203">
      <formula>LEN(TRIM(L99))=0</formula>
    </cfRule>
    <cfRule type="containsBlanks" dxfId="17389" priority="13204">
      <formula>LEN(TRIM(L99))=0</formula>
    </cfRule>
    <cfRule type="containsBlanks" dxfId="17388" priority="13205">
      <formula>LEN(TRIM(L99))=0</formula>
    </cfRule>
    <cfRule type="containsBlanks" dxfId="17387" priority="13206">
      <formula>LEN(TRIM(L99))=0</formula>
    </cfRule>
    <cfRule type="containsBlanks" dxfId="17386" priority="13207">
      <formula>LEN(TRIM(L99))=0</formula>
    </cfRule>
    <cfRule type="containsBlanks" dxfId="17385" priority="13208">
      <formula>LEN(TRIM(L99))=0</formula>
    </cfRule>
    <cfRule type="containsBlanks" dxfId="17384" priority="13209">
      <formula>LEN(TRIM(L99))=0</formula>
    </cfRule>
    <cfRule type="containsBlanks" dxfId="17383" priority="13210">
      <formula>LEN(TRIM(L99))=0</formula>
    </cfRule>
    <cfRule type="containsBlanks" dxfId="17382" priority="13211">
      <formula>LEN(TRIM(L99))=0</formula>
    </cfRule>
    <cfRule type="containsBlanks" dxfId="17381" priority="13212">
      <formula>LEN(TRIM(L99))=0</formula>
    </cfRule>
    <cfRule type="containsBlanks" dxfId="17380" priority="13213">
      <formula>LEN(TRIM(L99))=0</formula>
    </cfRule>
    <cfRule type="containsBlanks" dxfId="17379" priority="13214">
      <formula>LEN(TRIM(L99))=0</formula>
    </cfRule>
    <cfRule type="containsBlanks" dxfId="17378" priority="13215">
      <formula>LEN(TRIM(L99))=0</formula>
    </cfRule>
    <cfRule type="containsBlanks" dxfId="17377" priority="13216">
      <formula>LEN(TRIM(L99))=0</formula>
    </cfRule>
    <cfRule type="containsBlanks" dxfId="17376" priority="13217">
      <formula>LEN(TRIM(L99))=0</formula>
    </cfRule>
    <cfRule type="containsBlanks" dxfId="17375" priority="13218">
      <formula>LEN(TRIM(L99))=0</formula>
    </cfRule>
    <cfRule type="containsBlanks" dxfId="17374" priority="13219">
      <formula>LEN(TRIM(L99))=0</formula>
    </cfRule>
    <cfRule type="containsBlanks" dxfId="17373" priority="13220">
      <formula>LEN(TRIM(L99))=0</formula>
    </cfRule>
    <cfRule type="containsBlanks" dxfId="17372" priority="13221">
      <formula>LEN(TRIM(L99))=0</formula>
    </cfRule>
    <cfRule type="containsBlanks" dxfId="17371" priority="13222">
      <formula>LEN(TRIM(L99))=0</formula>
    </cfRule>
    <cfRule type="containsBlanks" dxfId="17370" priority="13223">
      <formula>LEN(TRIM(L99))=0</formula>
    </cfRule>
    <cfRule type="containsBlanks" dxfId="17369" priority="13224">
      <formula>LEN(TRIM(L99))=0</formula>
    </cfRule>
    <cfRule type="containsBlanks" dxfId="17368" priority="13225">
      <formula>LEN(TRIM(L99))=0</formula>
    </cfRule>
    <cfRule type="containsBlanks" dxfId="17367" priority="13226">
      <formula>LEN(TRIM(L99))=0</formula>
    </cfRule>
    <cfRule type="containsBlanks" dxfId="17366" priority="13227">
      <formula>LEN(TRIM(L99))=0</formula>
    </cfRule>
    <cfRule type="containsBlanks" dxfId="17365" priority="13228">
      <formula>LEN(TRIM(L99))=0</formula>
    </cfRule>
    <cfRule type="containsBlanks" dxfId="17364" priority="13229">
      <formula>LEN(TRIM(L99))=0</formula>
    </cfRule>
    <cfRule type="containsBlanks" dxfId="17363" priority="13230">
      <formula>LEN(TRIM(L99))=0</formula>
    </cfRule>
    <cfRule type="containsBlanks" dxfId="17362" priority="13231">
      <formula>LEN(TRIM(L99))=0</formula>
    </cfRule>
    <cfRule type="containsBlanks" dxfId="17361" priority="13232">
      <formula>LEN(TRIM(L99))=0</formula>
    </cfRule>
    <cfRule type="containsBlanks" dxfId="17360" priority="13233">
      <formula>LEN(TRIM(L99))=0</formula>
    </cfRule>
    <cfRule type="containsBlanks" dxfId="17359" priority="13234">
      <formula>LEN(TRIM(L99))=0</formula>
    </cfRule>
    <cfRule type="containsBlanks" dxfId="17358" priority="13235">
      <formula>LEN(TRIM(L99))=0</formula>
    </cfRule>
    <cfRule type="containsBlanks" dxfId="17357" priority="13236">
      <formula>LEN(TRIM(L99))=0</formula>
    </cfRule>
    <cfRule type="containsBlanks" dxfId="17356" priority="13237">
      <formula>LEN(TRIM(L99))=0</formula>
    </cfRule>
    <cfRule type="containsBlanks" dxfId="17355" priority="13238">
      <formula>LEN(TRIM(L99))=0</formula>
    </cfRule>
    <cfRule type="containsBlanks" dxfId="17354" priority="13239">
      <formula>LEN(TRIM(L99))=0</formula>
    </cfRule>
    <cfRule type="containsBlanks" dxfId="17353" priority="13240">
      <formula>LEN(TRIM(L99))=0</formula>
    </cfRule>
    <cfRule type="containsBlanks" dxfId="17352" priority="13241">
      <formula>LEN(TRIM(L99))=0</formula>
    </cfRule>
    <cfRule type="containsBlanks" dxfId="17351" priority="13242">
      <formula>LEN(TRIM(L99))=0</formula>
    </cfRule>
    <cfRule type="containsBlanks" dxfId="17350" priority="13243">
      <formula>LEN(TRIM(L99))=0</formula>
    </cfRule>
    <cfRule type="containsBlanks" dxfId="17349" priority="13244">
      <formula>LEN(TRIM(L99))=0</formula>
    </cfRule>
    <cfRule type="containsBlanks" dxfId="17348" priority="13245">
      <formula>LEN(TRIM(L99))=0</formula>
    </cfRule>
    <cfRule type="containsBlanks" dxfId="17347" priority="13246">
      <formula>LEN(TRIM(L99))=0</formula>
    </cfRule>
    <cfRule type="containsBlanks" dxfId="17346" priority="13247">
      <formula>LEN(TRIM(L99))=0</formula>
    </cfRule>
    <cfRule type="containsBlanks" dxfId="17345" priority="13248">
      <formula>LEN(TRIM(L99))=0</formula>
    </cfRule>
    <cfRule type="containsBlanks" dxfId="17344" priority="13249">
      <formula>LEN(TRIM(L99))=0</formula>
    </cfRule>
    <cfRule type="containsBlanks" dxfId="17343" priority="13250">
      <formula>LEN(TRIM(L99))=0</formula>
    </cfRule>
    <cfRule type="containsBlanks" dxfId="17342" priority="13251">
      <formula>LEN(TRIM(L99))=0</formula>
    </cfRule>
    <cfRule type="containsBlanks" dxfId="17341" priority="13252">
      <formula>LEN(TRIM(L99))=0</formula>
    </cfRule>
    <cfRule type="containsBlanks" dxfId="17340" priority="13253">
      <formula>LEN(TRIM(L99))=0</formula>
    </cfRule>
    <cfRule type="containsBlanks" dxfId="17339" priority="13254">
      <formula>LEN(TRIM(L99))=0</formula>
    </cfRule>
    <cfRule type="containsBlanks" dxfId="17338" priority="13255">
      <formula>LEN(TRIM(L99))=0</formula>
    </cfRule>
    <cfRule type="containsBlanks" dxfId="17337" priority="13256">
      <formula>LEN(TRIM(L99))=0</formula>
    </cfRule>
    <cfRule type="containsBlanks" dxfId="17336" priority="13257">
      <formula>LEN(TRIM(L99))=0</formula>
    </cfRule>
    <cfRule type="containsBlanks" dxfId="17335" priority="13258">
      <formula>LEN(TRIM(L99))=0</formula>
    </cfRule>
    <cfRule type="containsBlanks" dxfId="17334" priority="13259">
      <formula>LEN(TRIM(L99))=0</formula>
    </cfRule>
    <cfRule type="containsBlanks" dxfId="17333" priority="13260">
      <formula>LEN(TRIM(L99))=0</formula>
    </cfRule>
    <cfRule type="containsBlanks" dxfId="17332" priority="13261">
      <formula>LEN(TRIM(L99))=0</formula>
    </cfRule>
    <cfRule type="containsBlanks" dxfId="17331" priority="13262">
      <formula>LEN(TRIM(L99))=0</formula>
    </cfRule>
    <cfRule type="containsBlanks" dxfId="17330" priority="13263">
      <formula>LEN(TRIM(L99))=0</formula>
    </cfRule>
    <cfRule type="containsBlanks" dxfId="17329" priority="13264">
      <formula>LEN(TRIM(L99))=0</formula>
    </cfRule>
    <cfRule type="containsBlanks" dxfId="17328" priority="13265">
      <formula>LEN(TRIM(L99))=0</formula>
    </cfRule>
    <cfRule type="containsBlanks" dxfId="17327" priority="13266">
      <formula>LEN(TRIM(L99))=0</formula>
    </cfRule>
    <cfRule type="containsBlanks" dxfId="17326" priority="13267">
      <formula>LEN(TRIM(L99))=0</formula>
    </cfRule>
    <cfRule type="containsBlanks" dxfId="17325" priority="13268">
      <formula>LEN(TRIM(L99))=0</formula>
    </cfRule>
    <cfRule type="containsBlanks" dxfId="17324" priority="13269">
      <formula>LEN(TRIM(L99))=0</formula>
    </cfRule>
    <cfRule type="containsBlanks" dxfId="17323" priority="13270">
      <formula>LEN(TRIM(L99))=0</formula>
    </cfRule>
    <cfRule type="containsBlanks" dxfId="17322" priority="13271">
      <formula>LEN(TRIM(L99))=0</formula>
    </cfRule>
    <cfRule type="containsBlanks" dxfId="17321" priority="13272">
      <formula>LEN(TRIM(L99))=0</formula>
    </cfRule>
    <cfRule type="containsBlanks" dxfId="17320" priority="13273">
      <formula>LEN(TRIM(L99))=0</formula>
    </cfRule>
    <cfRule type="containsBlanks" dxfId="17319" priority="13274">
      <formula>LEN(TRIM(L99))=0</formula>
    </cfRule>
    <cfRule type="containsBlanks" dxfId="17318" priority="13275">
      <formula>LEN(TRIM(L99))=0</formula>
    </cfRule>
    <cfRule type="containsBlanks" dxfId="17317" priority="13276">
      <formula>LEN(TRIM(L99))=0</formula>
    </cfRule>
    <cfRule type="containsBlanks" dxfId="17316" priority="13277">
      <formula>LEN(TRIM(L99))=0</formula>
    </cfRule>
    <cfRule type="containsBlanks" dxfId="17315" priority="13278">
      <formula>LEN(TRIM(L99))=0</formula>
    </cfRule>
    <cfRule type="containsBlanks" dxfId="17314" priority="13279">
      <formula>LEN(TRIM(L99))=0</formula>
    </cfRule>
    <cfRule type="containsBlanks" dxfId="17313" priority="13280">
      <formula>LEN(TRIM(L99))=0</formula>
    </cfRule>
    <cfRule type="containsBlanks" dxfId="17312" priority="13281">
      <formula>LEN(TRIM(L99))=0</formula>
    </cfRule>
    <cfRule type="containsBlanks" dxfId="17311" priority="13282">
      <formula>LEN(TRIM(L99))=0</formula>
    </cfRule>
    <cfRule type="containsBlanks" dxfId="17310" priority="13283">
      <formula>LEN(TRIM(L99))=0</formula>
    </cfRule>
    <cfRule type="containsBlanks" dxfId="17309" priority="13284">
      <formula>LEN(TRIM(L99))=0</formula>
    </cfRule>
    <cfRule type="containsBlanks" dxfId="17308" priority="13285">
      <formula>LEN(TRIM(L99))=0</formula>
    </cfRule>
    <cfRule type="containsBlanks" dxfId="17307" priority="13286">
      <formula>LEN(TRIM(L99))=0</formula>
    </cfRule>
    <cfRule type="containsBlanks" dxfId="17306" priority="13287">
      <formula>LEN(TRIM(L99))=0</formula>
    </cfRule>
    <cfRule type="containsBlanks" dxfId="17305" priority="13288">
      <formula>LEN(TRIM(L99))=0</formula>
    </cfRule>
    <cfRule type="containsBlanks" dxfId="17304" priority="13289">
      <formula>LEN(TRIM(L99))=0</formula>
    </cfRule>
    <cfRule type="containsBlanks" dxfId="17303" priority="13290">
      <formula>LEN(TRIM(L99))=0</formula>
    </cfRule>
    <cfRule type="containsBlanks" dxfId="17302" priority="13291">
      <formula>LEN(TRIM(L99))=0</formula>
    </cfRule>
    <cfRule type="containsBlanks" dxfId="17301" priority="13292">
      <formula>LEN(TRIM(L99))=0</formula>
    </cfRule>
    <cfRule type="containsBlanks" dxfId="17300" priority="13293">
      <formula>LEN(TRIM(L99))=0</formula>
    </cfRule>
    <cfRule type="containsBlanks" dxfId="17299" priority="13294">
      <formula>LEN(TRIM(L99))=0</formula>
    </cfRule>
    <cfRule type="containsBlanks" dxfId="17298" priority="13295">
      <formula>LEN(TRIM(L99))=0</formula>
    </cfRule>
    <cfRule type="containsBlanks" dxfId="17297" priority="13296">
      <formula>LEN(TRIM(L99))=0</formula>
    </cfRule>
    <cfRule type="containsBlanks" dxfId="17296" priority="13297">
      <formula>LEN(TRIM(L99))=0</formula>
    </cfRule>
    <cfRule type="containsBlanks" dxfId="17295" priority="13298">
      <formula>LEN(TRIM(L99))=0</formula>
    </cfRule>
    <cfRule type="containsBlanks" dxfId="17294" priority="13299">
      <formula>LEN(TRIM(L99))=0</formula>
    </cfRule>
    <cfRule type="containsBlanks" dxfId="17293" priority="13300">
      <formula>LEN(TRIM(L99))=0</formula>
    </cfRule>
    <cfRule type="containsBlanks" dxfId="17292" priority="13301">
      <formula>LEN(TRIM(L99))=0</formula>
    </cfRule>
    <cfRule type="containsBlanks" dxfId="17291" priority="13302">
      <formula>LEN(TRIM(L99))=0</formula>
    </cfRule>
    <cfRule type="containsBlanks" dxfId="17290" priority="13303">
      <formula>LEN(TRIM(L99))=0</formula>
    </cfRule>
    <cfRule type="containsBlanks" dxfId="17289" priority="13304">
      <formula>LEN(TRIM(L99))=0</formula>
    </cfRule>
    <cfRule type="containsBlanks" dxfId="17288" priority="13305">
      <formula>LEN(TRIM(L99))=0</formula>
    </cfRule>
    <cfRule type="containsBlanks" dxfId="17287" priority="13306">
      <formula>LEN(TRIM(L99))=0</formula>
    </cfRule>
    <cfRule type="containsBlanks" dxfId="17286" priority="13307">
      <formula>LEN(TRIM(L99))=0</formula>
    </cfRule>
    <cfRule type="containsBlanks" dxfId="17285" priority="13308">
      <formula>LEN(TRIM(L99))=0</formula>
    </cfRule>
    <cfRule type="containsBlanks" dxfId="17284" priority="13309">
      <formula>LEN(TRIM(L99))=0</formula>
    </cfRule>
    <cfRule type="containsBlanks" dxfId="17283" priority="13310">
      <formula>LEN(TRIM(L99))=0</formula>
    </cfRule>
    <cfRule type="containsBlanks" dxfId="17282" priority="13311">
      <formula>LEN(TRIM(L99))=0</formula>
    </cfRule>
    <cfRule type="containsBlanks" dxfId="17281" priority="13312">
      <formula>LEN(TRIM(L99))=0</formula>
    </cfRule>
    <cfRule type="containsBlanks" dxfId="17280" priority="13313">
      <formula>LEN(TRIM(L99))=0</formula>
    </cfRule>
    <cfRule type="containsBlanks" dxfId="17279" priority="13314">
      <formula>LEN(TRIM(L99))=0</formula>
    </cfRule>
    <cfRule type="containsBlanks" dxfId="17278" priority="13315">
      <formula>LEN(TRIM(L99))=0</formula>
    </cfRule>
  </conditionalFormatting>
  <conditionalFormatting sqref="M99:M103 M110:M112 M114:M126 M128:M158 M105:M108">
    <cfRule type="containsBlanks" dxfId="17277" priority="12286">
      <formula>LEN(TRIM(M99))=0</formula>
    </cfRule>
    <cfRule type="containsBlanks" dxfId="17276" priority="12287">
      <formula>LEN(TRIM(M99))=0</formula>
    </cfRule>
    <cfRule type="containsBlanks" dxfId="17275" priority="12288">
      <formula>LEN(TRIM(M99))=0</formula>
    </cfRule>
    <cfRule type="containsBlanks" dxfId="17274" priority="12289">
      <formula>LEN(TRIM(M99))=0</formula>
    </cfRule>
    <cfRule type="containsBlanks" dxfId="17273" priority="12290">
      <formula>LEN(TRIM(M99))=0</formula>
    </cfRule>
    <cfRule type="containsBlanks" dxfId="17272" priority="12291">
      <formula>LEN(TRIM(M99))=0</formula>
    </cfRule>
    <cfRule type="containsBlanks" dxfId="17271" priority="12292">
      <formula>LEN(TRIM(M99))=0</formula>
    </cfRule>
    <cfRule type="containsBlanks" dxfId="17270" priority="12293">
      <formula>LEN(TRIM(M99))=0</formula>
    </cfRule>
    <cfRule type="containsBlanks" dxfId="17269" priority="12294">
      <formula>LEN(TRIM(M99))=0</formula>
    </cfRule>
    <cfRule type="containsBlanks" dxfId="17268" priority="12295">
      <formula>LEN(TRIM(M99))=0</formula>
    </cfRule>
    <cfRule type="containsBlanks" dxfId="17267" priority="12296">
      <formula>LEN(TRIM(M99))=0</formula>
    </cfRule>
    <cfRule type="containsBlanks" dxfId="17266" priority="12297">
      <formula>LEN(TRIM(M99))=0</formula>
    </cfRule>
    <cfRule type="containsBlanks" dxfId="17265" priority="12298">
      <formula>LEN(TRIM(M99))=0</formula>
    </cfRule>
    <cfRule type="containsBlanks" dxfId="17264" priority="12299">
      <formula>LEN(TRIM(M99))=0</formula>
    </cfRule>
    <cfRule type="containsBlanks" dxfId="17263" priority="12300">
      <formula>LEN(TRIM(M99))=0</formula>
    </cfRule>
    <cfRule type="containsBlanks" dxfId="17262" priority="12301">
      <formula>LEN(TRIM(M99))=0</formula>
    </cfRule>
    <cfRule type="containsBlanks" dxfId="17261" priority="12302">
      <formula>LEN(TRIM(M99))=0</formula>
    </cfRule>
    <cfRule type="containsBlanks" dxfId="17260" priority="12303">
      <formula>LEN(TRIM(M99))=0</formula>
    </cfRule>
    <cfRule type="containsBlanks" dxfId="17259" priority="12304">
      <formula>LEN(TRIM(M99))=0</formula>
    </cfRule>
    <cfRule type="containsBlanks" dxfId="17258" priority="12305">
      <formula>LEN(TRIM(M99))=0</formula>
    </cfRule>
    <cfRule type="containsBlanks" dxfId="17257" priority="12306">
      <formula>LEN(TRIM(M99))=0</formula>
    </cfRule>
    <cfRule type="containsBlanks" dxfId="17256" priority="12307">
      <formula>LEN(TRIM(M99))=0</formula>
    </cfRule>
    <cfRule type="containsBlanks" dxfId="17255" priority="12308">
      <formula>LEN(TRIM(M99))=0</formula>
    </cfRule>
    <cfRule type="containsBlanks" dxfId="17254" priority="12309">
      <formula>LEN(TRIM(M99))=0</formula>
    </cfRule>
    <cfRule type="containsBlanks" dxfId="17253" priority="12310">
      <formula>LEN(TRIM(M99))=0</formula>
    </cfRule>
    <cfRule type="containsBlanks" dxfId="17252" priority="12311">
      <formula>LEN(TRIM(M99))=0</formula>
    </cfRule>
    <cfRule type="containsBlanks" dxfId="17251" priority="12312">
      <formula>LEN(TRIM(M99))=0</formula>
    </cfRule>
    <cfRule type="containsBlanks" dxfId="17250" priority="12313">
      <formula>LEN(TRIM(M99))=0</formula>
    </cfRule>
    <cfRule type="containsBlanks" dxfId="17249" priority="12314">
      <formula>LEN(TRIM(M99))=0</formula>
    </cfRule>
    <cfRule type="containsBlanks" dxfId="17248" priority="12315">
      <formula>LEN(TRIM(M99))=0</formula>
    </cfRule>
    <cfRule type="containsBlanks" dxfId="17247" priority="12316">
      <formula>LEN(TRIM(M99))=0</formula>
    </cfRule>
    <cfRule type="containsBlanks" dxfId="17246" priority="12317">
      <formula>LEN(TRIM(M99))=0</formula>
    </cfRule>
    <cfRule type="containsBlanks" dxfId="17245" priority="12318">
      <formula>LEN(TRIM(M99))=0</formula>
    </cfRule>
    <cfRule type="containsBlanks" dxfId="17244" priority="12319">
      <formula>LEN(TRIM(M99))=0</formula>
    </cfRule>
    <cfRule type="containsBlanks" dxfId="17243" priority="12320">
      <formula>LEN(TRIM(M99))=0</formula>
    </cfRule>
    <cfRule type="containsBlanks" dxfId="17242" priority="12321">
      <formula>LEN(TRIM(M99))=0</formula>
    </cfRule>
    <cfRule type="containsBlanks" dxfId="17241" priority="12322">
      <formula>LEN(TRIM(M99))=0</formula>
    </cfRule>
    <cfRule type="containsBlanks" dxfId="17240" priority="12323">
      <formula>LEN(TRIM(M99))=0</formula>
    </cfRule>
    <cfRule type="containsBlanks" dxfId="17239" priority="12324">
      <formula>LEN(TRIM(M99))=0</formula>
    </cfRule>
    <cfRule type="containsBlanks" dxfId="17238" priority="12325">
      <formula>LEN(TRIM(M99))=0</formula>
    </cfRule>
    <cfRule type="containsBlanks" dxfId="17237" priority="12326">
      <formula>LEN(TRIM(M99))=0</formula>
    </cfRule>
    <cfRule type="containsBlanks" dxfId="17236" priority="12327">
      <formula>LEN(TRIM(M99))=0</formula>
    </cfRule>
    <cfRule type="containsBlanks" dxfId="17235" priority="12328">
      <formula>LEN(TRIM(M99))=0</formula>
    </cfRule>
    <cfRule type="containsBlanks" dxfId="17234" priority="12329">
      <formula>LEN(TRIM(M99))=0</formula>
    </cfRule>
    <cfRule type="containsBlanks" dxfId="17233" priority="12330">
      <formula>LEN(TRIM(M99))=0</formula>
    </cfRule>
    <cfRule type="containsBlanks" dxfId="17232" priority="12331">
      <formula>LEN(TRIM(M99))=0</formula>
    </cfRule>
    <cfRule type="containsBlanks" dxfId="17231" priority="12332">
      <formula>LEN(TRIM(M99))=0</formula>
    </cfRule>
    <cfRule type="containsBlanks" dxfId="17230" priority="12333">
      <formula>LEN(TRIM(M99))=0</formula>
    </cfRule>
    <cfRule type="containsBlanks" dxfId="17229" priority="12334">
      <formula>LEN(TRIM(M99))=0</formula>
    </cfRule>
    <cfRule type="containsBlanks" dxfId="17228" priority="12335">
      <formula>LEN(TRIM(M99))=0</formula>
    </cfRule>
    <cfRule type="containsBlanks" dxfId="17227" priority="12336">
      <formula>LEN(TRIM(M99))=0</formula>
    </cfRule>
    <cfRule type="containsBlanks" dxfId="17226" priority="12337">
      <formula>LEN(TRIM(M99))=0</formula>
    </cfRule>
    <cfRule type="containsBlanks" dxfId="17225" priority="12338">
      <formula>LEN(TRIM(M99))=0</formula>
    </cfRule>
    <cfRule type="containsBlanks" dxfId="17224" priority="12339">
      <formula>LEN(TRIM(M99))=0</formula>
    </cfRule>
    <cfRule type="containsBlanks" dxfId="17223" priority="12340">
      <formula>LEN(TRIM(M99))=0</formula>
    </cfRule>
    <cfRule type="containsBlanks" dxfId="17222" priority="12341">
      <formula>LEN(TRIM(M99))=0</formula>
    </cfRule>
    <cfRule type="containsBlanks" dxfId="17221" priority="12342">
      <formula>LEN(TRIM(M99))=0</formula>
    </cfRule>
    <cfRule type="containsBlanks" dxfId="17220" priority="12343">
      <formula>LEN(TRIM(M99))=0</formula>
    </cfRule>
    <cfRule type="containsBlanks" dxfId="17219" priority="12344">
      <formula>LEN(TRIM(M99))=0</formula>
    </cfRule>
    <cfRule type="containsBlanks" dxfId="17218" priority="12345">
      <formula>LEN(TRIM(M99))=0</formula>
    </cfRule>
    <cfRule type="containsBlanks" dxfId="17217" priority="12346">
      <formula>LEN(TRIM(M99))=0</formula>
    </cfRule>
    <cfRule type="containsBlanks" dxfId="17216" priority="12347">
      <formula>LEN(TRIM(M99))=0</formula>
    </cfRule>
    <cfRule type="containsBlanks" dxfId="17215" priority="12348">
      <formula>LEN(TRIM(M99))=0</formula>
    </cfRule>
    <cfRule type="containsBlanks" dxfId="17214" priority="12349">
      <formula>LEN(TRIM(M99))=0</formula>
    </cfRule>
    <cfRule type="containsBlanks" dxfId="17213" priority="12350">
      <formula>LEN(TRIM(M99))=0</formula>
    </cfRule>
    <cfRule type="containsBlanks" dxfId="17212" priority="12351">
      <formula>LEN(TRIM(M99))=0</formula>
    </cfRule>
    <cfRule type="containsBlanks" dxfId="17211" priority="12352">
      <formula>LEN(TRIM(M99))=0</formula>
    </cfRule>
    <cfRule type="containsBlanks" dxfId="17210" priority="12353">
      <formula>LEN(TRIM(M99))=0</formula>
    </cfRule>
    <cfRule type="containsBlanks" dxfId="17209" priority="12354">
      <formula>LEN(TRIM(M99))=0</formula>
    </cfRule>
    <cfRule type="containsBlanks" dxfId="17208" priority="12355">
      <formula>LEN(TRIM(M99))=0</formula>
    </cfRule>
    <cfRule type="containsBlanks" dxfId="17207" priority="12356">
      <formula>LEN(TRIM(M99))=0</formula>
    </cfRule>
    <cfRule type="containsBlanks" dxfId="17206" priority="12357">
      <formula>LEN(TRIM(M99))=0</formula>
    </cfRule>
    <cfRule type="containsBlanks" dxfId="17205" priority="12358">
      <formula>LEN(TRIM(M99))=0</formula>
    </cfRule>
    <cfRule type="containsBlanks" dxfId="17204" priority="12359">
      <formula>LEN(TRIM(M99))=0</formula>
    </cfRule>
    <cfRule type="containsBlanks" dxfId="17203" priority="12360">
      <formula>LEN(TRIM(M99))=0</formula>
    </cfRule>
    <cfRule type="containsBlanks" dxfId="17202" priority="12361">
      <formula>LEN(TRIM(M99))=0</formula>
    </cfRule>
    <cfRule type="containsBlanks" dxfId="17201" priority="12362">
      <formula>LEN(TRIM(M99))=0</formula>
    </cfRule>
    <cfRule type="containsBlanks" dxfId="17200" priority="12363">
      <formula>LEN(TRIM(M99))=0</formula>
    </cfRule>
    <cfRule type="containsBlanks" dxfId="17199" priority="12364">
      <formula>LEN(TRIM(M99))=0</formula>
    </cfRule>
    <cfRule type="containsBlanks" dxfId="17198" priority="12365">
      <formula>LEN(TRIM(M99))=0</formula>
    </cfRule>
    <cfRule type="containsBlanks" dxfId="17197" priority="12366">
      <formula>LEN(TRIM(M99))=0</formula>
    </cfRule>
    <cfRule type="containsBlanks" dxfId="17196" priority="12367">
      <formula>LEN(TRIM(M99))=0</formula>
    </cfRule>
    <cfRule type="containsBlanks" dxfId="17195" priority="12368">
      <formula>LEN(TRIM(M99))=0</formula>
    </cfRule>
    <cfRule type="containsBlanks" dxfId="17194" priority="12369">
      <formula>LEN(TRIM(M99))=0</formula>
    </cfRule>
    <cfRule type="containsBlanks" dxfId="17193" priority="12370">
      <formula>LEN(TRIM(M99))=0</formula>
    </cfRule>
    <cfRule type="containsBlanks" dxfId="17192" priority="12371">
      <formula>LEN(TRIM(M99))=0</formula>
    </cfRule>
    <cfRule type="containsBlanks" dxfId="17191" priority="12372">
      <formula>LEN(TRIM(M99))=0</formula>
    </cfRule>
    <cfRule type="containsBlanks" dxfId="17190" priority="12373">
      <formula>LEN(TRIM(M99))=0</formula>
    </cfRule>
    <cfRule type="containsBlanks" dxfId="17189" priority="12374">
      <formula>LEN(TRIM(M99))=0</formula>
    </cfRule>
    <cfRule type="containsBlanks" dxfId="17188" priority="12375">
      <formula>LEN(TRIM(M99))=0</formula>
    </cfRule>
    <cfRule type="containsBlanks" dxfId="17187" priority="12376">
      <formula>LEN(TRIM(M99))=0</formula>
    </cfRule>
    <cfRule type="containsBlanks" dxfId="17186" priority="12377">
      <formula>LEN(TRIM(M99))=0</formula>
    </cfRule>
    <cfRule type="containsBlanks" dxfId="17185" priority="12378">
      <formula>LEN(TRIM(M99))=0</formula>
    </cfRule>
    <cfRule type="containsBlanks" dxfId="17184" priority="12379">
      <formula>LEN(TRIM(M99))=0</formula>
    </cfRule>
    <cfRule type="containsBlanks" dxfId="17183" priority="12380">
      <formula>LEN(TRIM(M99))=0</formula>
    </cfRule>
    <cfRule type="containsBlanks" dxfId="17182" priority="12381">
      <formula>LEN(TRIM(M99))=0</formula>
    </cfRule>
    <cfRule type="containsBlanks" dxfId="17181" priority="12382">
      <formula>LEN(TRIM(M99))=0</formula>
    </cfRule>
    <cfRule type="containsBlanks" dxfId="17180" priority="12383">
      <formula>LEN(TRIM(M99))=0</formula>
    </cfRule>
    <cfRule type="containsBlanks" dxfId="17179" priority="12384">
      <formula>LEN(TRIM(M99))=0</formula>
    </cfRule>
    <cfRule type="containsBlanks" dxfId="17178" priority="12385">
      <formula>LEN(TRIM(M99))=0</formula>
    </cfRule>
    <cfRule type="containsBlanks" dxfId="17177" priority="12386">
      <formula>LEN(TRIM(M99))=0</formula>
    </cfRule>
    <cfRule type="containsBlanks" dxfId="17176" priority="12387">
      <formula>LEN(TRIM(M99))=0</formula>
    </cfRule>
    <cfRule type="containsBlanks" dxfId="17175" priority="12388">
      <formula>LEN(TRIM(M99))=0</formula>
    </cfRule>
    <cfRule type="containsBlanks" dxfId="17174" priority="12389">
      <formula>LEN(TRIM(M99))=0</formula>
    </cfRule>
    <cfRule type="containsBlanks" dxfId="17173" priority="12390">
      <formula>LEN(TRIM(M99))=0</formula>
    </cfRule>
    <cfRule type="containsBlanks" dxfId="17172" priority="12391">
      <formula>LEN(TRIM(M99))=0</formula>
    </cfRule>
    <cfRule type="containsBlanks" dxfId="17171" priority="12392">
      <formula>LEN(TRIM(M99))=0</formula>
    </cfRule>
    <cfRule type="containsBlanks" dxfId="17170" priority="12393">
      <formula>LEN(TRIM(M99))=0</formula>
    </cfRule>
    <cfRule type="containsBlanks" dxfId="17169" priority="12394">
      <formula>LEN(TRIM(M99))=0</formula>
    </cfRule>
    <cfRule type="containsBlanks" dxfId="17168" priority="12395">
      <formula>LEN(TRIM(M99))=0</formula>
    </cfRule>
    <cfRule type="containsBlanks" dxfId="17167" priority="12396">
      <formula>LEN(TRIM(M99))=0</formula>
    </cfRule>
    <cfRule type="containsBlanks" dxfId="17166" priority="12397">
      <formula>LEN(TRIM(M99))=0</formula>
    </cfRule>
    <cfRule type="containsBlanks" dxfId="17165" priority="12398">
      <formula>LEN(TRIM(M99))=0</formula>
    </cfRule>
    <cfRule type="containsBlanks" dxfId="17164" priority="12399">
      <formula>LEN(TRIM(M99))=0</formula>
    </cfRule>
    <cfRule type="containsBlanks" dxfId="17163" priority="12400">
      <formula>LEN(TRIM(M99))=0</formula>
    </cfRule>
    <cfRule type="containsBlanks" dxfId="17162" priority="12401">
      <formula>LEN(TRIM(M99))=0</formula>
    </cfRule>
    <cfRule type="containsBlanks" dxfId="17161" priority="12402">
      <formula>LEN(TRIM(M99))=0</formula>
    </cfRule>
    <cfRule type="containsBlanks" dxfId="17160" priority="12403">
      <formula>LEN(TRIM(M99))=0</formula>
    </cfRule>
    <cfRule type="containsBlanks" dxfId="17159" priority="12404">
      <formula>LEN(TRIM(M99))=0</formula>
    </cfRule>
    <cfRule type="containsBlanks" dxfId="17158" priority="12405">
      <formula>LEN(TRIM(M99))=0</formula>
    </cfRule>
    <cfRule type="containsBlanks" dxfId="17157" priority="12406">
      <formula>LEN(TRIM(M99))=0</formula>
    </cfRule>
    <cfRule type="containsBlanks" dxfId="17156" priority="12407">
      <formula>LEN(TRIM(M99))=0</formula>
    </cfRule>
    <cfRule type="containsBlanks" dxfId="17155" priority="12408">
      <formula>LEN(TRIM(M99))=0</formula>
    </cfRule>
    <cfRule type="containsBlanks" dxfId="17154" priority="12409">
      <formula>LEN(TRIM(M99))=0</formula>
    </cfRule>
    <cfRule type="containsBlanks" dxfId="17153" priority="12410">
      <formula>LEN(TRIM(M99))=0</formula>
    </cfRule>
    <cfRule type="containsBlanks" dxfId="17152" priority="12411">
      <formula>LEN(TRIM(M99))=0</formula>
    </cfRule>
    <cfRule type="containsBlanks" dxfId="17151" priority="12412">
      <formula>LEN(TRIM(M99))=0</formula>
    </cfRule>
    <cfRule type="containsBlanks" dxfId="17150" priority="12413">
      <formula>LEN(TRIM(M99))=0</formula>
    </cfRule>
    <cfRule type="containsBlanks" dxfId="17149" priority="12414">
      <formula>LEN(TRIM(M99))=0</formula>
    </cfRule>
    <cfRule type="containsBlanks" dxfId="17148" priority="12415">
      <formula>LEN(TRIM(M99))=0</formula>
    </cfRule>
    <cfRule type="containsBlanks" dxfId="17147" priority="12416">
      <formula>LEN(TRIM(M99))=0</formula>
    </cfRule>
    <cfRule type="containsBlanks" dxfId="17146" priority="12417">
      <formula>LEN(TRIM(M99))=0</formula>
    </cfRule>
    <cfRule type="containsBlanks" dxfId="17145" priority="12418">
      <formula>LEN(TRIM(M99))=0</formula>
    </cfRule>
    <cfRule type="containsBlanks" dxfId="17144" priority="12419">
      <formula>LEN(TRIM(M99))=0</formula>
    </cfRule>
    <cfRule type="containsBlanks" dxfId="17143" priority="12420">
      <formula>LEN(TRIM(M99))=0</formula>
    </cfRule>
    <cfRule type="containsBlanks" dxfId="17142" priority="12421">
      <formula>LEN(TRIM(M99))=0</formula>
    </cfRule>
    <cfRule type="containsBlanks" dxfId="17141" priority="12422">
      <formula>LEN(TRIM(M99))=0</formula>
    </cfRule>
    <cfRule type="containsBlanks" dxfId="17140" priority="12423">
      <formula>LEN(TRIM(M99))=0</formula>
    </cfRule>
    <cfRule type="containsBlanks" dxfId="17139" priority="12424">
      <formula>LEN(TRIM(M99))=0</formula>
    </cfRule>
    <cfRule type="containsBlanks" dxfId="17138" priority="12425">
      <formula>LEN(TRIM(M99))=0</formula>
    </cfRule>
    <cfRule type="containsBlanks" dxfId="17137" priority="12426">
      <formula>LEN(TRIM(M99))=0</formula>
    </cfRule>
    <cfRule type="containsBlanks" dxfId="17136" priority="12427">
      <formula>LEN(TRIM(M99))=0</formula>
    </cfRule>
    <cfRule type="containsBlanks" dxfId="17135" priority="12428">
      <formula>LEN(TRIM(M99))=0</formula>
    </cfRule>
    <cfRule type="containsBlanks" dxfId="17134" priority="12429">
      <formula>LEN(TRIM(M99))=0</formula>
    </cfRule>
    <cfRule type="containsBlanks" dxfId="17133" priority="12430">
      <formula>LEN(TRIM(M99))=0</formula>
    </cfRule>
    <cfRule type="containsBlanks" dxfId="17132" priority="12431">
      <formula>LEN(TRIM(M99))=0</formula>
    </cfRule>
    <cfRule type="containsBlanks" dxfId="17131" priority="12432">
      <formula>LEN(TRIM(M99))=0</formula>
    </cfRule>
    <cfRule type="containsBlanks" dxfId="17130" priority="12433">
      <formula>LEN(TRIM(M99))=0</formula>
    </cfRule>
    <cfRule type="containsBlanks" dxfId="17129" priority="12434">
      <formula>LEN(TRIM(M99))=0</formula>
    </cfRule>
    <cfRule type="containsBlanks" dxfId="17128" priority="12435">
      <formula>LEN(TRIM(M99))=0</formula>
    </cfRule>
    <cfRule type="containsBlanks" dxfId="17127" priority="12436">
      <formula>LEN(TRIM(M99))=0</formula>
    </cfRule>
    <cfRule type="containsBlanks" dxfId="17126" priority="12437">
      <formula>LEN(TRIM(M99))=0</formula>
    </cfRule>
    <cfRule type="containsBlanks" dxfId="17125" priority="12438">
      <formula>LEN(TRIM(M99))=0</formula>
    </cfRule>
    <cfRule type="containsBlanks" dxfId="17124" priority="12439">
      <formula>LEN(TRIM(M99))=0</formula>
    </cfRule>
    <cfRule type="containsBlanks" dxfId="17123" priority="12440">
      <formula>LEN(TRIM(M99))=0</formula>
    </cfRule>
    <cfRule type="containsBlanks" dxfId="17122" priority="12441">
      <formula>LEN(TRIM(M99))=0</formula>
    </cfRule>
    <cfRule type="containsBlanks" dxfId="17121" priority="12442">
      <formula>LEN(TRIM(M99))=0</formula>
    </cfRule>
    <cfRule type="containsBlanks" dxfId="17120" priority="12443">
      <formula>LEN(TRIM(M99))=0</formula>
    </cfRule>
    <cfRule type="containsBlanks" dxfId="17119" priority="12444">
      <formula>LEN(TRIM(M99))=0</formula>
    </cfRule>
    <cfRule type="containsBlanks" dxfId="17118" priority="12445">
      <formula>LEN(TRIM(M99))=0</formula>
    </cfRule>
    <cfRule type="containsBlanks" dxfId="17117" priority="12446">
      <formula>LEN(TRIM(M99))=0</formula>
    </cfRule>
    <cfRule type="containsBlanks" dxfId="17116" priority="12447">
      <formula>LEN(TRIM(M99))=0</formula>
    </cfRule>
    <cfRule type="containsBlanks" dxfId="17115" priority="12448">
      <formula>LEN(TRIM(M99))=0</formula>
    </cfRule>
    <cfRule type="containsBlanks" dxfId="17114" priority="12449">
      <formula>LEN(TRIM(M99))=0</formula>
    </cfRule>
    <cfRule type="containsBlanks" dxfId="17113" priority="12450">
      <formula>LEN(TRIM(M99))=0</formula>
    </cfRule>
    <cfRule type="containsBlanks" dxfId="17112" priority="12451">
      <formula>LEN(TRIM(M99))=0</formula>
    </cfRule>
    <cfRule type="containsBlanks" dxfId="17111" priority="12452">
      <formula>LEN(TRIM(M99))=0</formula>
    </cfRule>
    <cfRule type="containsBlanks" dxfId="17110" priority="12453">
      <formula>LEN(TRIM(M99))=0</formula>
    </cfRule>
    <cfRule type="containsBlanks" dxfId="17109" priority="12454">
      <formula>LEN(TRIM(M99))=0</formula>
    </cfRule>
    <cfRule type="containsBlanks" dxfId="17108" priority="12455">
      <formula>LEN(TRIM(M99))=0</formula>
    </cfRule>
    <cfRule type="containsBlanks" dxfId="17107" priority="12456">
      <formula>LEN(TRIM(M99))=0</formula>
    </cfRule>
    <cfRule type="containsBlanks" dxfId="17106" priority="12457">
      <formula>LEN(TRIM(M99))=0</formula>
    </cfRule>
    <cfRule type="containsBlanks" dxfId="17105" priority="12458">
      <formula>LEN(TRIM(M99))=0</formula>
    </cfRule>
    <cfRule type="containsBlanks" dxfId="17104" priority="12459">
      <formula>LEN(TRIM(M99))=0</formula>
    </cfRule>
    <cfRule type="containsBlanks" dxfId="17103" priority="12460">
      <formula>LEN(TRIM(M99))=0</formula>
    </cfRule>
    <cfRule type="containsBlanks" dxfId="17102" priority="12461">
      <formula>LEN(TRIM(M99))=0</formula>
    </cfRule>
    <cfRule type="containsBlanks" dxfId="17101" priority="12462">
      <formula>LEN(TRIM(M99))=0</formula>
    </cfRule>
    <cfRule type="containsBlanks" dxfId="17100" priority="12463">
      <formula>LEN(TRIM(M99))=0</formula>
    </cfRule>
    <cfRule type="containsBlanks" dxfId="17099" priority="12464">
      <formula>LEN(TRIM(M99))=0</formula>
    </cfRule>
    <cfRule type="containsBlanks" dxfId="17098" priority="12465">
      <formula>LEN(TRIM(M99))=0</formula>
    </cfRule>
    <cfRule type="containsBlanks" dxfId="17097" priority="12466">
      <formula>LEN(TRIM(M99))=0</formula>
    </cfRule>
    <cfRule type="containsBlanks" dxfId="17096" priority="12467">
      <formula>LEN(TRIM(M99))=0</formula>
    </cfRule>
    <cfRule type="containsBlanks" dxfId="17095" priority="12468">
      <formula>LEN(TRIM(M99))=0</formula>
    </cfRule>
    <cfRule type="containsBlanks" dxfId="17094" priority="12469">
      <formula>LEN(TRIM(M99))=0</formula>
    </cfRule>
    <cfRule type="containsBlanks" dxfId="17093" priority="12470">
      <formula>LEN(TRIM(M99))=0</formula>
    </cfRule>
    <cfRule type="containsBlanks" dxfId="17092" priority="12471">
      <formula>LEN(TRIM(M99))=0</formula>
    </cfRule>
    <cfRule type="containsBlanks" dxfId="17091" priority="12472">
      <formula>LEN(TRIM(M99))=0</formula>
    </cfRule>
    <cfRule type="containsBlanks" dxfId="17090" priority="12473">
      <formula>LEN(TRIM(M99))=0</formula>
    </cfRule>
    <cfRule type="containsBlanks" dxfId="17089" priority="12474">
      <formula>LEN(TRIM(M99))=0</formula>
    </cfRule>
    <cfRule type="containsBlanks" dxfId="17088" priority="12475">
      <formula>LEN(TRIM(M99))=0</formula>
    </cfRule>
    <cfRule type="containsBlanks" dxfId="17087" priority="12476">
      <formula>LEN(TRIM(M99))=0</formula>
    </cfRule>
    <cfRule type="containsBlanks" dxfId="17086" priority="12477">
      <formula>LEN(TRIM(M99))=0</formula>
    </cfRule>
    <cfRule type="containsBlanks" dxfId="17085" priority="12478">
      <formula>LEN(TRIM(M99))=0</formula>
    </cfRule>
    <cfRule type="containsBlanks" dxfId="17084" priority="12479">
      <formula>LEN(TRIM(M99))=0</formula>
    </cfRule>
    <cfRule type="containsBlanks" dxfId="17083" priority="12480">
      <formula>LEN(TRIM(M99))=0</formula>
    </cfRule>
    <cfRule type="containsBlanks" dxfId="17082" priority="12481">
      <formula>LEN(TRIM(M99))=0</formula>
    </cfRule>
    <cfRule type="containsBlanks" dxfId="17081" priority="12482">
      <formula>LEN(TRIM(M99))=0</formula>
    </cfRule>
    <cfRule type="containsBlanks" dxfId="17080" priority="12483">
      <formula>LEN(TRIM(M99))=0</formula>
    </cfRule>
    <cfRule type="containsBlanks" dxfId="17079" priority="12484">
      <formula>LEN(TRIM(M99))=0</formula>
    </cfRule>
    <cfRule type="containsBlanks" dxfId="17078" priority="12485">
      <formula>LEN(TRIM(M99))=0</formula>
    </cfRule>
    <cfRule type="containsBlanks" dxfId="17077" priority="12486">
      <formula>LEN(TRIM(M99))=0</formula>
    </cfRule>
    <cfRule type="containsBlanks" dxfId="17076" priority="12487">
      <formula>LEN(TRIM(M99))=0</formula>
    </cfRule>
    <cfRule type="containsBlanks" dxfId="17075" priority="12488">
      <formula>LEN(TRIM(M99))=0</formula>
    </cfRule>
    <cfRule type="containsBlanks" dxfId="17074" priority="12489">
      <formula>LEN(TRIM(M99))=0</formula>
    </cfRule>
    <cfRule type="containsBlanks" dxfId="17073" priority="12490">
      <formula>LEN(TRIM(M99))=0</formula>
    </cfRule>
    <cfRule type="containsBlanks" dxfId="17072" priority="12491">
      <formula>LEN(TRIM(M99))=0</formula>
    </cfRule>
    <cfRule type="containsBlanks" dxfId="17071" priority="12492">
      <formula>LEN(TRIM(M99))=0</formula>
    </cfRule>
    <cfRule type="containsBlanks" dxfId="17070" priority="12493">
      <formula>LEN(TRIM(M99))=0</formula>
    </cfRule>
    <cfRule type="containsBlanks" dxfId="17069" priority="12494">
      <formula>LEN(TRIM(M99))=0</formula>
    </cfRule>
    <cfRule type="containsBlanks" dxfId="17068" priority="12495">
      <formula>LEN(TRIM(M99))=0</formula>
    </cfRule>
    <cfRule type="containsBlanks" dxfId="17067" priority="12496">
      <formula>LEN(TRIM(M99))=0</formula>
    </cfRule>
    <cfRule type="containsBlanks" dxfId="17066" priority="12497">
      <formula>LEN(TRIM(M99))=0</formula>
    </cfRule>
    <cfRule type="containsBlanks" dxfId="17065" priority="12498">
      <formula>LEN(TRIM(M99))=0</formula>
    </cfRule>
    <cfRule type="containsBlanks" dxfId="17064" priority="12499">
      <formula>LEN(TRIM(M99))=0</formula>
    </cfRule>
    <cfRule type="containsBlanks" dxfId="17063" priority="12500">
      <formula>LEN(TRIM(M99))=0</formula>
    </cfRule>
    <cfRule type="containsBlanks" dxfId="17062" priority="12501">
      <formula>LEN(TRIM(M99))=0</formula>
    </cfRule>
    <cfRule type="containsBlanks" dxfId="17061" priority="12502">
      <formula>LEN(TRIM(M99))=0</formula>
    </cfRule>
    <cfRule type="containsBlanks" dxfId="17060" priority="12503">
      <formula>LEN(TRIM(M99))=0</formula>
    </cfRule>
    <cfRule type="containsBlanks" dxfId="17059" priority="12504">
      <formula>LEN(TRIM(M99))=0</formula>
    </cfRule>
    <cfRule type="containsBlanks" dxfId="17058" priority="12505">
      <formula>LEN(TRIM(M99))=0</formula>
    </cfRule>
    <cfRule type="containsBlanks" dxfId="17057" priority="12506">
      <formula>LEN(TRIM(M99))=0</formula>
    </cfRule>
    <cfRule type="containsBlanks" dxfId="17056" priority="12507">
      <formula>LEN(TRIM(M99))=0</formula>
    </cfRule>
    <cfRule type="containsBlanks" dxfId="17055" priority="12508">
      <formula>LEN(TRIM(M99))=0</formula>
    </cfRule>
    <cfRule type="containsBlanks" dxfId="17054" priority="12509">
      <formula>LEN(TRIM(M99))=0</formula>
    </cfRule>
    <cfRule type="containsBlanks" dxfId="17053" priority="12510">
      <formula>LEN(TRIM(M99))=0</formula>
    </cfRule>
    <cfRule type="containsBlanks" dxfId="17052" priority="12511">
      <formula>LEN(TRIM(M99))=0</formula>
    </cfRule>
    <cfRule type="containsBlanks" dxfId="17051" priority="12512">
      <formula>LEN(TRIM(M99))=0</formula>
    </cfRule>
    <cfRule type="containsBlanks" dxfId="17050" priority="12513">
      <formula>LEN(TRIM(M99))=0</formula>
    </cfRule>
    <cfRule type="containsBlanks" dxfId="17049" priority="12514">
      <formula>LEN(TRIM(M99))=0</formula>
    </cfRule>
    <cfRule type="containsBlanks" dxfId="17048" priority="12515">
      <formula>LEN(TRIM(M99))=0</formula>
    </cfRule>
    <cfRule type="containsBlanks" dxfId="17047" priority="12516">
      <formula>LEN(TRIM(M99))=0</formula>
    </cfRule>
    <cfRule type="containsBlanks" dxfId="17046" priority="12517">
      <formula>LEN(TRIM(M99))=0</formula>
    </cfRule>
    <cfRule type="containsBlanks" dxfId="17045" priority="12518">
      <formula>LEN(TRIM(M99))=0</formula>
    </cfRule>
    <cfRule type="containsBlanks" dxfId="17044" priority="12519">
      <formula>LEN(TRIM(M99))=0</formula>
    </cfRule>
    <cfRule type="containsBlanks" dxfId="17043" priority="12520">
      <formula>LEN(TRIM(M99))=0</formula>
    </cfRule>
    <cfRule type="containsBlanks" dxfId="17042" priority="12521">
      <formula>LEN(TRIM(M99))=0</formula>
    </cfRule>
    <cfRule type="containsBlanks" dxfId="17041" priority="12522">
      <formula>LEN(TRIM(M99))=0</formula>
    </cfRule>
    <cfRule type="containsBlanks" dxfId="17040" priority="12523">
      <formula>LEN(TRIM(M99))=0</formula>
    </cfRule>
    <cfRule type="containsBlanks" dxfId="17039" priority="12524">
      <formula>LEN(TRIM(M99))=0</formula>
    </cfRule>
    <cfRule type="containsBlanks" dxfId="17038" priority="12525">
      <formula>LEN(TRIM(M99))=0</formula>
    </cfRule>
    <cfRule type="containsBlanks" dxfId="17037" priority="12526">
      <formula>LEN(TRIM(M99))=0</formula>
    </cfRule>
    <cfRule type="containsBlanks" dxfId="17036" priority="12527">
      <formula>LEN(TRIM(M99))=0</formula>
    </cfRule>
    <cfRule type="containsBlanks" dxfId="17035" priority="12528">
      <formula>LEN(TRIM(M99))=0</formula>
    </cfRule>
    <cfRule type="containsBlanks" dxfId="17034" priority="12529">
      <formula>LEN(TRIM(M99))=0</formula>
    </cfRule>
    <cfRule type="containsBlanks" dxfId="17033" priority="12530">
      <formula>LEN(TRIM(M99))=0</formula>
    </cfRule>
    <cfRule type="containsBlanks" dxfId="17032" priority="12531">
      <formula>LEN(TRIM(M99))=0</formula>
    </cfRule>
    <cfRule type="containsBlanks" dxfId="17031" priority="12532">
      <formula>LEN(TRIM(M99))=0</formula>
    </cfRule>
    <cfRule type="containsBlanks" dxfId="17030" priority="12533">
      <formula>LEN(TRIM(M99))=0</formula>
    </cfRule>
    <cfRule type="containsBlanks" dxfId="17029" priority="12534">
      <formula>LEN(TRIM(M99))=0</formula>
    </cfRule>
    <cfRule type="containsBlanks" dxfId="17028" priority="12535">
      <formula>LEN(TRIM(M99))=0</formula>
    </cfRule>
    <cfRule type="containsBlanks" dxfId="17027" priority="12536">
      <formula>LEN(TRIM(M99))=0</formula>
    </cfRule>
    <cfRule type="containsBlanks" dxfId="17026" priority="12537">
      <formula>LEN(TRIM(M99))=0</formula>
    </cfRule>
    <cfRule type="containsBlanks" dxfId="17025" priority="12538">
      <formula>LEN(TRIM(M99))=0</formula>
    </cfRule>
    <cfRule type="containsBlanks" dxfId="17024" priority="12539">
      <formula>LEN(TRIM(M99))=0</formula>
    </cfRule>
    <cfRule type="containsBlanks" dxfId="17023" priority="12540">
      <formula>LEN(TRIM(M99))=0</formula>
    </cfRule>
    <cfRule type="containsBlanks" dxfId="17022" priority="12541">
      <formula>LEN(TRIM(M99))=0</formula>
    </cfRule>
    <cfRule type="containsBlanks" dxfId="17021" priority="12542">
      <formula>LEN(TRIM(M99))=0</formula>
    </cfRule>
    <cfRule type="containsBlanks" dxfId="17020" priority="12543">
      <formula>LEN(TRIM(M99))=0</formula>
    </cfRule>
    <cfRule type="containsBlanks" dxfId="17019" priority="12544">
      <formula>LEN(TRIM(M99))=0</formula>
    </cfRule>
    <cfRule type="containsBlanks" dxfId="17018" priority="12545">
      <formula>LEN(TRIM(M99))=0</formula>
    </cfRule>
    <cfRule type="containsBlanks" dxfId="17017" priority="12546">
      <formula>LEN(TRIM(M99))=0</formula>
    </cfRule>
    <cfRule type="containsBlanks" dxfId="17016" priority="12547">
      <formula>LEN(TRIM(M99))=0</formula>
    </cfRule>
    <cfRule type="containsBlanks" dxfId="17015" priority="12548">
      <formula>LEN(TRIM(M99))=0</formula>
    </cfRule>
    <cfRule type="containsBlanks" dxfId="17014" priority="12549">
      <formula>LEN(TRIM(M99))=0</formula>
    </cfRule>
    <cfRule type="containsBlanks" dxfId="17013" priority="12550">
      <formula>LEN(TRIM(M99))=0</formula>
    </cfRule>
    <cfRule type="containsBlanks" dxfId="17012" priority="12551">
      <formula>LEN(TRIM(M99))=0</formula>
    </cfRule>
    <cfRule type="containsBlanks" dxfId="17011" priority="12552">
      <formula>LEN(TRIM(M99))=0</formula>
    </cfRule>
    <cfRule type="containsBlanks" dxfId="17010" priority="12553">
      <formula>LEN(TRIM(M99))=0</formula>
    </cfRule>
    <cfRule type="containsBlanks" dxfId="17009" priority="12554">
      <formula>LEN(TRIM(M99))=0</formula>
    </cfRule>
    <cfRule type="containsBlanks" dxfId="17008" priority="12555">
      <formula>LEN(TRIM(M99))=0</formula>
    </cfRule>
    <cfRule type="containsBlanks" dxfId="17007" priority="12556">
      <formula>LEN(TRIM(M99))=0</formula>
    </cfRule>
    <cfRule type="containsBlanks" dxfId="17006" priority="12557">
      <formula>LEN(TRIM(M99))=0</formula>
    </cfRule>
    <cfRule type="containsBlanks" dxfId="17005" priority="12558">
      <formula>LEN(TRIM(M99))=0</formula>
    </cfRule>
    <cfRule type="containsBlanks" dxfId="17004" priority="12559">
      <formula>LEN(TRIM(M99))=0</formula>
    </cfRule>
    <cfRule type="containsBlanks" dxfId="17003" priority="12560">
      <formula>LEN(TRIM(M99))=0</formula>
    </cfRule>
    <cfRule type="containsBlanks" dxfId="17002" priority="12561">
      <formula>LEN(TRIM(M99))=0</formula>
    </cfRule>
    <cfRule type="containsBlanks" dxfId="17001" priority="12562">
      <formula>LEN(TRIM(M99))=0</formula>
    </cfRule>
    <cfRule type="containsBlanks" dxfId="17000" priority="12563">
      <formula>LEN(TRIM(M99))=0</formula>
    </cfRule>
    <cfRule type="containsBlanks" dxfId="16999" priority="12564">
      <formula>LEN(TRIM(M99))=0</formula>
    </cfRule>
    <cfRule type="containsBlanks" dxfId="16998" priority="12565">
      <formula>LEN(TRIM(M99))=0</formula>
    </cfRule>
    <cfRule type="containsBlanks" dxfId="16997" priority="12566">
      <formula>LEN(TRIM(M99))=0</formula>
    </cfRule>
    <cfRule type="containsBlanks" dxfId="16996" priority="12567">
      <formula>LEN(TRIM(M99))=0</formula>
    </cfRule>
    <cfRule type="containsBlanks" dxfId="16995" priority="12568">
      <formula>LEN(TRIM(M99))=0</formula>
    </cfRule>
    <cfRule type="containsBlanks" dxfId="16994" priority="12569">
      <formula>LEN(TRIM(M99))=0</formula>
    </cfRule>
    <cfRule type="containsBlanks" dxfId="16993" priority="12570">
      <formula>LEN(TRIM(M99))=0</formula>
    </cfRule>
    <cfRule type="containsBlanks" dxfId="16992" priority="12571">
      <formula>LEN(TRIM(M99))=0</formula>
    </cfRule>
    <cfRule type="containsBlanks" dxfId="16991" priority="12572">
      <formula>LEN(TRIM(M99))=0</formula>
    </cfRule>
    <cfRule type="containsBlanks" dxfId="16990" priority="12573">
      <formula>LEN(TRIM(M99))=0</formula>
    </cfRule>
    <cfRule type="containsBlanks" dxfId="16989" priority="12574">
      <formula>LEN(TRIM(M99))=0</formula>
    </cfRule>
    <cfRule type="containsBlanks" dxfId="16988" priority="12575">
      <formula>LEN(TRIM(M99))=0</formula>
    </cfRule>
    <cfRule type="containsBlanks" dxfId="16987" priority="12576">
      <formula>LEN(TRIM(M99))=0</formula>
    </cfRule>
    <cfRule type="containsBlanks" dxfId="16986" priority="12577">
      <formula>LEN(TRIM(M99))=0</formula>
    </cfRule>
    <cfRule type="containsBlanks" dxfId="16985" priority="12578">
      <formula>LEN(TRIM(M99))=0</formula>
    </cfRule>
    <cfRule type="containsBlanks" dxfId="16984" priority="12579">
      <formula>LEN(TRIM(M99))=0</formula>
    </cfRule>
    <cfRule type="containsBlanks" dxfId="16983" priority="12580">
      <formula>LEN(TRIM(M99))=0</formula>
    </cfRule>
    <cfRule type="containsBlanks" dxfId="16982" priority="12581">
      <formula>LEN(TRIM(M99))=0</formula>
    </cfRule>
    <cfRule type="containsBlanks" dxfId="16981" priority="12582">
      <formula>LEN(TRIM(M99))=0</formula>
    </cfRule>
    <cfRule type="containsBlanks" dxfId="16980" priority="12583">
      <formula>LEN(TRIM(M99))=0</formula>
    </cfRule>
    <cfRule type="containsBlanks" dxfId="16979" priority="12584">
      <formula>LEN(TRIM(M99))=0</formula>
    </cfRule>
    <cfRule type="containsBlanks" dxfId="16978" priority="12585">
      <formula>LEN(TRIM(M99))=0</formula>
    </cfRule>
    <cfRule type="containsBlanks" dxfId="16977" priority="12586">
      <formula>LEN(TRIM(M99))=0</formula>
    </cfRule>
    <cfRule type="containsBlanks" dxfId="16976" priority="12587">
      <formula>LEN(TRIM(M99))=0</formula>
    </cfRule>
    <cfRule type="containsBlanks" dxfId="16975" priority="12588">
      <formula>LEN(TRIM(M99))=0</formula>
    </cfRule>
    <cfRule type="containsBlanks" dxfId="16974" priority="12589">
      <formula>LEN(TRIM(M99))=0</formula>
    </cfRule>
    <cfRule type="containsBlanks" dxfId="16973" priority="12590">
      <formula>LEN(TRIM(M99))=0</formula>
    </cfRule>
    <cfRule type="containsBlanks" dxfId="16972" priority="12591">
      <formula>LEN(TRIM(M99))=0</formula>
    </cfRule>
    <cfRule type="containsBlanks" dxfId="16971" priority="12592">
      <formula>LEN(TRIM(M99))=0</formula>
    </cfRule>
    <cfRule type="containsBlanks" dxfId="16970" priority="12593">
      <formula>LEN(TRIM(M99))=0</formula>
    </cfRule>
    <cfRule type="containsBlanks" dxfId="16969" priority="12594">
      <formula>LEN(TRIM(M99))=0</formula>
    </cfRule>
    <cfRule type="containsBlanks" dxfId="16968" priority="12595">
      <formula>LEN(TRIM(M99))=0</formula>
    </cfRule>
    <cfRule type="containsBlanks" dxfId="16967" priority="12596">
      <formula>LEN(TRIM(M99))=0</formula>
    </cfRule>
    <cfRule type="containsBlanks" dxfId="16966" priority="12597">
      <formula>LEN(TRIM(M99))=0</formula>
    </cfRule>
    <cfRule type="containsBlanks" dxfId="16965" priority="12598">
      <formula>LEN(TRIM(M99))=0</formula>
    </cfRule>
    <cfRule type="containsBlanks" dxfId="16964" priority="12599">
      <formula>LEN(TRIM(M99))=0</formula>
    </cfRule>
    <cfRule type="containsBlanks" dxfId="16963" priority="12600">
      <formula>LEN(TRIM(M99))=0</formula>
    </cfRule>
    <cfRule type="containsBlanks" dxfId="16962" priority="12601">
      <formula>LEN(TRIM(M99))=0</formula>
    </cfRule>
    <cfRule type="containsBlanks" dxfId="16961" priority="12602">
      <formula>LEN(TRIM(M99))=0</formula>
    </cfRule>
    <cfRule type="containsBlanks" dxfId="16960" priority="12603">
      <formula>LEN(TRIM(M99))=0</formula>
    </cfRule>
    <cfRule type="containsBlanks" dxfId="16959" priority="12604">
      <formula>LEN(TRIM(M99))=0</formula>
    </cfRule>
    <cfRule type="containsBlanks" dxfId="16958" priority="12605">
      <formula>LEN(TRIM(M99))=0</formula>
    </cfRule>
    <cfRule type="containsBlanks" dxfId="16957" priority="12606">
      <formula>LEN(TRIM(M99))=0</formula>
    </cfRule>
    <cfRule type="containsBlanks" dxfId="16956" priority="12607">
      <formula>LEN(TRIM(M99))=0</formula>
    </cfRule>
    <cfRule type="containsBlanks" dxfId="16955" priority="12608">
      <formula>LEN(TRIM(M99))=0</formula>
    </cfRule>
    <cfRule type="containsBlanks" dxfId="16954" priority="12609">
      <formula>LEN(TRIM(M99))=0</formula>
    </cfRule>
    <cfRule type="containsBlanks" dxfId="16953" priority="12610">
      <formula>LEN(TRIM(M99))=0</formula>
    </cfRule>
    <cfRule type="containsBlanks" dxfId="16952" priority="12611">
      <formula>LEN(TRIM(M99))=0</formula>
    </cfRule>
    <cfRule type="containsBlanks" dxfId="16951" priority="12612">
      <formula>LEN(TRIM(M99))=0</formula>
    </cfRule>
    <cfRule type="containsBlanks" dxfId="16950" priority="12613">
      <formula>LEN(TRIM(M99))=0</formula>
    </cfRule>
    <cfRule type="containsBlanks" dxfId="16949" priority="12614">
      <formula>LEN(TRIM(M99))=0</formula>
    </cfRule>
    <cfRule type="containsBlanks" dxfId="16948" priority="12615">
      <formula>LEN(TRIM(M99))=0</formula>
    </cfRule>
    <cfRule type="containsBlanks" dxfId="16947" priority="12616">
      <formula>LEN(TRIM(M99))=0</formula>
    </cfRule>
    <cfRule type="containsBlanks" dxfId="16946" priority="12617">
      <formula>LEN(TRIM(M99))=0</formula>
    </cfRule>
    <cfRule type="containsBlanks" dxfId="16945" priority="12618">
      <formula>LEN(TRIM(M99))=0</formula>
    </cfRule>
    <cfRule type="containsBlanks" dxfId="16944" priority="12619">
      <formula>LEN(TRIM(M99))=0</formula>
    </cfRule>
    <cfRule type="containsBlanks" dxfId="16943" priority="12620">
      <formula>LEN(TRIM(M99))=0</formula>
    </cfRule>
    <cfRule type="containsBlanks" dxfId="16942" priority="12621">
      <formula>LEN(TRIM(M99))=0</formula>
    </cfRule>
    <cfRule type="containsBlanks" dxfId="16941" priority="12622">
      <formula>LEN(TRIM(M99))=0</formula>
    </cfRule>
    <cfRule type="containsBlanks" dxfId="16940" priority="12623">
      <formula>LEN(TRIM(M99))=0</formula>
    </cfRule>
    <cfRule type="containsBlanks" dxfId="16939" priority="12624">
      <formula>LEN(TRIM(M99))=0</formula>
    </cfRule>
    <cfRule type="containsBlanks" dxfId="16938" priority="12625">
      <formula>LEN(TRIM(M99))=0</formula>
    </cfRule>
    <cfRule type="containsBlanks" dxfId="16937" priority="12626">
      <formula>LEN(TRIM(M99))=0</formula>
    </cfRule>
    <cfRule type="containsBlanks" dxfId="16936" priority="12627">
      <formula>LEN(TRIM(M99))=0</formula>
    </cfRule>
    <cfRule type="containsBlanks" dxfId="16935" priority="12628">
      <formula>LEN(TRIM(M99))=0</formula>
    </cfRule>
    <cfRule type="containsBlanks" dxfId="16934" priority="12629">
      <formula>LEN(TRIM(M99))=0</formula>
    </cfRule>
    <cfRule type="containsBlanks" dxfId="16933" priority="12630">
      <formula>LEN(TRIM(M99))=0</formula>
    </cfRule>
    <cfRule type="containsBlanks" dxfId="16932" priority="12631">
      <formula>LEN(TRIM(M99))=0</formula>
    </cfRule>
    <cfRule type="containsBlanks" dxfId="16931" priority="12632">
      <formula>LEN(TRIM(M99))=0</formula>
    </cfRule>
    <cfRule type="containsBlanks" dxfId="16930" priority="12633">
      <formula>LEN(TRIM(M99))=0</formula>
    </cfRule>
    <cfRule type="containsBlanks" dxfId="16929" priority="12634">
      <formula>LEN(TRIM(M99))=0</formula>
    </cfRule>
    <cfRule type="containsBlanks" dxfId="16928" priority="12635">
      <formula>LEN(TRIM(M99))=0</formula>
    </cfRule>
    <cfRule type="containsBlanks" dxfId="16927" priority="12636">
      <formula>LEN(TRIM(M99))=0</formula>
    </cfRule>
    <cfRule type="containsBlanks" dxfId="16926" priority="12637">
      <formula>LEN(TRIM(M99))=0</formula>
    </cfRule>
    <cfRule type="containsBlanks" dxfId="16925" priority="12638">
      <formula>LEN(TRIM(M99))=0</formula>
    </cfRule>
    <cfRule type="containsBlanks" dxfId="16924" priority="12639">
      <formula>LEN(TRIM(M99))=0</formula>
    </cfRule>
    <cfRule type="containsBlanks" dxfId="16923" priority="12640">
      <formula>LEN(TRIM(M99))=0</formula>
    </cfRule>
    <cfRule type="containsBlanks" dxfId="16922" priority="12641">
      <formula>LEN(TRIM(M99))=0</formula>
    </cfRule>
    <cfRule type="containsBlanks" dxfId="16921" priority="12642">
      <formula>LEN(TRIM(M99))=0</formula>
    </cfRule>
    <cfRule type="containsBlanks" dxfId="16920" priority="12643">
      <formula>LEN(TRIM(M99))=0</formula>
    </cfRule>
    <cfRule type="containsBlanks" dxfId="16919" priority="12644">
      <formula>LEN(TRIM(M99))=0</formula>
    </cfRule>
    <cfRule type="containsBlanks" dxfId="16918" priority="12645">
      <formula>LEN(TRIM(M99))=0</formula>
    </cfRule>
    <cfRule type="containsBlanks" dxfId="16917" priority="12646">
      <formula>LEN(TRIM(M99))=0</formula>
    </cfRule>
    <cfRule type="containsBlanks" dxfId="16916" priority="12647">
      <formula>LEN(TRIM(M99))=0</formula>
    </cfRule>
    <cfRule type="containsBlanks" dxfId="16915" priority="12648">
      <formula>LEN(TRIM(M99))=0</formula>
    </cfRule>
    <cfRule type="containsBlanks" dxfId="16914" priority="12649">
      <formula>LEN(TRIM(M99))=0</formula>
    </cfRule>
    <cfRule type="containsBlanks" dxfId="16913" priority="12650">
      <formula>LEN(TRIM(M99))=0</formula>
    </cfRule>
    <cfRule type="containsBlanks" dxfId="16912" priority="12651">
      <formula>LEN(TRIM(M99))=0</formula>
    </cfRule>
    <cfRule type="containsBlanks" dxfId="16911" priority="12652">
      <formula>LEN(TRIM(M99))=0</formula>
    </cfRule>
    <cfRule type="containsBlanks" dxfId="16910" priority="12653">
      <formula>LEN(TRIM(M99))=0</formula>
    </cfRule>
    <cfRule type="containsBlanks" dxfId="16909" priority="12654">
      <formula>LEN(TRIM(M99))=0</formula>
    </cfRule>
    <cfRule type="containsBlanks" dxfId="16908" priority="12655">
      <formula>LEN(TRIM(M99))=0</formula>
    </cfRule>
    <cfRule type="containsBlanks" dxfId="16907" priority="12656">
      <formula>LEN(TRIM(M99))=0</formula>
    </cfRule>
    <cfRule type="containsBlanks" dxfId="16906" priority="12657">
      <formula>LEN(TRIM(M99))=0</formula>
    </cfRule>
    <cfRule type="containsBlanks" dxfId="16905" priority="12658">
      <formula>LEN(TRIM(M99))=0</formula>
    </cfRule>
    <cfRule type="containsBlanks" dxfId="16904" priority="12659">
      <formula>LEN(TRIM(M99))=0</formula>
    </cfRule>
    <cfRule type="containsBlanks" dxfId="16903" priority="12660">
      <formula>LEN(TRIM(M99))=0</formula>
    </cfRule>
    <cfRule type="containsBlanks" dxfId="16902" priority="12661">
      <formula>LEN(TRIM(M99))=0</formula>
    </cfRule>
    <cfRule type="containsBlanks" dxfId="16901" priority="12662">
      <formula>LEN(TRIM(M99))=0</formula>
    </cfRule>
    <cfRule type="containsBlanks" dxfId="16900" priority="12663">
      <formula>LEN(TRIM(M99))=0</formula>
    </cfRule>
    <cfRule type="containsBlanks" dxfId="16899" priority="12664">
      <formula>LEN(TRIM(M99))=0</formula>
    </cfRule>
    <cfRule type="containsBlanks" dxfId="16898" priority="12665">
      <formula>LEN(TRIM(M99))=0</formula>
    </cfRule>
    <cfRule type="containsBlanks" dxfId="16897" priority="12666">
      <formula>LEN(TRIM(M99))=0</formula>
    </cfRule>
    <cfRule type="containsBlanks" dxfId="16896" priority="12667">
      <formula>LEN(TRIM(M99))=0</formula>
    </cfRule>
    <cfRule type="containsBlanks" dxfId="16895" priority="12668">
      <formula>LEN(TRIM(M99))=0</formula>
    </cfRule>
    <cfRule type="containsBlanks" dxfId="16894" priority="12669">
      <formula>LEN(TRIM(M99))=0</formula>
    </cfRule>
    <cfRule type="containsBlanks" dxfId="16893" priority="12670">
      <formula>LEN(TRIM(M99))=0</formula>
    </cfRule>
    <cfRule type="containsBlanks" dxfId="16892" priority="12671">
      <formula>LEN(TRIM(M99))=0</formula>
    </cfRule>
    <cfRule type="containsBlanks" dxfId="16891" priority="12672">
      <formula>LEN(TRIM(M99))=0</formula>
    </cfRule>
    <cfRule type="containsBlanks" dxfId="16890" priority="12673">
      <formula>LEN(TRIM(M99))=0</formula>
    </cfRule>
    <cfRule type="containsBlanks" dxfId="16889" priority="12674">
      <formula>LEN(TRIM(M99))=0</formula>
    </cfRule>
    <cfRule type="containsBlanks" dxfId="16888" priority="12675">
      <formula>LEN(TRIM(M99))=0</formula>
    </cfRule>
    <cfRule type="containsBlanks" dxfId="16887" priority="12676">
      <formula>LEN(TRIM(M99))=0</formula>
    </cfRule>
    <cfRule type="containsBlanks" dxfId="16886" priority="12677">
      <formula>LEN(TRIM(M99))=0</formula>
    </cfRule>
    <cfRule type="containsBlanks" dxfId="16885" priority="12678">
      <formula>LEN(TRIM(M99))=0</formula>
    </cfRule>
    <cfRule type="containsBlanks" dxfId="16884" priority="12679">
      <formula>LEN(TRIM(M99))=0</formula>
    </cfRule>
    <cfRule type="containsBlanks" dxfId="16883" priority="12680">
      <formula>LEN(TRIM(M99))=0</formula>
    </cfRule>
    <cfRule type="containsBlanks" dxfId="16882" priority="12681">
      <formula>LEN(TRIM(M99))=0</formula>
    </cfRule>
    <cfRule type="containsBlanks" dxfId="16881" priority="12682">
      <formula>LEN(TRIM(M99))=0</formula>
    </cfRule>
    <cfRule type="containsBlanks" dxfId="16880" priority="12683">
      <formula>LEN(TRIM(M99))=0</formula>
    </cfRule>
    <cfRule type="containsBlanks" dxfId="16879" priority="12684">
      <formula>LEN(TRIM(M99))=0</formula>
    </cfRule>
    <cfRule type="containsBlanks" dxfId="16878" priority="12685">
      <formula>LEN(TRIM(M99))=0</formula>
    </cfRule>
    <cfRule type="containsBlanks" dxfId="16877" priority="12686">
      <formula>LEN(TRIM(M99))=0</formula>
    </cfRule>
    <cfRule type="containsBlanks" dxfId="16876" priority="12687">
      <formula>LEN(TRIM(M99))=0</formula>
    </cfRule>
    <cfRule type="containsBlanks" dxfId="16875" priority="12688">
      <formula>LEN(TRIM(M99))=0</formula>
    </cfRule>
    <cfRule type="containsBlanks" dxfId="16874" priority="12689">
      <formula>LEN(TRIM(M99))=0</formula>
    </cfRule>
    <cfRule type="containsBlanks" dxfId="16873" priority="12690">
      <formula>LEN(TRIM(M99))=0</formula>
    </cfRule>
    <cfRule type="containsBlanks" dxfId="16872" priority="12691">
      <formula>LEN(TRIM(M99))=0</formula>
    </cfRule>
    <cfRule type="containsBlanks" dxfId="16871" priority="12692">
      <formula>LEN(TRIM(M99))=0</formula>
    </cfRule>
    <cfRule type="containsBlanks" dxfId="16870" priority="12693">
      <formula>LEN(TRIM(M99))=0</formula>
    </cfRule>
    <cfRule type="containsBlanks" dxfId="16869" priority="12694">
      <formula>LEN(TRIM(M99))=0</formula>
    </cfRule>
    <cfRule type="containsBlanks" dxfId="16868" priority="12695">
      <formula>LEN(TRIM(M99))=0</formula>
    </cfRule>
    <cfRule type="containsBlanks" dxfId="16867" priority="12696">
      <formula>LEN(TRIM(M99))=0</formula>
    </cfRule>
    <cfRule type="containsBlanks" dxfId="16866" priority="12697">
      <formula>LEN(TRIM(M99))=0</formula>
    </cfRule>
    <cfRule type="containsBlanks" dxfId="16865" priority="12698">
      <formula>LEN(TRIM(M99))=0</formula>
    </cfRule>
    <cfRule type="containsBlanks" dxfId="16864" priority="12699">
      <formula>LEN(TRIM(M99))=0</formula>
    </cfRule>
    <cfRule type="containsBlanks" dxfId="16863" priority="12700">
      <formula>LEN(TRIM(M99))=0</formula>
    </cfRule>
    <cfRule type="containsBlanks" dxfId="16862" priority="12701">
      <formula>LEN(TRIM(M99))=0</formula>
    </cfRule>
    <cfRule type="containsBlanks" dxfId="16861" priority="12702">
      <formula>LEN(TRIM(M99))=0</formula>
    </cfRule>
    <cfRule type="containsBlanks" dxfId="16860" priority="12703">
      <formula>LEN(TRIM(M99))=0</formula>
    </cfRule>
    <cfRule type="containsBlanks" dxfId="16859" priority="12704">
      <formula>LEN(TRIM(M99))=0</formula>
    </cfRule>
    <cfRule type="containsBlanks" dxfId="16858" priority="12705">
      <formula>LEN(TRIM(M99))=0</formula>
    </cfRule>
    <cfRule type="containsBlanks" dxfId="16857" priority="12706">
      <formula>LEN(TRIM(M99))=0</formula>
    </cfRule>
    <cfRule type="containsBlanks" dxfId="16856" priority="12707">
      <formula>LEN(TRIM(M99))=0</formula>
    </cfRule>
    <cfRule type="containsBlanks" dxfId="16855" priority="12708">
      <formula>LEN(TRIM(M99))=0</formula>
    </cfRule>
    <cfRule type="containsBlanks" dxfId="16854" priority="12709">
      <formula>LEN(TRIM(M99))=0</formula>
    </cfRule>
    <cfRule type="containsBlanks" dxfId="16853" priority="12710">
      <formula>LEN(TRIM(M99))=0</formula>
    </cfRule>
    <cfRule type="containsBlanks" dxfId="16852" priority="12711">
      <formula>LEN(TRIM(M99))=0</formula>
    </cfRule>
    <cfRule type="containsBlanks" dxfId="16851" priority="12712">
      <formula>LEN(TRIM(M99))=0</formula>
    </cfRule>
    <cfRule type="containsBlanks" dxfId="16850" priority="12713">
      <formula>LEN(TRIM(M99))=0</formula>
    </cfRule>
    <cfRule type="containsBlanks" dxfId="16849" priority="12714">
      <formula>LEN(TRIM(M99))=0</formula>
    </cfRule>
    <cfRule type="containsBlanks" dxfId="16848" priority="12715">
      <formula>LEN(TRIM(M99))=0</formula>
    </cfRule>
    <cfRule type="containsBlanks" dxfId="16847" priority="12716">
      <formula>LEN(TRIM(M99))=0</formula>
    </cfRule>
    <cfRule type="containsBlanks" dxfId="16846" priority="12717">
      <formula>LEN(TRIM(M99))=0</formula>
    </cfRule>
    <cfRule type="containsBlanks" dxfId="16845" priority="12718">
      <formula>LEN(TRIM(M99))=0</formula>
    </cfRule>
    <cfRule type="containsBlanks" dxfId="16844" priority="12719">
      <formula>LEN(TRIM(M99))=0</formula>
    </cfRule>
    <cfRule type="containsBlanks" dxfId="16843" priority="12720">
      <formula>LEN(TRIM(M99))=0</formula>
    </cfRule>
    <cfRule type="containsBlanks" dxfId="16842" priority="12721">
      <formula>LEN(TRIM(M99))=0</formula>
    </cfRule>
    <cfRule type="containsBlanks" dxfId="16841" priority="12722">
      <formula>LEN(TRIM(M99))=0</formula>
    </cfRule>
    <cfRule type="containsBlanks" dxfId="16840" priority="12723">
      <formula>LEN(TRIM(M99))=0</formula>
    </cfRule>
    <cfRule type="containsBlanks" dxfId="16839" priority="12724">
      <formula>LEN(TRIM(M99))=0</formula>
    </cfRule>
    <cfRule type="containsBlanks" dxfId="16838" priority="12725">
      <formula>LEN(TRIM(M99))=0</formula>
    </cfRule>
    <cfRule type="containsBlanks" dxfId="16837" priority="12726">
      <formula>LEN(TRIM(M99))=0</formula>
    </cfRule>
    <cfRule type="containsBlanks" dxfId="16836" priority="12727">
      <formula>LEN(TRIM(M99))=0</formula>
    </cfRule>
    <cfRule type="containsBlanks" dxfId="16835" priority="12728">
      <formula>LEN(TRIM(M99))=0</formula>
    </cfRule>
    <cfRule type="containsBlanks" dxfId="16834" priority="12729">
      <formula>LEN(TRIM(M99))=0</formula>
    </cfRule>
    <cfRule type="containsBlanks" dxfId="16833" priority="12730">
      <formula>LEN(TRIM(M99))=0</formula>
    </cfRule>
    <cfRule type="containsBlanks" dxfId="16832" priority="12731">
      <formula>LEN(TRIM(M99))=0</formula>
    </cfRule>
    <cfRule type="containsBlanks" dxfId="16831" priority="12732">
      <formula>LEN(TRIM(M99))=0</formula>
    </cfRule>
    <cfRule type="containsBlanks" dxfId="16830" priority="12733">
      <formula>LEN(TRIM(M99))=0</formula>
    </cfRule>
    <cfRule type="containsBlanks" dxfId="16829" priority="12734">
      <formula>LEN(TRIM(M99))=0</formula>
    </cfRule>
    <cfRule type="containsBlanks" dxfId="16828" priority="12735">
      <formula>LEN(TRIM(M99))=0</formula>
    </cfRule>
    <cfRule type="containsBlanks" dxfId="16827" priority="12736">
      <formula>LEN(TRIM(M99))=0</formula>
    </cfRule>
    <cfRule type="containsBlanks" dxfId="16826" priority="12737">
      <formula>LEN(TRIM(M99))=0</formula>
    </cfRule>
    <cfRule type="containsBlanks" dxfId="16825" priority="12738">
      <formula>LEN(TRIM(M99))=0</formula>
    </cfRule>
    <cfRule type="containsBlanks" dxfId="16824" priority="12739">
      <formula>LEN(TRIM(M99))=0</formula>
    </cfRule>
    <cfRule type="containsBlanks" dxfId="16823" priority="12740">
      <formula>LEN(TRIM(M99))=0</formula>
    </cfRule>
    <cfRule type="containsBlanks" dxfId="16822" priority="12741">
      <formula>LEN(TRIM(M99))=0</formula>
    </cfRule>
    <cfRule type="containsBlanks" dxfId="16821" priority="12742">
      <formula>LEN(TRIM(M99))=0</formula>
    </cfRule>
    <cfRule type="containsBlanks" dxfId="16820" priority="12743">
      <formula>LEN(TRIM(M99))=0</formula>
    </cfRule>
    <cfRule type="containsBlanks" dxfId="16819" priority="12744">
      <formula>LEN(TRIM(M99))=0</formula>
    </cfRule>
    <cfRule type="containsBlanks" dxfId="16818" priority="12745">
      <formula>LEN(TRIM(M99))=0</formula>
    </cfRule>
    <cfRule type="containsBlanks" dxfId="16817" priority="12746">
      <formula>LEN(TRIM(M99))=0</formula>
    </cfRule>
    <cfRule type="containsBlanks" dxfId="16816" priority="12747">
      <formula>LEN(TRIM(M99))=0</formula>
    </cfRule>
    <cfRule type="containsBlanks" dxfId="16815" priority="12748">
      <formula>LEN(TRIM(M99))=0</formula>
    </cfRule>
    <cfRule type="containsBlanks" dxfId="16814" priority="12749">
      <formula>LEN(TRIM(M99))=0</formula>
    </cfRule>
    <cfRule type="containsBlanks" dxfId="16813" priority="12750">
      <formula>LEN(TRIM(M99))=0</formula>
    </cfRule>
    <cfRule type="containsBlanks" dxfId="16812" priority="12751">
      <formula>LEN(TRIM(M99))=0</formula>
    </cfRule>
    <cfRule type="containsBlanks" dxfId="16811" priority="12752">
      <formula>LEN(TRIM(M99))=0</formula>
    </cfRule>
    <cfRule type="containsBlanks" dxfId="16810" priority="12753">
      <formula>LEN(TRIM(M99))=0</formula>
    </cfRule>
    <cfRule type="containsBlanks" dxfId="16809" priority="12754">
      <formula>LEN(TRIM(M99))=0</formula>
    </cfRule>
    <cfRule type="containsBlanks" dxfId="16808" priority="12755">
      <formula>LEN(TRIM(M99))=0</formula>
    </cfRule>
    <cfRule type="containsBlanks" dxfId="16807" priority="12756">
      <formula>LEN(TRIM(M99))=0</formula>
    </cfRule>
    <cfRule type="containsBlanks" dxfId="16806" priority="12757">
      <formula>LEN(TRIM(M99))=0</formula>
    </cfRule>
    <cfRule type="containsBlanks" dxfId="16805" priority="12758">
      <formula>LEN(TRIM(M99))=0</formula>
    </cfRule>
    <cfRule type="containsBlanks" dxfId="16804" priority="12759">
      <formula>LEN(TRIM(M99))=0</formula>
    </cfRule>
    <cfRule type="containsBlanks" dxfId="16803" priority="12760">
      <formula>LEN(TRIM(M99))=0</formula>
    </cfRule>
    <cfRule type="containsBlanks" dxfId="16802" priority="12761">
      <formula>LEN(TRIM(M99))=0</formula>
    </cfRule>
    <cfRule type="containsBlanks" dxfId="16801" priority="12762">
      <formula>LEN(TRIM(M99))=0</formula>
    </cfRule>
    <cfRule type="containsBlanks" dxfId="16800" priority="12763">
      <formula>LEN(TRIM(M99))=0</formula>
    </cfRule>
    <cfRule type="containsBlanks" dxfId="16799" priority="12764">
      <formula>LEN(TRIM(M99))=0</formula>
    </cfRule>
    <cfRule type="containsBlanks" dxfId="16798" priority="12765">
      <formula>LEN(TRIM(M99))=0</formula>
    </cfRule>
    <cfRule type="containsBlanks" dxfId="16797" priority="12766">
      <formula>LEN(TRIM(M99))=0</formula>
    </cfRule>
    <cfRule type="containsBlanks" dxfId="16796" priority="12767">
      <formula>LEN(TRIM(M99))=0</formula>
    </cfRule>
    <cfRule type="containsBlanks" dxfId="16795" priority="12768">
      <formula>LEN(TRIM(M99))=0</formula>
    </cfRule>
    <cfRule type="containsBlanks" dxfId="16794" priority="12769">
      <formula>LEN(TRIM(M99))=0</formula>
    </cfRule>
    <cfRule type="containsBlanks" dxfId="16793" priority="12770">
      <formula>LEN(TRIM(M99))=0</formula>
    </cfRule>
    <cfRule type="containsBlanks" dxfId="16792" priority="12771">
      <formula>LEN(TRIM(M99))=0</formula>
    </cfRule>
    <cfRule type="containsBlanks" dxfId="16791" priority="12772">
      <formula>LEN(TRIM(M99))=0</formula>
    </cfRule>
    <cfRule type="containsBlanks" dxfId="16790" priority="12773">
      <formula>LEN(TRIM(M99))=0</formula>
    </cfRule>
    <cfRule type="containsBlanks" dxfId="16789" priority="12774">
      <formula>LEN(TRIM(M99))=0</formula>
    </cfRule>
    <cfRule type="containsBlanks" dxfId="16788" priority="12775">
      <formula>LEN(TRIM(M99))=0</formula>
    </cfRule>
    <cfRule type="containsBlanks" dxfId="16787" priority="12776">
      <formula>LEN(TRIM(M99))=0</formula>
    </cfRule>
    <cfRule type="containsBlanks" dxfId="16786" priority="12777">
      <formula>LEN(TRIM(M99))=0</formula>
    </cfRule>
    <cfRule type="containsBlanks" dxfId="16785" priority="12778">
      <formula>LEN(TRIM(M99))=0</formula>
    </cfRule>
    <cfRule type="containsBlanks" dxfId="16784" priority="12779">
      <formula>LEN(TRIM(M99))=0</formula>
    </cfRule>
    <cfRule type="containsBlanks" dxfId="16783" priority="12780">
      <formula>LEN(TRIM(M99))=0</formula>
    </cfRule>
    <cfRule type="containsBlanks" dxfId="16782" priority="12781">
      <formula>LEN(TRIM(M99))=0</formula>
    </cfRule>
    <cfRule type="containsBlanks" dxfId="16781" priority="12782">
      <formula>LEN(TRIM(M99))=0</formula>
    </cfRule>
    <cfRule type="containsBlanks" dxfId="16780" priority="12783">
      <formula>LEN(TRIM(M99))=0</formula>
    </cfRule>
    <cfRule type="containsBlanks" dxfId="16779" priority="12784">
      <formula>LEN(TRIM(M99))=0</formula>
    </cfRule>
    <cfRule type="containsBlanks" dxfId="16778" priority="12785">
      <formula>LEN(TRIM(M99))=0</formula>
    </cfRule>
    <cfRule type="containsBlanks" dxfId="16777" priority="12786">
      <formula>LEN(TRIM(M99))=0</formula>
    </cfRule>
    <cfRule type="containsBlanks" dxfId="16776" priority="12787">
      <formula>LEN(TRIM(M99))=0</formula>
    </cfRule>
    <cfRule type="containsBlanks" dxfId="16775" priority="12788">
      <formula>LEN(TRIM(M99))=0</formula>
    </cfRule>
    <cfRule type="containsBlanks" dxfId="16774" priority="12789">
      <formula>LEN(TRIM(M99))=0</formula>
    </cfRule>
    <cfRule type="containsBlanks" dxfId="16773" priority="12790">
      <formula>LEN(TRIM(M99))=0</formula>
    </cfRule>
    <cfRule type="containsBlanks" dxfId="16772" priority="12791">
      <formula>LEN(TRIM(M99))=0</formula>
    </cfRule>
    <cfRule type="containsBlanks" dxfId="16771" priority="12792">
      <formula>LEN(TRIM(M99))=0</formula>
    </cfRule>
    <cfRule type="containsBlanks" dxfId="16770" priority="12793">
      <formula>LEN(TRIM(M99))=0</formula>
    </cfRule>
    <cfRule type="containsBlanks" dxfId="16769" priority="12794">
      <formula>LEN(TRIM(M99))=0</formula>
    </cfRule>
    <cfRule type="containsBlanks" dxfId="16768" priority="12795">
      <formula>LEN(TRIM(M99))=0</formula>
    </cfRule>
    <cfRule type="containsBlanks" dxfId="16767" priority="12796">
      <formula>LEN(TRIM(M99))=0</formula>
    </cfRule>
    <cfRule type="containsBlanks" dxfId="16766" priority="12797">
      <formula>LEN(TRIM(M99))=0</formula>
    </cfRule>
    <cfRule type="containsBlanks" dxfId="16765" priority="12798">
      <formula>LEN(TRIM(M99))=0</formula>
    </cfRule>
    <cfRule type="containsBlanks" dxfId="16764" priority="12799">
      <formula>LEN(TRIM(M99))=0</formula>
    </cfRule>
    <cfRule type="containsBlanks" dxfId="16763" priority="12800">
      <formula>LEN(TRIM(M99))=0</formula>
    </cfRule>
  </conditionalFormatting>
  <conditionalFormatting sqref="M109">
    <cfRule type="containsBlanks" dxfId="16762" priority="11970">
      <formula>LEN(TRIM(M109))=0</formula>
    </cfRule>
    <cfRule type="containsBlanks" dxfId="16761" priority="11971">
      <formula>LEN(TRIM(M109))=0</formula>
    </cfRule>
    <cfRule type="containsBlanks" dxfId="16760" priority="11972">
      <formula>LEN(TRIM(M109))=0</formula>
    </cfRule>
    <cfRule type="containsBlanks" dxfId="16759" priority="11973">
      <formula>LEN(TRIM(M109))=0</formula>
    </cfRule>
    <cfRule type="containsBlanks" dxfId="16758" priority="11974">
      <formula>LEN(TRIM(M109))=0</formula>
    </cfRule>
    <cfRule type="containsBlanks" dxfId="16757" priority="11975">
      <formula>LEN(TRIM(M109))=0</formula>
    </cfRule>
    <cfRule type="containsBlanks" dxfId="16756" priority="11976">
      <formula>LEN(TRIM(M109))=0</formula>
    </cfRule>
    <cfRule type="containsBlanks" dxfId="16755" priority="11977">
      <formula>LEN(TRIM(M109))=0</formula>
    </cfRule>
    <cfRule type="containsBlanks" dxfId="16754" priority="11978">
      <formula>LEN(TRIM(M109))=0</formula>
    </cfRule>
    <cfRule type="containsBlanks" dxfId="16753" priority="11979">
      <formula>LEN(TRIM(M109))=0</formula>
    </cfRule>
    <cfRule type="containsBlanks" dxfId="16752" priority="11980">
      <formula>LEN(TRIM(M109))=0</formula>
    </cfRule>
    <cfRule type="containsBlanks" dxfId="16751" priority="11981">
      <formula>LEN(TRIM(M109))=0</formula>
    </cfRule>
    <cfRule type="containsBlanks" dxfId="16750" priority="11982">
      <formula>LEN(TRIM(M109))=0</formula>
    </cfRule>
    <cfRule type="containsBlanks" dxfId="16749" priority="11983">
      <formula>LEN(TRIM(M109))=0</formula>
    </cfRule>
    <cfRule type="containsBlanks" dxfId="16748" priority="11984">
      <formula>LEN(TRIM(M109))=0</formula>
    </cfRule>
    <cfRule type="containsBlanks" dxfId="16747" priority="11985">
      <formula>LEN(TRIM(M109))=0</formula>
    </cfRule>
    <cfRule type="containsBlanks" dxfId="16746" priority="11986">
      <formula>LEN(TRIM(M109))=0</formula>
    </cfRule>
    <cfRule type="containsBlanks" dxfId="16745" priority="11987">
      <formula>LEN(TRIM(M109))=0</formula>
    </cfRule>
    <cfRule type="containsBlanks" dxfId="16744" priority="11988">
      <formula>LEN(TRIM(M109))=0</formula>
    </cfRule>
    <cfRule type="containsBlanks" dxfId="16743" priority="11989">
      <formula>LEN(TRIM(M109))=0</formula>
    </cfRule>
    <cfRule type="containsBlanks" dxfId="16742" priority="11990">
      <formula>LEN(TRIM(M109))=0</formula>
    </cfRule>
    <cfRule type="containsBlanks" dxfId="16741" priority="11991">
      <formula>LEN(TRIM(M109))=0</formula>
    </cfRule>
    <cfRule type="containsBlanks" dxfId="16740" priority="11992">
      <formula>LEN(TRIM(M109))=0</formula>
    </cfRule>
    <cfRule type="containsBlanks" dxfId="16739" priority="11993">
      <formula>LEN(TRIM(M109))=0</formula>
    </cfRule>
    <cfRule type="containsBlanks" dxfId="16738" priority="11994">
      <formula>LEN(TRIM(M109))=0</formula>
    </cfRule>
    <cfRule type="containsBlanks" dxfId="16737" priority="11995">
      <formula>LEN(TRIM(M109))=0</formula>
    </cfRule>
    <cfRule type="containsBlanks" dxfId="16736" priority="11996">
      <formula>LEN(TRIM(M109))=0</formula>
    </cfRule>
    <cfRule type="containsBlanks" dxfId="16735" priority="11997">
      <formula>LEN(TRIM(M109))=0</formula>
    </cfRule>
    <cfRule type="containsBlanks" dxfId="16734" priority="11998">
      <formula>LEN(TRIM(M109))=0</formula>
    </cfRule>
    <cfRule type="containsBlanks" dxfId="16733" priority="11999">
      <formula>LEN(TRIM(M109))=0</formula>
    </cfRule>
    <cfRule type="containsBlanks" dxfId="16732" priority="12000">
      <formula>LEN(TRIM(M109))=0</formula>
    </cfRule>
    <cfRule type="containsBlanks" dxfId="16731" priority="12001">
      <formula>LEN(TRIM(M109))=0</formula>
    </cfRule>
    <cfRule type="containsBlanks" dxfId="16730" priority="12002">
      <formula>LEN(TRIM(M109))=0</formula>
    </cfRule>
    <cfRule type="containsBlanks" dxfId="16729" priority="12003">
      <formula>LEN(TRIM(M109))=0</formula>
    </cfRule>
    <cfRule type="containsBlanks" dxfId="16728" priority="12004">
      <formula>LEN(TRIM(M109))=0</formula>
    </cfRule>
    <cfRule type="containsBlanks" dxfId="16727" priority="12005">
      <formula>LEN(TRIM(M109))=0</formula>
    </cfRule>
    <cfRule type="containsBlanks" dxfId="16726" priority="12006">
      <formula>LEN(TRIM(M109))=0</formula>
    </cfRule>
    <cfRule type="containsBlanks" dxfId="16725" priority="12007">
      <formula>LEN(TRIM(M109))=0</formula>
    </cfRule>
    <cfRule type="containsBlanks" dxfId="16724" priority="12008">
      <formula>LEN(TRIM(M109))=0</formula>
    </cfRule>
    <cfRule type="containsBlanks" dxfId="16723" priority="12009">
      <formula>LEN(TRIM(M109))=0</formula>
    </cfRule>
    <cfRule type="containsBlanks" dxfId="16722" priority="12010">
      <formula>LEN(TRIM(M109))=0</formula>
    </cfRule>
    <cfRule type="containsBlanks" dxfId="16721" priority="12011">
      <formula>LEN(TRIM(M109))=0</formula>
    </cfRule>
    <cfRule type="containsBlanks" dxfId="16720" priority="12012">
      <formula>LEN(TRIM(M109))=0</formula>
    </cfRule>
    <cfRule type="containsBlanks" dxfId="16719" priority="12013">
      <formula>LEN(TRIM(M109))=0</formula>
    </cfRule>
    <cfRule type="containsBlanks" dxfId="16718" priority="12014">
      <formula>LEN(TRIM(M109))=0</formula>
    </cfRule>
    <cfRule type="containsBlanks" dxfId="16717" priority="12015">
      <formula>LEN(TRIM(M109))=0</formula>
    </cfRule>
    <cfRule type="containsBlanks" dxfId="16716" priority="12016">
      <formula>LEN(TRIM(M109))=0</formula>
    </cfRule>
    <cfRule type="containsBlanks" dxfId="16715" priority="12017">
      <formula>LEN(TRIM(M109))=0</formula>
    </cfRule>
    <cfRule type="containsBlanks" dxfId="16714" priority="12018">
      <formula>LEN(TRIM(M109))=0</formula>
    </cfRule>
    <cfRule type="containsBlanks" dxfId="16713" priority="12019">
      <formula>LEN(TRIM(M109))=0</formula>
    </cfRule>
    <cfRule type="containsBlanks" dxfId="16712" priority="12020">
      <formula>LEN(TRIM(M109))=0</formula>
    </cfRule>
    <cfRule type="containsBlanks" dxfId="16711" priority="12021">
      <formula>LEN(TRIM(M109))=0</formula>
    </cfRule>
    <cfRule type="containsBlanks" dxfId="16710" priority="12022">
      <formula>LEN(TRIM(M109))=0</formula>
    </cfRule>
    <cfRule type="containsBlanks" dxfId="16709" priority="12023">
      <formula>LEN(TRIM(M109))=0</formula>
    </cfRule>
    <cfRule type="containsBlanks" dxfId="16708" priority="12024">
      <formula>LEN(TRIM(M109))=0</formula>
    </cfRule>
    <cfRule type="containsBlanks" dxfId="16707" priority="12025">
      <formula>LEN(TRIM(M109))=0</formula>
    </cfRule>
    <cfRule type="containsBlanks" dxfId="16706" priority="12026">
      <formula>LEN(TRIM(M109))=0</formula>
    </cfRule>
    <cfRule type="containsBlanks" dxfId="16705" priority="12027">
      <formula>LEN(TRIM(M109))=0</formula>
    </cfRule>
    <cfRule type="containsBlanks" dxfId="16704" priority="12028">
      <formula>LEN(TRIM(M109))=0</formula>
    </cfRule>
    <cfRule type="containsBlanks" dxfId="16703" priority="12029">
      <formula>LEN(TRIM(M109))=0</formula>
    </cfRule>
    <cfRule type="containsBlanks" dxfId="16702" priority="12030">
      <formula>LEN(TRIM(M109))=0</formula>
    </cfRule>
    <cfRule type="containsBlanks" dxfId="16701" priority="12031">
      <formula>LEN(TRIM(M109))=0</formula>
    </cfRule>
    <cfRule type="containsBlanks" dxfId="16700" priority="12032">
      <formula>LEN(TRIM(M109))=0</formula>
    </cfRule>
    <cfRule type="containsBlanks" dxfId="16699" priority="12033">
      <formula>LEN(TRIM(M109))=0</formula>
    </cfRule>
    <cfRule type="containsBlanks" dxfId="16698" priority="12034">
      <formula>LEN(TRIM(M109))=0</formula>
    </cfRule>
    <cfRule type="containsBlanks" dxfId="16697" priority="12035">
      <formula>LEN(TRIM(M109))=0</formula>
    </cfRule>
    <cfRule type="containsBlanks" dxfId="16696" priority="12036">
      <formula>LEN(TRIM(M109))=0</formula>
    </cfRule>
    <cfRule type="containsBlanks" dxfId="16695" priority="12037">
      <formula>LEN(TRIM(M109))=0</formula>
    </cfRule>
    <cfRule type="containsBlanks" dxfId="16694" priority="12038">
      <formula>LEN(TRIM(M109))=0</formula>
    </cfRule>
    <cfRule type="containsBlanks" dxfId="16693" priority="12039">
      <formula>LEN(TRIM(M109))=0</formula>
    </cfRule>
    <cfRule type="containsBlanks" dxfId="16692" priority="12040">
      <formula>LEN(TRIM(M109))=0</formula>
    </cfRule>
    <cfRule type="containsBlanks" dxfId="16691" priority="12041">
      <formula>LEN(TRIM(M109))=0</formula>
    </cfRule>
    <cfRule type="containsBlanks" dxfId="16690" priority="12042">
      <formula>LEN(TRIM(M109))=0</formula>
    </cfRule>
    <cfRule type="containsBlanks" dxfId="16689" priority="12043">
      <formula>LEN(TRIM(M109))=0</formula>
    </cfRule>
    <cfRule type="containsBlanks" dxfId="16688" priority="12044">
      <formula>LEN(TRIM(M109))=0</formula>
    </cfRule>
    <cfRule type="containsBlanks" dxfId="16687" priority="12045">
      <formula>LEN(TRIM(M109))=0</formula>
    </cfRule>
    <cfRule type="containsBlanks" dxfId="16686" priority="12046">
      <formula>LEN(TRIM(M109))=0</formula>
    </cfRule>
    <cfRule type="containsBlanks" dxfId="16685" priority="12047">
      <formula>LEN(TRIM(M109))=0</formula>
    </cfRule>
    <cfRule type="containsBlanks" dxfId="16684" priority="12048">
      <formula>LEN(TRIM(M109))=0</formula>
    </cfRule>
    <cfRule type="containsBlanks" dxfId="16683" priority="12049">
      <formula>LEN(TRIM(M109))=0</formula>
    </cfRule>
    <cfRule type="containsBlanks" dxfId="16682" priority="12050">
      <formula>LEN(TRIM(M109))=0</formula>
    </cfRule>
    <cfRule type="containsBlanks" dxfId="16681" priority="12051">
      <formula>LEN(TRIM(M109))=0</formula>
    </cfRule>
    <cfRule type="containsBlanks" dxfId="16680" priority="12052">
      <formula>LEN(TRIM(M109))=0</formula>
    </cfRule>
    <cfRule type="containsBlanks" dxfId="16679" priority="12053">
      <formula>LEN(TRIM(M109))=0</formula>
    </cfRule>
    <cfRule type="containsBlanks" dxfId="16678" priority="12054">
      <formula>LEN(TRIM(M109))=0</formula>
    </cfRule>
    <cfRule type="containsBlanks" dxfId="16677" priority="12055">
      <formula>LEN(TRIM(M109))=0</formula>
    </cfRule>
    <cfRule type="containsBlanks" dxfId="16676" priority="12056">
      <formula>LEN(TRIM(M109))=0</formula>
    </cfRule>
    <cfRule type="containsBlanks" dxfId="16675" priority="12057">
      <formula>LEN(TRIM(M109))=0</formula>
    </cfRule>
    <cfRule type="containsBlanks" dxfId="16674" priority="12058">
      <formula>LEN(TRIM(M109))=0</formula>
    </cfRule>
    <cfRule type="containsBlanks" dxfId="16673" priority="12059">
      <formula>LEN(TRIM(M109))=0</formula>
    </cfRule>
    <cfRule type="containsBlanks" dxfId="16672" priority="12060">
      <formula>LEN(TRIM(M109))=0</formula>
    </cfRule>
    <cfRule type="containsBlanks" dxfId="16671" priority="12061">
      <formula>LEN(TRIM(M109))=0</formula>
    </cfRule>
    <cfRule type="containsBlanks" dxfId="16670" priority="12062">
      <formula>LEN(TRIM(M109))=0</formula>
    </cfRule>
    <cfRule type="containsBlanks" dxfId="16669" priority="12063">
      <formula>LEN(TRIM(M109))=0</formula>
    </cfRule>
    <cfRule type="containsBlanks" dxfId="16668" priority="12064">
      <formula>LEN(TRIM(M109))=0</formula>
    </cfRule>
    <cfRule type="containsBlanks" dxfId="16667" priority="12065">
      <formula>LEN(TRIM(M109))=0</formula>
    </cfRule>
    <cfRule type="containsBlanks" dxfId="16666" priority="12066">
      <formula>LEN(TRIM(M109))=0</formula>
    </cfRule>
    <cfRule type="containsBlanks" dxfId="16665" priority="12067">
      <formula>LEN(TRIM(M109))=0</formula>
    </cfRule>
    <cfRule type="containsBlanks" dxfId="16664" priority="12068">
      <formula>LEN(TRIM(M109))=0</formula>
    </cfRule>
    <cfRule type="containsBlanks" dxfId="16663" priority="12069">
      <formula>LEN(TRIM(M109))=0</formula>
    </cfRule>
    <cfRule type="containsBlanks" dxfId="16662" priority="12070">
      <formula>LEN(TRIM(M109))=0</formula>
    </cfRule>
    <cfRule type="containsBlanks" dxfId="16661" priority="12071">
      <formula>LEN(TRIM(M109))=0</formula>
    </cfRule>
    <cfRule type="containsBlanks" dxfId="16660" priority="12072">
      <formula>LEN(TRIM(M109))=0</formula>
    </cfRule>
    <cfRule type="containsBlanks" dxfId="16659" priority="12073">
      <formula>LEN(TRIM(M109))=0</formula>
    </cfRule>
    <cfRule type="containsBlanks" dxfId="16658" priority="12074">
      <formula>LEN(TRIM(M109))=0</formula>
    </cfRule>
    <cfRule type="containsBlanks" dxfId="16657" priority="12075">
      <formula>LEN(TRIM(M109))=0</formula>
    </cfRule>
    <cfRule type="containsBlanks" dxfId="16656" priority="12076">
      <formula>LEN(TRIM(M109))=0</formula>
    </cfRule>
    <cfRule type="containsBlanks" dxfId="16655" priority="12077">
      <formula>LEN(TRIM(M109))=0</formula>
    </cfRule>
    <cfRule type="containsBlanks" dxfId="16654" priority="12078">
      <formula>LEN(TRIM(M109))=0</formula>
    </cfRule>
    <cfRule type="containsBlanks" dxfId="16653" priority="12079">
      <formula>LEN(TRIM(M109))=0</formula>
    </cfRule>
    <cfRule type="containsBlanks" dxfId="16652" priority="12080">
      <formula>LEN(TRIM(M109))=0</formula>
    </cfRule>
    <cfRule type="containsBlanks" dxfId="16651" priority="12081">
      <formula>LEN(TRIM(M109))=0</formula>
    </cfRule>
    <cfRule type="containsBlanks" dxfId="16650" priority="12082">
      <formula>LEN(TRIM(M109))=0</formula>
    </cfRule>
    <cfRule type="containsBlanks" dxfId="16649" priority="12083">
      <formula>LEN(TRIM(M109))=0</formula>
    </cfRule>
    <cfRule type="containsBlanks" dxfId="16648" priority="12084">
      <formula>LEN(TRIM(M109))=0</formula>
    </cfRule>
    <cfRule type="containsBlanks" dxfId="16647" priority="12085">
      <formula>LEN(TRIM(M109))=0</formula>
    </cfRule>
    <cfRule type="containsBlanks" dxfId="16646" priority="12086">
      <formula>LEN(TRIM(M109))=0</formula>
    </cfRule>
    <cfRule type="containsBlanks" dxfId="16645" priority="12087">
      <formula>LEN(TRIM(M109))=0</formula>
    </cfRule>
    <cfRule type="containsBlanks" dxfId="16644" priority="12088">
      <formula>LEN(TRIM(M109))=0</formula>
    </cfRule>
    <cfRule type="containsBlanks" dxfId="16643" priority="12089">
      <formula>LEN(TRIM(M109))=0</formula>
    </cfRule>
    <cfRule type="containsBlanks" dxfId="16642" priority="12090">
      <formula>LEN(TRIM(M109))=0</formula>
    </cfRule>
    <cfRule type="containsBlanks" dxfId="16641" priority="12091">
      <formula>LEN(TRIM(M109))=0</formula>
    </cfRule>
    <cfRule type="containsBlanks" dxfId="16640" priority="12092">
      <formula>LEN(TRIM(M109))=0</formula>
    </cfRule>
    <cfRule type="containsBlanks" dxfId="16639" priority="12093">
      <formula>LEN(TRIM(M109))=0</formula>
    </cfRule>
    <cfRule type="containsBlanks" dxfId="16638" priority="12094">
      <formula>LEN(TRIM(M109))=0</formula>
    </cfRule>
    <cfRule type="containsBlanks" dxfId="16637" priority="12095">
      <formula>LEN(TRIM(M109))=0</formula>
    </cfRule>
    <cfRule type="containsBlanks" dxfId="16636" priority="12096">
      <formula>LEN(TRIM(M109))=0</formula>
    </cfRule>
    <cfRule type="containsBlanks" dxfId="16635" priority="12097">
      <formula>LEN(TRIM(M109))=0</formula>
    </cfRule>
    <cfRule type="containsBlanks" dxfId="16634" priority="12098">
      <formula>LEN(TRIM(M109))=0</formula>
    </cfRule>
    <cfRule type="containsBlanks" dxfId="16633" priority="12099">
      <formula>LEN(TRIM(M109))=0</formula>
    </cfRule>
    <cfRule type="containsBlanks" dxfId="16632" priority="12100">
      <formula>LEN(TRIM(M109))=0</formula>
    </cfRule>
    <cfRule type="containsBlanks" dxfId="16631" priority="12101">
      <formula>LEN(TRIM(M109))=0</formula>
    </cfRule>
    <cfRule type="containsBlanks" dxfId="16630" priority="12102">
      <formula>LEN(TRIM(M109))=0</formula>
    </cfRule>
    <cfRule type="containsBlanks" dxfId="16629" priority="12103">
      <formula>LEN(TRIM(M109))=0</formula>
    </cfRule>
    <cfRule type="containsBlanks" dxfId="16628" priority="12104">
      <formula>LEN(TRIM(M109))=0</formula>
    </cfRule>
    <cfRule type="containsBlanks" dxfId="16627" priority="12105">
      <formula>LEN(TRIM(M109))=0</formula>
    </cfRule>
    <cfRule type="containsBlanks" dxfId="16626" priority="12106">
      <formula>LEN(TRIM(M109))=0</formula>
    </cfRule>
    <cfRule type="containsBlanks" dxfId="16625" priority="12107">
      <formula>LEN(TRIM(M109))=0</formula>
    </cfRule>
    <cfRule type="containsBlanks" dxfId="16624" priority="12108">
      <formula>LEN(TRIM(M109))=0</formula>
    </cfRule>
    <cfRule type="containsBlanks" dxfId="16623" priority="12109">
      <formula>LEN(TRIM(M109))=0</formula>
    </cfRule>
    <cfRule type="containsBlanks" dxfId="16622" priority="12110">
      <formula>LEN(TRIM(M109))=0</formula>
    </cfRule>
    <cfRule type="containsBlanks" dxfId="16621" priority="12111">
      <formula>LEN(TRIM(M109))=0</formula>
    </cfRule>
    <cfRule type="containsBlanks" dxfId="16620" priority="12112">
      <formula>LEN(TRIM(M109))=0</formula>
    </cfRule>
    <cfRule type="containsBlanks" dxfId="16619" priority="12113">
      <formula>LEN(TRIM(M109))=0</formula>
    </cfRule>
    <cfRule type="containsBlanks" dxfId="16618" priority="12114">
      <formula>LEN(TRIM(M109))=0</formula>
    </cfRule>
    <cfRule type="containsBlanks" dxfId="16617" priority="12115">
      <formula>LEN(TRIM(M109))=0</formula>
    </cfRule>
    <cfRule type="containsBlanks" dxfId="16616" priority="12116">
      <formula>LEN(TRIM(M109))=0</formula>
    </cfRule>
    <cfRule type="containsBlanks" dxfId="16615" priority="12117">
      <formula>LEN(TRIM(M109))=0</formula>
    </cfRule>
    <cfRule type="containsBlanks" dxfId="16614" priority="12118">
      <formula>LEN(TRIM(M109))=0</formula>
    </cfRule>
    <cfRule type="containsBlanks" dxfId="16613" priority="12119">
      <formula>LEN(TRIM(M109))=0</formula>
    </cfRule>
    <cfRule type="containsBlanks" dxfId="16612" priority="12120">
      <formula>LEN(TRIM(M109))=0</formula>
    </cfRule>
    <cfRule type="containsBlanks" dxfId="16611" priority="12121">
      <formula>LEN(TRIM(M109))=0</formula>
    </cfRule>
    <cfRule type="containsBlanks" dxfId="16610" priority="12122">
      <formula>LEN(TRIM(M109))=0</formula>
    </cfRule>
    <cfRule type="containsBlanks" dxfId="16609" priority="12123">
      <formula>LEN(TRIM(M109))=0</formula>
    </cfRule>
    <cfRule type="containsBlanks" dxfId="16608" priority="12124">
      <formula>LEN(TRIM(M109))=0</formula>
    </cfRule>
    <cfRule type="containsBlanks" dxfId="16607" priority="12125">
      <formula>LEN(TRIM(M109))=0</formula>
    </cfRule>
    <cfRule type="containsBlanks" dxfId="16606" priority="12126">
      <formula>LEN(TRIM(M109))=0</formula>
    </cfRule>
    <cfRule type="containsBlanks" dxfId="16605" priority="12127">
      <formula>LEN(TRIM(M109))=0</formula>
    </cfRule>
    <cfRule type="containsBlanks" dxfId="16604" priority="12128">
      <formula>LEN(TRIM(M109))=0</formula>
    </cfRule>
    <cfRule type="containsBlanks" dxfId="16603" priority="12129">
      <formula>LEN(TRIM(M109))=0</formula>
    </cfRule>
    <cfRule type="containsBlanks" dxfId="16602" priority="12130">
      <formula>LEN(TRIM(M109))=0</formula>
    </cfRule>
    <cfRule type="containsBlanks" dxfId="16601" priority="12131">
      <formula>LEN(TRIM(M109))=0</formula>
    </cfRule>
    <cfRule type="containsBlanks" dxfId="16600" priority="12132">
      <formula>LEN(TRIM(M109))=0</formula>
    </cfRule>
    <cfRule type="containsBlanks" dxfId="16599" priority="12133">
      <formula>LEN(TRIM(M109))=0</formula>
    </cfRule>
    <cfRule type="containsBlanks" dxfId="16598" priority="12134">
      <formula>LEN(TRIM(M109))=0</formula>
    </cfRule>
    <cfRule type="containsBlanks" dxfId="16597" priority="12135">
      <formula>LEN(TRIM(M109))=0</formula>
    </cfRule>
    <cfRule type="containsBlanks" dxfId="16596" priority="12136">
      <formula>LEN(TRIM(M109))=0</formula>
    </cfRule>
    <cfRule type="containsBlanks" dxfId="16595" priority="12137">
      <formula>LEN(TRIM(M109))=0</formula>
    </cfRule>
    <cfRule type="containsBlanks" dxfId="16594" priority="12138">
      <formula>LEN(TRIM(M109))=0</formula>
    </cfRule>
    <cfRule type="containsBlanks" dxfId="16593" priority="12139">
      <formula>LEN(TRIM(M109))=0</formula>
    </cfRule>
    <cfRule type="containsBlanks" dxfId="16592" priority="12140">
      <formula>LEN(TRIM(M109))=0</formula>
    </cfRule>
    <cfRule type="containsBlanks" dxfId="16591" priority="12141">
      <formula>LEN(TRIM(M109))=0</formula>
    </cfRule>
    <cfRule type="containsBlanks" dxfId="16590" priority="12142">
      <formula>LEN(TRIM(M109))=0</formula>
    </cfRule>
    <cfRule type="containsBlanks" dxfId="16589" priority="12143">
      <formula>LEN(TRIM(M109))=0</formula>
    </cfRule>
    <cfRule type="containsBlanks" dxfId="16588" priority="12144">
      <formula>LEN(TRIM(M109))=0</formula>
    </cfRule>
    <cfRule type="containsBlanks" dxfId="16587" priority="12145">
      <formula>LEN(TRIM(M109))=0</formula>
    </cfRule>
    <cfRule type="containsBlanks" dxfId="16586" priority="12146">
      <formula>LEN(TRIM(M109))=0</formula>
    </cfRule>
    <cfRule type="containsBlanks" dxfId="16585" priority="12147">
      <formula>LEN(TRIM(M109))=0</formula>
    </cfRule>
    <cfRule type="containsBlanks" dxfId="16584" priority="12148">
      <formula>LEN(TRIM(M109))=0</formula>
    </cfRule>
    <cfRule type="containsBlanks" dxfId="16583" priority="12149">
      <formula>LEN(TRIM(M109))=0</formula>
    </cfRule>
    <cfRule type="containsBlanks" dxfId="16582" priority="12150">
      <formula>LEN(TRIM(M109))=0</formula>
    </cfRule>
    <cfRule type="containsBlanks" dxfId="16581" priority="12151">
      <formula>LEN(TRIM(M109))=0</formula>
    </cfRule>
    <cfRule type="containsBlanks" dxfId="16580" priority="12152">
      <formula>LEN(TRIM(M109))=0</formula>
    </cfRule>
    <cfRule type="containsBlanks" dxfId="16579" priority="12153">
      <formula>LEN(TRIM(M109))=0</formula>
    </cfRule>
    <cfRule type="containsBlanks" dxfId="16578" priority="12154">
      <formula>LEN(TRIM(M109))=0</formula>
    </cfRule>
    <cfRule type="containsBlanks" dxfId="16577" priority="12155">
      <formula>LEN(TRIM(M109))=0</formula>
    </cfRule>
    <cfRule type="containsBlanks" dxfId="16576" priority="12156">
      <formula>LEN(TRIM(M109))=0</formula>
    </cfRule>
    <cfRule type="containsBlanks" dxfId="16575" priority="12157">
      <formula>LEN(TRIM(M109))=0</formula>
    </cfRule>
    <cfRule type="containsBlanks" dxfId="16574" priority="12158">
      <formula>LEN(TRIM(M109))=0</formula>
    </cfRule>
    <cfRule type="containsBlanks" dxfId="16573" priority="12159">
      <formula>LEN(TRIM(M109))=0</formula>
    </cfRule>
    <cfRule type="containsBlanks" dxfId="16572" priority="12160">
      <formula>LEN(TRIM(M109))=0</formula>
    </cfRule>
    <cfRule type="containsBlanks" dxfId="16571" priority="12161">
      <formula>LEN(TRIM(M109))=0</formula>
    </cfRule>
    <cfRule type="containsBlanks" dxfId="16570" priority="12162">
      <formula>LEN(TRIM(M109))=0</formula>
    </cfRule>
    <cfRule type="containsBlanks" dxfId="16569" priority="12163">
      <formula>LEN(TRIM(M109))=0</formula>
    </cfRule>
    <cfRule type="containsBlanks" dxfId="16568" priority="12164">
      <formula>LEN(TRIM(M109))=0</formula>
    </cfRule>
    <cfRule type="containsBlanks" dxfId="16567" priority="12165">
      <formula>LEN(TRIM(M109))=0</formula>
    </cfRule>
    <cfRule type="containsBlanks" dxfId="16566" priority="12166">
      <formula>LEN(TRIM(M109))=0</formula>
    </cfRule>
    <cfRule type="containsBlanks" dxfId="16565" priority="12167">
      <formula>LEN(TRIM(M109))=0</formula>
    </cfRule>
    <cfRule type="containsBlanks" dxfId="16564" priority="12168">
      <formula>LEN(TRIM(M109))=0</formula>
    </cfRule>
    <cfRule type="containsBlanks" dxfId="16563" priority="12169">
      <formula>LEN(TRIM(M109))=0</formula>
    </cfRule>
    <cfRule type="containsBlanks" dxfId="16562" priority="12170">
      <formula>LEN(TRIM(M109))=0</formula>
    </cfRule>
    <cfRule type="containsBlanks" dxfId="16561" priority="12171">
      <formula>LEN(TRIM(M109))=0</formula>
    </cfRule>
    <cfRule type="containsBlanks" dxfId="16560" priority="12172">
      <formula>LEN(TRIM(M109))=0</formula>
    </cfRule>
    <cfRule type="containsBlanks" dxfId="16559" priority="12173">
      <formula>LEN(TRIM(M109))=0</formula>
    </cfRule>
    <cfRule type="containsBlanks" dxfId="16558" priority="12174">
      <formula>LEN(TRIM(M109))=0</formula>
    </cfRule>
    <cfRule type="containsBlanks" dxfId="16557" priority="12175">
      <formula>LEN(TRIM(M109))=0</formula>
    </cfRule>
    <cfRule type="containsBlanks" dxfId="16556" priority="12176">
      <formula>LEN(TRIM(M109))=0</formula>
    </cfRule>
    <cfRule type="containsBlanks" dxfId="16555" priority="12177">
      <formula>LEN(TRIM(M109))=0</formula>
    </cfRule>
    <cfRule type="containsBlanks" dxfId="16554" priority="12178">
      <formula>LEN(TRIM(M109))=0</formula>
    </cfRule>
    <cfRule type="containsBlanks" dxfId="16553" priority="12179">
      <formula>LEN(TRIM(M109))=0</formula>
    </cfRule>
    <cfRule type="containsBlanks" dxfId="16552" priority="12180">
      <formula>LEN(TRIM(M109))=0</formula>
    </cfRule>
    <cfRule type="containsBlanks" dxfId="16551" priority="12181">
      <formula>LEN(TRIM(M109))=0</formula>
    </cfRule>
    <cfRule type="containsBlanks" dxfId="16550" priority="12182">
      <formula>LEN(TRIM(M109))=0</formula>
    </cfRule>
    <cfRule type="containsBlanks" dxfId="16549" priority="12183">
      <formula>LEN(TRIM(M109))=0</formula>
    </cfRule>
    <cfRule type="containsBlanks" dxfId="16548" priority="12184">
      <formula>LEN(TRIM(M109))=0</formula>
    </cfRule>
    <cfRule type="containsBlanks" dxfId="16547" priority="12185">
      <formula>LEN(TRIM(M109))=0</formula>
    </cfRule>
    <cfRule type="containsBlanks" dxfId="16546" priority="12186">
      <formula>LEN(TRIM(M109))=0</formula>
    </cfRule>
    <cfRule type="containsBlanks" dxfId="16545" priority="12187">
      <formula>LEN(TRIM(M109))=0</formula>
    </cfRule>
    <cfRule type="containsBlanks" dxfId="16544" priority="12188">
      <formula>LEN(TRIM(M109))=0</formula>
    </cfRule>
    <cfRule type="containsBlanks" dxfId="16543" priority="12189">
      <formula>LEN(TRIM(M109))=0</formula>
    </cfRule>
    <cfRule type="containsBlanks" dxfId="16542" priority="12190">
      <formula>LEN(TRIM(M109))=0</formula>
    </cfRule>
    <cfRule type="containsBlanks" dxfId="16541" priority="12191">
      <formula>LEN(TRIM(M109))=0</formula>
    </cfRule>
    <cfRule type="containsBlanks" dxfId="16540" priority="12192">
      <formula>LEN(TRIM(M109))=0</formula>
    </cfRule>
    <cfRule type="containsBlanks" dxfId="16539" priority="12193">
      <formula>LEN(TRIM(M109))=0</formula>
    </cfRule>
    <cfRule type="containsBlanks" dxfId="16538" priority="12194">
      <formula>LEN(TRIM(M109))=0</formula>
    </cfRule>
    <cfRule type="containsBlanks" dxfId="16537" priority="12195">
      <formula>LEN(TRIM(M109))=0</formula>
    </cfRule>
    <cfRule type="containsBlanks" dxfId="16536" priority="12196">
      <formula>LEN(TRIM(M109))=0</formula>
    </cfRule>
    <cfRule type="containsBlanks" dxfId="16535" priority="12197">
      <formula>LEN(TRIM(M109))=0</formula>
    </cfRule>
    <cfRule type="containsBlanks" dxfId="16534" priority="12198">
      <formula>LEN(TRIM(M109))=0</formula>
    </cfRule>
    <cfRule type="containsBlanks" dxfId="16533" priority="12199">
      <formula>LEN(TRIM(M109))=0</formula>
    </cfRule>
    <cfRule type="containsBlanks" dxfId="16532" priority="12200">
      <formula>LEN(TRIM(M109))=0</formula>
    </cfRule>
    <cfRule type="containsBlanks" dxfId="16531" priority="12201">
      <formula>LEN(TRIM(M109))=0</formula>
    </cfRule>
    <cfRule type="containsBlanks" dxfId="16530" priority="12202">
      <formula>LEN(TRIM(M109))=0</formula>
    </cfRule>
    <cfRule type="containsBlanks" dxfId="16529" priority="12203">
      <formula>LEN(TRIM(M109))=0</formula>
    </cfRule>
    <cfRule type="containsBlanks" dxfId="16528" priority="12204">
      <formula>LEN(TRIM(M109))=0</formula>
    </cfRule>
    <cfRule type="containsBlanks" dxfId="16527" priority="12205">
      <formula>LEN(TRIM(M109))=0</formula>
    </cfRule>
    <cfRule type="containsBlanks" dxfId="16526" priority="12206">
      <formula>LEN(TRIM(M109))=0</formula>
    </cfRule>
    <cfRule type="containsBlanks" dxfId="16525" priority="12207">
      <formula>LEN(TRIM(M109))=0</formula>
    </cfRule>
    <cfRule type="containsBlanks" dxfId="16524" priority="12208">
      <formula>LEN(TRIM(M109))=0</formula>
    </cfRule>
    <cfRule type="containsBlanks" dxfId="16523" priority="12209">
      <formula>LEN(TRIM(M109))=0</formula>
    </cfRule>
    <cfRule type="containsBlanks" dxfId="16522" priority="12210">
      <formula>LEN(TRIM(M109))=0</formula>
    </cfRule>
    <cfRule type="containsBlanks" dxfId="16521" priority="12211">
      <formula>LEN(TRIM(M109))=0</formula>
    </cfRule>
    <cfRule type="containsBlanks" dxfId="16520" priority="12212">
      <formula>LEN(TRIM(M109))=0</formula>
    </cfRule>
    <cfRule type="containsBlanks" dxfId="16519" priority="12213">
      <formula>LEN(TRIM(M109))=0</formula>
    </cfRule>
    <cfRule type="containsBlanks" dxfId="16518" priority="12214">
      <formula>LEN(TRIM(M109))=0</formula>
    </cfRule>
    <cfRule type="containsBlanks" dxfId="16517" priority="12215">
      <formula>LEN(TRIM(M109))=0</formula>
    </cfRule>
    <cfRule type="containsBlanks" dxfId="16516" priority="12216">
      <formula>LEN(TRIM(M109))=0</formula>
    </cfRule>
    <cfRule type="containsBlanks" dxfId="16515" priority="12217">
      <formula>LEN(TRIM(M109))=0</formula>
    </cfRule>
    <cfRule type="containsBlanks" dxfId="16514" priority="12218">
      <formula>LEN(TRIM(M109))=0</formula>
    </cfRule>
    <cfRule type="containsBlanks" dxfId="16513" priority="12219">
      <formula>LEN(TRIM(M109))=0</formula>
    </cfRule>
    <cfRule type="containsBlanks" dxfId="16512" priority="12220">
      <formula>LEN(TRIM(M109))=0</formula>
    </cfRule>
    <cfRule type="containsBlanks" dxfId="16511" priority="12221">
      <formula>LEN(TRIM(M109))=0</formula>
    </cfRule>
    <cfRule type="containsBlanks" dxfId="16510" priority="12222">
      <formula>LEN(TRIM(M109))=0</formula>
    </cfRule>
    <cfRule type="containsBlanks" dxfId="16509" priority="12223">
      <formula>LEN(TRIM(M109))=0</formula>
    </cfRule>
    <cfRule type="containsBlanks" dxfId="16508" priority="12224">
      <formula>LEN(TRIM(M109))=0</formula>
    </cfRule>
    <cfRule type="containsBlanks" dxfId="16507" priority="12225">
      <formula>LEN(TRIM(M109))=0</formula>
    </cfRule>
    <cfRule type="containsBlanks" dxfId="16506" priority="12226">
      <formula>LEN(TRIM(M109))=0</formula>
    </cfRule>
    <cfRule type="containsBlanks" dxfId="16505" priority="12227">
      <formula>LEN(TRIM(M109))=0</formula>
    </cfRule>
    <cfRule type="containsBlanks" dxfId="16504" priority="12228">
      <formula>LEN(TRIM(M109))=0</formula>
    </cfRule>
    <cfRule type="containsBlanks" dxfId="16503" priority="12229">
      <formula>LEN(TRIM(M109))=0</formula>
    </cfRule>
    <cfRule type="containsBlanks" dxfId="16502" priority="12230">
      <formula>LEN(TRIM(M109))=0</formula>
    </cfRule>
    <cfRule type="containsBlanks" dxfId="16501" priority="12231">
      <formula>LEN(TRIM(M109))=0</formula>
    </cfRule>
    <cfRule type="containsBlanks" dxfId="16500" priority="12232">
      <formula>LEN(TRIM(M109))=0</formula>
    </cfRule>
    <cfRule type="containsBlanks" dxfId="16499" priority="12233">
      <formula>LEN(TRIM(M109))=0</formula>
    </cfRule>
    <cfRule type="containsBlanks" dxfId="16498" priority="12234">
      <formula>LEN(TRIM(M109))=0</formula>
    </cfRule>
    <cfRule type="containsBlanks" dxfId="16497" priority="12235">
      <formula>LEN(TRIM(M109))=0</formula>
    </cfRule>
    <cfRule type="containsBlanks" dxfId="16496" priority="12236">
      <formula>LEN(TRIM(M109))=0</formula>
    </cfRule>
    <cfRule type="containsBlanks" dxfId="16495" priority="12237">
      <formula>LEN(TRIM(M109))=0</formula>
    </cfRule>
    <cfRule type="containsBlanks" dxfId="16494" priority="12238">
      <formula>LEN(TRIM(M109))=0</formula>
    </cfRule>
    <cfRule type="containsBlanks" dxfId="16493" priority="12239">
      <formula>LEN(TRIM(M109))=0</formula>
    </cfRule>
    <cfRule type="containsBlanks" dxfId="16492" priority="12240">
      <formula>LEN(TRIM(M109))=0</formula>
    </cfRule>
    <cfRule type="containsBlanks" dxfId="16491" priority="12241">
      <formula>LEN(TRIM(M109))=0</formula>
    </cfRule>
    <cfRule type="containsBlanks" dxfId="16490" priority="12242">
      <formula>LEN(TRIM(M109))=0</formula>
    </cfRule>
    <cfRule type="containsBlanks" dxfId="16489" priority="12243">
      <formula>LEN(TRIM(M109))=0</formula>
    </cfRule>
    <cfRule type="containsBlanks" dxfId="16488" priority="12244">
      <formula>LEN(TRIM(M109))=0</formula>
    </cfRule>
    <cfRule type="containsBlanks" dxfId="16487" priority="12245">
      <formula>LEN(TRIM(M109))=0</formula>
    </cfRule>
    <cfRule type="containsBlanks" dxfId="16486" priority="12246">
      <formula>LEN(TRIM(M109))=0</formula>
    </cfRule>
    <cfRule type="containsBlanks" dxfId="16485" priority="12247">
      <formula>LEN(TRIM(M109))=0</formula>
    </cfRule>
    <cfRule type="containsBlanks" dxfId="16484" priority="12248">
      <formula>LEN(TRIM(M109))=0</formula>
    </cfRule>
    <cfRule type="containsBlanks" dxfId="16483" priority="12249">
      <formula>LEN(TRIM(M109))=0</formula>
    </cfRule>
    <cfRule type="containsBlanks" dxfId="16482" priority="12250">
      <formula>LEN(TRIM(M109))=0</formula>
    </cfRule>
    <cfRule type="containsBlanks" dxfId="16481" priority="12251">
      <formula>LEN(TRIM(M109))=0</formula>
    </cfRule>
    <cfRule type="containsBlanks" dxfId="16480" priority="12252">
      <formula>LEN(TRIM(M109))=0</formula>
    </cfRule>
    <cfRule type="containsBlanks" dxfId="16479" priority="12253">
      <formula>LEN(TRIM(M109))=0</formula>
    </cfRule>
    <cfRule type="containsBlanks" dxfId="16478" priority="12254">
      <formula>LEN(TRIM(M109))=0</formula>
    </cfRule>
    <cfRule type="containsBlanks" dxfId="16477" priority="12255">
      <formula>LEN(TRIM(M109))=0</formula>
    </cfRule>
    <cfRule type="containsBlanks" dxfId="16476" priority="12256">
      <formula>LEN(TRIM(M109))=0</formula>
    </cfRule>
    <cfRule type="containsBlanks" dxfId="16475" priority="12257">
      <formula>LEN(TRIM(M109))=0</formula>
    </cfRule>
    <cfRule type="containsBlanks" dxfId="16474" priority="12258">
      <formula>LEN(TRIM(M109))=0</formula>
    </cfRule>
    <cfRule type="containsBlanks" dxfId="16473" priority="12259">
      <formula>LEN(TRIM(M109))=0</formula>
    </cfRule>
    <cfRule type="containsBlanks" dxfId="16472" priority="12260">
      <formula>LEN(TRIM(M109))=0</formula>
    </cfRule>
    <cfRule type="containsBlanks" dxfId="16471" priority="12261">
      <formula>LEN(TRIM(M109))=0</formula>
    </cfRule>
    <cfRule type="containsBlanks" dxfId="16470" priority="12262">
      <formula>LEN(TRIM(M109))=0</formula>
    </cfRule>
    <cfRule type="containsBlanks" dxfId="16469" priority="12263">
      <formula>LEN(TRIM(M109))=0</formula>
    </cfRule>
    <cfRule type="containsBlanks" dxfId="16468" priority="12264">
      <formula>LEN(TRIM(M109))=0</formula>
    </cfRule>
    <cfRule type="containsBlanks" dxfId="16467" priority="12265">
      <formula>LEN(TRIM(M109))=0</formula>
    </cfRule>
    <cfRule type="containsBlanks" dxfId="16466" priority="12266">
      <formula>LEN(TRIM(M109))=0</formula>
    </cfRule>
    <cfRule type="containsBlanks" dxfId="16465" priority="12267">
      <formula>LEN(TRIM(M109))=0</formula>
    </cfRule>
    <cfRule type="containsBlanks" dxfId="16464" priority="12268">
      <formula>LEN(TRIM(M109))=0</formula>
    </cfRule>
    <cfRule type="containsBlanks" dxfId="16463" priority="12269">
      <formula>LEN(TRIM(M109))=0</formula>
    </cfRule>
    <cfRule type="containsBlanks" dxfId="16462" priority="12270">
      <formula>LEN(TRIM(M109))=0</formula>
    </cfRule>
    <cfRule type="containsBlanks" dxfId="16461" priority="12271">
      <formula>LEN(TRIM(M109))=0</formula>
    </cfRule>
    <cfRule type="containsBlanks" dxfId="16460" priority="12272">
      <formula>LEN(TRIM(M109))=0</formula>
    </cfRule>
    <cfRule type="containsBlanks" dxfId="16459" priority="12273">
      <formula>LEN(TRIM(M109))=0</formula>
    </cfRule>
    <cfRule type="containsBlanks" dxfId="16458" priority="12274">
      <formula>LEN(TRIM(M109))=0</formula>
    </cfRule>
    <cfRule type="containsBlanks" dxfId="16457" priority="12275">
      <formula>LEN(TRIM(M109))=0</formula>
    </cfRule>
    <cfRule type="containsBlanks" dxfId="16456" priority="12276">
      <formula>LEN(TRIM(M109))=0</formula>
    </cfRule>
    <cfRule type="containsBlanks" dxfId="16455" priority="12277">
      <formula>LEN(TRIM(M109))=0</formula>
    </cfRule>
    <cfRule type="containsBlanks" dxfId="16454" priority="12278">
      <formula>LEN(TRIM(M109))=0</formula>
    </cfRule>
    <cfRule type="containsBlanks" dxfId="16453" priority="12279">
      <formula>LEN(TRIM(M109))=0</formula>
    </cfRule>
    <cfRule type="containsBlanks" dxfId="16452" priority="12280">
      <formula>LEN(TRIM(M109))=0</formula>
    </cfRule>
    <cfRule type="containsBlanks" dxfId="16451" priority="12281">
      <formula>LEN(TRIM(M109))=0</formula>
    </cfRule>
    <cfRule type="containsBlanks" dxfId="16450" priority="12282">
      <formula>LEN(TRIM(M109))=0</formula>
    </cfRule>
    <cfRule type="containsBlanks" dxfId="16449" priority="12283">
      <formula>LEN(TRIM(M109))=0</formula>
    </cfRule>
    <cfRule type="containsBlanks" dxfId="16448" priority="12284">
      <formula>LEN(TRIM(M109))=0</formula>
    </cfRule>
    <cfRule type="containsBlanks" dxfId="16447" priority="12285">
      <formula>LEN(TRIM(M109))=0</formula>
    </cfRule>
  </conditionalFormatting>
  <conditionalFormatting sqref="M113">
    <cfRule type="containsBlanks" dxfId="16446" priority="11654">
      <formula>LEN(TRIM(M113))=0</formula>
    </cfRule>
    <cfRule type="containsBlanks" dxfId="16445" priority="11655">
      <formula>LEN(TRIM(M113))=0</formula>
    </cfRule>
    <cfRule type="containsBlanks" dxfId="16444" priority="11656">
      <formula>LEN(TRIM(M113))=0</formula>
    </cfRule>
    <cfRule type="containsBlanks" dxfId="16443" priority="11657">
      <formula>LEN(TRIM(M113))=0</formula>
    </cfRule>
    <cfRule type="containsBlanks" dxfId="16442" priority="11658">
      <formula>LEN(TRIM(M113))=0</formula>
    </cfRule>
    <cfRule type="containsBlanks" dxfId="16441" priority="11659">
      <formula>LEN(TRIM(M113))=0</formula>
    </cfRule>
    <cfRule type="containsBlanks" dxfId="16440" priority="11660">
      <formula>LEN(TRIM(M113))=0</formula>
    </cfRule>
    <cfRule type="containsBlanks" dxfId="16439" priority="11661">
      <formula>LEN(TRIM(M113))=0</formula>
    </cfRule>
    <cfRule type="containsBlanks" dxfId="16438" priority="11662">
      <formula>LEN(TRIM(M113))=0</formula>
    </cfRule>
    <cfRule type="containsBlanks" dxfId="16437" priority="11663">
      <formula>LEN(TRIM(M113))=0</formula>
    </cfRule>
    <cfRule type="containsBlanks" dxfId="16436" priority="11664">
      <formula>LEN(TRIM(M113))=0</formula>
    </cfRule>
    <cfRule type="containsBlanks" dxfId="16435" priority="11665">
      <formula>LEN(TRIM(M113))=0</formula>
    </cfRule>
    <cfRule type="containsBlanks" dxfId="16434" priority="11666">
      <formula>LEN(TRIM(M113))=0</formula>
    </cfRule>
    <cfRule type="containsBlanks" dxfId="16433" priority="11667">
      <formula>LEN(TRIM(M113))=0</formula>
    </cfRule>
    <cfRule type="containsBlanks" dxfId="16432" priority="11668">
      <formula>LEN(TRIM(M113))=0</formula>
    </cfRule>
    <cfRule type="containsBlanks" dxfId="16431" priority="11669">
      <formula>LEN(TRIM(M113))=0</formula>
    </cfRule>
    <cfRule type="containsBlanks" dxfId="16430" priority="11670">
      <formula>LEN(TRIM(M113))=0</formula>
    </cfRule>
    <cfRule type="containsBlanks" dxfId="16429" priority="11671">
      <formula>LEN(TRIM(M113))=0</formula>
    </cfRule>
    <cfRule type="containsBlanks" dxfId="16428" priority="11672">
      <formula>LEN(TRIM(M113))=0</formula>
    </cfRule>
    <cfRule type="containsBlanks" dxfId="16427" priority="11673">
      <formula>LEN(TRIM(M113))=0</formula>
    </cfRule>
    <cfRule type="containsBlanks" dxfId="16426" priority="11674">
      <formula>LEN(TRIM(M113))=0</formula>
    </cfRule>
    <cfRule type="containsBlanks" dxfId="16425" priority="11675">
      <formula>LEN(TRIM(M113))=0</formula>
    </cfRule>
    <cfRule type="containsBlanks" dxfId="16424" priority="11676">
      <formula>LEN(TRIM(M113))=0</formula>
    </cfRule>
    <cfRule type="containsBlanks" dxfId="16423" priority="11677">
      <formula>LEN(TRIM(M113))=0</formula>
    </cfRule>
    <cfRule type="containsBlanks" dxfId="16422" priority="11678">
      <formula>LEN(TRIM(M113))=0</formula>
    </cfRule>
    <cfRule type="containsBlanks" dxfId="16421" priority="11679">
      <formula>LEN(TRIM(M113))=0</formula>
    </cfRule>
    <cfRule type="containsBlanks" dxfId="16420" priority="11680">
      <formula>LEN(TRIM(M113))=0</formula>
    </cfRule>
    <cfRule type="containsBlanks" dxfId="16419" priority="11681">
      <formula>LEN(TRIM(M113))=0</formula>
    </cfRule>
    <cfRule type="containsBlanks" dxfId="16418" priority="11682">
      <formula>LEN(TRIM(M113))=0</formula>
    </cfRule>
    <cfRule type="containsBlanks" dxfId="16417" priority="11683">
      <formula>LEN(TRIM(M113))=0</formula>
    </cfRule>
    <cfRule type="containsBlanks" dxfId="16416" priority="11684">
      <formula>LEN(TRIM(M113))=0</formula>
    </cfRule>
    <cfRule type="containsBlanks" dxfId="16415" priority="11685">
      <formula>LEN(TRIM(M113))=0</formula>
    </cfRule>
    <cfRule type="containsBlanks" dxfId="16414" priority="11686">
      <formula>LEN(TRIM(M113))=0</formula>
    </cfRule>
    <cfRule type="containsBlanks" dxfId="16413" priority="11687">
      <formula>LEN(TRIM(M113))=0</formula>
    </cfRule>
    <cfRule type="containsBlanks" dxfId="16412" priority="11688">
      <formula>LEN(TRIM(M113))=0</formula>
    </cfRule>
    <cfRule type="containsBlanks" dxfId="16411" priority="11689">
      <formula>LEN(TRIM(M113))=0</formula>
    </cfRule>
    <cfRule type="containsBlanks" dxfId="16410" priority="11690">
      <formula>LEN(TRIM(M113))=0</formula>
    </cfRule>
    <cfRule type="containsBlanks" dxfId="16409" priority="11691">
      <formula>LEN(TRIM(M113))=0</formula>
    </cfRule>
    <cfRule type="containsBlanks" dxfId="16408" priority="11692">
      <formula>LEN(TRIM(M113))=0</formula>
    </cfRule>
    <cfRule type="containsBlanks" dxfId="16407" priority="11693">
      <formula>LEN(TRIM(M113))=0</formula>
    </cfRule>
    <cfRule type="containsBlanks" dxfId="16406" priority="11694">
      <formula>LEN(TRIM(M113))=0</formula>
    </cfRule>
    <cfRule type="containsBlanks" dxfId="16405" priority="11695">
      <formula>LEN(TRIM(M113))=0</formula>
    </cfRule>
    <cfRule type="containsBlanks" dxfId="16404" priority="11696">
      <formula>LEN(TRIM(M113))=0</formula>
    </cfRule>
    <cfRule type="containsBlanks" dxfId="16403" priority="11697">
      <formula>LEN(TRIM(M113))=0</formula>
    </cfRule>
    <cfRule type="containsBlanks" dxfId="16402" priority="11698">
      <formula>LEN(TRIM(M113))=0</formula>
    </cfRule>
    <cfRule type="containsBlanks" dxfId="16401" priority="11699">
      <formula>LEN(TRIM(M113))=0</formula>
    </cfRule>
    <cfRule type="containsBlanks" dxfId="16400" priority="11700">
      <formula>LEN(TRIM(M113))=0</formula>
    </cfRule>
    <cfRule type="containsBlanks" dxfId="16399" priority="11701">
      <formula>LEN(TRIM(M113))=0</formula>
    </cfRule>
    <cfRule type="containsBlanks" dxfId="16398" priority="11702">
      <formula>LEN(TRIM(M113))=0</formula>
    </cfRule>
    <cfRule type="containsBlanks" dxfId="16397" priority="11703">
      <formula>LEN(TRIM(M113))=0</formula>
    </cfRule>
    <cfRule type="containsBlanks" dxfId="16396" priority="11704">
      <formula>LEN(TRIM(M113))=0</formula>
    </cfRule>
    <cfRule type="containsBlanks" dxfId="16395" priority="11705">
      <formula>LEN(TRIM(M113))=0</formula>
    </cfRule>
    <cfRule type="containsBlanks" dxfId="16394" priority="11706">
      <formula>LEN(TRIM(M113))=0</formula>
    </cfRule>
    <cfRule type="containsBlanks" dxfId="16393" priority="11707">
      <formula>LEN(TRIM(M113))=0</formula>
    </cfRule>
    <cfRule type="containsBlanks" dxfId="16392" priority="11708">
      <formula>LEN(TRIM(M113))=0</formula>
    </cfRule>
    <cfRule type="containsBlanks" dxfId="16391" priority="11709">
      <formula>LEN(TRIM(M113))=0</formula>
    </cfRule>
    <cfRule type="containsBlanks" dxfId="16390" priority="11710">
      <formula>LEN(TRIM(M113))=0</formula>
    </cfRule>
    <cfRule type="containsBlanks" dxfId="16389" priority="11711">
      <formula>LEN(TRIM(M113))=0</formula>
    </cfRule>
    <cfRule type="containsBlanks" dxfId="16388" priority="11712">
      <formula>LEN(TRIM(M113))=0</formula>
    </cfRule>
    <cfRule type="containsBlanks" dxfId="16387" priority="11713">
      <formula>LEN(TRIM(M113))=0</formula>
    </cfRule>
    <cfRule type="containsBlanks" dxfId="16386" priority="11714">
      <formula>LEN(TRIM(M113))=0</formula>
    </cfRule>
    <cfRule type="containsBlanks" dxfId="16385" priority="11715">
      <formula>LEN(TRIM(M113))=0</formula>
    </cfRule>
    <cfRule type="containsBlanks" dxfId="16384" priority="11716">
      <formula>LEN(TRIM(M113))=0</formula>
    </cfRule>
    <cfRule type="containsBlanks" dxfId="16383" priority="11717">
      <formula>LEN(TRIM(M113))=0</formula>
    </cfRule>
    <cfRule type="containsBlanks" dxfId="16382" priority="11718">
      <formula>LEN(TRIM(M113))=0</formula>
    </cfRule>
    <cfRule type="containsBlanks" dxfId="16381" priority="11719">
      <formula>LEN(TRIM(M113))=0</formula>
    </cfRule>
    <cfRule type="containsBlanks" dxfId="16380" priority="11720">
      <formula>LEN(TRIM(M113))=0</formula>
    </cfRule>
    <cfRule type="containsBlanks" dxfId="16379" priority="11721">
      <formula>LEN(TRIM(M113))=0</formula>
    </cfRule>
    <cfRule type="containsBlanks" dxfId="16378" priority="11722">
      <formula>LEN(TRIM(M113))=0</formula>
    </cfRule>
    <cfRule type="containsBlanks" dxfId="16377" priority="11723">
      <formula>LEN(TRIM(M113))=0</formula>
    </cfRule>
    <cfRule type="containsBlanks" dxfId="16376" priority="11724">
      <formula>LEN(TRIM(M113))=0</formula>
    </cfRule>
    <cfRule type="containsBlanks" dxfId="16375" priority="11725">
      <formula>LEN(TRIM(M113))=0</formula>
    </cfRule>
    <cfRule type="containsBlanks" dxfId="16374" priority="11726">
      <formula>LEN(TRIM(M113))=0</formula>
    </cfRule>
    <cfRule type="containsBlanks" dxfId="16373" priority="11727">
      <formula>LEN(TRIM(M113))=0</formula>
    </cfRule>
    <cfRule type="containsBlanks" dxfId="16372" priority="11728">
      <formula>LEN(TRIM(M113))=0</formula>
    </cfRule>
    <cfRule type="containsBlanks" dxfId="16371" priority="11729">
      <formula>LEN(TRIM(M113))=0</formula>
    </cfRule>
    <cfRule type="containsBlanks" dxfId="16370" priority="11730">
      <formula>LEN(TRIM(M113))=0</formula>
    </cfRule>
    <cfRule type="containsBlanks" dxfId="16369" priority="11731">
      <formula>LEN(TRIM(M113))=0</formula>
    </cfRule>
    <cfRule type="containsBlanks" dxfId="16368" priority="11732">
      <formula>LEN(TRIM(M113))=0</formula>
    </cfRule>
    <cfRule type="containsBlanks" dxfId="16367" priority="11733">
      <formula>LEN(TRIM(M113))=0</formula>
    </cfRule>
    <cfRule type="containsBlanks" dxfId="16366" priority="11734">
      <formula>LEN(TRIM(M113))=0</formula>
    </cfRule>
    <cfRule type="containsBlanks" dxfId="16365" priority="11735">
      <formula>LEN(TRIM(M113))=0</formula>
    </cfRule>
    <cfRule type="containsBlanks" dxfId="16364" priority="11736">
      <formula>LEN(TRIM(M113))=0</formula>
    </cfRule>
    <cfRule type="containsBlanks" dxfId="16363" priority="11737">
      <formula>LEN(TRIM(M113))=0</formula>
    </cfRule>
    <cfRule type="containsBlanks" dxfId="16362" priority="11738">
      <formula>LEN(TRIM(M113))=0</formula>
    </cfRule>
    <cfRule type="containsBlanks" dxfId="16361" priority="11739">
      <formula>LEN(TRIM(M113))=0</formula>
    </cfRule>
    <cfRule type="containsBlanks" dxfId="16360" priority="11740">
      <formula>LEN(TRIM(M113))=0</formula>
    </cfRule>
    <cfRule type="containsBlanks" dxfId="16359" priority="11741">
      <formula>LEN(TRIM(M113))=0</formula>
    </cfRule>
    <cfRule type="containsBlanks" dxfId="16358" priority="11742">
      <formula>LEN(TRIM(M113))=0</formula>
    </cfRule>
    <cfRule type="containsBlanks" dxfId="16357" priority="11743">
      <formula>LEN(TRIM(M113))=0</formula>
    </cfRule>
    <cfRule type="containsBlanks" dxfId="16356" priority="11744">
      <formula>LEN(TRIM(M113))=0</formula>
    </cfRule>
    <cfRule type="containsBlanks" dxfId="16355" priority="11745">
      <formula>LEN(TRIM(M113))=0</formula>
    </cfRule>
    <cfRule type="containsBlanks" dxfId="16354" priority="11746">
      <formula>LEN(TRIM(M113))=0</formula>
    </cfRule>
    <cfRule type="containsBlanks" dxfId="16353" priority="11747">
      <formula>LEN(TRIM(M113))=0</formula>
    </cfRule>
    <cfRule type="containsBlanks" dxfId="16352" priority="11748">
      <formula>LEN(TRIM(M113))=0</formula>
    </cfRule>
    <cfRule type="containsBlanks" dxfId="16351" priority="11749">
      <formula>LEN(TRIM(M113))=0</formula>
    </cfRule>
    <cfRule type="containsBlanks" dxfId="16350" priority="11750">
      <formula>LEN(TRIM(M113))=0</formula>
    </cfRule>
    <cfRule type="containsBlanks" dxfId="16349" priority="11751">
      <formula>LEN(TRIM(M113))=0</formula>
    </cfRule>
    <cfRule type="containsBlanks" dxfId="16348" priority="11752">
      <formula>LEN(TRIM(M113))=0</formula>
    </cfRule>
    <cfRule type="containsBlanks" dxfId="16347" priority="11753">
      <formula>LEN(TRIM(M113))=0</formula>
    </cfRule>
    <cfRule type="containsBlanks" dxfId="16346" priority="11754">
      <formula>LEN(TRIM(M113))=0</formula>
    </cfRule>
    <cfRule type="containsBlanks" dxfId="16345" priority="11755">
      <formula>LEN(TRIM(M113))=0</formula>
    </cfRule>
    <cfRule type="containsBlanks" dxfId="16344" priority="11756">
      <formula>LEN(TRIM(M113))=0</formula>
    </cfRule>
    <cfRule type="containsBlanks" dxfId="16343" priority="11757">
      <formula>LEN(TRIM(M113))=0</formula>
    </cfRule>
    <cfRule type="containsBlanks" dxfId="16342" priority="11758">
      <formula>LEN(TRIM(M113))=0</formula>
    </cfRule>
    <cfRule type="containsBlanks" dxfId="16341" priority="11759">
      <formula>LEN(TRIM(M113))=0</formula>
    </cfRule>
    <cfRule type="containsBlanks" dxfId="16340" priority="11760">
      <formula>LEN(TRIM(M113))=0</formula>
    </cfRule>
    <cfRule type="containsBlanks" dxfId="16339" priority="11761">
      <formula>LEN(TRIM(M113))=0</formula>
    </cfRule>
    <cfRule type="containsBlanks" dxfId="16338" priority="11762">
      <formula>LEN(TRIM(M113))=0</formula>
    </cfRule>
    <cfRule type="containsBlanks" dxfId="16337" priority="11763">
      <formula>LEN(TRIM(M113))=0</formula>
    </cfRule>
    <cfRule type="containsBlanks" dxfId="16336" priority="11764">
      <formula>LEN(TRIM(M113))=0</formula>
    </cfRule>
    <cfRule type="containsBlanks" dxfId="16335" priority="11765">
      <formula>LEN(TRIM(M113))=0</formula>
    </cfRule>
    <cfRule type="containsBlanks" dxfId="16334" priority="11766">
      <formula>LEN(TRIM(M113))=0</formula>
    </cfRule>
    <cfRule type="containsBlanks" dxfId="16333" priority="11767">
      <formula>LEN(TRIM(M113))=0</formula>
    </cfRule>
    <cfRule type="containsBlanks" dxfId="16332" priority="11768">
      <formula>LEN(TRIM(M113))=0</formula>
    </cfRule>
    <cfRule type="containsBlanks" dxfId="16331" priority="11769">
      <formula>LEN(TRIM(M113))=0</formula>
    </cfRule>
    <cfRule type="containsBlanks" dxfId="16330" priority="11770">
      <formula>LEN(TRIM(M113))=0</formula>
    </cfRule>
    <cfRule type="containsBlanks" dxfId="16329" priority="11771">
      <formula>LEN(TRIM(M113))=0</formula>
    </cfRule>
    <cfRule type="containsBlanks" dxfId="16328" priority="11772">
      <formula>LEN(TRIM(M113))=0</formula>
    </cfRule>
    <cfRule type="containsBlanks" dxfId="16327" priority="11773">
      <formula>LEN(TRIM(M113))=0</formula>
    </cfRule>
    <cfRule type="containsBlanks" dxfId="16326" priority="11774">
      <formula>LEN(TRIM(M113))=0</formula>
    </cfRule>
    <cfRule type="containsBlanks" dxfId="16325" priority="11775">
      <formula>LEN(TRIM(M113))=0</formula>
    </cfRule>
    <cfRule type="containsBlanks" dxfId="16324" priority="11776">
      <formula>LEN(TRIM(M113))=0</formula>
    </cfRule>
    <cfRule type="containsBlanks" dxfId="16323" priority="11777">
      <formula>LEN(TRIM(M113))=0</formula>
    </cfRule>
    <cfRule type="containsBlanks" dxfId="16322" priority="11778">
      <formula>LEN(TRIM(M113))=0</formula>
    </cfRule>
    <cfRule type="containsBlanks" dxfId="16321" priority="11779">
      <formula>LEN(TRIM(M113))=0</formula>
    </cfRule>
    <cfRule type="containsBlanks" dxfId="16320" priority="11780">
      <formula>LEN(TRIM(M113))=0</formula>
    </cfRule>
    <cfRule type="containsBlanks" dxfId="16319" priority="11781">
      <formula>LEN(TRIM(M113))=0</formula>
    </cfRule>
    <cfRule type="containsBlanks" dxfId="16318" priority="11782">
      <formula>LEN(TRIM(M113))=0</formula>
    </cfRule>
    <cfRule type="containsBlanks" dxfId="16317" priority="11783">
      <formula>LEN(TRIM(M113))=0</formula>
    </cfRule>
    <cfRule type="containsBlanks" dxfId="16316" priority="11784">
      <formula>LEN(TRIM(M113))=0</formula>
    </cfRule>
    <cfRule type="containsBlanks" dxfId="16315" priority="11785">
      <formula>LEN(TRIM(M113))=0</formula>
    </cfRule>
    <cfRule type="containsBlanks" dxfId="16314" priority="11786">
      <formula>LEN(TRIM(M113))=0</formula>
    </cfRule>
    <cfRule type="containsBlanks" dxfId="16313" priority="11787">
      <formula>LEN(TRIM(M113))=0</formula>
    </cfRule>
    <cfRule type="containsBlanks" dxfId="16312" priority="11788">
      <formula>LEN(TRIM(M113))=0</formula>
    </cfRule>
    <cfRule type="containsBlanks" dxfId="16311" priority="11789">
      <formula>LEN(TRIM(M113))=0</formula>
    </cfRule>
    <cfRule type="containsBlanks" dxfId="16310" priority="11790">
      <formula>LEN(TRIM(M113))=0</formula>
    </cfRule>
    <cfRule type="containsBlanks" dxfId="16309" priority="11791">
      <formula>LEN(TRIM(M113))=0</formula>
    </cfRule>
    <cfRule type="containsBlanks" dxfId="16308" priority="11792">
      <formula>LEN(TRIM(M113))=0</formula>
    </cfRule>
    <cfRule type="containsBlanks" dxfId="16307" priority="11793">
      <formula>LEN(TRIM(M113))=0</formula>
    </cfRule>
    <cfRule type="containsBlanks" dxfId="16306" priority="11794">
      <formula>LEN(TRIM(M113))=0</formula>
    </cfRule>
    <cfRule type="containsBlanks" dxfId="16305" priority="11795">
      <formula>LEN(TRIM(M113))=0</formula>
    </cfRule>
    <cfRule type="containsBlanks" dxfId="16304" priority="11796">
      <formula>LEN(TRIM(M113))=0</formula>
    </cfRule>
    <cfRule type="containsBlanks" dxfId="16303" priority="11797">
      <formula>LEN(TRIM(M113))=0</formula>
    </cfRule>
    <cfRule type="containsBlanks" dxfId="16302" priority="11798">
      <formula>LEN(TRIM(M113))=0</formula>
    </cfRule>
    <cfRule type="containsBlanks" dxfId="16301" priority="11799">
      <formula>LEN(TRIM(M113))=0</formula>
    </cfRule>
    <cfRule type="containsBlanks" dxfId="16300" priority="11800">
      <formula>LEN(TRIM(M113))=0</formula>
    </cfRule>
    <cfRule type="containsBlanks" dxfId="16299" priority="11801">
      <formula>LEN(TRIM(M113))=0</formula>
    </cfRule>
    <cfRule type="containsBlanks" dxfId="16298" priority="11802">
      <formula>LEN(TRIM(M113))=0</formula>
    </cfRule>
    <cfRule type="containsBlanks" dxfId="16297" priority="11803">
      <formula>LEN(TRIM(M113))=0</formula>
    </cfRule>
    <cfRule type="containsBlanks" dxfId="16296" priority="11804">
      <formula>LEN(TRIM(M113))=0</formula>
    </cfRule>
    <cfRule type="containsBlanks" dxfId="16295" priority="11805">
      <formula>LEN(TRIM(M113))=0</formula>
    </cfRule>
    <cfRule type="containsBlanks" dxfId="16294" priority="11806">
      <formula>LEN(TRIM(M113))=0</formula>
    </cfRule>
    <cfRule type="containsBlanks" dxfId="16293" priority="11807">
      <formula>LEN(TRIM(M113))=0</formula>
    </cfRule>
    <cfRule type="containsBlanks" dxfId="16292" priority="11808">
      <formula>LEN(TRIM(M113))=0</formula>
    </cfRule>
    <cfRule type="containsBlanks" dxfId="16291" priority="11809">
      <formula>LEN(TRIM(M113))=0</formula>
    </cfRule>
    <cfRule type="containsBlanks" dxfId="16290" priority="11810">
      <formula>LEN(TRIM(M113))=0</formula>
    </cfRule>
    <cfRule type="containsBlanks" dxfId="16289" priority="11811">
      <formula>LEN(TRIM(M113))=0</formula>
    </cfRule>
    <cfRule type="containsBlanks" dxfId="16288" priority="11812">
      <formula>LEN(TRIM(M113))=0</formula>
    </cfRule>
    <cfRule type="containsBlanks" dxfId="16287" priority="11813">
      <formula>LEN(TRIM(M113))=0</formula>
    </cfRule>
    <cfRule type="containsBlanks" dxfId="16286" priority="11814">
      <formula>LEN(TRIM(M113))=0</formula>
    </cfRule>
    <cfRule type="containsBlanks" dxfId="16285" priority="11815">
      <formula>LEN(TRIM(M113))=0</formula>
    </cfRule>
    <cfRule type="containsBlanks" dxfId="16284" priority="11816">
      <formula>LEN(TRIM(M113))=0</formula>
    </cfRule>
    <cfRule type="containsBlanks" dxfId="16283" priority="11817">
      <formula>LEN(TRIM(M113))=0</formula>
    </cfRule>
    <cfRule type="containsBlanks" dxfId="16282" priority="11818">
      <formula>LEN(TRIM(M113))=0</formula>
    </cfRule>
    <cfRule type="containsBlanks" dxfId="16281" priority="11819">
      <formula>LEN(TRIM(M113))=0</formula>
    </cfRule>
    <cfRule type="containsBlanks" dxfId="16280" priority="11820">
      <formula>LEN(TRIM(M113))=0</formula>
    </cfRule>
    <cfRule type="containsBlanks" dxfId="16279" priority="11821">
      <formula>LEN(TRIM(M113))=0</formula>
    </cfRule>
    <cfRule type="containsBlanks" dxfId="16278" priority="11822">
      <formula>LEN(TRIM(M113))=0</formula>
    </cfRule>
    <cfRule type="containsBlanks" dxfId="16277" priority="11823">
      <formula>LEN(TRIM(M113))=0</formula>
    </cfRule>
    <cfRule type="containsBlanks" dxfId="16276" priority="11824">
      <formula>LEN(TRIM(M113))=0</formula>
    </cfRule>
    <cfRule type="containsBlanks" dxfId="16275" priority="11825">
      <formula>LEN(TRIM(M113))=0</formula>
    </cfRule>
    <cfRule type="containsBlanks" dxfId="16274" priority="11826">
      <formula>LEN(TRIM(M113))=0</formula>
    </cfRule>
    <cfRule type="containsBlanks" dxfId="16273" priority="11827">
      <formula>LEN(TRIM(M113))=0</formula>
    </cfRule>
    <cfRule type="containsBlanks" dxfId="16272" priority="11828">
      <formula>LEN(TRIM(M113))=0</formula>
    </cfRule>
    <cfRule type="containsBlanks" dxfId="16271" priority="11829">
      <formula>LEN(TRIM(M113))=0</formula>
    </cfRule>
    <cfRule type="containsBlanks" dxfId="16270" priority="11830">
      <formula>LEN(TRIM(M113))=0</formula>
    </cfRule>
    <cfRule type="containsBlanks" dxfId="16269" priority="11831">
      <formula>LEN(TRIM(M113))=0</formula>
    </cfRule>
    <cfRule type="containsBlanks" dxfId="16268" priority="11832">
      <formula>LEN(TRIM(M113))=0</formula>
    </cfRule>
    <cfRule type="containsBlanks" dxfId="16267" priority="11833">
      <formula>LEN(TRIM(M113))=0</formula>
    </cfRule>
    <cfRule type="containsBlanks" dxfId="16266" priority="11834">
      <formula>LEN(TRIM(M113))=0</formula>
    </cfRule>
    <cfRule type="containsBlanks" dxfId="16265" priority="11835">
      <formula>LEN(TRIM(M113))=0</formula>
    </cfRule>
    <cfRule type="containsBlanks" dxfId="16264" priority="11836">
      <formula>LEN(TRIM(M113))=0</formula>
    </cfRule>
    <cfRule type="containsBlanks" dxfId="16263" priority="11837">
      <formula>LEN(TRIM(M113))=0</formula>
    </cfRule>
    <cfRule type="containsBlanks" dxfId="16262" priority="11838">
      <formula>LEN(TRIM(M113))=0</formula>
    </cfRule>
    <cfRule type="containsBlanks" dxfId="16261" priority="11839">
      <formula>LEN(TRIM(M113))=0</formula>
    </cfRule>
    <cfRule type="containsBlanks" dxfId="16260" priority="11840">
      <formula>LEN(TRIM(M113))=0</formula>
    </cfRule>
    <cfRule type="containsBlanks" dxfId="16259" priority="11841">
      <formula>LEN(TRIM(M113))=0</formula>
    </cfRule>
    <cfRule type="containsBlanks" dxfId="16258" priority="11842">
      <formula>LEN(TRIM(M113))=0</formula>
    </cfRule>
    <cfRule type="containsBlanks" dxfId="16257" priority="11843">
      <formula>LEN(TRIM(M113))=0</formula>
    </cfRule>
    <cfRule type="containsBlanks" dxfId="16256" priority="11844">
      <formula>LEN(TRIM(M113))=0</formula>
    </cfRule>
    <cfRule type="containsBlanks" dxfId="16255" priority="11845">
      <formula>LEN(TRIM(M113))=0</formula>
    </cfRule>
    <cfRule type="containsBlanks" dxfId="16254" priority="11846">
      <formula>LEN(TRIM(M113))=0</formula>
    </cfRule>
    <cfRule type="containsBlanks" dxfId="16253" priority="11847">
      <formula>LEN(TRIM(M113))=0</formula>
    </cfRule>
    <cfRule type="containsBlanks" dxfId="16252" priority="11848">
      <formula>LEN(TRIM(M113))=0</formula>
    </cfRule>
    <cfRule type="containsBlanks" dxfId="16251" priority="11849">
      <formula>LEN(TRIM(M113))=0</formula>
    </cfRule>
    <cfRule type="containsBlanks" dxfId="16250" priority="11850">
      <formula>LEN(TRIM(M113))=0</formula>
    </cfRule>
    <cfRule type="containsBlanks" dxfId="16249" priority="11851">
      <formula>LEN(TRIM(M113))=0</formula>
    </cfRule>
    <cfRule type="containsBlanks" dxfId="16248" priority="11852">
      <formula>LEN(TRIM(M113))=0</formula>
    </cfRule>
    <cfRule type="containsBlanks" dxfId="16247" priority="11853">
      <formula>LEN(TRIM(M113))=0</formula>
    </cfRule>
    <cfRule type="containsBlanks" dxfId="16246" priority="11854">
      <formula>LEN(TRIM(M113))=0</formula>
    </cfRule>
    <cfRule type="containsBlanks" dxfId="16245" priority="11855">
      <formula>LEN(TRIM(M113))=0</formula>
    </cfRule>
    <cfRule type="containsBlanks" dxfId="16244" priority="11856">
      <formula>LEN(TRIM(M113))=0</formula>
    </cfRule>
    <cfRule type="containsBlanks" dxfId="16243" priority="11857">
      <formula>LEN(TRIM(M113))=0</formula>
    </cfRule>
    <cfRule type="containsBlanks" dxfId="16242" priority="11858">
      <formula>LEN(TRIM(M113))=0</formula>
    </cfRule>
    <cfRule type="containsBlanks" dxfId="16241" priority="11859">
      <formula>LEN(TRIM(M113))=0</formula>
    </cfRule>
    <cfRule type="containsBlanks" dxfId="16240" priority="11860">
      <formula>LEN(TRIM(M113))=0</formula>
    </cfRule>
    <cfRule type="containsBlanks" dxfId="16239" priority="11861">
      <formula>LEN(TRIM(M113))=0</formula>
    </cfRule>
    <cfRule type="containsBlanks" dxfId="16238" priority="11862">
      <formula>LEN(TRIM(M113))=0</formula>
    </cfRule>
    <cfRule type="containsBlanks" dxfId="16237" priority="11863">
      <formula>LEN(TRIM(M113))=0</formula>
    </cfRule>
    <cfRule type="containsBlanks" dxfId="16236" priority="11864">
      <formula>LEN(TRIM(M113))=0</formula>
    </cfRule>
    <cfRule type="containsBlanks" dxfId="16235" priority="11865">
      <formula>LEN(TRIM(M113))=0</formula>
    </cfRule>
    <cfRule type="containsBlanks" dxfId="16234" priority="11866">
      <formula>LEN(TRIM(M113))=0</formula>
    </cfRule>
    <cfRule type="containsBlanks" dxfId="16233" priority="11867">
      <formula>LEN(TRIM(M113))=0</formula>
    </cfRule>
    <cfRule type="containsBlanks" dxfId="16232" priority="11868">
      <formula>LEN(TRIM(M113))=0</formula>
    </cfRule>
    <cfRule type="containsBlanks" dxfId="16231" priority="11869">
      <formula>LEN(TRIM(M113))=0</formula>
    </cfRule>
    <cfRule type="containsBlanks" dxfId="16230" priority="11870">
      <formula>LEN(TRIM(M113))=0</formula>
    </cfRule>
    <cfRule type="containsBlanks" dxfId="16229" priority="11871">
      <formula>LEN(TRIM(M113))=0</formula>
    </cfRule>
    <cfRule type="containsBlanks" dxfId="16228" priority="11872">
      <formula>LEN(TRIM(M113))=0</formula>
    </cfRule>
    <cfRule type="containsBlanks" dxfId="16227" priority="11873">
      <formula>LEN(TRIM(M113))=0</formula>
    </cfRule>
    <cfRule type="containsBlanks" dxfId="16226" priority="11874">
      <formula>LEN(TRIM(M113))=0</formula>
    </cfRule>
    <cfRule type="containsBlanks" dxfId="16225" priority="11875">
      <formula>LEN(TRIM(M113))=0</formula>
    </cfRule>
    <cfRule type="containsBlanks" dxfId="16224" priority="11876">
      <formula>LEN(TRIM(M113))=0</formula>
    </cfRule>
    <cfRule type="containsBlanks" dxfId="16223" priority="11877">
      <formula>LEN(TRIM(M113))=0</formula>
    </cfRule>
    <cfRule type="containsBlanks" dxfId="16222" priority="11878">
      <formula>LEN(TRIM(M113))=0</formula>
    </cfRule>
    <cfRule type="containsBlanks" dxfId="16221" priority="11879">
      <formula>LEN(TRIM(M113))=0</formula>
    </cfRule>
    <cfRule type="containsBlanks" dxfId="16220" priority="11880">
      <formula>LEN(TRIM(M113))=0</formula>
    </cfRule>
    <cfRule type="containsBlanks" dxfId="16219" priority="11881">
      <formula>LEN(TRIM(M113))=0</formula>
    </cfRule>
    <cfRule type="containsBlanks" dxfId="16218" priority="11882">
      <formula>LEN(TRIM(M113))=0</formula>
    </cfRule>
    <cfRule type="containsBlanks" dxfId="16217" priority="11883">
      <formula>LEN(TRIM(M113))=0</formula>
    </cfRule>
    <cfRule type="containsBlanks" dxfId="16216" priority="11884">
      <formula>LEN(TRIM(M113))=0</formula>
    </cfRule>
    <cfRule type="containsBlanks" dxfId="16215" priority="11885">
      <formula>LEN(TRIM(M113))=0</formula>
    </cfRule>
    <cfRule type="containsBlanks" dxfId="16214" priority="11886">
      <formula>LEN(TRIM(M113))=0</formula>
    </cfRule>
    <cfRule type="containsBlanks" dxfId="16213" priority="11887">
      <formula>LEN(TRIM(M113))=0</formula>
    </cfRule>
    <cfRule type="containsBlanks" dxfId="16212" priority="11888">
      <formula>LEN(TRIM(M113))=0</formula>
    </cfRule>
    <cfRule type="containsBlanks" dxfId="16211" priority="11889">
      <formula>LEN(TRIM(M113))=0</formula>
    </cfRule>
    <cfRule type="containsBlanks" dxfId="16210" priority="11890">
      <formula>LEN(TRIM(M113))=0</formula>
    </cfRule>
    <cfRule type="containsBlanks" dxfId="16209" priority="11891">
      <formula>LEN(TRIM(M113))=0</formula>
    </cfRule>
    <cfRule type="containsBlanks" dxfId="16208" priority="11892">
      <formula>LEN(TRIM(M113))=0</formula>
    </cfRule>
    <cfRule type="containsBlanks" dxfId="16207" priority="11893">
      <formula>LEN(TRIM(M113))=0</formula>
    </cfRule>
    <cfRule type="containsBlanks" dxfId="16206" priority="11894">
      <formula>LEN(TRIM(M113))=0</formula>
    </cfRule>
    <cfRule type="containsBlanks" dxfId="16205" priority="11895">
      <formula>LEN(TRIM(M113))=0</formula>
    </cfRule>
    <cfRule type="containsBlanks" dxfId="16204" priority="11896">
      <formula>LEN(TRIM(M113))=0</formula>
    </cfRule>
    <cfRule type="containsBlanks" dxfId="16203" priority="11897">
      <formula>LEN(TRIM(M113))=0</formula>
    </cfRule>
    <cfRule type="containsBlanks" dxfId="16202" priority="11898">
      <formula>LEN(TRIM(M113))=0</formula>
    </cfRule>
    <cfRule type="containsBlanks" dxfId="16201" priority="11899">
      <formula>LEN(TRIM(M113))=0</formula>
    </cfRule>
    <cfRule type="containsBlanks" dxfId="16200" priority="11900">
      <formula>LEN(TRIM(M113))=0</formula>
    </cfRule>
    <cfRule type="containsBlanks" dxfId="16199" priority="11901">
      <formula>LEN(TRIM(M113))=0</formula>
    </cfRule>
    <cfRule type="containsBlanks" dxfId="16198" priority="11902">
      <formula>LEN(TRIM(M113))=0</formula>
    </cfRule>
    <cfRule type="containsBlanks" dxfId="16197" priority="11903">
      <formula>LEN(TRIM(M113))=0</formula>
    </cfRule>
    <cfRule type="containsBlanks" dxfId="16196" priority="11904">
      <formula>LEN(TRIM(M113))=0</formula>
    </cfRule>
    <cfRule type="containsBlanks" dxfId="16195" priority="11905">
      <formula>LEN(TRIM(M113))=0</formula>
    </cfRule>
    <cfRule type="containsBlanks" dxfId="16194" priority="11906">
      <formula>LEN(TRIM(M113))=0</formula>
    </cfRule>
    <cfRule type="containsBlanks" dxfId="16193" priority="11907">
      <formula>LEN(TRIM(M113))=0</formula>
    </cfRule>
    <cfRule type="containsBlanks" dxfId="16192" priority="11908">
      <formula>LEN(TRIM(M113))=0</formula>
    </cfRule>
    <cfRule type="containsBlanks" dxfId="16191" priority="11909">
      <formula>LEN(TRIM(M113))=0</formula>
    </cfRule>
    <cfRule type="containsBlanks" dxfId="16190" priority="11910">
      <formula>LEN(TRIM(M113))=0</formula>
    </cfRule>
    <cfRule type="containsBlanks" dxfId="16189" priority="11911">
      <formula>LEN(TRIM(M113))=0</formula>
    </cfRule>
    <cfRule type="containsBlanks" dxfId="16188" priority="11912">
      <formula>LEN(TRIM(M113))=0</formula>
    </cfRule>
    <cfRule type="containsBlanks" dxfId="16187" priority="11913">
      <formula>LEN(TRIM(M113))=0</formula>
    </cfRule>
    <cfRule type="containsBlanks" dxfId="16186" priority="11914">
      <formula>LEN(TRIM(M113))=0</formula>
    </cfRule>
    <cfRule type="containsBlanks" dxfId="16185" priority="11915">
      <formula>LEN(TRIM(M113))=0</formula>
    </cfRule>
    <cfRule type="containsBlanks" dxfId="16184" priority="11916">
      <formula>LEN(TRIM(M113))=0</formula>
    </cfRule>
    <cfRule type="containsBlanks" dxfId="16183" priority="11917">
      <formula>LEN(TRIM(M113))=0</formula>
    </cfRule>
    <cfRule type="containsBlanks" dxfId="16182" priority="11918">
      <formula>LEN(TRIM(M113))=0</formula>
    </cfRule>
    <cfRule type="containsBlanks" dxfId="16181" priority="11919">
      <formula>LEN(TRIM(M113))=0</formula>
    </cfRule>
    <cfRule type="containsBlanks" dxfId="16180" priority="11920">
      <formula>LEN(TRIM(M113))=0</formula>
    </cfRule>
    <cfRule type="containsBlanks" dxfId="16179" priority="11921">
      <formula>LEN(TRIM(M113))=0</formula>
    </cfRule>
    <cfRule type="containsBlanks" dxfId="16178" priority="11922">
      <formula>LEN(TRIM(M113))=0</formula>
    </cfRule>
    <cfRule type="containsBlanks" dxfId="16177" priority="11923">
      <formula>LEN(TRIM(M113))=0</formula>
    </cfRule>
    <cfRule type="containsBlanks" dxfId="16176" priority="11924">
      <formula>LEN(TRIM(M113))=0</formula>
    </cfRule>
    <cfRule type="containsBlanks" dxfId="16175" priority="11925">
      <formula>LEN(TRIM(M113))=0</formula>
    </cfRule>
    <cfRule type="containsBlanks" dxfId="16174" priority="11926">
      <formula>LEN(TRIM(M113))=0</formula>
    </cfRule>
    <cfRule type="containsBlanks" dxfId="16173" priority="11927">
      <formula>LEN(TRIM(M113))=0</formula>
    </cfRule>
    <cfRule type="containsBlanks" dxfId="16172" priority="11928">
      <formula>LEN(TRIM(M113))=0</formula>
    </cfRule>
    <cfRule type="containsBlanks" dxfId="16171" priority="11929">
      <formula>LEN(TRIM(M113))=0</formula>
    </cfRule>
    <cfRule type="containsBlanks" dxfId="16170" priority="11930">
      <formula>LEN(TRIM(M113))=0</formula>
    </cfRule>
    <cfRule type="containsBlanks" dxfId="16169" priority="11931">
      <formula>LEN(TRIM(M113))=0</formula>
    </cfRule>
    <cfRule type="containsBlanks" dxfId="16168" priority="11932">
      <formula>LEN(TRIM(M113))=0</formula>
    </cfRule>
    <cfRule type="containsBlanks" dxfId="16167" priority="11933">
      <formula>LEN(TRIM(M113))=0</formula>
    </cfRule>
    <cfRule type="containsBlanks" dxfId="16166" priority="11934">
      <formula>LEN(TRIM(M113))=0</formula>
    </cfRule>
    <cfRule type="containsBlanks" dxfId="16165" priority="11935">
      <formula>LEN(TRIM(M113))=0</formula>
    </cfRule>
    <cfRule type="containsBlanks" dxfId="16164" priority="11936">
      <formula>LEN(TRIM(M113))=0</formula>
    </cfRule>
    <cfRule type="containsBlanks" dxfId="16163" priority="11937">
      <formula>LEN(TRIM(M113))=0</formula>
    </cfRule>
    <cfRule type="containsBlanks" dxfId="16162" priority="11938">
      <formula>LEN(TRIM(M113))=0</formula>
    </cfRule>
    <cfRule type="containsBlanks" dxfId="16161" priority="11939">
      <formula>LEN(TRIM(M113))=0</formula>
    </cfRule>
    <cfRule type="containsBlanks" dxfId="16160" priority="11940">
      <formula>LEN(TRIM(M113))=0</formula>
    </cfRule>
    <cfRule type="containsBlanks" dxfId="16159" priority="11941">
      <formula>LEN(TRIM(M113))=0</formula>
    </cfRule>
    <cfRule type="containsBlanks" dxfId="16158" priority="11942">
      <formula>LEN(TRIM(M113))=0</formula>
    </cfRule>
    <cfRule type="containsBlanks" dxfId="16157" priority="11943">
      <formula>LEN(TRIM(M113))=0</formula>
    </cfRule>
    <cfRule type="containsBlanks" dxfId="16156" priority="11944">
      <formula>LEN(TRIM(M113))=0</formula>
    </cfRule>
    <cfRule type="containsBlanks" dxfId="16155" priority="11945">
      <formula>LEN(TRIM(M113))=0</formula>
    </cfRule>
    <cfRule type="containsBlanks" dxfId="16154" priority="11946">
      <formula>LEN(TRIM(M113))=0</formula>
    </cfRule>
    <cfRule type="containsBlanks" dxfId="16153" priority="11947">
      <formula>LEN(TRIM(M113))=0</formula>
    </cfRule>
    <cfRule type="containsBlanks" dxfId="16152" priority="11948">
      <formula>LEN(TRIM(M113))=0</formula>
    </cfRule>
    <cfRule type="containsBlanks" dxfId="16151" priority="11949">
      <formula>LEN(TRIM(M113))=0</formula>
    </cfRule>
    <cfRule type="containsBlanks" dxfId="16150" priority="11950">
      <formula>LEN(TRIM(M113))=0</formula>
    </cfRule>
    <cfRule type="containsBlanks" dxfId="16149" priority="11951">
      <formula>LEN(TRIM(M113))=0</formula>
    </cfRule>
    <cfRule type="containsBlanks" dxfId="16148" priority="11952">
      <formula>LEN(TRIM(M113))=0</formula>
    </cfRule>
    <cfRule type="containsBlanks" dxfId="16147" priority="11953">
      <formula>LEN(TRIM(M113))=0</formula>
    </cfRule>
    <cfRule type="containsBlanks" dxfId="16146" priority="11954">
      <formula>LEN(TRIM(M113))=0</formula>
    </cfRule>
    <cfRule type="containsBlanks" dxfId="16145" priority="11955">
      <formula>LEN(TRIM(M113))=0</formula>
    </cfRule>
    <cfRule type="containsBlanks" dxfId="16144" priority="11956">
      <formula>LEN(TRIM(M113))=0</formula>
    </cfRule>
    <cfRule type="containsBlanks" dxfId="16143" priority="11957">
      <formula>LEN(TRIM(M113))=0</formula>
    </cfRule>
    <cfRule type="containsBlanks" dxfId="16142" priority="11958">
      <formula>LEN(TRIM(M113))=0</formula>
    </cfRule>
    <cfRule type="containsBlanks" dxfId="16141" priority="11959">
      <formula>LEN(TRIM(M113))=0</formula>
    </cfRule>
    <cfRule type="containsBlanks" dxfId="16140" priority="11960">
      <formula>LEN(TRIM(M113))=0</formula>
    </cfRule>
    <cfRule type="containsBlanks" dxfId="16139" priority="11961">
      <formula>LEN(TRIM(M113))=0</formula>
    </cfRule>
    <cfRule type="containsBlanks" dxfId="16138" priority="11962">
      <formula>LEN(TRIM(M113))=0</formula>
    </cfRule>
    <cfRule type="containsBlanks" dxfId="16137" priority="11963">
      <formula>LEN(TRIM(M113))=0</formula>
    </cfRule>
    <cfRule type="containsBlanks" dxfId="16136" priority="11964">
      <formula>LEN(TRIM(M113))=0</formula>
    </cfRule>
    <cfRule type="containsBlanks" dxfId="16135" priority="11965">
      <formula>LEN(TRIM(M113))=0</formula>
    </cfRule>
    <cfRule type="containsBlanks" dxfId="16134" priority="11966">
      <formula>LEN(TRIM(M113))=0</formula>
    </cfRule>
    <cfRule type="containsBlanks" dxfId="16133" priority="11967">
      <formula>LEN(TRIM(M113))=0</formula>
    </cfRule>
    <cfRule type="containsBlanks" dxfId="16132" priority="11968">
      <formula>LEN(TRIM(M113))=0</formula>
    </cfRule>
    <cfRule type="containsBlanks" dxfId="16131" priority="11969">
      <formula>LEN(TRIM(M113))=0</formula>
    </cfRule>
  </conditionalFormatting>
  <conditionalFormatting sqref="M127">
    <cfRule type="containsBlanks" dxfId="16130" priority="11338">
      <formula>LEN(TRIM(M127))=0</formula>
    </cfRule>
    <cfRule type="containsBlanks" dxfId="16129" priority="11339">
      <formula>LEN(TRIM(M127))=0</formula>
    </cfRule>
    <cfRule type="containsBlanks" dxfId="16128" priority="11340">
      <formula>LEN(TRIM(M127))=0</formula>
    </cfRule>
    <cfRule type="containsBlanks" dxfId="16127" priority="11341">
      <formula>LEN(TRIM(M127))=0</formula>
    </cfRule>
    <cfRule type="containsBlanks" dxfId="16126" priority="11342">
      <formula>LEN(TRIM(M127))=0</formula>
    </cfRule>
    <cfRule type="containsBlanks" dxfId="16125" priority="11343">
      <formula>LEN(TRIM(M127))=0</formula>
    </cfRule>
    <cfRule type="containsBlanks" dxfId="16124" priority="11344">
      <formula>LEN(TRIM(M127))=0</formula>
    </cfRule>
    <cfRule type="containsBlanks" dxfId="16123" priority="11345">
      <formula>LEN(TRIM(M127))=0</formula>
    </cfRule>
    <cfRule type="containsBlanks" dxfId="16122" priority="11346">
      <formula>LEN(TRIM(M127))=0</formula>
    </cfRule>
    <cfRule type="containsBlanks" dxfId="16121" priority="11347">
      <formula>LEN(TRIM(M127))=0</formula>
    </cfRule>
    <cfRule type="containsBlanks" dxfId="16120" priority="11348">
      <formula>LEN(TRIM(M127))=0</formula>
    </cfRule>
    <cfRule type="containsBlanks" dxfId="16119" priority="11349">
      <formula>LEN(TRIM(M127))=0</formula>
    </cfRule>
    <cfRule type="containsBlanks" dxfId="16118" priority="11350">
      <formula>LEN(TRIM(M127))=0</formula>
    </cfRule>
    <cfRule type="containsBlanks" dxfId="16117" priority="11351">
      <formula>LEN(TRIM(M127))=0</formula>
    </cfRule>
    <cfRule type="containsBlanks" dxfId="16116" priority="11352">
      <formula>LEN(TRIM(M127))=0</formula>
    </cfRule>
    <cfRule type="containsBlanks" dxfId="16115" priority="11353">
      <formula>LEN(TRIM(M127))=0</formula>
    </cfRule>
    <cfRule type="containsBlanks" dxfId="16114" priority="11354">
      <formula>LEN(TRIM(M127))=0</formula>
    </cfRule>
    <cfRule type="containsBlanks" dxfId="16113" priority="11355">
      <formula>LEN(TRIM(M127))=0</formula>
    </cfRule>
    <cfRule type="containsBlanks" dxfId="16112" priority="11356">
      <formula>LEN(TRIM(M127))=0</formula>
    </cfRule>
    <cfRule type="containsBlanks" dxfId="16111" priority="11357">
      <formula>LEN(TRIM(M127))=0</formula>
    </cfRule>
    <cfRule type="containsBlanks" dxfId="16110" priority="11358">
      <formula>LEN(TRIM(M127))=0</formula>
    </cfRule>
    <cfRule type="containsBlanks" dxfId="16109" priority="11359">
      <formula>LEN(TRIM(M127))=0</formula>
    </cfRule>
    <cfRule type="containsBlanks" dxfId="16108" priority="11360">
      <formula>LEN(TRIM(M127))=0</formula>
    </cfRule>
    <cfRule type="containsBlanks" dxfId="16107" priority="11361">
      <formula>LEN(TRIM(M127))=0</formula>
    </cfRule>
    <cfRule type="containsBlanks" dxfId="16106" priority="11362">
      <formula>LEN(TRIM(M127))=0</formula>
    </cfRule>
    <cfRule type="containsBlanks" dxfId="16105" priority="11363">
      <formula>LEN(TRIM(M127))=0</formula>
    </cfRule>
    <cfRule type="containsBlanks" dxfId="16104" priority="11364">
      <formula>LEN(TRIM(M127))=0</formula>
    </cfRule>
    <cfRule type="containsBlanks" dxfId="16103" priority="11365">
      <formula>LEN(TRIM(M127))=0</formula>
    </cfRule>
    <cfRule type="containsBlanks" dxfId="16102" priority="11366">
      <formula>LEN(TRIM(M127))=0</formula>
    </cfRule>
    <cfRule type="containsBlanks" dxfId="16101" priority="11367">
      <formula>LEN(TRIM(M127))=0</formula>
    </cfRule>
    <cfRule type="containsBlanks" dxfId="16100" priority="11368">
      <formula>LEN(TRIM(M127))=0</formula>
    </cfRule>
    <cfRule type="containsBlanks" dxfId="16099" priority="11369">
      <formula>LEN(TRIM(M127))=0</formula>
    </cfRule>
    <cfRule type="containsBlanks" dxfId="16098" priority="11370">
      <formula>LEN(TRIM(M127))=0</formula>
    </cfRule>
    <cfRule type="containsBlanks" dxfId="16097" priority="11371">
      <formula>LEN(TRIM(M127))=0</formula>
    </cfRule>
    <cfRule type="containsBlanks" dxfId="16096" priority="11372">
      <formula>LEN(TRIM(M127))=0</formula>
    </cfRule>
    <cfRule type="containsBlanks" dxfId="16095" priority="11373">
      <formula>LEN(TRIM(M127))=0</formula>
    </cfRule>
    <cfRule type="containsBlanks" dxfId="16094" priority="11374">
      <formula>LEN(TRIM(M127))=0</formula>
    </cfRule>
    <cfRule type="containsBlanks" dxfId="16093" priority="11375">
      <formula>LEN(TRIM(M127))=0</formula>
    </cfRule>
    <cfRule type="containsBlanks" dxfId="16092" priority="11376">
      <formula>LEN(TRIM(M127))=0</formula>
    </cfRule>
    <cfRule type="containsBlanks" dxfId="16091" priority="11377">
      <formula>LEN(TRIM(M127))=0</formula>
    </cfRule>
    <cfRule type="containsBlanks" dxfId="16090" priority="11378">
      <formula>LEN(TRIM(M127))=0</formula>
    </cfRule>
    <cfRule type="containsBlanks" dxfId="16089" priority="11379">
      <formula>LEN(TRIM(M127))=0</formula>
    </cfRule>
    <cfRule type="containsBlanks" dxfId="16088" priority="11380">
      <formula>LEN(TRIM(M127))=0</formula>
    </cfRule>
    <cfRule type="containsBlanks" dxfId="16087" priority="11381">
      <formula>LEN(TRIM(M127))=0</formula>
    </cfRule>
    <cfRule type="containsBlanks" dxfId="16086" priority="11382">
      <formula>LEN(TRIM(M127))=0</formula>
    </cfRule>
    <cfRule type="containsBlanks" dxfId="16085" priority="11383">
      <formula>LEN(TRIM(M127))=0</formula>
    </cfRule>
    <cfRule type="containsBlanks" dxfId="16084" priority="11384">
      <formula>LEN(TRIM(M127))=0</formula>
    </cfRule>
    <cfRule type="containsBlanks" dxfId="16083" priority="11385">
      <formula>LEN(TRIM(M127))=0</formula>
    </cfRule>
    <cfRule type="containsBlanks" dxfId="16082" priority="11386">
      <formula>LEN(TRIM(M127))=0</formula>
    </cfRule>
    <cfRule type="containsBlanks" dxfId="16081" priority="11387">
      <formula>LEN(TRIM(M127))=0</formula>
    </cfRule>
    <cfRule type="containsBlanks" dxfId="16080" priority="11388">
      <formula>LEN(TRIM(M127))=0</formula>
    </cfRule>
    <cfRule type="containsBlanks" dxfId="16079" priority="11389">
      <formula>LEN(TRIM(M127))=0</formula>
    </cfRule>
    <cfRule type="containsBlanks" dxfId="16078" priority="11390">
      <formula>LEN(TRIM(M127))=0</formula>
    </cfRule>
    <cfRule type="containsBlanks" dxfId="16077" priority="11391">
      <formula>LEN(TRIM(M127))=0</formula>
    </cfRule>
    <cfRule type="containsBlanks" dxfId="16076" priority="11392">
      <formula>LEN(TRIM(M127))=0</formula>
    </cfRule>
    <cfRule type="containsBlanks" dxfId="16075" priority="11393">
      <formula>LEN(TRIM(M127))=0</formula>
    </cfRule>
    <cfRule type="containsBlanks" dxfId="16074" priority="11394">
      <formula>LEN(TRIM(M127))=0</formula>
    </cfRule>
    <cfRule type="containsBlanks" dxfId="16073" priority="11395">
      <formula>LEN(TRIM(M127))=0</formula>
    </cfRule>
    <cfRule type="containsBlanks" dxfId="16072" priority="11396">
      <formula>LEN(TRIM(M127))=0</formula>
    </cfRule>
    <cfRule type="containsBlanks" dxfId="16071" priority="11397">
      <formula>LEN(TRIM(M127))=0</formula>
    </cfRule>
    <cfRule type="containsBlanks" dxfId="16070" priority="11398">
      <formula>LEN(TRIM(M127))=0</formula>
    </cfRule>
    <cfRule type="containsBlanks" dxfId="16069" priority="11399">
      <formula>LEN(TRIM(M127))=0</formula>
    </cfRule>
    <cfRule type="containsBlanks" dxfId="16068" priority="11400">
      <formula>LEN(TRIM(M127))=0</formula>
    </cfRule>
    <cfRule type="containsBlanks" dxfId="16067" priority="11401">
      <formula>LEN(TRIM(M127))=0</formula>
    </cfRule>
    <cfRule type="containsBlanks" dxfId="16066" priority="11402">
      <formula>LEN(TRIM(M127))=0</formula>
    </cfRule>
    <cfRule type="containsBlanks" dxfId="16065" priority="11403">
      <formula>LEN(TRIM(M127))=0</formula>
    </cfRule>
    <cfRule type="containsBlanks" dxfId="16064" priority="11404">
      <formula>LEN(TRIM(M127))=0</formula>
    </cfRule>
    <cfRule type="containsBlanks" dxfId="16063" priority="11405">
      <formula>LEN(TRIM(M127))=0</formula>
    </cfRule>
    <cfRule type="containsBlanks" dxfId="16062" priority="11406">
      <formula>LEN(TRIM(M127))=0</formula>
    </cfRule>
    <cfRule type="containsBlanks" dxfId="16061" priority="11407">
      <formula>LEN(TRIM(M127))=0</formula>
    </cfRule>
    <cfRule type="containsBlanks" dxfId="16060" priority="11408">
      <formula>LEN(TRIM(M127))=0</formula>
    </cfRule>
    <cfRule type="containsBlanks" dxfId="16059" priority="11409">
      <formula>LEN(TRIM(M127))=0</formula>
    </cfRule>
    <cfRule type="containsBlanks" dxfId="16058" priority="11410">
      <formula>LEN(TRIM(M127))=0</formula>
    </cfRule>
    <cfRule type="containsBlanks" dxfId="16057" priority="11411">
      <formula>LEN(TRIM(M127))=0</formula>
    </cfRule>
    <cfRule type="containsBlanks" dxfId="16056" priority="11412">
      <formula>LEN(TRIM(M127))=0</formula>
    </cfRule>
    <cfRule type="containsBlanks" dxfId="16055" priority="11413">
      <formula>LEN(TRIM(M127))=0</formula>
    </cfRule>
    <cfRule type="containsBlanks" dxfId="16054" priority="11414">
      <formula>LEN(TRIM(M127))=0</formula>
    </cfRule>
    <cfRule type="containsBlanks" dxfId="16053" priority="11415">
      <formula>LEN(TRIM(M127))=0</formula>
    </cfRule>
    <cfRule type="containsBlanks" dxfId="16052" priority="11416">
      <formula>LEN(TRIM(M127))=0</formula>
    </cfRule>
    <cfRule type="containsBlanks" dxfId="16051" priority="11417">
      <formula>LEN(TRIM(M127))=0</formula>
    </cfRule>
    <cfRule type="containsBlanks" dxfId="16050" priority="11418">
      <formula>LEN(TRIM(M127))=0</formula>
    </cfRule>
    <cfRule type="containsBlanks" dxfId="16049" priority="11419">
      <formula>LEN(TRIM(M127))=0</formula>
    </cfRule>
    <cfRule type="containsBlanks" dxfId="16048" priority="11420">
      <formula>LEN(TRIM(M127))=0</formula>
    </cfRule>
    <cfRule type="containsBlanks" dxfId="16047" priority="11421">
      <formula>LEN(TRIM(M127))=0</formula>
    </cfRule>
    <cfRule type="containsBlanks" dxfId="16046" priority="11422">
      <formula>LEN(TRIM(M127))=0</formula>
    </cfRule>
    <cfRule type="containsBlanks" dxfId="16045" priority="11423">
      <formula>LEN(TRIM(M127))=0</formula>
    </cfRule>
    <cfRule type="containsBlanks" dxfId="16044" priority="11424">
      <formula>LEN(TRIM(M127))=0</formula>
    </cfRule>
    <cfRule type="containsBlanks" dxfId="16043" priority="11425">
      <formula>LEN(TRIM(M127))=0</formula>
    </cfRule>
    <cfRule type="containsBlanks" dxfId="16042" priority="11426">
      <formula>LEN(TRIM(M127))=0</formula>
    </cfRule>
    <cfRule type="containsBlanks" dxfId="16041" priority="11427">
      <formula>LEN(TRIM(M127))=0</formula>
    </cfRule>
    <cfRule type="containsBlanks" dxfId="16040" priority="11428">
      <formula>LEN(TRIM(M127))=0</formula>
    </cfRule>
    <cfRule type="containsBlanks" dxfId="16039" priority="11429">
      <formula>LEN(TRIM(M127))=0</formula>
    </cfRule>
    <cfRule type="containsBlanks" dxfId="16038" priority="11430">
      <formula>LEN(TRIM(M127))=0</formula>
    </cfRule>
    <cfRule type="containsBlanks" dxfId="16037" priority="11431">
      <formula>LEN(TRIM(M127))=0</formula>
    </cfRule>
    <cfRule type="containsBlanks" dxfId="16036" priority="11432">
      <formula>LEN(TRIM(M127))=0</formula>
    </cfRule>
    <cfRule type="containsBlanks" dxfId="16035" priority="11433">
      <formula>LEN(TRIM(M127))=0</formula>
    </cfRule>
    <cfRule type="containsBlanks" dxfId="16034" priority="11434">
      <formula>LEN(TRIM(M127))=0</formula>
    </cfRule>
    <cfRule type="containsBlanks" dxfId="16033" priority="11435">
      <formula>LEN(TRIM(M127))=0</formula>
    </cfRule>
    <cfRule type="containsBlanks" dxfId="16032" priority="11436">
      <formula>LEN(TRIM(M127))=0</formula>
    </cfRule>
    <cfRule type="containsBlanks" dxfId="16031" priority="11437">
      <formula>LEN(TRIM(M127))=0</formula>
    </cfRule>
    <cfRule type="containsBlanks" dxfId="16030" priority="11438">
      <formula>LEN(TRIM(M127))=0</formula>
    </cfRule>
    <cfRule type="containsBlanks" dxfId="16029" priority="11439">
      <formula>LEN(TRIM(M127))=0</formula>
    </cfRule>
    <cfRule type="containsBlanks" dxfId="16028" priority="11440">
      <formula>LEN(TRIM(M127))=0</formula>
    </cfRule>
    <cfRule type="containsBlanks" dxfId="16027" priority="11441">
      <formula>LEN(TRIM(M127))=0</formula>
    </cfRule>
    <cfRule type="containsBlanks" dxfId="16026" priority="11442">
      <formula>LEN(TRIM(M127))=0</formula>
    </cfRule>
    <cfRule type="containsBlanks" dxfId="16025" priority="11443">
      <formula>LEN(TRIM(M127))=0</formula>
    </cfRule>
    <cfRule type="containsBlanks" dxfId="16024" priority="11444">
      <formula>LEN(TRIM(M127))=0</formula>
    </cfRule>
    <cfRule type="containsBlanks" dxfId="16023" priority="11445">
      <formula>LEN(TRIM(M127))=0</formula>
    </cfRule>
    <cfRule type="containsBlanks" dxfId="16022" priority="11446">
      <formula>LEN(TRIM(M127))=0</formula>
    </cfRule>
    <cfRule type="containsBlanks" dxfId="16021" priority="11447">
      <formula>LEN(TRIM(M127))=0</formula>
    </cfRule>
    <cfRule type="containsBlanks" dxfId="16020" priority="11448">
      <formula>LEN(TRIM(M127))=0</formula>
    </cfRule>
    <cfRule type="containsBlanks" dxfId="16019" priority="11449">
      <formula>LEN(TRIM(M127))=0</formula>
    </cfRule>
    <cfRule type="containsBlanks" dxfId="16018" priority="11450">
      <formula>LEN(TRIM(M127))=0</formula>
    </cfRule>
    <cfRule type="containsBlanks" dxfId="16017" priority="11451">
      <formula>LEN(TRIM(M127))=0</formula>
    </cfRule>
    <cfRule type="containsBlanks" dxfId="16016" priority="11452">
      <formula>LEN(TRIM(M127))=0</formula>
    </cfRule>
    <cfRule type="containsBlanks" dxfId="16015" priority="11453">
      <formula>LEN(TRIM(M127))=0</formula>
    </cfRule>
    <cfRule type="containsBlanks" dxfId="16014" priority="11454">
      <formula>LEN(TRIM(M127))=0</formula>
    </cfRule>
    <cfRule type="containsBlanks" dxfId="16013" priority="11455">
      <formula>LEN(TRIM(M127))=0</formula>
    </cfRule>
    <cfRule type="containsBlanks" dxfId="16012" priority="11456">
      <formula>LEN(TRIM(M127))=0</formula>
    </cfRule>
    <cfRule type="containsBlanks" dxfId="16011" priority="11457">
      <formula>LEN(TRIM(M127))=0</formula>
    </cfRule>
    <cfRule type="containsBlanks" dxfId="16010" priority="11458">
      <formula>LEN(TRIM(M127))=0</formula>
    </cfRule>
    <cfRule type="containsBlanks" dxfId="16009" priority="11459">
      <formula>LEN(TRIM(M127))=0</formula>
    </cfRule>
    <cfRule type="containsBlanks" dxfId="16008" priority="11460">
      <formula>LEN(TRIM(M127))=0</formula>
    </cfRule>
    <cfRule type="containsBlanks" dxfId="16007" priority="11461">
      <formula>LEN(TRIM(M127))=0</formula>
    </cfRule>
    <cfRule type="containsBlanks" dxfId="16006" priority="11462">
      <formula>LEN(TRIM(M127))=0</formula>
    </cfRule>
    <cfRule type="containsBlanks" dxfId="16005" priority="11463">
      <formula>LEN(TRIM(M127))=0</formula>
    </cfRule>
    <cfRule type="containsBlanks" dxfId="16004" priority="11464">
      <formula>LEN(TRIM(M127))=0</formula>
    </cfRule>
    <cfRule type="containsBlanks" dxfId="16003" priority="11465">
      <formula>LEN(TRIM(M127))=0</formula>
    </cfRule>
    <cfRule type="containsBlanks" dxfId="16002" priority="11466">
      <formula>LEN(TRIM(M127))=0</formula>
    </cfRule>
    <cfRule type="containsBlanks" dxfId="16001" priority="11467">
      <formula>LEN(TRIM(M127))=0</formula>
    </cfRule>
    <cfRule type="containsBlanks" dxfId="16000" priority="11468">
      <formula>LEN(TRIM(M127))=0</formula>
    </cfRule>
    <cfRule type="containsBlanks" dxfId="15999" priority="11469">
      <formula>LEN(TRIM(M127))=0</formula>
    </cfRule>
    <cfRule type="containsBlanks" dxfId="15998" priority="11470">
      <formula>LEN(TRIM(M127))=0</formula>
    </cfRule>
    <cfRule type="containsBlanks" dxfId="15997" priority="11471">
      <formula>LEN(TRIM(M127))=0</formula>
    </cfRule>
    <cfRule type="containsBlanks" dxfId="15996" priority="11472">
      <formula>LEN(TRIM(M127))=0</formula>
    </cfRule>
    <cfRule type="containsBlanks" dxfId="15995" priority="11473">
      <formula>LEN(TRIM(M127))=0</formula>
    </cfRule>
    <cfRule type="containsBlanks" dxfId="15994" priority="11474">
      <formula>LEN(TRIM(M127))=0</formula>
    </cfRule>
    <cfRule type="containsBlanks" dxfId="15993" priority="11475">
      <formula>LEN(TRIM(M127))=0</formula>
    </cfRule>
    <cfRule type="containsBlanks" dxfId="15992" priority="11476">
      <formula>LEN(TRIM(M127))=0</formula>
    </cfRule>
    <cfRule type="containsBlanks" dxfId="15991" priority="11477">
      <formula>LEN(TRIM(M127))=0</formula>
    </cfRule>
    <cfRule type="containsBlanks" dxfId="15990" priority="11478">
      <formula>LEN(TRIM(M127))=0</formula>
    </cfRule>
    <cfRule type="containsBlanks" dxfId="15989" priority="11479">
      <formula>LEN(TRIM(M127))=0</formula>
    </cfRule>
    <cfRule type="containsBlanks" dxfId="15988" priority="11480">
      <formula>LEN(TRIM(M127))=0</formula>
    </cfRule>
    <cfRule type="containsBlanks" dxfId="15987" priority="11481">
      <formula>LEN(TRIM(M127))=0</formula>
    </cfRule>
    <cfRule type="containsBlanks" dxfId="15986" priority="11482">
      <formula>LEN(TRIM(M127))=0</formula>
    </cfRule>
    <cfRule type="containsBlanks" dxfId="15985" priority="11483">
      <formula>LEN(TRIM(M127))=0</formula>
    </cfRule>
    <cfRule type="containsBlanks" dxfId="15984" priority="11484">
      <formula>LEN(TRIM(M127))=0</formula>
    </cfRule>
    <cfRule type="containsBlanks" dxfId="15983" priority="11485">
      <formula>LEN(TRIM(M127))=0</formula>
    </cfRule>
    <cfRule type="containsBlanks" dxfId="15982" priority="11486">
      <formula>LEN(TRIM(M127))=0</formula>
    </cfRule>
    <cfRule type="containsBlanks" dxfId="15981" priority="11487">
      <formula>LEN(TRIM(M127))=0</formula>
    </cfRule>
    <cfRule type="containsBlanks" dxfId="15980" priority="11488">
      <formula>LEN(TRIM(M127))=0</formula>
    </cfRule>
    <cfRule type="containsBlanks" dxfId="15979" priority="11489">
      <formula>LEN(TRIM(M127))=0</formula>
    </cfRule>
    <cfRule type="containsBlanks" dxfId="15978" priority="11490">
      <formula>LEN(TRIM(M127))=0</formula>
    </cfRule>
    <cfRule type="containsBlanks" dxfId="15977" priority="11491">
      <formula>LEN(TRIM(M127))=0</formula>
    </cfRule>
    <cfRule type="containsBlanks" dxfId="15976" priority="11492">
      <formula>LEN(TRIM(M127))=0</formula>
    </cfRule>
    <cfRule type="containsBlanks" dxfId="15975" priority="11493">
      <formula>LEN(TRIM(M127))=0</formula>
    </cfRule>
    <cfRule type="containsBlanks" dxfId="15974" priority="11494">
      <formula>LEN(TRIM(M127))=0</formula>
    </cfRule>
    <cfRule type="containsBlanks" dxfId="15973" priority="11495">
      <formula>LEN(TRIM(M127))=0</formula>
    </cfRule>
    <cfRule type="containsBlanks" dxfId="15972" priority="11496">
      <formula>LEN(TRIM(M127))=0</formula>
    </cfRule>
    <cfRule type="containsBlanks" dxfId="15971" priority="11497">
      <formula>LEN(TRIM(M127))=0</formula>
    </cfRule>
    <cfRule type="containsBlanks" dxfId="15970" priority="11498">
      <formula>LEN(TRIM(M127))=0</formula>
    </cfRule>
    <cfRule type="containsBlanks" dxfId="15969" priority="11499">
      <formula>LEN(TRIM(M127))=0</formula>
    </cfRule>
    <cfRule type="containsBlanks" dxfId="15968" priority="11500">
      <formula>LEN(TRIM(M127))=0</formula>
    </cfRule>
    <cfRule type="containsBlanks" dxfId="15967" priority="11501">
      <formula>LEN(TRIM(M127))=0</formula>
    </cfRule>
    <cfRule type="containsBlanks" dxfId="15966" priority="11502">
      <formula>LEN(TRIM(M127))=0</formula>
    </cfRule>
    <cfRule type="containsBlanks" dxfId="15965" priority="11503">
      <formula>LEN(TRIM(M127))=0</formula>
    </cfRule>
    <cfRule type="containsBlanks" dxfId="15964" priority="11504">
      <formula>LEN(TRIM(M127))=0</formula>
    </cfRule>
    <cfRule type="containsBlanks" dxfId="15963" priority="11505">
      <formula>LEN(TRIM(M127))=0</formula>
    </cfRule>
    <cfRule type="containsBlanks" dxfId="15962" priority="11506">
      <formula>LEN(TRIM(M127))=0</formula>
    </cfRule>
    <cfRule type="containsBlanks" dxfId="15961" priority="11507">
      <formula>LEN(TRIM(M127))=0</formula>
    </cfRule>
    <cfRule type="containsBlanks" dxfId="15960" priority="11508">
      <formula>LEN(TRIM(M127))=0</formula>
    </cfRule>
    <cfRule type="containsBlanks" dxfId="15959" priority="11509">
      <formula>LEN(TRIM(M127))=0</formula>
    </cfRule>
    <cfRule type="containsBlanks" dxfId="15958" priority="11510">
      <formula>LEN(TRIM(M127))=0</formula>
    </cfRule>
    <cfRule type="containsBlanks" dxfId="15957" priority="11511">
      <formula>LEN(TRIM(M127))=0</formula>
    </cfRule>
    <cfRule type="containsBlanks" dxfId="15956" priority="11512">
      <formula>LEN(TRIM(M127))=0</formula>
    </cfRule>
    <cfRule type="containsBlanks" dxfId="15955" priority="11513">
      <formula>LEN(TRIM(M127))=0</formula>
    </cfRule>
    <cfRule type="containsBlanks" dxfId="15954" priority="11514">
      <formula>LEN(TRIM(M127))=0</formula>
    </cfRule>
    <cfRule type="containsBlanks" dxfId="15953" priority="11515">
      <formula>LEN(TRIM(M127))=0</formula>
    </cfRule>
    <cfRule type="containsBlanks" dxfId="15952" priority="11516">
      <formula>LEN(TRIM(M127))=0</formula>
    </cfRule>
    <cfRule type="containsBlanks" dxfId="15951" priority="11517">
      <formula>LEN(TRIM(M127))=0</formula>
    </cfRule>
    <cfRule type="containsBlanks" dxfId="15950" priority="11518">
      <formula>LEN(TRIM(M127))=0</formula>
    </cfRule>
    <cfRule type="containsBlanks" dxfId="15949" priority="11519">
      <formula>LEN(TRIM(M127))=0</formula>
    </cfRule>
    <cfRule type="containsBlanks" dxfId="15948" priority="11520">
      <formula>LEN(TRIM(M127))=0</formula>
    </cfRule>
    <cfRule type="containsBlanks" dxfId="15947" priority="11521">
      <formula>LEN(TRIM(M127))=0</formula>
    </cfRule>
    <cfRule type="containsBlanks" dxfId="15946" priority="11522">
      <formula>LEN(TRIM(M127))=0</formula>
    </cfRule>
    <cfRule type="containsBlanks" dxfId="15945" priority="11523">
      <formula>LEN(TRIM(M127))=0</formula>
    </cfRule>
    <cfRule type="containsBlanks" dxfId="15944" priority="11524">
      <formula>LEN(TRIM(M127))=0</formula>
    </cfRule>
    <cfRule type="containsBlanks" dxfId="15943" priority="11525">
      <formula>LEN(TRIM(M127))=0</formula>
    </cfRule>
    <cfRule type="containsBlanks" dxfId="15942" priority="11526">
      <formula>LEN(TRIM(M127))=0</formula>
    </cfRule>
    <cfRule type="containsBlanks" dxfId="15941" priority="11527">
      <formula>LEN(TRIM(M127))=0</formula>
    </cfRule>
    <cfRule type="containsBlanks" dxfId="15940" priority="11528">
      <formula>LEN(TRIM(M127))=0</formula>
    </cfRule>
    <cfRule type="containsBlanks" dxfId="15939" priority="11529">
      <formula>LEN(TRIM(M127))=0</formula>
    </cfRule>
    <cfRule type="containsBlanks" dxfId="15938" priority="11530">
      <formula>LEN(TRIM(M127))=0</formula>
    </cfRule>
    <cfRule type="containsBlanks" dxfId="15937" priority="11531">
      <formula>LEN(TRIM(M127))=0</formula>
    </cfRule>
    <cfRule type="containsBlanks" dxfId="15936" priority="11532">
      <formula>LEN(TRIM(M127))=0</formula>
    </cfRule>
    <cfRule type="containsBlanks" dxfId="15935" priority="11533">
      <formula>LEN(TRIM(M127))=0</formula>
    </cfRule>
    <cfRule type="containsBlanks" dxfId="15934" priority="11534">
      <formula>LEN(TRIM(M127))=0</formula>
    </cfRule>
    <cfRule type="containsBlanks" dxfId="15933" priority="11535">
      <formula>LEN(TRIM(M127))=0</formula>
    </cfRule>
    <cfRule type="containsBlanks" dxfId="15932" priority="11536">
      <formula>LEN(TRIM(M127))=0</formula>
    </cfRule>
    <cfRule type="containsBlanks" dxfId="15931" priority="11537">
      <formula>LEN(TRIM(M127))=0</formula>
    </cfRule>
    <cfRule type="containsBlanks" dxfId="15930" priority="11538">
      <formula>LEN(TRIM(M127))=0</formula>
    </cfRule>
    <cfRule type="containsBlanks" dxfId="15929" priority="11539">
      <formula>LEN(TRIM(M127))=0</formula>
    </cfRule>
    <cfRule type="containsBlanks" dxfId="15928" priority="11540">
      <formula>LEN(TRIM(M127))=0</formula>
    </cfRule>
    <cfRule type="containsBlanks" dxfId="15927" priority="11541">
      <formula>LEN(TRIM(M127))=0</formula>
    </cfRule>
    <cfRule type="containsBlanks" dxfId="15926" priority="11542">
      <formula>LEN(TRIM(M127))=0</formula>
    </cfRule>
    <cfRule type="containsBlanks" dxfId="15925" priority="11543">
      <formula>LEN(TRIM(M127))=0</formula>
    </cfRule>
    <cfRule type="containsBlanks" dxfId="15924" priority="11544">
      <formula>LEN(TRIM(M127))=0</formula>
    </cfRule>
    <cfRule type="containsBlanks" dxfId="15923" priority="11545">
      <formula>LEN(TRIM(M127))=0</formula>
    </cfRule>
    <cfRule type="containsBlanks" dxfId="15922" priority="11546">
      <formula>LEN(TRIM(M127))=0</formula>
    </cfRule>
    <cfRule type="containsBlanks" dxfId="15921" priority="11547">
      <formula>LEN(TRIM(M127))=0</formula>
    </cfRule>
    <cfRule type="containsBlanks" dxfId="15920" priority="11548">
      <formula>LEN(TRIM(M127))=0</formula>
    </cfRule>
    <cfRule type="containsBlanks" dxfId="15919" priority="11549">
      <formula>LEN(TRIM(M127))=0</formula>
    </cfRule>
    <cfRule type="containsBlanks" dxfId="15918" priority="11550">
      <formula>LEN(TRIM(M127))=0</formula>
    </cfRule>
    <cfRule type="containsBlanks" dxfId="15917" priority="11551">
      <formula>LEN(TRIM(M127))=0</formula>
    </cfRule>
    <cfRule type="containsBlanks" dxfId="15916" priority="11552">
      <formula>LEN(TRIM(M127))=0</formula>
    </cfRule>
    <cfRule type="containsBlanks" dxfId="15915" priority="11553">
      <formula>LEN(TRIM(M127))=0</formula>
    </cfRule>
    <cfRule type="containsBlanks" dxfId="15914" priority="11554">
      <formula>LEN(TRIM(M127))=0</formula>
    </cfRule>
    <cfRule type="containsBlanks" dxfId="15913" priority="11555">
      <formula>LEN(TRIM(M127))=0</formula>
    </cfRule>
    <cfRule type="containsBlanks" dxfId="15912" priority="11556">
      <formula>LEN(TRIM(M127))=0</formula>
    </cfRule>
    <cfRule type="containsBlanks" dxfId="15911" priority="11557">
      <formula>LEN(TRIM(M127))=0</formula>
    </cfRule>
    <cfRule type="containsBlanks" dxfId="15910" priority="11558">
      <formula>LEN(TRIM(M127))=0</formula>
    </cfRule>
    <cfRule type="containsBlanks" dxfId="15909" priority="11559">
      <formula>LEN(TRIM(M127))=0</formula>
    </cfRule>
    <cfRule type="containsBlanks" dxfId="15908" priority="11560">
      <formula>LEN(TRIM(M127))=0</formula>
    </cfRule>
    <cfRule type="containsBlanks" dxfId="15907" priority="11561">
      <formula>LEN(TRIM(M127))=0</formula>
    </cfRule>
    <cfRule type="containsBlanks" dxfId="15906" priority="11562">
      <formula>LEN(TRIM(M127))=0</formula>
    </cfRule>
    <cfRule type="containsBlanks" dxfId="15905" priority="11563">
      <formula>LEN(TRIM(M127))=0</formula>
    </cfRule>
    <cfRule type="containsBlanks" dxfId="15904" priority="11564">
      <formula>LEN(TRIM(M127))=0</formula>
    </cfRule>
    <cfRule type="containsBlanks" dxfId="15903" priority="11565">
      <formula>LEN(TRIM(M127))=0</formula>
    </cfRule>
    <cfRule type="containsBlanks" dxfId="15902" priority="11566">
      <formula>LEN(TRIM(M127))=0</formula>
    </cfRule>
    <cfRule type="containsBlanks" dxfId="15901" priority="11567">
      <formula>LEN(TRIM(M127))=0</formula>
    </cfRule>
    <cfRule type="containsBlanks" dxfId="15900" priority="11568">
      <formula>LEN(TRIM(M127))=0</formula>
    </cfRule>
    <cfRule type="containsBlanks" dxfId="15899" priority="11569">
      <formula>LEN(TRIM(M127))=0</formula>
    </cfRule>
    <cfRule type="containsBlanks" dxfId="15898" priority="11570">
      <formula>LEN(TRIM(M127))=0</formula>
    </cfRule>
    <cfRule type="containsBlanks" dxfId="15897" priority="11571">
      <formula>LEN(TRIM(M127))=0</formula>
    </cfRule>
    <cfRule type="containsBlanks" dxfId="15896" priority="11572">
      <formula>LEN(TRIM(M127))=0</formula>
    </cfRule>
    <cfRule type="containsBlanks" dxfId="15895" priority="11573">
      <formula>LEN(TRIM(M127))=0</formula>
    </cfRule>
    <cfRule type="containsBlanks" dxfId="15894" priority="11574">
      <formula>LEN(TRIM(M127))=0</formula>
    </cfRule>
    <cfRule type="containsBlanks" dxfId="15893" priority="11575">
      <formula>LEN(TRIM(M127))=0</formula>
    </cfRule>
    <cfRule type="containsBlanks" dxfId="15892" priority="11576">
      <formula>LEN(TRIM(M127))=0</formula>
    </cfRule>
    <cfRule type="containsBlanks" dxfId="15891" priority="11577">
      <formula>LEN(TRIM(M127))=0</formula>
    </cfRule>
    <cfRule type="containsBlanks" dxfId="15890" priority="11578">
      <formula>LEN(TRIM(M127))=0</formula>
    </cfRule>
    <cfRule type="containsBlanks" dxfId="15889" priority="11579">
      <formula>LEN(TRIM(M127))=0</formula>
    </cfRule>
    <cfRule type="containsBlanks" dxfId="15888" priority="11580">
      <formula>LEN(TRIM(M127))=0</formula>
    </cfRule>
    <cfRule type="containsBlanks" dxfId="15887" priority="11581">
      <formula>LEN(TRIM(M127))=0</formula>
    </cfRule>
    <cfRule type="containsBlanks" dxfId="15886" priority="11582">
      <formula>LEN(TRIM(M127))=0</formula>
    </cfRule>
    <cfRule type="containsBlanks" dxfId="15885" priority="11583">
      <formula>LEN(TRIM(M127))=0</formula>
    </cfRule>
    <cfRule type="containsBlanks" dxfId="15884" priority="11584">
      <formula>LEN(TRIM(M127))=0</formula>
    </cfRule>
    <cfRule type="containsBlanks" dxfId="15883" priority="11585">
      <formula>LEN(TRIM(M127))=0</formula>
    </cfRule>
    <cfRule type="containsBlanks" dxfId="15882" priority="11586">
      <formula>LEN(TRIM(M127))=0</formula>
    </cfRule>
    <cfRule type="containsBlanks" dxfId="15881" priority="11587">
      <formula>LEN(TRIM(M127))=0</formula>
    </cfRule>
    <cfRule type="containsBlanks" dxfId="15880" priority="11588">
      <formula>LEN(TRIM(M127))=0</formula>
    </cfRule>
    <cfRule type="containsBlanks" dxfId="15879" priority="11589">
      <formula>LEN(TRIM(M127))=0</formula>
    </cfRule>
    <cfRule type="containsBlanks" dxfId="15878" priority="11590">
      <formula>LEN(TRIM(M127))=0</formula>
    </cfRule>
    <cfRule type="containsBlanks" dxfId="15877" priority="11591">
      <formula>LEN(TRIM(M127))=0</formula>
    </cfRule>
    <cfRule type="containsBlanks" dxfId="15876" priority="11592">
      <formula>LEN(TRIM(M127))=0</formula>
    </cfRule>
    <cfRule type="containsBlanks" dxfId="15875" priority="11593">
      <formula>LEN(TRIM(M127))=0</formula>
    </cfRule>
    <cfRule type="containsBlanks" dxfId="15874" priority="11594">
      <formula>LEN(TRIM(M127))=0</formula>
    </cfRule>
    <cfRule type="containsBlanks" dxfId="15873" priority="11595">
      <formula>LEN(TRIM(M127))=0</formula>
    </cfRule>
    <cfRule type="containsBlanks" dxfId="15872" priority="11596">
      <formula>LEN(TRIM(M127))=0</formula>
    </cfRule>
    <cfRule type="containsBlanks" dxfId="15871" priority="11597">
      <formula>LEN(TRIM(M127))=0</formula>
    </cfRule>
    <cfRule type="containsBlanks" dxfId="15870" priority="11598">
      <formula>LEN(TRIM(M127))=0</formula>
    </cfRule>
    <cfRule type="containsBlanks" dxfId="15869" priority="11599">
      <formula>LEN(TRIM(M127))=0</formula>
    </cfRule>
    <cfRule type="containsBlanks" dxfId="15868" priority="11600">
      <formula>LEN(TRIM(M127))=0</formula>
    </cfRule>
    <cfRule type="containsBlanks" dxfId="15867" priority="11601">
      <formula>LEN(TRIM(M127))=0</formula>
    </cfRule>
    <cfRule type="containsBlanks" dxfId="15866" priority="11602">
      <formula>LEN(TRIM(M127))=0</formula>
    </cfRule>
    <cfRule type="containsBlanks" dxfId="15865" priority="11603">
      <formula>LEN(TRIM(M127))=0</formula>
    </cfRule>
    <cfRule type="containsBlanks" dxfId="15864" priority="11604">
      <formula>LEN(TRIM(M127))=0</formula>
    </cfRule>
    <cfRule type="containsBlanks" dxfId="15863" priority="11605">
      <formula>LEN(TRIM(M127))=0</formula>
    </cfRule>
    <cfRule type="containsBlanks" dxfId="15862" priority="11606">
      <formula>LEN(TRIM(M127))=0</formula>
    </cfRule>
    <cfRule type="containsBlanks" dxfId="15861" priority="11607">
      <formula>LEN(TRIM(M127))=0</formula>
    </cfRule>
    <cfRule type="containsBlanks" dxfId="15860" priority="11608">
      <formula>LEN(TRIM(M127))=0</formula>
    </cfRule>
    <cfRule type="containsBlanks" dxfId="15859" priority="11609">
      <formula>LEN(TRIM(M127))=0</formula>
    </cfRule>
    <cfRule type="containsBlanks" dxfId="15858" priority="11610">
      <formula>LEN(TRIM(M127))=0</formula>
    </cfRule>
    <cfRule type="containsBlanks" dxfId="15857" priority="11611">
      <formula>LEN(TRIM(M127))=0</formula>
    </cfRule>
    <cfRule type="containsBlanks" dxfId="15856" priority="11612">
      <formula>LEN(TRIM(M127))=0</formula>
    </cfRule>
    <cfRule type="containsBlanks" dxfId="15855" priority="11613">
      <formula>LEN(TRIM(M127))=0</formula>
    </cfRule>
    <cfRule type="containsBlanks" dxfId="15854" priority="11614">
      <formula>LEN(TRIM(M127))=0</formula>
    </cfRule>
    <cfRule type="containsBlanks" dxfId="15853" priority="11615">
      <formula>LEN(TRIM(M127))=0</formula>
    </cfRule>
    <cfRule type="containsBlanks" dxfId="15852" priority="11616">
      <formula>LEN(TRIM(M127))=0</formula>
    </cfRule>
    <cfRule type="containsBlanks" dxfId="15851" priority="11617">
      <formula>LEN(TRIM(M127))=0</formula>
    </cfRule>
    <cfRule type="containsBlanks" dxfId="15850" priority="11618">
      <formula>LEN(TRIM(M127))=0</formula>
    </cfRule>
    <cfRule type="containsBlanks" dxfId="15849" priority="11619">
      <formula>LEN(TRIM(M127))=0</formula>
    </cfRule>
    <cfRule type="containsBlanks" dxfId="15848" priority="11620">
      <formula>LEN(TRIM(M127))=0</formula>
    </cfRule>
    <cfRule type="containsBlanks" dxfId="15847" priority="11621">
      <formula>LEN(TRIM(M127))=0</formula>
    </cfRule>
    <cfRule type="containsBlanks" dxfId="15846" priority="11622">
      <formula>LEN(TRIM(M127))=0</formula>
    </cfRule>
    <cfRule type="containsBlanks" dxfId="15845" priority="11623">
      <formula>LEN(TRIM(M127))=0</formula>
    </cfRule>
    <cfRule type="containsBlanks" dxfId="15844" priority="11624">
      <formula>LEN(TRIM(M127))=0</formula>
    </cfRule>
    <cfRule type="containsBlanks" dxfId="15843" priority="11625">
      <formula>LEN(TRIM(M127))=0</formula>
    </cfRule>
    <cfRule type="containsBlanks" dxfId="15842" priority="11626">
      <formula>LEN(TRIM(M127))=0</formula>
    </cfRule>
    <cfRule type="containsBlanks" dxfId="15841" priority="11627">
      <formula>LEN(TRIM(M127))=0</formula>
    </cfRule>
    <cfRule type="containsBlanks" dxfId="15840" priority="11628">
      <formula>LEN(TRIM(M127))=0</formula>
    </cfRule>
    <cfRule type="containsBlanks" dxfId="15839" priority="11629">
      <formula>LEN(TRIM(M127))=0</formula>
    </cfRule>
    <cfRule type="containsBlanks" dxfId="15838" priority="11630">
      <formula>LEN(TRIM(M127))=0</formula>
    </cfRule>
    <cfRule type="containsBlanks" dxfId="15837" priority="11631">
      <formula>LEN(TRIM(M127))=0</formula>
    </cfRule>
    <cfRule type="containsBlanks" dxfId="15836" priority="11632">
      <formula>LEN(TRIM(M127))=0</formula>
    </cfRule>
    <cfRule type="containsBlanks" dxfId="15835" priority="11633">
      <formula>LEN(TRIM(M127))=0</formula>
    </cfRule>
    <cfRule type="containsBlanks" dxfId="15834" priority="11634">
      <formula>LEN(TRIM(M127))=0</formula>
    </cfRule>
    <cfRule type="containsBlanks" dxfId="15833" priority="11635">
      <formula>LEN(TRIM(M127))=0</formula>
    </cfRule>
    <cfRule type="containsBlanks" dxfId="15832" priority="11636">
      <formula>LEN(TRIM(M127))=0</formula>
    </cfRule>
    <cfRule type="containsBlanks" dxfId="15831" priority="11637">
      <formula>LEN(TRIM(M127))=0</formula>
    </cfRule>
    <cfRule type="containsBlanks" dxfId="15830" priority="11638">
      <formula>LEN(TRIM(M127))=0</formula>
    </cfRule>
    <cfRule type="containsBlanks" dxfId="15829" priority="11639">
      <formula>LEN(TRIM(M127))=0</formula>
    </cfRule>
    <cfRule type="containsBlanks" dxfId="15828" priority="11640">
      <formula>LEN(TRIM(M127))=0</formula>
    </cfRule>
    <cfRule type="containsBlanks" dxfId="15827" priority="11641">
      <formula>LEN(TRIM(M127))=0</formula>
    </cfRule>
    <cfRule type="containsBlanks" dxfId="15826" priority="11642">
      <formula>LEN(TRIM(M127))=0</formula>
    </cfRule>
    <cfRule type="containsBlanks" dxfId="15825" priority="11643">
      <formula>LEN(TRIM(M127))=0</formula>
    </cfRule>
    <cfRule type="containsBlanks" dxfId="15824" priority="11644">
      <formula>LEN(TRIM(M127))=0</formula>
    </cfRule>
    <cfRule type="containsBlanks" dxfId="15823" priority="11645">
      <formula>LEN(TRIM(M127))=0</formula>
    </cfRule>
    <cfRule type="containsBlanks" dxfId="15822" priority="11646">
      <formula>LEN(TRIM(M127))=0</formula>
    </cfRule>
    <cfRule type="containsBlanks" dxfId="15821" priority="11647">
      <formula>LEN(TRIM(M127))=0</formula>
    </cfRule>
    <cfRule type="containsBlanks" dxfId="15820" priority="11648">
      <formula>LEN(TRIM(M127))=0</formula>
    </cfRule>
    <cfRule type="containsBlanks" dxfId="15819" priority="11649">
      <formula>LEN(TRIM(M127))=0</formula>
    </cfRule>
    <cfRule type="containsBlanks" dxfId="15818" priority="11650">
      <formula>LEN(TRIM(M127))=0</formula>
    </cfRule>
    <cfRule type="containsBlanks" dxfId="15817" priority="11651">
      <formula>LEN(TRIM(M127))=0</formula>
    </cfRule>
    <cfRule type="containsBlanks" dxfId="15816" priority="11652">
      <formula>LEN(TRIM(M127))=0</formula>
    </cfRule>
    <cfRule type="containsBlanks" dxfId="15815" priority="11653">
      <formula>LEN(TRIM(M127))=0</formula>
    </cfRule>
  </conditionalFormatting>
  <conditionalFormatting sqref="M104:N104">
    <cfRule type="containsBlanks" dxfId="15814" priority="10742">
      <formula>LEN(TRIM(M104))=0</formula>
    </cfRule>
    <cfRule type="containsBlanks" dxfId="15813" priority="10743">
      <formula>LEN(TRIM(M104))=0</formula>
    </cfRule>
    <cfRule type="containsBlanks" dxfId="15812" priority="10744">
      <formula>LEN(TRIM(M104))=0</formula>
    </cfRule>
    <cfRule type="containsBlanks" dxfId="15811" priority="10745">
      <formula>LEN(TRIM(M104))=0</formula>
    </cfRule>
    <cfRule type="containsBlanks" dxfId="15810" priority="10746">
      <formula>LEN(TRIM(M104))=0</formula>
    </cfRule>
    <cfRule type="containsBlanks" dxfId="15809" priority="10747">
      <formula>LEN(TRIM(M104))=0</formula>
    </cfRule>
    <cfRule type="containsBlanks" dxfId="15808" priority="10748">
      <formula>LEN(TRIM(M104))=0</formula>
    </cfRule>
    <cfRule type="containsBlanks" dxfId="15807" priority="10749">
      <formula>LEN(TRIM(M104))=0</formula>
    </cfRule>
    <cfRule type="containsBlanks" dxfId="15806" priority="10750">
      <formula>LEN(TRIM(M104))=0</formula>
    </cfRule>
    <cfRule type="containsBlanks" dxfId="15805" priority="10751">
      <formula>LEN(TRIM(M104))=0</formula>
    </cfRule>
    <cfRule type="containsBlanks" dxfId="15804" priority="10752">
      <formula>LEN(TRIM(M104))=0</formula>
    </cfRule>
    <cfRule type="containsBlanks" dxfId="15803" priority="10753">
      <formula>LEN(TRIM(M104))=0</formula>
    </cfRule>
    <cfRule type="containsBlanks" dxfId="15802" priority="10754">
      <formula>LEN(TRIM(M104))=0</formula>
    </cfRule>
    <cfRule type="containsBlanks" dxfId="15801" priority="10755">
      <formula>LEN(TRIM(M104))=0</formula>
    </cfRule>
    <cfRule type="containsBlanks" dxfId="15800" priority="10756">
      <formula>LEN(TRIM(M104))=0</formula>
    </cfRule>
    <cfRule type="containsBlanks" dxfId="15799" priority="10757">
      <formula>LEN(TRIM(M104))=0</formula>
    </cfRule>
    <cfRule type="containsBlanks" dxfId="15798" priority="10758">
      <formula>LEN(TRIM(M104))=0</formula>
    </cfRule>
    <cfRule type="containsBlanks" dxfId="15797" priority="10759">
      <formula>LEN(TRIM(M104))=0</formula>
    </cfRule>
    <cfRule type="containsBlanks" dxfId="15796" priority="10760">
      <formula>LEN(TRIM(M104))=0</formula>
    </cfRule>
    <cfRule type="containsBlanks" dxfId="15795" priority="10761">
      <formula>LEN(TRIM(M104))=0</formula>
    </cfRule>
    <cfRule type="containsBlanks" dxfId="15794" priority="10762">
      <formula>LEN(TRIM(M104))=0</formula>
    </cfRule>
    <cfRule type="containsBlanks" dxfId="15793" priority="10763">
      <formula>LEN(TRIM(M104))=0</formula>
    </cfRule>
    <cfRule type="containsBlanks" dxfId="15792" priority="10764">
      <formula>LEN(TRIM(M104))=0</formula>
    </cfRule>
    <cfRule type="containsBlanks" dxfId="15791" priority="10765">
      <formula>LEN(TRIM(M104))=0</formula>
    </cfRule>
    <cfRule type="containsBlanks" dxfId="15790" priority="10766">
      <formula>LEN(TRIM(M104))=0</formula>
    </cfRule>
    <cfRule type="containsBlanks" dxfId="15789" priority="10767">
      <formula>LEN(TRIM(M104))=0</formula>
    </cfRule>
    <cfRule type="containsBlanks" dxfId="15788" priority="10768">
      <formula>LEN(TRIM(M104))=0</formula>
    </cfRule>
    <cfRule type="containsBlanks" dxfId="15787" priority="10769">
      <formula>LEN(TRIM(M104))=0</formula>
    </cfRule>
    <cfRule type="containsBlanks" dxfId="15786" priority="10770">
      <formula>LEN(TRIM(M104))=0</formula>
    </cfRule>
    <cfRule type="containsBlanks" dxfId="15785" priority="10771">
      <formula>LEN(TRIM(M104))=0</formula>
    </cfRule>
    <cfRule type="containsBlanks" dxfId="15784" priority="10772">
      <formula>LEN(TRIM(M104))=0</formula>
    </cfRule>
    <cfRule type="containsBlanks" dxfId="15783" priority="10773">
      <formula>LEN(TRIM(M104))=0</formula>
    </cfRule>
    <cfRule type="containsBlanks" dxfId="15782" priority="10774">
      <formula>LEN(TRIM(M104))=0</formula>
    </cfRule>
    <cfRule type="containsBlanks" dxfId="15781" priority="10775">
      <formula>LEN(TRIM(M104))=0</formula>
    </cfRule>
    <cfRule type="containsBlanks" dxfId="15780" priority="10776">
      <formula>LEN(TRIM(M104))=0</formula>
    </cfRule>
    <cfRule type="containsBlanks" dxfId="15779" priority="10777">
      <formula>LEN(TRIM(M104))=0</formula>
    </cfRule>
    <cfRule type="containsBlanks" dxfId="15778" priority="10778">
      <formula>LEN(TRIM(M104))=0</formula>
    </cfRule>
    <cfRule type="containsBlanks" dxfId="15777" priority="10779">
      <formula>LEN(TRIM(M104))=0</formula>
    </cfRule>
    <cfRule type="containsBlanks" dxfId="15776" priority="10780">
      <formula>LEN(TRIM(M104))=0</formula>
    </cfRule>
    <cfRule type="containsBlanks" dxfId="15775" priority="10781">
      <formula>LEN(TRIM(M104))=0</formula>
    </cfRule>
    <cfRule type="containsBlanks" dxfId="15774" priority="10782">
      <formula>LEN(TRIM(M104))=0</formula>
    </cfRule>
    <cfRule type="containsBlanks" dxfId="15773" priority="10783">
      <formula>LEN(TRIM(M104))=0</formula>
    </cfRule>
    <cfRule type="containsBlanks" dxfId="15772" priority="10784">
      <formula>LEN(TRIM(M104))=0</formula>
    </cfRule>
    <cfRule type="containsBlanks" dxfId="15771" priority="10785">
      <formula>LEN(TRIM(M104))=0</formula>
    </cfRule>
    <cfRule type="containsBlanks" dxfId="15770" priority="10786">
      <formula>LEN(TRIM(M104))=0</formula>
    </cfRule>
    <cfRule type="containsBlanks" dxfId="15769" priority="10787">
      <formula>LEN(TRIM(M104))=0</formula>
    </cfRule>
    <cfRule type="containsBlanks" dxfId="15768" priority="10788">
      <formula>LEN(TRIM(M104))=0</formula>
    </cfRule>
    <cfRule type="containsBlanks" dxfId="15767" priority="10789">
      <formula>LEN(TRIM(M104))=0</formula>
    </cfRule>
    <cfRule type="containsBlanks" dxfId="15766" priority="10790">
      <formula>LEN(TRIM(M104))=0</formula>
    </cfRule>
    <cfRule type="containsBlanks" dxfId="15765" priority="10791">
      <formula>LEN(TRIM(M104))=0</formula>
    </cfRule>
    <cfRule type="containsBlanks" dxfId="15764" priority="10792">
      <formula>LEN(TRIM(M104))=0</formula>
    </cfRule>
    <cfRule type="containsBlanks" dxfId="15763" priority="10793">
      <formula>LEN(TRIM(M104))=0</formula>
    </cfRule>
    <cfRule type="containsBlanks" dxfId="15762" priority="10794">
      <formula>LEN(TRIM(M104))=0</formula>
    </cfRule>
    <cfRule type="containsBlanks" dxfId="15761" priority="10795">
      <formula>LEN(TRIM(M104))=0</formula>
    </cfRule>
    <cfRule type="containsBlanks" dxfId="15760" priority="10796">
      <formula>LEN(TRIM(M104))=0</formula>
    </cfRule>
    <cfRule type="containsBlanks" dxfId="15759" priority="10797">
      <formula>LEN(TRIM(M104))=0</formula>
    </cfRule>
    <cfRule type="containsBlanks" dxfId="15758" priority="10798">
      <formula>LEN(TRIM(M104))=0</formula>
    </cfRule>
    <cfRule type="containsBlanks" dxfId="15757" priority="10799">
      <formula>LEN(TRIM(M104))=0</formula>
    </cfRule>
    <cfRule type="containsBlanks" dxfId="15756" priority="10800">
      <formula>LEN(TRIM(M104))=0</formula>
    </cfRule>
    <cfRule type="containsBlanks" dxfId="15755" priority="10801">
      <formula>LEN(TRIM(M104))=0</formula>
    </cfRule>
    <cfRule type="containsBlanks" dxfId="15754" priority="10802">
      <formula>LEN(TRIM(M104))=0</formula>
    </cfRule>
    <cfRule type="containsBlanks" dxfId="15753" priority="10803">
      <formula>LEN(TRIM(M104))=0</formula>
    </cfRule>
    <cfRule type="containsBlanks" dxfId="15752" priority="10804">
      <formula>LEN(TRIM(M104))=0</formula>
    </cfRule>
    <cfRule type="containsBlanks" dxfId="15751" priority="10805">
      <formula>LEN(TRIM(M104))=0</formula>
    </cfRule>
    <cfRule type="containsBlanks" dxfId="15750" priority="10806">
      <formula>LEN(TRIM(M104))=0</formula>
    </cfRule>
    <cfRule type="containsBlanks" dxfId="15749" priority="10807">
      <formula>LEN(TRIM(M104))=0</formula>
    </cfRule>
    <cfRule type="containsBlanks" dxfId="15748" priority="10808">
      <formula>LEN(TRIM(M104))=0</formula>
    </cfRule>
    <cfRule type="containsBlanks" dxfId="15747" priority="10809">
      <formula>LEN(TRIM(M104))=0</formula>
    </cfRule>
    <cfRule type="containsBlanks" dxfId="15746" priority="10810">
      <formula>LEN(TRIM(M104))=0</formula>
    </cfRule>
    <cfRule type="containsBlanks" dxfId="15745" priority="10811">
      <formula>LEN(TRIM(M104))=0</formula>
    </cfRule>
    <cfRule type="containsBlanks" dxfId="15744" priority="10812">
      <formula>LEN(TRIM(M104))=0</formula>
    </cfRule>
    <cfRule type="containsBlanks" dxfId="15743" priority="10813">
      <formula>LEN(TRIM(M104))=0</formula>
    </cfRule>
    <cfRule type="containsBlanks" dxfId="15742" priority="10814">
      <formula>LEN(TRIM(M104))=0</formula>
    </cfRule>
    <cfRule type="containsBlanks" dxfId="15741" priority="10815">
      <formula>LEN(TRIM(M104))=0</formula>
    </cfRule>
    <cfRule type="containsBlanks" dxfId="15740" priority="10816">
      <formula>LEN(TRIM(M104))=0</formula>
    </cfRule>
    <cfRule type="containsBlanks" dxfId="15739" priority="10817">
      <formula>LEN(TRIM(M104))=0</formula>
    </cfRule>
    <cfRule type="containsBlanks" dxfId="15738" priority="10818">
      <formula>LEN(TRIM(M104))=0</formula>
    </cfRule>
    <cfRule type="containsBlanks" dxfId="15737" priority="10819">
      <formula>LEN(TRIM(M104))=0</formula>
    </cfRule>
    <cfRule type="containsBlanks" dxfId="15736" priority="10820">
      <formula>LEN(TRIM(M104))=0</formula>
    </cfRule>
    <cfRule type="containsBlanks" dxfId="15735" priority="10821">
      <formula>LEN(TRIM(M104))=0</formula>
    </cfRule>
    <cfRule type="containsBlanks" dxfId="15734" priority="10822">
      <formula>LEN(TRIM(M104))=0</formula>
    </cfRule>
    <cfRule type="containsBlanks" dxfId="15733" priority="10823">
      <formula>LEN(TRIM(M104))=0</formula>
    </cfRule>
    <cfRule type="containsBlanks" dxfId="15732" priority="10824">
      <formula>LEN(TRIM(M104))=0</formula>
    </cfRule>
    <cfRule type="containsBlanks" dxfId="15731" priority="10825">
      <formula>LEN(TRIM(M104))=0</formula>
    </cfRule>
    <cfRule type="containsBlanks" dxfId="15730" priority="10826">
      <formula>LEN(TRIM(M104))=0</formula>
    </cfRule>
    <cfRule type="containsBlanks" dxfId="15729" priority="10827">
      <formula>LEN(TRIM(M104))=0</formula>
    </cfRule>
    <cfRule type="containsBlanks" dxfId="15728" priority="10828">
      <formula>LEN(TRIM(M104))=0</formula>
    </cfRule>
    <cfRule type="containsBlanks" dxfId="15727" priority="10829">
      <formula>LEN(TRIM(M104))=0</formula>
    </cfRule>
    <cfRule type="containsBlanks" dxfId="15726" priority="10830">
      <formula>LEN(TRIM(M104))=0</formula>
    </cfRule>
    <cfRule type="containsBlanks" dxfId="15725" priority="10831">
      <formula>LEN(TRIM(M104))=0</formula>
    </cfRule>
    <cfRule type="containsBlanks" dxfId="15724" priority="10832">
      <formula>LEN(TRIM(M104))=0</formula>
    </cfRule>
    <cfRule type="containsBlanks" dxfId="15723" priority="10833">
      <formula>LEN(TRIM(M104))=0</formula>
    </cfRule>
    <cfRule type="containsBlanks" dxfId="15722" priority="10834">
      <formula>LEN(TRIM(M104))=0</formula>
    </cfRule>
    <cfRule type="containsBlanks" dxfId="15721" priority="10835">
      <formula>LEN(TRIM(M104))=0</formula>
    </cfRule>
    <cfRule type="containsBlanks" dxfId="15720" priority="10836">
      <formula>LEN(TRIM(M104))=0</formula>
    </cfRule>
    <cfRule type="containsBlanks" dxfId="15719" priority="10837">
      <formula>LEN(TRIM(M104))=0</formula>
    </cfRule>
    <cfRule type="containsBlanks" dxfId="15718" priority="10838">
      <formula>LEN(TRIM(M104))=0</formula>
    </cfRule>
    <cfRule type="containsBlanks" dxfId="15717" priority="10839">
      <formula>LEN(TRIM(M104))=0</formula>
    </cfRule>
    <cfRule type="containsBlanks" dxfId="15716" priority="10840">
      <formula>LEN(TRIM(M104))=0</formula>
    </cfRule>
    <cfRule type="containsBlanks" dxfId="15715" priority="10841">
      <formula>LEN(TRIM(M104))=0</formula>
    </cfRule>
    <cfRule type="containsBlanks" dxfId="15714" priority="10842">
      <formula>LEN(TRIM(M104))=0</formula>
    </cfRule>
    <cfRule type="containsBlanks" dxfId="15713" priority="10843">
      <formula>LEN(TRIM(M104))=0</formula>
    </cfRule>
    <cfRule type="containsBlanks" dxfId="15712" priority="10844">
      <formula>LEN(TRIM(M104))=0</formula>
    </cfRule>
    <cfRule type="containsBlanks" dxfId="15711" priority="10845">
      <formula>LEN(TRIM(M104))=0</formula>
    </cfRule>
    <cfRule type="containsBlanks" dxfId="15710" priority="10846">
      <formula>LEN(TRIM(M104))=0</formula>
    </cfRule>
    <cfRule type="containsBlanks" dxfId="15709" priority="10847">
      <formula>LEN(TRIM(M104))=0</formula>
    </cfRule>
    <cfRule type="containsBlanks" dxfId="15708" priority="10848">
      <formula>LEN(TRIM(M104))=0</formula>
    </cfRule>
    <cfRule type="containsBlanks" dxfId="15707" priority="10849">
      <formula>LEN(TRIM(M104))=0</formula>
    </cfRule>
    <cfRule type="containsBlanks" dxfId="15706" priority="10850">
      <formula>LEN(TRIM(M104))=0</formula>
    </cfRule>
    <cfRule type="containsBlanks" dxfId="15705" priority="10851">
      <formula>LEN(TRIM(M104))=0</formula>
    </cfRule>
    <cfRule type="containsBlanks" dxfId="15704" priority="10852">
      <formula>LEN(TRIM(M104))=0</formula>
    </cfRule>
    <cfRule type="containsBlanks" dxfId="15703" priority="10853">
      <formula>LEN(TRIM(M104))=0</formula>
    </cfRule>
    <cfRule type="containsBlanks" dxfId="15702" priority="10854">
      <formula>LEN(TRIM(M104))=0</formula>
    </cfRule>
    <cfRule type="containsBlanks" dxfId="15701" priority="10855">
      <formula>LEN(TRIM(M104))=0</formula>
    </cfRule>
    <cfRule type="containsBlanks" dxfId="15700" priority="10856">
      <formula>LEN(TRIM(M104))=0</formula>
    </cfRule>
    <cfRule type="containsBlanks" dxfId="15699" priority="10857">
      <formula>LEN(TRIM(M104))=0</formula>
    </cfRule>
    <cfRule type="containsBlanks" dxfId="15698" priority="10858">
      <formula>LEN(TRIM(M104))=0</formula>
    </cfRule>
    <cfRule type="containsBlanks" dxfId="15697" priority="10859">
      <formula>LEN(TRIM(M104))=0</formula>
    </cfRule>
    <cfRule type="containsBlanks" dxfId="15696" priority="10860">
      <formula>LEN(TRIM(M104))=0</formula>
    </cfRule>
    <cfRule type="containsBlanks" dxfId="15695" priority="10861">
      <formula>LEN(TRIM(M104))=0</formula>
    </cfRule>
    <cfRule type="containsBlanks" dxfId="15694" priority="10862">
      <formula>LEN(TRIM(M104))=0</formula>
    </cfRule>
    <cfRule type="containsBlanks" dxfId="15693" priority="10863">
      <formula>LEN(TRIM(M104))=0</formula>
    </cfRule>
    <cfRule type="containsBlanks" dxfId="15692" priority="10864">
      <formula>LEN(TRIM(M104))=0</formula>
    </cfRule>
    <cfRule type="containsBlanks" dxfId="15691" priority="10865">
      <formula>LEN(TRIM(M104))=0</formula>
    </cfRule>
    <cfRule type="containsBlanks" dxfId="15690" priority="10866">
      <formula>LEN(TRIM(M104))=0</formula>
    </cfRule>
    <cfRule type="containsBlanks" dxfId="15689" priority="10867">
      <formula>LEN(TRIM(M104))=0</formula>
    </cfRule>
    <cfRule type="containsBlanks" dxfId="15688" priority="10868">
      <formula>LEN(TRIM(M104))=0</formula>
    </cfRule>
    <cfRule type="containsBlanks" dxfId="15687" priority="10869">
      <formula>LEN(TRIM(M104))=0</formula>
    </cfRule>
    <cfRule type="containsBlanks" dxfId="15686" priority="10870">
      <formula>LEN(TRIM(M104))=0</formula>
    </cfRule>
    <cfRule type="containsBlanks" dxfId="15685" priority="10871">
      <formula>LEN(TRIM(M104))=0</formula>
    </cfRule>
    <cfRule type="containsBlanks" dxfId="15684" priority="10872">
      <formula>LEN(TRIM(M104))=0</formula>
    </cfRule>
    <cfRule type="containsBlanks" dxfId="15683" priority="10873">
      <formula>LEN(TRIM(M104))=0</formula>
    </cfRule>
    <cfRule type="containsBlanks" dxfId="15682" priority="10874">
      <formula>LEN(TRIM(M104))=0</formula>
    </cfRule>
    <cfRule type="containsBlanks" dxfId="15681" priority="10875">
      <formula>LEN(TRIM(M104))=0</formula>
    </cfRule>
    <cfRule type="containsBlanks" dxfId="15680" priority="10876">
      <formula>LEN(TRIM(M104))=0</formula>
    </cfRule>
    <cfRule type="containsBlanks" dxfId="15679" priority="10877">
      <formula>LEN(TRIM(M104))=0</formula>
    </cfRule>
    <cfRule type="containsBlanks" dxfId="15678" priority="10878">
      <formula>LEN(TRIM(M104))=0</formula>
    </cfRule>
    <cfRule type="containsBlanks" dxfId="15677" priority="10879">
      <formula>LEN(TRIM(M104))=0</formula>
    </cfRule>
    <cfRule type="containsBlanks" dxfId="15676" priority="10880">
      <formula>LEN(TRIM(M104))=0</formula>
    </cfRule>
    <cfRule type="containsBlanks" dxfId="15675" priority="10881">
      <formula>LEN(TRIM(M104))=0</formula>
    </cfRule>
    <cfRule type="containsBlanks" dxfId="15674" priority="10882">
      <formula>LEN(TRIM(M104))=0</formula>
    </cfRule>
    <cfRule type="containsBlanks" dxfId="15673" priority="10883">
      <formula>LEN(TRIM(M104))=0</formula>
    </cfRule>
    <cfRule type="containsBlanks" dxfId="15672" priority="10884">
      <formula>LEN(TRIM(M104))=0</formula>
    </cfRule>
    <cfRule type="containsBlanks" dxfId="15671" priority="10885">
      <formula>LEN(TRIM(M104))=0</formula>
    </cfRule>
    <cfRule type="containsBlanks" dxfId="15670" priority="10886">
      <formula>LEN(TRIM(M104))=0</formula>
    </cfRule>
    <cfRule type="containsBlanks" dxfId="15669" priority="10887">
      <formula>LEN(TRIM(M104))=0</formula>
    </cfRule>
    <cfRule type="containsBlanks" dxfId="15668" priority="10888">
      <formula>LEN(TRIM(M104))=0</formula>
    </cfRule>
    <cfRule type="containsBlanks" dxfId="15667" priority="10889">
      <formula>LEN(TRIM(M104))=0</formula>
    </cfRule>
    <cfRule type="containsBlanks" dxfId="15666" priority="10890">
      <formula>LEN(TRIM(M104))=0</formula>
    </cfRule>
    <cfRule type="containsBlanks" dxfId="15665" priority="10891">
      <formula>LEN(TRIM(M104))=0</formula>
    </cfRule>
    <cfRule type="containsBlanks" dxfId="15664" priority="10892">
      <formula>LEN(TRIM(M104))=0</formula>
    </cfRule>
    <cfRule type="containsBlanks" dxfId="15663" priority="10893">
      <formula>LEN(TRIM(M104))=0</formula>
    </cfRule>
    <cfRule type="containsBlanks" dxfId="15662" priority="10894">
      <formula>LEN(TRIM(M104))=0</formula>
    </cfRule>
    <cfRule type="containsBlanks" dxfId="15661" priority="10895">
      <formula>LEN(TRIM(M104))=0</formula>
    </cfRule>
    <cfRule type="containsBlanks" dxfId="15660" priority="10896">
      <formula>LEN(TRIM(M104))=0</formula>
    </cfRule>
    <cfRule type="containsBlanks" dxfId="15659" priority="10897">
      <formula>LEN(TRIM(M104))=0</formula>
    </cfRule>
    <cfRule type="containsBlanks" dxfId="15658" priority="10898">
      <formula>LEN(TRIM(M104))=0</formula>
    </cfRule>
    <cfRule type="containsBlanks" dxfId="15657" priority="10899">
      <formula>LEN(TRIM(M104))=0</formula>
    </cfRule>
    <cfRule type="containsBlanks" dxfId="15656" priority="10900">
      <formula>LEN(TRIM(M104))=0</formula>
    </cfRule>
    <cfRule type="containsBlanks" dxfId="15655" priority="10901">
      <formula>LEN(TRIM(M104))=0</formula>
    </cfRule>
    <cfRule type="containsBlanks" dxfId="15654" priority="10902">
      <formula>LEN(TRIM(M104))=0</formula>
    </cfRule>
    <cfRule type="containsBlanks" dxfId="15653" priority="10903">
      <formula>LEN(TRIM(M104))=0</formula>
    </cfRule>
    <cfRule type="containsBlanks" dxfId="15652" priority="10904">
      <formula>LEN(TRIM(M104))=0</formula>
    </cfRule>
    <cfRule type="containsBlanks" dxfId="15651" priority="10905">
      <formula>LEN(TRIM(M104))=0</formula>
    </cfRule>
    <cfRule type="containsBlanks" dxfId="15650" priority="10906">
      <formula>LEN(TRIM(M104))=0</formula>
    </cfRule>
    <cfRule type="containsBlanks" dxfId="15649" priority="10907">
      <formula>LEN(TRIM(M104))=0</formula>
    </cfRule>
    <cfRule type="containsBlanks" dxfId="15648" priority="10908">
      <formula>LEN(TRIM(M104))=0</formula>
    </cfRule>
    <cfRule type="containsBlanks" dxfId="15647" priority="10909">
      <formula>LEN(TRIM(M104))=0</formula>
    </cfRule>
    <cfRule type="containsBlanks" dxfId="15646" priority="10910">
      <formula>LEN(TRIM(M104))=0</formula>
    </cfRule>
    <cfRule type="containsBlanks" dxfId="15645" priority="10911">
      <formula>LEN(TRIM(M104))=0</formula>
    </cfRule>
    <cfRule type="containsBlanks" dxfId="15644" priority="10912">
      <formula>LEN(TRIM(M104))=0</formula>
    </cfRule>
    <cfRule type="containsBlanks" dxfId="15643" priority="10913">
      <formula>LEN(TRIM(M104))=0</formula>
    </cfRule>
    <cfRule type="containsBlanks" dxfId="15642" priority="10914">
      <formula>LEN(TRIM(M104))=0</formula>
    </cfRule>
    <cfRule type="containsBlanks" dxfId="15641" priority="10915">
      <formula>LEN(TRIM(M104))=0</formula>
    </cfRule>
    <cfRule type="containsBlanks" dxfId="15640" priority="10916">
      <formula>LEN(TRIM(M104))=0</formula>
    </cfRule>
    <cfRule type="containsBlanks" dxfId="15639" priority="10917">
      <formula>LEN(TRIM(M104))=0</formula>
    </cfRule>
    <cfRule type="containsBlanks" dxfId="15638" priority="10918">
      <formula>LEN(TRIM(M104))=0</formula>
    </cfRule>
    <cfRule type="containsBlanks" dxfId="15637" priority="10919">
      <formula>LEN(TRIM(M104))=0</formula>
    </cfRule>
    <cfRule type="containsBlanks" dxfId="15636" priority="10920">
      <formula>LEN(TRIM(M104))=0</formula>
    </cfRule>
    <cfRule type="containsBlanks" dxfId="15635" priority="10921">
      <formula>LEN(TRIM(M104))=0</formula>
    </cfRule>
    <cfRule type="containsBlanks" dxfId="15634" priority="10922">
      <formula>LEN(TRIM(M104))=0</formula>
    </cfRule>
    <cfRule type="containsBlanks" dxfId="15633" priority="10923">
      <formula>LEN(TRIM(M104))=0</formula>
    </cfRule>
    <cfRule type="containsBlanks" dxfId="15632" priority="10924">
      <formula>LEN(TRIM(M104))=0</formula>
    </cfRule>
    <cfRule type="containsBlanks" dxfId="15631" priority="10925">
      <formula>LEN(TRIM(M104))=0</formula>
    </cfRule>
    <cfRule type="containsBlanks" dxfId="15630" priority="10926">
      <formula>LEN(TRIM(M104))=0</formula>
    </cfRule>
    <cfRule type="containsBlanks" dxfId="15629" priority="10927">
      <formula>LEN(TRIM(M104))=0</formula>
    </cfRule>
    <cfRule type="containsBlanks" dxfId="15628" priority="10928">
      <formula>LEN(TRIM(M104))=0</formula>
    </cfRule>
    <cfRule type="containsBlanks" dxfId="15627" priority="10929">
      <formula>LEN(TRIM(M104))=0</formula>
    </cfRule>
    <cfRule type="containsBlanks" dxfId="15626" priority="10930">
      <formula>LEN(TRIM(M104))=0</formula>
    </cfRule>
    <cfRule type="containsBlanks" dxfId="15625" priority="10931">
      <formula>LEN(TRIM(M104))=0</formula>
    </cfRule>
    <cfRule type="containsBlanks" dxfId="15624" priority="10932">
      <formula>LEN(TRIM(M104))=0</formula>
    </cfRule>
    <cfRule type="containsBlanks" dxfId="15623" priority="10933">
      <formula>LEN(TRIM(M104))=0</formula>
    </cfRule>
    <cfRule type="containsBlanks" dxfId="15622" priority="10934">
      <formula>LEN(TRIM(M104))=0</formula>
    </cfRule>
    <cfRule type="containsBlanks" dxfId="15621" priority="10935">
      <formula>LEN(TRIM(M104))=0</formula>
    </cfRule>
    <cfRule type="containsBlanks" dxfId="15620" priority="10936">
      <formula>LEN(TRIM(M104))=0</formula>
    </cfRule>
    <cfRule type="containsBlanks" dxfId="15619" priority="10937">
      <formula>LEN(TRIM(M104))=0</formula>
    </cfRule>
    <cfRule type="containsBlanks" dxfId="15618" priority="10938">
      <formula>LEN(TRIM(M104))=0</formula>
    </cfRule>
    <cfRule type="containsBlanks" dxfId="15617" priority="10939">
      <formula>LEN(TRIM(M104))=0</formula>
    </cfRule>
    <cfRule type="containsBlanks" dxfId="15616" priority="10940">
      <formula>LEN(TRIM(M104))=0</formula>
    </cfRule>
    <cfRule type="containsBlanks" dxfId="15615" priority="10941">
      <formula>LEN(TRIM(M104))=0</formula>
    </cfRule>
    <cfRule type="containsBlanks" dxfId="15614" priority="10942">
      <formula>LEN(TRIM(M104))=0</formula>
    </cfRule>
    <cfRule type="containsBlanks" dxfId="15613" priority="10943">
      <formula>LEN(TRIM(M104))=0</formula>
    </cfRule>
    <cfRule type="containsBlanks" dxfId="15612" priority="10944">
      <formula>LEN(TRIM(M104))=0</formula>
    </cfRule>
    <cfRule type="containsBlanks" dxfId="15611" priority="10945">
      <formula>LEN(TRIM(M104))=0</formula>
    </cfRule>
    <cfRule type="containsBlanks" dxfId="15610" priority="10946">
      <formula>LEN(TRIM(M104))=0</formula>
    </cfRule>
    <cfRule type="containsBlanks" dxfId="15609" priority="10947">
      <formula>LEN(TRIM(M104))=0</formula>
    </cfRule>
    <cfRule type="containsBlanks" dxfId="15608" priority="10948">
      <formula>LEN(TRIM(M104))=0</formula>
    </cfRule>
    <cfRule type="containsBlanks" dxfId="15607" priority="10949">
      <formula>LEN(TRIM(M104))=0</formula>
    </cfRule>
    <cfRule type="containsBlanks" dxfId="15606" priority="10950">
      <formula>LEN(TRIM(M104))=0</formula>
    </cfRule>
    <cfRule type="containsBlanks" dxfId="15605" priority="10951">
      <formula>LEN(TRIM(M104))=0</formula>
    </cfRule>
    <cfRule type="containsBlanks" dxfId="15604" priority="10952">
      <formula>LEN(TRIM(M104))=0</formula>
    </cfRule>
    <cfRule type="containsBlanks" dxfId="15603" priority="10953">
      <formula>LEN(TRIM(M104))=0</formula>
    </cfRule>
    <cfRule type="containsBlanks" dxfId="15602" priority="10954">
      <formula>LEN(TRIM(M104))=0</formula>
    </cfRule>
    <cfRule type="containsBlanks" dxfId="15601" priority="10955">
      <formula>LEN(TRIM(M104))=0</formula>
    </cfRule>
    <cfRule type="containsBlanks" dxfId="15600" priority="10956">
      <formula>LEN(TRIM(M104))=0</formula>
    </cfRule>
    <cfRule type="containsBlanks" dxfId="15599" priority="10957">
      <formula>LEN(TRIM(M104))=0</formula>
    </cfRule>
    <cfRule type="containsBlanks" dxfId="15598" priority="10958">
      <formula>LEN(TRIM(M104))=0</formula>
    </cfRule>
    <cfRule type="containsBlanks" dxfId="15597" priority="10959">
      <formula>LEN(TRIM(M104))=0</formula>
    </cfRule>
    <cfRule type="containsBlanks" dxfId="15596" priority="10960">
      <formula>LEN(TRIM(M104))=0</formula>
    </cfRule>
    <cfRule type="containsBlanks" dxfId="15595" priority="10961">
      <formula>LEN(TRIM(M104))=0</formula>
    </cfRule>
    <cfRule type="containsBlanks" dxfId="15594" priority="10962">
      <formula>LEN(TRIM(M104))=0</formula>
    </cfRule>
    <cfRule type="containsBlanks" dxfId="15593" priority="10963">
      <formula>LEN(TRIM(M104))=0</formula>
    </cfRule>
    <cfRule type="containsBlanks" dxfId="15592" priority="10964">
      <formula>LEN(TRIM(M104))=0</formula>
    </cfRule>
    <cfRule type="containsBlanks" dxfId="15591" priority="10965">
      <formula>LEN(TRIM(M104))=0</formula>
    </cfRule>
    <cfRule type="containsBlanks" dxfId="15590" priority="10966">
      <formula>LEN(TRIM(M104))=0</formula>
    </cfRule>
    <cfRule type="containsBlanks" dxfId="15589" priority="10967">
      <formula>LEN(TRIM(M104))=0</formula>
    </cfRule>
    <cfRule type="containsBlanks" dxfId="15588" priority="10968">
      <formula>LEN(TRIM(M104))=0</formula>
    </cfRule>
    <cfRule type="containsBlanks" dxfId="15587" priority="10969">
      <formula>LEN(TRIM(M104))=0</formula>
    </cfRule>
    <cfRule type="containsBlanks" dxfId="15586" priority="10970">
      <formula>LEN(TRIM(M104))=0</formula>
    </cfRule>
    <cfRule type="containsBlanks" dxfId="15585" priority="10971">
      <formula>LEN(TRIM(M104))=0</formula>
    </cfRule>
    <cfRule type="containsBlanks" dxfId="15584" priority="10972">
      <formula>LEN(TRIM(M104))=0</formula>
    </cfRule>
    <cfRule type="containsBlanks" dxfId="15583" priority="10973">
      <formula>LEN(TRIM(M104))=0</formula>
    </cfRule>
    <cfRule type="containsBlanks" dxfId="15582" priority="10974">
      <formula>LEN(TRIM(M104))=0</formula>
    </cfRule>
    <cfRule type="containsBlanks" dxfId="15581" priority="10975">
      <formula>LEN(TRIM(M104))=0</formula>
    </cfRule>
    <cfRule type="containsBlanks" dxfId="15580" priority="10976">
      <formula>LEN(TRIM(M104))=0</formula>
    </cfRule>
    <cfRule type="containsBlanks" dxfId="15579" priority="10977">
      <formula>LEN(TRIM(M104))=0</formula>
    </cfRule>
    <cfRule type="containsBlanks" dxfId="15578" priority="10978">
      <formula>LEN(TRIM(M104))=0</formula>
    </cfRule>
    <cfRule type="containsBlanks" dxfId="15577" priority="10979">
      <formula>LEN(TRIM(M104))=0</formula>
    </cfRule>
    <cfRule type="containsBlanks" dxfId="15576" priority="10980">
      <formula>LEN(TRIM(M104))=0</formula>
    </cfRule>
    <cfRule type="containsBlanks" dxfId="15575" priority="10981">
      <formula>LEN(TRIM(M104))=0</formula>
    </cfRule>
    <cfRule type="containsBlanks" dxfId="15574" priority="10982">
      <formula>LEN(TRIM(M104))=0</formula>
    </cfRule>
    <cfRule type="containsBlanks" dxfId="15573" priority="10983">
      <formula>LEN(TRIM(M104))=0</formula>
    </cfRule>
    <cfRule type="containsBlanks" dxfId="15572" priority="10984">
      <formula>LEN(TRIM(M104))=0</formula>
    </cfRule>
    <cfRule type="containsBlanks" dxfId="15571" priority="10985">
      <formula>LEN(TRIM(M104))=0</formula>
    </cfRule>
    <cfRule type="containsBlanks" dxfId="15570" priority="10986">
      <formula>LEN(TRIM(M104))=0</formula>
    </cfRule>
    <cfRule type="containsBlanks" dxfId="15569" priority="10987">
      <formula>LEN(TRIM(M104))=0</formula>
    </cfRule>
    <cfRule type="containsBlanks" dxfId="15568" priority="10988">
      <formula>LEN(TRIM(M104))=0</formula>
    </cfRule>
    <cfRule type="containsBlanks" dxfId="15567" priority="10989">
      <formula>LEN(TRIM(M104))=0</formula>
    </cfRule>
    <cfRule type="containsBlanks" dxfId="15566" priority="10990">
      <formula>LEN(TRIM(M104))=0</formula>
    </cfRule>
    <cfRule type="containsBlanks" dxfId="15565" priority="10991">
      <formula>LEN(TRIM(M104))=0</formula>
    </cfRule>
    <cfRule type="containsBlanks" dxfId="15564" priority="10992">
      <formula>LEN(TRIM(M104))=0</formula>
    </cfRule>
    <cfRule type="containsBlanks" dxfId="15563" priority="10993">
      <formula>LEN(TRIM(M104))=0</formula>
    </cfRule>
    <cfRule type="containsBlanks" dxfId="15562" priority="10994">
      <formula>LEN(TRIM(M104))=0</formula>
    </cfRule>
    <cfRule type="containsBlanks" dxfId="15561" priority="10995">
      <formula>LEN(TRIM(M104))=0</formula>
    </cfRule>
    <cfRule type="containsBlanks" dxfId="15560" priority="10996">
      <formula>LEN(TRIM(M104))=0</formula>
    </cfRule>
    <cfRule type="containsBlanks" dxfId="15559" priority="10997">
      <formula>LEN(TRIM(M104))=0</formula>
    </cfRule>
    <cfRule type="containsBlanks" dxfId="15558" priority="10998">
      <formula>LEN(TRIM(M104))=0</formula>
    </cfRule>
    <cfRule type="containsBlanks" dxfId="15557" priority="10999">
      <formula>LEN(TRIM(M104))=0</formula>
    </cfRule>
    <cfRule type="containsBlanks" dxfId="15556" priority="11000">
      <formula>LEN(TRIM(M104))=0</formula>
    </cfRule>
    <cfRule type="containsBlanks" dxfId="15555" priority="11001">
      <formula>LEN(TRIM(M104))=0</formula>
    </cfRule>
    <cfRule type="containsBlanks" dxfId="15554" priority="11002">
      <formula>LEN(TRIM(M104))=0</formula>
    </cfRule>
    <cfRule type="containsBlanks" dxfId="15553" priority="11003">
      <formula>LEN(TRIM(M104))=0</formula>
    </cfRule>
    <cfRule type="containsBlanks" dxfId="15552" priority="11004">
      <formula>LEN(TRIM(M104))=0</formula>
    </cfRule>
    <cfRule type="containsBlanks" dxfId="15551" priority="11005">
      <formula>LEN(TRIM(M104))=0</formula>
    </cfRule>
    <cfRule type="containsBlanks" dxfId="15550" priority="11006">
      <formula>LEN(TRIM(M104))=0</formula>
    </cfRule>
    <cfRule type="containsBlanks" dxfId="15549" priority="11007">
      <formula>LEN(TRIM(M104))=0</formula>
    </cfRule>
    <cfRule type="containsBlanks" dxfId="15548" priority="11008">
      <formula>LEN(TRIM(M104))=0</formula>
    </cfRule>
    <cfRule type="containsBlanks" dxfId="15547" priority="11009">
      <formula>LEN(TRIM(M104))=0</formula>
    </cfRule>
    <cfRule type="containsBlanks" dxfId="15546" priority="11010">
      <formula>LEN(TRIM(M104))=0</formula>
    </cfRule>
    <cfRule type="containsBlanks" dxfId="15545" priority="11011">
      <formula>LEN(TRIM(M104))=0</formula>
    </cfRule>
    <cfRule type="containsBlanks" dxfId="15544" priority="11012">
      <formula>LEN(TRIM(M104))=0</formula>
    </cfRule>
    <cfRule type="containsBlanks" dxfId="15543" priority="11013">
      <formula>LEN(TRIM(M104))=0</formula>
    </cfRule>
    <cfRule type="containsBlanks" dxfId="15542" priority="11014">
      <formula>LEN(TRIM(M104))=0</formula>
    </cfRule>
    <cfRule type="containsBlanks" dxfId="15541" priority="11015">
      <formula>LEN(TRIM(M104))=0</formula>
    </cfRule>
    <cfRule type="containsBlanks" dxfId="15540" priority="11016">
      <formula>LEN(TRIM(M104))=0</formula>
    </cfRule>
    <cfRule type="containsBlanks" dxfId="15539" priority="11017">
      <formula>LEN(TRIM(M104))=0</formula>
    </cfRule>
    <cfRule type="containsBlanks" dxfId="15538" priority="11018">
      <formula>LEN(TRIM(M104))=0</formula>
    </cfRule>
    <cfRule type="containsBlanks" dxfId="15537" priority="11019">
      <formula>LEN(TRIM(M104))=0</formula>
    </cfRule>
    <cfRule type="containsBlanks" dxfId="15536" priority="11020">
      <formula>LEN(TRIM(M104))=0</formula>
    </cfRule>
    <cfRule type="containsBlanks" dxfId="15535" priority="11021">
      <formula>LEN(TRIM(M104))=0</formula>
    </cfRule>
    <cfRule type="containsBlanks" dxfId="15534" priority="11022">
      <formula>LEN(TRIM(M104))=0</formula>
    </cfRule>
    <cfRule type="containsBlanks" dxfId="15533" priority="11023">
      <formula>LEN(TRIM(M104))=0</formula>
    </cfRule>
    <cfRule type="containsBlanks" dxfId="15532" priority="11024">
      <formula>LEN(TRIM(M104))=0</formula>
    </cfRule>
    <cfRule type="containsBlanks" dxfId="15531" priority="11025">
      <formula>LEN(TRIM(M104))=0</formula>
    </cfRule>
    <cfRule type="containsBlanks" dxfId="15530" priority="11026">
      <formula>LEN(TRIM(M104))=0</formula>
    </cfRule>
    <cfRule type="containsBlanks" dxfId="15529" priority="11027">
      <formula>LEN(TRIM(M104))=0</formula>
    </cfRule>
    <cfRule type="containsBlanks" dxfId="15528" priority="11028">
      <formula>LEN(TRIM(M104))=0</formula>
    </cfRule>
    <cfRule type="containsBlanks" dxfId="15527" priority="11029">
      <formula>LEN(TRIM(M104))=0</formula>
    </cfRule>
    <cfRule type="containsBlanks" dxfId="15526" priority="11030">
      <formula>LEN(TRIM(M104))=0</formula>
    </cfRule>
    <cfRule type="containsBlanks" dxfId="15525" priority="11031">
      <formula>LEN(TRIM(M104))=0</formula>
    </cfRule>
    <cfRule type="containsBlanks" dxfId="15524" priority="11032">
      <formula>LEN(TRIM(M104))=0</formula>
    </cfRule>
    <cfRule type="containsBlanks" dxfId="15523" priority="11033">
      <formula>LEN(TRIM(M104))=0</formula>
    </cfRule>
    <cfRule type="containsBlanks" dxfId="15522" priority="11034">
      <formula>LEN(TRIM(M104))=0</formula>
    </cfRule>
    <cfRule type="containsBlanks" dxfId="15521" priority="11035">
      <formula>LEN(TRIM(M104))=0</formula>
    </cfRule>
    <cfRule type="containsBlanks" dxfId="15520" priority="11036">
      <formula>LEN(TRIM(M104))=0</formula>
    </cfRule>
    <cfRule type="containsBlanks" dxfId="15519" priority="11037">
      <formula>LEN(TRIM(M104))=0</formula>
    </cfRule>
    <cfRule type="containsBlanks" dxfId="15518" priority="11038">
      <formula>LEN(TRIM(M104))=0</formula>
    </cfRule>
    <cfRule type="containsBlanks" dxfId="15517" priority="11039">
      <formula>LEN(TRIM(M104))=0</formula>
    </cfRule>
    <cfRule type="containsBlanks" dxfId="15516" priority="11040">
      <formula>LEN(TRIM(M104))=0</formula>
    </cfRule>
    <cfRule type="containsBlanks" dxfId="15515" priority="11041">
      <formula>LEN(TRIM(M104))=0</formula>
    </cfRule>
    <cfRule type="containsBlanks" dxfId="15514" priority="11042">
      <formula>LEN(TRIM(M104))=0</formula>
    </cfRule>
    <cfRule type="containsBlanks" dxfId="15513" priority="11043">
      <formula>LEN(TRIM(M104))=0</formula>
    </cfRule>
    <cfRule type="containsBlanks" dxfId="15512" priority="11044">
      <formula>LEN(TRIM(M104))=0</formula>
    </cfRule>
    <cfRule type="containsBlanks" dxfId="15511" priority="11045">
      <formula>LEN(TRIM(M104))=0</formula>
    </cfRule>
    <cfRule type="containsBlanks" dxfId="15510" priority="11046">
      <formula>LEN(TRIM(M104))=0</formula>
    </cfRule>
    <cfRule type="containsBlanks" dxfId="15509" priority="11047">
      <formula>LEN(TRIM(M104))=0</formula>
    </cfRule>
    <cfRule type="containsBlanks" dxfId="15508" priority="11048">
      <formula>LEN(TRIM(M104))=0</formula>
    </cfRule>
    <cfRule type="containsBlanks" dxfId="15507" priority="11049">
      <formula>LEN(TRIM(M104))=0</formula>
    </cfRule>
    <cfRule type="containsBlanks" dxfId="15506" priority="11050">
      <formula>LEN(TRIM(M104))=0</formula>
    </cfRule>
    <cfRule type="containsBlanks" dxfId="15505" priority="11051">
      <formula>LEN(TRIM(M104))=0</formula>
    </cfRule>
    <cfRule type="containsBlanks" dxfId="15504" priority="11052">
      <formula>LEN(TRIM(M104))=0</formula>
    </cfRule>
    <cfRule type="containsBlanks" dxfId="15503" priority="11053">
      <formula>LEN(TRIM(M104))=0</formula>
    </cfRule>
    <cfRule type="containsBlanks" dxfId="15502" priority="11054">
      <formula>LEN(TRIM(M104))=0</formula>
    </cfRule>
    <cfRule type="containsBlanks" dxfId="15501" priority="11055">
      <formula>LEN(TRIM(M104))=0</formula>
    </cfRule>
    <cfRule type="containsBlanks" dxfId="15500" priority="11056">
      <formula>LEN(TRIM(M104))=0</formula>
    </cfRule>
    <cfRule type="containsBlanks" dxfId="15499" priority="11057">
      <formula>LEN(TRIM(M104))=0</formula>
    </cfRule>
  </conditionalFormatting>
  <conditionalFormatting sqref="N99">
    <cfRule type="containsBlanks" dxfId="15498" priority="11310">
      <formula>LEN(TRIM(N99))=0</formula>
    </cfRule>
    <cfRule type="containsBlanks" dxfId="15497" priority="11311">
      <formula>LEN(TRIM(N99))=0</formula>
    </cfRule>
    <cfRule type="containsBlanks" dxfId="15496" priority="11312">
      <formula>LEN(TRIM(N99))=0</formula>
    </cfRule>
    <cfRule type="containsBlanks" dxfId="15495" priority="11313">
      <formula>LEN(TRIM(N99))=0</formula>
    </cfRule>
    <cfRule type="containsBlanks" dxfId="15494" priority="11314">
      <formula>LEN(TRIM(N99))=0</formula>
    </cfRule>
    <cfRule type="containsBlanks" dxfId="15493" priority="11315">
      <formula>LEN(TRIM(N99))=0</formula>
    </cfRule>
    <cfRule type="containsBlanks" dxfId="15492" priority="11316">
      <formula>LEN(TRIM(N99))=0</formula>
    </cfRule>
    <cfRule type="containsBlanks" dxfId="15491" priority="11317">
      <formula>LEN(TRIM(N99))=0</formula>
    </cfRule>
    <cfRule type="containsBlanks" dxfId="15490" priority="11318">
      <formula>LEN(TRIM(N99))=0</formula>
    </cfRule>
    <cfRule type="containsBlanks" dxfId="15489" priority="11319">
      <formula>LEN(TRIM(N99))=0</formula>
    </cfRule>
    <cfRule type="containsBlanks" dxfId="15488" priority="11320">
      <formula>LEN(TRIM(N99))=0</formula>
    </cfRule>
    <cfRule type="containsBlanks" dxfId="15487" priority="11321">
      <formula>LEN(TRIM(N99))=0</formula>
    </cfRule>
    <cfRule type="containsBlanks" dxfId="15486" priority="11322">
      <formula>LEN(TRIM(N99))=0</formula>
    </cfRule>
    <cfRule type="containsBlanks" dxfId="15485" priority="11323">
      <formula>LEN(TRIM(N99))=0</formula>
    </cfRule>
    <cfRule type="containsBlanks" dxfId="15484" priority="11324">
      <formula>LEN(TRIM(N99))=0</formula>
    </cfRule>
    <cfRule type="containsBlanks" dxfId="15483" priority="11325">
      <formula>LEN(TRIM(N99))=0</formula>
    </cfRule>
    <cfRule type="containsBlanks" dxfId="15482" priority="11326">
      <formula>LEN(TRIM(N99))=0</formula>
    </cfRule>
    <cfRule type="containsBlanks" dxfId="15481" priority="11327">
      <formula>LEN(TRIM(N99))=0</formula>
    </cfRule>
    <cfRule type="containsBlanks" dxfId="15480" priority="11328">
      <formula>LEN(TRIM(N99))=0</formula>
    </cfRule>
    <cfRule type="containsBlanks" dxfId="15479" priority="11329">
      <formula>LEN(TRIM(N99))=0</formula>
    </cfRule>
    <cfRule type="containsBlanks" dxfId="15478" priority="11330">
      <formula>LEN(TRIM(N99))=0</formula>
    </cfRule>
    <cfRule type="containsBlanks" dxfId="15477" priority="11331">
      <formula>LEN(TRIM(N99))=0</formula>
    </cfRule>
    <cfRule type="containsBlanks" dxfId="15476" priority="11332">
      <formula>LEN(TRIM(N99))=0</formula>
    </cfRule>
    <cfRule type="containsBlanks" dxfId="15475" priority="11333">
      <formula>LEN(TRIM(N99))=0</formula>
    </cfRule>
    <cfRule type="containsBlanks" dxfId="15474" priority="11334">
      <formula>LEN(TRIM(N99))=0</formula>
    </cfRule>
    <cfRule type="containsBlanks" dxfId="15473" priority="11335">
      <formula>LEN(TRIM(N99))=0</formula>
    </cfRule>
    <cfRule type="containsBlanks" dxfId="15472" priority="11336">
      <formula>LEN(TRIM(N99))=0</formula>
    </cfRule>
    <cfRule type="containsBlanks" dxfId="15471" priority="11337">
      <formula>LEN(TRIM(N99))=0</formula>
    </cfRule>
  </conditionalFormatting>
  <conditionalFormatting sqref="N100">
    <cfRule type="containsBlanks" dxfId="15470" priority="10370">
      <formula>LEN(TRIM(N100))=0</formula>
    </cfRule>
    <cfRule type="containsBlanks" dxfId="15469" priority="10371">
      <formula>LEN(TRIM(N100))=0</formula>
    </cfRule>
    <cfRule type="containsBlanks" dxfId="15468" priority="10372">
      <formula>LEN(TRIM(N100))=0</formula>
    </cfRule>
    <cfRule type="containsBlanks" dxfId="15467" priority="10373">
      <formula>LEN(TRIM(N100))=0</formula>
    </cfRule>
    <cfRule type="containsBlanks" dxfId="15466" priority="10374">
      <formula>LEN(TRIM(N100))=0</formula>
    </cfRule>
    <cfRule type="containsBlanks" dxfId="15465" priority="10375">
      <formula>LEN(TRIM(N100))=0</formula>
    </cfRule>
    <cfRule type="containsBlanks" dxfId="15464" priority="10376">
      <formula>LEN(TRIM(N100))=0</formula>
    </cfRule>
    <cfRule type="containsBlanks" dxfId="15463" priority="10377">
      <formula>LEN(TRIM(N100))=0</formula>
    </cfRule>
    <cfRule type="containsBlanks" dxfId="15462" priority="10378">
      <formula>LEN(TRIM(N100))=0</formula>
    </cfRule>
    <cfRule type="containsBlanks" dxfId="15461" priority="10379">
      <formula>LEN(TRIM(N100))=0</formula>
    </cfRule>
    <cfRule type="containsBlanks" dxfId="15460" priority="10380">
      <formula>LEN(TRIM(N100))=0</formula>
    </cfRule>
    <cfRule type="containsBlanks" dxfId="15459" priority="10381">
      <formula>LEN(TRIM(N100))=0</formula>
    </cfRule>
    <cfRule type="containsBlanks" dxfId="15458" priority="10382">
      <formula>LEN(TRIM(N100))=0</formula>
    </cfRule>
    <cfRule type="containsBlanks" dxfId="15457" priority="10383">
      <formula>LEN(TRIM(N100))=0</formula>
    </cfRule>
    <cfRule type="containsBlanks" dxfId="15456" priority="10384">
      <formula>LEN(TRIM(N100))=0</formula>
    </cfRule>
    <cfRule type="containsBlanks" dxfId="15455" priority="10385">
      <formula>LEN(TRIM(N100))=0</formula>
    </cfRule>
    <cfRule type="containsBlanks" dxfId="15454" priority="10386">
      <formula>LEN(TRIM(N100))=0</formula>
    </cfRule>
    <cfRule type="containsBlanks" dxfId="15453" priority="10387">
      <formula>LEN(TRIM(N100))=0</formula>
    </cfRule>
    <cfRule type="containsBlanks" dxfId="15452" priority="10388">
      <formula>LEN(TRIM(N100))=0</formula>
    </cfRule>
    <cfRule type="containsBlanks" dxfId="15451" priority="10389">
      <formula>LEN(TRIM(N100))=0</formula>
    </cfRule>
    <cfRule type="containsBlanks" dxfId="15450" priority="10390">
      <formula>LEN(TRIM(N100))=0</formula>
    </cfRule>
    <cfRule type="containsBlanks" dxfId="15449" priority="10391">
      <formula>LEN(TRIM(N100))=0</formula>
    </cfRule>
    <cfRule type="containsBlanks" dxfId="15448" priority="10392">
      <formula>LEN(TRIM(N100))=0</formula>
    </cfRule>
    <cfRule type="containsBlanks" dxfId="15447" priority="10393">
      <formula>LEN(TRIM(N100))=0</formula>
    </cfRule>
    <cfRule type="containsBlanks" dxfId="15446" priority="10394">
      <formula>LEN(TRIM(N100))=0</formula>
    </cfRule>
    <cfRule type="containsBlanks" dxfId="15445" priority="10395">
      <formula>LEN(TRIM(N100))=0</formula>
    </cfRule>
    <cfRule type="containsBlanks" dxfId="15444" priority="10396">
      <formula>LEN(TRIM(N100))=0</formula>
    </cfRule>
    <cfRule type="containsBlanks" dxfId="15443" priority="10397">
      <formula>LEN(TRIM(N100))=0</formula>
    </cfRule>
    <cfRule type="containsBlanks" dxfId="15442" priority="10398">
      <formula>LEN(TRIM(N100))=0</formula>
    </cfRule>
    <cfRule type="containsBlanks" dxfId="15441" priority="10399">
      <formula>LEN(TRIM(N100))=0</formula>
    </cfRule>
    <cfRule type="containsBlanks" dxfId="15440" priority="10400">
      <formula>LEN(TRIM(N100))=0</formula>
    </cfRule>
    <cfRule type="containsBlanks" dxfId="15439" priority="10401">
      <formula>LEN(TRIM(N100))=0</formula>
    </cfRule>
    <cfRule type="containsBlanks" dxfId="15438" priority="10402">
      <formula>LEN(TRIM(N100))=0</formula>
    </cfRule>
    <cfRule type="containsBlanks" dxfId="15437" priority="10403">
      <formula>LEN(TRIM(N100))=0</formula>
    </cfRule>
    <cfRule type="containsBlanks" dxfId="15436" priority="10404">
      <formula>LEN(TRIM(N100))=0</formula>
    </cfRule>
    <cfRule type="containsBlanks" dxfId="15435" priority="10405">
      <formula>LEN(TRIM(N100))=0</formula>
    </cfRule>
    <cfRule type="containsBlanks" dxfId="15434" priority="10406">
      <formula>LEN(TRIM(N100))=0</formula>
    </cfRule>
    <cfRule type="containsBlanks" dxfId="15433" priority="10407">
      <formula>LEN(TRIM(N100))=0</formula>
    </cfRule>
    <cfRule type="containsBlanks" dxfId="15432" priority="10408">
      <formula>LEN(TRIM(N100))=0</formula>
    </cfRule>
    <cfRule type="containsBlanks" dxfId="15431" priority="10409">
      <formula>LEN(TRIM(N100))=0</formula>
    </cfRule>
    <cfRule type="containsBlanks" dxfId="15430" priority="10410">
      <formula>LEN(TRIM(N100))=0</formula>
    </cfRule>
    <cfRule type="containsBlanks" dxfId="15429" priority="10411">
      <formula>LEN(TRIM(N100))=0</formula>
    </cfRule>
    <cfRule type="containsBlanks" dxfId="15428" priority="10412">
      <formula>LEN(TRIM(N100))=0</formula>
    </cfRule>
    <cfRule type="containsBlanks" dxfId="15427" priority="10413">
      <formula>LEN(TRIM(N100))=0</formula>
    </cfRule>
    <cfRule type="containsBlanks" dxfId="15426" priority="10414">
      <formula>LEN(TRIM(N100))=0</formula>
    </cfRule>
    <cfRule type="containsBlanks" dxfId="15425" priority="10415">
      <formula>LEN(TRIM(N100))=0</formula>
    </cfRule>
    <cfRule type="containsBlanks" dxfId="15424" priority="10416">
      <formula>LEN(TRIM(N100))=0</formula>
    </cfRule>
    <cfRule type="containsBlanks" dxfId="15423" priority="10417">
      <formula>LEN(TRIM(N100))=0</formula>
    </cfRule>
    <cfRule type="containsBlanks" dxfId="15422" priority="10418">
      <formula>LEN(TRIM(N100))=0</formula>
    </cfRule>
    <cfRule type="containsBlanks" dxfId="15421" priority="10419">
      <formula>LEN(TRIM(N100))=0</formula>
    </cfRule>
    <cfRule type="containsBlanks" dxfId="15420" priority="10420">
      <formula>LEN(TRIM(N100))=0</formula>
    </cfRule>
    <cfRule type="containsBlanks" dxfId="15419" priority="10421">
      <formula>LEN(TRIM(N100))=0</formula>
    </cfRule>
    <cfRule type="containsBlanks" dxfId="15418" priority="10422">
      <formula>LEN(TRIM(N100))=0</formula>
    </cfRule>
    <cfRule type="containsBlanks" dxfId="15417" priority="10423">
      <formula>LEN(TRIM(N100))=0</formula>
    </cfRule>
    <cfRule type="containsBlanks" dxfId="15416" priority="10424">
      <formula>LEN(TRIM(N100))=0</formula>
    </cfRule>
    <cfRule type="containsBlanks" dxfId="15415" priority="10425">
      <formula>LEN(TRIM(N100))=0</formula>
    </cfRule>
    <cfRule type="containsBlanks" dxfId="15414" priority="10426">
      <formula>LEN(TRIM(N100))=0</formula>
    </cfRule>
    <cfRule type="containsBlanks" dxfId="15413" priority="10427">
      <formula>LEN(TRIM(N100))=0</formula>
    </cfRule>
    <cfRule type="containsBlanks" dxfId="15412" priority="10428">
      <formula>LEN(TRIM(N100))=0</formula>
    </cfRule>
    <cfRule type="containsBlanks" dxfId="15411" priority="10429">
      <formula>LEN(TRIM(N100))=0</formula>
    </cfRule>
    <cfRule type="containsBlanks" dxfId="15410" priority="10430">
      <formula>LEN(TRIM(N100))=0</formula>
    </cfRule>
    <cfRule type="containsBlanks" dxfId="15409" priority="10431">
      <formula>LEN(TRIM(N100))=0</formula>
    </cfRule>
    <cfRule type="containsBlanks" dxfId="15408" priority="10432">
      <formula>LEN(TRIM(N100))=0</formula>
    </cfRule>
    <cfRule type="containsBlanks" dxfId="15407" priority="10433">
      <formula>LEN(TRIM(N100))=0</formula>
    </cfRule>
    <cfRule type="containsBlanks" dxfId="15406" priority="10434">
      <formula>LEN(TRIM(N100))=0</formula>
    </cfRule>
    <cfRule type="containsBlanks" dxfId="15405" priority="10435">
      <formula>LEN(TRIM(N100))=0</formula>
    </cfRule>
    <cfRule type="containsBlanks" dxfId="15404" priority="10436">
      <formula>LEN(TRIM(N100))=0</formula>
    </cfRule>
    <cfRule type="containsBlanks" dxfId="15403" priority="10437">
      <formula>LEN(TRIM(N100))=0</formula>
    </cfRule>
    <cfRule type="containsBlanks" dxfId="15402" priority="10438">
      <formula>LEN(TRIM(N100))=0</formula>
    </cfRule>
    <cfRule type="containsBlanks" dxfId="15401" priority="10439">
      <formula>LEN(TRIM(N100))=0</formula>
    </cfRule>
    <cfRule type="containsBlanks" dxfId="15400" priority="10440">
      <formula>LEN(TRIM(N100))=0</formula>
    </cfRule>
    <cfRule type="containsBlanks" dxfId="15399" priority="10441">
      <formula>LEN(TRIM(N100))=0</formula>
    </cfRule>
    <cfRule type="containsBlanks" dxfId="15398" priority="10442">
      <formula>LEN(TRIM(N100))=0</formula>
    </cfRule>
    <cfRule type="containsBlanks" dxfId="15397" priority="10443">
      <formula>LEN(TRIM(N100))=0</formula>
    </cfRule>
    <cfRule type="containsBlanks" dxfId="15396" priority="10444">
      <formula>LEN(TRIM(N100))=0</formula>
    </cfRule>
    <cfRule type="containsBlanks" dxfId="15395" priority="10445">
      <formula>LEN(TRIM(N100))=0</formula>
    </cfRule>
    <cfRule type="containsBlanks" dxfId="15394" priority="10446">
      <formula>LEN(TRIM(N100))=0</formula>
    </cfRule>
    <cfRule type="containsBlanks" dxfId="15393" priority="10447">
      <formula>LEN(TRIM(N100))=0</formula>
    </cfRule>
    <cfRule type="containsBlanks" dxfId="15392" priority="10448">
      <formula>LEN(TRIM(N100))=0</formula>
    </cfRule>
    <cfRule type="containsBlanks" dxfId="15391" priority="10449">
      <formula>LEN(TRIM(N100))=0</formula>
    </cfRule>
    <cfRule type="containsBlanks" dxfId="15390" priority="10450">
      <formula>LEN(TRIM(N100))=0</formula>
    </cfRule>
    <cfRule type="containsBlanks" dxfId="15389" priority="10451">
      <formula>LEN(TRIM(N100))=0</formula>
    </cfRule>
    <cfRule type="containsBlanks" dxfId="15388" priority="10452">
      <formula>LEN(TRIM(N100))=0</formula>
    </cfRule>
    <cfRule type="containsBlanks" dxfId="15387" priority="10453">
      <formula>LEN(TRIM(N100))=0</formula>
    </cfRule>
    <cfRule type="containsBlanks" dxfId="15386" priority="10454">
      <formula>LEN(TRIM(N100))=0</formula>
    </cfRule>
    <cfRule type="containsBlanks" dxfId="15385" priority="10455">
      <formula>LEN(TRIM(N100))=0</formula>
    </cfRule>
    <cfRule type="containsBlanks" dxfId="15384" priority="10456">
      <formula>LEN(TRIM(N100))=0</formula>
    </cfRule>
    <cfRule type="containsBlanks" dxfId="15383" priority="10457">
      <formula>LEN(TRIM(N100))=0</formula>
    </cfRule>
    <cfRule type="containsBlanks" dxfId="15382" priority="10458">
      <formula>LEN(TRIM(N100))=0</formula>
    </cfRule>
    <cfRule type="containsBlanks" dxfId="15381" priority="10459">
      <formula>LEN(TRIM(N100))=0</formula>
    </cfRule>
    <cfRule type="containsBlanks" dxfId="15380" priority="10460">
      <formula>LEN(TRIM(N100))=0</formula>
    </cfRule>
    <cfRule type="containsBlanks" dxfId="15379" priority="10461">
      <formula>LEN(TRIM(N100))=0</formula>
    </cfRule>
    <cfRule type="containsBlanks" dxfId="15378" priority="10462">
      <formula>LEN(TRIM(N100))=0</formula>
    </cfRule>
    <cfRule type="containsBlanks" dxfId="15377" priority="10463">
      <formula>LEN(TRIM(N100))=0</formula>
    </cfRule>
    <cfRule type="containsBlanks" dxfId="15376" priority="10464">
      <formula>LEN(TRIM(N100))=0</formula>
    </cfRule>
    <cfRule type="containsBlanks" dxfId="15375" priority="10465">
      <formula>LEN(TRIM(N100))=0</formula>
    </cfRule>
    <cfRule type="containsBlanks" dxfId="15374" priority="10466">
      <formula>LEN(TRIM(N100))=0</formula>
    </cfRule>
    <cfRule type="containsBlanks" dxfId="15373" priority="10467">
      <formula>LEN(TRIM(N100))=0</formula>
    </cfRule>
    <cfRule type="containsBlanks" dxfId="15372" priority="10468">
      <formula>LEN(TRIM(N100))=0</formula>
    </cfRule>
    <cfRule type="containsBlanks" dxfId="15371" priority="10469">
      <formula>LEN(TRIM(N100))=0</formula>
    </cfRule>
    <cfRule type="containsBlanks" dxfId="15370" priority="10470">
      <formula>LEN(TRIM(N100))=0</formula>
    </cfRule>
    <cfRule type="containsBlanks" dxfId="15369" priority="10471">
      <formula>LEN(TRIM(N100))=0</formula>
    </cfRule>
    <cfRule type="containsBlanks" dxfId="15368" priority="10472">
      <formula>LEN(TRIM(N100))=0</formula>
    </cfRule>
    <cfRule type="containsBlanks" dxfId="15367" priority="10473">
      <formula>LEN(TRIM(N100))=0</formula>
    </cfRule>
    <cfRule type="containsBlanks" dxfId="15366" priority="10474">
      <formula>LEN(TRIM(N100))=0</formula>
    </cfRule>
    <cfRule type="containsBlanks" dxfId="15365" priority="10475">
      <formula>LEN(TRIM(N100))=0</formula>
    </cfRule>
    <cfRule type="containsBlanks" dxfId="15364" priority="10476">
      <formula>LEN(TRIM(N100))=0</formula>
    </cfRule>
    <cfRule type="containsBlanks" dxfId="15363" priority="10477">
      <formula>LEN(TRIM(N100))=0</formula>
    </cfRule>
    <cfRule type="containsBlanks" dxfId="15362" priority="10478">
      <formula>LEN(TRIM(N100))=0</formula>
    </cfRule>
    <cfRule type="containsBlanks" dxfId="15361" priority="10479">
      <formula>LEN(TRIM(N100))=0</formula>
    </cfRule>
    <cfRule type="containsBlanks" dxfId="15360" priority="10480">
      <formula>LEN(TRIM(N100))=0</formula>
    </cfRule>
    <cfRule type="containsBlanks" dxfId="15359" priority="10481">
      <formula>LEN(TRIM(N100))=0</formula>
    </cfRule>
    <cfRule type="containsBlanks" dxfId="15358" priority="10482">
      <formula>LEN(TRIM(N100))=0</formula>
    </cfRule>
    <cfRule type="containsBlanks" dxfId="15357" priority="10483">
      <formula>LEN(TRIM(N100))=0</formula>
    </cfRule>
    <cfRule type="containsBlanks" dxfId="15356" priority="10484">
      <formula>LEN(TRIM(N100))=0</formula>
    </cfRule>
    <cfRule type="containsBlanks" dxfId="15355" priority="10485">
      <formula>LEN(TRIM(N100))=0</formula>
    </cfRule>
    <cfRule type="containsBlanks" dxfId="15354" priority="10486">
      <formula>LEN(TRIM(N100))=0</formula>
    </cfRule>
    <cfRule type="containsBlanks" dxfId="15353" priority="10487">
      <formula>LEN(TRIM(N100))=0</formula>
    </cfRule>
    <cfRule type="containsBlanks" dxfId="15352" priority="10488">
      <formula>LEN(TRIM(N100))=0</formula>
    </cfRule>
    <cfRule type="containsBlanks" dxfId="15351" priority="10489">
      <formula>LEN(TRIM(N100))=0</formula>
    </cfRule>
    <cfRule type="containsBlanks" dxfId="15350" priority="10490">
      <formula>LEN(TRIM(N100))=0</formula>
    </cfRule>
    <cfRule type="containsBlanks" dxfId="15349" priority="10491">
      <formula>LEN(TRIM(N100))=0</formula>
    </cfRule>
    <cfRule type="containsBlanks" dxfId="15348" priority="10492">
      <formula>LEN(TRIM(N100))=0</formula>
    </cfRule>
    <cfRule type="containsBlanks" dxfId="15347" priority="10493">
      <formula>LEN(TRIM(N100))=0</formula>
    </cfRule>
    <cfRule type="containsBlanks" dxfId="15346" priority="10494">
      <formula>LEN(TRIM(N100))=0</formula>
    </cfRule>
    <cfRule type="containsBlanks" dxfId="15345" priority="10495">
      <formula>LEN(TRIM(N100))=0</formula>
    </cfRule>
    <cfRule type="containsBlanks" dxfId="15344" priority="10496">
      <formula>LEN(TRIM(N100))=0</formula>
    </cfRule>
    <cfRule type="containsBlanks" dxfId="15343" priority="10497">
      <formula>LEN(TRIM(N100))=0</formula>
    </cfRule>
    <cfRule type="containsBlanks" dxfId="15342" priority="10498">
      <formula>LEN(TRIM(N100))=0</formula>
    </cfRule>
    <cfRule type="containsBlanks" dxfId="15341" priority="10499">
      <formula>LEN(TRIM(N100))=0</formula>
    </cfRule>
    <cfRule type="containsBlanks" dxfId="15340" priority="10500">
      <formula>LEN(TRIM(N100))=0</formula>
    </cfRule>
    <cfRule type="containsBlanks" dxfId="15339" priority="10501">
      <formula>LEN(TRIM(N100))=0</formula>
    </cfRule>
    <cfRule type="containsBlanks" dxfId="15338" priority="10502">
      <formula>LEN(TRIM(N100))=0</formula>
    </cfRule>
    <cfRule type="containsBlanks" dxfId="15337" priority="10503">
      <formula>LEN(TRIM(N100))=0</formula>
    </cfRule>
    <cfRule type="containsBlanks" dxfId="15336" priority="10504">
      <formula>LEN(TRIM(N100))=0</formula>
    </cfRule>
    <cfRule type="containsBlanks" dxfId="15335" priority="10505">
      <formula>LEN(TRIM(N100))=0</formula>
    </cfRule>
    <cfRule type="containsBlanks" dxfId="15334" priority="10506">
      <formula>LEN(TRIM(N100))=0</formula>
    </cfRule>
    <cfRule type="containsBlanks" dxfId="15333" priority="10507">
      <formula>LEN(TRIM(N100))=0</formula>
    </cfRule>
    <cfRule type="containsBlanks" dxfId="15332" priority="10508">
      <formula>LEN(TRIM(N100))=0</formula>
    </cfRule>
    <cfRule type="containsBlanks" dxfId="15331" priority="10509">
      <formula>LEN(TRIM(N100))=0</formula>
    </cfRule>
    <cfRule type="containsBlanks" dxfId="15330" priority="10510">
      <formula>LEN(TRIM(N100))=0</formula>
    </cfRule>
    <cfRule type="containsBlanks" dxfId="15329" priority="10511">
      <formula>LEN(TRIM(N100))=0</formula>
    </cfRule>
    <cfRule type="containsBlanks" dxfId="15328" priority="10512">
      <formula>LEN(TRIM(N100))=0</formula>
    </cfRule>
    <cfRule type="containsBlanks" dxfId="15327" priority="10513">
      <formula>LEN(TRIM(N100))=0</formula>
    </cfRule>
    <cfRule type="containsBlanks" dxfId="15326" priority="10514">
      <formula>LEN(TRIM(N100))=0</formula>
    </cfRule>
    <cfRule type="containsBlanks" dxfId="15325" priority="10515">
      <formula>LEN(TRIM(N100))=0</formula>
    </cfRule>
    <cfRule type="containsBlanks" dxfId="15324" priority="10516">
      <formula>LEN(TRIM(N100))=0</formula>
    </cfRule>
    <cfRule type="containsBlanks" dxfId="15323" priority="10517">
      <formula>LEN(TRIM(N100))=0</formula>
    </cfRule>
    <cfRule type="containsBlanks" dxfId="15322" priority="10518">
      <formula>LEN(TRIM(N100))=0</formula>
    </cfRule>
    <cfRule type="containsBlanks" dxfId="15321" priority="10519">
      <formula>LEN(TRIM(N100))=0</formula>
    </cfRule>
    <cfRule type="containsBlanks" dxfId="15320" priority="10520">
      <formula>LEN(TRIM(N100))=0</formula>
    </cfRule>
    <cfRule type="containsBlanks" dxfId="15319" priority="10521">
      <formula>LEN(TRIM(N100))=0</formula>
    </cfRule>
    <cfRule type="containsBlanks" dxfId="15318" priority="10522">
      <formula>LEN(TRIM(N100))=0</formula>
    </cfRule>
    <cfRule type="containsBlanks" dxfId="15317" priority="10523">
      <formula>LEN(TRIM(N100))=0</formula>
    </cfRule>
    <cfRule type="containsBlanks" dxfId="15316" priority="10524">
      <formula>LEN(TRIM(N100))=0</formula>
    </cfRule>
    <cfRule type="containsBlanks" dxfId="15315" priority="10525">
      <formula>LEN(TRIM(N100))=0</formula>
    </cfRule>
    <cfRule type="containsBlanks" dxfId="15314" priority="10526">
      <formula>LEN(TRIM(N100))=0</formula>
    </cfRule>
    <cfRule type="containsBlanks" dxfId="15313" priority="10527">
      <formula>LEN(TRIM(N100))=0</formula>
    </cfRule>
    <cfRule type="containsBlanks" dxfId="15312" priority="10528">
      <formula>LEN(TRIM(N100))=0</formula>
    </cfRule>
    <cfRule type="containsBlanks" dxfId="15311" priority="10529">
      <formula>LEN(TRIM(N100))=0</formula>
    </cfRule>
    <cfRule type="containsBlanks" dxfId="15310" priority="10530">
      <formula>LEN(TRIM(N100))=0</formula>
    </cfRule>
    <cfRule type="containsBlanks" dxfId="15309" priority="10531">
      <formula>LEN(TRIM(N100))=0</formula>
    </cfRule>
    <cfRule type="containsBlanks" dxfId="15308" priority="10532">
      <formula>LEN(TRIM(N100))=0</formula>
    </cfRule>
    <cfRule type="containsBlanks" dxfId="15307" priority="10533">
      <formula>LEN(TRIM(N100))=0</formula>
    </cfRule>
    <cfRule type="containsBlanks" dxfId="15306" priority="10534">
      <formula>LEN(TRIM(N100))=0</formula>
    </cfRule>
    <cfRule type="containsBlanks" dxfId="15305" priority="10535">
      <formula>LEN(TRIM(N100))=0</formula>
    </cfRule>
    <cfRule type="containsBlanks" dxfId="15304" priority="10536">
      <formula>LEN(TRIM(N100))=0</formula>
    </cfRule>
    <cfRule type="containsBlanks" dxfId="15303" priority="10537">
      <formula>LEN(TRIM(N100))=0</formula>
    </cfRule>
    <cfRule type="containsBlanks" dxfId="15302" priority="10538">
      <formula>LEN(TRIM(N100))=0</formula>
    </cfRule>
    <cfRule type="containsBlanks" dxfId="15301" priority="10539">
      <formula>LEN(TRIM(N100))=0</formula>
    </cfRule>
    <cfRule type="containsBlanks" dxfId="15300" priority="10540">
      <formula>LEN(TRIM(N100))=0</formula>
    </cfRule>
    <cfRule type="containsBlanks" dxfId="15299" priority="10541">
      <formula>LEN(TRIM(N100))=0</formula>
    </cfRule>
    <cfRule type="containsBlanks" dxfId="15298" priority="10542">
      <formula>LEN(TRIM(N100))=0</formula>
    </cfRule>
    <cfRule type="containsBlanks" dxfId="15297" priority="10543">
      <formula>LEN(TRIM(N100))=0</formula>
    </cfRule>
    <cfRule type="containsBlanks" dxfId="15296" priority="10544">
      <formula>LEN(TRIM(N100))=0</formula>
    </cfRule>
    <cfRule type="containsBlanks" dxfId="15295" priority="10545">
      <formula>LEN(TRIM(N100))=0</formula>
    </cfRule>
    <cfRule type="containsBlanks" dxfId="15294" priority="10546">
      <formula>LEN(TRIM(N100))=0</formula>
    </cfRule>
    <cfRule type="containsBlanks" dxfId="15293" priority="10547">
      <formula>LEN(TRIM(N100))=0</formula>
    </cfRule>
    <cfRule type="containsBlanks" dxfId="15292" priority="10548">
      <formula>LEN(TRIM(N100))=0</formula>
    </cfRule>
    <cfRule type="containsBlanks" dxfId="15291" priority="10549">
      <formula>LEN(TRIM(N100))=0</formula>
    </cfRule>
    <cfRule type="containsBlanks" dxfId="15290" priority="10550">
      <formula>LEN(TRIM(N100))=0</formula>
    </cfRule>
    <cfRule type="containsBlanks" dxfId="15289" priority="10551">
      <formula>LEN(TRIM(N100))=0</formula>
    </cfRule>
    <cfRule type="containsBlanks" dxfId="15288" priority="10552">
      <formula>LEN(TRIM(N100))=0</formula>
    </cfRule>
    <cfRule type="containsBlanks" dxfId="15287" priority="10553">
      <formula>LEN(TRIM(N100))=0</formula>
    </cfRule>
    <cfRule type="containsBlanks" dxfId="15286" priority="10554">
      <formula>LEN(TRIM(N100))=0</formula>
    </cfRule>
    <cfRule type="containsBlanks" dxfId="15285" priority="10555">
      <formula>LEN(TRIM(N100))=0</formula>
    </cfRule>
    <cfRule type="containsBlanks" dxfId="15284" priority="10556">
      <formula>LEN(TRIM(N100))=0</formula>
    </cfRule>
    <cfRule type="containsBlanks" dxfId="15283" priority="10557">
      <formula>LEN(TRIM(N100))=0</formula>
    </cfRule>
    <cfRule type="containsBlanks" dxfId="15282" priority="10558">
      <formula>LEN(TRIM(N100))=0</formula>
    </cfRule>
    <cfRule type="containsBlanks" dxfId="15281" priority="10559">
      <formula>LEN(TRIM(N100))=0</formula>
    </cfRule>
    <cfRule type="containsBlanks" dxfId="15280" priority="10560">
      <formula>LEN(TRIM(N100))=0</formula>
    </cfRule>
    <cfRule type="containsBlanks" dxfId="15279" priority="10561">
      <formula>LEN(TRIM(N100))=0</formula>
    </cfRule>
    <cfRule type="containsBlanks" dxfId="15278" priority="10562">
      <formula>LEN(TRIM(N100))=0</formula>
    </cfRule>
    <cfRule type="containsBlanks" dxfId="15277" priority="10563">
      <formula>LEN(TRIM(N100))=0</formula>
    </cfRule>
    <cfRule type="containsBlanks" dxfId="15276" priority="10564">
      <formula>LEN(TRIM(N100))=0</formula>
    </cfRule>
    <cfRule type="containsBlanks" dxfId="15275" priority="10565">
      <formula>LEN(TRIM(N100))=0</formula>
    </cfRule>
    <cfRule type="containsBlanks" dxfId="15274" priority="10566">
      <formula>LEN(TRIM(N100))=0</formula>
    </cfRule>
    <cfRule type="containsBlanks" dxfId="15273" priority="10567">
      <formula>LEN(TRIM(N100))=0</formula>
    </cfRule>
    <cfRule type="containsBlanks" dxfId="15272" priority="10568">
      <formula>LEN(TRIM(N100))=0</formula>
    </cfRule>
    <cfRule type="containsBlanks" dxfId="15271" priority="10569">
      <formula>LEN(TRIM(N100))=0</formula>
    </cfRule>
    <cfRule type="containsBlanks" dxfId="15270" priority="10570">
      <formula>LEN(TRIM(N100))=0</formula>
    </cfRule>
    <cfRule type="containsBlanks" dxfId="15269" priority="10571">
      <formula>LEN(TRIM(N100))=0</formula>
    </cfRule>
    <cfRule type="containsBlanks" dxfId="15268" priority="10572">
      <formula>LEN(TRIM(N100))=0</formula>
    </cfRule>
    <cfRule type="containsBlanks" dxfId="15267" priority="10573">
      <formula>LEN(TRIM(N100))=0</formula>
    </cfRule>
    <cfRule type="containsBlanks" dxfId="15266" priority="10574">
      <formula>LEN(TRIM(N100))=0</formula>
    </cfRule>
    <cfRule type="containsBlanks" dxfId="15265" priority="10575">
      <formula>LEN(TRIM(N100))=0</formula>
    </cfRule>
    <cfRule type="containsBlanks" dxfId="15264" priority="10576">
      <formula>LEN(TRIM(N100))=0</formula>
    </cfRule>
    <cfRule type="containsBlanks" dxfId="15263" priority="10577">
      <formula>LEN(TRIM(N100))=0</formula>
    </cfRule>
    <cfRule type="containsBlanks" dxfId="15262" priority="10578">
      <formula>LEN(TRIM(N100))=0</formula>
    </cfRule>
    <cfRule type="containsBlanks" dxfId="15261" priority="10579">
      <formula>LEN(TRIM(N100))=0</formula>
    </cfRule>
    <cfRule type="containsBlanks" dxfId="15260" priority="10580">
      <formula>LEN(TRIM(N100))=0</formula>
    </cfRule>
    <cfRule type="containsBlanks" dxfId="15259" priority="10581">
      <formula>LEN(TRIM(N100))=0</formula>
    </cfRule>
    <cfRule type="containsBlanks" dxfId="15258" priority="10582">
      <formula>LEN(TRIM(N100))=0</formula>
    </cfRule>
    <cfRule type="containsBlanks" dxfId="15257" priority="10583">
      <formula>LEN(TRIM(N100))=0</formula>
    </cfRule>
    <cfRule type="containsBlanks" dxfId="15256" priority="10584">
      <formula>LEN(TRIM(N100))=0</formula>
    </cfRule>
    <cfRule type="containsBlanks" dxfId="15255" priority="10585">
      <formula>LEN(TRIM(N100))=0</formula>
    </cfRule>
    <cfRule type="containsBlanks" dxfId="15254" priority="10586">
      <formula>LEN(TRIM(N100))=0</formula>
    </cfRule>
    <cfRule type="containsBlanks" dxfId="15253" priority="10587">
      <formula>LEN(TRIM(N100))=0</formula>
    </cfRule>
    <cfRule type="containsBlanks" dxfId="15252" priority="10588">
      <formula>LEN(TRIM(N100))=0</formula>
    </cfRule>
    <cfRule type="containsBlanks" dxfId="15251" priority="10589">
      <formula>LEN(TRIM(N100))=0</formula>
    </cfRule>
    <cfRule type="containsBlanks" dxfId="15250" priority="10590">
      <formula>LEN(TRIM(N100))=0</formula>
    </cfRule>
    <cfRule type="containsBlanks" dxfId="15249" priority="10591">
      <formula>LEN(TRIM(N100))=0</formula>
    </cfRule>
    <cfRule type="containsBlanks" dxfId="15248" priority="10592">
      <formula>LEN(TRIM(N100))=0</formula>
    </cfRule>
    <cfRule type="containsBlanks" dxfId="15247" priority="10593">
      <formula>LEN(TRIM(N100))=0</formula>
    </cfRule>
    <cfRule type="containsBlanks" dxfId="15246" priority="10594">
      <formula>LEN(TRIM(N100))=0</formula>
    </cfRule>
    <cfRule type="containsBlanks" dxfId="15245" priority="10595">
      <formula>LEN(TRIM(N100))=0</formula>
    </cfRule>
    <cfRule type="containsBlanks" dxfId="15244" priority="10596">
      <formula>LEN(TRIM(N100))=0</formula>
    </cfRule>
    <cfRule type="containsBlanks" dxfId="15243" priority="10597">
      <formula>LEN(TRIM(N100))=0</formula>
    </cfRule>
    <cfRule type="containsBlanks" dxfId="15242" priority="10598">
      <formula>LEN(TRIM(N100))=0</formula>
    </cfRule>
    <cfRule type="containsBlanks" dxfId="15241" priority="10599">
      <formula>LEN(TRIM(N100))=0</formula>
    </cfRule>
    <cfRule type="containsBlanks" dxfId="15240" priority="10600">
      <formula>LEN(TRIM(N100))=0</formula>
    </cfRule>
    <cfRule type="containsBlanks" dxfId="15239" priority="10601">
      <formula>LEN(TRIM(N100))=0</formula>
    </cfRule>
    <cfRule type="containsBlanks" dxfId="15238" priority="10602">
      <formula>LEN(TRIM(N100))=0</formula>
    </cfRule>
    <cfRule type="containsBlanks" dxfId="15237" priority="10603">
      <formula>LEN(TRIM(N100))=0</formula>
    </cfRule>
    <cfRule type="containsBlanks" dxfId="15236" priority="10604">
      <formula>LEN(TRIM(N100))=0</formula>
    </cfRule>
    <cfRule type="containsBlanks" dxfId="15235" priority="10605">
      <formula>LEN(TRIM(N100))=0</formula>
    </cfRule>
    <cfRule type="containsBlanks" dxfId="15234" priority="10606">
      <formula>LEN(TRIM(N100))=0</formula>
    </cfRule>
    <cfRule type="containsBlanks" dxfId="15233" priority="10607">
      <formula>LEN(TRIM(N100))=0</formula>
    </cfRule>
    <cfRule type="containsBlanks" dxfId="15232" priority="10608">
      <formula>LEN(TRIM(N100))=0</formula>
    </cfRule>
    <cfRule type="containsBlanks" dxfId="15231" priority="10609">
      <formula>LEN(TRIM(N100))=0</formula>
    </cfRule>
    <cfRule type="containsBlanks" dxfId="15230" priority="10610">
      <formula>LEN(TRIM(N100))=0</formula>
    </cfRule>
    <cfRule type="containsBlanks" dxfId="15229" priority="10611">
      <formula>LEN(TRIM(N100))=0</formula>
    </cfRule>
    <cfRule type="containsBlanks" dxfId="15228" priority="10612">
      <formula>LEN(TRIM(N100))=0</formula>
    </cfRule>
    <cfRule type="containsBlanks" dxfId="15227" priority="10613">
      <formula>LEN(TRIM(N100))=0</formula>
    </cfRule>
    <cfRule type="containsBlanks" dxfId="15226" priority="10614">
      <formula>LEN(TRIM(N100))=0</formula>
    </cfRule>
    <cfRule type="containsBlanks" dxfId="15225" priority="10615">
      <formula>LEN(TRIM(N100))=0</formula>
    </cfRule>
    <cfRule type="containsBlanks" dxfId="15224" priority="10616">
      <formula>LEN(TRIM(N100))=0</formula>
    </cfRule>
    <cfRule type="containsBlanks" dxfId="15223" priority="10617">
      <formula>LEN(TRIM(N100))=0</formula>
    </cfRule>
    <cfRule type="containsBlanks" dxfId="15222" priority="10618">
      <formula>LEN(TRIM(N100))=0</formula>
    </cfRule>
    <cfRule type="containsBlanks" dxfId="15221" priority="10619">
      <formula>LEN(TRIM(N100))=0</formula>
    </cfRule>
    <cfRule type="containsBlanks" dxfId="15220" priority="10620">
      <formula>LEN(TRIM(N100))=0</formula>
    </cfRule>
    <cfRule type="containsBlanks" dxfId="15219" priority="10621">
      <formula>LEN(TRIM(N100))=0</formula>
    </cfRule>
    <cfRule type="containsBlanks" dxfId="15218" priority="10622">
      <formula>LEN(TRIM(N100))=0</formula>
    </cfRule>
    <cfRule type="containsBlanks" dxfId="15217" priority="10623">
      <formula>LEN(TRIM(N100))=0</formula>
    </cfRule>
    <cfRule type="containsBlanks" dxfId="15216" priority="10624">
      <formula>LEN(TRIM(N100))=0</formula>
    </cfRule>
    <cfRule type="containsBlanks" dxfId="15215" priority="10625">
      <formula>LEN(TRIM(N100))=0</formula>
    </cfRule>
    <cfRule type="containsBlanks" dxfId="15214" priority="10626">
      <formula>LEN(TRIM(N100))=0</formula>
    </cfRule>
    <cfRule type="containsBlanks" dxfId="15213" priority="10627">
      <formula>LEN(TRIM(N100))=0</formula>
    </cfRule>
    <cfRule type="containsBlanks" dxfId="15212" priority="10628">
      <formula>LEN(TRIM(N100))=0</formula>
    </cfRule>
    <cfRule type="containsBlanks" dxfId="15211" priority="10629">
      <formula>LEN(TRIM(N100))=0</formula>
    </cfRule>
    <cfRule type="containsBlanks" dxfId="15210" priority="10630">
      <formula>LEN(TRIM(N100))=0</formula>
    </cfRule>
    <cfRule type="containsBlanks" dxfId="15209" priority="10631">
      <formula>LEN(TRIM(N100))=0</formula>
    </cfRule>
    <cfRule type="containsBlanks" dxfId="15208" priority="10632">
      <formula>LEN(TRIM(N100))=0</formula>
    </cfRule>
    <cfRule type="containsBlanks" dxfId="15207" priority="10633">
      <formula>LEN(TRIM(N100))=0</formula>
    </cfRule>
    <cfRule type="containsBlanks" dxfId="15206" priority="10634">
      <formula>LEN(TRIM(N100))=0</formula>
    </cfRule>
    <cfRule type="containsBlanks" dxfId="15205" priority="10635">
      <formula>LEN(TRIM(N100))=0</formula>
    </cfRule>
    <cfRule type="containsBlanks" dxfId="15204" priority="10636">
      <formula>LEN(TRIM(N100))=0</formula>
    </cfRule>
    <cfRule type="containsBlanks" dxfId="15203" priority="10637">
      <formula>LEN(TRIM(N100))=0</formula>
    </cfRule>
    <cfRule type="containsBlanks" dxfId="15202" priority="10638">
      <formula>LEN(TRIM(N100))=0</formula>
    </cfRule>
    <cfRule type="containsBlanks" dxfId="15201" priority="10639">
      <formula>LEN(TRIM(N100))=0</formula>
    </cfRule>
    <cfRule type="containsBlanks" dxfId="15200" priority="10640">
      <formula>LEN(TRIM(N100))=0</formula>
    </cfRule>
    <cfRule type="containsBlanks" dxfId="15199" priority="10641">
      <formula>LEN(TRIM(N100))=0</formula>
    </cfRule>
    <cfRule type="containsBlanks" dxfId="15198" priority="10642">
      <formula>LEN(TRIM(N100))=0</formula>
    </cfRule>
    <cfRule type="containsBlanks" dxfId="15197" priority="10643">
      <formula>LEN(TRIM(N100))=0</formula>
    </cfRule>
    <cfRule type="containsBlanks" dxfId="15196" priority="10644">
      <formula>LEN(TRIM(N100))=0</formula>
    </cfRule>
    <cfRule type="containsBlanks" dxfId="15195" priority="10645">
      <formula>LEN(TRIM(N100))=0</formula>
    </cfRule>
    <cfRule type="containsBlanks" dxfId="15194" priority="10646">
      <formula>LEN(TRIM(N100))=0</formula>
    </cfRule>
    <cfRule type="containsBlanks" dxfId="15193" priority="10647">
      <formula>LEN(TRIM(N100))=0</formula>
    </cfRule>
    <cfRule type="containsBlanks" dxfId="15192" priority="10648">
      <formula>LEN(TRIM(N100))=0</formula>
    </cfRule>
    <cfRule type="containsBlanks" dxfId="15191" priority="10649">
      <formula>LEN(TRIM(N100))=0</formula>
    </cfRule>
    <cfRule type="containsBlanks" dxfId="15190" priority="10650">
      <formula>LEN(TRIM(N100))=0</formula>
    </cfRule>
    <cfRule type="containsBlanks" dxfId="15189" priority="10651">
      <formula>LEN(TRIM(N100))=0</formula>
    </cfRule>
    <cfRule type="containsBlanks" dxfId="15188" priority="10652">
      <formula>LEN(TRIM(N100))=0</formula>
    </cfRule>
    <cfRule type="containsBlanks" dxfId="15187" priority="10653">
      <formula>LEN(TRIM(N100))=0</formula>
    </cfRule>
    <cfRule type="containsBlanks" dxfId="15186" priority="10654">
      <formula>LEN(TRIM(N100))=0</formula>
    </cfRule>
    <cfRule type="containsBlanks" dxfId="15185" priority="10655">
      <formula>LEN(TRIM(N100))=0</formula>
    </cfRule>
    <cfRule type="containsBlanks" dxfId="15184" priority="10656">
      <formula>LEN(TRIM(N100))=0</formula>
    </cfRule>
    <cfRule type="containsBlanks" dxfId="15183" priority="10657">
      <formula>LEN(TRIM(N100))=0</formula>
    </cfRule>
    <cfRule type="containsBlanks" dxfId="15182" priority="10658">
      <formula>LEN(TRIM(N100))=0</formula>
    </cfRule>
    <cfRule type="containsBlanks" dxfId="15181" priority="10659">
      <formula>LEN(TRIM(N100))=0</formula>
    </cfRule>
    <cfRule type="containsBlanks" dxfId="15180" priority="10660">
      <formula>LEN(TRIM(N100))=0</formula>
    </cfRule>
    <cfRule type="containsBlanks" dxfId="15179" priority="10661">
      <formula>LEN(TRIM(N100))=0</formula>
    </cfRule>
    <cfRule type="containsBlanks" dxfId="15178" priority="10662">
      <formula>LEN(TRIM(N100))=0</formula>
    </cfRule>
    <cfRule type="containsBlanks" dxfId="15177" priority="10663">
      <formula>LEN(TRIM(N100))=0</formula>
    </cfRule>
    <cfRule type="containsBlanks" dxfId="15176" priority="10664">
      <formula>LEN(TRIM(N100))=0</formula>
    </cfRule>
    <cfRule type="containsBlanks" dxfId="15175" priority="10665">
      <formula>LEN(TRIM(N100))=0</formula>
    </cfRule>
    <cfRule type="containsBlanks" dxfId="15174" priority="10666">
      <formula>LEN(TRIM(N100))=0</formula>
    </cfRule>
    <cfRule type="containsBlanks" dxfId="15173" priority="10667">
      <formula>LEN(TRIM(N100))=0</formula>
    </cfRule>
    <cfRule type="containsBlanks" dxfId="15172" priority="10668">
      <formula>LEN(TRIM(N100))=0</formula>
    </cfRule>
    <cfRule type="containsBlanks" dxfId="15171" priority="10669">
      <formula>LEN(TRIM(N100))=0</formula>
    </cfRule>
    <cfRule type="containsBlanks" dxfId="15170" priority="10670">
      <formula>LEN(TRIM(N100))=0</formula>
    </cfRule>
    <cfRule type="containsBlanks" dxfId="15169" priority="10671">
      <formula>LEN(TRIM(N100))=0</formula>
    </cfRule>
    <cfRule type="containsBlanks" dxfId="15168" priority="10672">
      <formula>LEN(TRIM(N100))=0</formula>
    </cfRule>
    <cfRule type="containsBlanks" dxfId="15167" priority="10673">
      <formula>LEN(TRIM(N100))=0</formula>
    </cfRule>
    <cfRule type="containsBlanks" dxfId="15166" priority="10674">
      <formula>LEN(TRIM(N100))=0</formula>
    </cfRule>
    <cfRule type="containsBlanks" dxfId="15165" priority="10675">
      <formula>LEN(TRIM(N100))=0</formula>
    </cfRule>
    <cfRule type="containsBlanks" dxfId="15164" priority="10676">
      <formula>LEN(TRIM(N100))=0</formula>
    </cfRule>
    <cfRule type="containsBlanks" dxfId="15163" priority="10677">
      <formula>LEN(TRIM(N100))=0</formula>
    </cfRule>
    <cfRule type="containsBlanks" dxfId="15162" priority="10678">
      <formula>LEN(TRIM(N100))=0</formula>
    </cfRule>
    <cfRule type="containsBlanks" dxfId="15161" priority="10679">
      <formula>LEN(TRIM(N100))=0</formula>
    </cfRule>
    <cfRule type="containsBlanks" dxfId="15160" priority="10680">
      <formula>LEN(TRIM(N100))=0</formula>
    </cfRule>
    <cfRule type="containsBlanks" dxfId="15159" priority="10681">
      <formula>LEN(TRIM(N100))=0</formula>
    </cfRule>
    <cfRule type="containsBlanks" dxfId="15158" priority="10682">
      <formula>LEN(TRIM(N100))=0</formula>
    </cfRule>
    <cfRule type="containsBlanks" dxfId="15157" priority="10683">
      <formula>LEN(TRIM(N100))=0</formula>
    </cfRule>
    <cfRule type="containsBlanks" dxfId="15156" priority="10684">
      <formula>LEN(TRIM(N100))=0</formula>
    </cfRule>
    <cfRule type="containsBlanks" dxfId="15155" priority="10685">
      <formula>LEN(TRIM(N100))=0</formula>
    </cfRule>
  </conditionalFormatting>
  <conditionalFormatting sqref="N101:N103">
    <cfRule type="containsBlanks" dxfId="15154" priority="11282">
      <formula>LEN(TRIM(N101))=0</formula>
    </cfRule>
    <cfRule type="containsBlanks" dxfId="15153" priority="11283">
      <formula>LEN(TRIM(N101))=0</formula>
    </cfRule>
    <cfRule type="containsBlanks" dxfId="15152" priority="11284">
      <formula>LEN(TRIM(N101))=0</formula>
    </cfRule>
    <cfRule type="containsBlanks" dxfId="15151" priority="11285">
      <formula>LEN(TRIM(N101))=0</formula>
    </cfRule>
    <cfRule type="containsBlanks" dxfId="15150" priority="11286">
      <formula>LEN(TRIM(N101))=0</formula>
    </cfRule>
    <cfRule type="containsBlanks" dxfId="15149" priority="11287">
      <formula>LEN(TRIM(N101))=0</formula>
    </cfRule>
    <cfRule type="containsBlanks" dxfId="15148" priority="11288">
      <formula>LEN(TRIM(N101))=0</formula>
    </cfRule>
    <cfRule type="containsBlanks" dxfId="15147" priority="11289">
      <formula>LEN(TRIM(N101))=0</formula>
    </cfRule>
    <cfRule type="containsBlanks" dxfId="15146" priority="11290">
      <formula>LEN(TRIM(N101))=0</formula>
    </cfRule>
    <cfRule type="containsBlanks" dxfId="15145" priority="11291">
      <formula>LEN(TRIM(N101))=0</formula>
    </cfRule>
    <cfRule type="containsBlanks" dxfId="15144" priority="11292">
      <formula>LEN(TRIM(N101))=0</formula>
    </cfRule>
    <cfRule type="containsBlanks" dxfId="15143" priority="11293">
      <formula>LEN(TRIM(N101))=0</formula>
    </cfRule>
    <cfRule type="containsBlanks" dxfId="15142" priority="11294">
      <formula>LEN(TRIM(N101))=0</formula>
    </cfRule>
    <cfRule type="containsBlanks" dxfId="15141" priority="11295">
      <formula>LEN(TRIM(N101))=0</formula>
    </cfRule>
    <cfRule type="containsBlanks" dxfId="15140" priority="11296">
      <formula>LEN(TRIM(N101))=0</formula>
    </cfRule>
    <cfRule type="containsBlanks" dxfId="15139" priority="11297">
      <formula>LEN(TRIM(N101))=0</formula>
    </cfRule>
    <cfRule type="containsBlanks" dxfId="15138" priority="11298">
      <formula>LEN(TRIM(N101))=0</formula>
    </cfRule>
    <cfRule type="containsBlanks" dxfId="15137" priority="11299">
      <formula>LEN(TRIM(N101))=0</formula>
    </cfRule>
    <cfRule type="containsBlanks" dxfId="15136" priority="11300">
      <formula>LEN(TRIM(N101))=0</formula>
    </cfRule>
    <cfRule type="containsBlanks" dxfId="15135" priority="11301">
      <formula>LEN(TRIM(N101))=0</formula>
    </cfRule>
    <cfRule type="containsBlanks" dxfId="15134" priority="11302">
      <formula>LEN(TRIM(N101))=0</formula>
    </cfRule>
    <cfRule type="containsBlanks" dxfId="15133" priority="11303">
      <formula>LEN(TRIM(N101))=0</formula>
    </cfRule>
    <cfRule type="containsBlanks" dxfId="15132" priority="11304">
      <formula>LEN(TRIM(N101))=0</formula>
    </cfRule>
    <cfRule type="containsBlanks" dxfId="15131" priority="11305">
      <formula>LEN(TRIM(N101))=0</formula>
    </cfRule>
    <cfRule type="containsBlanks" dxfId="15130" priority="11306">
      <formula>LEN(TRIM(N101))=0</formula>
    </cfRule>
    <cfRule type="containsBlanks" dxfId="15129" priority="11307">
      <formula>LEN(TRIM(N101))=0</formula>
    </cfRule>
    <cfRule type="containsBlanks" dxfId="15128" priority="11308">
      <formula>LEN(TRIM(N101))=0</formula>
    </cfRule>
    <cfRule type="containsBlanks" dxfId="15127" priority="11309">
      <formula>LEN(TRIM(N101))=0</formula>
    </cfRule>
  </conditionalFormatting>
  <conditionalFormatting sqref="N105:N113">
    <cfRule type="containsBlanks" dxfId="15126" priority="11254">
      <formula>LEN(TRIM(N105))=0</formula>
    </cfRule>
    <cfRule type="containsBlanks" dxfId="15125" priority="11255">
      <formula>LEN(TRIM(N105))=0</formula>
    </cfRule>
    <cfRule type="containsBlanks" dxfId="15124" priority="11256">
      <formula>LEN(TRIM(N105))=0</formula>
    </cfRule>
    <cfRule type="containsBlanks" dxfId="15123" priority="11257">
      <formula>LEN(TRIM(N105))=0</formula>
    </cfRule>
    <cfRule type="containsBlanks" dxfId="15122" priority="11258">
      <formula>LEN(TRIM(N105))=0</formula>
    </cfRule>
    <cfRule type="containsBlanks" dxfId="15121" priority="11259">
      <formula>LEN(TRIM(N105))=0</formula>
    </cfRule>
    <cfRule type="containsBlanks" dxfId="15120" priority="11260">
      <formula>LEN(TRIM(N105))=0</formula>
    </cfRule>
    <cfRule type="containsBlanks" dxfId="15119" priority="11261">
      <formula>LEN(TRIM(N105))=0</formula>
    </cfRule>
    <cfRule type="containsBlanks" dxfId="15118" priority="11262">
      <formula>LEN(TRIM(N105))=0</formula>
    </cfRule>
    <cfRule type="containsBlanks" dxfId="15117" priority="11263">
      <formula>LEN(TRIM(N105))=0</formula>
    </cfRule>
    <cfRule type="containsBlanks" dxfId="15116" priority="11264">
      <formula>LEN(TRIM(N105))=0</formula>
    </cfRule>
    <cfRule type="containsBlanks" dxfId="15115" priority="11265">
      <formula>LEN(TRIM(N105))=0</formula>
    </cfRule>
    <cfRule type="containsBlanks" dxfId="15114" priority="11266">
      <formula>LEN(TRIM(N105))=0</formula>
    </cfRule>
    <cfRule type="containsBlanks" dxfId="15113" priority="11267">
      <formula>LEN(TRIM(N105))=0</formula>
    </cfRule>
    <cfRule type="containsBlanks" dxfId="15112" priority="11268">
      <formula>LEN(TRIM(N105))=0</formula>
    </cfRule>
    <cfRule type="containsBlanks" dxfId="15111" priority="11269">
      <formula>LEN(TRIM(N105))=0</formula>
    </cfRule>
    <cfRule type="containsBlanks" dxfId="15110" priority="11270">
      <formula>LEN(TRIM(N105))=0</formula>
    </cfRule>
    <cfRule type="containsBlanks" dxfId="15109" priority="11271">
      <formula>LEN(TRIM(N105))=0</formula>
    </cfRule>
    <cfRule type="containsBlanks" dxfId="15108" priority="11272">
      <formula>LEN(TRIM(N105))=0</formula>
    </cfRule>
    <cfRule type="containsBlanks" dxfId="15107" priority="11273">
      <formula>LEN(TRIM(N105))=0</formula>
    </cfRule>
    <cfRule type="containsBlanks" dxfId="15106" priority="11274">
      <formula>LEN(TRIM(N105))=0</formula>
    </cfRule>
    <cfRule type="containsBlanks" dxfId="15105" priority="11275">
      <formula>LEN(TRIM(N105))=0</formula>
    </cfRule>
    <cfRule type="containsBlanks" dxfId="15104" priority="11276">
      <formula>LEN(TRIM(N105))=0</formula>
    </cfRule>
    <cfRule type="containsBlanks" dxfId="15103" priority="11277">
      <formula>LEN(TRIM(N105))=0</formula>
    </cfRule>
    <cfRule type="containsBlanks" dxfId="15102" priority="11278">
      <formula>LEN(TRIM(N105))=0</formula>
    </cfRule>
    <cfRule type="containsBlanks" dxfId="15101" priority="11279">
      <formula>LEN(TRIM(N105))=0</formula>
    </cfRule>
    <cfRule type="containsBlanks" dxfId="15100" priority="11280">
      <formula>LEN(TRIM(N105))=0</formula>
    </cfRule>
    <cfRule type="containsBlanks" dxfId="15099" priority="11281">
      <formula>LEN(TRIM(N105))=0</formula>
    </cfRule>
  </conditionalFormatting>
  <conditionalFormatting sqref="N114:N116">
    <cfRule type="containsBlanks" dxfId="15098" priority="11226">
      <formula>LEN(TRIM(N114))=0</formula>
    </cfRule>
    <cfRule type="containsBlanks" dxfId="15097" priority="11227">
      <formula>LEN(TRIM(N114))=0</formula>
    </cfRule>
    <cfRule type="containsBlanks" dxfId="15096" priority="11228">
      <formula>LEN(TRIM(N114))=0</formula>
    </cfRule>
    <cfRule type="containsBlanks" dxfId="15095" priority="11229">
      <formula>LEN(TRIM(N114))=0</formula>
    </cfRule>
    <cfRule type="containsBlanks" dxfId="15094" priority="11230">
      <formula>LEN(TRIM(N114))=0</formula>
    </cfRule>
    <cfRule type="containsBlanks" dxfId="15093" priority="11231">
      <formula>LEN(TRIM(N114))=0</formula>
    </cfRule>
    <cfRule type="containsBlanks" dxfId="15092" priority="11232">
      <formula>LEN(TRIM(N114))=0</formula>
    </cfRule>
    <cfRule type="containsBlanks" dxfId="15091" priority="11233">
      <formula>LEN(TRIM(N114))=0</formula>
    </cfRule>
    <cfRule type="containsBlanks" dxfId="15090" priority="11234">
      <formula>LEN(TRIM(N114))=0</formula>
    </cfRule>
    <cfRule type="containsBlanks" dxfId="15089" priority="11235">
      <formula>LEN(TRIM(N114))=0</formula>
    </cfRule>
    <cfRule type="containsBlanks" dxfId="15088" priority="11236">
      <formula>LEN(TRIM(N114))=0</formula>
    </cfRule>
    <cfRule type="containsBlanks" dxfId="15087" priority="11237">
      <formula>LEN(TRIM(N114))=0</formula>
    </cfRule>
    <cfRule type="containsBlanks" dxfId="15086" priority="11238">
      <formula>LEN(TRIM(N114))=0</formula>
    </cfRule>
    <cfRule type="containsBlanks" dxfId="15085" priority="11239">
      <formula>LEN(TRIM(N114))=0</formula>
    </cfRule>
    <cfRule type="containsBlanks" dxfId="15084" priority="11240">
      <formula>LEN(TRIM(N114))=0</formula>
    </cfRule>
    <cfRule type="containsBlanks" dxfId="15083" priority="11241">
      <formula>LEN(TRIM(N114))=0</formula>
    </cfRule>
    <cfRule type="containsBlanks" dxfId="15082" priority="11242">
      <formula>LEN(TRIM(N114))=0</formula>
    </cfRule>
    <cfRule type="containsBlanks" dxfId="15081" priority="11243">
      <formula>LEN(TRIM(N114))=0</formula>
    </cfRule>
    <cfRule type="containsBlanks" dxfId="15080" priority="11244">
      <formula>LEN(TRIM(N114))=0</formula>
    </cfRule>
    <cfRule type="containsBlanks" dxfId="15079" priority="11245">
      <formula>LEN(TRIM(N114))=0</formula>
    </cfRule>
    <cfRule type="containsBlanks" dxfId="15078" priority="11246">
      <formula>LEN(TRIM(N114))=0</formula>
    </cfRule>
    <cfRule type="containsBlanks" dxfId="15077" priority="11247">
      <formula>LEN(TRIM(N114))=0</formula>
    </cfRule>
    <cfRule type="containsBlanks" dxfId="15076" priority="11248">
      <formula>LEN(TRIM(N114))=0</formula>
    </cfRule>
    <cfRule type="containsBlanks" dxfId="15075" priority="11249">
      <formula>LEN(TRIM(N114))=0</formula>
    </cfRule>
    <cfRule type="containsBlanks" dxfId="15074" priority="11250">
      <formula>LEN(TRIM(N114))=0</formula>
    </cfRule>
    <cfRule type="containsBlanks" dxfId="15073" priority="11251">
      <formula>LEN(TRIM(N114))=0</formula>
    </cfRule>
    <cfRule type="containsBlanks" dxfId="15072" priority="11252">
      <formula>LEN(TRIM(N114))=0</formula>
    </cfRule>
    <cfRule type="containsBlanks" dxfId="15071" priority="11253">
      <formula>LEN(TRIM(N114))=0</formula>
    </cfRule>
  </conditionalFormatting>
  <conditionalFormatting sqref="N117:N119 N125 N128 N134 N146">
    <cfRule type="containsBlanks" dxfId="15070" priority="14690">
      <formula>LEN(TRIM(N117))=0</formula>
    </cfRule>
    <cfRule type="containsBlanks" dxfId="15069" priority="14691">
      <formula>LEN(TRIM(N117))=0</formula>
    </cfRule>
    <cfRule type="containsBlanks" dxfId="15068" priority="14692">
      <formula>LEN(TRIM(N117))=0</formula>
    </cfRule>
    <cfRule type="containsBlanks" dxfId="15067" priority="14693">
      <formula>LEN(TRIM(N117))=0</formula>
    </cfRule>
    <cfRule type="containsBlanks" dxfId="15066" priority="14694">
      <formula>LEN(TRIM(N117))=0</formula>
    </cfRule>
    <cfRule type="containsBlanks" dxfId="15065" priority="14695">
      <formula>LEN(TRIM(N117))=0</formula>
    </cfRule>
    <cfRule type="containsBlanks" dxfId="15064" priority="14696">
      <formula>LEN(TRIM(N117))=0</formula>
    </cfRule>
    <cfRule type="containsBlanks" dxfId="15063" priority="14697">
      <formula>LEN(TRIM(N117))=0</formula>
    </cfRule>
    <cfRule type="containsBlanks" dxfId="15062" priority="14698">
      <formula>LEN(TRIM(N117))=0</formula>
    </cfRule>
    <cfRule type="containsBlanks" dxfId="15061" priority="14699">
      <formula>LEN(TRIM(N117))=0</formula>
    </cfRule>
    <cfRule type="containsBlanks" dxfId="15060" priority="14700">
      <formula>LEN(TRIM(N117))=0</formula>
    </cfRule>
    <cfRule type="containsBlanks" dxfId="15059" priority="14701">
      <formula>LEN(TRIM(N117))=0</formula>
    </cfRule>
    <cfRule type="containsBlanks" dxfId="15058" priority="14702">
      <formula>LEN(TRIM(N117))=0</formula>
    </cfRule>
    <cfRule type="containsBlanks" dxfId="15057" priority="14703">
      <formula>LEN(TRIM(N117))=0</formula>
    </cfRule>
    <cfRule type="containsBlanks" dxfId="15056" priority="14704">
      <formula>LEN(TRIM(N117))=0</formula>
    </cfRule>
    <cfRule type="containsBlanks" dxfId="15055" priority="14705">
      <formula>LEN(TRIM(N117))=0</formula>
    </cfRule>
    <cfRule type="containsBlanks" dxfId="15054" priority="14706">
      <formula>LEN(TRIM(N117))=0</formula>
    </cfRule>
    <cfRule type="containsBlanks" dxfId="15053" priority="14707">
      <formula>LEN(TRIM(N117))=0</formula>
    </cfRule>
    <cfRule type="containsBlanks" dxfId="15052" priority="14708">
      <formula>LEN(TRIM(N117))=0</formula>
    </cfRule>
    <cfRule type="containsBlanks" dxfId="15051" priority="14709">
      <formula>LEN(TRIM(N117))=0</formula>
    </cfRule>
    <cfRule type="containsBlanks" dxfId="15050" priority="14710">
      <formula>LEN(TRIM(N117))=0</formula>
    </cfRule>
    <cfRule type="containsBlanks" dxfId="15049" priority="14711">
      <formula>LEN(TRIM(N117))=0</formula>
    </cfRule>
    <cfRule type="containsBlanks" dxfId="15048" priority="14712">
      <formula>LEN(TRIM(N117))=0</formula>
    </cfRule>
    <cfRule type="containsBlanks" dxfId="15047" priority="14713">
      <formula>LEN(TRIM(N117))=0</formula>
    </cfRule>
    <cfRule type="containsBlanks" dxfId="15046" priority="14714">
      <formula>LEN(TRIM(N117))=0</formula>
    </cfRule>
    <cfRule type="containsBlanks" dxfId="15045" priority="14715">
      <formula>LEN(TRIM(N117))=0</formula>
    </cfRule>
    <cfRule type="containsBlanks" dxfId="15044" priority="14716">
      <formula>LEN(TRIM(N117))=0</formula>
    </cfRule>
    <cfRule type="containsBlanks" dxfId="15043" priority="14717">
      <formula>LEN(TRIM(N117))=0</formula>
    </cfRule>
    <cfRule type="containsBlanks" dxfId="15042" priority="14718">
      <formula>LEN(TRIM(N117))=0</formula>
    </cfRule>
    <cfRule type="containsBlanks" dxfId="15041" priority="14719">
      <formula>LEN(TRIM(N117))=0</formula>
    </cfRule>
    <cfRule type="containsBlanks" dxfId="15040" priority="14720">
      <formula>LEN(TRIM(N117))=0</formula>
    </cfRule>
    <cfRule type="containsBlanks" dxfId="15039" priority="14721">
      <formula>LEN(TRIM(N117))=0</formula>
    </cfRule>
    <cfRule type="containsBlanks" dxfId="15038" priority="14722">
      <formula>LEN(TRIM(N117))=0</formula>
    </cfRule>
    <cfRule type="containsBlanks" dxfId="15037" priority="14723">
      <formula>LEN(TRIM(N117))=0</formula>
    </cfRule>
    <cfRule type="containsBlanks" dxfId="15036" priority="14724">
      <formula>LEN(TRIM(N117))=0</formula>
    </cfRule>
    <cfRule type="containsBlanks" dxfId="15035" priority="14725">
      <formula>LEN(TRIM(N117))=0</formula>
    </cfRule>
    <cfRule type="containsBlanks" dxfId="15034" priority="14726">
      <formula>LEN(TRIM(N117))=0</formula>
    </cfRule>
    <cfRule type="containsBlanks" dxfId="15033" priority="14727">
      <formula>LEN(TRIM(N117))=0</formula>
    </cfRule>
    <cfRule type="containsBlanks" dxfId="15032" priority="14728">
      <formula>LEN(TRIM(N117))=0</formula>
    </cfRule>
    <cfRule type="containsBlanks" dxfId="15031" priority="14729">
      <formula>LEN(TRIM(N117))=0</formula>
    </cfRule>
    <cfRule type="containsBlanks" dxfId="15030" priority="14730">
      <formula>LEN(TRIM(N117))=0</formula>
    </cfRule>
    <cfRule type="containsBlanks" dxfId="15029" priority="14731">
      <formula>LEN(TRIM(N117))=0</formula>
    </cfRule>
    <cfRule type="containsBlanks" dxfId="15028" priority="14732">
      <formula>LEN(TRIM(N117))=0</formula>
    </cfRule>
    <cfRule type="containsBlanks" dxfId="15027" priority="14733">
      <formula>LEN(TRIM(N117))=0</formula>
    </cfRule>
    <cfRule type="containsBlanks" dxfId="15026" priority="14734">
      <formula>LEN(TRIM(N117))=0</formula>
    </cfRule>
    <cfRule type="containsBlanks" dxfId="15025" priority="14735">
      <formula>LEN(TRIM(N117))=0</formula>
    </cfRule>
    <cfRule type="containsBlanks" dxfId="15024" priority="14736">
      <formula>LEN(TRIM(N117))=0</formula>
    </cfRule>
    <cfRule type="containsBlanks" dxfId="15023" priority="14737">
      <formula>LEN(TRIM(N117))=0</formula>
    </cfRule>
    <cfRule type="containsBlanks" dxfId="15022" priority="14738">
      <formula>LEN(TRIM(N117))=0</formula>
    </cfRule>
    <cfRule type="containsBlanks" dxfId="15021" priority="14739">
      <formula>LEN(TRIM(N117))=0</formula>
    </cfRule>
    <cfRule type="containsBlanks" dxfId="15020" priority="14740">
      <formula>LEN(TRIM(N117))=0</formula>
    </cfRule>
    <cfRule type="containsBlanks" dxfId="15019" priority="14741">
      <formula>LEN(TRIM(N117))=0</formula>
    </cfRule>
    <cfRule type="containsBlanks" dxfId="15018" priority="14742">
      <formula>LEN(TRIM(N117))=0</formula>
    </cfRule>
    <cfRule type="containsBlanks" dxfId="15017" priority="14743">
      <formula>LEN(TRIM(N117))=0</formula>
    </cfRule>
    <cfRule type="containsBlanks" dxfId="15016" priority="14744">
      <formula>LEN(TRIM(N117))=0</formula>
    </cfRule>
    <cfRule type="containsBlanks" dxfId="15015" priority="14745">
      <formula>LEN(TRIM(N117))=0</formula>
    </cfRule>
    <cfRule type="containsBlanks" dxfId="15014" priority="14746">
      <formula>LEN(TRIM(N117))=0</formula>
    </cfRule>
    <cfRule type="containsBlanks" dxfId="15013" priority="14747">
      <formula>LEN(TRIM(N117))=0</formula>
    </cfRule>
    <cfRule type="containsBlanks" dxfId="15012" priority="14748">
      <formula>LEN(TRIM(N117))=0</formula>
    </cfRule>
    <cfRule type="containsBlanks" dxfId="15011" priority="14749">
      <formula>LEN(TRIM(N117))=0</formula>
    </cfRule>
    <cfRule type="containsBlanks" dxfId="15010" priority="14750">
      <formula>LEN(TRIM(N117))=0</formula>
    </cfRule>
    <cfRule type="containsBlanks" dxfId="15009" priority="14751">
      <formula>LEN(TRIM(N117))=0</formula>
    </cfRule>
    <cfRule type="containsBlanks" dxfId="15008" priority="14752">
      <formula>LEN(TRIM(N117))=0</formula>
    </cfRule>
    <cfRule type="containsBlanks" dxfId="15007" priority="14753">
      <formula>LEN(TRIM(N117))=0</formula>
    </cfRule>
    <cfRule type="containsBlanks" dxfId="15006" priority="14754">
      <formula>LEN(TRIM(N117))=0</formula>
    </cfRule>
    <cfRule type="containsBlanks" dxfId="15005" priority="14755">
      <formula>LEN(TRIM(N117))=0</formula>
    </cfRule>
    <cfRule type="containsBlanks" dxfId="15004" priority="14756">
      <formula>LEN(TRIM(N117))=0</formula>
    </cfRule>
    <cfRule type="containsBlanks" dxfId="15003" priority="14757">
      <formula>LEN(TRIM(N117))=0</formula>
    </cfRule>
    <cfRule type="containsBlanks" dxfId="15002" priority="14758">
      <formula>LEN(TRIM(N117))=0</formula>
    </cfRule>
    <cfRule type="containsBlanks" dxfId="15001" priority="14759">
      <formula>LEN(TRIM(N117))=0</formula>
    </cfRule>
    <cfRule type="containsBlanks" dxfId="15000" priority="14760">
      <formula>LEN(TRIM(N117))=0</formula>
    </cfRule>
    <cfRule type="containsBlanks" dxfId="14999" priority="14761">
      <formula>LEN(TRIM(N117))=0</formula>
    </cfRule>
    <cfRule type="containsBlanks" dxfId="14998" priority="14762">
      <formula>LEN(TRIM(N117))=0</formula>
    </cfRule>
    <cfRule type="containsBlanks" dxfId="14997" priority="14763">
      <formula>LEN(TRIM(N117))=0</formula>
    </cfRule>
    <cfRule type="containsBlanks" dxfId="14996" priority="14764">
      <formula>LEN(TRIM(N117))=0</formula>
    </cfRule>
    <cfRule type="containsBlanks" dxfId="14995" priority="14765">
      <formula>LEN(TRIM(N117))=0</formula>
    </cfRule>
    <cfRule type="containsBlanks" dxfId="14994" priority="14766">
      <formula>LEN(TRIM(N117))=0</formula>
    </cfRule>
    <cfRule type="containsBlanks" dxfId="14993" priority="14767">
      <formula>LEN(TRIM(N117))=0</formula>
    </cfRule>
    <cfRule type="containsBlanks" dxfId="14992" priority="14768">
      <formula>LEN(TRIM(N117))=0</formula>
    </cfRule>
    <cfRule type="containsBlanks" dxfId="14991" priority="14769">
      <formula>LEN(TRIM(N117))=0</formula>
    </cfRule>
    <cfRule type="containsBlanks" dxfId="14990" priority="14770">
      <formula>LEN(TRIM(N117))=0</formula>
    </cfRule>
    <cfRule type="containsBlanks" dxfId="14989" priority="14771">
      <formula>LEN(TRIM(N117))=0</formula>
    </cfRule>
    <cfRule type="containsBlanks" dxfId="14988" priority="14772">
      <formula>LEN(TRIM(N117))=0</formula>
    </cfRule>
    <cfRule type="containsBlanks" dxfId="14987" priority="14773">
      <formula>LEN(TRIM(N117))=0</formula>
    </cfRule>
    <cfRule type="containsBlanks" dxfId="14986" priority="14774">
      <formula>LEN(TRIM(N117))=0</formula>
    </cfRule>
    <cfRule type="containsBlanks" dxfId="14985" priority="14775">
      <formula>LEN(TRIM(N117))=0</formula>
    </cfRule>
    <cfRule type="containsBlanks" dxfId="14984" priority="14776">
      <formula>LEN(TRIM(N117))=0</formula>
    </cfRule>
    <cfRule type="containsBlanks" dxfId="14983" priority="14777">
      <formula>LEN(TRIM(N117))=0</formula>
    </cfRule>
    <cfRule type="containsBlanks" dxfId="14982" priority="14778">
      <formula>LEN(TRIM(N117))=0</formula>
    </cfRule>
    <cfRule type="containsBlanks" dxfId="14981" priority="14779">
      <formula>LEN(TRIM(N117))=0</formula>
    </cfRule>
    <cfRule type="containsBlanks" dxfId="14980" priority="14780">
      <formula>LEN(TRIM(N117))=0</formula>
    </cfRule>
    <cfRule type="containsBlanks" dxfId="14979" priority="14781">
      <formula>LEN(TRIM(N117))=0</formula>
    </cfRule>
    <cfRule type="containsBlanks" dxfId="14978" priority="14782">
      <formula>LEN(TRIM(N117))=0</formula>
    </cfRule>
    <cfRule type="containsBlanks" dxfId="14977" priority="14783">
      <formula>LEN(TRIM(N117))=0</formula>
    </cfRule>
    <cfRule type="containsBlanks" dxfId="14976" priority="14784">
      <formula>LEN(TRIM(N117))=0</formula>
    </cfRule>
    <cfRule type="containsBlanks" dxfId="14975" priority="14785">
      <formula>LEN(TRIM(N117))=0</formula>
    </cfRule>
    <cfRule type="containsBlanks" dxfId="14974" priority="14786">
      <formula>LEN(TRIM(N117))=0</formula>
    </cfRule>
    <cfRule type="containsBlanks" dxfId="14973" priority="14787">
      <formula>LEN(TRIM(N117))=0</formula>
    </cfRule>
    <cfRule type="containsBlanks" dxfId="14972" priority="14788">
      <formula>LEN(TRIM(N117))=0</formula>
    </cfRule>
    <cfRule type="containsBlanks" dxfId="14971" priority="14789">
      <formula>LEN(TRIM(N117))=0</formula>
    </cfRule>
    <cfRule type="containsBlanks" dxfId="14970" priority="14790">
      <formula>LEN(TRIM(N117))=0</formula>
    </cfRule>
    <cfRule type="containsBlanks" dxfId="14969" priority="14791">
      <formula>LEN(TRIM(N117))=0</formula>
    </cfRule>
    <cfRule type="containsBlanks" dxfId="14968" priority="14792">
      <formula>LEN(TRIM(N117))=0</formula>
    </cfRule>
    <cfRule type="containsBlanks" dxfId="14967" priority="14793">
      <formula>LEN(TRIM(N117))=0</formula>
    </cfRule>
    <cfRule type="containsBlanks" dxfId="14966" priority="14794">
      <formula>LEN(TRIM(N117))=0</formula>
    </cfRule>
    <cfRule type="containsBlanks" dxfId="14965" priority="14795">
      <formula>LEN(TRIM(N117))=0</formula>
    </cfRule>
    <cfRule type="containsBlanks" dxfId="14964" priority="14796">
      <formula>LEN(TRIM(N117))=0</formula>
    </cfRule>
    <cfRule type="containsBlanks" dxfId="14963" priority="14797">
      <formula>LEN(TRIM(N117))=0</formula>
    </cfRule>
    <cfRule type="containsBlanks" dxfId="14962" priority="14798">
      <formula>LEN(TRIM(N117))=0</formula>
    </cfRule>
    <cfRule type="containsBlanks" dxfId="14961" priority="14799">
      <formula>LEN(TRIM(N117))=0</formula>
    </cfRule>
    <cfRule type="containsBlanks" dxfId="14960" priority="14800">
      <formula>LEN(TRIM(N117))=0</formula>
    </cfRule>
    <cfRule type="containsBlanks" dxfId="14959" priority="14801">
      <formula>LEN(TRIM(N117))=0</formula>
    </cfRule>
    <cfRule type="containsBlanks" dxfId="14958" priority="14802">
      <formula>LEN(TRIM(N117))=0</formula>
    </cfRule>
    <cfRule type="containsBlanks" dxfId="14957" priority="14803">
      <formula>LEN(TRIM(N117))=0</formula>
    </cfRule>
    <cfRule type="containsBlanks" dxfId="14956" priority="14804">
      <formula>LEN(TRIM(N117))=0</formula>
    </cfRule>
    <cfRule type="containsBlanks" dxfId="14955" priority="14805">
      <formula>LEN(TRIM(N117))=0</formula>
    </cfRule>
    <cfRule type="containsBlanks" dxfId="14954" priority="14806">
      <formula>LEN(TRIM(N117))=0</formula>
    </cfRule>
    <cfRule type="containsBlanks" dxfId="14953" priority="14807">
      <formula>LEN(TRIM(N117))=0</formula>
    </cfRule>
    <cfRule type="containsBlanks" dxfId="14952" priority="14808">
      <formula>LEN(TRIM(N117))=0</formula>
    </cfRule>
    <cfRule type="containsBlanks" dxfId="14951" priority="14809">
      <formula>LEN(TRIM(N117))=0</formula>
    </cfRule>
    <cfRule type="containsBlanks" dxfId="14950" priority="14810">
      <formula>LEN(TRIM(N117))=0</formula>
    </cfRule>
    <cfRule type="containsBlanks" dxfId="14949" priority="14811">
      <formula>LEN(TRIM(N117))=0</formula>
    </cfRule>
    <cfRule type="containsBlanks" dxfId="14948" priority="14812">
      <formula>LEN(TRIM(N117))=0</formula>
    </cfRule>
    <cfRule type="containsBlanks" dxfId="14947" priority="14813">
      <formula>LEN(TRIM(N117))=0</formula>
    </cfRule>
    <cfRule type="containsBlanks" dxfId="14946" priority="14814">
      <formula>LEN(TRIM(N117))=0</formula>
    </cfRule>
    <cfRule type="containsBlanks" dxfId="14945" priority="14815">
      <formula>LEN(TRIM(N117))=0</formula>
    </cfRule>
    <cfRule type="containsBlanks" dxfId="14944" priority="14816">
      <formula>LEN(TRIM(N117))=0</formula>
    </cfRule>
    <cfRule type="containsBlanks" dxfId="14943" priority="14817">
      <formula>LEN(TRIM(N117))=0</formula>
    </cfRule>
    <cfRule type="containsBlanks" dxfId="14942" priority="14818">
      <formula>LEN(TRIM(N117))=0</formula>
    </cfRule>
    <cfRule type="containsBlanks" dxfId="14941" priority="14819">
      <formula>LEN(TRIM(N117))=0</formula>
    </cfRule>
    <cfRule type="containsBlanks" dxfId="14940" priority="14820">
      <formula>LEN(TRIM(N117))=0</formula>
    </cfRule>
    <cfRule type="containsBlanks" dxfId="14939" priority="14821">
      <formula>LEN(TRIM(N117))=0</formula>
    </cfRule>
    <cfRule type="containsBlanks" dxfId="14938" priority="14822">
      <formula>LEN(TRIM(N117))=0</formula>
    </cfRule>
    <cfRule type="containsBlanks" dxfId="14937" priority="14823">
      <formula>LEN(TRIM(N117))=0</formula>
    </cfRule>
    <cfRule type="containsBlanks" dxfId="14936" priority="14824">
      <formula>LEN(TRIM(N117))=0</formula>
    </cfRule>
    <cfRule type="containsBlanks" dxfId="14935" priority="14825">
      <formula>LEN(TRIM(N117))=0</formula>
    </cfRule>
    <cfRule type="containsBlanks" dxfId="14934" priority="14826">
      <formula>LEN(TRIM(N117))=0</formula>
    </cfRule>
    <cfRule type="containsBlanks" dxfId="14933" priority="14827">
      <formula>LEN(TRIM(N117))=0</formula>
    </cfRule>
    <cfRule type="containsBlanks" dxfId="14932" priority="14828">
      <formula>LEN(TRIM(N117))=0</formula>
    </cfRule>
    <cfRule type="containsBlanks" dxfId="14931" priority="14829">
      <formula>LEN(TRIM(N117))=0</formula>
    </cfRule>
    <cfRule type="containsBlanks" dxfId="14930" priority="14830">
      <formula>LEN(TRIM(N117))=0</formula>
    </cfRule>
    <cfRule type="containsBlanks" dxfId="14929" priority="14831">
      <formula>LEN(TRIM(N117))=0</formula>
    </cfRule>
    <cfRule type="containsBlanks" dxfId="14928" priority="14832">
      <formula>LEN(TRIM(N117))=0</formula>
    </cfRule>
    <cfRule type="containsBlanks" dxfId="14927" priority="14833">
      <formula>LEN(TRIM(N117))=0</formula>
    </cfRule>
    <cfRule type="containsBlanks" dxfId="14926" priority="14834">
      <formula>LEN(TRIM(N117))=0</formula>
    </cfRule>
    <cfRule type="containsBlanks" dxfId="14925" priority="14835">
      <formula>LEN(TRIM(N117))=0</formula>
    </cfRule>
    <cfRule type="containsBlanks" dxfId="14924" priority="14836">
      <formula>LEN(TRIM(N117))=0</formula>
    </cfRule>
    <cfRule type="containsBlanks" dxfId="14923" priority="14837">
      <formula>LEN(TRIM(N117))=0</formula>
    </cfRule>
    <cfRule type="containsBlanks" dxfId="14922" priority="14838">
      <formula>LEN(TRIM(N117))=0</formula>
    </cfRule>
    <cfRule type="containsBlanks" dxfId="14921" priority="14839">
      <formula>LEN(TRIM(N117))=0</formula>
    </cfRule>
    <cfRule type="containsBlanks" dxfId="14920" priority="14840">
      <formula>LEN(TRIM(N117))=0</formula>
    </cfRule>
    <cfRule type="containsBlanks" dxfId="14919" priority="14841">
      <formula>LEN(TRIM(N117))=0</formula>
    </cfRule>
    <cfRule type="containsBlanks" dxfId="14918" priority="14842">
      <formula>LEN(TRIM(N117))=0</formula>
    </cfRule>
    <cfRule type="containsBlanks" dxfId="14917" priority="14843">
      <formula>LEN(TRIM(N117))=0</formula>
    </cfRule>
    <cfRule type="containsBlanks" dxfId="14916" priority="14844">
      <formula>LEN(TRIM(N117))=0</formula>
    </cfRule>
    <cfRule type="containsBlanks" dxfId="14915" priority="14845">
      <formula>LEN(TRIM(N117))=0</formula>
    </cfRule>
    <cfRule type="containsBlanks" dxfId="14914" priority="14846">
      <formula>LEN(TRIM(N117))=0</formula>
    </cfRule>
    <cfRule type="containsBlanks" dxfId="14913" priority="14847">
      <formula>LEN(TRIM(N117))=0</formula>
    </cfRule>
  </conditionalFormatting>
  <conditionalFormatting sqref="N120:N124">
    <cfRule type="containsBlanks" dxfId="14912" priority="11198">
      <formula>LEN(TRIM(N120))=0</formula>
    </cfRule>
    <cfRule type="containsBlanks" dxfId="14911" priority="11199">
      <formula>LEN(TRIM(N120))=0</formula>
    </cfRule>
    <cfRule type="containsBlanks" dxfId="14910" priority="11200">
      <formula>LEN(TRIM(N120))=0</formula>
    </cfRule>
    <cfRule type="containsBlanks" dxfId="14909" priority="11201">
      <formula>LEN(TRIM(N120))=0</formula>
    </cfRule>
    <cfRule type="containsBlanks" dxfId="14908" priority="11202">
      <formula>LEN(TRIM(N120))=0</formula>
    </cfRule>
    <cfRule type="containsBlanks" dxfId="14907" priority="11203">
      <formula>LEN(TRIM(N120))=0</formula>
    </cfRule>
    <cfRule type="containsBlanks" dxfId="14906" priority="11204">
      <formula>LEN(TRIM(N120))=0</formula>
    </cfRule>
    <cfRule type="containsBlanks" dxfId="14905" priority="11205">
      <formula>LEN(TRIM(N120))=0</formula>
    </cfRule>
    <cfRule type="containsBlanks" dxfId="14904" priority="11206">
      <formula>LEN(TRIM(N120))=0</formula>
    </cfRule>
    <cfRule type="containsBlanks" dxfId="14903" priority="11207">
      <formula>LEN(TRIM(N120))=0</formula>
    </cfRule>
    <cfRule type="containsBlanks" dxfId="14902" priority="11208">
      <formula>LEN(TRIM(N120))=0</formula>
    </cfRule>
    <cfRule type="containsBlanks" dxfId="14901" priority="11209">
      <formula>LEN(TRIM(N120))=0</formula>
    </cfRule>
    <cfRule type="containsBlanks" dxfId="14900" priority="11210">
      <formula>LEN(TRIM(N120))=0</formula>
    </cfRule>
    <cfRule type="containsBlanks" dxfId="14899" priority="11211">
      <formula>LEN(TRIM(N120))=0</formula>
    </cfRule>
    <cfRule type="containsBlanks" dxfId="14898" priority="11212">
      <formula>LEN(TRIM(N120))=0</formula>
    </cfRule>
    <cfRule type="containsBlanks" dxfId="14897" priority="11213">
      <formula>LEN(TRIM(N120))=0</formula>
    </cfRule>
    <cfRule type="containsBlanks" dxfId="14896" priority="11214">
      <formula>LEN(TRIM(N120))=0</formula>
    </cfRule>
    <cfRule type="containsBlanks" dxfId="14895" priority="11215">
      <formula>LEN(TRIM(N120))=0</formula>
    </cfRule>
    <cfRule type="containsBlanks" dxfId="14894" priority="11216">
      <formula>LEN(TRIM(N120))=0</formula>
    </cfRule>
    <cfRule type="containsBlanks" dxfId="14893" priority="11217">
      <formula>LEN(TRIM(N120))=0</formula>
    </cfRule>
    <cfRule type="containsBlanks" dxfId="14892" priority="11218">
      <formula>LEN(TRIM(N120))=0</formula>
    </cfRule>
    <cfRule type="containsBlanks" dxfId="14891" priority="11219">
      <formula>LEN(TRIM(N120))=0</formula>
    </cfRule>
    <cfRule type="containsBlanks" dxfId="14890" priority="11220">
      <formula>LEN(TRIM(N120))=0</formula>
    </cfRule>
    <cfRule type="containsBlanks" dxfId="14889" priority="11221">
      <formula>LEN(TRIM(N120))=0</formula>
    </cfRule>
    <cfRule type="containsBlanks" dxfId="14888" priority="11222">
      <formula>LEN(TRIM(N120))=0</formula>
    </cfRule>
    <cfRule type="containsBlanks" dxfId="14887" priority="11223">
      <formula>LEN(TRIM(N120))=0</formula>
    </cfRule>
    <cfRule type="containsBlanks" dxfId="14886" priority="11224">
      <formula>LEN(TRIM(N120))=0</formula>
    </cfRule>
    <cfRule type="containsBlanks" dxfId="14885" priority="11225">
      <formula>LEN(TRIM(N120))=0</formula>
    </cfRule>
  </conditionalFormatting>
  <conditionalFormatting sqref="N126">
    <cfRule type="containsBlanks" dxfId="14884" priority="11170">
      <formula>LEN(TRIM(N126))=0</formula>
    </cfRule>
    <cfRule type="containsBlanks" dxfId="14883" priority="11171">
      <formula>LEN(TRIM(N126))=0</formula>
    </cfRule>
    <cfRule type="containsBlanks" dxfId="14882" priority="11172">
      <formula>LEN(TRIM(N126))=0</formula>
    </cfRule>
    <cfRule type="containsBlanks" dxfId="14881" priority="11173">
      <formula>LEN(TRIM(N126))=0</formula>
    </cfRule>
    <cfRule type="containsBlanks" dxfId="14880" priority="11174">
      <formula>LEN(TRIM(N126))=0</formula>
    </cfRule>
    <cfRule type="containsBlanks" dxfId="14879" priority="11175">
      <formula>LEN(TRIM(N126))=0</formula>
    </cfRule>
    <cfRule type="containsBlanks" dxfId="14878" priority="11176">
      <formula>LEN(TRIM(N126))=0</formula>
    </cfRule>
    <cfRule type="containsBlanks" dxfId="14877" priority="11177">
      <formula>LEN(TRIM(N126))=0</formula>
    </cfRule>
    <cfRule type="containsBlanks" dxfId="14876" priority="11178">
      <formula>LEN(TRIM(N126))=0</formula>
    </cfRule>
    <cfRule type="containsBlanks" dxfId="14875" priority="11179">
      <formula>LEN(TRIM(N126))=0</formula>
    </cfRule>
    <cfRule type="containsBlanks" dxfId="14874" priority="11180">
      <formula>LEN(TRIM(N126))=0</formula>
    </cfRule>
    <cfRule type="containsBlanks" dxfId="14873" priority="11181">
      <formula>LEN(TRIM(N126))=0</formula>
    </cfRule>
    <cfRule type="containsBlanks" dxfId="14872" priority="11182">
      <formula>LEN(TRIM(N126))=0</formula>
    </cfRule>
    <cfRule type="containsBlanks" dxfId="14871" priority="11183">
      <formula>LEN(TRIM(N126))=0</formula>
    </cfRule>
    <cfRule type="containsBlanks" dxfId="14870" priority="11184">
      <formula>LEN(TRIM(N126))=0</formula>
    </cfRule>
    <cfRule type="containsBlanks" dxfId="14869" priority="11185">
      <formula>LEN(TRIM(N126))=0</formula>
    </cfRule>
    <cfRule type="containsBlanks" dxfId="14868" priority="11186">
      <formula>LEN(TRIM(N126))=0</formula>
    </cfRule>
    <cfRule type="containsBlanks" dxfId="14867" priority="11187">
      <formula>LEN(TRIM(N126))=0</formula>
    </cfRule>
    <cfRule type="containsBlanks" dxfId="14866" priority="11188">
      <formula>LEN(TRIM(N126))=0</formula>
    </cfRule>
    <cfRule type="containsBlanks" dxfId="14865" priority="11189">
      <formula>LEN(TRIM(N126))=0</formula>
    </cfRule>
    <cfRule type="containsBlanks" dxfId="14864" priority="11190">
      <formula>LEN(TRIM(N126))=0</formula>
    </cfRule>
    <cfRule type="containsBlanks" dxfId="14863" priority="11191">
      <formula>LEN(TRIM(N126))=0</formula>
    </cfRule>
    <cfRule type="containsBlanks" dxfId="14862" priority="11192">
      <formula>LEN(TRIM(N126))=0</formula>
    </cfRule>
    <cfRule type="containsBlanks" dxfId="14861" priority="11193">
      <formula>LEN(TRIM(N126))=0</formula>
    </cfRule>
    <cfRule type="containsBlanks" dxfId="14860" priority="11194">
      <formula>LEN(TRIM(N126))=0</formula>
    </cfRule>
    <cfRule type="containsBlanks" dxfId="14859" priority="11195">
      <formula>LEN(TRIM(N126))=0</formula>
    </cfRule>
    <cfRule type="containsBlanks" dxfId="14858" priority="11196">
      <formula>LEN(TRIM(N126))=0</formula>
    </cfRule>
    <cfRule type="containsBlanks" dxfId="14857" priority="11197">
      <formula>LEN(TRIM(N126))=0</formula>
    </cfRule>
  </conditionalFormatting>
  <conditionalFormatting sqref="N127">
    <cfRule type="containsBlanks" dxfId="14856" priority="10686">
      <formula>LEN(TRIM(N127))=0</formula>
    </cfRule>
    <cfRule type="containsBlanks" dxfId="14855" priority="10687">
      <formula>LEN(TRIM(N127))=0</formula>
    </cfRule>
    <cfRule type="containsBlanks" dxfId="14854" priority="10688">
      <formula>LEN(TRIM(N127))=0</formula>
    </cfRule>
    <cfRule type="containsBlanks" dxfId="14853" priority="10689">
      <formula>LEN(TRIM(N127))=0</formula>
    </cfRule>
    <cfRule type="containsBlanks" dxfId="14852" priority="10690">
      <formula>LEN(TRIM(N127))=0</formula>
    </cfRule>
    <cfRule type="containsBlanks" dxfId="14851" priority="10691">
      <formula>LEN(TRIM(N127))=0</formula>
    </cfRule>
    <cfRule type="containsBlanks" dxfId="14850" priority="10692">
      <formula>LEN(TRIM(N127))=0</formula>
    </cfRule>
    <cfRule type="containsBlanks" dxfId="14849" priority="10693">
      <formula>LEN(TRIM(N127))=0</formula>
    </cfRule>
    <cfRule type="containsBlanks" dxfId="14848" priority="10694">
      <formula>LEN(TRIM(N127))=0</formula>
    </cfRule>
    <cfRule type="containsBlanks" dxfId="14847" priority="10695">
      <formula>LEN(TRIM(N127))=0</formula>
    </cfRule>
    <cfRule type="containsBlanks" dxfId="14846" priority="10696">
      <formula>LEN(TRIM(N127))=0</formula>
    </cfRule>
    <cfRule type="containsBlanks" dxfId="14845" priority="10697">
      <formula>LEN(TRIM(N127))=0</formula>
    </cfRule>
    <cfRule type="containsBlanks" dxfId="14844" priority="10698">
      <formula>LEN(TRIM(N127))=0</formula>
    </cfRule>
    <cfRule type="containsBlanks" dxfId="14843" priority="10699">
      <formula>LEN(TRIM(N127))=0</formula>
    </cfRule>
    <cfRule type="containsBlanks" dxfId="14842" priority="10700">
      <formula>LEN(TRIM(N127))=0</formula>
    </cfRule>
    <cfRule type="containsBlanks" dxfId="14841" priority="10701">
      <formula>LEN(TRIM(N127))=0</formula>
    </cfRule>
    <cfRule type="containsBlanks" dxfId="14840" priority="10702">
      <formula>LEN(TRIM(N127))=0</formula>
    </cfRule>
    <cfRule type="containsBlanks" dxfId="14839" priority="10703">
      <formula>LEN(TRIM(N127))=0</formula>
    </cfRule>
    <cfRule type="containsBlanks" dxfId="14838" priority="10704">
      <formula>LEN(TRIM(N127))=0</formula>
    </cfRule>
    <cfRule type="containsBlanks" dxfId="14837" priority="10705">
      <formula>LEN(TRIM(N127))=0</formula>
    </cfRule>
    <cfRule type="containsBlanks" dxfId="14836" priority="10706">
      <formula>LEN(TRIM(N127))=0</formula>
    </cfRule>
    <cfRule type="containsBlanks" dxfId="14835" priority="10707">
      <formula>LEN(TRIM(N127))=0</formula>
    </cfRule>
    <cfRule type="containsBlanks" dxfId="14834" priority="10708">
      <formula>LEN(TRIM(N127))=0</formula>
    </cfRule>
    <cfRule type="containsBlanks" dxfId="14833" priority="10709">
      <formula>LEN(TRIM(N127))=0</formula>
    </cfRule>
    <cfRule type="containsBlanks" dxfId="14832" priority="10710">
      <formula>LEN(TRIM(N127))=0</formula>
    </cfRule>
    <cfRule type="containsBlanks" dxfId="14831" priority="10711">
      <formula>LEN(TRIM(N127))=0</formula>
    </cfRule>
    <cfRule type="containsBlanks" dxfId="14830" priority="10712">
      <formula>LEN(TRIM(N127))=0</formula>
    </cfRule>
    <cfRule type="containsBlanks" dxfId="14829" priority="10713">
      <formula>LEN(TRIM(N127))=0</formula>
    </cfRule>
  </conditionalFormatting>
  <conditionalFormatting sqref="N129:N130">
    <cfRule type="containsBlanks" dxfId="14828" priority="11142">
      <formula>LEN(TRIM(N129))=0</formula>
    </cfRule>
    <cfRule type="containsBlanks" dxfId="14827" priority="11143">
      <formula>LEN(TRIM(N129))=0</formula>
    </cfRule>
    <cfRule type="containsBlanks" dxfId="14826" priority="11144">
      <formula>LEN(TRIM(N129))=0</formula>
    </cfRule>
    <cfRule type="containsBlanks" dxfId="14825" priority="11145">
      <formula>LEN(TRIM(N129))=0</formula>
    </cfRule>
    <cfRule type="containsBlanks" dxfId="14824" priority="11146">
      <formula>LEN(TRIM(N129))=0</formula>
    </cfRule>
    <cfRule type="containsBlanks" dxfId="14823" priority="11147">
      <formula>LEN(TRIM(N129))=0</formula>
    </cfRule>
    <cfRule type="containsBlanks" dxfId="14822" priority="11148">
      <formula>LEN(TRIM(N129))=0</formula>
    </cfRule>
    <cfRule type="containsBlanks" dxfId="14821" priority="11149">
      <formula>LEN(TRIM(N129))=0</formula>
    </cfRule>
    <cfRule type="containsBlanks" dxfId="14820" priority="11150">
      <formula>LEN(TRIM(N129))=0</formula>
    </cfRule>
    <cfRule type="containsBlanks" dxfId="14819" priority="11151">
      <formula>LEN(TRIM(N129))=0</formula>
    </cfRule>
    <cfRule type="containsBlanks" dxfId="14818" priority="11152">
      <formula>LEN(TRIM(N129))=0</formula>
    </cfRule>
    <cfRule type="containsBlanks" dxfId="14817" priority="11153">
      <formula>LEN(TRIM(N129))=0</formula>
    </cfRule>
    <cfRule type="containsBlanks" dxfId="14816" priority="11154">
      <formula>LEN(TRIM(N129))=0</formula>
    </cfRule>
    <cfRule type="containsBlanks" dxfId="14815" priority="11155">
      <formula>LEN(TRIM(N129))=0</formula>
    </cfRule>
    <cfRule type="containsBlanks" dxfId="14814" priority="11156">
      <formula>LEN(TRIM(N129))=0</formula>
    </cfRule>
    <cfRule type="containsBlanks" dxfId="14813" priority="11157">
      <formula>LEN(TRIM(N129))=0</formula>
    </cfRule>
    <cfRule type="containsBlanks" dxfId="14812" priority="11158">
      <formula>LEN(TRIM(N129))=0</formula>
    </cfRule>
    <cfRule type="containsBlanks" dxfId="14811" priority="11159">
      <formula>LEN(TRIM(N129))=0</formula>
    </cfRule>
    <cfRule type="containsBlanks" dxfId="14810" priority="11160">
      <formula>LEN(TRIM(N129))=0</formula>
    </cfRule>
    <cfRule type="containsBlanks" dxfId="14809" priority="11161">
      <formula>LEN(TRIM(N129))=0</formula>
    </cfRule>
    <cfRule type="containsBlanks" dxfId="14808" priority="11162">
      <formula>LEN(TRIM(N129))=0</formula>
    </cfRule>
    <cfRule type="containsBlanks" dxfId="14807" priority="11163">
      <formula>LEN(TRIM(N129))=0</formula>
    </cfRule>
    <cfRule type="containsBlanks" dxfId="14806" priority="11164">
      <formula>LEN(TRIM(N129))=0</formula>
    </cfRule>
    <cfRule type="containsBlanks" dxfId="14805" priority="11165">
      <formula>LEN(TRIM(N129))=0</formula>
    </cfRule>
    <cfRule type="containsBlanks" dxfId="14804" priority="11166">
      <formula>LEN(TRIM(N129))=0</formula>
    </cfRule>
    <cfRule type="containsBlanks" dxfId="14803" priority="11167">
      <formula>LEN(TRIM(N129))=0</formula>
    </cfRule>
    <cfRule type="containsBlanks" dxfId="14802" priority="11168">
      <formula>LEN(TRIM(N129))=0</formula>
    </cfRule>
    <cfRule type="containsBlanks" dxfId="14801" priority="11169">
      <formula>LEN(TRIM(N129))=0</formula>
    </cfRule>
  </conditionalFormatting>
  <conditionalFormatting sqref="N131">
    <cfRule type="containsBlanks" dxfId="14800" priority="10714">
      <formula>LEN(TRIM(N131))=0</formula>
    </cfRule>
    <cfRule type="containsBlanks" dxfId="14799" priority="10715">
      <formula>LEN(TRIM(N131))=0</formula>
    </cfRule>
    <cfRule type="containsBlanks" dxfId="14798" priority="10716">
      <formula>LEN(TRIM(N131))=0</formula>
    </cfRule>
    <cfRule type="containsBlanks" dxfId="14797" priority="10717">
      <formula>LEN(TRIM(N131))=0</formula>
    </cfRule>
    <cfRule type="containsBlanks" dxfId="14796" priority="10718">
      <formula>LEN(TRIM(N131))=0</formula>
    </cfRule>
    <cfRule type="containsBlanks" dxfId="14795" priority="10719">
      <formula>LEN(TRIM(N131))=0</formula>
    </cfRule>
    <cfRule type="containsBlanks" dxfId="14794" priority="10720">
      <formula>LEN(TRIM(N131))=0</formula>
    </cfRule>
    <cfRule type="containsBlanks" dxfId="14793" priority="10721">
      <formula>LEN(TRIM(N131))=0</formula>
    </cfRule>
    <cfRule type="containsBlanks" dxfId="14792" priority="10722">
      <formula>LEN(TRIM(N131))=0</formula>
    </cfRule>
    <cfRule type="containsBlanks" dxfId="14791" priority="10723">
      <formula>LEN(TRIM(N131))=0</formula>
    </cfRule>
    <cfRule type="containsBlanks" dxfId="14790" priority="10724">
      <formula>LEN(TRIM(N131))=0</formula>
    </cfRule>
    <cfRule type="containsBlanks" dxfId="14789" priority="10725">
      <formula>LEN(TRIM(N131))=0</formula>
    </cfRule>
    <cfRule type="containsBlanks" dxfId="14788" priority="10726">
      <formula>LEN(TRIM(N131))=0</formula>
    </cfRule>
    <cfRule type="containsBlanks" dxfId="14787" priority="10727">
      <formula>LEN(TRIM(N131))=0</formula>
    </cfRule>
    <cfRule type="containsBlanks" dxfId="14786" priority="10728">
      <formula>LEN(TRIM(N131))=0</formula>
    </cfRule>
    <cfRule type="containsBlanks" dxfId="14785" priority="10729">
      <formula>LEN(TRIM(N131))=0</formula>
    </cfRule>
    <cfRule type="containsBlanks" dxfId="14784" priority="10730">
      <formula>LEN(TRIM(N131))=0</formula>
    </cfRule>
    <cfRule type="containsBlanks" dxfId="14783" priority="10731">
      <formula>LEN(TRIM(N131))=0</formula>
    </cfRule>
    <cfRule type="containsBlanks" dxfId="14782" priority="10732">
      <formula>LEN(TRIM(N131))=0</formula>
    </cfRule>
    <cfRule type="containsBlanks" dxfId="14781" priority="10733">
      <formula>LEN(TRIM(N131))=0</formula>
    </cfRule>
    <cfRule type="containsBlanks" dxfId="14780" priority="10734">
      <formula>LEN(TRIM(N131))=0</formula>
    </cfRule>
    <cfRule type="containsBlanks" dxfId="14779" priority="10735">
      <formula>LEN(TRIM(N131))=0</formula>
    </cfRule>
    <cfRule type="containsBlanks" dxfId="14778" priority="10736">
      <formula>LEN(TRIM(N131))=0</formula>
    </cfRule>
    <cfRule type="containsBlanks" dxfId="14777" priority="10737">
      <formula>LEN(TRIM(N131))=0</formula>
    </cfRule>
    <cfRule type="containsBlanks" dxfId="14776" priority="10738">
      <formula>LEN(TRIM(N131))=0</formula>
    </cfRule>
    <cfRule type="containsBlanks" dxfId="14775" priority="10739">
      <formula>LEN(TRIM(N131))=0</formula>
    </cfRule>
    <cfRule type="containsBlanks" dxfId="14774" priority="10740">
      <formula>LEN(TRIM(N131))=0</formula>
    </cfRule>
    <cfRule type="containsBlanks" dxfId="14773" priority="10741">
      <formula>LEN(TRIM(N131))=0</formula>
    </cfRule>
  </conditionalFormatting>
  <conditionalFormatting sqref="N132:N133">
    <cfRule type="containsBlanks" dxfId="14772" priority="11114">
      <formula>LEN(TRIM(N132))=0</formula>
    </cfRule>
    <cfRule type="containsBlanks" dxfId="14771" priority="11115">
      <formula>LEN(TRIM(N132))=0</formula>
    </cfRule>
    <cfRule type="containsBlanks" dxfId="14770" priority="11116">
      <formula>LEN(TRIM(N132))=0</formula>
    </cfRule>
    <cfRule type="containsBlanks" dxfId="14769" priority="11117">
      <formula>LEN(TRIM(N132))=0</formula>
    </cfRule>
    <cfRule type="containsBlanks" dxfId="14768" priority="11118">
      <formula>LEN(TRIM(N132))=0</formula>
    </cfRule>
    <cfRule type="containsBlanks" dxfId="14767" priority="11119">
      <formula>LEN(TRIM(N132))=0</formula>
    </cfRule>
    <cfRule type="containsBlanks" dxfId="14766" priority="11120">
      <formula>LEN(TRIM(N132))=0</formula>
    </cfRule>
    <cfRule type="containsBlanks" dxfId="14765" priority="11121">
      <formula>LEN(TRIM(N132))=0</formula>
    </cfRule>
    <cfRule type="containsBlanks" dxfId="14764" priority="11122">
      <formula>LEN(TRIM(N132))=0</formula>
    </cfRule>
    <cfRule type="containsBlanks" dxfId="14763" priority="11123">
      <formula>LEN(TRIM(N132))=0</formula>
    </cfRule>
    <cfRule type="containsBlanks" dxfId="14762" priority="11124">
      <formula>LEN(TRIM(N132))=0</formula>
    </cfRule>
    <cfRule type="containsBlanks" dxfId="14761" priority="11125">
      <formula>LEN(TRIM(N132))=0</formula>
    </cfRule>
    <cfRule type="containsBlanks" dxfId="14760" priority="11126">
      <formula>LEN(TRIM(N132))=0</formula>
    </cfRule>
    <cfRule type="containsBlanks" dxfId="14759" priority="11127">
      <formula>LEN(TRIM(N132))=0</formula>
    </cfRule>
    <cfRule type="containsBlanks" dxfId="14758" priority="11128">
      <formula>LEN(TRIM(N132))=0</formula>
    </cfRule>
    <cfRule type="containsBlanks" dxfId="14757" priority="11129">
      <formula>LEN(TRIM(N132))=0</formula>
    </cfRule>
    <cfRule type="containsBlanks" dxfId="14756" priority="11130">
      <formula>LEN(TRIM(N132))=0</formula>
    </cfRule>
    <cfRule type="containsBlanks" dxfId="14755" priority="11131">
      <formula>LEN(TRIM(N132))=0</formula>
    </cfRule>
    <cfRule type="containsBlanks" dxfId="14754" priority="11132">
      <formula>LEN(TRIM(N132))=0</formula>
    </cfRule>
    <cfRule type="containsBlanks" dxfId="14753" priority="11133">
      <formula>LEN(TRIM(N132))=0</formula>
    </cfRule>
    <cfRule type="containsBlanks" dxfId="14752" priority="11134">
      <formula>LEN(TRIM(N132))=0</formula>
    </cfRule>
    <cfRule type="containsBlanks" dxfId="14751" priority="11135">
      <formula>LEN(TRIM(N132))=0</formula>
    </cfRule>
    <cfRule type="containsBlanks" dxfId="14750" priority="11136">
      <formula>LEN(TRIM(N132))=0</formula>
    </cfRule>
    <cfRule type="containsBlanks" dxfId="14749" priority="11137">
      <formula>LEN(TRIM(N132))=0</formula>
    </cfRule>
    <cfRule type="containsBlanks" dxfId="14748" priority="11138">
      <formula>LEN(TRIM(N132))=0</formula>
    </cfRule>
    <cfRule type="containsBlanks" dxfId="14747" priority="11139">
      <formula>LEN(TRIM(N132))=0</formula>
    </cfRule>
    <cfRule type="containsBlanks" dxfId="14746" priority="11140">
      <formula>LEN(TRIM(N132))=0</formula>
    </cfRule>
    <cfRule type="containsBlanks" dxfId="14745" priority="11141">
      <formula>LEN(TRIM(N132))=0</formula>
    </cfRule>
  </conditionalFormatting>
  <conditionalFormatting sqref="N135:N145">
    <cfRule type="containsBlanks" dxfId="14744" priority="11086">
      <formula>LEN(TRIM(N135))=0</formula>
    </cfRule>
    <cfRule type="containsBlanks" dxfId="14743" priority="11087">
      <formula>LEN(TRIM(N135))=0</formula>
    </cfRule>
    <cfRule type="containsBlanks" dxfId="14742" priority="11088">
      <formula>LEN(TRIM(N135))=0</formula>
    </cfRule>
    <cfRule type="containsBlanks" dxfId="14741" priority="11089">
      <formula>LEN(TRIM(N135))=0</formula>
    </cfRule>
    <cfRule type="containsBlanks" dxfId="14740" priority="11090">
      <formula>LEN(TRIM(N135))=0</formula>
    </cfRule>
    <cfRule type="containsBlanks" dxfId="14739" priority="11091">
      <formula>LEN(TRIM(N135))=0</formula>
    </cfRule>
    <cfRule type="containsBlanks" dxfId="14738" priority="11092">
      <formula>LEN(TRIM(N135))=0</formula>
    </cfRule>
    <cfRule type="containsBlanks" dxfId="14737" priority="11093">
      <formula>LEN(TRIM(N135))=0</formula>
    </cfRule>
    <cfRule type="containsBlanks" dxfId="14736" priority="11094">
      <formula>LEN(TRIM(N135))=0</formula>
    </cfRule>
    <cfRule type="containsBlanks" dxfId="14735" priority="11095">
      <formula>LEN(TRIM(N135))=0</formula>
    </cfRule>
    <cfRule type="containsBlanks" dxfId="14734" priority="11096">
      <formula>LEN(TRIM(N135))=0</formula>
    </cfRule>
    <cfRule type="containsBlanks" dxfId="14733" priority="11097">
      <formula>LEN(TRIM(N135))=0</formula>
    </cfRule>
    <cfRule type="containsBlanks" dxfId="14732" priority="11098">
      <formula>LEN(TRIM(N135))=0</formula>
    </cfRule>
    <cfRule type="containsBlanks" dxfId="14731" priority="11099">
      <formula>LEN(TRIM(N135))=0</formula>
    </cfRule>
    <cfRule type="containsBlanks" dxfId="14730" priority="11100">
      <formula>LEN(TRIM(N135))=0</formula>
    </cfRule>
    <cfRule type="containsBlanks" dxfId="14729" priority="11101">
      <formula>LEN(TRIM(N135))=0</formula>
    </cfRule>
    <cfRule type="containsBlanks" dxfId="14728" priority="11102">
      <formula>LEN(TRIM(N135))=0</formula>
    </cfRule>
    <cfRule type="containsBlanks" dxfId="14727" priority="11103">
      <formula>LEN(TRIM(N135))=0</formula>
    </cfRule>
    <cfRule type="containsBlanks" dxfId="14726" priority="11104">
      <formula>LEN(TRIM(N135))=0</formula>
    </cfRule>
    <cfRule type="containsBlanks" dxfId="14725" priority="11105">
      <formula>LEN(TRIM(N135))=0</formula>
    </cfRule>
    <cfRule type="containsBlanks" dxfId="14724" priority="11106">
      <formula>LEN(TRIM(N135))=0</formula>
    </cfRule>
    <cfRule type="containsBlanks" dxfId="14723" priority="11107">
      <formula>LEN(TRIM(N135))=0</formula>
    </cfRule>
    <cfRule type="containsBlanks" dxfId="14722" priority="11108">
      <formula>LEN(TRIM(N135))=0</formula>
    </cfRule>
    <cfRule type="containsBlanks" dxfId="14721" priority="11109">
      <formula>LEN(TRIM(N135))=0</formula>
    </cfRule>
    <cfRule type="containsBlanks" dxfId="14720" priority="11110">
      <formula>LEN(TRIM(N135))=0</formula>
    </cfRule>
    <cfRule type="containsBlanks" dxfId="14719" priority="11111">
      <formula>LEN(TRIM(N135))=0</formula>
    </cfRule>
    <cfRule type="containsBlanks" dxfId="14718" priority="11112">
      <formula>LEN(TRIM(N135))=0</formula>
    </cfRule>
    <cfRule type="containsBlanks" dxfId="14717" priority="11113">
      <formula>LEN(TRIM(N135))=0</formula>
    </cfRule>
  </conditionalFormatting>
  <conditionalFormatting sqref="N147:N158">
    <cfRule type="containsBlanks" dxfId="14716" priority="11058">
      <formula>LEN(TRIM(N147))=0</formula>
    </cfRule>
    <cfRule type="containsBlanks" dxfId="14715" priority="11059">
      <formula>LEN(TRIM(N147))=0</formula>
    </cfRule>
    <cfRule type="containsBlanks" dxfId="14714" priority="11060">
      <formula>LEN(TRIM(N147))=0</formula>
    </cfRule>
    <cfRule type="containsBlanks" dxfId="14713" priority="11061">
      <formula>LEN(TRIM(N147))=0</formula>
    </cfRule>
    <cfRule type="containsBlanks" dxfId="14712" priority="11062">
      <formula>LEN(TRIM(N147))=0</formula>
    </cfRule>
    <cfRule type="containsBlanks" dxfId="14711" priority="11063">
      <formula>LEN(TRIM(N147))=0</formula>
    </cfRule>
    <cfRule type="containsBlanks" dxfId="14710" priority="11064">
      <formula>LEN(TRIM(N147))=0</formula>
    </cfRule>
    <cfRule type="containsBlanks" dxfId="14709" priority="11065">
      <formula>LEN(TRIM(N147))=0</formula>
    </cfRule>
    <cfRule type="containsBlanks" dxfId="14708" priority="11066">
      <formula>LEN(TRIM(N147))=0</formula>
    </cfRule>
    <cfRule type="containsBlanks" dxfId="14707" priority="11067">
      <formula>LEN(TRIM(N147))=0</formula>
    </cfRule>
    <cfRule type="containsBlanks" dxfId="14706" priority="11068">
      <formula>LEN(TRIM(N147))=0</formula>
    </cfRule>
    <cfRule type="containsBlanks" dxfId="14705" priority="11069">
      <formula>LEN(TRIM(N147))=0</formula>
    </cfRule>
    <cfRule type="containsBlanks" dxfId="14704" priority="11070">
      <formula>LEN(TRIM(N147))=0</formula>
    </cfRule>
    <cfRule type="containsBlanks" dxfId="14703" priority="11071">
      <formula>LEN(TRIM(N147))=0</formula>
    </cfRule>
    <cfRule type="containsBlanks" dxfId="14702" priority="11072">
      <formula>LEN(TRIM(N147))=0</formula>
    </cfRule>
    <cfRule type="containsBlanks" dxfId="14701" priority="11073">
      <formula>LEN(TRIM(N147))=0</formula>
    </cfRule>
    <cfRule type="containsBlanks" dxfId="14700" priority="11074">
      <formula>LEN(TRIM(N147))=0</formula>
    </cfRule>
    <cfRule type="containsBlanks" dxfId="14699" priority="11075">
      <formula>LEN(TRIM(N147))=0</formula>
    </cfRule>
    <cfRule type="containsBlanks" dxfId="14698" priority="11076">
      <formula>LEN(TRIM(N147))=0</formula>
    </cfRule>
    <cfRule type="containsBlanks" dxfId="14697" priority="11077">
      <formula>LEN(TRIM(N147))=0</formula>
    </cfRule>
    <cfRule type="containsBlanks" dxfId="14696" priority="11078">
      <formula>LEN(TRIM(N147))=0</formula>
    </cfRule>
    <cfRule type="containsBlanks" dxfId="14695" priority="11079">
      <formula>LEN(TRIM(N147))=0</formula>
    </cfRule>
    <cfRule type="containsBlanks" dxfId="14694" priority="11080">
      <formula>LEN(TRIM(N147))=0</formula>
    </cfRule>
    <cfRule type="containsBlanks" dxfId="14693" priority="11081">
      <formula>LEN(TRIM(N147))=0</formula>
    </cfRule>
    <cfRule type="containsBlanks" dxfId="14692" priority="11082">
      <formula>LEN(TRIM(N147))=0</formula>
    </cfRule>
    <cfRule type="containsBlanks" dxfId="14691" priority="11083">
      <formula>LEN(TRIM(N147))=0</formula>
    </cfRule>
    <cfRule type="containsBlanks" dxfId="14690" priority="11084">
      <formula>LEN(TRIM(N147))=0</formula>
    </cfRule>
    <cfRule type="containsBlanks" dxfId="14689" priority="11085">
      <formula>LEN(TRIM(N147))=0</formula>
    </cfRule>
  </conditionalFormatting>
  <conditionalFormatting sqref="O99:O156">
    <cfRule type="containsBlanks" dxfId="14688" priority="9855">
      <formula>LEN(TRIM(O99))=0</formula>
    </cfRule>
    <cfRule type="containsBlanks" dxfId="14687" priority="9856">
      <formula>LEN(TRIM(O99))=0</formula>
    </cfRule>
    <cfRule type="containsBlanks" dxfId="14686" priority="9857">
      <formula>LEN(TRIM(O99))=0</formula>
    </cfRule>
    <cfRule type="containsBlanks" dxfId="14685" priority="9858">
      <formula>LEN(TRIM(O99))=0</formula>
    </cfRule>
    <cfRule type="containsBlanks" dxfId="14684" priority="9859">
      <formula>LEN(TRIM(O99))=0</formula>
    </cfRule>
    <cfRule type="containsBlanks" dxfId="14683" priority="9860">
      <formula>LEN(TRIM(O99))=0</formula>
    </cfRule>
    <cfRule type="containsBlanks" dxfId="14682" priority="9861">
      <formula>LEN(TRIM(O99))=0</formula>
    </cfRule>
    <cfRule type="containsBlanks" dxfId="14681" priority="9862">
      <formula>LEN(TRIM(O99))=0</formula>
    </cfRule>
    <cfRule type="containsBlanks" dxfId="14680" priority="9863">
      <formula>LEN(TRIM(O99))=0</formula>
    </cfRule>
    <cfRule type="containsBlanks" dxfId="14679" priority="9864">
      <formula>LEN(TRIM(O99))=0</formula>
    </cfRule>
    <cfRule type="containsBlanks" dxfId="14678" priority="9865">
      <formula>LEN(TRIM(O99))=0</formula>
    </cfRule>
    <cfRule type="containsBlanks" dxfId="14677" priority="9866">
      <formula>LEN(TRIM(O99))=0</formula>
    </cfRule>
    <cfRule type="containsBlanks" dxfId="14676" priority="9867">
      <formula>LEN(TRIM(O99))=0</formula>
    </cfRule>
    <cfRule type="containsBlanks" dxfId="14675" priority="9868">
      <formula>LEN(TRIM(O99))=0</formula>
    </cfRule>
    <cfRule type="containsBlanks" dxfId="14674" priority="9869">
      <formula>LEN(TRIM(O99))=0</formula>
    </cfRule>
    <cfRule type="containsBlanks" dxfId="14673" priority="9870">
      <formula>LEN(TRIM(O99))=0</formula>
    </cfRule>
    <cfRule type="containsBlanks" dxfId="14672" priority="9871">
      <formula>LEN(TRIM(O99))=0</formula>
    </cfRule>
    <cfRule type="containsBlanks" dxfId="14671" priority="9872">
      <formula>LEN(TRIM(O99))=0</formula>
    </cfRule>
    <cfRule type="containsBlanks" dxfId="14670" priority="9873">
      <formula>LEN(TRIM(O99))=0</formula>
    </cfRule>
    <cfRule type="containsBlanks" dxfId="14669" priority="9874">
      <formula>LEN(TRIM(O99))=0</formula>
    </cfRule>
    <cfRule type="containsBlanks" dxfId="14668" priority="9875">
      <formula>LEN(TRIM(O99))=0</formula>
    </cfRule>
    <cfRule type="containsBlanks" dxfId="14667" priority="9876">
      <formula>LEN(TRIM(O99))=0</formula>
    </cfRule>
    <cfRule type="containsBlanks" dxfId="14666" priority="9877">
      <formula>LEN(TRIM(O99))=0</formula>
    </cfRule>
    <cfRule type="containsBlanks" dxfId="14665" priority="9878">
      <formula>LEN(TRIM(O99))=0</formula>
    </cfRule>
    <cfRule type="containsBlanks" dxfId="14664" priority="9879">
      <formula>LEN(TRIM(O99))=0</formula>
    </cfRule>
    <cfRule type="containsBlanks" dxfId="14663" priority="9880">
      <formula>LEN(TRIM(O99))=0</formula>
    </cfRule>
    <cfRule type="containsBlanks" dxfId="14662" priority="9881">
      <formula>LEN(TRIM(O99))=0</formula>
    </cfRule>
    <cfRule type="containsBlanks" dxfId="14661" priority="9882">
      <formula>LEN(TRIM(O99))=0</formula>
    </cfRule>
    <cfRule type="containsBlanks" dxfId="14660" priority="9883">
      <formula>LEN(TRIM(O99))=0</formula>
    </cfRule>
    <cfRule type="containsBlanks" dxfId="14659" priority="9884">
      <formula>LEN(TRIM(O99))=0</formula>
    </cfRule>
    <cfRule type="containsBlanks" dxfId="14658" priority="9885">
      <formula>LEN(TRIM(O99))=0</formula>
    </cfRule>
    <cfRule type="containsBlanks" dxfId="14657" priority="9886">
      <formula>LEN(TRIM(O99))=0</formula>
    </cfRule>
    <cfRule type="containsBlanks" dxfId="14656" priority="9887">
      <formula>LEN(TRIM(O99))=0</formula>
    </cfRule>
    <cfRule type="containsBlanks" dxfId="14655" priority="9888">
      <formula>LEN(TRIM(O99))=0</formula>
    </cfRule>
    <cfRule type="containsBlanks" dxfId="14654" priority="9889">
      <formula>LEN(TRIM(O99))=0</formula>
    </cfRule>
    <cfRule type="containsBlanks" dxfId="14653" priority="9890">
      <formula>LEN(TRIM(O99))=0</formula>
    </cfRule>
    <cfRule type="containsBlanks" dxfId="14652" priority="9891">
      <formula>LEN(TRIM(O99))=0</formula>
    </cfRule>
    <cfRule type="containsBlanks" dxfId="14651" priority="9892">
      <formula>LEN(TRIM(O99))=0</formula>
    </cfRule>
    <cfRule type="containsBlanks" dxfId="14650" priority="9893">
      <formula>LEN(TRIM(O99))=0</formula>
    </cfRule>
    <cfRule type="containsBlanks" dxfId="14649" priority="9894">
      <formula>LEN(TRIM(O99))=0</formula>
    </cfRule>
    <cfRule type="containsBlanks" dxfId="14648" priority="9895">
      <formula>LEN(TRIM(O99))=0</formula>
    </cfRule>
    <cfRule type="containsBlanks" dxfId="14647" priority="9896">
      <formula>LEN(TRIM(O99))=0</formula>
    </cfRule>
    <cfRule type="containsBlanks" dxfId="14646" priority="9897">
      <formula>LEN(TRIM(O99))=0</formula>
    </cfRule>
    <cfRule type="containsBlanks" dxfId="14645" priority="9898">
      <formula>LEN(TRIM(O99))=0</formula>
    </cfRule>
    <cfRule type="containsBlanks" dxfId="14644" priority="9899">
      <formula>LEN(TRIM(O99))=0</formula>
    </cfRule>
    <cfRule type="containsBlanks" dxfId="14643" priority="9900">
      <formula>LEN(TRIM(O99))=0</formula>
    </cfRule>
    <cfRule type="containsBlanks" dxfId="14642" priority="9901">
      <formula>LEN(TRIM(O99))=0</formula>
    </cfRule>
    <cfRule type="containsBlanks" dxfId="14641" priority="9902">
      <formula>LEN(TRIM(O99))=0</formula>
    </cfRule>
    <cfRule type="containsBlanks" dxfId="14640" priority="9903">
      <formula>LEN(TRIM(O99))=0</formula>
    </cfRule>
    <cfRule type="containsBlanks" dxfId="14639" priority="9904">
      <formula>LEN(TRIM(O99))=0</formula>
    </cfRule>
    <cfRule type="containsBlanks" dxfId="14638" priority="9905">
      <formula>LEN(TRIM(O99))=0</formula>
    </cfRule>
    <cfRule type="containsBlanks" dxfId="14637" priority="9906">
      <formula>LEN(TRIM(O99))=0</formula>
    </cfRule>
    <cfRule type="containsBlanks" dxfId="14636" priority="9907">
      <formula>LEN(TRIM(O99))=0</formula>
    </cfRule>
    <cfRule type="containsBlanks" dxfId="14635" priority="9908">
      <formula>LEN(TRIM(O99))=0</formula>
    </cfRule>
    <cfRule type="containsBlanks" dxfId="14634" priority="9909">
      <formula>LEN(TRIM(O99))=0</formula>
    </cfRule>
    <cfRule type="containsBlanks" dxfId="14633" priority="9910">
      <formula>LEN(TRIM(O99))=0</formula>
    </cfRule>
    <cfRule type="containsBlanks" dxfId="14632" priority="9911">
      <formula>LEN(TRIM(O99))=0</formula>
    </cfRule>
    <cfRule type="containsBlanks" dxfId="14631" priority="9912">
      <formula>LEN(TRIM(O99))=0</formula>
    </cfRule>
    <cfRule type="containsBlanks" dxfId="14630" priority="9913">
      <formula>LEN(TRIM(O99))=0</formula>
    </cfRule>
    <cfRule type="containsBlanks" dxfId="14629" priority="9914">
      <formula>LEN(TRIM(O99))=0</formula>
    </cfRule>
    <cfRule type="containsBlanks" dxfId="14628" priority="9915">
      <formula>LEN(TRIM(O99))=0</formula>
    </cfRule>
    <cfRule type="containsBlanks" dxfId="14627" priority="9916">
      <formula>LEN(TRIM(O99))=0</formula>
    </cfRule>
    <cfRule type="containsBlanks" dxfId="14626" priority="9917">
      <formula>LEN(TRIM(O99))=0</formula>
    </cfRule>
    <cfRule type="containsBlanks" dxfId="14625" priority="9918">
      <formula>LEN(TRIM(O99))=0</formula>
    </cfRule>
    <cfRule type="containsBlanks" dxfId="14624" priority="9919">
      <formula>LEN(TRIM(O99))=0</formula>
    </cfRule>
    <cfRule type="containsBlanks" dxfId="14623" priority="9920">
      <formula>LEN(TRIM(O99))=0</formula>
    </cfRule>
    <cfRule type="containsBlanks" dxfId="14622" priority="9921">
      <formula>LEN(TRIM(O99))=0</formula>
    </cfRule>
    <cfRule type="containsBlanks" dxfId="14621" priority="9922">
      <formula>LEN(TRIM(O99))=0</formula>
    </cfRule>
    <cfRule type="containsBlanks" dxfId="14620" priority="9923">
      <formula>LEN(TRIM(O99))=0</formula>
    </cfRule>
    <cfRule type="containsBlanks" dxfId="14619" priority="9924">
      <formula>LEN(TRIM(O99))=0</formula>
    </cfRule>
    <cfRule type="containsBlanks" dxfId="14618" priority="9925">
      <formula>LEN(TRIM(O99))=0</formula>
    </cfRule>
    <cfRule type="containsBlanks" dxfId="14617" priority="9926">
      <formula>LEN(TRIM(O99))=0</formula>
    </cfRule>
    <cfRule type="containsBlanks" dxfId="14616" priority="9927">
      <formula>LEN(TRIM(O99))=0</formula>
    </cfRule>
    <cfRule type="containsBlanks" dxfId="14615" priority="9928">
      <formula>LEN(TRIM(O99))=0</formula>
    </cfRule>
    <cfRule type="containsBlanks" dxfId="14614" priority="9929">
      <formula>LEN(TRIM(O99))=0</formula>
    </cfRule>
    <cfRule type="containsBlanks" dxfId="14613" priority="9930">
      <formula>LEN(TRIM(O99))=0</formula>
    </cfRule>
    <cfRule type="containsBlanks" dxfId="14612" priority="9931">
      <formula>LEN(TRIM(O99))=0</formula>
    </cfRule>
    <cfRule type="containsBlanks" dxfId="14611" priority="9932">
      <formula>LEN(TRIM(O99))=0</formula>
    </cfRule>
    <cfRule type="containsBlanks" dxfId="14610" priority="9933">
      <formula>LEN(TRIM(O99))=0</formula>
    </cfRule>
    <cfRule type="containsBlanks" dxfId="14609" priority="9934">
      <formula>LEN(TRIM(O99))=0</formula>
    </cfRule>
    <cfRule type="containsBlanks" dxfId="14608" priority="9935">
      <formula>LEN(TRIM(O99))=0</formula>
    </cfRule>
    <cfRule type="containsBlanks" dxfId="14607" priority="9936">
      <formula>LEN(TRIM(O99))=0</formula>
    </cfRule>
    <cfRule type="containsBlanks" dxfId="14606" priority="9937">
      <formula>LEN(TRIM(O99))=0</formula>
    </cfRule>
    <cfRule type="containsBlanks" dxfId="14605" priority="9938">
      <formula>LEN(TRIM(O99))=0</formula>
    </cfRule>
    <cfRule type="containsBlanks" dxfId="14604" priority="9939">
      <formula>LEN(TRIM(O99))=0</formula>
    </cfRule>
    <cfRule type="containsBlanks" dxfId="14603" priority="9940">
      <formula>LEN(TRIM(O99))=0</formula>
    </cfRule>
    <cfRule type="containsBlanks" dxfId="14602" priority="9941">
      <formula>LEN(TRIM(O99))=0</formula>
    </cfRule>
    <cfRule type="containsBlanks" dxfId="14601" priority="9942">
      <formula>LEN(TRIM(O99))=0</formula>
    </cfRule>
    <cfRule type="containsBlanks" dxfId="14600" priority="9943">
      <formula>LEN(TRIM(O99))=0</formula>
    </cfRule>
    <cfRule type="containsBlanks" dxfId="14599" priority="9944">
      <formula>LEN(TRIM(O99))=0</formula>
    </cfRule>
    <cfRule type="containsBlanks" dxfId="14598" priority="9945">
      <formula>LEN(TRIM(O99))=0</formula>
    </cfRule>
    <cfRule type="containsBlanks" dxfId="14597" priority="9946">
      <formula>LEN(TRIM(O99))=0</formula>
    </cfRule>
    <cfRule type="containsBlanks" dxfId="14596" priority="9947">
      <formula>LEN(TRIM(O99))=0</formula>
    </cfRule>
    <cfRule type="containsBlanks" dxfId="14595" priority="9948">
      <formula>LEN(TRIM(O99))=0</formula>
    </cfRule>
    <cfRule type="containsBlanks" dxfId="14594" priority="9949">
      <formula>LEN(TRIM(O99))=0</formula>
    </cfRule>
    <cfRule type="containsBlanks" dxfId="14593" priority="9950">
      <formula>LEN(TRIM(O99))=0</formula>
    </cfRule>
    <cfRule type="containsBlanks" dxfId="14592" priority="9951">
      <formula>LEN(TRIM(O99))=0</formula>
    </cfRule>
    <cfRule type="containsBlanks" dxfId="14591" priority="9952">
      <formula>LEN(TRIM(O99))=0</formula>
    </cfRule>
    <cfRule type="containsBlanks" dxfId="14590" priority="9953">
      <formula>LEN(TRIM(O99))=0</formula>
    </cfRule>
    <cfRule type="containsBlanks" dxfId="14589" priority="9954">
      <formula>LEN(TRIM(O99))=0</formula>
    </cfRule>
    <cfRule type="containsBlanks" dxfId="14588" priority="9955">
      <formula>LEN(TRIM(O99))=0</formula>
    </cfRule>
    <cfRule type="containsBlanks" dxfId="14587" priority="9956">
      <formula>LEN(TRIM(O99))=0</formula>
    </cfRule>
    <cfRule type="containsBlanks" dxfId="14586" priority="9957">
      <formula>LEN(TRIM(O99))=0</formula>
    </cfRule>
    <cfRule type="containsBlanks" dxfId="14585" priority="9958">
      <formula>LEN(TRIM(O99))=0</formula>
    </cfRule>
    <cfRule type="containsBlanks" dxfId="14584" priority="9959">
      <formula>LEN(TRIM(O99))=0</formula>
    </cfRule>
    <cfRule type="containsBlanks" dxfId="14583" priority="9960">
      <formula>LEN(TRIM(O99))=0</formula>
    </cfRule>
    <cfRule type="containsBlanks" dxfId="14582" priority="9961">
      <formula>LEN(TRIM(O99))=0</formula>
    </cfRule>
    <cfRule type="containsBlanks" dxfId="14581" priority="9962">
      <formula>LEN(TRIM(O99))=0</formula>
    </cfRule>
    <cfRule type="containsBlanks" dxfId="14580" priority="9963">
      <formula>LEN(TRIM(O99))=0</formula>
    </cfRule>
    <cfRule type="containsBlanks" dxfId="14579" priority="9964">
      <formula>LEN(TRIM(O99))=0</formula>
    </cfRule>
    <cfRule type="containsBlanks" dxfId="14578" priority="9965">
      <formula>LEN(TRIM(O99))=0</formula>
    </cfRule>
    <cfRule type="containsBlanks" dxfId="14577" priority="9966">
      <formula>LEN(TRIM(O99))=0</formula>
    </cfRule>
    <cfRule type="containsBlanks" dxfId="14576" priority="9967">
      <formula>LEN(TRIM(O99))=0</formula>
    </cfRule>
    <cfRule type="containsBlanks" dxfId="14575" priority="9968">
      <formula>LEN(TRIM(O99))=0</formula>
    </cfRule>
    <cfRule type="containsBlanks" dxfId="14574" priority="9969">
      <formula>LEN(TRIM(O99))=0</formula>
    </cfRule>
    <cfRule type="containsBlanks" dxfId="14573" priority="9970">
      <formula>LEN(TRIM(O99))=0</formula>
    </cfRule>
    <cfRule type="containsBlanks" dxfId="14572" priority="9971">
      <formula>LEN(TRIM(O99))=0</formula>
    </cfRule>
    <cfRule type="containsBlanks" dxfId="14571" priority="9972">
      <formula>LEN(TRIM(O99))=0</formula>
    </cfRule>
    <cfRule type="containsBlanks" dxfId="14570" priority="9973">
      <formula>LEN(TRIM(O99))=0</formula>
    </cfRule>
    <cfRule type="containsBlanks" dxfId="14569" priority="9974">
      <formula>LEN(TRIM(O99))=0</formula>
    </cfRule>
    <cfRule type="containsBlanks" dxfId="14568" priority="9975">
      <formula>LEN(TRIM(O99))=0</formula>
    </cfRule>
    <cfRule type="containsBlanks" dxfId="14567" priority="9976">
      <formula>LEN(TRIM(O99))=0</formula>
    </cfRule>
    <cfRule type="containsBlanks" dxfId="14566" priority="9977">
      <formula>LEN(TRIM(O99))=0</formula>
    </cfRule>
    <cfRule type="containsBlanks" dxfId="14565" priority="9978">
      <formula>LEN(TRIM(O99))=0</formula>
    </cfRule>
    <cfRule type="containsBlanks" dxfId="14564" priority="9979">
      <formula>LEN(TRIM(O99))=0</formula>
    </cfRule>
    <cfRule type="containsBlanks" dxfId="14563" priority="9980">
      <formula>LEN(TRIM(O99))=0</formula>
    </cfRule>
    <cfRule type="containsBlanks" dxfId="14562" priority="9981">
      <formula>LEN(TRIM(O99))=0</formula>
    </cfRule>
    <cfRule type="containsBlanks" dxfId="14561" priority="9982">
      <formula>LEN(TRIM(O99))=0</formula>
    </cfRule>
    <cfRule type="containsBlanks" dxfId="14560" priority="9983">
      <formula>LEN(TRIM(O99))=0</formula>
    </cfRule>
    <cfRule type="containsBlanks" dxfId="14559" priority="9984">
      <formula>LEN(TRIM(O99))=0</formula>
    </cfRule>
    <cfRule type="containsBlanks" dxfId="14558" priority="9985">
      <formula>LEN(TRIM(O99))=0</formula>
    </cfRule>
    <cfRule type="containsBlanks" dxfId="14557" priority="9986">
      <formula>LEN(TRIM(O99))=0</formula>
    </cfRule>
    <cfRule type="containsBlanks" dxfId="14556" priority="9987">
      <formula>LEN(TRIM(O99))=0</formula>
    </cfRule>
    <cfRule type="containsBlanks" dxfId="14555" priority="9988">
      <formula>LEN(TRIM(O99))=0</formula>
    </cfRule>
    <cfRule type="containsBlanks" dxfId="14554" priority="9989">
      <formula>LEN(TRIM(O99))=0</formula>
    </cfRule>
    <cfRule type="containsBlanks" dxfId="14553" priority="9990">
      <formula>LEN(TRIM(O99))=0</formula>
    </cfRule>
    <cfRule type="containsBlanks" dxfId="14552" priority="9991">
      <formula>LEN(TRIM(O99))=0</formula>
    </cfRule>
    <cfRule type="containsBlanks" dxfId="14551" priority="9992">
      <formula>LEN(TRIM(O99))=0</formula>
    </cfRule>
    <cfRule type="containsBlanks" dxfId="14550" priority="9993">
      <formula>LEN(TRIM(O99))=0</formula>
    </cfRule>
    <cfRule type="containsBlanks" dxfId="14549" priority="9994">
      <formula>LEN(TRIM(O99))=0</formula>
    </cfRule>
    <cfRule type="containsBlanks" dxfId="14548" priority="9995">
      <formula>LEN(TRIM(O99))=0</formula>
    </cfRule>
    <cfRule type="containsBlanks" dxfId="14547" priority="9996">
      <formula>LEN(TRIM(O99))=0</formula>
    </cfRule>
    <cfRule type="containsBlanks" dxfId="14546" priority="9997">
      <formula>LEN(TRIM(O99))=0</formula>
    </cfRule>
    <cfRule type="containsBlanks" dxfId="14545" priority="9998">
      <formula>LEN(TRIM(O99))=0</formula>
    </cfRule>
    <cfRule type="containsBlanks" dxfId="14544" priority="9999">
      <formula>LEN(TRIM(O99))=0</formula>
    </cfRule>
    <cfRule type="containsBlanks" dxfId="14543" priority="10000">
      <formula>LEN(TRIM(O99))=0</formula>
    </cfRule>
    <cfRule type="containsBlanks" dxfId="14542" priority="10001">
      <formula>LEN(TRIM(O99))=0</formula>
    </cfRule>
    <cfRule type="containsBlanks" dxfId="14541" priority="10002">
      <formula>LEN(TRIM(O99))=0</formula>
    </cfRule>
    <cfRule type="containsBlanks" dxfId="14540" priority="10003">
      <formula>LEN(TRIM(O99))=0</formula>
    </cfRule>
    <cfRule type="containsBlanks" dxfId="14539" priority="10004">
      <formula>LEN(TRIM(O99))=0</formula>
    </cfRule>
    <cfRule type="containsBlanks" dxfId="14538" priority="10005">
      <formula>LEN(TRIM(O99))=0</formula>
    </cfRule>
    <cfRule type="containsBlanks" dxfId="14537" priority="10006">
      <formula>LEN(TRIM(O99))=0</formula>
    </cfRule>
    <cfRule type="containsBlanks" dxfId="14536" priority="10007">
      <formula>LEN(TRIM(O99))=0</formula>
    </cfRule>
    <cfRule type="containsBlanks" dxfId="14535" priority="10008">
      <formula>LEN(TRIM(O99))=0</formula>
    </cfRule>
    <cfRule type="containsBlanks" dxfId="14534" priority="10009">
      <formula>LEN(TRIM(O99))=0</formula>
    </cfRule>
    <cfRule type="containsBlanks" dxfId="14533" priority="10010">
      <formula>LEN(TRIM(O99))=0</formula>
    </cfRule>
    <cfRule type="containsBlanks" dxfId="14532" priority="10011">
      <formula>LEN(TRIM(O99))=0</formula>
    </cfRule>
    <cfRule type="containsBlanks" dxfId="14531" priority="10012">
      <formula>LEN(TRIM(O99))=0</formula>
    </cfRule>
    <cfRule type="containsBlanks" dxfId="14530" priority="10013">
      <formula>LEN(TRIM(O99))=0</formula>
    </cfRule>
    <cfRule type="containsBlanks" dxfId="14529" priority="10014">
      <formula>LEN(TRIM(O99))=0</formula>
    </cfRule>
    <cfRule type="containsBlanks" dxfId="14528" priority="10015">
      <formula>LEN(TRIM(O99))=0</formula>
    </cfRule>
    <cfRule type="containsBlanks" dxfId="14527" priority="10016">
      <formula>LEN(TRIM(O99))=0</formula>
    </cfRule>
    <cfRule type="containsBlanks" dxfId="14526" priority="10017">
      <formula>LEN(TRIM(O99))=0</formula>
    </cfRule>
    <cfRule type="containsBlanks" dxfId="14525" priority="10018">
      <formula>LEN(TRIM(O99))=0</formula>
    </cfRule>
    <cfRule type="containsBlanks" dxfId="14524" priority="10019">
      <formula>LEN(TRIM(O99))=0</formula>
    </cfRule>
    <cfRule type="containsBlanks" dxfId="14523" priority="10020">
      <formula>LEN(TRIM(O99))=0</formula>
    </cfRule>
    <cfRule type="containsBlanks" dxfId="14522" priority="10021">
      <formula>LEN(TRIM(O99))=0</formula>
    </cfRule>
    <cfRule type="containsBlanks" dxfId="14521" priority="10022">
      <formula>LEN(TRIM(O99))=0</formula>
    </cfRule>
    <cfRule type="containsBlanks" dxfId="14520" priority="10023">
      <formula>LEN(TRIM(O99))=0</formula>
    </cfRule>
    <cfRule type="containsBlanks" dxfId="14519" priority="10024">
      <formula>LEN(TRIM(O99))=0</formula>
    </cfRule>
    <cfRule type="containsBlanks" dxfId="14518" priority="10025">
      <formula>LEN(TRIM(O99))=0</formula>
    </cfRule>
    <cfRule type="containsBlanks" dxfId="14517" priority="10026">
      <formula>LEN(TRIM(O99))=0</formula>
    </cfRule>
    <cfRule type="containsBlanks" dxfId="14516" priority="10027">
      <formula>LEN(TRIM(O99))=0</formula>
    </cfRule>
    <cfRule type="containsBlanks" dxfId="14515" priority="10028">
      <formula>LEN(TRIM(O99))=0</formula>
    </cfRule>
    <cfRule type="containsBlanks" dxfId="14514" priority="10029">
      <formula>LEN(TRIM(O99))=0</formula>
    </cfRule>
    <cfRule type="containsBlanks" dxfId="14513" priority="10030">
      <formula>LEN(TRIM(O99))=0</formula>
    </cfRule>
    <cfRule type="containsBlanks" dxfId="14512" priority="10031">
      <formula>LEN(TRIM(O99))=0</formula>
    </cfRule>
    <cfRule type="containsBlanks" dxfId="14511" priority="10032">
      <formula>LEN(TRIM(O99))=0</formula>
    </cfRule>
    <cfRule type="containsBlanks" dxfId="14510" priority="10033">
      <formula>LEN(TRIM(O99))=0</formula>
    </cfRule>
    <cfRule type="containsBlanks" dxfId="14509" priority="10034">
      <formula>LEN(TRIM(O99))=0</formula>
    </cfRule>
    <cfRule type="containsBlanks" dxfId="14508" priority="10035">
      <formula>LEN(TRIM(O99))=0</formula>
    </cfRule>
    <cfRule type="containsBlanks" dxfId="14507" priority="10036">
      <formula>LEN(TRIM(O99))=0</formula>
    </cfRule>
    <cfRule type="containsBlanks" dxfId="14506" priority="10037">
      <formula>LEN(TRIM(O99))=0</formula>
    </cfRule>
    <cfRule type="containsBlanks" dxfId="14505" priority="10038">
      <formula>LEN(TRIM(O99))=0</formula>
    </cfRule>
    <cfRule type="containsBlanks" dxfId="14504" priority="10039">
      <formula>LEN(TRIM(O99))=0</formula>
    </cfRule>
    <cfRule type="containsBlanks" dxfId="14503" priority="10040">
      <formula>LEN(TRIM(O99))=0</formula>
    </cfRule>
    <cfRule type="containsBlanks" dxfId="14502" priority="10041">
      <formula>LEN(TRIM(O99))=0</formula>
    </cfRule>
    <cfRule type="containsBlanks" dxfId="14501" priority="10042">
      <formula>LEN(TRIM(O99))=0</formula>
    </cfRule>
    <cfRule type="containsBlanks" dxfId="14500" priority="10043">
      <formula>LEN(TRIM(O99))=0</formula>
    </cfRule>
    <cfRule type="containsBlanks" dxfId="14499" priority="10044">
      <formula>LEN(TRIM(O99))=0</formula>
    </cfRule>
    <cfRule type="containsBlanks" dxfId="14498" priority="10045">
      <formula>LEN(TRIM(O99))=0</formula>
    </cfRule>
    <cfRule type="containsBlanks" dxfId="14497" priority="10046">
      <formula>LEN(TRIM(O99))=0</formula>
    </cfRule>
    <cfRule type="containsBlanks" dxfId="14496" priority="10047">
      <formula>LEN(TRIM(O99))=0</formula>
    </cfRule>
    <cfRule type="containsBlanks" dxfId="14495" priority="10048">
      <formula>LEN(TRIM(O99))=0</formula>
    </cfRule>
    <cfRule type="containsBlanks" dxfId="14494" priority="10049">
      <formula>LEN(TRIM(O99))=0</formula>
    </cfRule>
    <cfRule type="containsBlanks" dxfId="14493" priority="10050">
      <formula>LEN(TRIM(O99))=0</formula>
    </cfRule>
    <cfRule type="containsBlanks" dxfId="14492" priority="10051">
      <formula>LEN(TRIM(O99))=0</formula>
    </cfRule>
    <cfRule type="containsBlanks" dxfId="14491" priority="10052">
      <formula>LEN(TRIM(O99))=0</formula>
    </cfRule>
    <cfRule type="containsBlanks" dxfId="14490" priority="10053">
      <formula>LEN(TRIM(O99))=0</formula>
    </cfRule>
    <cfRule type="containsBlanks" dxfId="14489" priority="10054">
      <formula>LEN(TRIM(O99))=0</formula>
    </cfRule>
    <cfRule type="containsBlanks" dxfId="14488" priority="10055">
      <formula>LEN(TRIM(O99))=0</formula>
    </cfRule>
    <cfRule type="containsBlanks" dxfId="14487" priority="10056">
      <formula>LEN(TRIM(O99))=0</formula>
    </cfRule>
    <cfRule type="containsBlanks" dxfId="14486" priority="10057">
      <formula>LEN(TRIM(O99))=0</formula>
    </cfRule>
    <cfRule type="containsBlanks" dxfId="14485" priority="10058">
      <formula>LEN(TRIM(O99))=0</formula>
    </cfRule>
    <cfRule type="containsBlanks" dxfId="14484" priority="10059">
      <formula>LEN(TRIM(O99))=0</formula>
    </cfRule>
    <cfRule type="containsBlanks" dxfId="14483" priority="10060">
      <formula>LEN(TRIM(O99))=0</formula>
    </cfRule>
    <cfRule type="containsBlanks" dxfId="14482" priority="10061">
      <formula>LEN(TRIM(O99))=0</formula>
    </cfRule>
    <cfRule type="containsBlanks" dxfId="14481" priority="10062">
      <formula>LEN(TRIM(O99))=0</formula>
    </cfRule>
    <cfRule type="containsBlanks" dxfId="14480" priority="10063">
      <formula>LEN(TRIM(O99))=0</formula>
    </cfRule>
    <cfRule type="containsBlanks" dxfId="14479" priority="10064">
      <formula>LEN(TRIM(O99))=0</formula>
    </cfRule>
    <cfRule type="containsBlanks" dxfId="14478" priority="10065">
      <formula>LEN(TRIM(O99))=0</formula>
    </cfRule>
    <cfRule type="containsBlanks" dxfId="14477" priority="10066">
      <formula>LEN(TRIM(O99))=0</formula>
    </cfRule>
    <cfRule type="containsBlanks" dxfId="14476" priority="10067">
      <formula>LEN(TRIM(O99))=0</formula>
    </cfRule>
    <cfRule type="containsBlanks" dxfId="14475" priority="10068">
      <formula>LEN(TRIM(O99))=0</formula>
    </cfRule>
    <cfRule type="containsBlanks" dxfId="14474" priority="10069">
      <formula>LEN(TRIM(O99))=0</formula>
    </cfRule>
    <cfRule type="containsBlanks" dxfId="14473" priority="10070">
      <formula>LEN(TRIM(O99))=0</formula>
    </cfRule>
    <cfRule type="containsBlanks" dxfId="14472" priority="10071">
      <formula>LEN(TRIM(O99))=0</formula>
    </cfRule>
    <cfRule type="containsBlanks" dxfId="14471" priority="10072">
      <formula>LEN(TRIM(O99))=0</formula>
    </cfRule>
    <cfRule type="containsBlanks" dxfId="14470" priority="10073">
      <formula>LEN(TRIM(O99))=0</formula>
    </cfRule>
    <cfRule type="containsBlanks" dxfId="14469" priority="10074">
      <formula>LEN(TRIM(O99))=0</formula>
    </cfRule>
    <cfRule type="containsBlanks" dxfId="14468" priority="10075">
      <formula>LEN(TRIM(O99))=0</formula>
    </cfRule>
    <cfRule type="containsBlanks" dxfId="14467" priority="10076">
      <formula>LEN(TRIM(O99))=0</formula>
    </cfRule>
    <cfRule type="containsBlanks" dxfId="14466" priority="10077">
      <formula>LEN(TRIM(O99))=0</formula>
    </cfRule>
    <cfRule type="containsBlanks" dxfId="14465" priority="10078">
      <formula>LEN(TRIM(O99))=0</formula>
    </cfRule>
    <cfRule type="containsBlanks" dxfId="14464" priority="10079">
      <formula>LEN(TRIM(O99))=0</formula>
    </cfRule>
    <cfRule type="containsBlanks" dxfId="14463" priority="10080">
      <formula>LEN(TRIM(O99))=0</formula>
    </cfRule>
    <cfRule type="containsBlanks" dxfId="14462" priority="10081">
      <formula>LEN(TRIM(O99))=0</formula>
    </cfRule>
    <cfRule type="containsBlanks" dxfId="14461" priority="10082">
      <formula>LEN(TRIM(O99))=0</formula>
    </cfRule>
    <cfRule type="containsBlanks" dxfId="14460" priority="10083">
      <formula>LEN(TRIM(O99))=0</formula>
    </cfRule>
    <cfRule type="containsBlanks" dxfId="14459" priority="10084">
      <formula>LEN(TRIM(O99))=0</formula>
    </cfRule>
    <cfRule type="containsBlanks" dxfId="14458" priority="10085">
      <formula>LEN(TRIM(O99))=0</formula>
    </cfRule>
    <cfRule type="containsBlanks" dxfId="14457" priority="10086">
      <formula>LEN(TRIM(O99))=0</formula>
    </cfRule>
    <cfRule type="containsBlanks" dxfId="14456" priority="10087">
      <formula>LEN(TRIM(O99))=0</formula>
    </cfRule>
    <cfRule type="containsBlanks" dxfId="14455" priority="10088">
      <formula>LEN(TRIM(O99))=0</formula>
    </cfRule>
    <cfRule type="containsBlanks" dxfId="14454" priority="10089">
      <formula>LEN(TRIM(O99))=0</formula>
    </cfRule>
    <cfRule type="containsBlanks" dxfId="14453" priority="10090">
      <formula>LEN(TRIM(O99))=0</formula>
    </cfRule>
    <cfRule type="containsBlanks" dxfId="14452" priority="10091">
      <formula>LEN(TRIM(O99))=0</formula>
    </cfRule>
    <cfRule type="containsBlanks" dxfId="14451" priority="10092">
      <formula>LEN(TRIM(O99))=0</formula>
    </cfRule>
    <cfRule type="containsBlanks" dxfId="14450" priority="10093">
      <formula>LEN(TRIM(O99))=0</formula>
    </cfRule>
    <cfRule type="containsBlanks" dxfId="14449" priority="10094">
      <formula>LEN(TRIM(O99))=0</formula>
    </cfRule>
    <cfRule type="containsBlanks" dxfId="14448" priority="10095">
      <formula>LEN(TRIM(O99))=0</formula>
    </cfRule>
    <cfRule type="containsBlanks" dxfId="14447" priority="10096">
      <formula>LEN(TRIM(O99))=0</formula>
    </cfRule>
    <cfRule type="containsBlanks" dxfId="14446" priority="10097">
      <formula>LEN(TRIM(O99))=0</formula>
    </cfRule>
    <cfRule type="containsBlanks" dxfId="14445" priority="10098">
      <formula>LEN(TRIM(O99))=0</formula>
    </cfRule>
    <cfRule type="containsBlanks" dxfId="14444" priority="10099">
      <formula>LEN(TRIM(O99))=0</formula>
    </cfRule>
    <cfRule type="containsBlanks" dxfId="14443" priority="10100">
      <formula>LEN(TRIM(O99))=0</formula>
    </cfRule>
    <cfRule type="containsBlanks" dxfId="14442" priority="10101">
      <formula>LEN(TRIM(O99))=0</formula>
    </cfRule>
    <cfRule type="containsBlanks" dxfId="14441" priority="10102">
      <formula>LEN(TRIM(O99))=0</formula>
    </cfRule>
    <cfRule type="containsBlanks" dxfId="14440" priority="10103">
      <formula>LEN(TRIM(O99))=0</formula>
    </cfRule>
    <cfRule type="containsBlanks" dxfId="14439" priority="10104">
      <formula>LEN(TRIM(O99))=0</formula>
    </cfRule>
    <cfRule type="containsBlanks" dxfId="14438" priority="10105">
      <formula>LEN(TRIM(O99))=0</formula>
    </cfRule>
    <cfRule type="containsBlanks" dxfId="14437" priority="10106">
      <formula>LEN(TRIM(O99))=0</formula>
    </cfRule>
    <cfRule type="containsBlanks" dxfId="14436" priority="10107">
      <formula>LEN(TRIM(O99))=0</formula>
    </cfRule>
    <cfRule type="containsBlanks" dxfId="14435" priority="10108">
      <formula>LEN(TRIM(O99))=0</formula>
    </cfRule>
    <cfRule type="containsBlanks" dxfId="14434" priority="10109">
      <formula>LEN(TRIM(O99))=0</formula>
    </cfRule>
    <cfRule type="containsBlanks" dxfId="14433" priority="10110">
      <formula>LEN(TRIM(O99))=0</formula>
    </cfRule>
    <cfRule type="containsBlanks" dxfId="14432" priority="10111">
      <formula>LEN(TRIM(O99))=0</formula>
    </cfRule>
    <cfRule type="containsBlanks" dxfId="14431" priority="10112">
      <formula>LEN(TRIM(O99))=0</formula>
    </cfRule>
    <cfRule type="containsBlanks" dxfId="14430" priority="10113">
      <formula>LEN(TRIM(O99))=0</formula>
    </cfRule>
    <cfRule type="containsBlanks" dxfId="14429" priority="10114">
      <formula>LEN(TRIM(O99))=0</formula>
    </cfRule>
    <cfRule type="containsBlanks" dxfId="14428" priority="10115">
      <formula>LEN(TRIM(O99))=0</formula>
    </cfRule>
    <cfRule type="containsBlanks" dxfId="14427" priority="10116">
      <formula>LEN(TRIM(O99))=0</formula>
    </cfRule>
    <cfRule type="containsBlanks" dxfId="14426" priority="10117">
      <formula>LEN(TRIM(O99))=0</formula>
    </cfRule>
    <cfRule type="containsBlanks" dxfId="14425" priority="10118">
      <formula>LEN(TRIM(O99))=0</formula>
    </cfRule>
    <cfRule type="containsBlanks" dxfId="14424" priority="10119">
      <formula>LEN(TRIM(O99))=0</formula>
    </cfRule>
    <cfRule type="containsBlanks" dxfId="14423" priority="10120">
      <formula>LEN(TRIM(O99))=0</formula>
    </cfRule>
    <cfRule type="containsBlanks" dxfId="14422" priority="10121">
      <formula>LEN(TRIM(O99))=0</formula>
    </cfRule>
    <cfRule type="containsBlanks" dxfId="14421" priority="10122">
      <formula>LEN(TRIM(O99))=0</formula>
    </cfRule>
    <cfRule type="containsBlanks" dxfId="14420" priority="10123">
      <formula>LEN(TRIM(O99))=0</formula>
    </cfRule>
    <cfRule type="containsBlanks" dxfId="14419" priority="10124">
      <formula>LEN(TRIM(O99))=0</formula>
    </cfRule>
    <cfRule type="containsBlanks" dxfId="14418" priority="10125">
      <formula>LEN(TRIM(O99))=0</formula>
    </cfRule>
    <cfRule type="containsBlanks" dxfId="14417" priority="10126">
      <formula>LEN(TRIM(O99))=0</formula>
    </cfRule>
    <cfRule type="containsBlanks" dxfId="14416" priority="10127">
      <formula>LEN(TRIM(O99))=0</formula>
    </cfRule>
    <cfRule type="containsBlanks" dxfId="14415" priority="10128">
      <formula>LEN(TRIM(O99))=0</formula>
    </cfRule>
    <cfRule type="containsBlanks" dxfId="14414" priority="10129">
      <formula>LEN(TRIM(O99))=0</formula>
    </cfRule>
    <cfRule type="containsBlanks" dxfId="14413" priority="10130">
      <formula>LEN(TRIM(O99))=0</formula>
    </cfRule>
    <cfRule type="containsBlanks" dxfId="14412" priority="10131">
      <formula>LEN(TRIM(O99))=0</formula>
    </cfRule>
    <cfRule type="containsBlanks" dxfId="14411" priority="10132">
      <formula>LEN(TRIM(O99))=0</formula>
    </cfRule>
    <cfRule type="containsBlanks" dxfId="14410" priority="10133">
      <formula>LEN(TRIM(O99))=0</formula>
    </cfRule>
    <cfRule type="containsBlanks" dxfId="14409" priority="10134">
      <formula>LEN(TRIM(O99))=0</formula>
    </cfRule>
    <cfRule type="containsBlanks" dxfId="14408" priority="10135">
      <formula>LEN(TRIM(O99))=0</formula>
    </cfRule>
    <cfRule type="containsBlanks" dxfId="14407" priority="10136">
      <formula>LEN(TRIM(O99))=0</formula>
    </cfRule>
    <cfRule type="containsBlanks" dxfId="14406" priority="10137">
      <formula>LEN(TRIM(O99))=0</formula>
    </cfRule>
    <cfRule type="containsBlanks" dxfId="14405" priority="10138">
      <formula>LEN(TRIM(O99))=0</formula>
    </cfRule>
    <cfRule type="containsBlanks" dxfId="14404" priority="10139">
      <formula>LEN(TRIM(O99))=0</formula>
    </cfRule>
    <cfRule type="containsBlanks" dxfId="14403" priority="10140">
      <formula>LEN(TRIM(O99))=0</formula>
    </cfRule>
    <cfRule type="containsBlanks" dxfId="14402" priority="10141">
      <formula>LEN(TRIM(O99))=0</formula>
    </cfRule>
    <cfRule type="containsBlanks" dxfId="14401" priority="10142">
      <formula>LEN(TRIM(O99))=0</formula>
    </cfRule>
    <cfRule type="containsBlanks" dxfId="14400" priority="10143">
      <formula>LEN(TRIM(O99))=0</formula>
    </cfRule>
    <cfRule type="containsBlanks" dxfId="14399" priority="10144">
      <formula>LEN(TRIM(O99))=0</formula>
    </cfRule>
    <cfRule type="containsBlanks" dxfId="14398" priority="10145">
      <formula>LEN(TRIM(O99))=0</formula>
    </cfRule>
    <cfRule type="containsBlanks" dxfId="14397" priority="10146">
      <formula>LEN(TRIM(O99))=0</formula>
    </cfRule>
    <cfRule type="containsBlanks" dxfId="14396" priority="10147">
      <formula>LEN(TRIM(O99))=0</formula>
    </cfRule>
    <cfRule type="containsBlanks" dxfId="14395" priority="10148">
      <formula>LEN(TRIM(O99))=0</formula>
    </cfRule>
    <cfRule type="containsBlanks" dxfId="14394" priority="10149">
      <formula>LEN(TRIM(O99))=0</formula>
    </cfRule>
    <cfRule type="containsBlanks" dxfId="14393" priority="10150">
      <formula>LEN(TRIM(O99))=0</formula>
    </cfRule>
    <cfRule type="containsBlanks" dxfId="14392" priority="10151">
      <formula>LEN(TRIM(O99))=0</formula>
    </cfRule>
    <cfRule type="containsBlanks" dxfId="14391" priority="10152">
      <formula>LEN(TRIM(O99))=0</formula>
    </cfRule>
    <cfRule type="containsBlanks" dxfId="14390" priority="10153">
      <formula>LEN(TRIM(O99))=0</formula>
    </cfRule>
    <cfRule type="containsBlanks" dxfId="14389" priority="10154">
      <formula>LEN(TRIM(O99))=0</formula>
    </cfRule>
    <cfRule type="containsBlanks" dxfId="14388" priority="10155">
      <formula>LEN(TRIM(O99))=0</formula>
    </cfRule>
    <cfRule type="containsBlanks" dxfId="14387" priority="10156">
      <formula>LEN(TRIM(O99))=0</formula>
    </cfRule>
    <cfRule type="containsBlanks" dxfId="14386" priority="10157">
      <formula>LEN(TRIM(O99))=0</formula>
    </cfRule>
    <cfRule type="containsBlanks" dxfId="14385" priority="10158">
      <formula>LEN(TRIM(O99))=0</formula>
    </cfRule>
    <cfRule type="containsBlanks" dxfId="14384" priority="10159">
      <formula>LEN(TRIM(O99))=0</formula>
    </cfRule>
    <cfRule type="containsBlanks" dxfId="14383" priority="10160">
      <formula>LEN(TRIM(O99))=0</formula>
    </cfRule>
    <cfRule type="containsBlanks" dxfId="14382" priority="10161">
      <formula>LEN(TRIM(O99))=0</formula>
    </cfRule>
    <cfRule type="containsBlanks" dxfId="14381" priority="10162">
      <formula>LEN(TRIM(O99))=0</formula>
    </cfRule>
    <cfRule type="containsBlanks" dxfId="14380" priority="10163">
      <formula>LEN(TRIM(O99))=0</formula>
    </cfRule>
    <cfRule type="containsBlanks" dxfId="14379" priority="10164">
      <formula>LEN(TRIM(O99))=0</formula>
    </cfRule>
    <cfRule type="containsBlanks" dxfId="14378" priority="10165">
      <formula>LEN(TRIM(O99))=0</formula>
    </cfRule>
    <cfRule type="containsBlanks" dxfId="14377" priority="10166">
      <formula>LEN(TRIM(O99))=0</formula>
    </cfRule>
    <cfRule type="containsBlanks" dxfId="14376" priority="10167">
      <formula>LEN(TRIM(O99))=0</formula>
    </cfRule>
    <cfRule type="containsBlanks" dxfId="14375" priority="10168">
      <formula>LEN(TRIM(O99))=0</formula>
    </cfRule>
    <cfRule type="containsBlanks" dxfId="14374" priority="10169">
      <formula>LEN(TRIM(O99))=0</formula>
    </cfRule>
    <cfRule type="containsBlanks" dxfId="14373" priority="10170">
      <formula>LEN(TRIM(O99))=0</formula>
    </cfRule>
    <cfRule type="containsBlanks" dxfId="14372" priority="10171">
      <formula>LEN(TRIM(O99))=0</formula>
    </cfRule>
    <cfRule type="containsBlanks" dxfId="14371" priority="10172">
      <formula>LEN(TRIM(O99))=0</formula>
    </cfRule>
    <cfRule type="containsBlanks" dxfId="14370" priority="10173">
      <formula>LEN(TRIM(O99))=0</formula>
    </cfRule>
    <cfRule type="containsBlanks" dxfId="14369" priority="10174">
      <formula>LEN(TRIM(O99))=0</formula>
    </cfRule>
    <cfRule type="containsBlanks" dxfId="14368" priority="10175">
      <formula>LEN(TRIM(O99))=0</formula>
    </cfRule>
    <cfRule type="containsBlanks" dxfId="14367" priority="10176">
      <formula>LEN(TRIM(O99))=0</formula>
    </cfRule>
    <cfRule type="containsBlanks" dxfId="14366" priority="10177">
      <formula>LEN(TRIM(O99))=0</formula>
    </cfRule>
    <cfRule type="containsBlanks" dxfId="14365" priority="10178">
      <formula>LEN(TRIM(O99))=0</formula>
    </cfRule>
    <cfRule type="containsBlanks" dxfId="14364" priority="10179">
      <formula>LEN(TRIM(O99))=0</formula>
    </cfRule>
    <cfRule type="containsBlanks" dxfId="14363" priority="10180">
      <formula>LEN(TRIM(O99))=0</formula>
    </cfRule>
    <cfRule type="containsBlanks" dxfId="14362" priority="10181">
      <formula>LEN(TRIM(O99))=0</formula>
    </cfRule>
    <cfRule type="containsBlanks" dxfId="14361" priority="10182">
      <formula>LEN(TRIM(O99))=0</formula>
    </cfRule>
    <cfRule type="containsBlanks" dxfId="14360" priority="10183">
      <formula>LEN(TRIM(O99))=0</formula>
    </cfRule>
    <cfRule type="containsBlanks" dxfId="14359" priority="10184">
      <formula>LEN(TRIM(O99))=0</formula>
    </cfRule>
    <cfRule type="containsBlanks" dxfId="14358" priority="10185">
      <formula>LEN(TRIM(O99))=0</formula>
    </cfRule>
    <cfRule type="containsBlanks" dxfId="14357" priority="10186">
      <formula>LEN(TRIM(O99))=0</formula>
    </cfRule>
    <cfRule type="containsBlanks" dxfId="14356" priority="10187">
      <formula>LEN(TRIM(O99))=0</formula>
    </cfRule>
    <cfRule type="containsBlanks" dxfId="14355" priority="10188">
      <formula>LEN(TRIM(O99))=0</formula>
    </cfRule>
    <cfRule type="containsBlanks" dxfId="14354" priority="10189">
      <formula>LEN(TRIM(O99))=0</formula>
    </cfRule>
    <cfRule type="containsBlanks" dxfId="14353" priority="10190">
      <formula>LEN(TRIM(O99))=0</formula>
    </cfRule>
    <cfRule type="containsBlanks" dxfId="14352" priority="10191">
      <formula>LEN(TRIM(O99))=0</formula>
    </cfRule>
    <cfRule type="containsBlanks" dxfId="14351" priority="10192">
      <formula>LEN(TRIM(O99))=0</formula>
    </cfRule>
    <cfRule type="containsBlanks" dxfId="14350" priority="10193">
      <formula>LEN(TRIM(O99))=0</formula>
    </cfRule>
    <cfRule type="containsBlanks" dxfId="14349" priority="10194">
      <formula>LEN(TRIM(O99))=0</formula>
    </cfRule>
    <cfRule type="containsBlanks" dxfId="14348" priority="10195">
      <formula>LEN(TRIM(O99))=0</formula>
    </cfRule>
    <cfRule type="containsBlanks" dxfId="14347" priority="10196">
      <formula>LEN(TRIM(O99))=0</formula>
    </cfRule>
    <cfRule type="containsBlanks" dxfId="14346" priority="10197">
      <formula>LEN(TRIM(O99))=0</formula>
    </cfRule>
    <cfRule type="containsBlanks" dxfId="14345" priority="10198">
      <formula>LEN(TRIM(O99))=0</formula>
    </cfRule>
    <cfRule type="containsBlanks" dxfId="14344" priority="10199">
      <formula>LEN(TRIM(O99))=0</formula>
    </cfRule>
    <cfRule type="containsBlanks" dxfId="14343" priority="10200">
      <formula>LEN(TRIM(O99))=0</formula>
    </cfRule>
    <cfRule type="containsBlanks" dxfId="14342" priority="10201">
      <formula>LEN(TRIM(O99))=0</formula>
    </cfRule>
    <cfRule type="containsBlanks" dxfId="14341" priority="10202">
      <formula>LEN(TRIM(O99))=0</formula>
    </cfRule>
    <cfRule type="containsBlanks" dxfId="14340" priority="10203">
      <formula>LEN(TRIM(O99))=0</formula>
    </cfRule>
    <cfRule type="containsBlanks" dxfId="14339" priority="10204">
      <formula>LEN(TRIM(O99))=0</formula>
    </cfRule>
    <cfRule type="containsBlanks" dxfId="14338" priority="10205">
      <formula>LEN(TRIM(O99))=0</formula>
    </cfRule>
    <cfRule type="containsBlanks" dxfId="14337" priority="10206">
      <formula>LEN(TRIM(O99))=0</formula>
    </cfRule>
    <cfRule type="containsBlanks" dxfId="14336" priority="10207">
      <formula>LEN(TRIM(O99))=0</formula>
    </cfRule>
    <cfRule type="containsBlanks" dxfId="14335" priority="10208">
      <formula>LEN(TRIM(O99))=0</formula>
    </cfRule>
    <cfRule type="containsBlanks" dxfId="14334" priority="10209">
      <formula>LEN(TRIM(O99))=0</formula>
    </cfRule>
    <cfRule type="containsBlanks" dxfId="14333" priority="10210">
      <formula>LEN(TRIM(O99))=0</formula>
    </cfRule>
    <cfRule type="containsBlanks" dxfId="14332" priority="10211">
      <formula>LEN(TRIM(O99))=0</formula>
    </cfRule>
    <cfRule type="containsBlanks" dxfId="14331" priority="10212">
      <formula>LEN(TRIM(O99))=0</formula>
    </cfRule>
    <cfRule type="containsBlanks" dxfId="14330" priority="10213">
      <formula>LEN(TRIM(O99))=0</formula>
    </cfRule>
    <cfRule type="containsBlanks" dxfId="14329" priority="10214">
      <formula>LEN(TRIM(O99))=0</formula>
    </cfRule>
    <cfRule type="containsBlanks" dxfId="14328" priority="10215">
      <formula>LEN(TRIM(O99))=0</formula>
    </cfRule>
    <cfRule type="containsBlanks" dxfId="14327" priority="10216">
      <formula>LEN(TRIM(O99))=0</formula>
    </cfRule>
    <cfRule type="containsBlanks" dxfId="14326" priority="10217">
      <formula>LEN(TRIM(O99))=0</formula>
    </cfRule>
    <cfRule type="containsBlanks" dxfId="14325" priority="10218">
      <formula>LEN(TRIM(O99))=0</formula>
    </cfRule>
    <cfRule type="containsBlanks" dxfId="14324" priority="10219">
      <formula>LEN(TRIM(O99))=0</formula>
    </cfRule>
    <cfRule type="containsBlanks" dxfId="14323" priority="10220">
      <formula>LEN(TRIM(O99))=0</formula>
    </cfRule>
    <cfRule type="containsBlanks" dxfId="14322" priority="10221">
      <formula>LEN(TRIM(O99))=0</formula>
    </cfRule>
    <cfRule type="containsBlanks" dxfId="14321" priority="10222">
      <formula>LEN(TRIM(O99))=0</formula>
    </cfRule>
    <cfRule type="containsBlanks" dxfId="14320" priority="10223">
      <formula>LEN(TRIM(O99))=0</formula>
    </cfRule>
    <cfRule type="containsBlanks" dxfId="14319" priority="10224">
      <formula>LEN(TRIM(O99))=0</formula>
    </cfRule>
    <cfRule type="containsBlanks" dxfId="14318" priority="10225">
      <formula>LEN(TRIM(O99))=0</formula>
    </cfRule>
    <cfRule type="containsBlanks" dxfId="14317" priority="10226">
      <formula>LEN(TRIM(O99))=0</formula>
    </cfRule>
    <cfRule type="containsBlanks" dxfId="14316" priority="10227">
      <formula>LEN(TRIM(O99))=0</formula>
    </cfRule>
    <cfRule type="containsBlanks" dxfId="14315" priority="10228">
      <formula>LEN(TRIM(O99))=0</formula>
    </cfRule>
    <cfRule type="containsBlanks" dxfId="14314" priority="10229">
      <formula>LEN(TRIM(O99))=0</formula>
    </cfRule>
    <cfRule type="containsBlanks" dxfId="14313" priority="10230">
      <formula>LEN(TRIM(O99))=0</formula>
    </cfRule>
    <cfRule type="containsBlanks" dxfId="14312" priority="10231">
      <formula>LEN(TRIM(O99))=0</formula>
    </cfRule>
    <cfRule type="containsBlanks" dxfId="14311" priority="10232">
      <formula>LEN(TRIM(O99))=0</formula>
    </cfRule>
    <cfRule type="containsBlanks" dxfId="14310" priority="10233">
      <formula>LEN(TRIM(O99))=0</formula>
    </cfRule>
    <cfRule type="containsBlanks" dxfId="14309" priority="10234">
      <formula>LEN(TRIM(O99))=0</formula>
    </cfRule>
    <cfRule type="containsBlanks" dxfId="14308" priority="10235">
      <formula>LEN(TRIM(O99))=0</formula>
    </cfRule>
    <cfRule type="containsBlanks" dxfId="14307" priority="10236">
      <formula>LEN(TRIM(O99))=0</formula>
    </cfRule>
    <cfRule type="containsBlanks" dxfId="14306" priority="10237">
      <formula>LEN(TRIM(O99))=0</formula>
    </cfRule>
    <cfRule type="containsBlanks" dxfId="14305" priority="10238">
      <formula>LEN(TRIM(O99))=0</formula>
    </cfRule>
    <cfRule type="containsBlanks" dxfId="14304" priority="10239">
      <formula>LEN(TRIM(O99))=0</formula>
    </cfRule>
    <cfRule type="containsBlanks" dxfId="14303" priority="10240">
      <formula>LEN(TRIM(O99))=0</formula>
    </cfRule>
    <cfRule type="containsBlanks" dxfId="14302" priority="10241">
      <formula>LEN(TRIM(O99))=0</formula>
    </cfRule>
    <cfRule type="containsBlanks" dxfId="14301" priority="10242">
      <formula>LEN(TRIM(O99))=0</formula>
    </cfRule>
    <cfRule type="containsBlanks" dxfId="14300" priority="10243">
      <formula>LEN(TRIM(O99))=0</formula>
    </cfRule>
    <cfRule type="containsBlanks" dxfId="14299" priority="10244">
      <formula>LEN(TRIM(O99))=0</formula>
    </cfRule>
    <cfRule type="containsBlanks" dxfId="14298" priority="10245">
      <formula>LEN(TRIM(O99))=0</formula>
    </cfRule>
    <cfRule type="containsBlanks" dxfId="14297" priority="10246">
      <formula>LEN(TRIM(O99))=0</formula>
    </cfRule>
    <cfRule type="containsBlanks" dxfId="14296" priority="10247">
      <formula>LEN(TRIM(O99))=0</formula>
    </cfRule>
    <cfRule type="containsBlanks" dxfId="14295" priority="10248">
      <formula>LEN(TRIM(O99))=0</formula>
    </cfRule>
    <cfRule type="containsBlanks" dxfId="14294" priority="10249">
      <formula>LEN(TRIM(O99))=0</formula>
    </cfRule>
    <cfRule type="containsBlanks" dxfId="14293" priority="10250">
      <formula>LEN(TRIM(O99))=0</formula>
    </cfRule>
    <cfRule type="containsBlanks" dxfId="14292" priority="10251">
      <formula>LEN(TRIM(O99))=0</formula>
    </cfRule>
    <cfRule type="containsBlanks" dxfId="14291" priority="10252">
      <formula>LEN(TRIM(O99))=0</formula>
    </cfRule>
    <cfRule type="containsBlanks" dxfId="14290" priority="10253">
      <formula>LEN(TRIM(O99))=0</formula>
    </cfRule>
    <cfRule type="containsBlanks" dxfId="14289" priority="10254">
      <formula>LEN(TRIM(O99))=0</formula>
    </cfRule>
    <cfRule type="containsBlanks" dxfId="14288" priority="10255">
      <formula>LEN(TRIM(O99))=0</formula>
    </cfRule>
    <cfRule type="containsBlanks" dxfId="14287" priority="10256">
      <formula>LEN(TRIM(O99))=0</formula>
    </cfRule>
    <cfRule type="containsBlanks" dxfId="14286" priority="10257">
      <formula>LEN(TRIM(O99))=0</formula>
    </cfRule>
    <cfRule type="containsBlanks" dxfId="14285" priority="10258">
      <formula>LEN(TRIM(O99))=0</formula>
    </cfRule>
    <cfRule type="containsBlanks" dxfId="14284" priority="10259">
      <formula>LEN(TRIM(O99))=0</formula>
    </cfRule>
    <cfRule type="containsBlanks" dxfId="14283" priority="10260">
      <formula>LEN(TRIM(O99))=0</formula>
    </cfRule>
    <cfRule type="containsBlanks" dxfId="14282" priority="10261">
      <formula>LEN(TRIM(O99))=0</formula>
    </cfRule>
    <cfRule type="containsBlanks" dxfId="14281" priority="10262">
      <formula>LEN(TRIM(O99))=0</formula>
    </cfRule>
    <cfRule type="containsBlanks" dxfId="14280" priority="10263">
      <formula>LEN(TRIM(O99))=0</formula>
    </cfRule>
    <cfRule type="containsBlanks" dxfId="14279" priority="10264">
      <formula>LEN(TRIM(O99))=0</formula>
    </cfRule>
    <cfRule type="containsBlanks" dxfId="14278" priority="10265">
      <formula>LEN(TRIM(O99))=0</formula>
    </cfRule>
    <cfRule type="containsBlanks" dxfId="14277" priority="10266">
      <formula>LEN(TRIM(O99))=0</formula>
    </cfRule>
    <cfRule type="containsBlanks" dxfId="14276" priority="10267">
      <formula>LEN(TRIM(O99))=0</formula>
    </cfRule>
    <cfRule type="containsBlanks" dxfId="14275" priority="10268">
      <formula>LEN(TRIM(O99))=0</formula>
    </cfRule>
    <cfRule type="containsBlanks" dxfId="14274" priority="10269">
      <formula>LEN(TRIM(O99))=0</formula>
    </cfRule>
    <cfRule type="containsBlanks" dxfId="14273" priority="10270">
      <formula>LEN(TRIM(O99))=0</formula>
    </cfRule>
    <cfRule type="containsBlanks" dxfId="14272" priority="10271">
      <formula>LEN(TRIM(O99))=0</formula>
    </cfRule>
    <cfRule type="containsBlanks" dxfId="14271" priority="10272">
      <formula>LEN(TRIM(O99))=0</formula>
    </cfRule>
    <cfRule type="containsBlanks" dxfId="14270" priority="10273">
      <formula>LEN(TRIM(O99))=0</formula>
    </cfRule>
    <cfRule type="containsBlanks" dxfId="14269" priority="10274">
      <formula>LEN(TRIM(O99))=0</formula>
    </cfRule>
    <cfRule type="containsBlanks" dxfId="14268" priority="10275">
      <formula>LEN(TRIM(O99))=0</formula>
    </cfRule>
    <cfRule type="containsBlanks" dxfId="14267" priority="10276">
      <formula>LEN(TRIM(O99))=0</formula>
    </cfRule>
    <cfRule type="containsBlanks" dxfId="14266" priority="10277">
      <formula>LEN(TRIM(O99))=0</formula>
    </cfRule>
    <cfRule type="containsBlanks" dxfId="14265" priority="10278">
      <formula>LEN(TRIM(O99))=0</formula>
    </cfRule>
    <cfRule type="containsBlanks" dxfId="14264" priority="10279">
      <formula>LEN(TRIM(O99))=0</formula>
    </cfRule>
    <cfRule type="containsBlanks" dxfId="14263" priority="10280">
      <formula>LEN(TRIM(O99))=0</formula>
    </cfRule>
    <cfRule type="containsBlanks" dxfId="14262" priority="10281">
      <formula>LEN(TRIM(O99))=0</formula>
    </cfRule>
    <cfRule type="containsBlanks" dxfId="14261" priority="10282">
      <formula>LEN(TRIM(O99))=0</formula>
    </cfRule>
    <cfRule type="containsBlanks" dxfId="14260" priority="10283">
      <formula>LEN(TRIM(O99))=0</formula>
    </cfRule>
    <cfRule type="containsBlanks" dxfId="14259" priority="10284">
      <formula>LEN(TRIM(O99))=0</formula>
    </cfRule>
    <cfRule type="containsBlanks" dxfId="14258" priority="10285">
      <formula>LEN(TRIM(O99))=0</formula>
    </cfRule>
    <cfRule type="containsBlanks" dxfId="14257" priority="10286">
      <formula>LEN(TRIM(O99))=0</formula>
    </cfRule>
    <cfRule type="containsBlanks" dxfId="14256" priority="10287">
      <formula>LEN(TRIM(O99))=0</formula>
    </cfRule>
    <cfRule type="containsBlanks" dxfId="14255" priority="10288">
      <formula>LEN(TRIM(O99))=0</formula>
    </cfRule>
    <cfRule type="containsBlanks" dxfId="14254" priority="10289">
      <formula>LEN(TRIM(O99))=0</formula>
    </cfRule>
    <cfRule type="containsBlanks" dxfId="14253" priority="10290">
      <formula>LEN(TRIM(O99))=0</formula>
    </cfRule>
    <cfRule type="containsBlanks" dxfId="14252" priority="10291">
      <formula>LEN(TRIM(O99))=0</formula>
    </cfRule>
    <cfRule type="containsBlanks" dxfId="14251" priority="10292">
      <formula>LEN(TRIM(O99))=0</formula>
    </cfRule>
    <cfRule type="containsBlanks" dxfId="14250" priority="10293">
      <formula>LEN(TRIM(O99))=0</formula>
    </cfRule>
    <cfRule type="containsBlanks" dxfId="14249" priority="10294">
      <formula>LEN(TRIM(O99))=0</formula>
    </cfRule>
    <cfRule type="containsBlanks" dxfId="14248" priority="10295">
      <formula>LEN(TRIM(O99))=0</formula>
    </cfRule>
    <cfRule type="containsBlanks" dxfId="14247" priority="10296">
      <formula>LEN(TRIM(O99))=0</formula>
    </cfRule>
    <cfRule type="containsBlanks" dxfId="14246" priority="10297">
      <formula>LEN(TRIM(O99))=0</formula>
    </cfRule>
    <cfRule type="containsBlanks" dxfId="14245" priority="10298">
      <formula>LEN(TRIM(O99))=0</formula>
    </cfRule>
    <cfRule type="containsBlanks" dxfId="14244" priority="10299">
      <formula>LEN(TRIM(O99))=0</formula>
    </cfRule>
    <cfRule type="containsBlanks" dxfId="14243" priority="10300">
      <formula>LEN(TRIM(O99))=0</formula>
    </cfRule>
    <cfRule type="containsBlanks" dxfId="14242" priority="10301">
      <formula>LEN(TRIM(O99))=0</formula>
    </cfRule>
    <cfRule type="containsBlanks" dxfId="14241" priority="10302">
      <formula>LEN(TRIM(O99))=0</formula>
    </cfRule>
    <cfRule type="containsBlanks" dxfId="14240" priority="10303">
      <formula>LEN(TRIM(O99))=0</formula>
    </cfRule>
    <cfRule type="containsBlanks" dxfId="14239" priority="10304">
      <formula>LEN(TRIM(O99))=0</formula>
    </cfRule>
    <cfRule type="containsBlanks" dxfId="14238" priority="10305">
      <formula>LEN(TRIM(O99))=0</formula>
    </cfRule>
    <cfRule type="containsBlanks" dxfId="14237" priority="10306">
      <formula>LEN(TRIM(O99))=0</formula>
    </cfRule>
    <cfRule type="containsBlanks" dxfId="14236" priority="10307">
      <formula>LEN(TRIM(O99))=0</formula>
    </cfRule>
    <cfRule type="containsBlanks" dxfId="14235" priority="10308">
      <formula>LEN(TRIM(O99))=0</formula>
    </cfRule>
    <cfRule type="containsBlanks" dxfId="14234" priority="10309">
      <formula>LEN(TRIM(O99))=0</formula>
    </cfRule>
    <cfRule type="containsBlanks" dxfId="14233" priority="10310">
      <formula>LEN(TRIM(O99))=0</formula>
    </cfRule>
    <cfRule type="containsBlanks" dxfId="14232" priority="10311">
      <formula>LEN(TRIM(O99))=0</formula>
    </cfRule>
    <cfRule type="containsBlanks" dxfId="14231" priority="10312">
      <formula>LEN(TRIM(O99))=0</formula>
    </cfRule>
    <cfRule type="containsBlanks" dxfId="14230" priority="10313">
      <formula>LEN(TRIM(O99))=0</formula>
    </cfRule>
    <cfRule type="containsBlanks" dxfId="14229" priority="10314">
      <formula>LEN(TRIM(O99))=0</formula>
    </cfRule>
    <cfRule type="containsBlanks" dxfId="14228" priority="10315">
      <formula>LEN(TRIM(O99))=0</formula>
    </cfRule>
    <cfRule type="containsBlanks" dxfId="14227" priority="10316">
      <formula>LEN(TRIM(O99))=0</formula>
    </cfRule>
    <cfRule type="containsBlanks" dxfId="14226" priority="10317">
      <formula>LEN(TRIM(O99))=0</formula>
    </cfRule>
    <cfRule type="containsBlanks" dxfId="14225" priority="10318">
      <formula>LEN(TRIM(O99))=0</formula>
    </cfRule>
    <cfRule type="containsBlanks" dxfId="14224" priority="10319">
      <formula>LEN(TRIM(O99))=0</formula>
    </cfRule>
    <cfRule type="containsBlanks" dxfId="14223" priority="10320">
      <formula>LEN(TRIM(O99))=0</formula>
    </cfRule>
    <cfRule type="containsBlanks" dxfId="14222" priority="10321">
      <formula>LEN(TRIM(O99))=0</formula>
    </cfRule>
    <cfRule type="containsBlanks" dxfId="14221" priority="10322">
      <formula>LEN(TRIM(O99))=0</formula>
    </cfRule>
    <cfRule type="containsBlanks" dxfId="14220" priority="10323">
      <formula>LEN(TRIM(O99))=0</formula>
    </cfRule>
    <cfRule type="containsBlanks" dxfId="14219" priority="10324">
      <formula>LEN(TRIM(O99))=0</formula>
    </cfRule>
    <cfRule type="containsBlanks" dxfId="14218" priority="10325">
      <formula>LEN(TRIM(O99))=0</formula>
    </cfRule>
    <cfRule type="containsBlanks" dxfId="14217" priority="10326">
      <formula>LEN(TRIM(O99))=0</formula>
    </cfRule>
    <cfRule type="containsBlanks" dxfId="14216" priority="10327">
      <formula>LEN(TRIM(O99))=0</formula>
    </cfRule>
    <cfRule type="containsBlanks" dxfId="14215" priority="10328">
      <formula>LEN(TRIM(O99))=0</formula>
    </cfRule>
    <cfRule type="containsBlanks" dxfId="14214" priority="10329">
      <formula>LEN(TRIM(O99))=0</formula>
    </cfRule>
    <cfRule type="containsBlanks" dxfId="14213" priority="10330">
      <formula>LEN(TRIM(O99))=0</formula>
    </cfRule>
    <cfRule type="containsBlanks" dxfId="14212" priority="10331">
      <formula>LEN(TRIM(O99))=0</formula>
    </cfRule>
    <cfRule type="containsBlanks" dxfId="14211" priority="10332">
      <formula>LEN(TRIM(O99))=0</formula>
    </cfRule>
    <cfRule type="containsBlanks" dxfId="14210" priority="10333">
      <formula>LEN(TRIM(O99))=0</formula>
    </cfRule>
    <cfRule type="containsBlanks" dxfId="14209" priority="10334">
      <formula>LEN(TRIM(O99))=0</formula>
    </cfRule>
    <cfRule type="containsBlanks" dxfId="14208" priority="10335">
      <formula>LEN(TRIM(O99))=0</formula>
    </cfRule>
    <cfRule type="containsBlanks" dxfId="14207" priority="10336">
      <formula>LEN(TRIM(O99))=0</formula>
    </cfRule>
    <cfRule type="containsBlanks" dxfId="14206" priority="10337">
      <formula>LEN(TRIM(O99))=0</formula>
    </cfRule>
    <cfRule type="containsBlanks" dxfId="14205" priority="10338">
      <formula>LEN(TRIM(O99))=0</formula>
    </cfRule>
    <cfRule type="containsBlanks" dxfId="14204" priority="10339">
      <formula>LEN(TRIM(O99))=0</formula>
    </cfRule>
    <cfRule type="containsBlanks" dxfId="14203" priority="10340">
      <formula>LEN(TRIM(O99))=0</formula>
    </cfRule>
    <cfRule type="containsBlanks" dxfId="14202" priority="10341">
      <formula>LEN(TRIM(O99))=0</formula>
    </cfRule>
    <cfRule type="containsBlanks" dxfId="14201" priority="10342">
      <formula>LEN(TRIM(O99))=0</formula>
    </cfRule>
    <cfRule type="containsBlanks" dxfId="14200" priority="10343">
      <formula>LEN(TRIM(O99))=0</formula>
    </cfRule>
    <cfRule type="containsBlanks" dxfId="14199" priority="10344">
      <formula>LEN(TRIM(O99))=0</formula>
    </cfRule>
    <cfRule type="containsBlanks" dxfId="14198" priority="10345">
      <formula>LEN(TRIM(O99))=0</formula>
    </cfRule>
    <cfRule type="containsBlanks" dxfId="14197" priority="10346">
      <formula>LEN(TRIM(O99))=0</formula>
    </cfRule>
    <cfRule type="containsBlanks" dxfId="14196" priority="10347">
      <formula>LEN(TRIM(O99))=0</formula>
    </cfRule>
    <cfRule type="containsBlanks" dxfId="14195" priority="10348">
      <formula>LEN(TRIM(O99))=0</formula>
    </cfRule>
    <cfRule type="containsBlanks" dxfId="14194" priority="10349">
      <formula>LEN(TRIM(O99))=0</formula>
    </cfRule>
    <cfRule type="containsBlanks" dxfId="14193" priority="10350">
      <formula>LEN(TRIM(O99))=0</formula>
    </cfRule>
    <cfRule type="containsBlanks" dxfId="14192" priority="10351">
      <formula>LEN(TRIM(O99))=0</formula>
    </cfRule>
    <cfRule type="containsBlanks" dxfId="14191" priority="10352">
      <formula>LEN(TRIM(O99))=0</formula>
    </cfRule>
    <cfRule type="containsBlanks" dxfId="14190" priority="10353">
      <formula>LEN(TRIM(O99))=0</formula>
    </cfRule>
    <cfRule type="containsBlanks" dxfId="14189" priority="10354">
      <formula>LEN(TRIM(O99))=0</formula>
    </cfRule>
    <cfRule type="containsBlanks" dxfId="14188" priority="10355">
      <formula>LEN(TRIM(O99))=0</formula>
    </cfRule>
    <cfRule type="containsBlanks" dxfId="14187" priority="10356">
      <formula>LEN(TRIM(O99))=0</formula>
    </cfRule>
    <cfRule type="containsBlanks" dxfId="14186" priority="10357">
      <formula>LEN(TRIM(O99))=0</formula>
    </cfRule>
    <cfRule type="containsBlanks" dxfId="14185" priority="10358">
      <formula>LEN(TRIM(O99))=0</formula>
    </cfRule>
    <cfRule type="containsBlanks" dxfId="14184" priority="10359">
      <formula>LEN(TRIM(O99))=0</formula>
    </cfRule>
    <cfRule type="containsBlanks" dxfId="14183" priority="10360">
      <formula>LEN(TRIM(O99))=0</formula>
    </cfRule>
    <cfRule type="containsBlanks" dxfId="14182" priority="10361">
      <formula>LEN(TRIM(O99))=0</formula>
    </cfRule>
    <cfRule type="containsBlanks" dxfId="14181" priority="10362">
      <formula>LEN(TRIM(O99))=0</formula>
    </cfRule>
    <cfRule type="containsBlanks" dxfId="14180" priority="10363">
      <formula>LEN(TRIM(O99))=0</formula>
    </cfRule>
    <cfRule type="containsBlanks" dxfId="14179" priority="10364">
      <formula>LEN(TRIM(O99))=0</formula>
    </cfRule>
    <cfRule type="containsBlanks" dxfId="14178" priority="10365">
      <formula>LEN(TRIM(O99))=0</formula>
    </cfRule>
    <cfRule type="containsBlanks" dxfId="14177" priority="10366">
      <formula>LEN(TRIM(O99))=0</formula>
    </cfRule>
    <cfRule type="containsBlanks" dxfId="14176" priority="10367">
      <formula>LEN(TRIM(O99))=0</formula>
    </cfRule>
    <cfRule type="containsBlanks" dxfId="14175" priority="10368">
      <formula>LEN(TRIM(O99))=0</formula>
    </cfRule>
    <cfRule type="containsBlanks" dxfId="14174" priority="10369">
      <formula>LEN(TRIM(O99))=0</formula>
    </cfRule>
  </conditionalFormatting>
  <conditionalFormatting sqref="O157:O158 R99:R158">
    <cfRule type="containsBlanks" dxfId="14173" priority="19423">
      <formula>LEN(TRIM(O99))=0</formula>
    </cfRule>
  </conditionalFormatting>
  <conditionalFormatting sqref="O157:O158">
    <cfRule type="containsBlanks" dxfId="14172" priority="16064">
      <formula>LEN(TRIM(O157))=0</formula>
    </cfRule>
    <cfRule type="containsBlanks" dxfId="14171" priority="16065">
      <formula>LEN(TRIM(O157))=0</formula>
    </cfRule>
    <cfRule type="containsBlanks" dxfId="14170" priority="16066">
      <formula>LEN(TRIM(O157))=0</formula>
    </cfRule>
    <cfRule type="containsBlanks" dxfId="14169" priority="16067">
      <formula>LEN(TRIM(O157))=0</formula>
    </cfRule>
    <cfRule type="containsBlanks" dxfId="14168" priority="16068">
      <formula>LEN(TRIM(O157))=0</formula>
    </cfRule>
    <cfRule type="containsBlanks" dxfId="14167" priority="16069">
      <formula>LEN(TRIM(O157))=0</formula>
    </cfRule>
    <cfRule type="containsBlanks" dxfId="14166" priority="16070">
      <formula>LEN(TRIM(O157))=0</formula>
    </cfRule>
    <cfRule type="containsBlanks" dxfId="14165" priority="16071">
      <formula>LEN(TRIM(O157))=0</formula>
    </cfRule>
    <cfRule type="containsBlanks" dxfId="14164" priority="16072">
      <formula>LEN(TRIM(O157))=0</formula>
    </cfRule>
    <cfRule type="containsBlanks" dxfId="14163" priority="16073">
      <formula>LEN(TRIM(O157))=0</formula>
    </cfRule>
    <cfRule type="containsBlanks" dxfId="14162" priority="16074">
      <formula>LEN(TRIM(O157))=0</formula>
    </cfRule>
    <cfRule type="containsBlanks" dxfId="14161" priority="16075">
      <formula>LEN(TRIM(O157))=0</formula>
    </cfRule>
    <cfRule type="containsBlanks" dxfId="14160" priority="16076">
      <formula>LEN(TRIM(O157))=0</formula>
    </cfRule>
    <cfRule type="containsBlanks" dxfId="14159" priority="16077">
      <formula>LEN(TRIM(O157))=0</formula>
    </cfRule>
    <cfRule type="containsBlanks" dxfId="14158" priority="16078">
      <formula>LEN(TRIM(O157))=0</formula>
    </cfRule>
    <cfRule type="containsBlanks" dxfId="14157" priority="16079">
      <formula>LEN(TRIM(O157))=0</formula>
    </cfRule>
    <cfRule type="containsBlanks" dxfId="14156" priority="16080">
      <formula>LEN(TRIM(O157))=0</formula>
    </cfRule>
    <cfRule type="containsBlanks" dxfId="14155" priority="16081">
      <formula>LEN(TRIM(O157))=0</formula>
    </cfRule>
    <cfRule type="containsBlanks" dxfId="14154" priority="16082">
      <formula>LEN(TRIM(O157))=0</formula>
    </cfRule>
    <cfRule type="containsBlanks" dxfId="14153" priority="16083">
      <formula>LEN(TRIM(O157))=0</formula>
    </cfRule>
    <cfRule type="containsBlanks" dxfId="14152" priority="16084">
      <formula>LEN(TRIM(O157))=0</formula>
    </cfRule>
    <cfRule type="containsBlanks" dxfId="14151" priority="16085">
      <formula>LEN(TRIM(O157))=0</formula>
    </cfRule>
    <cfRule type="containsBlanks" dxfId="14150" priority="16086">
      <formula>LEN(TRIM(O157))=0</formula>
    </cfRule>
    <cfRule type="containsBlanks" dxfId="14149" priority="16087">
      <formula>LEN(TRIM(O157))=0</formula>
    </cfRule>
    <cfRule type="containsBlanks" dxfId="14148" priority="16088">
      <formula>LEN(TRIM(O157))=0</formula>
    </cfRule>
    <cfRule type="containsBlanks" dxfId="14147" priority="16089">
      <formula>LEN(TRIM(O157))=0</formula>
    </cfRule>
    <cfRule type="containsBlanks" dxfId="14146" priority="16090">
      <formula>LEN(TRIM(O157))=0</formula>
    </cfRule>
    <cfRule type="containsBlanks" dxfId="14145" priority="16091">
      <formula>LEN(TRIM(O157))=0</formula>
    </cfRule>
    <cfRule type="containsBlanks" dxfId="14144" priority="16092">
      <formula>LEN(TRIM(O157))=0</formula>
    </cfRule>
    <cfRule type="containsBlanks" dxfId="14143" priority="16093">
      <formula>LEN(TRIM(O157))=0</formula>
    </cfRule>
    <cfRule type="containsBlanks" dxfId="14142" priority="16094">
      <formula>LEN(TRIM(O157))=0</formula>
    </cfRule>
    <cfRule type="containsBlanks" dxfId="14141" priority="16095">
      <formula>LEN(TRIM(O157))=0</formula>
    </cfRule>
    <cfRule type="containsBlanks" dxfId="14140" priority="16096">
      <formula>LEN(TRIM(O157))=0</formula>
    </cfRule>
    <cfRule type="containsBlanks" dxfId="14139" priority="16097">
      <formula>LEN(TRIM(O157))=0</formula>
    </cfRule>
    <cfRule type="containsBlanks" dxfId="14138" priority="16098">
      <formula>LEN(TRIM(O157))=0</formula>
    </cfRule>
    <cfRule type="containsBlanks" dxfId="14137" priority="16099">
      <formula>LEN(TRIM(O157))=0</formula>
    </cfRule>
    <cfRule type="containsBlanks" dxfId="14136" priority="16100">
      <formula>LEN(TRIM(O157))=0</formula>
    </cfRule>
    <cfRule type="containsBlanks" dxfId="14135" priority="16101">
      <formula>LEN(TRIM(O157))=0</formula>
    </cfRule>
    <cfRule type="containsBlanks" dxfId="14134" priority="16102">
      <formula>LEN(TRIM(O157))=0</formula>
    </cfRule>
    <cfRule type="containsBlanks" dxfId="14133" priority="16103">
      <formula>LEN(TRIM(O157))=0</formula>
    </cfRule>
    <cfRule type="containsBlanks" dxfId="14132" priority="16104">
      <formula>LEN(TRIM(O157))=0</formula>
    </cfRule>
    <cfRule type="containsBlanks" dxfId="14131" priority="16105">
      <formula>LEN(TRIM(O157))=0</formula>
    </cfRule>
    <cfRule type="containsBlanks" dxfId="14130" priority="16106">
      <formula>LEN(TRIM(O157))=0</formula>
    </cfRule>
    <cfRule type="containsBlanks" dxfId="14129" priority="16107">
      <formula>LEN(TRIM(O157))=0</formula>
    </cfRule>
    <cfRule type="containsBlanks" dxfId="14128" priority="16108">
      <formula>LEN(TRIM(O157))=0</formula>
    </cfRule>
    <cfRule type="containsBlanks" dxfId="14127" priority="16109">
      <formula>LEN(TRIM(O157))=0</formula>
    </cfRule>
    <cfRule type="containsBlanks" dxfId="14126" priority="16110">
      <formula>LEN(TRIM(O157))=0</formula>
    </cfRule>
    <cfRule type="containsBlanks" dxfId="14125" priority="16111">
      <formula>LEN(TRIM(O157))=0</formula>
    </cfRule>
    <cfRule type="containsBlanks" dxfId="14124" priority="16112">
      <formula>LEN(TRIM(O157))=0</formula>
    </cfRule>
    <cfRule type="containsBlanks" dxfId="14123" priority="16113">
      <formula>LEN(TRIM(O157))=0</formula>
    </cfRule>
    <cfRule type="containsBlanks" dxfId="14122" priority="16114">
      <formula>LEN(TRIM(O157))=0</formula>
    </cfRule>
    <cfRule type="containsBlanks" dxfId="14121" priority="16115">
      <formula>LEN(TRIM(O157))=0</formula>
    </cfRule>
  </conditionalFormatting>
  <conditionalFormatting sqref="P99:P113 P150:P156 P115:P148">
    <cfRule type="containsBlanks" dxfId="14120" priority="9340">
      <formula>LEN(TRIM(P99))=0</formula>
    </cfRule>
    <cfRule type="containsBlanks" dxfId="14119" priority="9341">
      <formula>LEN(TRIM(P99))=0</formula>
    </cfRule>
    <cfRule type="containsBlanks" dxfId="14118" priority="9342">
      <formula>LEN(TRIM(P99))=0</formula>
    </cfRule>
    <cfRule type="containsBlanks" dxfId="14117" priority="9343">
      <formula>LEN(TRIM(P99))=0</formula>
    </cfRule>
    <cfRule type="containsBlanks" dxfId="14116" priority="9344">
      <formula>LEN(TRIM(P99))=0</formula>
    </cfRule>
    <cfRule type="containsBlanks" dxfId="14115" priority="9345">
      <formula>LEN(TRIM(P99))=0</formula>
    </cfRule>
    <cfRule type="containsBlanks" dxfId="14114" priority="9346">
      <formula>LEN(TRIM(P99))=0</formula>
    </cfRule>
    <cfRule type="containsBlanks" dxfId="14113" priority="9347">
      <formula>LEN(TRIM(P99))=0</formula>
    </cfRule>
    <cfRule type="containsBlanks" dxfId="14112" priority="9348">
      <formula>LEN(TRIM(P99))=0</formula>
    </cfRule>
    <cfRule type="containsBlanks" dxfId="14111" priority="9349">
      <formula>LEN(TRIM(P99))=0</formula>
    </cfRule>
    <cfRule type="containsBlanks" dxfId="14110" priority="9350">
      <formula>LEN(TRIM(P99))=0</formula>
    </cfRule>
    <cfRule type="containsBlanks" dxfId="14109" priority="9351">
      <formula>LEN(TRIM(P99))=0</formula>
    </cfRule>
    <cfRule type="containsBlanks" dxfId="14108" priority="9352">
      <formula>LEN(TRIM(P99))=0</formula>
    </cfRule>
    <cfRule type="containsBlanks" dxfId="14107" priority="9353">
      <formula>LEN(TRIM(P99))=0</formula>
    </cfRule>
    <cfRule type="containsBlanks" dxfId="14106" priority="9354">
      <formula>LEN(TRIM(P99))=0</formula>
    </cfRule>
    <cfRule type="containsBlanks" dxfId="14105" priority="9355">
      <formula>LEN(TRIM(P99))=0</formula>
    </cfRule>
    <cfRule type="containsBlanks" dxfId="14104" priority="9356">
      <formula>LEN(TRIM(P99))=0</formula>
    </cfRule>
    <cfRule type="containsBlanks" dxfId="14103" priority="9357">
      <formula>LEN(TRIM(P99))=0</formula>
    </cfRule>
    <cfRule type="containsBlanks" dxfId="14102" priority="9358">
      <formula>LEN(TRIM(P99))=0</formula>
    </cfRule>
    <cfRule type="containsBlanks" dxfId="14101" priority="9359">
      <formula>LEN(TRIM(P99))=0</formula>
    </cfRule>
    <cfRule type="containsBlanks" dxfId="14100" priority="9360">
      <formula>LEN(TRIM(P99))=0</formula>
    </cfRule>
    <cfRule type="containsBlanks" dxfId="14099" priority="9361">
      <formula>LEN(TRIM(P99))=0</formula>
    </cfRule>
    <cfRule type="containsBlanks" dxfId="14098" priority="9362">
      <formula>LEN(TRIM(P99))=0</formula>
    </cfRule>
    <cfRule type="containsBlanks" dxfId="14097" priority="9363">
      <formula>LEN(TRIM(P99))=0</formula>
    </cfRule>
    <cfRule type="containsBlanks" dxfId="14096" priority="9364">
      <formula>LEN(TRIM(P99))=0</formula>
    </cfRule>
    <cfRule type="containsBlanks" dxfId="14095" priority="9365">
      <formula>LEN(TRIM(P99))=0</formula>
    </cfRule>
    <cfRule type="containsBlanks" dxfId="14094" priority="9366">
      <formula>LEN(TRIM(P99))=0</formula>
    </cfRule>
    <cfRule type="containsBlanks" dxfId="14093" priority="9367">
      <formula>LEN(TRIM(P99))=0</formula>
    </cfRule>
    <cfRule type="containsBlanks" dxfId="14092" priority="9368">
      <formula>LEN(TRIM(P99))=0</formula>
    </cfRule>
    <cfRule type="containsBlanks" dxfId="14091" priority="9369">
      <formula>LEN(TRIM(P99))=0</formula>
    </cfRule>
    <cfRule type="containsBlanks" dxfId="14090" priority="9370">
      <formula>LEN(TRIM(P99))=0</formula>
    </cfRule>
    <cfRule type="containsBlanks" dxfId="14089" priority="9371">
      <formula>LEN(TRIM(P99))=0</formula>
    </cfRule>
    <cfRule type="containsBlanks" dxfId="14088" priority="9372">
      <formula>LEN(TRIM(P99))=0</formula>
    </cfRule>
    <cfRule type="containsBlanks" dxfId="14087" priority="9373">
      <formula>LEN(TRIM(P99))=0</formula>
    </cfRule>
    <cfRule type="containsBlanks" dxfId="14086" priority="9374">
      <formula>LEN(TRIM(P99))=0</formula>
    </cfRule>
    <cfRule type="containsBlanks" dxfId="14085" priority="9375">
      <formula>LEN(TRIM(P99))=0</formula>
    </cfRule>
    <cfRule type="containsBlanks" dxfId="14084" priority="9376">
      <formula>LEN(TRIM(P99))=0</formula>
    </cfRule>
    <cfRule type="containsBlanks" dxfId="14083" priority="9377">
      <formula>LEN(TRIM(P99))=0</formula>
    </cfRule>
    <cfRule type="containsBlanks" dxfId="14082" priority="9378">
      <formula>LEN(TRIM(P99))=0</formula>
    </cfRule>
    <cfRule type="containsBlanks" dxfId="14081" priority="9379">
      <formula>LEN(TRIM(P99))=0</formula>
    </cfRule>
    <cfRule type="containsBlanks" dxfId="14080" priority="9380">
      <formula>LEN(TRIM(P99))=0</formula>
    </cfRule>
    <cfRule type="containsBlanks" dxfId="14079" priority="9381">
      <formula>LEN(TRIM(P99))=0</formula>
    </cfRule>
    <cfRule type="containsBlanks" dxfId="14078" priority="9382">
      <formula>LEN(TRIM(P99))=0</formula>
    </cfRule>
    <cfRule type="containsBlanks" dxfId="14077" priority="9383">
      <formula>LEN(TRIM(P99))=0</formula>
    </cfRule>
    <cfRule type="containsBlanks" dxfId="14076" priority="9384">
      <formula>LEN(TRIM(P99))=0</formula>
    </cfRule>
    <cfRule type="containsBlanks" dxfId="14075" priority="9385">
      <formula>LEN(TRIM(P99))=0</formula>
    </cfRule>
    <cfRule type="containsBlanks" dxfId="14074" priority="9386">
      <formula>LEN(TRIM(P99))=0</formula>
    </cfRule>
    <cfRule type="containsBlanks" dxfId="14073" priority="9387">
      <formula>LEN(TRIM(P99))=0</formula>
    </cfRule>
    <cfRule type="containsBlanks" dxfId="14072" priority="9388">
      <formula>LEN(TRIM(P99))=0</formula>
    </cfRule>
    <cfRule type="containsBlanks" dxfId="14071" priority="9389">
      <formula>LEN(TRIM(P99))=0</formula>
    </cfRule>
    <cfRule type="containsBlanks" dxfId="14070" priority="9390">
      <formula>LEN(TRIM(P99))=0</formula>
    </cfRule>
    <cfRule type="containsBlanks" dxfId="14069" priority="9391">
      <formula>LEN(TRIM(P99))=0</formula>
    </cfRule>
    <cfRule type="containsBlanks" dxfId="14068" priority="9392">
      <formula>LEN(TRIM(P99))=0</formula>
    </cfRule>
    <cfRule type="containsBlanks" dxfId="14067" priority="9393">
      <formula>LEN(TRIM(P99))=0</formula>
    </cfRule>
    <cfRule type="containsBlanks" dxfId="14066" priority="9394">
      <formula>LEN(TRIM(P99))=0</formula>
    </cfRule>
    <cfRule type="containsBlanks" dxfId="14065" priority="9395">
      <formula>LEN(TRIM(P99))=0</formula>
    </cfRule>
    <cfRule type="containsBlanks" dxfId="14064" priority="9396">
      <formula>LEN(TRIM(P99))=0</formula>
    </cfRule>
    <cfRule type="containsBlanks" dxfId="14063" priority="9397">
      <formula>LEN(TRIM(P99))=0</formula>
    </cfRule>
    <cfRule type="containsBlanks" dxfId="14062" priority="9398">
      <formula>LEN(TRIM(P99))=0</formula>
    </cfRule>
    <cfRule type="containsBlanks" dxfId="14061" priority="9399">
      <formula>LEN(TRIM(P99))=0</formula>
    </cfRule>
    <cfRule type="containsBlanks" dxfId="14060" priority="9400">
      <formula>LEN(TRIM(P99))=0</formula>
    </cfRule>
    <cfRule type="containsBlanks" dxfId="14059" priority="9401">
      <formula>LEN(TRIM(P99))=0</formula>
    </cfRule>
    <cfRule type="containsBlanks" dxfId="14058" priority="9402">
      <formula>LEN(TRIM(P99))=0</formula>
    </cfRule>
    <cfRule type="containsBlanks" dxfId="14057" priority="9403">
      <formula>LEN(TRIM(P99))=0</formula>
    </cfRule>
    <cfRule type="containsBlanks" dxfId="14056" priority="9404">
      <formula>LEN(TRIM(P99))=0</formula>
    </cfRule>
    <cfRule type="containsBlanks" dxfId="14055" priority="9405">
      <formula>LEN(TRIM(P99))=0</formula>
    </cfRule>
    <cfRule type="containsBlanks" dxfId="14054" priority="9406">
      <formula>LEN(TRIM(P99))=0</formula>
    </cfRule>
    <cfRule type="containsBlanks" dxfId="14053" priority="9407">
      <formula>LEN(TRIM(P99))=0</formula>
    </cfRule>
    <cfRule type="containsBlanks" dxfId="14052" priority="9408">
      <formula>LEN(TRIM(P99))=0</formula>
    </cfRule>
    <cfRule type="containsBlanks" dxfId="14051" priority="9409">
      <formula>LEN(TRIM(P99))=0</formula>
    </cfRule>
    <cfRule type="containsBlanks" dxfId="14050" priority="9410">
      <formula>LEN(TRIM(P99))=0</formula>
    </cfRule>
    <cfRule type="containsBlanks" dxfId="14049" priority="9411">
      <formula>LEN(TRIM(P99))=0</formula>
    </cfRule>
    <cfRule type="containsBlanks" dxfId="14048" priority="9412">
      <formula>LEN(TRIM(P99))=0</formula>
    </cfRule>
    <cfRule type="containsBlanks" dxfId="14047" priority="9413">
      <formula>LEN(TRIM(P99))=0</formula>
    </cfRule>
    <cfRule type="containsBlanks" dxfId="14046" priority="9414">
      <formula>LEN(TRIM(P99))=0</formula>
    </cfRule>
    <cfRule type="containsBlanks" dxfId="14045" priority="9415">
      <formula>LEN(TRIM(P99))=0</formula>
    </cfRule>
    <cfRule type="containsBlanks" dxfId="14044" priority="9416">
      <formula>LEN(TRIM(P99))=0</formula>
    </cfRule>
    <cfRule type="containsBlanks" dxfId="14043" priority="9417">
      <formula>LEN(TRIM(P99))=0</formula>
    </cfRule>
    <cfRule type="containsBlanks" dxfId="14042" priority="9418">
      <formula>LEN(TRIM(P99))=0</formula>
    </cfRule>
    <cfRule type="containsBlanks" dxfId="14041" priority="9419">
      <formula>LEN(TRIM(P99))=0</formula>
    </cfRule>
    <cfRule type="containsBlanks" dxfId="14040" priority="9420">
      <formula>LEN(TRIM(P99))=0</formula>
    </cfRule>
    <cfRule type="containsBlanks" dxfId="14039" priority="9421">
      <formula>LEN(TRIM(P99))=0</formula>
    </cfRule>
    <cfRule type="containsBlanks" dxfId="14038" priority="9422">
      <formula>LEN(TRIM(P99))=0</formula>
    </cfRule>
    <cfRule type="containsBlanks" dxfId="14037" priority="9423">
      <formula>LEN(TRIM(P99))=0</formula>
    </cfRule>
    <cfRule type="containsBlanks" dxfId="14036" priority="9424">
      <formula>LEN(TRIM(P99))=0</formula>
    </cfRule>
    <cfRule type="containsBlanks" dxfId="14035" priority="9425">
      <formula>LEN(TRIM(P99))=0</formula>
    </cfRule>
    <cfRule type="containsBlanks" dxfId="14034" priority="9426">
      <formula>LEN(TRIM(P99))=0</formula>
    </cfRule>
    <cfRule type="containsBlanks" dxfId="14033" priority="9427">
      <formula>LEN(TRIM(P99))=0</formula>
    </cfRule>
    <cfRule type="containsBlanks" dxfId="14032" priority="9428">
      <formula>LEN(TRIM(P99))=0</formula>
    </cfRule>
    <cfRule type="containsBlanks" dxfId="14031" priority="9429">
      <formula>LEN(TRIM(P99))=0</formula>
    </cfRule>
    <cfRule type="containsBlanks" dxfId="14030" priority="9430">
      <formula>LEN(TRIM(P99))=0</formula>
    </cfRule>
    <cfRule type="containsBlanks" dxfId="14029" priority="9431">
      <formula>LEN(TRIM(P99))=0</formula>
    </cfRule>
    <cfRule type="containsBlanks" dxfId="14028" priority="9432">
      <formula>LEN(TRIM(P99))=0</formula>
    </cfRule>
    <cfRule type="containsBlanks" dxfId="14027" priority="9433">
      <formula>LEN(TRIM(P99))=0</formula>
    </cfRule>
    <cfRule type="containsBlanks" dxfId="14026" priority="9434">
      <formula>LEN(TRIM(P99))=0</formula>
    </cfRule>
    <cfRule type="containsBlanks" dxfId="14025" priority="9435">
      <formula>LEN(TRIM(P99))=0</formula>
    </cfRule>
    <cfRule type="containsBlanks" dxfId="14024" priority="9436">
      <formula>LEN(TRIM(P99))=0</formula>
    </cfRule>
    <cfRule type="containsBlanks" dxfId="14023" priority="9437">
      <formula>LEN(TRIM(P99))=0</formula>
    </cfRule>
    <cfRule type="containsBlanks" dxfId="14022" priority="9438">
      <formula>LEN(TRIM(P99))=0</formula>
    </cfRule>
    <cfRule type="containsBlanks" dxfId="14021" priority="9439">
      <formula>LEN(TRIM(P99))=0</formula>
    </cfRule>
    <cfRule type="containsBlanks" dxfId="14020" priority="9440">
      <formula>LEN(TRIM(P99))=0</formula>
    </cfRule>
    <cfRule type="containsBlanks" dxfId="14019" priority="9441">
      <formula>LEN(TRIM(P99))=0</formula>
    </cfRule>
    <cfRule type="containsBlanks" dxfId="14018" priority="9442">
      <formula>LEN(TRIM(P99))=0</formula>
    </cfRule>
    <cfRule type="containsBlanks" dxfId="14017" priority="9443">
      <formula>LEN(TRIM(P99))=0</formula>
    </cfRule>
    <cfRule type="containsBlanks" dxfId="14016" priority="9444">
      <formula>LEN(TRIM(P99))=0</formula>
    </cfRule>
    <cfRule type="containsBlanks" dxfId="14015" priority="9445">
      <formula>LEN(TRIM(P99))=0</formula>
    </cfRule>
    <cfRule type="containsBlanks" dxfId="14014" priority="9446">
      <formula>LEN(TRIM(P99))=0</formula>
    </cfRule>
    <cfRule type="containsBlanks" dxfId="14013" priority="9447">
      <formula>LEN(TRIM(P99))=0</formula>
    </cfRule>
    <cfRule type="containsBlanks" dxfId="14012" priority="9448">
      <formula>LEN(TRIM(P99))=0</formula>
    </cfRule>
    <cfRule type="containsBlanks" dxfId="14011" priority="9449">
      <formula>LEN(TRIM(P99))=0</formula>
    </cfRule>
    <cfRule type="containsBlanks" dxfId="14010" priority="9450">
      <formula>LEN(TRIM(P99))=0</formula>
    </cfRule>
    <cfRule type="containsBlanks" dxfId="14009" priority="9451">
      <formula>LEN(TRIM(P99))=0</formula>
    </cfRule>
    <cfRule type="containsBlanks" dxfId="14008" priority="9452">
      <formula>LEN(TRIM(P99))=0</formula>
    </cfRule>
    <cfRule type="containsBlanks" dxfId="14007" priority="9453">
      <formula>LEN(TRIM(P99))=0</formula>
    </cfRule>
    <cfRule type="containsBlanks" dxfId="14006" priority="9454">
      <formula>LEN(TRIM(P99))=0</formula>
    </cfRule>
    <cfRule type="containsBlanks" dxfId="14005" priority="9455">
      <formula>LEN(TRIM(P99))=0</formula>
    </cfRule>
    <cfRule type="containsBlanks" dxfId="14004" priority="9456">
      <formula>LEN(TRIM(P99))=0</formula>
    </cfRule>
    <cfRule type="containsBlanks" dxfId="14003" priority="9457">
      <formula>LEN(TRIM(P99))=0</formula>
    </cfRule>
    <cfRule type="containsBlanks" dxfId="14002" priority="9458">
      <formula>LEN(TRIM(P99))=0</formula>
    </cfRule>
    <cfRule type="containsBlanks" dxfId="14001" priority="9459">
      <formula>LEN(TRIM(P99))=0</formula>
    </cfRule>
    <cfRule type="containsBlanks" dxfId="14000" priority="9460">
      <formula>LEN(TRIM(P99))=0</formula>
    </cfRule>
    <cfRule type="containsBlanks" dxfId="13999" priority="9461">
      <formula>LEN(TRIM(P99))=0</formula>
    </cfRule>
    <cfRule type="containsBlanks" dxfId="13998" priority="9462">
      <formula>LEN(TRIM(P99))=0</formula>
    </cfRule>
    <cfRule type="containsBlanks" dxfId="13997" priority="9463">
      <formula>LEN(TRIM(P99))=0</formula>
    </cfRule>
    <cfRule type="containsBlanks" dxfId="13996" priority="9464">
      <formula>LEN(TRIM(P99))=0</formula>
    </cfRule>
    <cfRule type="containsBlanks" dxfId="13995" priority="9465">
      <formula>LEN(TRIM(P99))=0</formula>
    </cfRule>
    <cfRule type="containsBlanks" dxfId="13994" priority="9466">
      <formula>LEN(TRIM(P99))=0</formula>
    </cfRule>
    <cfRule type="containsBlanks" dxfId="13993" priority="9467">
      <formula>LEN(TRIM(P99))=0</formula>
    </cfRule>
    <cfRule type="containsBlanks" dxfId="13992" priority="9468">
      <formula>LEN(TRIM(P99))=0</formula>
    </cfRule>
    <cfRule type="containsBlanks" dxfId="13991" priority="9469">
      <formula>LEN(TRIM(P99))=0</formula>
    </cfRule>
    <cfRule type="containsBlanks" dxfId="13990" priority="9470">
      <formula>LEN(TRIM(P99))=0</formula>
    </cfRule>
    <cfRule type="containsBlanks" dxfId="13989" priority="9471">
      <formula>LEN(TRIM(P99))=0</formula>
    </cfRule>
    <cfRule type="containsBlanks" dxfId="13988" priority="9472">
      <formula>LEN(TRIM(P99))=0</formula>
    </cfRule>
    <cfRule type="containsBlanks" dxfId="13987" priority="9473">
      <formula>LEN(TRIM(P99))=0</formula>
    </cfRule>
    <cfRule type="containsBlanks" dxfId="13986" priority="9474">
      <formula>LEN(TRIM(P99))=0</formula>
    </cfRule>
    <cfRule type="containsBlanks" dxfId="13985" priority="9475">
      <formula>LEN(TRIM(P99))=0</formula>
    </cfRule>
    <cfRule type="containsBlanks" dxfId="13984" priority="9476">
      <formula>LEN(TRIM(P99))=0</formula>
    </cfRule>
    <cfRule type="containsBlanks" dxfId="13983" priority="9477">
      <formula>LEN(TRIM(P99))=0</formula>
    </cfRule>
    <cfRule type="containsBlanks" dxfId="13982" priority="9478">
      <formula>LEN(TRIM(P99))=0</formula>
    </cfRule>
    <cfRule type="containsBlanks" dxfId="13981" priority="9479">
      <formula>LEN(TRIM(P99))=0</formula>
    </cfRule>
    <cfRule type="containsBlanks" dxfId="13980" priority="9480">
      <formula>LEN(TRIM(P99))=0</formula>
    </cfRule>
    <cfRule type="containsBlanks" dxfId="13979" priority="9481">
      <formula>LEN(TRIM(P99))=0</formula>
    </cfRule>
    <cfRule type="containsBlanks" dxfId="13978" priority="9482">
      <formula>LEN(TRIM(P99))=0</formula>
    </cfRule>
    <cfRule type="containsBlanks" dxfId="13977" priority="9483">
      <formula>LEN(TRIM(P99))=0</formula>
    </cfRule>
    <cfRule type="containsBlanks" dxfId="13976" priority="9484">
      <formula>LEN(TRIM(P99))=0</formula>
    </cfRule>
    <cfRule type="containsBlanks" dxfId="13975" priority="9485">
      <formula>LEN(TRIM(P99))=0</formula>
    </cfRule>
    <cfRule type="containsBlanks" dxfId="13974" priority="9486">
      <formula>LEN(TRIM(P99))=0</formula>
    </cfRule>
    <cfRule type="containsBlanks" dxfId="13973" priority="9487">
      <formula>LEN(TRIM(P99))=0</formula>
    </cfRule>
    <cfRule type="containsBlanks" dxfId="13972" priority="9488">
      <formula>LEN(TRIM(P99))=0</formula>
    </cfRule>
    <cfRule type="containsBlanks" dxfId="13971" priority="9489">
      <formula>LEN(TRIM(P99))=0</formula>
    </cfRule>
    <cfRule type="containsBlanks" dxfId="13970" priority="9490">
      <formula>LEN(TRIM(P99))=0</formula>
    </cfRule>
    <cfRule type="containsBlanks" dxfId="13969" priority="9491">
      <formula>LEN(TRIM(P99))=0</formula>
    </cfRule>
    <cfRule type="containsBlanks" dxfId="13968" priority="9492">
      <formula>LEN(TRIM(P99))=0</formula>
    </cfRule>
    <cfRule type="containsBlanks" dxfId="13967" priority="9493">
      <formula>LEN(TRIM(P99))=0</formula>
    </cfRule>
    <cfRule type="containsBlanks" dxfId="13966" priority="9494">
      <formula>LEN(TRIM(P99))=0</formula>
    </cfRule>
    <cfRule type="containsBlanks" dxfId="13965" priority="9495">
      <formula>LEN(TRIM(P99))=0</formula>
    </cfRule>
    <cfRule type="containsBlanks" dxfId="13964" priority="9496">
      <formula>LEN(TRIM(P99))=0</formula>
    </cfRule>
    <cfRule type="containsBlanks" dxfId="13963" priority="9497">
      <formula>LEN(TRIM(P99))=0</formula>
    </cfRule>
    <cfRule type="containsBlanks" dxfId="13962" priority="9498">
      <formula>LEN(TRIM(P99))=0</formula>
    </cfRule>
    <cfRule type="containsBlanks" dxfId="13961" priority="9499">
      <formula>LEN(TRIM(P99))=0</formula>
    </cfRule>
    <cfRule type="containsBlanks" dxfId="13960" priority="9500">
      <formula>LEN(TRIM(P99))=0</formula>
    </cfRule>
    <cfRule type="containsBlanks" dxfId="13959" priority="9501">
      <formula>LEN(TRIM(P99))=0</formula>
    </cfRule>
    <cfRule type="containsBlanks" dxfId="13958" priority="9502">
      <formula>LEN(TRIM(P99))=0</formula>
    </cfRule>
    <cfRule type="containsBlanks" dxfId="13957" priority="9503">
      <formula>LEN(TRIM(P99))=0</formula>
    </cfRule>
    <cfRule type="containsBlanks" dxfId="13956" priority="9504">
      <formula>LEN(TRIM(P99))=0</formula>
    </cfRule>
    <cfRule type="containsBlanks" dxfId="13955" priority="9505">
      <formula>LEN(TRIM(P99))=0</formula>
    </cfRule>
    <cfRule type="containsBlanks" dxfId="13954" priority="9506">
      <formula>LEN(TRIM(P99))=0</formula>
    </cfRule>
    <cfRule type="containsBlanks" dxfId="13953" priority="9507">
      <formula>LEN(TRIM(P99))=0</formula>
    </cfRule>
    <cfRule type="containsBlanks" dxfId="13952" priority="9508">
      <formula>LEN(TRIM(P99))=0</formula>
    </cfRule>
    <cfRule type="containsBlanks" dxfId="13951" priority="9509">
      <formula>LEN(TRIM(P99))=0</formula>
    </cfRule>
    <cfRule type="containsBlanks" dxfId="13950" priority="9510">
      <formula>LEN(TRIM(P99))=0</formula>
    </cfRule>
    <cfRule type="containsBlanks" dxfId="13949" priority="9511">
      <formula>LEN(TRIM(P99))=0</formula>
    </cfRule>
    <cfRule type="containsBlanks" dxfId="13948" priority="9512">
      <formula>LEN(TRIM(P99))=0</formula>
    </cfRule>
    <cfRule type="containsBlanks" dxfId="13947" priority="9513">
      <formula>LEN(TRIM(P99))=0</formula>
    </cfRule>
    <cfRule type="containsBlanks" dxfId="13946" priority="9514">
      <formula>LEN(TRIM(P99))=0</formula>
    </cfRule>
    <cfRule type="containsBlanks" dxfId="13945" priority="9515">
      <formula>LEN(TRIM(P99))=0</formula>
    </cfRule>
    <cfRule type="containsBlanks" dxfId="13944" priority="9516">
      <formula>LEN(TRIM(P99))=0</formula>
    </cfRule>
    <cfRule type="containsBlanks" dxfId="13943" priority="9517">
      <formula>LEN(TRIM(P99))=0</formula>
    </cfRule>
    <cfRule type="containsBlanks" dxfId="13942" priority="9518">
      <formula>LEN(TRIM(P99))=0</formula>
    </cfRule>
    <cfRule type="containsBlanks" dxfId="13941" priority="9519">
      <formula>LEN(TRIM(P99))=0</formula>
    </cfRule>
    <cfRule type="containsBlanks" dxfId="13940" priority="9520">
      <formula>LEN(TRIM(P99))=0</formula>
    </cfRule>
    <cfRule type="containsBlanks" dxfId="13939" priority="9521">
      <formula>LEN(TRIM(P99))=0</formula>
    </cfRule>
    <cfRule type="containsBlanks" dxfId="13938" priority="9522">
      <formula>LEN(TRIM(P99))=0</formula>
    </cfRule>
    <cfRule type="containsBlanks" dxfId="13937" priority="9523">
      <formula>LEN(TRIM(P99))=0</formula>
    </cfRule>
    <cfRule type="containsBlanks" dxfId="13936" priority="9524">
      <formula>LEN(TRIM(P99))=0</formula>
    </cfRule>
    <cfRule type="containsBlanks" dxfId="13935" priority="9525">
      <formula>LEN(TRIM(P99))=0</formula>
    </cfRule>
    <cfRule type="containsBlanks" dxfId="13934" priority="9526">
      <formula>LEN(TRIM(P99))=0</formula>
    </cfRule>
    <cfRule type="containsBlanks" dxfId="13933" priority="9527">
      <formula>LEN(TRIM(P99))=0</formula>
    </cfRule>
    <cfRule type="containsBlanks" dxfId="13932" priority="9528">
      <formula>LEN(TRIM(P99))=0</formula>
    </cfRule>
    <cfRule type="containsBlanks" dxfId="13931" priority="9529">
      <formula>LEN(TRIM(P99))=0</formula>
    </cfRule>
    <cfRule type="containsBlanks" dxfId="13930" priority="9530">
      <formula>LEN(TRIM(P99))=0</formula>
    </cfRule>
    <cfRule type="containsBlanks" dxfId="13929" priority="9531">
      <formula>LEN(TRIM(P99))=0</formula>
    </cfRule>
    <cfRule type="containsBlanks" dxfId="13928" priority="9532">
      <formula>LEN(TRIM(P99))=0</formula>
    </cfRule>
    <cfRule type="containsBlanks" dxfId="13927" priority="9533">
      <formula>LEN(TRIM(P99))=0</formula>
    </cfRule>
    <cfRule type="containsBlanks" dxfId="13926" priority="9534">
      <formula>LEN(TRIM(P99))=0</formula>
    </cfRule>
    <cfRule type="containsBlanks" dxfId="13925" priority="9535">
      <formula>LEN(TRIM(P99))=0</formula>
    </cfRule>
    <cfRule type="containsBlanks" dxfId="13924" priority="9536">
      <formula>LEN(TRIM(P99))=0</formula>
    </cfRule>
    <cfRule type="containsBlanks" dxfId="13923" priority="9537">
      <formula>LEN(TRIM(P99))=0</formula>
    </cfRule>
    <cfRule type="containsBlanks" dxfId="13922" priority="9538">
      <formula>LEN(TRIM(P99))=0</formula>
    </cfRule>
    <cfRule type="containsBlanks" dxfId="13921" priority="9539">
      <formula>LEN(TRIM(P99))=0</formula>
    </cfRule>
    <cfRule type="containsBlanks" dxfId="13920" priority="9540">
      <formula>LEN(TRIM(P99))=0</formula>
    </cfRule>
    <cfRule type="containsBlanks" dxfId="13919" priority="9541">
      <formula>LEN(TRIM(P99))=0</formula>
    </cfRule>
    <cfRule type="containsBlanks" dxfId="13918" priority="9542">
      <formula>LEN(TRIM(P99))=0</formula>
    </cfRule>
    <cfRule type="containsBlanks" dxfId="13917" priority="9543">
      <formula>LEN(TRIM(P99))=0</formula>
    </cfRule>
    <cfRule type="containsBlanks" dxfId="13916" priority="9544">
      <formula>LEN(TRIM(P99))=0</formula>
    </cfRule>
    <cfRule type="containsBlanks" dxfId="13915" priority="9545">
      <formula>LEN(TRIM(P99))=0</formula>
    </cfRule>
    <cfRule type="containsBlanks" dxfId="13914" priority="9546">
      <formula>LEN(TRIM(P99))=0</formula>
    </cfRule>
    <cfRule type="containsBlanks" dxfId="13913" priority="9547">
      <formula>LEN(TRIM(P99))=0</formula>
    </cfRule>
    <cfRule type="containsBlanks" dxfId="13912" priority="9548">
      <formula>LEN(TRIM(P99))=0</formula>
    </cfRule>
    <cfRule type="containsBlanks" dxfId="13911" priority="9549">
      <formula>LEN(TRIM(P99))=0</formula>
    </cfRule>
    <cfRule type="containsBlanks" dxfId="13910" priority="9550">
      <formula>LEN(TRIM(P99))=0</formula>
    </cfRule>
    <cfRule type="containsBlanks" dxfId="13909" priority="9551">
      <formula>LEN(TRIM(P99))=0</formula>
    </cfRule>
    <cfRule type="containsBlanks" dxfId="13908" priority="9552">
      <formula>LEN(TRIM(P99))=0</formula>
    </cfRule>
    <cfRule type="containsBlanks" dxfId="13907" priority="9553">
      <formula>LEN(TRIM(P99))=0</formula>
    </cfRule>
    <cfRule type="containsBlanks" dxfId="13906" priority="9554">
      <formula>LEN(TRIM(P99))=0</formula>
    </cfRule>
    <cfRule type="containsBlanks" dxfId="13905" priority="9555">
      <formula>LEN(TRIM(P99))=0</formula>
    </cfRule>
    <cfRule type="containsBlanks" dxfId="13904" priority="9556">
      <formula>LEN(TRIM(P99))=0</formula>
    </cfRule>
    <cfRule type="containsBlanks" dxfId="13903" priority="9557">
      <formula>LEN(TRIM(P99))=0</formula>
    </cfRule>
    <cfRule type="containsBlanks" dxfId="13902" priority="9558">
      <formula>LEN(TRIM(P99))=0</formula>
    </cfRule>
    <cfRule type="containsBlanks" dxfId="13901" priority="9559">
      <formula>LEN(TRIM(P99))=0</formula>
    </cfRule>
    <cfRule type="containsBlanks" dxfId="13900" priority="9560">
      <formula>LEN(TRIM(P99))=0</formula>
    </cfRule>
    <cfRule type="containsBlanks" dxfId="13899" priority="9561">
      <formula>LEN(TRIM(P99))=0</formula>
    </cfRule>
    <cfRule type="containsBlanks" dxfId="13898" priority="9562">
      <formula>LEN(TRIM(P99))=0</formula>
    </cfRule>
    <cfRule type="containsBlanks" dxfId="13897" priority="9563">
      <formula>LEN(TRIM(P99))=0</formula>
    </cfRule>
    <cfRule type="containsBlanks" dxfId="13896" priority="9564">
      <formula>LEN(TRIM(P99))=0</formula>
    </cfRule>
    <cfRule type="containsBlanks" dxfId="13895" priority="9565">
      <formula>LEN(TRIM(P99))=0</formula>
    </cfRule>
    <cfRule type="containsBlanks" dxfId="13894" priority="9566">
      <formula>LEN(TRIM(P99))=0</formula>
    </cfRule>
    <cfRule type="containsBlanks" dxfId="13893" priority="9567">
      <formula>LEN(TRIM(P99))=0</formula>
    </cfRule>
    <cfRule type="containsBlanks" dxfId="13892" priority="9568">
      <formula>LEN(TRIM(P99))=0</formula>
    </cfRule>
    <cfRule type="containsBlanks" dxfId="13891" priority="9569">
      <formula>LEN(TRIM(P99))=0</formula>
    </cfRule>
    <cfRule type="containsBlanks" dxfId="13890" priority="9570">
      <formula>LEN(TRIM(P99))=0</formula>
    </cfRule>
    <cfRule type="containsBlanks" dxfId="13889" priority="9571">
      <formula>LEN(TRIM(P99))=0</formula>
    </cfRule>
    <cfRule type="containsBlanks" dxfId="13888" priority="9572">
      <formula>LEN(TRIM(P99))=0</formula>
    </cfRule>
    <cfRule type="containsBlanks" dxfId="13887" priority="9573">
      <formula>LEN(TRIM(P99))=0</formula>
    </cfRule>
    <cfRule type="containsBlanks" dxfId="13886" priority="9574">
      <formula>LEN(TRIM(P99))=0</formula>
    </cfRule>
    <cfRule type="containsBlanks" dxfId="13885" priority="9575">
      <formula>LEN(TRIM(P99))=0</formula>
    </cfRule>
    <cfRule type="containsBlanks" dxfId="13884" priority="9576">
      <formula>LEN(TRIM(P99))=0</formula>
    </cfRule>
    <cfRule type="containsBlanks" dxfId="13883" priority="9577">
      <formula>LEN(TRIM(P99))=0</formula>
    </cfRule>
    <cfRule type="containsBlanks" dxfId="13882" priority="9578">
      <formula>LEN(TRIM(P99))=0</formula>
    </cfRule>
    <cfRule type="containsBlanks" dxfId="13881" priority="9579">
      <formula>LEN(TRIM(P99))=0</formula>
    </cfRule>
    <cfRule type="containsBlanks" dxfId="13880" priority="9580">
      <formula>LEN(TRIM(P99))=0</formula>
    </cfRule>
    <cfRule type="containsBlanks" dxfId="13879" priority="9581">
      <formula>LEN(TRIM(P99))=0</formula>
    </cfRule>
    <cfRule type="containsBlanks" dxfId="13878" priority="9582">
      <formula>LEN(TRIM(P99))=0</formula>
    </cfRule>
    <cfRule type="containsBlanks" dxfId="13877" priority="9583">
      <formula>LEN(TRIM(P99))=0</formula>
    </cfRule>
    <cfRule type="containsBlanks" dxfId="13876" priority="9584">
      <formula>LEN(TRIM(P99))=0</formula>
    </cfRule>
    <cfRule type="containsBlanks" dxfId="13875" priority="9585">
      <formula>LEN(TRIM(P99))=0</formula>
    </cfRule>
    <cfRule type="containsBlanks" dxfId="13874" priority="9586">
      <formula>LEN(TRIM(P99))=0</formula>
    </cfRule>
    <cfRule type="containsBlanks" dxfId="13873" priority="9587">
      <formula>LEN(TRIM(P99))=0</formula>
    </cfRule>
    <cfRule type="containsBlanks" dxfId="13872" priority="9588">
      <formula>LEN(TRIM(P99))=0</formula>
    </cfRule>
    <cfRule type="containsBlanks" dxfId="13871" priority="9589">
      <formula>LEN(TRIM(P99))=0</formula>
    </cfRule>
    <cfRule type="containsBlanks" dxfId="13870" priority="9590">
      <formula>LEN(TRIM(P99))=0</formula>
    </cfRule>
    <cfRule type="containsBlanks" dxfId="13869" priority="9591">
      <formula>LEN(TRIM(P99))=0</formula>
    </cfRule>
    <cfRule type="containsBlanks" dxfId="13868" priority="9592">
      <formula>LEN(TRIM(P99))=0</formula>
    </cfRule>
    <cfRule type="containsBlanks" dxfId="13867" priority="9593">
      <formula>LEN(TRIM(P99))=0</formula>
    </cfRule>
    <cfRule type="containsBlanks" dxfId="13866" priority="9594">
      <formula>LEN(TRIM(P99))=0</formula>
    </cfRule>
    <cfRule type="containsBlanks" dxfId="13865" priority="9595">
      <formula>LEN(TRIM(P99))=0</formula>
    </cfRule>
    <cfRule type="containsBlanks" dxfId="13864" priority="9596">
      <formula>LEN(TRIM(P99))=0</formula>
    </cfRule>
    <cfRule type="containsBlanks" dxfId="13863" priority="9597">
      <formula>LEN(TRIM(P99))=0</formula>
    </cfRule>
    <cfRule type="containsBlanks" dxfId="13862" priority="9598">
      <formula>LEN(TRIM(P99))=0</formula>
    </cfRule>
    <cfRule type="containsBlanks" dxfId="13861" priority="9599">
      <formula>LEN(TRIM(P99))=0</formula>
    </cfRule>
    <cfRule type="containsBlanks" dxfId="13860" priority="9600">
      <formula>LEN(TRIM(P99))=0</formula>
    </cfRule>
    <cfRule type="containsBlanks" dxfId="13859" priority="9601">
      <formula>LEN(TRIM(P99))=0</formula>
    </cfRule>
    <cfRule type="containsBlanks" dxfId="13858" priority="9602">
      <formula>LEN(TRIM(P99))=0</formula>
    </cfRule>
    <cfRule type="containsBlanks" dxfId="13857" priority="9603">
      <formula>LEN(TRIM(P99))=0</formula>
    </cfRule>
    <cfRule type="containsBlanks" dxfId="13856" priority="9604">
      <formula>LEN(TRIM(P99))=0</formula>
    </cfRule>
    <cfRule type="containsBlanks" dxfId="13855" priority="9605">
      <formula>LEN(TRIM(P99))=0</formula>
    </cfRule>
    <cfRule type="containsBlanks" dxfId="13854" priority="9606">
      <formula>LEN(TRIM(P99))=0</formula>
    </cfRule>
    <cfRule type="containsBlanks" dxfId="13853" priority="9607">
      <formula>LEN(TRIM(P99))=0</formula>
    </cfRule>
    <cfRule type="containsBlanks" dxfId="13852" priority="9608">
      <formula>LEN(TRIM(P99))=0</formula>
    </cfRule>
    <cfRule type="containsBlanks" dxfId="13851" priority="9609">
      <formula>LEN(TRIM(P99))=0</formula>
    </cfRule>
    <cfRule type="containsBlanks" dxfId="13850" priority="9610">
      <formula>LEN(TRIM(P99))=0</formula>
    </cfRule>
    <cfRule type="containsBlanks" dxfId="13849" priority="9611">
      <formula>LEN(TRIM(P99))=0</formula>
    </cfRule>
    <cfRule type="containsBlanks" dxfId="13848" priority="9612">
      <formula>LEN(TRIM(P99))=0</formula>
    </cfRule>
    <cfRule type="containsBlanks" dxfId="13847" priority="9613">
      <formula>LEN(TRIM(P99))=0</formula>
    </cfRule>
    <cfRule type="containsBlanks" dxfId="13846" priority="9614">
      <formula>LEN(TRIM(P99))=0</formula>
    </cfRule>
    <cfRule type="containsBlanks" dxfId="13845" priority="9615">
      <formula>LEN(TRIM(P99))=0</formula>
    </cfRule>
    <cfRule type="containsBlanks" dxfId="13844" priority="9616">
      <formula>LEN(TRIM(P99))=0</formula>
    </cfRule>
    <cfRule type="containsBlanks" dxfId="13843" priority="9617">
      <formula>LEN(TRIM(P99))=0</formula>
    </cfRule>
    <cfRule type="containsBlanks" dxfId="13842" priority="9618">
      <formula>LEN(TRIM(P99))=0</formula>
    </cfRule>
    <cfRule type="containsBlanks" dxfId="13841" priority="9619">
      <formula>LEN(TRIM(P99))=0</formula>
    </cfRule>
    <cfRule type="containsBlanks" dxfId="13840" priority="9620">
      <formula>LEN(TRIM(P99))=0</formula>
    </cfRule>
    <cfRule type="containsBlanks" dxfId="13839" priority="9621">
      <formula>LEN(TRIM(P99))=0</formula>
    </cfRule>
    <cfRule type="containsBlanks" dxfId="13838" priority="9622">
      <formula>LEN(TRIM(P99))=0</formula>
    </cfRule>
    <cfRule type="containsBlanks" dxfId="13837" priority="9623">
      <formula>LEN(TRIM(P99))=0</formula>
    </cfRule>
    <cfRule type="containsBlanks" dxfId="13836" priority="9624">
      <formula>LEN(TRIM(P99))=0</formula>
    </cfRule>
    <cfRule type="containsBlanks" dxfId="13835" priority="9625">
      <formula>LEN(TRIM(P99))=0</formula>
    </cfRule>
    <cfRule type="containsBlanks" dxfId="13834" priority="9626">
      <formula>LEN(TRIM(P99))=0</formula>
    </cfRule>
    <cfRule type="containsBlanks" dxfId="13833" priority="9627">
      <formula>LEN(TRIM(P99))=0</formula>
    </cfRule>
    <cfRule type="containsBlanks" dxfId="13832" priority="9628">
      <formula>LEN(TRIM(P99))=0</formula>
    </cfRule>
    <cfRule type="containsBlanks" dxfId="13831" priority="9629">
      <formula>LEN(TRIM(P99))=0</formula>
    </cfRule>
    <cfRule type="containsBlanks" dxfId="13830" priority="9630">
      <formula>LEN(TRIM(P99))=0</formula>
    </cfRule>
    <cfRule type="containsBlanks" dxfId="13829" priority="9631">
      <formula>LEN(TRIM(P99))=0</formula>
    </cfRule>
    <cfRule type="containsBlanks" dxfId="13828" priority="9632">
      <formula>LEN(TRIM(P99))=0</formula>
    </cfRule>
    <cfRule type="containsBlanks" dxfId="13827" priority="9633">
      <formula>LEN(TRIM(P99))=0</formula>
    </cfRule>
    <cfRule type="containsBlanks" dxfId="13826" priority="9634">
      <formula>LEN(TRIM(P99))=0</formula>
    </cfRule>
    <cfRule type="containsBlanks" dxfId="13825" priority="9635">
      <formula>LEN(TRIM(P99))=0</formula>
    </cfRule>
    <cfRule type="containsBlanks" dxfId="13824" priority="9636">
      <formula>LEN(TRIM(P99))=0</formula>
    </cfRule>
    <cfRule type="containsBlanks" dxfId="13823" priority="9637">
      <formula>LEN(TRIM(P99))=0</formula>
    </cfRule>
    <cfRule type="containsBlanks" dxfId="13822" priority="9638">
      <formula>LEN(TRIM(P99))=0</formula>
    </cfRule>
    <cfRule type="containsBlanks" dxfId="13821" priority="9639">
      <formula>LEN(TRIM(P99))=0</formula>
    </cfRule>
    <cfRule type="containsBlanks" dxfId="13820" priority="9640">
      <formula>LEN(TRIM(P99))=0</formula>
    </cfRule>
    <cfRule type="containsBlanks" dxfId="13819" priority="9641">
      <formula>LEN(TRIM(P99))=0</formula>
    </cfRule>
    <cfRule type="containsBlanks" dxfId="13818" priority="9642">
      <formula>LEN(TRIM(P99))=0</formula>
    </cfRule>
    <cfRule type="containsBlanks" dxfId="13817" priority="9643">
      <formula>LEN(TRIM(P99))=0</formula>
    </cfRule>
    <cfRule type="containsBlanks" dxfId="13816" priority="9644">
      <formula>LEN(TRIM(P99))=0</formula>
    </cfRule>
    <cfRule type="containsBlanks" dxfId="13815" priority="9645">
      <formula>LEN(TRIM(P99))=0</formula>
    </cfRule>
    <cfRule type="containsBlanks" dxfId="13814" priority="9646">
      <formula>LEN(TRIM(P99))=0</formula>
    </cfRule>
    <cfRule type="containsBlanks" dxfId="13813" priority="9647">
      <formula>LEN(TRIM(P99))=0</formula>
    </cfRule>
    <cfRule type="containsBlanks" dxfId="13812" priority="9648">
      <formula>LEN(TRIM(P99))=0</formula>
    </cfRule>
    <cfRule type="containsBlanks" dxfId="13811" priority="9649">
      <formula>LEN(TRIM(P99))=0</formula>
    </cfRule>
    <cfRule type="containsBlanks" dxfId="13810" priority="9650">
      <formula>LEN(TRIM(P99))=0</formula>
    </cfRule>
    <cfRule type="containsBlanks" dxfId="13809" priority="9651">
      <formula>LEN(TRIM(P99))=0</formula>
    </cfRule>
    <cfRule type="containsBlanks" dxfId="13808" priority="9652">
      <formula>LEN(TRIM(P99))=0</formula>
    </cfRule>
    <cfRule type="containsBlanks" dxfId="13807" priority="9653">
      <formula>LEN(TRIM(P99))=0</formula>
    </cfRule>
    <cfRule type="containsBlanks" dxfId="13806" priority="9654">
      <formula>LEN(TRIM(P99))=0</formula>
    </cfRule>
    <cfRule type="containsBlanks" dxfId="13805" priority="9655">
      <formula>LEN(TRIM(P99))=0</formula>
    </cfRule>
    <cfRule type="containsBlanks" dxfId="13804" priority="9656">
      <formula>LEN(TRIM(P99))=0</formula>
    </cfRule>
    <cfRule type="containsBlanks" dxfId="13803" priority="9657">
      <formula>LEN(TRIM(P99))=0</formula>
    </cfRule>
    <cfRule type="containsBlanks" dxfId="13802" priority="9658">
      <formula>LEN(TRIM(P99))=0</formula>
    </cfRule>
    <cfRule type="containsBlanks" dxfId="13801" priority="9659">
      <formula>LEN(TRIM(P99))=0</formula>
    </cfRule>
    <cfRule type="containsBlanks" dxfId="13800" priority="9660">
      <formula>LEN(TRIM(P99))=0</formula>
    </cfRule>
    <cfRule type="containsBlanks" dxfId="13799" priority="9661">
      <formula>LEN(TRIM(P99))=0</formula>
    </cfRule>
    <cfRule type="containsBlanks" dxfId="13798" priority="9662">
      <formula>LEN(TRIM(P99))=0</formula>
    </cfRule>
    <cfRule type="containsBlanks" dxfId="13797" priority="9663">
      <formula>LEN(TRIM(P99))=0</formula>
    </cfRule>
    <cfRule type="containsBlanks" dxfId="13796" priority="9664">
      <formula>LEN(TRIM(P99))=0</formula>
    </cfRule>
    <cfRule type="containsBlanks" dxfId="13795" priority="9665">
      <formula>LEN(TRIM(P99))=0</formula>
    </cfRule>
    <cfRule type="containsBlanks" dxfId="13794" priority="9666">
      <formula>LEN(TRIM(P99))=0</formula>
    </cfRule>
    <cfRule type="containsBlanks" dxfId="13793" priority="9667">
      <formula>LEN(TRIM(P99))=0</formula>
    </cfRule>
    <cfRule type="containsBlanks" dxfId="13792" priority="9668">
      <formula>LEN(TRIM(P99))=0</formula>
    </cfRule>
    <cfRule type="containsBlanks" dxfId="13791" priority="9669">
      <formula>LEN(TRIM(P99))=0</formula>
    </cfRule>
    <cfRule type="containsBlanks" dxfId="13790" priority="9670">
      <formula>LEN(TRIM(P99))=0</formula>
    </cfRule>
    <cfRule type="containsBlanks" dxfId="13789" priority="9671">
      <formula>LEN(TRIM(P99))=0</formula>
    </cfRule>
    <cfRule type="containsBlanks" dxfId="13788" priority="9672">
      <formula>LEN(TRIM(P99))=0</formula>
    </cfRule>
    <cfRule type="containsBlanks" dxfId="13787" priority="9673">
      <formula>LEN(TRIM(P99))=0</formula>
    </cfRule>
    <cfRule type="containsBlanks" dxfId="13786" priority="9674">
      <formula>LEN(TRIM(P99))=0</formula>
    </cfRule>
    <cfRule type="containsBlanks" dxfId="13785" priority="9675">
      <formula>LEN(TRIM(P99))=0</formula>
    </cfRule>
    <cfRule type="containsBlanks" dxfId="13784" priority="9676">
      <formula>LEN(TRIM(P99))=0</formula>
    </cfRule>
    <cfRule type="containsBlanks" dxfId="13783" priority="9677">
      <formula>LEN(TRIM(P99))=0</formula>
    </cfRule>
    <cfRule type="containsBlanks" dxfId="13782" priority="9678">
      <formula>LEN(TRIM(P99))=0</formula>
    </cfRule>
    <cfRule type="containsBlanks" dxfId="13781" priority="9679">
      <formula>LEN(TRIM(P99))=0</formula>
    </cfRule>
    <cfRule type="containsBlanks" dxfId="13780" priority="9680">
      <formula>LEN(TRIM(P99))=0</formula>
    </cfRule>
    <cfRule type="containsBlanks" dxfId="13779" priority="9681">
      <formula>LEN(TRIM(P99))=0</formula>
    </cfRule>
    <cfRule type="containsBlanks" dxfId="13778" priority="9682">
      <formula>LEN(TRIM(P99))=0</formula>
    </cfRule>
    <cfRule type="containsBlanks" dxfId="13777" priority="9683">
      <formula>LEN(TRIM(P99))=0</formula>
    </cfRule>
    <cfRule type="containsBlanks" dxfId="13776" priority="9684">
      <formula>LEN(TRIM(P99))=0</formula>
    </cfRule>
    <cfRule type="containsBlanks" dxfId="13775" priority="9685">
      <formula>LEN(TRIM(P99))=0</formula>
    </cfRule>
    <cfRule type="containsBlanks" dxfId="13774" priority="9686">
      <formula>LEN(TRIM(P99))=0</formula>
    </cfRule>
    <cfRule type="containsBlanks" dxfId="13773" priority="9687">
      <formula>LEN(TRIM(P99))=0</formula>
    </cfRule>
    <cfRule type="containsBlanks" dxfId="13772" priority="9688">
      <formula>LEN(TRIM(P99))=0</formula>
    </cfRule>
    <cfRule type="containsBlanks" dxfId="13771" priority="9689">
      <formula>LEN(TRIM(P99))=0</formula>
    </cfRule>
    <cfRule type="containsBlanks" dxfId="13770" priority="9690">
      <formula>LEN(TRIM(P99))=0</formula>
    </cfRule>
    <cfRule type="containsBlanks" dxfId="13769" priority="9691">
      <formula>LEN(TRIM(P99))=0</formula>
    </cfRule>
    <cfRule type="containsBlanks" dxfId="13768" priority="9692">
      <formula>LEN(TRIM(P99))=0</formula>
    </cfRule>
    <cfRule type="containsBlanks" dxfId="13767" priority="9693">
      <formula>LEN(TRIM(P99))=0</formula>
    </cfRule>
    <cfRule type="containsBlanks" dxfId="13766" priority="9694">
      <formula>LEN(TRIM(P99))=0</formula>
    </cfRule>
    <cfRule type="containsBlanks" dxfId="13765" priority="9695">
      <formula>LEN(TRIM(P99))=0</formula>
    </cfRule>
    <cfRule type="containsBlanks" dxfId="13764" priority="9696">
      <formula>LEN(TRIM(P99))=0</formula>
    </cfRule>
    <cfRule type="containsBlanks" dxfId="13763" priority="9697">
      <formula>LEN(TRIM(P99))=0</formula>
    </cfRule>
    <cfRule type="containsBlanks" dxfId="13762" priority="9698">
      <formula>LEN(TRIM(P99))=0</formula>
    </cfRule>
    <cfRule type="containsBlanks" dxfId="13761" priority="9699">
      <formula>LEN(TRIM(P99))=0</formula>
    </cfRule>
    <cfRule type="containsBlanks" dxfId="13760" priority="9700">
      <formula>LEN(TRIM(P99))=0</formula>
    </cfRule>
    <cfRule type="containsBlanks" dxfId="13759" priority="9701">
      <formula>LEN(TRIM(P99))=0</formula>
    </cfRule>
    <cfRule type="containsBlanks" dxfId="13758" priority="9702">
      <formula>LEN(TRIM(P99))=0</formula>
    </cfRule>
    <cfRule type="containsBlanks" dxfId="13757" priority="9703">
      <formula>LEN(TRIM(P99))=0</formula>
    </cfRule>
    <cfRule type="containsBlanks" dxfId="13756" priority="9704">
      <formula>LEN(TRIM(P99))=0</formula>
    </cfRule>
    <cfRule type="containsBlanks" dxfId="13755" priority="9705">
      <formula>LEN(TRIM(P99))=0</formula>
    </cfRule>
    <cfRule type="containsBlanks" dxfId="13754" priority="9706">
      <formula>LEN(TRIM(P99))=0</formula>
    </cfRule>
    <cfRule type="containsBlanks" dxfId="13753" priority="9707">
      <formula>LEN(TRIM(P99))=0</formula>
    </cfRule>
    <cfRule type="containsBlanks" dxfId="13752" priority="9708">
      <formula>LEN(TRIM(P99))=0</formula>
    </cfRule>
    <cfRule type="containsBlanks" dxfId="13751" priority="9709">
      <formula>LEN(TRIM(P99))=0</formula>
    </cfRule>
    <cfRule type="containsBlanks" dxfId="13750" priority="9710">
      <formula>LEN(TRIM(P99))=0</formula>
    </cfRule>
    <cfRule type="containsBlanks" dxfId="13749" priority="9711">
      <formula>LEN(TRIM(P99))=0</formula>
    </cfRule>
    <cfRule type="containsBlanks" dxfId="13748" priority="9712">
      <formula>LEN(TRIM(P99))=0</formula>
    </cfRule>
    <cfRule type="containsBlanks" dxfId="13747" priority="9713">
      <formula>LEN(TRIM(P99))=0</formula>
    </cfRule>
    <cfRule type="containsBlanks" dxfId="13746" priority="9714">
      <formula>LEN(TRIM(P99))=0</formula>
    </cfRule>
    <cfRule type="containsBlanks" dxfId="13745" priority="9715">
      <formula>LEN(TRIM(P99))=0</formula>
    </cfRule>
    <cfRule type="containsBlanks" dxfId="13744" priority="9716">
      <formula>LEN(TRIM(P99))=0</formula>
    </cfRule>
    <cfRule type="containsBlanks" dxfId="13743" priority="9717">
      <formula>LEN(TRIM(P99))=0</formula>
    </cfRule>
    <cfRule type="containsBlanks" dxfId="13742" priority="9718">
      <formula>LEN(TRIM(P99))=0</formula>
    </cfRule>
    <cfRule type="containsBlanks" dxfId="13741" priority="9719">
      <formula>LEN(TRIM(P99))=0</formula>
    </cfRule>
    <cfRule type="containsBlanks" dxfId="13740" priority="9720">
      <formula>LEN(TRIM(P99))=0</formula>
    </cfRule>
    <cfRule type="containsBlanks" dxfId="13739" priority="9721">
      <formula>LEN(TRIM(P99))=0</formula>
    </cfRule>
    <cfRule type="containsBlanks" dxfId="13738" priority="9722">
      <formula>LEN(TRIM(P99))=0</formula>
    </cfRule>
    <cfRule type="containsBlanks" dxfId="13737" priority="9723">
      <formula>LEN(TRIM(P99))=0</formula>
    </cfRule>
    <cfRule type="containsBlanks" dxfId="13736" priority="9724">
      <formula>LEN(TRIM(P99))=0</formula>
    </cfRule>
    <cfRule type="containsBlanks" dxfId="13735" priority="9725">
      <formula>LEN(TRIM(P99))=0</formula>
    </cfRule>
    <cfRule type="containsBlanks" dxfId="13734" priority="9726">
      <formula>LEN(TRIM(P99))=0</formula>
    </cfRule>
    <cfRule type="containsBlanks" dxfId="13733" priority="9727">
      <formula>LEN(TRIM(P99))=0</formula>
    </cfRule>
    <cfRule type="containsBlanks" dxfId="13732" priority="9728">
      <formula>LEN(TRIM(P99))=0</formula>
    </cfRule>
    <cfRule type="containsBlanks" dxfId="13731" priority="9729">
      <formula>LEN(TRIM(P99))=0</formula>
    </cfRule>
    <cfRule type="containsBlanks" dxfId="13730" priority="9730">
      <formula>LEN(TRIM(P99))=0</formula>
    </cfRule>
    <cfRule type="containsBlanks" dxfId="13729" priority="9731">
      <formula>LEN(TRIM(P99))=0</formula>
    </cfRule>
    <cfRule type="containsBlanks" dxfId="13728" priority="9732">
      <formula>LEN(TRIM(P99))=0</formula>
    </cfRule>
    <cfRule type="containsBlanks" dxfId="13727" priority="9733">
      <formula>LEN(TRIM(P99))=0</formula>
    </cfRule>
    <cfRule type="containsBlanks" dxfId="13726" priority="9734">
      <formula>LEN(TRIM(P99))=0</formula>
    </cfRule>
    <cfRule type="containsBlanks" dxfId="13725" priority="9735">
      <formula>LEN(TRIM(P99))=0</formula>
    </cfRule>
    <cfRule type="containsBlanks" dxfId="13724" priority="9736">
      <formula>LEN(TRIM(P99))=0</formula>
    </cfRule>
    <cfRule type="containsBlanks" dxfId="13723" priority="9737">
      <formula>LEN(TRIM(P99))=0</formula>
    </cfRule>
    <cfRule type="containsBlanks" dxfId="13722" priority="9738">
      <formula>LEN(TRIM(P99))=0</formula>
    </cfRule>
    <cfRule type="containsBlanks" dxfId="13721" priority="9739">
      <formula>LEN(TRIM(P99))=0</formula>
    </cfRule>
    <cfRule type="containsBlanks" dxfId="13720" priority="9740">
      <formula>LEN(TRIM(P99))=0</formula>
    </cfRule>
    <cfRule type="containsBlanks" dxfId="13719" priority="9741">
      <formula>LEN(TRIM(P99))=0</formula>
    </cfRule>
    <cfRule type="containsBlanks" dxfId="13718" priority="9742">
      <formula>LEN(TRIM(P99))=0</formula>
    </cfRule>
    <cfRule type="containsBlanks" dxfId="13717" priority="9743">
      <formula>LEN(TRIM(P99))=0</formula>
    </cfRule>
    <cfRule type="containsBlanks" dxfId="13716" priority="9744">
      <formula>LEN(TRIM(P99))=0</formula>
    </cfRule>
    <cfRule type="containsBlanks" dxfId="13715" priority="9745">
      <formula>LEN(TRIM(P99))=0</formula>
    </cfRule>
    <cfRule type="containsBlanks" dxfId="13714" priority="9746">
      <formula>LEN(TRIM(P99))=0</formula>
    </cfRule>
    <cfRule type="containsBlanks" dxfId="13713" priority="9747">
      <formula>LEN(TRIM(P99))=0</formula>
    </cfRule>
    <cfRule type="containsBlanks" dxfId="13712" priority="9748">
      <formula>LEN(TRIM(P99))=0</formula>
    </cfRule>
    <cfRule type="containsBlanks" dxfId="13711" priority="9749">
      <formula>LEN(TRIM(P99))=0</formula>
    </cfRule>
    <cfRule type="containsBlanks" dxfId="13710" priority="9750">
      <formula>LEN(TRIM(P99))=0</formula>
    </cfRule>
    <cfRule type="containsBlanks" dxfId="13709" priority="9751">
      <formula>LEN(TRIM(P99))=0</formula>
    </cfRule>
    <cfRule type="containsBlanks" dxfId="13708" priority="9752">
      <formula>LEN(TRIM(P99))=0</formula>
    </cfRule>
    <cfRule type="containsBlanks" dxfId="13707" priority="9753">
      <formula>LEN(TRIM(P99))=0</formula>
    </cfRule>
    <cfRule type="containsBlanks" dxfId="13706" priority="9754">
      <formula>LEN(TRIM(P99))=0</formula>
    </cfRule>
    <cfRule type="containsBlanks" dxfId="13705" priority="9755">
      <formula>LEN(TRIM(P99))=0</formula>
    </cfRule>
    <cfRule type="containsBlanks" dxfId="13704" priority="9756">
      <formula>LEN(TRIM(P99))=0</formula>
    </cfRule>
    <cfRule type="containsBlanks" dxfId="13703" priority="9757">
      <formula>LEN(TRIM(P99))=0</formula>
    </cfRule>
    <cfRule type="containsBlanks" dxfId="13702" priority="9758">
      <formula>LEN(TRIM(P99))=0</formula>
    </cfRule>
    <cfRule type="containsBlanks" dxfId="13701" priority="9759">
      <formula>LEN(TRIM(P99))=0</formula>
    </cfRule>
    <cfRule type="containsBlanks" dxfId="13700" priority="9760">
      <formula>LEN(TRIM(P99))=0</formula>
    </cfRule>
    <cfRule type="containsBlanks" dxfId="13699" priority="9761">
      <formula>LEN(TRIM(P99))=0</formula>
    </cfRule>
    <cfRule type="containsBlanks" dxfId="13698" priority="9762">
      <formula>LEN(TRIM(P99))=0</formula>
    </cfRule>
    <cfRule type="containsBlanks" dxfId="13697" priority="9763">
      <formula>LEN(TRIM(P99))=0</formula>
    </cfRule>
    <cfRule type="containsBlanks" dxfId="13696" priority="9764">
      <formula>LEN(TRIM(P99))=0</formula>
    </cfRule>
    <cfRule type="containsBlanks" dxfId="13695" priority="9765">
      <formula>LEN(TRIM(P99))=0</formula>
    </cfRule>
    <cfRule type="containsBlanks" dxfId="13694" priority="9766">
      <formula>LEN(TRIM(P99))=0</formula>
    </cfRule>
    <cfRule type="containsBlanks" dxfId="13693" priority="9767">
      <formula>LEN(TRIM(P99))=0</formula>
    </cfRule>
    <cfRule type="containsBlanks" dxfId="13692" priority="9768">
      <formula>LEN(TRIM(P99))=0</formula>
    </cfRule>
    <cfRule type="containsBlanks" dxfId="13691" priority="9769">
      <formula>LEN(TRIM(P99))=0</formula>
    </cfRule>
    <cfRule type="containsBlanks" dxfId="13690" priority="9770">
      <formula>LEN(TRIM(P99))=0</formula>
    </cfRule>
    <cfRule type="containsBlanks" dxfId="13689" priority="9771">
      <formula>LEN(TRIM(P99))=0</formula>
    </cfRule>
    <cfRule type="containsBlanks" dxfId="13688" priority="9772">
      <formula>LEN(TRIM(P99))=0</formula>
    </cfRule>
    <cfRule type="containsBlanks" dxfId="13687" priority="9773">
      <formula>LEN(TRIM(P99))=0</formula>
    </cfRule>
    <cfRule type="containsBlanks" dxfId="13686" priority="9774">
      <formula>LEN(TRIM(P99))=0</formula>
    </cfRule>
    <cfRule type="containsBlanks" dxfId="13685" priority="9775">
      <formula>LEN(TRIM(P99))=0</formula>
    </cfRule>
    <cfRule type="containsBlanks" dxfId="13684" priority="9776">
      <formula>LEN(TRIM(P99))=0</formula>
    </cfRule>
    <cfRule type="containsBlanks" dxfId="13683" priority="9777">
      <formula>LEN(TRIM(P99))=0</formula>
    </cfRule>
    <cfRule type="containsBlanks" dxfId="13682" priority="9778">
      <formula>LEN(TRIM(P99))=0</formula>
    </cfRule>
    <cfRule type="containsBlanks" dxfId="13681" priority="9779">
      <formula>LEN(TRIM(P99))=0</formula>
    </cfRule>
    <cfRule type="containsBlanks" dxfId="13680" priority="9780">
      <formula>LEN(TRIM(P99))=0</formula>
    </cfRule>
    <cfRule type="containsBlanks" dxfId="13679" priority="9781">
      <formula>LEN(TRIM(P99))=0</formula>
    </cfRule>
    <cfRule type="containsBlanks" dxfId="13678" priority="9782">
      <formula>LEN(TRIM(P99))=0</formula>
    </cfRule>
    <cfRule type="containsBlanks" dxfId="13677" priority="9783">
      <formula>LEN(TRIM(P99))=0</formula>
    </cfRule>
    <cfRule type="containsBlanks" dxfId="13676" priority="9784">
      <formula>LEN(TRIM(P99))=0</formula>
    </cfRule>
    <cfRule type="containsBlanks" dxfId="13675" priority="9785">
      <formula>LEN(TRIM(P99))=0</formula>
    </cfRule>
    <cfRule type="containsBlanks" dxfId="13674" priority="9786">
      <formula>LEN(TRIM(P99))=0</formula>
    </cfRule>
    <cfRule type="containsBlanks" dxfId="13673" priority="9787">
      <formula>LEN(TRIM(P99))=0</formula>
    </cfRule>
    <cfRule type="containsBlanks" dxfId="13672" priority="9788">
      <formula>LEN(TRIM(P99))=0</formula>
    </cfRule>
    <cfRule type="containsBlanks" dxfId="13671" priority="9789">
      <formula>LEN(TRIM(P99))=0</formula>
    </cfRule>
    <cfRule type="containsBlanks" dxfId="13670" priority="9790">
      <formula>LEN(TRIM(P99))=0</formula>
    </cfRule>
    <cfRule type="containsBlanks" dxfId="13669" priority="9791">
      <formula>LEN(TRIM(P99))=0</formula>
    </cfRule>
    <cfRule type="containsBlanks" dxfId="13668" priority="9792">
      <formula>LEN(TRIM(P99))=0</formula>
    </cfRule>
    <cfRule type="containsBlanks" dxfId="13667" priority="9793">
      <formula>LEN(TRIM(P99))=0</formula>
    </cfRule>
    <cfRule type="containsBlanks" dxfId="13666" priority="9794">
      <formula>LEN(TRIM(P99))=0</formula>
    </cfRule>
    <cfRule type="containsBlanks" dxfId="13665" priority="9795">
      <formula>LEN(TRIM(P99))=0</formula>
    </cfRule>
    <cfRule type="containsBlanks" dxfId="13664" priority="9796">
      <formula>LEN(TRIM(P99))=0</formula>
    </cfRule>
    <cfRule type="containsBlanks" dxfId="13663" priority="9797">
      <formula>LEN(TRIM(P99))=0</formula>
    </cfRule>
    <cfRule type="containsBlanks" dxfId="13662" priority="9798">
      <formula>LEN(TRIM(P99))=0</formula>
    </cfRule>
    <cfRule type="containsBlanks" dxfId="13661" priority="9799">
      <formula>LEN(TRIM(P99))=0</formula>
    </cfRule>
    <cfRule type="containsBlanks" dxfId="13660" priority="9800">
      <formula>LEN(TRIM(P99))=0</formula>
    </cfRule>
    <cfRule type="containsBlanks" dxfId="13659" priority="9801">
      <formula>LEN(TRIM(P99))=0</formula>
    </cfRule>
    <cfRule type="containsBlanks" dxfId="13658" priority="9802">
      <formula>LEN(TRIM(P99))=0</formula>
    </cfRule>
    <cfRule type="containsBlanks" dxfId="13657" priority="9803">
      <formula>LEN(TRIM(P99))=0</formula>
    </cfRule>
    <cfRule type="containsBlanks" dxfId="13656" priority="9804">
      <formula>LEN(TRIM(P99))=0</formula>
    </cfRule>
    <cfRule type="containsBlanks" dxfId="13655" priority="9805">
      <formula>LEN(TRIM(P99))=0</formula>
    </cfRule>
    <cfRule type="containsBlanks" dxfId="13654" priority="9806">
      <formula>LEN(TRIM(P99))=0</formula>
    </cfRule>
    <cfRule type="containsBlanks" dxfId="13653" priority="9807">
      <formula>LEN(TRIM(P99))=0</formula>
    </cfRule>
    <cfRule type="containsBlanks" dxfId="13652" priority="9808">
      <formula>LEN(TRIM(P99))=0</formula>
    </cfRule>
    <cfRule type="containsBlanks" dxfId="13651" priority="9809">
      <formula>LEN(TRIM(P99))=0</formula>
    </cfRule>
    <cfRule type="containsBlanks" dxfId="13650" priority="9810">
      <formula>LEN(TRIM(P99))=0</formula>
    </cfRule>
    <cfRule type="containsBlanks" dxfId="13649" priority="9811">
      <formula>LEN(TRIM(P99))=0</formula>
    </cfRule>
    <cfRule type="containsBlanks" dxfId="13648" priority="9812">
      <formula>LEN(TRIM(P99))=0</formula>
    </cfRule>
    <cfRule type="containsBlanks" dxfId="13647" priority="9813">
      <formula>LEN(TRIM(P99))=0</formula>
    </cfRule>
    <cfRule type="containsBlanks" dxfId="13646" priority="9814">
      <formula>LEN(TRIM(P99))=0</formula>
    </cfRule>
    <cfRule type="containsBlanks" dxfId="13645" priority="9815">
      <formula>LEN(TRIM(P99))=0</formula>
    </cfRule>
    <cfRule type="containsBlanks" dxfId="13644" priority="9816">
      <formula>LEN(TRIM(P99))=0</formula>
    </cfRule>
    <cfRule type="containsBlanks" dxfId="13643" priority="9817">
      <formula>LEN(TRIM(P99))=0</formula>
    </cfRule>
    <cfRule type="containsBlanks" dxfId="13642" priority="9818">
      <formula>LEN(TRIM(P99))=0</formula>
    </cfRule>
    <cfRule type="containsBlanks" dxfId="13641" priority="9819">
      <formula>LEN(TRIM(P99))=0</formula>
    </cfRule>
    <cfRule type="containsBlanks" dxfId="13640" priority="9820">
      <formula>LEN(TRIM(P99))=0</formula>
    </cfRule>
    <cfRule type="containsBlanks" dxfId="13639" priority="9821">
      <formula>LEN(TRIM(P99))=0</formula>
    </cfRule>
    <cfRule type="containsBlanks" dxfId="13638" priority="9822">
      <formula>LEN(TRIM(P99))=0</formula>
    </cfRule>
    <cfRule type="containsBlanks" dxfId="13637" priority="9823">
      <formula>LEN(TRIM(P99))=0</formula>
    </cfRule>
    <cfRule type="containsBlanks" dxfId="13636" priority="9824">
      <formula>LEN(TRIM(P99))=0</formula>
    </cfRule>
    <cfRule type="containsBlanks" dxfId="13635" priority="9825">
      <formula>LEN(TRIM(P99))=0</formula>
    </cfRule>
    <cfRule type="containsBlanks" dxfId="13634" priority="9826">
      <formula>LEN(TRIM(P99))=0</formula>
    </cfRule>
    <cfRule type="containsBlanks" dxfId="13633" priority="9827">
      <formula>LEN(TRIM(P99))=0</formula>
    </cfRule>
    <cfRule type="containsBlanks" dxfId="13632" priority="9828">
      <formula>LEN(TRIM(P99))=0</formula>
    </cfRule>
    <cfRule type="containsBlanks" dxfId="13631" priority="9829">
      <formula>LEN(TRIM(P99))=0</formula>
    </cfRule>
    <cfRule type="containsBlanks" dxfId="13630" priority="9830">
      <formula>LEN(TRIM(P99))=0</formula>
    </cfRule>
    <cfRule type="containsBlanks" dxfId="13629" priority="9831">
      <formula>LEN(TRIM(P99))=0</formula>
    </cfRule>
    <cfRule type="containsBlanks" dxfId="13628" priority="9832">
      <formula>LEN(TRIM(P99))=0</formula>
    </cfRule>
    <cfRule type="containsBlanks" dxfId="13627" priority="9833">
      <formula>LEN(TRIM(P99))=0</formula>
    </cfRule>
    <cfRule type="containsBlanks" dxfId="13626" priority="9834">
      <formula>LEN(TRIM(P99))=0</formula>
    </cfRule>
    <cfRule type="containsBlanks" dxfId="13625" priority="9835">
      <formula>LEN(TRIM(P99))=0</formula>
    </cfRule>
    <cfRule type="containsBlanks" dxfId="13624" priority="9836">
      <formula>LEN(TRIM(P99))=0</formula>
    </cfRule>
    <cfRule type="containsBlanks" dxfId="13623" priority="9837">
      <formula>LEN(TRIM(P99))=0</formula>
    </cfRule>
    <cfRule type="containsBlanks" dxfId="13622" priority="9838">
      <formula>LEN(TRIM(P99))=0</formula>
    </cfRule>
    <cfRule type="containsBlanks" dxfId="13621" priority="9839">
      <formula>LEN(TRIM(P99))=0</formula>
    </cfRule>
    <cfRule type="containsBlanks" dxfId="13620" priority="9840">
      <formula>LEN(TRIM(P99))=0</formula>
    </cfRule>
    <cfRule type="containsBlanks" dxfId="13619" priority="9841">
      <formula>LEN(TRIM(P99))=0</formula>
    </cfRule>
    <cfRule type="containsBlanks" dxfId="13618" priority="9842">
      <formula>LEN(TRIM(P99))=0</formula>
    </cfRule>
    <cfRule type="containsBlanks" dxfId="13617" priority="9843">
      <formula>LEN(TRIM(P99))=0</formula>
    </cfRule>
    <cfRule type="containsBlanks" dxfId="13616" priority="9844">
      <formula>LEN(TRIM(P99))=0</formula>
    </cfRule>
    <cfRule type="containsBlanks" dxfId="13615" priority="9845">
      <formula>LEN(TRIM(P99))=0</formula>
    </cfRule>
    <cfRule type="containsBlanks" dxfId="13614" priority="9846">
      <formula>LEN(TRIM(P99))=0</formula>
    </cfRule>
    <cfRule type="containsBlanks" dxfId="13613" priority="9847">
      <formula>LEN(TRIM(P99))=0</formula>
    </cfRule>
    <cfRule type="containsBlanks" dxfId="13612" priority="9848">
      <formula>LEN(TRIM(P99))=0</formula>
    </cfRule>
    <cfRule type="containsBlanks" dxfId="13611" priority="9849">
      <formula>LEN(TRIM(P99))=0</formula>
    </cfRule>
    <cfRule type="containsBlanks" dxfId="13610" priority="9850">
      <formula>LEN(TRIM(P99))=0</formula>
    </cfRule>
    <cfRule type="containsBlanks" dxfId="13609" priority="9851">
      <formula>LEN(TRIM(P99))=0</formula>
    </cfRule>
    <cfRule type="containsBlanks" dxfId="13608" priority="9852">
      <formula>LEN(TRIM(P99))=0</formula>
    </cfRule>
    <cfRule type="containsBlanks" dxfId="13607" priority="9853">
      <formula>LEN(TRIM(P99))=0</formula>
    </cfRule>
    <cfRule type="containsBlanks" dxfId="13606" priority="9854">
      <formula>LEN(TRIM(P99))=0</formula>
    </cfRule>
  </conditionalFormatting>
  <conditionalFormatting sqref="P114">
    <cfRule type="containsBlanks" dxfId="13605" priority="8310">
      <formula>LEN(TRIM(P114))=0</formula>
    </cfRule>
    <cfRule type="containsBlanks" dxfId="13604" priority="8311">
      <formula>LEN(TRIM(P114))=0</formula>
    </cfRule>
    <cfRule type="containsBlanks" dxfId="13603" priority="8312">
      <formula>LEN(TRIM(P114))=0</formula>
    </cfRule>
    <cfRule type="containsBlanks" dxfId="13602" priority="8313">
      <formula>LEN(TRIM(P114))=0</formula>
    </cfRule>
    <cfRule type="containsBlanks" dxfId="13601" priority="8314">
      <formula>LEN(TRIM(P114))=0</formula>
    </cfRule>
    <cfRule type="containsBlanks" dxfId="13600" priority="8315">
      <formula>LEN(TRIM(P114))=0</formula>
    </cfRule>
    <cfRule type="containsBlanks" dxfId="13599" priority="8316">
      <formula>LEN(TRIM(P114))=0</formula>
    </cfRule>
    <cfRule type="containsBlanks" dxfId="13598" priority="8317">
      <formula>LEN(TRIM(P114))=0</formula>
    </cfRule>
    <cfRule type="containsBlanks" dxfId="13597" priority="8318">
      <formula>LEN(TRIM(P114))=0</formula>
    </cfRule>
    <cfRule type="containsBlanks" dxfId="13596" priority="8319">
      <formula>LEN(TRIM(P114))=0</formula>
    </cfRule>
    <cfRule type="containsBlanks" dxfId="13595" priority="8320">
      <formula>LEN(TRIM(P114))=0</formula>
    </cfRule>
    <cfRule type="containsBlanks" dxfId="13594" priority="8321">
      <formula>LEN(TRIM(P114))=0</formula>
    </cfRule>
    <cfRule type="containsBlanks" dxfId="13593" priority="8322">
      <formula>LEN(TRIM(P114))=0</formula>
    </cfRule>
    <cfRule type="containsBlanks" dxfId="13592" priority="8323">
      <formula>LEN(TRIM(P114))=0</formula>
    </cfRule>
    <cfRule type="containsBlanks" dxfId="13591" priority="8324">
      <formula>LEN(TRIM(P114))=0</formula>
    </cfRule>
    <cfRule type="containsBlanks" dxfId="13590" priority="8325">
      <formula>LEN(TRIM(P114))=0</formula>
    </cfRule>
    <cfRule type="containsBlanks" dxfId="13589" priority="8326">
      <formula>LEN(TRIM(P114))=0</formula>
    </cfRule>
    <cfRule type="containsBlanks" dxfId="13588" priority="8327">
      <formula>LEN(TRIM(P114))=0</formula>
    </cfRule>
    <cfRule type="containsBlanks" dxfId="13587" priority="8328">
      <formula>LEN(TRIM(P114))=0</formula>
    </cfRule>
    <cfRule type="containsBlanks" dxfId="13586" priority="8329">
      <formula>LEN(TRIM(P114))=0</formula>
    </cfRule>
    <cfRule type="containsBlanks" dxfId="13585" priority="8330">
      <formula>LEN(TRIM(P114))=0</formula>
    </cfRule>
    <cfRule type="containsBlanks" dxfId="13584" priority="8331">
      <formula>LEN(TRIM(P114))=0</formula>
    </cfRule>
    <cfRule type="containsBlanks" dxfId="13583" priority="8332">
      <formula>LEN(TRIM(P114))=0</formula>
    </cfRule>
    <cfRule type="containsBlanks" dxfId="13582" priority="8333">
      <formula>LEN(TRIM(P114))=0</formula>
    </cfRule>
    <cfRule type="containsBlanks" dxfId="13581" priority="8334">
      <formula>LEN(TRIM(P114))=0</formula>
    </cfRule>
    <cfRule type="containsBlanks" dxfId="13580" priority="8335">
      <formula>LEN(TRIM(P114))=0</formula>
    </cfRule>
    <cfRule type="containsBlanks" dxfId="13579" priority="8336">
      <formula>LEN(TRIM(P114))=0</formula>
    </cfRule>
    <cfRule type="containsBlanks" dxfId="13578" priority="8337">
      <formula>LEN(TRIM(P114))=0</formula>
    </cfRule>
    <cfRule type="containsBlanks" dxfId="13577" priority="8338">
      <formula>LEN(TRIM(P114))=0</formula>
    </cfRule>
    <cfRule type="containsBlanks" dxfId="13576" priority="8339">
      <formula>LEN(TRIM(P114))=0</formula>
    </cfRule>
    <cfRule type="containsBlanks" dxfId="13575" priority="8340">
      <formula>LEN(TRIM(P114))=0</formula>
    </cfRule>
    <cfRule type="containsBlanks" dxfId="13574" priority="8341">
      <formula>LEN(TRIM(P114))=0</formula>
    </cfRule>
    <cfRule type="containsBlanks" dxfId="13573" priority="8342">
      <formula>LEN(TRIM(P114))=0</formula>
    </cfRule>
    <cfRule type="containsBlanks" dxfId="13572" priority="8343">
      <formula>LEN(TRIM(P114))=0</formula>
    </cfRule>
    <cfRule type="containsBlanks" dxfId="13571" priority="8344">
      <formula>LEN(TRIM(P114))=0</formula>
    </cfRule>
    <cfRule type="containsBlanks" dxfId="13570" priority="8345">
      <formula>LEN(TRIM(P114))=0</formula>
    </cfRule>
    <cfRule type="containsBlanks" dxfId="13569" priority="8346">
      <formula>LEN(TRIM(P114))=0</formula>
    </cfRule>
    <cfRule type="containsBlanks" dxfId="13568" priority="8347">
      <formula>LEN(TRIM(P114))=0</formula>
    </cfRule>
    <cfRule type="containsBlanks" dxfId="13567" priority="8348">
      <formula>LEN(TRIM(P114))=0</formula>
    </cfRule>
    <cfRule type="containsBlanks" dxfId="13566" priority="8349">
      <formula>LEN(TRIM(P114))=0</formula>
    </cfRule>
    <cfRule type="containsBlanks" dxfId="13565" priority="8350">
      <formula>LEN(TRIM(P114))=0</formula>
    </cfRule>
    <cfRule type="containsBlanks" dxfId="13564" priority="8351">
      <formula>LEN(TRIM(P114))=0</formula>
    </cfRule>
    <cfRule type="containsBlanks" dxfId="13563" priority="8352">
      <formula>LEN(TRIM(P114))=0</formula>
    </cfRule>
    <cfRule type="containsBlanks" dxfId="13562" priority="8353">
      <formula>LEN(TRIM(P114))=0</formula>
    </cfRule>
    <cfRule type="containsBlanks" dxfId="13561" priority="8354">
      <formula>LEN(TRIM(P114))=0</formula>
    </cfRule>
    <cfRule type="containsBlanks" dxfId="13560" priority="8355">
      <formula>LEN(TRIM(P114))=0</formula>
    </cfRule>
    <cfRule type="containsBlanks" dxfId="13559" priority="8356">
      <formula>LEN(TRIM(P114))=0</formula>
    </cfRule>
    <cfRule type="containsBlanks" dxfId="13558" priority="8357">
      <formula>LEN(TRIM(P114))=0</formula>
    </cfRule>
    <cfRule type="containsBlanks" dxfId="13557" priority="8358">
      <formula>LEN(TRIM(P114))=0</formula>
    </cfRule>
    <cfRule type="containsBlanks" dxfId="13556" priority="8359">
      <formula>LEN(TRIM(P114))=0</formula>
    </cfRule>
    <cfRule type="containsBlanks" dxfId="13555" priority="8360">
      <formula>LEN(TRIM(P114))=0</formula>
    </cfRule>
    <cfRule type="containsBlanks" dxfId="13554" priority="8361">
      <formula>LEN(TRIM(P114))=0</formula>
    </cfRule>
    <cfRule type="containsBlanks" dxfId="13553" priority="8362">
      <formula>LEN(TRIM(P114))=0</formula>
    </cfRule>
    <cfRule type="containsBlanks" dxfId="13552" priority="8363">
      <formula>LEN(TRIM(P114))=0</formula>
    </cfRule>
    <cfRule type="containsBlanks" dxfId="13551" priority="8364">
      <formula>LEN(TRIM(P114))=0</formula>
    </cfRule>
    <cfRule type="containsBlanks" dxfId="13550" priority="8365">
      <formula>LEN(TRIM(P114))=0</formula>
    </cfRule>
    <cfRule type="containsBlanks" dxfId="13549" priority="8366">
      <formula>LEN(TRIM(P114))=0</formula>
    </cfRule>
    <cfRule type="containsBlanks" dxfId="13548" priority="8367">
      <formula>LEN(TRIM(P114))=0</formula>
    </cfRule>
    <cfRule type="containsBlanks" dxfId="13547" priority="8368">
      <formula>LEN(TRIM(P114))=0</formula>
    </cfRule>
    <cfRule type="containsBlanks" dxfId="13546" priority="8369">
      <formula>LEN(TRIM(P114))=0</formula>
    </cfRule>
    <cfRule type="containsBlanks" dxfId="13545" priority="8370">
      <formula>LEN(TRIM(P114))=0</formula>
    </cfRule>
    <cfRule type="containsBlanks" dxfId="13544" priority="8371">
      <formula>LEN(TRIM(P114))=0</formula>
    </cfRule>
    <cfRule type="containsBlanks" dxfId="13543" priority="8372">
      <formula>LEN(TRIM(P114))=0</formula>
    </cfRule>
    <cfRule type="containsBlanks" dxfId="13542" priority="8373">
      <formula>LEN(TRIM(P114))=0</formula>
    </cfRule>
    <cfRule type="containsBlanks" dxfId="13541" priority="8374">
      <formula>LEN(TRIM(P114))=0</formula>
    </cfRule>
    <cfRule type="containsBlanks" dxfId="13540" priority="8375">
      <formula>LEN(TRIM(P114))=0</formula>
    </cfRule>
    <cfRule type="containsBlanks" dxfId="13539" priority="8376">
      <formula>LEN(TRIM(P114))=0</formula>
    </cfRule>
    <cfRule type="containsBlanks" dxfId="13538" priority="8377">
      <formula>LEN(TRIM(P114))=0</formula>
    </cfRule>
    <cfRule type="containsBlanks" dxfId="13537" priority="8378">
      <formula>LEN(TRIM(P114))=0</formula>
    </cfRule>
    <cfRule type="containsBlanks" dxfId="13536" priority="8379">
      <formula>LEN(TRIM(P114))=0</formula>
    </cfRule>
    <cfRule type="containsBlanks" dxfId="13535" priority="8380">
      <formula>LEN(TRIM(P114))=0</formula>
    </cfRule>
    <cfRule type="containsBlanks" dxfId="13534" priority="8381">
      <formula>LEN(TRIM(P114))=0</formula>
    </cfRule>
    <cfRule type="containsBlanks" dxfId="13533" priority="8382">
      <formula>LEN(TRIM(P114))=0</formula>
    </cfRule>
    <cfRule type="containsBlanks" dxfId="13532" priority="8383">
      <formula>LEN(TRIM(P114))=0</formula>
    </cfRule>
    <cfRule type="containsBlanks" dxfId="13531" priority="8384">
      <formula>LEN(TRIM(P114))=0</formula>
    </cfRule>
    <cfRule type="containsBlanks" dxfId="13530" priority="8385">
      <formula>LEN(TRIM(P114))=0</formula>
    </cfRule>
    <cfRule type="containsBlanks" dxfId="13529" priority="8386">
      <formula>LEN(TRIM(P114))=0</formula>
    </cfRule>
    <cfRule type="containsBlanks" dxfId="13528" priority="8387">
      <formula>LEN(TRIM(P114))=0</formula>
    </cfRule>
    <cfRule type="containsBlanks" dxfId="13527" priority="8388">
      <formula>LEN(TRIM(P114))=0</formula>
    </cfRule>
    <cfRule type="containsBlanks" dxfId="13526" priority="8389">
      <formula>LEN(TRIM(P114))=0</formula>
    </cfRule>
    <cfRule type="containsBlanks" dxfId="13525" priority="8390">
      <formula>LEN(TRIM(P114))=0</formula>
    </cfRule>
    <cfRule type="containsBlanks" dxfId="13524" priority="8391">
      <formula>LEN(TRIM(P114))=0</formula>
    </cfRule>
    <cfRule type="containsBlanks" dxfId="13523" priority="8392">
      <formula>LEN(TRIM(P114))=0</formula>
    </cfRule>
    <cfRule type="containsBlanks" dxfId="13522" priority="8393">
      <formula>LEN(TRIM(P114))=0</formula>
    </cfRule>
    <cfRule type="containsBlanks" dxfId="13521" priority="8394">
      <formula>LEN(TRIM(P114))=0</formula>
    </cfRule>
    <cfRule type="containsBlanks" dxfId="13520" priority="8395">
      <formula>LEN(TRIM(P114))=0</formula>
    </cfRule>
    <cfRule type="containsBlanks" dxfId="13519" priority="8396">
      <formula>LEN(TRIM(P114))=0</formula>
    </cfRule>
    <cfRule type="containsBlanks" dxfId="13518" priority="8397">
      <formula>LEN(TRIM(P114))=0</formula>
    </cfRule>
    <cfRule type="containsBlanks" dxfId="13517" priority="8398">
      <formula>LEN(TRIM(P114))=0</formula>
    </cfRule>
    <cfRule type="containsBlanks" dxfId="13516" priority="8399">
      <formula>LEN(TRIM(P114))=0</formula>
    </cfRule>
    <cfRule type="containsBlanks" dxfId="13515" priority="8400">
      <formula>LEN(TRIM(P114))=0</formula>
    </cfRule>
    <cfRule type="containsBlanks" dxfId="13514" priority="8401">
      <formula>LEN(TRIM(P114))=0</formula>
    </cfRule>
    <cfRule type="containsBlanks" dxfId="13513" priority="8402">
      <formula>LEN(TRIM(P114))=0</formula>
    </cfRule>
    <cfRule type="containsBlanks" dxfId="13512" priority="8403">
      <formula>LEN(TRIM(P114))=0</formula>
    </cfRule>
    <cfRule type="containsBlanks" dxfId="13511" priority="8404">
      <formula>LEN(TRIM(P114))=0</formula>
    </cfRule>
    <cfRule type="containsBlanks" dxfId="13510" priority="8405">
      <formula>LEN(TRIM(P114))=0</formula>
    </cfRule>
    <cfRule type="containsBlanks" dxfId="13509" priority="8406">
      <formula>LEN(TRIM(P114))=0</formula>
    </cfRule>
    <cfRule type="containsBlanks" dxfId="13508" priority="8407">
      <formula>LEN(TRIM(P114))=0</formula>
    </cfRule>
    <cfRule type="containsBlanks" dxfId="13507" priority="8408">
      <formula>LEN(TRIM(P114))=0</formula>
    </cfRule>
    <cfRule type="containsBlanks" dxfId="13506" priority="8409">
      <formula>LEN(TRIM(P114))=0</formula>
    </cfRule>
    <cfRule type="containsBlanks" dxfId="13505" priority="8410">
      <formula>LEN(TRIM(P114))=0</formula>
    </cfRule>
    <cfRule type="containsBlanks" dxfId="13504" priority="8411">
      <formula>LEN(TRIM(P114))=0</formula>
    </cfRule>
    <cfRule type="containsBlanks" dxfId="13503" priority="8412">
      <formula>LEN(TRIM(P114))=0</formula>
    </cfRule>
    <cfRule type="containsBlanks" dxfId="13502" priority="8413">
      <formula>LEN(TRIM(P114))=0</formula>
    </cfRule>
    <cfRule type="containsBlanks" dxfId="13501" priority="8414">
      <formula>LEN(TRIM(P114))=0</formula>
    </cfRule>
    <cfRule type="containsBlanks" dxfId="13500" priority="8415">
      <formula>LEN(TRIM(P114))=0</formula>
    </cfRule>
    <cfRule type="containsBlanks" dxfId="13499" priority="8416">
      <formula>LEN(TRIM(P114))=0</formula>
    </cfRule>
    <cfRule type="containsBlanks" dxfId="13498" priority="8417">
      <formula>LEN(TRIM(P114))=0</formula>
    </cfRule>
    <cfRule type="containsBlanks" dxfId="13497" priority="8418">
      <formula>LEN(TRIM(P114))=0</formula>
    </cfRule>
    <cfRule type="containsBlanks" dxfId="13496" priority="8419">
      <formula>LEN(TRIM(P114))=0</formula>
    </cfRule>
    <cfRule type="containsBlanks" dxfId="13495" priority="8420">
      <formula>LEN(TRIM(P114))=0</formula>
    </cfRule>
    <cfRule type="containsBlanks" dxfId="13494" priority="8421">
      <formula>LEN(TRIM(P114))=0</formula>
    </cfRule>
    <cfRule type="containsBlanks" dxfId="13493" priority="8422">
      <formula>LEN(TRIM(P114))=0</formula>
    </cfRule>
    <cfRule type="containsBlanks" dxfId="13492" priority="8423">
      <formula>LEN(TRIM(P114))=0</formula>
    </cfRule>
    <cfRule type="containsBlanks" dxfId="13491" priority="8424">
      <formula>LEN(TRIM(P114))=0</formula>
    </cfRule>
    <cfRule type="containsBlanks" dxfId="13490" priority="8425">
      <formula>LEN(TRIM(P114))=0</formula>
    </cfRule>
    <cfRule type="containsBlanks" dxfId="13489" priority="8426">
      <formula>LEN(TRIM(P114))=0</formula>
    </cfRule>
    <cfRule type="containsBlanks" dxfId="13488" priority="8427">
      <formula>LEN(TRIM(P114))=0</formula>
    </cfRule>
    <cfRule type="containsBlanks" dxfId="13487" priority="8428">
      <formula>LEN(TRIM(P114))=0</formula>
    </cfRule>
    <cfRule type="containsBlanks" dxfId="13486" priority="8429">
      <formula>LEN(TRIM(P114))=0</formula>
    </cfRule>
    <cfRule type="containsBlanks" dxfId="13485" priority="8430">
      <formula>LEN(TRIM(P114))=0</formula>
    </cfRule>
    <cfRule type="containsBlanks" dxfId="13484" priority="8431">
      <formula>LEN(TRIM(P114))=0</formula>
    </cfRule>
    <cfRule type="containsBlanks" dxfId="13483" priority="8432">
      <formula>LEN(TRIM(P114))=0</formula>
    </cfRule>
    <cfRule type="containsBlanks" dxfId="13482" priority="8433">
      <formula>LEN(TRIM(P114))=0</formula>
    </cfRule>
    <cfRule type="containsBlanks" dxfId="13481" priority="8434">
      <formula>LEN(TRIM(P114))=0</formula>
    </cfRule>
    <cfRule type="containsBlanks" dxfId="13480" priority="8435">
      <formula>LEN(TRIM(P114))=0</formula>
    </cfRule>
    <cfRule type="containsBlanks" dxfId="13479" priority="8436">
      <formula>LEN(TRIM(P114))=0</formula>
    </cfRule>
    <cfRule type="containsBlanks" dxfId="13478" priority="8437">
      <formula>LEN(TRIM(P114))=0</formula>
    </cfRule>
    <cfRule type="containsBlanks" dxfId="13477" priority="8438">
      <formula>LEN(TRIM(P114))=0</formula>
    </cfRule>
    <cfRule type="containsBlanks" dxfId="13476" priority="8439">
      <formula>LEN(TRIM(P114))=0</formula>
    </cfRule>
    <cfRule type="containsBlanks" dxfId="13475" priority="8440">
      <formula>LEN(TRIM(P114))=0</formula>
    </cfRule>
    <cfRule type="containsBlanks" dxfId="13474" priority="8441">
      <formula>LEN(TRIM(P114))=0</formula>
    </cfRule>
    <cfRule type="containsBlanks" dxfId="13473" priority="8442">
      <formula>LEN(TRIM(P114))=0</formula>
    </cfRule>
    <cfRule type="containsBlanks" dxfId="13472" priority="8443">
      <formula>LEN(TRIM(P114))=0</formula>
    </cfRule>
    <cfRule type="containsBlanks" dxfId="13471" priority="8444">
      <formula>LEN(TRIM(P114))=0</formula>
    </cfRule>
    <cfRule type="containsBlanks" dxfId="13470" priority="8445">
      <formula>LEN(TRIM(P114))=0</formula>
    </cfRule>
    <cfRule type="containsBlanks" dxfId="13469" priority="8446">
      <formula>LEN(TRIM(P114))=0</formula>
    </cfRule>
    <cfRule type="containsBlanks" dxfId="13468" priority="8447">
      <formula>LEN(TRIM(P114))=0</formula>
    </cfRule>
    <cfRule type="containsBlanks" dxfId="13467" priority="8448">
      <formula>LEN(TRIM(P114))=0</formula>
    </cfRule>
    <cfRule type="containsBlanks" dxfId="13466" priority="8449">
      <formula>LEN(TRIM(P114))=0</formula>
    </cfRule>
    <cfRule type="containsBlanks" dxfId="13465" priority="8450">
      <formula>LEN(TRIM(P114))=0</formula>
    </cfRule>
    <cfRule type="containsBlanks" dxfId="13464" priority="8451">
      <formula>LEN(TRIM(P114))=0</formula>
    </cfRule>
    <cfRule type="containsBlanks" dxfId="13463" priority="8452">
      <formula>LEN(TRIM(P114))=0</formula>
    </cfRule>
    <cfRule type="containsBlanks" dxfId="13462" priority="8453">
      <formula>LEN(TRIM(P114))=0</formula>
    </cfRule>
    <cfRule type="containsBlanks" dxfId="13461" priority="8454">
      <formula>LEN(TRIM(P114))=0</formula>
    </cfRule>
    <cfRule type="containsBlanks" dxfId="13460" priority="8455">
      <formula>LEN(TRIM(P114))=0</formula>
    </cfRule>
    <cfRule type="containsBlanks" dxfId="13459" priority="8456">
      <formula>LEN(TRIM(P114))=0</formula>
    </cfRule>
    <cfRule type="containsBlanks" dxfId="13458" priority="8457">
      <formula>LEN(TRIM(P114))=0</formula>
    </cfRule>
    <cfRule type="containsBlanks" dxfId="13457" priority="8458">
      <formula>LEN(TRIM(P114))=0</formula>
    </cfRule>
    <cfRule type="containsBlanks" dxfId="13456" priority="8459">
      <formula>LEN(TRIM(P114))=0</formula>
    </cfRule>
    <cfRule type="containsBlanks" dxfId="13455" priority="8460">
      <formula>LEN(TRIM(P114))=0</formula>
    </cfRule>
    <cfRule type="containsBlanks" dxfId="13454" priority="8461">
      <formula>LEN(TRIM(P114))=0</formula>
    </cfRule>
    <cfRule type="containsBlanks" dxfId="13453" priority="8462">
      <formula>LEN(TRIM(P114))=0</formula>
    </cfRule>
    <cfRule type="containsBlanks" dxfId="13452" priority="8463">
      <formula>LEN(TRIM(P114))=0</formula>
    </cfRule>
    <cfRule type="containsBlanks" dxfId="13451" priority="8464">
      <formula>LEN(TRIM(P114))=0</formula>
    </cfRule>
    <cfRule type="containsBlanks" dxfId="13450" priority="8465">
      <formula>LEN(TRIM(P114))=0</formula>
    </cfRule>
    <cfRule type="containsBlanks" dxfId="13449" priority="8466">
      <formula>LEN(TRIM(P114))=0</formula>
    </cfRule>
    <cfRule type="containsBlanks" dxfId="13448" priority="8467">
      <formula>LEN(TRIM(P114))=0</formula>
    </cfRule>
    <cfRule type="containsBlanks" dxfId="13447" priority="8468">
      <formula>LEN(TRIM(P114))=0</formula>
    </cfRule>
    <cfRule type="containsBlanks" dxfId="13446" priority="8469">
      <formula>LEN(TRIM(P114))=0</formula>
    </cfRule>
    <cfRule type="containsBlanks" dxfId="13445" priority="8470">
      <formula>LEN(TRIM(P114))=0</formula>
    </cfRule>
    <cfRule type="containsBlanks" dxfId="13444" priority="8471">
      <formula>LEN(TRIM(P114))=0</formula>
    </cfRule>
    <cfRule type="containsBlanks" dxfId="13443" priority="8472">
      <formula>LEN(TRIM(P114))=0</formula>
    </cfRule>
    <cfRule type="containsBlanks" dxfId="13442" priority="8473">
      <formula>LEN(TRIM(P114))=0</formula>
    </cfRule>
    <cfRule type="containsBlanks" dxfId="13441" priority="8474">
      <formula>LEN(TRIM(P114))=0</formula>
    </cfRule>
    <cfRule type="containsBlanks" dxfId="13440" priority="8475">
      <formula>LEN(TRIM(P114))=0</formula>
    </cfRule>
    <cfRule type="containsBlanks" dxfId="13439" priority="8476">
      <formula>LEN(TRIM(P114))=0</formula>
    </cfRule>
    <cfRule type="containsBlanks" dxfId="13438" priority="8477">
      <formula>LEN(TRIM(P114))=0</formula>
    </cfRule>
    <cfRule type="containsBlanks" dxfId="13437" priority="8478">
      <formula>LEN(TRIM(P114))=0</formula>
    </cfRule>
    <cfRule type="containsBlanks" dxfId="13436" priority="8479">
      <formula>LEN(TRIM(P114))=0</formula>
    </cfRule>
    <cfRule type="containsBlanks" dxfId="13435" priority="8480">
      <formula>LEN(TRIM(P114))=0</formula>
    </cfRule>
    <cfRule type="containsBlanks" dxfId="13434" priority="8481">
      <formula>LEN(TRIM(P114))=0</formula>
    </cfRule>
    <cfRule type="containsBlanks" dxfId="13433" priority="8482">
      <formula>LEN(TRIM(P114))=0</formula>
    </cfRule>
    <cfRule type="containsBlanks" dxfId="13432" priority="8483">
      <formula>LEN(TRIM(P114))=0</formula>
    </cfRule>
    <cfRule type="containsBlanks" dxfId="13431" priority="8484">
      <formula>LEN(TRIM(P114))=0</formula>
    </cfRule>
    <cfRule type="containsBlanks" dxfId="13430" priority="8485">
      <formula>LEN(TRIM(P114))=0</formula>
    </cfRule>
    <cfRule type="containsBlanks" dxfId="13429" priority="8486">
      <formula>LEN(TRIM(P114))=0</formula>
    </cfRule>
    <cfRule type="containsBlanks" dxfId="13428" priority="8487">
      <formula>LEN(TRIM(P114))=0</formula>
    </cfRule>
    <cfRule type="containsBlanks" dxfId="13427" priority="8488">
      <formula>LEN(TRIM(P114))=0</formula>
    </cfRule>
    <cfRule type="containsBlanks" dxfId="13426" priority="8489">
      <formula>LEN(TRIM(P114))=0</formula>
    </cfRule>
    <cfRule type="containsBlanks" dxfId="13425" priority="8490">
      <formula>LEN(TRIM(P114))=0</formula>
    </cfRule>
    <cfRule type="containsBlanks" dxfId="13424" priority="8491">
      <formula>LEN(TRIM(P114))=0</formula>
    </cfRule>
    <cfRule type="containsBlanks" dxfId="13423" priority="8492">
      <formula>LEN(TRIM(P114))=0</formula>
    </cfRule>
    <cfRule type="containsBlanks" dxfId="13422" priority="8493">
      <formula>LEN(TRIM(P114))=0</formula>
    </cfRule>
    <cfRule type="containsBlanks" dxfId="13421" priority="8494">
      <formula>LEN(TRIM(P114))=0</formula>
    </cfRule>
    <cfRule type="containsBlanks" dxfId="13420" priority="8495">
      <formula>LEN(TRIM(P114))=0</formula>
    </cfRule>
    <cfRule type="containsBlanks" dxfId="13419" priority="8496">
      <formula>LEN(TRIM(P114))=0</formula>
    </cfRule>
    <cfRule type="containsBlanks" dxfId="13418" priority="8497">
      <formula>LEN(TRIM(P114))=0</formula>
    </cfRule>
    <cfRule type="containsBlanks" dxfId="13417" priority="8498">
      <formula>LEN(TRIM(P114))=0</formula>
    </cfRule>
    <cfRule type="containsBlanks" dxfId="13416" priority="8499">
      <formula>LEN(TRIM(P114))=0</formula>
    </cfRule>
    <cfRule type="containsBlanks" dxfId="13415" priority="8500">
      <formula>LEN(TRIM(P114))=0</formula>
    </cfRule>
    <cfRule type="containsBlanks" dxfId="13414" priority="8501">
      <formula>LEN(TRIM(P114))=0</formula>
    </cfRule>
    <cfRule type="containsBlanks" dxfId="13413" priority="8502">
      <formula>LEN(TRIM(P114))=0</formula>
    </cfRule>
    <cfRule type="containsBlanks" dxfId="13412" priority="8503">
      <formula>LEN(TRIM(P114))=0</formula>
    </cfRule>
    <cfRule type="containsBlanks" dxfId="13411" priority="8504">
      <formula>LEN(TRIM(P114))=0</formula>
    </cfRule>
    <cfRule type="containsBlanks" dxfId="13410" priority="8505">
      <formula>LEN(TRIM(P114))=0</formula>
    </cfRule>
    <cfRule type="containsBlanks" dxfId="13409" priority="8506">
      <formula>LEN(TRIM(P114))=0</formula>
    </cfRule>
    <cfRule type="containsBlanks" dxfId="13408" priority="8507">
      <formula>LEN(TRIM(P114))=0</formula>
    </cfRule>
    <cfRule type="containsBlanks" dxfId="13407" priority="8508">
      <formula>LEN(TRIM(P114))=0</formula>
    </cfRule>
    <cfRule type="containsBlanks" dxfId="13406" priority="8509">
      <formula>LEN(TRIM(P114))=0</formula>
    </cfRule>
    <cfRule type="containsBlanks" dxfId="13405" priority="8510">
      <formula>LEN(TRIM(P114))=0</formula>
    </cfRule>
    <cfRule type="containsBlanks" dxfId="13404" priority="8511">
      <formula>LEN(TRIM(P114))=0</formula>
    </cfRule>
    <cfRule type="containsBlanks" dxfId="13403" priority="8512">
      <formula>LEN(TRIM(P114))=0</formula>
    </cfRule>
    <cfRule type="containsBlanks" dxfId="13402" priority="8513">
      <formula>LEN(TRIM(P114))=0</formula>
    </cfRule>
    <cfRule type="containsBlanks" dxfId="13401" priority="8514">
      <formula>LEN(TRIM(P114))=0</formula>
    </cfRule>
    <cfRule type="containsBlanks" dxfId="13400" priority="8515">
      <formula>LEN(TRIM(P114))=0</formula>
    </cfRule>
    <cfRule type="containsBlanks" dxfId="13399" priority="8516">
      <formula>LEN(TRIM(P114))=0</formula>
    </cfRule>
    <cfRule type="containsBlanks" dxfId="13398" priority="8517">
      <formula>LEN(TRIM(P114))=0</formula>
    </cfRule>
    <cfRule type="containsBlanks" dxfId="13397" priority="8518">
      <formula>LEN(TRIM(P114))=0</formula>
    </cfRule>
    <cfRule type="containsBlanks" dxfId="13396" priority="8519">
      <formula>LEN(TRIM(P114))=0</formula>
    </cfRule>
    <cfRule type="containsBlanks" dxfId="13395" priority="8520">
      <formula>LEN(TRIM(P114))=0</formula>
    </cfRule>
    <cfRule type="containsBlanks" dxfId="13394" priority="8521">
      <formula>LEN(TRIM(P114))=0</formula>
    </cfRule>
    <cfRule type="containsBlanks" dxfId="13393" priority="8522">
      <formula>LEN(TRIM(P114))=0</formula>
    </cfRule>
    <cfRule type="containsBlanks" dxfId="13392" priority="8523">
      <formula>LEN(TRIM(P114))=0</formula>
    </cfRule>
    <cfRule type="containsBlanks" dxfId="13391" priority="8524">
      <formula>LEN(TRIM(P114))=0</formula>
    </cfRule>
    <cfRule type="containsBlanks" dxfId="13390" priority="8525">
      <formula>LEN(TRIM(P114))=0</formula>
    </cfRule>
    <cfRule type="containsBlanks" dxfId="13389" priority="8526">
      <formula>LEN(TRIM(P114))=0</formula>
    </cfRule>
    <cfRule type="containsBlanks" dxfId="13388" priority="8527">
      <formula>LEN(TRIM(P114))=0</formula>
    </cfRule>
    <cfRule type="containsBlanks" dxfId="13387" priority="8528">
      <formula>LEN(TRIM(P114))=0</formula>
    </cfRule>
    <cfRule type="containsBlanks" dxfId="13386" priority="8529">
      <formula>LEN(TRIM(P114))=0</formula>
    </cfRule>
    <cfRule type="containsBlanks" dxfId="13385" priority="8530">
      <formula>LEN(TRIM(P114))=0</formula>
    </cfRule>
    <cfRule type="containsBlanks" dxfId="13384" priority="8531">
      <formula>LEN(TRIM(P114))=0</formula>
    </cfRule>
    <cfRule type="containsBlanks" dxfId="13383" priority="8532">
      <formula>LEN(TRIM(P114))=0</formula>
    </cfRule>
    <cfRule type="containsBlanks" dxfId="13382" priority="8533">
      <formula>LEN(TRIM(P114))=0</formula>
    </cfRule>
    <cfRule type="containsBlanks" dxfId="13381" priority="8534">
      <formula>LEN(TRIM(P114))=0</formula>
    </cfRule>
    <cfRule type="containsBlanks" dxfId="13380" priority="8535">
      <formula>LEN(TRIM(P114))=0</formula>
    </cfRule>
    <cfRule type="containsBlanks" dxfId="13379" priority="8536">
      <formula>LEN(TRIM(P114))=0</formula>
    </cfRule>
    <cfRule type="containsBlanks" dxfId="13378" priority="8537">
      <formula>LEN(TRIM(P114))=0</formula>
    </cfRule>
    <cfRule type="containsBlanks" dxfId="13377" priority="8538">
      <formula>LEN(TRIM(P114))=0</formula>
    </cfRule>
    <cfRule type="containsBlanks" dxfId="13376" priority="8539">
      <formula>LEN(TRIM(P114))=0</formula>
    </cfRule>
    <cfRule type="containsBlanks" dxfId="13375" priority="8540">
      <formula>LEN(TRIM(P114))=0</formula>
    </cfRule>
    <cfRule type="containsBlanks" dxfId="13374" priority="8541">
      <formula>LEN(TRIM(P114))=0</formula>
    </cfRule>
    <cfRule type="containsBlanks" dxfId="13373" priority="8542">
      <formula>LEN(TRIM(P114))=0</formula>
    </cfRule>
    <cfRule type="containsBlanks" dxfId="13372" priority="8543">
      <formula>LEN(TRIM(P114))=0</formula>
    </cfRule>
    <cfRule type="containsBlanks" dxfId="13371" priority="8544">
      <formula>LEN(TRIM(P114))=0</formula>
    </cfRule>
    <cfRule type="containsBlanks" dxfId="13370" priority="8545">
      <formula>LEN(TRIM(P114))=0</formula>
    </cfRule>
    <cfRule type="containsBlanks" dxfId="13369" priority="8546">
      <formula>LEN(TRIM(P114))=0</formula>
    </cfRule>
    <cfRule type="containsBlanks" dxfId="13368" priority="8547">
      <formula>LEN(TRIM(P114))=0</formula>
    </cfRule>
    <cfRule type="containsBlanks" dxfId="13367" priority="8548">
      <formula>LEN(TRIM(P114))=0</formula>
    </cfRule>
    <cfRule type="containsBlanks" dxfId="13366" priority="8549">
      <formula>LEN(TRIM(P114))=0</formula>
    </cfRule>
    <cfRule type="containsBlanks" dxfId="13365" priority="8550">
      <formula>LEN(TRIM(P114))=0</formula>
    </cfRule>
    <cfRule type="containsBlanks" dxfId="13364" priority="8551">
      <formula>LEN(TRIM(P114))=0</formula>
    </cfRule>
    <cfRule type="containsBlanks" dxfId="13363" priority="8552">
      <formula>LEN(TRIM(P114))=0</formula>
    </cfRule>
    <cfRule type="containsBlanks" dxfId="13362" priority="8553">
      <formula>LEN(TRIM(P114))=0</formula>
    </cfRule>
    <cfRule type="containsBlanks" dxfId="13361" priority="8554">
      <formula>LEN(TRIM(P114))=0</formula>
    </cfRule>
    <cfRule type="containsBlanks" dxfId="13360" priority="8555">
      <formula>LEN(TRIM(P114))=0</formula>
    </cfRule>
    <cfRule type="containsBlanks" dxfId="13359" priority="8556">
      <formula>LEN(TRIM(P114))=0</formula>
    </cfRule>
    <cfRule type="containsBlanks" dxfId="13358" priority="8557">
      <formula>LEN(TRIM(P114))=0</formula>
    </cfRule>
    <cfRule type="containsBlanks" dxfId="13357" priority="8558">
      <formula>LEN(TRIM(P114))=0</formula>
    </cfRule>
    <cfRule type="containsBlanks" dxfId="13356" priority="8559">
      <formula>LEN(TRIM(P114))=0</formula>
    </cfRule>
    <cfRule type="containsBlanks" dxfId="13355" priority="8560">
      <formula>LEN(TRIM(P114))=0</formula>
    </cfRule>
    <cfRule type="containsBlanks" dxfId="13354" priority="8561">
      <formula>LEN(TRIM(P114))=0</formula>
    </cfRule>
    <cfRule type="containsBlanks" dxfId="13353" priority="8562">
      <formula>LEN(TRIM(P114))=0</formula>
    </cfRule>
    <cfRule type="containsBlanks" dxfId="13352" priority="8563">
      <formula>LEN(TRIM(P114))=0</formula>
    </cfRule>
    <cfRule type="containsBlanks" dxfId="13351" priority="8564">
      <formula>LEN(TRIM(P114))=0</formula>
    </cfRule>
    <cfRule type="containsBlanks" dxfId="13350" priority="8565">
      <formula>LEN(TRIM(P114))=0</formula>
    </cfRule>
    <cfRule type="containsBlanks" dxfId="13349" priority="8566">
      <formula>LEN(TRIM(P114))=0</formula>
    </cfRule>
    <cfRule type="containsBlanks" dxfId="13348" priority="8567">
      <formula>LEN(TRIM(P114))=0</formula>
    </cfRule>
    <cfRule type="containsBlanks" dxfId="13347" priority="8568">
      <formula>LEN(TRIM(P114))=0</formula>
    </cfRule>
    <cfRule type="containsBlanks" dxfId="13346" priority="8569">
      <formula>LEN(TRIM(P114))=0</formula>
    </cfRule>
    <cfRule type="containsBlanks" dxfId="13345" priority="8570">
      <formula>LEN(TRIM(P114))=0</formula>
    </cfRule>
    <cfRule type="containsBlanks" dxfId="13344" priority="8571">
      <formula>LEN(TRIM(P114))=0</formula>
    </cfRule>
    <cfRule type="containsBlanks" dxfId="13343" priority="8572">
      <formula>LEN(TRIM(P114))=0</formula>
    </cfRule>
    <cfRule type="containsBlanks" dxfId="13342" priority="8573">
      <formula>LEN(TRIM(P114))=0</formula>
    </cfRule>
    <cfRule type="containsBlanks" dxfId="13341" priority="8574">
      <formula>LEN(TRIM(P114))=0</formula>
    </cfRule>
    <cfRule type="containsBlanks" dxfId="13340" priority="8575">
      <formula>LEN(TRIM(P114))=0</formula>
    </cfRule>
    <cfRule type="containsBlanks" dxfId="13339" priority="8576">
      <formula>LEN(TRIM(P114))=0</formula>
    </cfRule>
    <cfRule type="containsBlanks" dxfId="13338" priority="8577">
      <formula>LEN(TRIM(P114))=0</formula>
    </cfRule>
    <cfRule type="containsBlanks" dxfId="13337" priority="8578">
      <formula>LEN(TRIM(P114))=0</formula>
    </cfRule>
    <cfRule type="containsBlanks" dxfId="13336" priority="8579">
      <formula>LEN(TRIM(P114))=0</formula>
    </cfRule>
    <cfRule type="containsBlanks" dxfId="13335" priority="8580">
      <formula>LEN(TRIM(P114))=0</formula>
    </cfRule>
    <cfRule type="containsBlanks" dxfId="13334" priority="8581">
      <formula>LEN(TRIM(P114))=0</formula>
    </cfRule>
    <cfRule type="containsBlanks" dxfId="13333" priority="8582">
      <formula>LEN(TRIM(P114))=0</formula>
    </cfRule>
    <cfRule type="containsBlanks" dxfId="13332" priority="8583">
      <formula>LEN(TRIM(P114))=0</formula>
    </cfRule>
    <cfRule type="containsBlanks" dxfId="13331" priority="8584">
      <formula>LEN(TRIM(P114))=0</formula>
    </cfRule>
    <cfRule type="containsBlanks" dxfId="13330" priority="8585">
      <formula>LEN(TRIM(P114))=0</formula>
    </cfRule>
    <cfRule type="containsBlanks" dxfId="13329" priority="8586">
      <formula>LEN(TRIM(P114))=0</formula>
    </cfRule>
    <cfRule type="containsBlanks" dxfId="13328" priority="8587">
      <formula>LEN(TRIM(P114))=0</formula>
    </cfRule>
    <cfRule type="containsBlanks" dxfId="13327" priority="8588">
      <formula>LEN(TRIM(P114))=0</formula>
    </cfRule>
    <cfRule type="containsBlanks" dxfId="13326" priority="8589">
      <formula>LEN(TRIM(P114))=0</formula>
    </cfRule>
    <cfRule type="containsBlanks" dxfId="13325" priority="8590">
      <formula>LEN(TRIM(P114))=0</formula>
    </cfRule>
    <cfRule type="containsBlanks" dxfId="13324" priority="8591">
      <formula>LEN(TRIM(P114))=0</formula>
    </cfRule>
    <cfRule type="containsBlanks" dxfId="13323" priority="8592">
      <formula>LEN(TRIM(P114))=0</formula>
    </cfRule>
    <cfRule type="containsBlanks" dxfId="13322" priority="8593">
      <formula>LEN(TRIM(P114))=0</formula>
    </cfRule>
    <cfRule type="containsBlanks" dxfId="13321" priority="8594">
      <formula>LEN(TRIM(P114))=0</formula>
    </cfRule>
    <cfRule type="containsBlanks" dxfId="13320" priority="8595">
      <formula>LEN(TRIM(P114))=0</formula>
    </cfRule>
    <cfRule type="containsBlanks" dxfId="13319" priority="8596">
      <formula>LEN(TRIM(P114))=0</formula>
    </cfRule>
    <cfRule type="containsBlanks" dxfId="13318" priority="8597">
      <formula>LEN(TRIM(P114))=0</formula>
    </cfRule>
    <cfRule type="containsBlanks" dxfId="13317" priority="8598">
      <formula>LEN(TRIM(P114))=0</formula>
    </cfRule>
    <cfRule type="containsBlanks" dxfId="13316" priority="8599">
      <formula>LEN(TRIM(P114))=0</formula>
    </cfRule>
    <cfRule type="containsBlanks" dxfId="13315" priority="8600">
      <formula>LEN(TRIM(P114))=0</formula>
    </cfRule>
    <cfRule type="containsBlanks" dxfId="13314" priority="8601">
      <formula>LEN(TRIM(P114))=0</formula>
    </cfRule>
    <cfRule type="containsBlanks" dxfId="13313" priority="8602">
      <formula>LEN(TRIM(P114))=0</formula>
    </cfRule>
    <cfRule type="containsBlanks" dxfId="13312" priority="8603">
      <formula>LEN(TRIM(P114))=0</formula>
    </cfRule>
    <cfRule type="containsBlanks" dxfId="13311" priority="8604">
      <formula>LEN(TRIM(P114))=0</formula>
    </cfRule>
    <cfRule type="containsBlanks" dxfId="13310" priority="8605">
      <formula>LEN(TRIM(P114))=0</formula>
    </cfRule>
    <cfRule type="containsBlanks" dxfId="13309" priority="8606">
      <formula>LEN(TRIM(P114))=0</formula>
    </cfRule>
    <cfRule type="containsBlanks" dxfId="13308" priority="8607">
      <formula>LEN(TRIM(P114))=0</formula>
    </cfRule>
    <cfRule type="containsBlanks" dxfId="13307" priority="8608">
      <formula>LEN(TRIM(P114))=0</formula>
    </cfRule>
    <cfRule type="containsBlanks" dxfId="13306" priority="8609">
      <formula>LEN(TRIM(P114))=0</formula>
    </cfRule>
    <cfRule type="containsBlanks" dxfId="13305" priority="8610">
      <formula>LEN(TRIM(P114))=0</formula>
    </cfRule>
    <cfRule type="containsBlanks" dxfId="13304" priority="8611">
      <formula>LEN(TRIM(P114))=0</formula>
    </cfRule>
    <cfRule type="containsBlanks" dxfId="13303" priority="8612">
      <formula>LEN(TRIM(P114))=0</formula>
    </cfRule>
    <cfRule type="containsBlanks" dxfId="13302" priority="8613">
      <formula>LEN(TRIM(P114))=0</formula>
    </cfRule>
    <cfRule type="containsBlanks" dxfId="13301" priority="8614">
      <formula>LEN(TRIM(P114))=0</formula>
    </cfRule>
    <cfRule type="containsBlanks" dxfId="13300" priority="8615">
      <formula>LEN(TRIM(P114))=0</formula>
    </cfRule>
    <cfRule type="containsBlanks" dxfId="13299" priority="8616">
      <formula>LEN(TRIM(P114))=0</formula>
    </cfRule>
    <cfRule type="containsBlanks" dxfId="13298" priority="8617">
      <formula>LEN(TRIM(P114))=0</formula>
    </cfRule>
    <cfRule type="containsBlanks" dxfId="13297" priority="8618">
      <formula>LEN(TRIM(P114))=0</formula>
    </cfRule>
    <cfRule type="containsBlanks" dxfId="13296" priority="8619">
      <formula>LEN(TRIM(P114))=0</formula>
    </cfRule>
    <cfRule type="containsBlanks" dxfId="13295" priority="8620">
      <formula>LEN(TRIM(P114))=0</formula>
    </cfRule>
    <cfRule type="containsBlanks" dxfId="13294" priority="8621">
      <formula>LEN(TRIM(P114))=0</formula>
    </cfRule>
    <cfRule type="containsBlanks" dxfId="13293" priority="8622">
      <formula>LEN(TRIM(P114))=0</formula>
    </cfRule>
    <cfRule type="containsBlanks" dxfId="13292" priority="8623">
      <formula>LEN(TRIM(P114))=0</formula>
    </cfRule>
    <cfRule type="containsBlanks" dxfId="13291" priority="8624">
      <formula>LEN(TRIM(P114))=0</formula>
    </cfRule>
    <cfRule type="containsBlanks" dxfId="13290" priority="8625">
      <formula>LEN(TRIM(P114))=0</formula>
    </cfRule>
    <cfRule type="containsBlanks" dxfId="13289" priority="8626">
      <formula>LEN(TRIM(P114))=0</formula>
    </cfRule>
    <cfRule type="containsBlanks" dxfId="13288" priority="8627">
      <formula>LEN(TRIM(P114))=0</formula>
    </cfRule>
    <cfRule type="containsBlanks" dxfId="13287" priority="8628">
      <formula>LEN(TRIM(P114))=0</formula>
    </cfRule>
    <cfRule type="containsBlanks" dxfId="13286" priority="8629">
      <formula>LEN(TRIM(P114))=0</formula>
    </cfRule>
    <cfRule type="containsBlanks" dxfId="13285" priority="8630">
      <formula>LEN(TRIM(P114))=0</formula>
    </cfRule>
    <cfRule type="containsBlanks" dxfId="13284" priority="8631">
      <formula>LEN(TRIM(P114))=0</formula>
    </cfRule>
    <cfRule type="containsBlanks" dxfId="13283" priority="8632">
      <formula>LEN(TRIM(P114))=0</formula>
    </cfRule>
    <cfRule type="containsBlanks" dxfId="13282" priority="8633">
      <formula>LEN(TRIM(P114))=0</formula>
    </cfRule>
    <cfRule type="containsBlanks" dxfId="13281" priority="8634">
      <formula>LEN(TRIM(P114))=0</formula>
    </cfRule>
    <cfRule type="containsBlanks" dxfId="13280" priority="8635">
      <formula>LEN(TRIM(P114))=0</formula>
    </cfRule>
    <cfRule type="containsBlanks" dxfId="13279" priority="8636">
      <formula>LEN(TRIM(P114))=0</formula>
    </cfRule>
    <cfRule type="containsBlanks" dxfId="13278" priority="8637">
      <formula>LEN(TRIM(P114))=0</formula>
    </cfRule>
    <cfRule type="containsBlanks" dxfId="13277" priority="8638">
      <formula>LEN(TRIM(P114))=0</formula>
    </cfRule>
    <cfRule type="containsBlanks" dxfId="13276" priority="8639">
      <formula>LEN(TRIM(P114))=0</formula>
    </cfRule>
    <cfRule type="containsBlanks" dxfId="13275" priority="8640">
      <formula>LEN(TRIM(P114))=0</formula>
    </cfRule>
    <cfRule type="containsBlanks" dxfId="13274" priority="8641">
      <formula>LEN(TRIM(P114))=0</formula>
    </cfRule>
    <cfRule type="containsBlanks" dxfId="13273" priority="8642">
      <formula>LEN(TRIM(P114))=0</formula>
    </cfRule>
    <cfRule type="containsBlanks" dxfId="13272" priority="8643">
      <formula>LEN(TRIM(P114))=0</formula>
    </cfRule>
    <cfRule type="containsBlanks" dxfId="13271" priority="8644">
      <formula>LEN(TRIM(P114))=0</formula>
    </cfRule>
    <cfRule type="containsBlanks" dxfId="13270" priority="8645">
      <formula>LEN(TRIM(P114))=0</formula>
    </cfRule>
    <cfRule type="containsBlanks" dxfId="13269" priority="8646">
      <formula>LEN(TRIM(P114))=0</formula>
    </cfRule>
    <cfRule type="containsBlanks" dxfId="13268" priority="8647">
      <formula>LEN(TRIM(P114))=0</formula>
    </cfRule>
    <cfRule type="containsBlanks" dxfId="13267" priority="8648">
      <formula>LEN(TRIM(P114))=0</formula>
    </cfRule>
    <cfRule type="containsBlanks" dxfId="13266" priority="8649">
      <formula>LEN(TRIM(P114))=0</formula>
    </cfRule>
    <cfRule type="containsBlanks" dxfId="13265" priority="8650">
      <formula>LEN(TRIM(P114))=0</formula>
    </cfRule>
    <cfRule type="containsBlanks" dxfId="13264" priority="8651">
      <formula>LEN(TRIM(P114))=0</formula>
    </cfRule>
    <cfRule type="containsBlanks" dxfId="13263" priority="8652">
      <formula>LEN(TRIM(P114))=0</formula>
    </cfRule>
    <cfRule type="containsBlanks" dxfId="13262" priority="8653">
      <formula>LEN(TRIM(P114))=0</formula>
    </cfRule>
    <cfRule type="containsBlanks" dxfId="13261" priority="8654">
      <formula>LEN(TRIM(P114))=0</formula>
    </cfRule>
    <cfRule type="containsBlanks" dxfId="13260" priority="8655">
      <formula>LEN(TRIM(P114))=0</formula>
    </cfRule>
    <cfRule type="containsBlanks" dxfId="13259" priority="8656">
      <formula>LEN(TRIM(P114))=0</formula>
    </cfRule>
    <cfRule type="containsBlanks" dxfId="13258" priority="8657">
      <formula>LEN(TRIM(P114))=0</formula>
    </cfRule>
    <cfRule type="containsBlanks" dxfId="13257" priority="8658">
      <formula>LEN(TRIM(P114))=0</formula>
    </cfRule>
    <cfRule type="containsBlanks" dxfId="13256" priority="8659">
      <formula>LEN(TRIM(P114))=0</formula>
    </cfRule>
    <cfRule type="containsBlanks" dxfId="13255" priority="8660">
      <formula>LEN(TRIM(P114))=0</formula>
    </cfRule>
    <cfRule type="containsBlanks" dxfId="13254" priority="8661">
      <formula>LEN(TRIM(P114))=0</formula>
    </cfRule>
    <cfRule type="containsBlanks" dxfId="13253" priority="8662">
      <formula>LEN(TRIM(P114))=0</formula>
    </cfRule>
    <cfRule type="containsBlanks" dxfId="13252" priority="8663">
      <formula>LEN(TRIM(P114))=0</formula>
    </cfRule>
    <cfRule type="containsBlanks" dxfId="13251" priority="8664">
      <formula>LEN(TRIM(P114))=0</formula>
    </cfRule>
    <cfRule type="containsBlanks" dxfId="13250" priority="8665">
      <formula>LEN(TRIM(P114))=0</formula>
    </cfRule>
    <cfRule type="containsBlanks" dxfId="13249" priority="8666">
      <formula>LEN(TRIM(P114))=0</formula>
    </cfRule>
    <cfRule type="containsBlanks" dxfId="13248" priority="8667">
      <formula>LEN(TRIM(P114))=0</formula>
    </cfRule>
    <cfRule type="containsBlanks" dxfId="13247" priority="8668">
      <formula>LEN(TRIM(P114))=0</formula>
    </cfRule>
    <cfRule type="containsBlanks" dxfId="13246" priority="8669">
      <formula>LEN(TRIM(P114))=0</formula>
    </cfRule>
    <cfRule type="containsBlanks" dxfId="13245" priority="8670">
      <formula>LEN(TRIM(P114))=0</formula>
    </cfRule>
    <cfRule type="containsBlanks" dxfId="13244" priority="8671">
      <formula>LEN(TRIM(P114))=0</formula>
    </cfRule>
    <cfRule type="containsBlanks" dxfId="13243" priority="8672">
      <formula>LEN(TRIM(P114))=0</formula>
    </cfRule>
    <cfRule type="containsBlanks" dxfId="13242" priority="8673">
      <formula>LEN(TRIM(P114))=0</formula>
    </cfRule>
    <cfRule type="containsBlanks" dxfId="13241" priority="8674">
      <formula>LEN(TRIM(P114))=0</formula>
    </cfRule>
    <cfRule type="containsBlanks" dxfId="13240" priority="8675">
      <formula>LEN(TRIM(P114))=0</formula>
    </cfRule>
    <cfRule type="containsBlanks" dxfId="13239" priority="8676">
      <formula>LEN(TRIM(P114))=0</formula>
    </cfRule>
    <cfRule type="containsBlanks" dxfId="13238" priority="8677">
      <formula>LEN(TRIM(P114))=0</formula>
    </cfRule>
    <cfRule type="containsBlanks" dxfId="13237" priority="8678">
      <formula>LEN(TRIM(P114))=0</formula>
    </cfRule>
    <cfRule type="containsBlanks" dxfId="13236" priority="8679">
      <formula>LEN(TRIM(P114))=0</formula>
    </cfRule>
    <cfRule type="containsBlanks" dxfId="13235" priority="8680">
      <formula>LEN(TRIM(P114))=0</formula>
    </cfRule>
    <cfRule type="containsBlanks" dxfId="13234" priority="8681">
      <formula>LEN(TRIM(P114))=0</formula>
    </cfRule>
    <cfRule type="containsBlanks" dxfId="13233" priority="8682">
      <formula>LEN(TRIM(P114))=0</formula>
    </cfRule>
    <cfRule type="containsBlanks" dxfId="13232" priority="8683">
      <formula>LEN(TRIM(P114))=0</formula>
    </cfRule>
    <cfRule type="containsBlanks" dxfId="13231" priority="8684">
      <formula>LEN(TRIM(P114))=0</formula>
    </cfRule>
    <cfRule type="containsBlanks" dxfId="13230" priority="8685">
      <formula>LEN(TRIM(P114))=0</formula>
    </cfRule>
    <cfRule type="containsBlanks" dxfId="13229" priority="8686">
      <formula>LEN(TRIM(P114))=0</formula>
    </cfRule>
    <cfRule type="containsBlanks" dxfId="13228" priority="8687">
      <formula>LEN(TRIM(P114))=0</formula>
    </cfRule>
    <cfRule type="containsBlanks" dxfId="13227" priority="8688">
      <formula>LEN(TRIM(P114))=0</formula>
    </cfRule>
    <cfRule type="containsBlanks" dxfId="13226" priority="8689">
      <formula>LEN(TRIM(P114))=0</formula>
    </cfRule>
    <cfRule type="containsBlanks" dxfId="13225" priority="8690">
      <formula>LEN(TRIM(P114))=0</formula>
    </cfRule>
    <cfRule type="containsBlanks" dxfId="13224" priority="8691">
      <formula>LEN(TRIM(P114))=0</formula>
    </cfRule>
    <cfRule type="containsBlanks" dxfId="13223" priority="8692">
      <formula>LEN(TRIM(P114))=0</formula>
    </cfRule>
    <cfRule type="containsBlanks" dxfId="13222" priority="8693">
      <formula>LEN(TRIM(P114))=0</formula>
    </cfRule>
    <cfRule type="containsBlanks" dxfId="13221" priority="8694">
      <formula>LEN(TRIM(P114))=0</formula>
    </cfRule>
    <cfRule type="containsBlanks" dxfId="13220" priority="8695">
      <formula>LEN(TRIM(P114))=0</formula>
    </cfRule>
    <cfRule type="containsBlanks" dxfId="13219" priority="8696">
      <formula>LEN(TRIM(P114))=0</formula>
    </cfRule>
    <cfRule type="containsBlanks" dxfId="13218" priority="8697">
      <formula>LEN(TRIM(P114))=0</formula>
    </cfRule>
    <cfRule type="containsBlanks" dxfId="13217" priority="8698">
      <formula>LEN(TRIM(P114))=0</formula>
    </cfRule>
    <cfRule type="containsBlanks" dxfId="13216" priority="8699">
      <formula>LEN(TRIM(P114))=0</formula>
    </cfRule>
    <cfRule type="containsBlanks" dxfId="13215" priority="8700">
      <formula>LEN(TRIM(P114))=0</formula>
    </cfRule>
    <cfRule type="containsBlanks" dxfId="13214" priority="8701">
      <formula>LEN(TRIM(P114))=0</formula>
    </cfRule>
    <cfRule type="containsBlanks" dxfId="13213" priority="8702">
      <formula>LEN(TRIM(P114))=0</formula>
    </cfRule>
    <cfRule type="containsBlanks" dxfId="13212" priority="8703">
      <formula>LEN(TRIM(P114))=0</formula>
    </cfRule>
    <cfRule type="containsBlanks" dxfId="13211" priority="8704">
      <formula>LEN(TRIM(P114))=0</formula>
    </cfRule>
    <cfRule type="containsBlanks" dxfId="13210" priority="8705">
      <formula>LEN(TRIM(P114))=0</formula>
    </cfRule>
    <cfRule type="containsBlanks" dxfId="13209" priority="8706">
      <formula>LEN(TRIM(P114))=0</formula>
    </cfRule>
    <cfRule type="containsBlanks" dxfId="13208" priority="8707">
      <formula>LEN(TRIM(P114))=0</formula>
    </cfRule>
    <cfRule type="containsBlanks" dxfId="13207" priority="8708">
      <formula>LEN(TRIM(P114))=0</formula>
    </cfRule>
    <cfRule type="containsBlanks" dxfId="13206" priority="8709">
      <formula>LEN(TRIM(P114))=0</formula>
    </cfRule>
    <cfRule type="containsBlanks" dxfId="13205" priority="8710">
      <formula>LEN(TRIM(P114))=0</formula>
    </cfRule>
    <cfRule type="containsBlanks" dxfId="13204" priority="8711">
      <formula>LEN(TRIM(P114))=0</formula>
    </cfRule>
    <cfRule type="containsBlanks" dxfId="13203" priority="8712">
      <formula>LEN(TRIM(P114))=0</formula>
    </cfRule>
    <cfRule type="containsBlanks" dxfId="13202" priority="8713">
      <formula>LEN(TRIM(P114))=0</formula>
    </cfRule>
    <cfRule type="containsBlanks" dxfId="13201" priority="8714">
      <formula>LEN(TRIM(P114))=0</formula>
    </cfRule>
    <cfRule type="containsBlanks" dxfId="13200" priority="8715">
      <formula>LEN(TRIM(P114))=0</formula>
    </cfRule>
    <cfRule type="containsBlanks" dxfId="13199" priority="8716">
      <formula>LEN(TRIM(P114))=0</formula>
    </cfRule>
    <cfRule type="containsBlanks" dxfId="13198" priority="8717">
      <formula>LEN(TRIM(P114))=0</formula>
    </cfRule>
    <cfRule type="containsBlanks" dxfId="13197" priority="8718">
      <formula>LEN(TRIM(P114))=0</formula>
    </cfRule>
    <cfRule type="containsBlanks" dxfId="13196" priority="8719">
      <formula>LEN(TRIM(P114))=0</formula>
    </cfRule>
    <cfRule type="containsBlanks" dxfId="13195" priority="8720">
      <formula>LEN(TRIM(P114))=0</formula>
    </cfRule>
    <cfRule type="containsBlanks" dxfId="13194" priority="8721">
      <formula>LEN(TRIM(P114))=0</formula>
    </cfRule>
    <cfRule type="containsBlanks" dxfId="13193" priority="8722">
      <formula>LEN(TRIM(P114))=0</formula>
    </cfRule>
    <cfRule type="containsBlanks" dxfId="13192" priority="8723">
      <formula>LEN(TRIM(P114))=0</formula>
    </cfRule>
    <cfRule type="containsBlanks" dxfId="13191" priority="8724">
      <formula>LEN(TRIM(P114))=0</formula>
    </cfRule>
    <cfRule type="containsBlanks" dxfId="13190" priority="8725">
      <formula>LEN(TRIM(P114))=0</formula>
    </cfRule>
    <cfRule type="containsBlanks" dxfId="13189" priority="8726">
      <formula>LEN(TRIM(P114))=0</formula>
    </cfRule>
    <cfRule type="containsBlanks" dxfId="13188" priority="8727">
      <formula>LEN(TRIM(P114))=0</formula>
    </cfRule>
    <cfRule type="containsBlanks" dxfId="13187" priority="8728">
      <formula>LEN(TRIM(P114))=0</formula>
    </cfRule>
    <cfRule type="containsBlanks" dxfId="13186" priority="8729">
      <formula>LEN(TRIM(P114))=0</formula>
    </cfRule>
    <cfRule type="containsBlanks" dxfId="13185" priority="8730">
      <formula>LEN(TRIM(P114))=0</formula>
    </cfRule>
    <cfRule type="containsBlanks" dxfId="13184" priority="8731">
      <formula>LEN(TRIM(P114))=0</formula>
    </cfRule>
    <cfRule type="containsBlanks" dxfId="13183" priority="8732">
      <formula>LEN(TRIM(P114))=0</formula>
    </cfRule>
    <cfRule type="containsBlanks" dxfId="13182" priority="8733">
      <formula>LEN(TRIM(P114))=0</formula>
    </cfRule>
    <cfRule type="containsBlanks" dxfId="13181" priority="8734">
      <formula>LEN(TRIM(P114))=0</formula>
    </cfRule>
    <cfRule type="containsBlanks" dxfId="13180" priority="8735">
      <formula>LEN(TRIM(P114))=0</formula>
    </cfRule>
    <cfRule type="containsBlanks" dxfId="13179" priority="8736">
      <formula>LEN(TRIM(P114))=0</formula>
    </cfRule>
    <cfRule type="containsBlanks" dxfId="13178" priority="8737">
      <formula>LEN(TRIM(P114))=0</formula>
    </cfRule>
    <cfRule type="containsBlanks" dxfId="13177" priority="8738">
      <formula>LEN(TRIM(P114))=0</formula>
    </cfRule>
    <cfRule type="containsBlanks" dxfId="13176" priority="8739">
      <formula>LEN(TRIM(P114))=0</formula>
    </cfRule>
    <cfRule type="containsBlanks" dxfId="13175" priority="8740">
      <formula>LEN(TRIM(P114))=0</formula>
    </cfRule>
    <cfRule type="containsBlanks" dxfId="13174" priority="8741">
      <formula>LEN(TRIM(P114))=0</formula>
    </cfRule>
    <cfRule type="containsBlanks" dxfId="13173" priority="8742">
      <formula>LEN(TRIM(P114))=0</formula>
    </cfRule>
    <cfRule type="containsBlanks" dxfId="13172" priority="8743">
      <formula>LEN(TRIM(P114))=0</formula>
    </cfRule>
    <cfRule type="containsBlanks" dxfId="13171" priority="8744">
      <formula>LEN(TRIM(P114))=0</formula>
    </cfRule>
    <cfRule type="containsBlanks" dxfId="13170" priority="8745">
      <formula>LEN(TRIM(P114))=0</formula>
    </cfRule>
    <cfRule type="containsBlanks" dxfId="13169" priority="8746">
      <formula>LEN(TRIM(P114))=0</formula>
    </cfRule>
    <cfRule type="containsBlanks" dxfId="13168" priority="8747">
      <formula>LEN(TRIM(P114))=0</formula>
    </cfRule>
    <cfRule type="containsBlanks" dxfId="13167" priority="8748">
      <formula>LEN(TRIM(P114))=0</formula>
    </cfRule>
    <cfRule type="containsBlanks" dxfId="13166" priority="8749">
      <formula>LEN(TRIM(P114))=0</formula>
    </cfRule>
    <cfRule type="containsBlanks" dxfId="13165" priority="8750">
      <formula>LEN(TRIM(P114))=0</formula>
    </cfRule>
    <cfRule type="containsBlanks" dxfId="13164" priority="8751">
      <formula>LEN(TRIM(P114))=0</formula>
    </cfRule>
    <cfRule type="containsBlanks" dxfId="13163" priority="8752">
      <formula>LEN(TRIM(P114))=0</formula>
    </cfRule>
    <cfRule type="containsBlanks" dxfId="13162" priority="8753">
      <formula>LEN(TRIM(P114))=0</formula>
    </cfRule>
    <cfRule type="containsBlanks" dxfId="13161" priority="8754">
      <formula>LEN(TRIM(P114))=0</formula>
    </cfRule>
    <cfRule type="containsBlanks" dxfId="13160" priority="8755">
      <formula>LEN(TRIM(P114))=0</formula>
    </cfRule>
    <cfRule type="containsBlanks" dxfId="13159" priority="8756">
      <formula>LEN(TRIM(P114))=0</formula>
    </cfRule>
    <cfRule type="containsBlanks" dxfId="13158" priority="8757">
      <formula>LEN(TRIM(P114))=0</formula>
    </cfRule>
    <cfRule type="containsBlanks" dxfId="13157" priority="8758">
      <formula>LEN(TRIM(P114))=0</formula>
    </cfRule>
    <cfRule type="containsBlanks" dxfId="13156" priority="8759">
      <formula>LEN(TRIM(P114))=0</formula>
    </cfRule>
    <cfRule type="containsBlanks" dxfId="13155" priority="8760">
      <formula>LEN(TRIM(P114))=0</formula>
    </cfRule>
    <cfRule type="containsBlanks" dxfId="13154" priority="8761">
      <formula>LEN(TRIM(P114))=0</formula>
    </cfRule>
    <cfRule type="containsBlanks" dxfId="13153" priority="8762">
      <formula>LEN(TRIM(P114))=0</formula>
    </cfRule>
    <cfRule type="containsBlanks" dxfId="13152" priority="8763">
      <formula>LEN(TRIM(P114))=0</formula>
    </cfRule>
    <cfRule type="containsBlanks" dxfId="13151" priority="8764">
      <formula>LEN(TRIM(P114))=0</formula>
    </cfRule>
    <cfRule type="containsBlanks" dxfId="13150" priority="8765">
      <formula>LEN(TRIM(P114))=0</formula>
    </cfRule>
    <cfRule type="containsBlanks" dxfId="13149" priority="8766">
      <formula>LEN(TRIM(P114))=0</formula>
    </cfRule>
    <cfRule type="containsBlanks" dxfId="13148" priority="8767">
      <formula>LEN(TRIM(P114))=0</formula>
    </cfRule>
    <cfRule type="containsBlanks" dxfId="13147" priority="8768">
      <formula>LEN(TRIM(P114))=0</formula>
    </cfRule>
    <cfRule type="containsBlanks" dxfId="13146" priority="8769">
      <formula>LEN(TRIM(P114))=0</formula>
    </cfRule>
    <cfRule type="containsBlanks" dxfId="13145" priority="8770">
      <formula>LEN(TRIM(P114))=0</formula>
    </cfRule>
    <cfRule type="containsBlanks" dxfId="13144" priority="8771">
      <formula>LEN(TRIM(P114))=0</formula>
    </cfRule>
    <cfRule type="containsBlanks" dxfId="13143" priority="8772">
      <formula>LEN(TRIM(P114))=0</formula>
    </cfRule>
    <cfRule type="containsBlanks" dxfId="13142" priority="8773">
      <formula>LEN(TRIM(P114))=0</formula>
    </cfRule>
    <cfRule type="containsBlanks" dxfId="13141" priority="8774">
      <formula>LEN(TRIM(P114))=0</formula>
    </cfRule>
    <cfRule type="containsBlanks" dxfId="13140" priority="8775">
      <formula>LEN(TRIM(P114))=0</formula>
    </cfRule>
    <cfRule type="containsBlanks" dxfId="13139" priority="8776">
      <formula>LEN(TRIM(P114))=0</formula>
    </cfRule>
    <cfRule type="containsBlanks" dxfId="13138" priority="8777">
      <formula>LEN(TRIM(P114))=0</formula>
    </cfRule>
    <cfRule type="containsBlanks" dxfId="13137" priority="8778">
      <formula>LEN(TRIM(P114))=0</formula>
    </cfRule>
    <cfRule type="containsBlanks" dxfId="13136" priority="8779">
      <formula>LEN(TRIM(P114))=0</formula>
    </cfRule>
    <cfRule type="containsBlanks" dxfId="13135" priority="8780">
      <formula>LEN(TRIM(P114))=0</formula>
    </cfRule>
    <cfRule type="containsBlanks" dxfId="13134" priority="8781">
      <formula>LEN(TRIM(P114))=0</formula>
    </cfRule>
    <cfRule type="containsBlanks" dxfId="13133" priority="8782">
      <formula>LEN(TRIM(P114))=0</formula>
    </cfRule>
    <cfRule type="containsBlanks" dxfId="13132" priority="8783">
      <formula>LEN(TRIM(P114))=0</formula>
    </cfRule>
    <cfRule type="containsBlanks" dxfId="13131" priority="8784">
      <formula>LEN(TRIM(P114))=0</formula>
    </cfRule>
    <cfRule type="containsBlanks" dxfId="13130" priority="8785">
      <formula>LEN(TRIM(P114))=0</formula>
    </cfRule>
    <cfRule type="containsBlanks" dxfId="13129" priority="8786">
      <formula>LEN(TRIM(P114))=0</formula>
    </cfRule>
    <cfRule type="containsBlanks" dxfId="13128" priority="8787">
      <formula>LEN(TRIM(P114))=0</formula>
    </cfRule>
    <cfRule type="containsBlanks" dxfId="13127" priority="8788">
      <formula>LEN(TRIM(P114))=0</formula>
    </cfRule>
    <cfRule type="containsBlanks" dxfId="13126" priority="8789">
      <formula>LEN(TRIM(P114))=0</formula>
    </cfRule>
    <cfRule type="containsBlanks" dxfId="13125" priority="8790">
      <formula>LEN(TRIM(P114))=0</formula>
    </cfRule>
    <cfRule type="containsBlanks" dxfId="13124" priority="8791">
      <formula>LEN(TRIM(P114))=0</formula>
    </cfRule>
    <cfRule type="containsBlanks" dxfId="13123" priority="8792">
      <formula>LEN(TRIM(P114))=0</formula>
    </cfRule>
    <cfRule type="containsBlanks" dxfId="13122" priority="8793">
      <formula>LEN(TRIM(P114))=0</formula>
    </cfRule>
    <cfRule type="containsBlanks" dxfId="13121" priority="8794">
      <formula>LEN(TRIM(P114))=0</formula>
    </cfRule>
    <cfRule type="containsBlanks" dxfId="13120" priority="8795">
      <formula>LEN(TRIM(P114))=0</formula>
    </cfRule>
    <cfRule type="containsBlanks" dxfId="13119" priority="8796">
      <formula>LEN(TRIM(P114))=0</formula>
    </cfRule>
    <cfRule type="containsBlanks" dxfId="13118" priority="8797">
      <formula>LEN(TRIM(P114))=0</formula>
    </cfRule>
    <cfRule type="containsBlanks" dxfId="13117" priority="8798">
      <formula>LEN(TRIM(P114))=0</formula>
    </cfRule>
    <cfRule type="containsBlanks" dxfId="13116" priority="8799">
      <formula>LEN(TRIM(P114))=0</formula>
    </cfRule>
    <cfRule type="containsBlanks" dxfId="13115" priority="8800">
      <formula>LEN(TRIM(P114))=0</formula>
    </cfRule>
    <cfRule type="containsBlanks" dxfId="13114" priority="8801">
      <formula>LEN(TRIM(P114))=0</formula>
    </cfRule>
    <cfRule type="containsBlanks" dxfId="13113" priority="8802">
      <formula>LEN(TRIM(P114))=0</formula>
    </cfRule>
    <cfRule type="containsBlanks" dxfId="13112" priority="8803">
      <formula>LEN(TRIM(P114))=0</formula>
    </cfRule>
    <cfRule type="containsBlanks" dxfId="13111" priority="8804">
      <formula>LEN(TRIM(P114))=0</formula>
    </cfRule>
    <cfRule type="containsBlanks" dxfId="13110" priority="8805">
      <formula>LEN(TRIM(P114))=0</formula>
    </cfRule>
    <cfRule type="containsBlanks" dxfId="13109" priority="8806">
      <formula>LEN(TRIM(P114))=0</formula>
    </cfRule>
    <cfRule type="containsBlanks" dxfId="13108" priority="8807">
      <formula>LEN(TRIM(P114))=0</formula>
    </cfRule>
    <cfRule type="containsBlanks" dxfId="13107" priority="8808">
      <formula>LEN(TRIM(P114))=0</formula>
    </cfRule>
    <cfRule type="containsBlanks" dxfId="13106" priority="8809">
      <formula>LEN(TRIM(P114))=0</formula>
    </cfRule>
    <cfRule type="containsBlanks" dxfId="13105" priority="8810">
      <formula>LEN(TRIM(P114))=0</formula>
    </cfRule>
    <cfRule type="containsBlanks" dxfId="13104" priority="8811">
      <formula>LEN(TRIM(P114))=0</formula>
    </cfRule>
    <cfRule type="containsBlanks" dxfId="13103" priority="8812">
      <formula>LEN(TRIM(P114))=0</formula>
    </cfRule>
    <cfRule type="containsBlanks" dxfId="13102" priority="8813">
      <formula>LEN(TRIM(P114))=0</formula>
    </cfRule>
    <cfRule type="containsBlanks" dxfId="13101" priority="8814">
      <formula>LEN(TRIM(P114))=0</formula>
    </cfRule>
    <cfRule type="containsBlanks" dxfId="13100" priority="8815">
      <formula>LEN(TRIM(P114))=0</formula>
    </cfRule>
    <cfRule type="containsBlanks" dxfId="13099" priority="8816">
      <formula>LEN(TRIM(P114))=0</formula>
    </cfRule>
    <cfRule type="containsBlanks" dxfId="13098" priority="8817">
      <formula>LEN(TRIM(P114))=0</formula>
    </cfRule>
    <cfRule type="containsBlanks" dxfId="13097" priority="8818">
      <formula>LEN(TRIM(P114))=0</formula>
    </cfRule>
    <cfRule type="containsBlanks" dxfId="13096" priority="8819">
      <formula>LEN(TRIM(P114))=0</formula>
    </cfRule>
    <cfRule type="containsBlanks" dxfId="13095" priority="8820">
      <formula>LEN(TRIM(P114))=0</formula>
    </cfRule>
    <cfRule type="containsBlanks" dxfId="13094" priority="8821">
      <formula>LEN(TRIM(P114))=0</formula>
    </cfRule>
    <cfRule type="containsBlanks" dxfId="13093" priority="8822">
      <formula>LEN(TRIM(P114))=0</formula>
    </cfRule>
    <cfRule type="containsBlanks" dxfId="13092" priority="8823">
      <formula>LEN(TRIM(P114))=0</formula>
    </cfRule>
    <cfRule type="containsBlanks" dxfId="13091" priority="8824">
      <formula>LEN(TRIM(P114))=0</formula>
    </cfRule>
  </conditionalFormatting>
  <conditionalFormatting sqref="P149">
    <cfRule type="containsBlanks" dxfId="13090" priority="8825">
      <formula>LEN(TRIM(P149))=0</formula>
    </cfRule>
    <cfRule type="containsBlanks" dxfId="13089" priority="8826">
      <formula>LEN(TRIM(P149))=0</formula>
    </cfRule>
    <cfRule type="containsBlanks" dxfId="13088" priority="8827">
      <formula>LEN(TRIM(P149))=0</formula>
    </cfRule>
    <cfRule type="containsBlanks" dxfId="13087" priority="8828">
      <formula>LEN(TRIM(P149))=0</formula>
    </cfRule>
    <cfRule type="containsBlanks" dxfId="13086" priority="8829">
      <formula>LEN(TRIM(P149))=0</formula>
    </cfRule>
    <cfRule type="containsBlanks" dxfId="13085" priority="8830">
      <formula>LEN(TRIM(P149))=0</formula>
    </cfRule>
    <cfRule type="containsBlanks" dxfId="13084" priority="8831">
      <formula>LEN(TRIM(P149))=0</formula>
    </cfRule>
    <cfRule type="containsBlanks" dxfId="13083" priority="8832">
      <formula>LEN(TRIM(P149))=0</formula>
    </cfRule>
    <cfRule type="containsBlanks" dxfId="13082" priority="8833">
      <formula>LEN(TRIM(P149))=0</formula>
    </cfRule>
    <cfRule type="containsBlanks" dxfId="13081" priority="8834">
      <formula>LEN(TRIM(P149))=0</formula>
    </cfRule>
    <cfRule type="containsBlanks" dxfId="13080" priority="8835">
      <formula>LEN(TRIM(P149))=0</formula>
    </cfRule>
    <cfRule type="containsBlanks" dxfId="13079" priority="8836">
      <formula>LEN(TRIM(P149))=0</formula>
    </cfRule>
    <cfRule type="containsBlanks" dxfId="13078" priority="8837">
      <formula>LEN(TRIM(P149))=0</formula>
    </cfRule>
    <cfRule type="containsBlanks" dxfId="13077" priority="8838">
      <formula>LEN(TRIM(P149))=0</formula>
    </cfRule>
    <cfRule type="containsBlanks" dxfId="13076" priority="8839">
      <formula>LEN(TRIM(P149))=0</formula>
    </cfRule>
    <cfRule type="containsBlanks" dxfId="13075" priority="8840">
      <formula>LEN(TRIM(P149))=0</formula>
    </cfRule>
    <cfRule type="containsBlanks" dxfId="13074" priority="8841">
      <formula>LEN(TRIM(P149))=0</formula>
    </cfRule>
    <cfRule type="containsBlanks" dxfId="13073" priority="8842">
      <formula>LEN(TRIM(P149))=0</formula>
    </cfRule>
    <cfRule type="containsBlanks" dxfId="13072" priority="8843">
      <formula>LEN(TRIM(P149))=0</formula>
    </cfRule>
    <cfRule type="containsBlanks" dxfId="13071" priority="8844">
      <formula>LEN(TRIM(P149))=0</formula>
    </cfRule>
    <cfRule type="containsBlanks" dxfId="13070" priority="8845">
      <formula>LEN(TRIM(P149))=0</formula>
    </cfRule>
    <cfRule type="containsBlanks" dxfId="13069" priority="8846">
      <formula>LEN(TRIM(P149))=0</formula>
    </cfRule>
    <cfRule type="containsBlanks" dxfId="13068" priority="8847">
      <formula>LEN(TRIM(P149))=0</formula>
    </cfRule>
    <cfRule type="containsBlanks" dxfId="13067" priority="8848">
      <formula>LEN(TRIM(P149))=0</formula>
    </cfRule>
    <cfRule type="containsBlanks" dxfId="13066" priority="8849">
      <formula>LEN(TRIM(P149))=0</formula>
    </cfRule>
    <cfRule type="containsBlanks" dxfId="13065" priority="8850">
      <formula>LEN(TRIM(P149))=0</formula>
    </cfRule>
    <cfRule type="containsBlanks" dxfId="13064" priority="8851">
      <formula>LEN(TRIM(P149))=0</formula>
    </cfRule>
    <cfRule type="containsBlanks" dxfId="13063" priority="8852">
      <formula>LEN(TRIM(P149))=0</formula>
    </cfRule>
    <cfRule type="containsBlanks" dxfId="13062" priority="8853">
      <formula>LEN(TRIM(P149))=0</formula>
    </cfRule>
    <cfRule type="containsBlanks" dxfId="13061" priority="8854">
      <formula>LEN(TRIM(P149))=0</formula>
    </cfRule>
    <cfRule type="containsBlanks" dxfId="13060" priority="8855">
      <formula>LEN(TRIM(P149))=0</formula>
    </cfRule>
    <cfRule type="containsBlanks" dxfId="13059" priority="8856">
      <formula>LEN(TRIM(P149))=0</formula>
    </cfRule>
    <cfRule type="containsBlanks" dxfId="13058" priority="8857">
      <formula>LEN(TRIM(P149))=0</formula>
    </cfRule>
    <cfRule type="containsBlanks" dxfId="13057" priority="8858">
      <formula>LEN(TRIM(P149))=0</formula>
    </cfRule>
    <cfRule type="containsBlanks" dxfId="13056" priority="8859">
      <formula>LEN(TRIM(P149))=0</formula>
    </cfRule>
    <cfRule type="containsBlanks" dxfId="13055" priority="8860">
      <formula>LEN(TRIM(P149))=0</formula>
    </cfRule>
    <cfRule type="containsBlanks" dxfId="13054" priority="8861">
      <formula>LEN(TRIM(P149))=0</formula>
    </cfRule>
    <cfRule type="containsBlanks" dxfId="13053" priority="8862">
      <formula>LEN(TRIM(P149))=0</formula>
    </cfRule>
    <cfRule type="containsBlanks" dxfId="13052" priority="8863">
      <formula>LEN(TRIM(P149))=0</formula>
    </cfRule>
    <cfRule type="containsBlanks" dxfId="13051" priority="8864">
      <formula>LEN(TRIM(P149))=0</formula>
    </cfRule>
    <cfRule type="containsBlanks" dxfId="13050" priority="8865">
      <formula>LEN(TRIM(P149))=0</formula>
    </cfRule>
    <cfRule type="containsBlanks" dxfId="13049" priority="8866">
      <formula>LEN(TRIM(P149))=0</formula>
    </cfRule>
    <cfRule type="containsBlanks" dxfId="13048" priority="8867">
      <formula>LEN(TRIM(P149))=0</formula>
    </cfRule>
    <cfRule type="containsBlanks" dxfId="13047" priority="8868">
      <formula>LEN(TRIM(P149))=0</formula>
    </cfRule>
    <cfRule type="containsBlanks" dxfId="13046" priority="8869">
      <formula>LEN(TRIM(P149))=0</formula>
    </cfRule>
    <cfRule type="containsBlanks" dxfId="13045" priority="8870">
      <formula>LEN(TRIM(P149))=0</formula>
    </cfRule>
    <cfRule type="containsBlanks" dxfId="13044" priority="8871">
      <formula>LEN(TRIM(P149))=0</formula>
    </cfRule>
    <cfRule type="containsBlanks" dxfId="13043" priority="8872">
      <formula>LEN(TRIM(P149))=0</formula>
    </cfRule>
    <cfRule type="containsBlanks" dxfId="13042" priority="8873">
      <formula>LEN(TRIM(P149))=0</formula>
    </cfRule>
    <cfRule type="containsBlanks" dxfId="13041" priority="8874">
      <formula>LEN(TRIM(P149))=0</formula>
    </cfRule>
    <cfRule type="containsBlanks" dxfId="13040" priority="8875">
      <formula>LEN(TRIM(P149))=0</formula>
    </cfRule>
    <cfRule type="containsBlanks" dxfId="13039" priority="8876">
      <formula>LEN(TRIM(P149))=0</formula>
    </cfRule>
    <cfRule type="containsBlanks" dxfId="13038" priority="8877">
      <formula>LEN(TRIM(P149))=0</formula>
    </cfRule>
    <cfRule type="containsBlanks" dxfId="13037" priority="8878">
      <formula>LEN(TRIM(P149))=0</formula>
    </cfRule>
    <cfRule type="containsBlanks" dxfId="13036" priority="8879">
      <formula>LEN(TRIM(P149))=0</formula>
    </cfRule>
    <cfRule type="containsBlanks" dxfId="13035" priority="8880">
      <formula>LEN(TRIM(P149))=0</formula>
    </cfRule>
    <cfRule type="containsBlanks" dxfId="13034" priority="8881">
      <formula>LEN(TRIM(P149))=0</formula>
    </cfRule>
    <cfRule type="containsBlanks" dxfId="13033" priority="8882">
      <formula>LEN(TRIM(P149))=0</formula>
    </cfRule>
    <cfRule type="containsBlanks" dxfId="13032" priority="8883">
      <formula>LEN(TRIM(P149))=0</formula>
    </cfRule>
    <cfRule type="containsBlanks" dxfId="13031" priority="8884">
      <formula>LEN(TRIM(P149))=0</formula>
    </cfRule>
    <cfRule type="containsBlanks" dxfId="13030" priority="8885">
      <formula>LEN(TRIM(P149))=0</formula>
    </cfRule>
    <cfRule type="containsBlanks" dxfId="13029" priority="8886">
      <formula>LEN(TRIM(P149))=0</formula>
    </cfRule>
    <cfRule type="containsBlanks" dxfId="13028" priority="8887">
      <formula>LEN(TRIM(P149))=0</formula>
    </cfRule>
    <cfRule type="containsBlanks" dxfId="13027" priority="8888">
      <formula>LEN(TRIM(P149))=0</formula>
    </cfRule>
    <cfRule type="containsBlanks" dxfId="13026" priority="8889">
      <formula>LEN(TRIM(P149))=0</formula>
    </cfRule>
    <cfRule type="containsBlanks" dxfId="13025" priority="8890">
      <formula>LEN(TRIM(P149))=0</formula>
    </cfRule>
    <cfRule type="containsBlanks" dxfId="13024" priority="8891">
      <formula>LEN(TRIM(P149))=0</formula>
    </cfRule>
    <cfRule type="containsBlanks" dxfId="13023" priority="8892">
      <formula>LEN(TRIM(P149))=0</formula>
    </cfRule>
    <cfRule type="containsBlanks" dxfId="13022" priority="8893">
      <formula>LEN(TRIM(P149))=0</formula>
    </cfRule>
    <cfRule type="containsBlanks" dxfId="13021" priority="8894">
      <formula>LEN(TRIM(P149))=0</formula>
    </cfRule>
    <cfRule type="containsBlanks" dxfId="13020" priority="8895">
      <formula>LEN(TRIM(P149))=0</formula>
    </cfRule>
    <cfRule type="containsBlanks" dxfId="13019" priority="8896">
      <formula>LEN(TRIM(P149))=0</formula>
    </cfRule>
    <cfRule type="containsBlanks" dxfId="13018" priority="8897">
      <formula>LEN(TRIM(P149))=0</formula>
    </cfRule>
    <cfRule type="containsBlanks" dxfId="13017" priority="8898">
      <formula>LEN(TRIM(P149))=0</formula>
    </cfRule>
    <cfRule type="containsBlanks" dxfId="13016" priority="8899">
      <formula>LEN(TRIM(P149))=0</formula>
    </cfRule>
    <cfRule type="containsBlanks" dxfId="13015" priority="8900">
      <formula>LEN(TRIM(P149))=0</formula>
    </cfRule>
    <cfRule type="containsBlanks" dxfId="13014" priority="8901">
      <formula>LEN(TRIM(P149))=0</formula>
    </cfRule>
    <cfRule type="containsBlanks" dxfId="13013" priority="8902">
      <formula>LEN(TRIM(P149))=0</formula>
    </cfRule>
    <cfRule type="containsBlanks" dxfId="13012" priority="8903">
      <formula>LEN(TRIM(P149))=0</formula>
    </cfRule>
    <cfRule type="containsBlanks" dxfId="13011" priority="8904">
      <formula>LEN(TRIM(P149))=0</formula>
    </cfRule>
    <cfRule type="containsBlanks" dxfId="13010" priority="8905">
      <formula>LEN(TRIM(P149))=0</formula>
    </cfRule>
    <cfRule type="containsBlanks" dxfId="13009" priority="8906">
      <formula>LEN(TRIM(P149))=0</formula>
    </cfRule>
    <cfRule type="containsBlanks" dxfId="13008" priority="8907">
      <formula>LEN(TRIM(P149))=0</formula>
    </cfRule>
    <cfRule type="containsBlanks" dxfId="13007" priority="8908">
      <formula>LEN(TRIM(P149))=0</formula>
    </cfRule>
    <cfRule type="containsBlanks" dxfId="13006" priority="8909">
      <formula>LEN(TRIM(P149))=0</formula>
    </cfRule>
    <cfRule type="containsBlanks" dxfId="13005" priority="8910">
      <formula>LEN(TRIM(P149))=0</formula>
    </cfRule>
    <cfRule type="containsBlanks" dxfId="13004" priority="8911">
      <formula>LEN(TRIM(P149))=0</formula>
    </cfRule>
    <cfRule type="containsBlanks" dxfId="13003" priority="8912">
      <formula>LEN(TRIM(P149))=0</formula>
    </cfRule>
    <cfRule type="containsBlanks" dxfId="13002" priority="8913">
      <formula>LEN(TRIM(P149))=0</formula>
    </cfRule>
    <cfRule type="containsBlanks" dxfId="13001" priority="8914">
      <formula>LEN(TRIM(P149))=0</formula>
    </cfRule>
    <cfRule type="containsBlanks" dxfId="13000" priority="8915">
      <formula>LEN(TRIM(P149))=0</formula>
    </cfRule>
    <cfRule type="containsBlanks" dxfId="12999" priority="8916">
      <formula>LEN(TRIM(P149))=0</formula>
    </cfRule>
    <cfRule type="containsBlanks" dxfId="12998" priority="8917">
      <formula>LEN(TRIM(P149))=0</formula>
    </cfRule>
    <cfRule type="containsBlanks" dxfId="12997" priority="8918">
      <formula>LEN(TRIM(P149))=0</formula>
    </cfRule>
    <cfRule type="containsBlanks" dxfId="12996" priority="8919">
      <formula>LEN(TRIM(P149))=0</formula>
    </cfRule>
    <cfRule type="containsBlanks" dxfId="12995" priority="8920">
      <formula>LEN(TRIM(P149))=0</formula>
    </cfRule>
    <cfRule type="containsBlanks" dxfId="12994" priority="8921">
      <formula>LEN(TRIM(P149))=0</formula>
    </cfRule>
    <cfRule type="containsBlanks" dxfId="12993" priority="8922">
      <formula>LEN(TRIM(P149))=0</formula>
    </cfRule>
    <cfRule type="containsBlanks" dxfId="12992" priority="8923">
      <formula>LEN(TRIM(P149))=0</formula>
    </cfRule>
    <cfRule type="containsBlanks" dxfId="12991" priority="8924">
      <formula>LEN(TRIM(P149))=0</formula>
    </cfRule>
    <cfRule type="containsBlanks" dxfId="12990" priority="8925">
      <formula>LEN(TRIM(P149))=0</formula>
    </cfRule>
    <cfRule type="containsBlanks" dxfId="12989" priority="8926">
      <formula>LEN(TRIM(P149))=0</formula>
    </cfRule>
    <cfRule type="containsBlanks" dxfId="12988" priority="8927">
      <formula>LEN(TRIM(P149))=0</formula>
    </cfRule>
    <cfRule type="containsBlanks" dxfId="12987" priority="8928">
      <formula>LEN(TRIM(P149))=0</formula>
    </cfRule>
    <cfRule type="containsBlanks" dxfId="12986" priority="8929">
      <formula>LEN(TRIM(P149))=0</formula>
    </cfRule>
    <cfRule type="containsBlanks" dxfId="12985" priority="8930">
      <formula>LEN(TRIM(P149))=0</formula>
    </cfRule>
    <cfRule type="containsBlanks" dxfId="12984" priority="8931">
      <formula>LEN(TRIM(P149))=0</formula>
    </cfRule>
    <cfRule type="containsBlanks" dxfId="12983" priority="8932">
      <formula>LEN(TRIM(P149))=0</formula>
    </cfRule>
    <cfRule type="containsBlanks" dxfId="12982" priority="8933">
      <formula>LEN(TRIM(P149))=0</formula>
    </cfRule>
    <cfRule type="containsBlanks" dxfId="12981" priority="8934">
      <formula>LEN(TRIM(P149))=0</formula>
    </cfRule>
    <cfRule type="containsBlanks" dxfId="12980" priority="8935">
      <formula>LEN(TRIM(P149))=0</formula>
    </cfRule>
    <cfRule type="containsBlanks" dxfId="12979" priority="8936">
      <formula>LEN(TRIM(P149))=0</formula>
    </cfRule>
    <cfRule type="containsBlanks" dxfId="12978" priority="8937">
      <formula>LEN(TRIM(P149))=0</formula>
    </cfRule>
    <cfRule type="containsBlanks" dxfId="12977" priority="8938">
      <formula>LEN(TRIM(P149))=0</formula>
    </cfRule>
    <cfRule type="containsBlanks" dxfId="12976" priority="8939">
      <formula>LEN(TRIM(P149))=0</formula>
    </cfRule>
    <cfRule type="containsBlanks" dxfId="12975" priority="8940">
      <formula>LEN(TRIM(P149))=0</formula>
    </cfRule>
    <cfRule type="containsBlanks" dxfId="12974" priority="8941">
      <formula>LEN(TRIM(P149))=0</formula>
    </cfRule>
    <cfRule type="containsBlanks" dxfId="12973" priority="8942">
      <formula>LEN(TRIM(P149))=0</formula>
    </cfRule>
    <cfRule type="containsBlanks" dxfId="12972" priority="8943">
      <formula>LEN(TRIM(P149))=0</formula>
    </cfRule>
    <cfRule type="containsBlanks" dxfId="12971" priority="8944">
      <formula>LEN(TRIM(P149))=0</formula>
    </cfRule>
    <cfRule type="containsBlanks" dxfId="12970" priority="8945">
      <formula>LEN(TRIM(P149))=0</formula>
    </cfRule>
    <cfRule type="containsBlanks" dxfId="12969" priority="8946">
      <formula>LEN(TRIM(P149))=0</formula>
    </cfRule>
    <cfRule type="containsBlanks" dxfId="12968" priority="8947">
      <formula>LEN(TRIM(P149))=0</formula>
    </cfRule>
    <cfRule type="containsBlanks" dxfId="12967" priority="8948">
      <formula>LEN(TRIM(P149))=0</formula>
    </cfRule>
    <cfRule type="containsBlanks" dxfId="12966" priority="8949">
      <formula>LEN(TRIM(P149))=0</formula>
    </cfRule>
    <cfRule type="containsBlanks" dxfId="12965" priority="8950">
      <formula>LEN(TRIM(P149))=0</formula>
    </cfRule>
    <cfRule type="containsBlanks" dxfId="12964" priority="8951">
      <formula>LEN(TRIM(P149))=0</formula>
    </cfRule>
    <cfRule type="containsBlanks" dxfId="12963" priority="8952">
      <formula>LEN(TRIM(P149))=0</formula>
    </cfRule>
    <cfRule type="containsBlanks" dxfId="12962" priority="8953">
      <formula>LEN(TRIM(P149))=0</formula>
    </cfRule>
    <cfRule type="containsBlanks" dxfId="12961" priority="8954">
      <formula>LEN(TRIM(P149))=0</formula>
    </cfRule>
    <cfRule type="containsBlanks" dxfId="12960" priority="8955">
      <formula>LEN(TRIM(P149))=0</formula>
    </cfRule>
    <cfRule type="containsBlanks" dxfId="12959" priority="8956">
      <formula>LEN(TRIM(P149))=0</formula>
    </cfRule>
    <cfRule type="containsBlanks" dxfId="12958" priority="8957">
      <formula>LEN(TRIM(P149))=0</formula>
    </cfRule>
    <cfRule type="containsBlanks" dxfId="12957" priority="8958">
      <formula>LEN(TRIM(P149))=0</formula>
    </cfRule>
    <cfRule type="containsBlanks" dxfId="12956" priority="8959">
      <formula>LEN(TRIM(P149))=0</formula>
    </cfRule>
    <cfRule type="containsBlanks" dxfId="12955" priority="8960">
      <formula>LEN(TRIM(P149))=0</formula>
    </cfRule>
    <cfRule type="containsBlanks" dxfId="12954" priority="8961">
      <formula>LEN(TRIM(P149))=0</formula>
    </cfRule>
    <cfRule type="containsBlanks" dxfId="12953" priority="8962">
      <formula>LEN(TRIM(P149))=0</formula>
    </cfRule>
    <cfRule type="containsBlanks" dxfId="12952" priority="8963">
      <formula>LEN(TRIM(P149))=0</formula>
    </cfRule>
    <cfRule type="containsBlanks" dxfId="12951" priority="8964">
      <formula>LEN(TRIM(P149))=0</formula>
    </cfRule>
    <cfRule type="containsBlanks" dxfId="12950" priority="8965">
      <formula>LEN(TRIM(P149))=0</formula>
    </cfRule>
    <cfRule type="containsBlanks" dxfId="12949" priority="8966">
      <formula>LEN(TRIM(P149))=0</formula>
    </cfRule>
    <cfRule type="containsBlanks" dxfId="12948" priority="8967">
      <formula>LEN(TRIM(P149))=0</formula>
    </cfRule>
    <cfRule type="containsBlanks" dxfId="12947" priority="8968">
      <formula>LEN(TRIM(P149))=0</formula>
    </cfRule>
    <cfRule type="containsBlanks" dxfId="12946" priority="8969">
      <formula>LEN(TRIM(P149))=0</formula>
    </cfRule>
    <cfRule type="containsBlanks" dxfId="12945" priority="8970">
      <formula>LEN(TRIM(P149))=0</formula>
    </cfRule>
    <cfRule type="containsBlanks" dxfId="12944" priority="8971">
      <formula>LEN(TRIM(P149))=0</formula>
    </cfRule>
    <cfRule type="containsBlanks" dxfId="12943" priority="8972">
      <formula>LEN(TRIM(P149))=0</formula>
    </cfRule>
    <cfRule type="containsBlanks" dxfId="12942" priority="8973">
      <formula>LEN(TRIM(P149))=0</formula>
    </cfRule>
    <cfRule type="containsBlanks" dxfId="12941" priority="8974">
      <formula>LEN(TRIM(P149))=0</formula>
    </cfRule>
    <cfRule type="containsBlanks" dxfId="12940" priority="8975">
      <formula>LEN(TRIM(P149))=0</formula>
    </cfRule>
    <cfRule type="containsBlanks" dxfId="12939" priority="8976">
      <formula>LEN(TRIM(P149))=0</formula>
    </cfRule>
    <cfRule type="containsBlanks" dxfId="12938" priority="8977">
      <formula>LEN(TRIM(P149))=0</formula>
    </cfRule>
    <cfRule type="containsBlanks" dxfId="12937" priority="8978">
      <formula>LEN(TRIM(P149))=0</formula>
    </cfRule>
    <cfRule type="containsBlanks" dxfId="12936" priority="8979">
      <formula>LEN(TRIM(P149))=0</formula>
    </cfRule>
    <cfRule type="containsBlanks" dxfId="12935" priority="8980">
      <formula>LEN(TRIM(P149))=0</formula>
    </cfRule>
    <cfRule type="containsBlanks" dxfId="12934" priority="8981">
      <formula>LEN(TRIM(P149))=0</formula>
    </cfRule>
    <cfRule type="containsBlanks" dxfId="12933" priority="8982">
      <formula>LEN(TRIM(P149))=0</formula>
    </cfRule>
    <cfRule type="containsBlanks" dxfId="12932" priority="8983">
      <formula>LEN(TRIM(P149))=0</formula>
    </cfRule>
    <cfRule type="containsBlanks" dxfId="12931" priority="8984">
      <formula>LEN(TRIM(P149))=0</formula>
    </cfRule>
    <cfRule type="containsBlanks" dxfId="12930" priority="8985">
      <formula>LEN(TRIM(P149))=0</formula>
    </cfRule>
    <cfRule type="containsBlanks" dxfId="12929" priority="8986">
      <formula>LEN(TRIM(P149))=0</formula>
    </cfRule>
    <cfRule type="containsBlanks" dxfId="12928" priority="8987">
      <formula>LEN(TRIM(P149))=0</formula>
    </cfRule>
    <cfRule type="containsBlanks" dxfId="12927" priority="8988">
      <formula>LEN(TRIM(P149))=0</formula>
    </cfRule>
    <cfRule type="containsBlanks" dxfId="12926" priority="8989">
      <formula>LEN(TRIM(P149))=0</formula>
    </cfRule>
    <cfRule type="containsBlanks" dxfId="12925" priority="8990">
      <formula>LEN(TRIM(P149))=0</formula>
    </cfRule>
    <cfRule type="containsBlanks" dxfId="12924" priority="8991">
      <formula>LEN(TRIM(P149))=0</formula>
    </cfRule>
    <cfRule type="containsBlanks" dxfId="12923" priority="8992">
      <formula>LEN(TRIM(P149))=0</formula>
    </cfRule>
    <cfRule type="containsBlanks" dxfId="12922" priority="8993">
      <formula>LEN(TRIM(P149))=0</formula>
    </cfRule>
    <cfRule type="containsBlanks" dxfId="12921" priority="8994">
      <formula>LEN(TRIM(P149))=0</formula>
    </cfRule>
    <cfRule type="containsBlanks" dxfId="12920" priority="8995">
      <formula>LEN(TRIM(P149))=0</formula>
    </cfRule>
    <cfRule type="containsBlanks" dxfId="12919" priority="8996">
      <formula>LEN(TRIM(P149))=0</formula>
    </cfRule>
    <cfRule type="containsBlanks" dxfId="12918" priority="8997">
      <formula>LEN(TRIM(P149))=0</formula>
    </cfRule>
    <cfRule type="containsBlanks" dxfId="12917" priority="8998">
      <formula>LEN(TRIM(P149))=0</formula>
    </cfRule>
    <cfRule type="containsBlanks" dxfId="12916" priority="8999">
      <formula>LEN(TRIM(P149))=0</formula>
    </cfRule>
    <cfRule type="containsBlanks" dxfId="12915" priority="9000">
      <formula>LEN(TRIM(P149))=0</formula>
    </cfRule>
    <cfRule type="containsBlanks" dxfId="12914" priority="9001">
      <formula>LEN(TRIM(P149))=0</formula>
    </cfRule>
    <cfRule type="containsBlanks" dxfId="12913" priority="9002">
      <formula>LEN(TRIM(P149))=0</formula>
    </cfRule>
    <cfRule type="containsBlanks" dxfId="12912" priority="9003">
      <formula>LEN(TRIM(P149))=0</formula>
    </cfRule>
    <cfRule type="containsBlanks" dxfId="12911" priority="9004">
      <formula>LEN(TRIM(P149))=0</formula>
    </cfRule>
    <cfRule type="containsBlanks" dxfId="12910" priority="9005">
      <formula>LEN(TRIM(P149))=0</formula>
    </cfRule>
    <cfRule type="containsBlanks" dxfId="12909" priority="9006">
      <formula>LEN(TRIM(P149))=0</formula>
    </cfRule>
    <cfRule type="containsBlanks" dxfId="12908" priority="9007">
      <formula>LEN(TRIM(P149))=0</formula>
    </cfRule>
    <cfRule type="containsBlanks" dxfId="12907" priority="9008">
      <formula>LEN(TRIM(P149))=0</formula>
    </cfRule>
    <cfRule type="containsBlanks" dxfId="12906" priority="9009">
      <formula>LEN(TRIM(P149))=0</formula>
    </cfRule>
    <cfRule type="containsBlanks" dxfId="12905" priority="9010">
      <formula>LEN(TRIM(P149))=0</formula>
    </cfRule>
    <cfRule type="containsBlanks" dxfId="12904" priority="9011">
      <formula>LEN(TRIM(P149))=0</formula>
    </cfRule>
    <cfRule type="containsBlanks" dxfId="12903" priority="9012">
      <formula>LEN(TRIM(P149))=0</formula>
    </cfRule>
    <cfRule type="containsBlanks" dxfId="12902" priority="9013">
      <formula>LEN(TRIM(P149))=0</formula>
    </cfRule>
    <cfRule type="containsBlanks" dxfId="12901" priority="9014">
      <formula>LEN(TRIM(P149))=0</formula>
    </cfRule>
    <cfRule type="containsBlanks" dxfId="12900" priority="9015">
      <formula>LEN(TRIM(P149))=0</formula>
    </cfRule>
    <cfRule type="containsBlanks" dxfId="12899" priority="9016">
      <formula>LEN(TRIM(P149))=0</formula>
    </cfRule>
    <cfRule type="containsBlanks" dxfId="12898" priority="9017">
      <formula>LEN(TRIM(P149))=0</formula>
    </cfRule>
    <cfRule type="containsBlanks" dxfId="12897" priority="9018">
      <formula>LEN(TRIM(P149))=0</formula>
    </cfRule>
    <cfRule type="containsBlanks" dxfId="12896" priority="9019">
      <formula>LEN(TRIM(P149))=0</formula>
    </cfRule>
    <cfRule type="containsBlanks" dxfId="12895" priority="9020">
      <formula>LEN(TRIM(P149))=0</formula>
    </cfRule>
    <cfRule type="containsBlanks" dxfId="12894" priority="9021">
      <formula>LEN(TRIM(P149))=0</formula>
    </cfRule>
    <cfRule type="containsBlanks" dxfId="12893" priority="9022">
      <formula>LEN(TRIM(P149))=0</formula>
    </cfRule>
    <cfRule type="containsBlanks" dxfId="12892" priority="9023">
      <formula>LEN(TRIM(P149))=0</formula>
    </cfRule>
    <cfRule type="containsBlanks" dxfId="12891" priority="9024">
      <formula>LEN(TRIM(P149))=0</formula>
    </cfRule>
    <cfRule type="containsBlanks" dxfId="12890" priority="9025">
      <formula>LEN(TRIM(P149))=0</formula>
    </cfRule>
    <cfRule type="containsBlanks" dxfId="12889" priority="9026">
      <formula>LEN(TRIM(P149))=0</formula>
    </cfRule>
    <cfRule type="containsBlanks" dxfId="12888" priority="9027">
      <formula>LEN(TRIM(P149))=0</formula>
    </cfRule>
    <cfRule type="containsBlanks" dxfId="12887" priority="9028">
      <formula>LEN(TRIM(P149))=0</formula>
    </cfRule>
    <cfRule type="containsBlanks" dxfId="12886" priority="9029">
      <formula>LEN(TRIM(P149))=0</formula>
    </cfRule>
    <cfRule type="containsBlanks" dxfId="12885" priority="9030">
      <formula>LEN(TRIM(P149))=0</formula>
    </cfRule>
    <cfRule type="containsBlanks" dxfId="12884" priority="9031">
      <formula>LEN(TRIM(P149))=0</formula>
    </cfRule>
    <cfRule type="containsBlanks" dxfId="12883" priority="9032">
      <formula>LEN(TRIM(P149))=0</formula>
    </cfRule>
    <cfRule type="containsBlanks" dxfId="12882" priority="9033">
      <formula>LEN(TRIM(P149))=0</formula>
    </cfRule>
    <cfRule type="containsBlanks" dxfId="12881" priority="9034">
      <formula>LEN(TRIM(P149))=0</formula>
    </cfRule>
    <cfRule type="containsBlanks" dxfId="12880" priority="9035">
      <formula>LEN(TRIM(P149))=0</formula>
    </cfRule>
    <cfRule type="containsBlanks" dxfId="12879" priority="9036">
      <formula>LEN(TRIM(P149))=0</formula>
    </cfRule>
    <cfRule type="containsBlanks" dxfId="12878" priority="9037">
      <formula>LEN(TRIM(P149))=0</formula>
    </cfRule>
    <cfRule type="containsBlanks" dxfId="12877" priority="9038">
      <formula>LEN(TRIM(P149))=0</formula>
    </cfRule>
    <cfRule type="containsBlanks" dxfId="12876" priority="9039">
      <formula>LEN(TRIM(P149))=0</formula>
    </cfRule>
    <cfRule type="containsBlanks" dxfId="12875" priority="9040">
      <formula>LEN(TRIM(P149))=0</formula>
    </cfRule>
    <cfRule type="containsBlanks" dxfId="12874" priority="9041">
      <formula>LEN(TRIM(P149))=0</formula>
    </cfRule>
    <cfRule type="containsBlanks" dxfId="12873" priority="9042">
      <formula>LEN(TRIM(P149))=0</formula>
    </cfRule>
    <cfRule type="containsBlanks" dxfId="12872" priority="9043">
      <formula>LEN(TRIM(P149))=0</formula>
    </cfRule>
    <cfRule type="containsBlanks" dxfId="12871" priority="9044">
      <formula>LEN(TRIM(P149))=0</formula>
    </cfRule>
    <cfRule type="containsBlanks" dxfId="12870" priority="9045">
      <formula>LEN(TRIM(P149))=0</formula>
    </cfRule>
    <cfRule type="containsBlanks" dxfId="12869" priority="9046">
      <formula>LEN(TRIM(P149))=0</formula>
    </cfRule>
    <cfRule type="containsBlanks" dxfId="12868" priority="9047">
      <formula>LEN(TRIM(P149))=0</formula>
    </cfRule>
    <cfRule type="containsBlanks" dxfId="12867" priority="9048">
      <formula>LEN(TRIM(P149))=0</formula>
    </cfRule>
    <cfRule type="containsBlanks" dxfId="12866" priority="9049">
      <formula>LEN(TRIM(P149))=0</formula>
    </cfRule>
    <cfRule type="containsBlanks" dxfId="12865" priority="9050">
      <formula>LEN(TRIM(P149))=0</formula>
    </cfRule>
    <cfRule type="containsBlanks" dxfId="12864" priority="9051">
      <formula>LEN(TRIM(P149))=0</formula>
    </cfRule>
    <cfRule type="containsBlanks" dxfId="12863" priority="9052">
      <formula>LEN(TRIM(P149))=0</formula>
    </cfRule>
    <cfRule type="containsBlanks" dxfId="12862" priority="9053">
      <formula>LEN(TRIM(P149))=0</formula>
    </cfRule>
    <cfRule type="containsBlanks" dxfId="12861" priority="9054">
      <formula>LEN(TRIM(P149))=0</formula>
    </cfRule>
    <cfRule type="containsBlanks" dxfId="12860" priority="9055">
      <formula>LEN(TRIM(P149))=0</formula>
    </cfRule>
    <cfRule type="containsBlanks" dxfId="12859" priority="9056">
      <formula>LEN(TRIM(P149))=0</formula>
    </cfRule>
    <cfRule type="containsBlanks" dxfId="12858" priority="9057">
      <formula>LEN(TRIM(P149))=0</formula>
    </cfRule>
    <cfRule type="containsBlanks" dxfId="12857" priority="9058">
      <formula>LEN(TRIM(P149))=0</formula>
    </cfRule>
    <cfRule type="containsBlanks" dxfId="12856" priority="9059">
      <formula>LEN(TRIM(P149))=0</formula>
    </cfRule>
    <cfRule type="containsBlanks" dxfId="12855" priority="9060">
      <formula>LEN(TRIM(P149))=0</formula>
    </cfRule>
    <cfRule type="containsBlanks" dxfId="12854" priority="9061">
      <formula>LEN(TRIM(P149))=0</formula>
    </cfRule>
    <cfRule type="containsBlanks" dxfId="12853" priority="9062">
      <formula>LEN(TRIM(P149))=0</formula>
    </cfRule>
    <cfRule type="containsBlanks" dxfId="12852" priority="9063">
      <formula>LEN(TRIM(P149))=0</formula>
    </cfRule>
    <cfRule type="containsBlanks" dxfId="12851" priority="9064">
      <formula>LEN(TRIM(P149))=0</formula>
    </cfRule>
    <cfRule type="containsBlanks" dxfId="12850" priority="9065">
      <formula>LEN(TRIM(P149))=0</formula>
    </cfRule>
    <cfRule type="containsBlanks" dxfId="12849" priority="9066">
      <formula>LEN(TRIM(P149))=0</formula>
    </cfRule>
    <cfRule type="containsBlanks" dxfId="12848" priority="9067">
      <formula>LEN(TRIM(P149))=0</formula>
    </cfRule>
    <cfRule type="containsBlanks" dxfId="12847" priority="9068">
      <formula>LEN(TRIM(P149))=0</formula>
    </cfRule>
    <cfRule type="containsBlanks" dxfId="12846" priority="9069">
      <formula>LEN(TRIM(P149))=0</formula>
    </cfRule>
    <cfRule type="containsBlanks" dxfId="12845" priority="9070">
      <formula>LEN(TRIM(P149))=0</formula>
    </cfRule>
    <cfRule type="containsBlanks" dxfId="12844" priority="9071">
      <formula>LEN(TRIM(P149))=0</formula>
    </cfRule>
    <cfRule type="containsBlanks" dxfId="12843" priority="9072">
      <formula>LEN(TRIM(P149))=0</formula>
    </cfRule>
    <cfRule type="containsBlanks" dxfId="12842" priority="9073">
      <formula>LEN(TRIM(P149))=0</formula>
    </cfRule>
    <cfRule type="containsBlanks" dxfId="12841" priority="9074">
      <formula>LEN(TRIM(P149))=0</formula>
    </cfRule>
    <cfRule type="containsBlanks" dxfId="12840" priority="9075">
      <formula>LEN(TRIM(P149))=0</formula>
    </cfRule>
    <cfRule type="containsBlanks" dxfId="12839" priority="9076">
      <formula>LEN(TRIM(P149))=0</formula>
    </cfRule>
    <cfRule type="containsBlanks" dxfId="12838" priority="9077">
      <formula>LEN(TRIM(P149))=0</formula>
    </cfRule>
    <cfRule type="containsBlanks" dxfId="12837" priority="9078">
      <formula>LEN(TRIM(P149))=0</formula>
    </cfRule>
    <cfRule type="containsBlanks" dxfId="12836" priority="9079">
      <formula>LEN(TRIM(P149))=0</formula>
    </cfRule>
    <cfRule type="containsBlanks" dxfId="12835" priority="9080">
      <formula>LEN(TRIM(P149))=0</formula>
    </cfRule>
    <cfRule type="containsBlanks" dxfId="12834" priority="9081">
      <formula>LEN(TRIM(P149))=0</formula>
    </cfRule>
    <cfRule type="containsBlanks" dxfId="12833" priority="9082">
      <formula>LEN(TRIM(P149))=0</formula>
    </cfRule>
    <cfRule type="containsBlanks" dxfId="12832" priority="9083">
      <formula>LEN(TRIM(P149))=0</formula>
    </cfRule>
    <cfRule type="containsBlanks" dxfId="12831" priority="9084">
      <formula>LEN(TRIM(P149))=0</formula>
    </cfRule>
    <cfRule type="containsBlanks" dxfId="12830" priority="9085">
      <formula>LEN(TRIM(P149))=0</formula>
    </cfRule>
    <cfRule type="containsBlanks" dxfId="12829" priority="9086">
      <formula>LEN(TRIM(P149))=0</formula>
    </cfRule>
    <cfRule type="containsBlanks" dxfId="12828" priority="9087">
      <formula>LEN(TRIM(P149))=0</formula>
    </cfRule>
    <cfRule type="containsBlanks" dxfId="12827" priority="9088">
      <formula>LEN(TRIM(P149))=0</formula>
    </cfRule>
    <cfRule type="containsBlanks" dxfId="12826" priority="9089">
      <formula>LEN(TRIM(P149))=0</formula>
    </cfRule>
    <cfRule type="containsBlanks" dxfId="12825" priority="9090">
      <formula>LEN(TRIM(P149))=0</formula>
    </cfRule>
    <cfRule type="containsBlanks" dxfId="12824" priority="9091">
      <formula>LEN(TRIM(P149))=0</formula>
    </cfRule>
    <cfRule type="containsBlanks" dxfId="12823" priority="9092">
      <formula>LEN(TRIM(P149))=0</formula>
    </cfRule>
    <cfRule type="containsBlanks" dxfId="12822" priority="9093">
      <formula>LEN(TRIM(P149))=0</formula>
    </cfRule>
    <cfRule type="containsBlanks" dxfId="12821" priority="9094">
      <formula>LEN(TRIM(P149))=0</formula>
    </cfRule>
    <cfRule type="containsBlanks" dxfId="12820" priority="9095">
      <formula>LEN(TRIM(P149))=0</formula>
    </cfRule>
    <cfRule type="containsBlanks" dxfId="12819" priority="9096">
      <formula>LEN(TRIM(P149))=0</formula>
    </cfRule>
    <cfRule type="containsBlanks" dxfId="12818" priority="9097">
      <formula>LEN(TRIM(P149))=0</formula>
    </cfRule>
    <cfRule type="containsBlanks" dxfId="12817" priority="9098">
      <formula>LEN(TRIM(P149))=0</formula>
    </cfRule>
    <cfRule type="containsBlanks" dxfId="12816" priority="9099">
      <formula>LEN(TRIM(P149))=0</formula>
    </cfRule>
    <cfRule type="containsBlanks" dxfId="12815" priority="9100">
      <formula>LEN(TRIM(P149))=0</formula>
    </cfRule>
    <cfRule type="containsBlanks" dxfId="12814" priority="9101">
      <formula>LEN(TRIM(P149))=0</formula>
    </cfRule>
    <cfRule type="containsBlanks" dxfId="12813" priority="9102">
      <formula>LEN(TRIM(P149))=0</formula>
    </cfRule>
    <cfRule type="containsBlanks" dxfId="12812" priority="9103">
      <formula>LEN(TRIM(P149))=0</formula>
    </cfRule>
    <cfRule type="containsBlanks" dxfId="12811" priority="9104">
      <formula>LEN(TRIM(P149))=0</formula>
    </cfRule>
    <cfRule type="containsBlanks" dxfId="12810" priority="9105">
      <formula>LEN(TRIM(P149))=0</formula>
    </cfRule>
    <cfRule type="containsBlanks" dxfId="12809" priority="9106">
      <formula>LEN(TRIM(P149))=0</formula>
    </cfRule>
    <cfRule type="containsBlanks" dxfId="12808" priority="9107">
      <formula>LEN(TRIM(P149))=0</formula>
    </cfRule>
    <cfRule type="containsBlanks" dxfId="12807" priority="9108">
      <formula>LEN(TRIM(P149))=0</formula>
    </cfRule>
    <cfRule type="containsBlanks" dxfId="12806" priority="9109">
      <formula>LEN(TRIM(P149))=0</formula>
    </cfRule>
    <cfRule type="containsBlanks" dxfId="12805" priority="9110">
      <formula>LEN(TRIM(P149))=0</formula>
    </cfRule>
    <cfRule type="containsBlanks" dxfId="12804" priority="9111">
      <formula>LEN(TRIM(P149))=0</formula>
    </cfRule>
    <cfRule type="containsBlanks" dxfId="12803" priority="9112">
      <formula>LEN(TRIM(P149))=0</formula>
    </cfRule>
    <cfRule type="containsBlanks" dxfId="12802" priority="9113">
      <formula>LEN(TRIM(P149))=0</formula>
    </cfRule>
    <cfRule type="containsBlanks" dxfId="12801" priority="9114">
      <formula>LEN(TRIM(P149))=0</formula>
    </cfRule>
    <cfRule type="containsBlanks" dxfId="12800" priority="9115">
      <formula>LEN(TRIM(P149))=0</formula>
    </cfRule>
    <cfRule type="containsBlanks" dxfId="12799" priority="9116">
      <formula>LEN(TRIM(P149))=0</formula>
    </cfRule>
    <cfRule type="containsBlanks" dxfId="12798" priority="9117">
      <formula>LEN(TRIM(P149))=0</formula>
    </cfRule>
    <cfRule type="containsBlanks" dxfId="12797" priority="9118">
      <formula>LEN(TRIM(P149))=0</formula>
    </cfRule>
    <cfRule type="containsBlanks" dxfId="12796" priority="9119">
      <formula>LEN(TRIM(P149))=0</formula>
    </cfRule>
    <cfRule type="containsBlanks" dxfId="12795" priority="9120">
      <formula>LEN(TRIM(P149))=0</formula>
    </cfRule>
    <cfRule type="containsBlanks" dxfId="12794" priority="9121">
      <formula>LEN(TRIM(P149))=0</formula>
    </cfRule>
    <cfRule type="containsBlanks" dxfId="12793" priority="9122">
      <formula>LEN(TRIM(P149))=0</formula>
    </cfRule>
    <cfRule type="containsBlanks" dxfId="12792" priority="9123">
      <formula>LEN(TRIM(P149))=0</formula>
    </cfRule>
    <cfRule type="containsBlanks" dxfId="12791" priority="9124">
      <formula>LEN(TRIM(P149))=0</formula>
    </cfRule>
    <cfRule type="containsBlanks" dxfId="12790" priority="9125">
      <formula>LEN(TRIM(P149))=0</formula>
    </cfRule>
    <cfRule type="containsBlanks" dxfId="12789" priority="9126">
      <formula>LEN(TRIM(P149))=0</formula>
    </cfRule>
    <cfRule type="containsBlanks" dxfId="12788" priority="9127">
      <formula>LEN(TRIM(P149))=0</formula>
    </cfRule>
    <cfRule type="containsBlanks" dxfId="12787" priority="9128">
      <formula>LEN(TRIM(P149))=0</formula>
    </cfRule>
    <cfRule type="containsBlanks" dxfId="12786" priority="9129">
      <formula>LEN(TRIM(P149))=0</formula>
    </cfRule>
    <cfRule type="containsBlanks" dxfId="12785" priority="9130">
      <formula>LEN(TRIM(P149))=0</formula>
    </cfRule>
    <cfRule type="containsBlanks" dxfId="12784" priority="9131">
      <formula>LEN(TRIM(P149))=0</formula>
    </cfRule>
    <cfRule type="containsBlanks" dxfId="12783" priority="9132">
      <formula>LEN(TRIM(P149))=0</formula>
    </cfRule>
    <cfRule type="containsBlanks" dxfId="12782" priority="9133">
      <formula>LEN(TRIM(P149))=0</formula>
    </cfRule>
    <cfRule type="containsBlanks" dxfId="12781" priority="9134">
      <formula>LEN(TRIM(P149))=0</formula>
    </cfRule>
    <cfRule type="containsBlanks" dxfId="12780" priority="9135">
      <formula>LEN(TRIM(P149))=0</formula>
    </cfRule>
    <cfRule type="containsBlanks" dxfId="12779" priority="9136">
      <formula>LEN(TRIM(P149))=0</formula>
    </cfRule>
    <cfRule type="containsBlanks" dxfId="12778" priority="9137">
      <formula>LEN(TRIM(P149))=0</formula>
    </cfRule>
    <cfRule type="containsBlanks" dxfId="12777" priority="9138">
      <formula>LEN(TRIM(P149))=0</formula>
    </cfRule>
    <cfRule type="containsBlanks" dxfId="12776" priority="9139">
      <formula>LEN(TRIM(P149))=0</formula>
    </cfRule>
    <cfRule type="containsBlanks" dxfId="12775" priority="9140">
      <formula>LEN(TRIM(P149))=0</formula>
    </cfRule>
    <cfRule type="containsBlanks" dxfId="12774" priority="9141">
      <formula>LEN(TRIM(P149))=0</formula>
    </cfRule>
    <cfRule type="containsBlanks" dxfId="12773" priority="9142">
      <formula>LEN(TRIM(P149))=0</formula>
    </cfRule>
    <cfRule type="containsBlanks" dxfId="12772" priority="9143">
      <formula>LEN(TRIM(P149))=0</formula>
    </cfRule>
    <cfRule type="containsBlanks" dxfId="12771" priority="9144">
      <formula>LEN(TRIM(P149))=0</formula>
    </cfRule>
    <cfRule type="containsBlanks" dxfId="12770" priority="9145">
      <formula>LEN(TRIM(P149))=0</formula>
    </cfRule>
    <cfRule type="containsBlanks" dxfId="12769" priority="9146">
      <formula>LEN(TRIM(P149))=0</formula>
    </cfRule>
    <cfRule type="containsBlanks" dxfId="12768" priority="9147">
      <formula>LEN(TRIM(P149))=0</formula>
    </cfRule>
    <cfRule type="containsBlanks" dxfId="12767" priority="9148">
      <formula>LEN(TRIM(P149))=0</formula>
    </cfRule>
    <cfRule type="containsBlanks" dxfId="12766" priority="9149">
      <formula>LEN(TRIM(P149))=0</formula>
    </cfRule>
    <cfRule type="containsBlanks" dxfId="12765" priority="9150">
      <formula>LEN(TRIM(P149))=0</formula>
    </cfRule>
    <cfRule type="containsBlanks" dxfId="12764" priority="9151">
      <formula>LEN(TRIM(P149))=0</formula>
    </cfRule>
    <cfRule type="containsBlanks" dxfId="12763" priority="9152">
      <formula>LEN(TRIM(P149))=0</formula>
    </cfRule>
    <cfRule type="containsBlanks" dxfId="12762" priority="9153">
      <formula>LEN(TRIM(P149))=0</formula>
    </cfRule>
    <cfRule type="containsBlanks" dxfId="12761" priority="9154">
      <formula>LEN(TRIM(P149))=0</formula>
    </cfRule>
    <cfRule type="containsBlanks" dxfId="12760" priority="9155">
      <formula>LEN(TRIM(P149))=0</formula>
    </cfRule>
    <cfRule type="containsBlanks" dxfId="12759" priority="9156">
      <formula>LEN(TRIM(P149))=0</formula>
    </cfRule>
    <cfRule type="containsBlanks" dxfId="12758" priority="9157">
      <formula>LEN(TRIM(P149))=0</formula>
    </cfRule>
    <cfRule type="containsBlanks" dxfId="12757" priority="9158">
      <formula>LEN(TRIM(P149))=0</formula>
    </cfRule>
    <cfRule type="containsBlanks" dxfId="12756" priority="9159">
      <formula>LEN(TRIM(P149))=0</formula>
    </cfRule>
    <cfRule type="containsBlanks" dxfId="12755" priority="9160">
      <formula>LEN(TRIM(P149))=0</formula>
    </cfRule>
    <cfRule type="containsBlanks" dxfId="12754" priority="9161">
      <formula>LEN(TRIM(P149))=0</formula>
    </cfRule>
    <cfRule type="containsBlanks" dxfId="12753" priority="9162">
      <formula>LEN(TRIM(P149))=0</formula>
    </cfRule>
    <cfRule type="containsBlanks" dxfId="12752" priority="9163">
      <formula>LEN(TRIM(P149))=0</formula>
    </cfRule>
    <cfRule type="containsBlanks" dxfId="12751" priority="9164">
      <formula>LEN(TRIM(P149))=0</formula>
    </cfRule>
    <cfRule type="containsBlanks" dxfId="12750" priority="9165">
      <formula>LEN(TRIM(P149))=0</formula>
    </cfRule>
    <cfRule type="containsBlanks" dxfId="12749" priority="9166">
      <formula>LEN(TRIM(P149))=0</formula>
    </cfRule>
    <cfRule type="containsBlanks" dxfId="12748" priority="9167">
      <formula>LEN(TRIM(P149))=0</formula>
    </cfRule>
    <cfRule type="containsBlanks" dxfId="12747" priority="9168">
      <formula>LEN(TRIM(P149))=0</formula>
    </cfRule>
    <cfRule type="containsBlanks" dxfId="12746" priority="9169">
      <formula>LEN(TRIM(P149))=0</formula>
    </cfRule>
    <cfRule type="containsBlanks" dxfId="12745" priority="9170">
      <formula>LEN(TRIM(P149))=0</formula>
    </cfRule>
    <cfRule type="containsBlanks" dxfId="12744" priority="9171">
      <formula>LEN(TRIM(P149))=0</formula>
    </cfRule>
    <cfRule type="containsBlanks" dxfId="12743" priority="9172">
      <formula>LEN(TRIM(P149))=0</formula>
    </cfRule>
    <cfRule type="containsBlanks" dxfId="12742" priority="9173">
      <formula>LEN(TRIM(P149))=0</formula>
    </cfRule>
    <cfRule type="containsBlanks" dxfId="12741" priority="9174">
      <formula>LEN(TRIM(P149))=0</formula>
    </cfRule>
    <cfRule type="containsBlanks" dxfId="12740" priority="9175">
      <formula>LEN(TRIM(P149))=0</formula>
    </cfRule>
    <cfRule type="containsBlanks" dxfId="12739" priority="9176">
      <formula>LEN(TRIM(P149))=0</formula>
    </cfRule>
    <cfRule type="containsBlanks" dxfId="12738" priority="9177">
      <formula>LEN(TRIM(P149))=0</formula>
    </cfRule>
    <cfRule type="containsBlanks" dxfId="12737" priority="9178">
      <formula>LEN(TRIM(P149))=0</formula>
    </cfRule>
    <cfRule type="containsBlanks" dxfId="12736" priority="9179">
      <formula>LEN(TRIM(P149))=0</formula>
    </cfRule>
    <cfRule type="containsBlanks" dxfId="12735" priority="9180">
      <formula>LEN(TRIM(P149))=0</formula>
    </cfRule>
    <cfRule type="containsBlanks" dxfId="12734" priority="9181">
      <formula>LEN(TRIM(P149))=0</formula>
    </cfRule>
    <cfRule type="containsBlanks" dxfId="12733" priority="9182">
      <formula>LEN(TRIM(P149))=0</formula>
    </cfRule>
    <cfRule type="containsBlanks" dxfId="12732" priority="9183">
      <formula>LEN(TRIM(P149))=0</formula>
    </cfRule>
    <cfRule type="containsBlanks" dxfId="12731" priority="9184">
      <formula>LEN(TRIM(P149))=0</formula>
    </cfRule>
    <cfRule type="containsBlanks" dxfId="12730" priority="9185">
      <formula>LEN(TRIM(P149))=0</formula>
    </cfRule>
    <cfRule type="containsBlanks" dxfId="12729" priority="9186">
      <formula>LEN(TRIM(P149))=0</formula>
    </cfRule>
    <cfRule type="containsBlanks" dxfId="12728" priority="9187">
      <formula>LEN(TRIM(P149))=0</formula>
    </cfRule>
    <cfRule type="containsBlanks" dxfId="12727" priority="9188">
      <formula>LEN(TRIM(P149))=0</formula>
    </cfRule>
    <cfRule type="containsBlanks" dxfId="12726" priority="9189">
      <formula>LEN(TRIM(P149))=0</formula>
    </cfRule>
    <cfRule type="containsBlanks" dxfId="12725" priority="9190">
      <formula>LEN(TRIM(P149))=0</formula>
    </cfRule>
    <cfRule type="containsBlanks" dxfId="12724" priority="9191">
      <formula>LEN(TRIM(P149))=0</formula>
    </cfRule>
    <cfRule type="containsBlanks" dxfId="12723" priority="9192">
      <formula>LEN(TRIM(P149))=0</formula>
    </cfRule>
    <cfRule type="containsBlanks" dxfId="12722" priority="9193">
      <formula>LEN(TRIM(P149))=0</formula>
    </cfRule>
    <cfRule type="containsBlanks" dxfId="12721" priority="9194">
      <formula>LEN(TRIM(P149))=0</formula>
    </cfRule>
    <cfRule type="containsBlanks" dxfId="12720" priority="9195">
      <formula>LEN(TRIM(P149))=0</formula>
    </cfRule>
    <cfRule type="containsBlanks" dxfId="12719" priority="9196">
      <formula>LEN(TRIM(P149))=0</formula>
    </cfRule>
    <cfRule type="containsBlanks" dxfId="12718" priority="9197">
      <formula>LEN(TRIM(P149))=0</formula>
    </cfRule>
    <cfRule type="containsBlanks" dxfId="12717" priority="9198">
      <formula>LEN(TRIM(P149))=0</formula>
    </cfRule>
    <cfRule type="containsBlanks" dxfId="12716" priority="9199">
      <formula>LEN(TRIM(P149))=0</formula>
    </cfRule>
    <cfRule type="containsBlanks" dxfId="12715" priority="9200">
      <formula>LEN(TRIM(P149))=0</formula>
    </cfRule>
    <cfRule type="containsBlanks" dxfId="12714" priority="9201">
      <formula>LEN(TRIM(P149))=0</formula>
    </cfRule>
    <cfRule type="containsBlanks" dxfId="12713" priority="9202">
      <formula>LEN(TRIM(P149))=0</formula>
    </cfRule>
    <cfRule type="containsBlanks" dxfId="12712" priority="9203">
      <formula>LEN(TRIM(P149))=0</formula>
    </cfRule>
    <cfRule type="containsBlanks" dxfId="12711" priority="9204">
      <formula>LEN(TRIM(P149))=0</formula>
    </cfRule>
    <cfRule type="containsBlanks" dxfId="12710" priority="9205">
      <formula>LEN(TRIM(P149))=0</formula>
    </cfRule>
    <cfRule type="containsBlanks" dxfId="12709" priority="9206">
      <formula>LEN(TRIM(P149))=0</formula>
    </cfRule>
    <cfRule type="containsBlanks" dxfId="12708" priority="9207">
      <formula>LEN(TRIM(P149))=0</formula>
    </cfRule>
    <cfRule type="containsBlanks" dxfId="12707" priority="9208">
      <formula>LEN(TRIM(P149))=0</formula>
    </cfRule>
    <cfRule type="containsBlanks" dxfId="12706" priority="9209">
      <formula>LEN(TRIM(P149))=0</formula>
    </cfRule>
    <cfRule type="containsBlanks" dxfId="12705" priority="9210">
      <formula>LEN(TRIM(P149))=0</formula>
    </cfRule>
    <cfRule type="containsBlanks" dxfId="12704" priority="9211">
      <formula>LEN(TRIM(P149))=0</formula>
    </cfRule>
    <cfRule type="containsBlanks" dxfId="12703" priority="9212">
      <formula>LEN(TRIM(P149))=0</formula>
    </cfRule>
    <cfRule type="containsBlanks" dxfId="12702" priority="9213">
      <formula>LEN(TRIM(P149))=0</formula>
    </cfRule>
    <cfRule type="containsBlanks" dxfId="12701" priority="9214">
      <formula>LEN(TRIM(P149))=0</formula>
    </cfRule>
    <cfRule type="containsBlanks" dxfId="12700" priority="9215">
      <formula>LEN(TRIM(P149))=0</formula>
    </cfRule>
    <cfRule type="containsBlanks" dxfId="12699" priority="9216">
      <formula>LEN(TRIM(P149))=0</formula>
    </cfRule>
    <cfRule type="containsBlanks" dxfId="12698" priority="9217">
      <formula>LEN(TRIM(P149))=0</formula>
    </cfRule>
    <cfRule type="containsBlanks" dxfId="12697" priority="9218">
      <formula>LEN(TRIM(P149))=0</formula>
    </cfRule>
    <cfRule type="containsBlanks" dxfId="12696" priority="9219">
      <formula>LEN(TRIM(P149))=0</formula>
    </cfRule>
    <cfRule type="containsBlanks" dxfId="12695" priority="9220">
      <formula>LEN(TRIM(P149))=0</formula>
    </cfRule>
    <cfRule type="containsBlanks" dxfId="12694" priority="9221">
      <formula>LEN(TRIM(P149))=0</formula>
    </cfRule>
    <cfRule type="containsBlanks" dxfId="12693" priority="9222">
      <formula>LEN(TRIM(P149))=0</formula>
    </cfRule>
    <cfRule type="containsBlanks" dxfId="12692" priority="9223">
      <formula>LEN(TRIM(P149))=0</formula>
    </cfRule>
    <cfRule type="containsBlanks" dxfId="12691" priority="9224">
      <formula>LEN(TRIM(P149))=0</formula>
    </cfRule>
    <cfRule type="containsBlanks" dxfId="12690" priority="9225">
      <formula>LEN(TRIM(P149))=0</formula>
    </cfRule>
    <cfRule type="containsBlanks" dxfId="12689" priority="9226">
      <formula>LEN(TRIM(P149))=0</formula>
    </cfRule>
    <cfRule type="containsBlanks" dxfId="12688" priority="9227">
      <formula>LEN(TRIM(P149))=0</formula>
    </cfRule>
    <cfRule type="containsBlanks" dxfId="12687" priority="9228">
      <formula>LEN(TRIM(P149))=0</formula>
    </cfRule>
    <cfRule type="containsBlanks" dxfId="12686" priority="9229">
      <formula>LEN(TRIM(P149))=0</formula>
    </cfRule>
    <cfRule type="containsBlanks" dxfId="12685" priority="9230">
      <formula>LEN(TRIM(P149))=0</formula>
    </cfRule>
    <cfRule type="containsBlanks" dxfId="12684" priority="9231">
      <formula>LEN(TRIM(P149))=0</formula>
    </cfRule>
    <cfRule type="containsBlanks" dxfId="12683" priority="9232">
      <formula>LEN(TRIM(P149))=0</formula>
    </cfRule>
    <cfRule type="containsBlanks" dxfId="12682" priority="9233">
      <formula>LEN(TRIM(P149))=0</formula>
    </cfRule>
    <cfRule type="containsBlanks" dxfId="12681" priority="9234">
      <formula>LEN(TRIM(P149))=0</formula>
    </cfRule>
    <cfRule type="containsBlanks" dxfId="12680" priority="9235">
      <formula>LEN(TRIM(P149))=0</formula>
    </cfRule>
    <cfRule type="containsBlanks" dxfId="12679" priority="9236">
      <formula>LEN(TRIM(P149))=0</formula>
    </cfRule>
    <cfRule type="containsBlanks" dxfId="12678" priority="9237">
      <formula>LEN(TRIM(P149))=0</formula>
    </cfRule>
    <cfRule type="containsBlanks" dxfId="12677" priority="9238">
      <formula>LEN(TRIM(P149))=0</formula>
    </cfRule>
    <cfRule type="containsBlanks" dxfId="12676" priority="9239">
      <formula>LEN(TRIM(P149))=0</formula>
    </cfRule>
    <cfRule type="containsBlanks" dxfId="12675" priority="9240">
      <formula>LEN(TRIM(P149))=0</formula>
    </cfRule>
    <cfRule type="containsBlanks" dxfId="12674" priority="9241">
      <formula>LEN(TRIM(P149))=0</formula>
    </cfRule>
    <cfRule type="containsBlanks" dxfId="12673" priority="9242">
      <formula>LEN(TRIM(P149))=0</formula>
    </cfRule>
    <cfRule type="containsBlanks" dxfId="12672" priority="9243">
      <formula>LEN(TRIM(P149))=0</formula>
    </cfRule>
    <cfRule type="containsBlanks" dxfId="12671" priority="9244">
      <formula>LEN(TRIM(P149))=0</formula>
    </cfRule>
    <cfRule type="containsBlanks" dxfId="12670" priority="9245">
      <formula>LEN(TRIM(P149))=0</formula>
    </cfRule>
    <cfRule type="containsBlanks" dxfId="12669" priority="9246">
      <formula>LEN(TRIM(P149))=0</formula>
    </cfRule>
    <cfRule type="containsBlanks" dxfId="12668" priority="9247">
      <formula>LEN(TRIM(P149))=0</formula>
    </cfRule>
    <cfRule type="containsBlanks" dxfId="12667" priority="9248">
      <formula>LEN(TRIM(P149))=0</formula>
    </cfRule>
    <cfRule type="containsBlanks" dxfId="12666" priority="9249">
      <formula>LEN(TRIM(P149))=0</formula>
    </cfRule>
    <cfRule type="containsBlanks" dxfId="12665" priority="9250">
      <formula>LEN(TRIM(P149))=0</formula>
    </cfRule>
    <cfRule type="containsBlanks" dxfId="12664" priority="9251">
      <formula>LEN(TRIM(P149))=0</formula>
    </cfRule>
    <cfRule type="containsBlanks" dxfId="12663" priority="9252">
      <formula>LEN(TRIM(P149))=0</formula>
    </cfRule>
    <cfRule type="containsBlanks" dxfId="12662" priority="9253">
      <formula>LEN(TRIM(P149))=0</formula>
    </cfRule>
    <cfRule type="containsBlanks" dxfId="12661" priority="9254">
      <formula>LEN(TRIM(P149))=0</formula>
    </cfRule>
    <cfRule type="containsBlanks" dxfId="12660" priority="9255">
      <formula>LEN(TRIM(P149))=0</formula>
    </cfRule>
    <cfRule type="containsBlanks" dxfId="12659" priority="9256">
      <formula>LEN(TRIM(P149))=0</formula>
    </cfRule>
    <cfRule type="containsBlanks" dxfId="12658" priority="9257">
      <formula>LEN(TRIM(P149))=0</formula>
    </cfRule>
    <cfRule type="containsBlanks" dxfId="12657" priority="9258">
      <formula>LEN(TRIM(P149))=0</formula>
    </cfRule>
    <cfRule type="containsBlanks" dxfId="12656" priority="9259">
      <formula>LEN(TRIM(P149))=0</formula>
    </cfRule>
    <cfRule type="containsBlanks" dxfId="12655" priority="9260">
      <formula>LEN(TRIM(P149))=0</formula>
    </cfRule>
    <cfRule type="containsBlanks" dxfId="12654" priority="9261">
      <formula>LEN(TRIM(P149))=0</formula>
    </cfRule>
    <cfRule type="containsBlanks" dxfId="12653" priority="9262">
      <formula>LEN(TRIM(P149))=0</formula>
    </cfRule>
    <cfRule type="containsBlanks" dxfId="12652" priority="9263">
      <formula>LEN(TRIM(P149))=0</formula>
    </cfRule>
    <cfRule type="containsBlanks" dxfId="12651" priority="9264">
      <formula>LEN(TRIM(P149))=0</formula>
    </cfRule>
    <cfRule type="containsBlanks" dxfId="12650" priority="9265">
      <formula>LEN(TRIM(P149))=0</formula>
    </cfRule>
    <cfRule type="containsBlanks" dxfId="12649" priority="9266">
      <formula>LEN(TRIM(P149))=0</formula>
    </cfRule>
    <cfRule type="containsBlanks" dxfId="12648" priority="9267">
      <formula>LEN(TRIM(P149))=0</formula>
    </cfRule>
    <cfRule type="containsBlanks" dxfId="12647" priority="9268">
      <formula>LEN(TRIM(P149))=0</formula>
    </cfRule>
    <cfRule type="containsBlanks" dxfId="12646" priority="9269">
      <formula>LEN(TRIM(P149))=0</formula>
    </cfRule>
    <cfRule type="containsBlanks" dxfId="12645" priority="9270">
      <formula>LEN(TRIM(P149))=0</formula>
    </cfRule>
    <cfRule type="containsBlanks" dxfId="12644" priority="9271">
      <formula>LEN(TRIM(P149))=0</formula>
    </cfRule>
    <cfRule type="containsBlanks" dxfId="12643" priority="9272">
      <formula>LEN(TRIM(P149))=0</formula>
    </cfRule>
    <cfRule type="containsBlanks" dxfId="12642" priority="9273">
      <formula>LEN(TRIM(P149))=0</formula>
    </cfRule>
    <cfRule type="containsBlanks" dxfId="12641" priority="9274">
      <formula>LEN(TRIM(P149))=0</formula>
    </cfRule>
    <cfRule type="containsBlanks" dxfId="12640" priority="9275">
      <formula>LEN(TRIM(P149))=0</formula>
    </cfRule>
    <cfRule type="containsBlanks" dxfId="12639" priority="9276">
      <formula>LEN(TRIM(P149))=0</formula>
    </cfRule>
    <cfRule type="containsBlanks" dxfId="12638" priority="9277">
      <formula>LEN(TRIM(P149))=0</formula>
    </cfRule>
    <cfRule type="containsBlanks" dxfId="12637" priority="9278">
      <formula>LEN(TRIM(P149))=0</formula>
    </cfRule>
    <cfRule type="containsBlanks" dxfId="12636" priority="9279">
      <formula>LEN(TRIM(P149))=0</formula>
    </cfRule>
    <cfRule type="containsBlanks" dxfId="12635" priority="9280">
      <formula>LEN(TRIM(P149))=0</formula>
    </cfRule>
    <cfRule type="containsBlanks" dxfId="12634" priority="9281">
      <formula>LEN(TRIM(P149))=0</formula>
    </cfRule>
    <cfRule type="containsBlanks" dxfId="12633" priority="9282">
      <formula>LEN(TRIM(P149))=0</formula>
    </cfRule>
    <cfRule type="containsBlanks" dxfId="12632" priority="9283">
      <formula>LEN(TRIM(P149))=0</formula>
    </cfRule>
    <cfRule type="containsBlanks" dxfId="12631" priority="9284">
      <formula>LEN(TRIM(P149))=0</formula>
    </cfRule>
    <cfRule type="containsBlanks" dxfId="12630" priority="9285">
      <formula>LEN(TRIM(P149))=0</formula>
    </cfRule>
    <cfRule type="containsBlanks" dxfId="12629" priority="9286">
      <formula>LEN(TRIM(P149))=0</formula>
    </cfRule>
    <cfRule type="containsBlanks" dxfId="12628" priority="9287">
      <formula>LEN(TRIM(P149))=0</formula>
    </cfRule>
    <cfRule type="containsBlanks" dxfId="12627" priority="9288">
      <formula>LEN(TRIM(P149))=0</formula>
    </cfRule>
    <cfRule type="containsBlanks" dxfId="12626" priority="9289">
      <formula>LEN(TRIM(P149))=0</formula>
    </cfRule>
    <cfRule type="containsBlanks" dxfId="12625" priority="9290">
      <formula>LEN(TRIM(P149))=0</formula>
    </cfRule>
    <cfRule type="containsBlanks" dxfId="12624" priority="9291">
      <formula>LEN(TRIM(P149))=0</formula>
    </cfRule>
    <cfRule type="containsBlanks" dxfId="12623" priority="9292">
      <formula>LEN(TRIM(P149))=0</formula>
    </cfRule>
    <cfRule type="containsBlanks" dxfId="12622" priority="9293">
      <formula>LEN(TRIM(P149))=0</formula>
    </cfRule>
    <cfRule type="containsBlanks" dxfId="12621" priority="9294">
      <formula>LEN(TRIM(P149))=0</formula>
    </cfRule>
    <cfRule type="containsBlanks" dxfId="12620" priority="9295">
      <formula>LEN(TRIM(P149))=0</formula>
    </cfRule>
    <cfRule type="containsBlanks" dxfId="12619" priority="9296">
      <formula>LEN(TRIM(P149))=0</formula>
    </cfRule>
    <cfRule type="containsBlanks" dxfId="12618" priority="9297">
      <formula>LEN(TRIM(P149))=0</formula>
    </cfRule>
    <cfRule type="containsBlanks" dxfId="12617" priority="9298">
      <formula>LEN(TRIM(P149))=0</formula>
    </cfRule>
    <cfRule type="containsBlanks" dxfId="12616" priority="9299">
      <formula>LEN(TRIM(P149))=0</formula>
    </cfRule>
    <cfRule type="containsBlanks" dxfId="12615" priority="9300">
      <formula>LEN(TRIM(P149))=0</formula>
    </cfRule>
    <cfRule type="containsBlanks" dxfId="12614" priority="9301">
      <formula>LEN(TRIM(P149))=0</formula>
    </cfRule>
    <cfRule type="containsBlanks" dxfId="12613" priority="9302">
      <formula>LEN(TRIM(P149))=0</formula>
    </cfRule>
    <cfRule type="containsBlanks" dxfId="12612" priority="9303">
      <formula>LEN(TRIM(P149))=0</formula>
    </cfRule>
    <cfRule type="containsBlanks" dxfId="12611" priority="9304">
      <formula>LEN(TRIM(P149))=0</formula>
    </cfRule>
    <cfRule type="containsBlanks" dxfId="12610" priority="9305">
      <formula>LEN(TRIM(P149))=0</formula>
    </cfRule>
    <cfRule type="containsBlanks" dxfId="12609" priority="9306">
      <formula>LEN(TRIM(P149))=0</formula>
    </cfRule>
    <cfRule type="containsBlanks" dxfId="12608" priority="9307">
      <formula>LEN(TRIM(P149))=0</formula>
    </cfRule>
    <cfRule type="containsBlanks" dxfId="12607" priority="9308">
      <formula>LEN(TRIM(P149))=0</formula>
    </cfRule>
    <cfRule type="containsBlanks" dxfId="12606" priority="9309">
      <formula>LEN(TRIM(P149))=0</formula>
    </cfRule>
    <cfRule type="containsBlanks" dxfId="12605" priority="9310">
      <formula>LEN(TRIM(P149))=0</formula>
    </cfRule>
    <cfRule type="containsBlanks" dxfId="12604" priority="9311">
      <formula>LEN(TRIM(P149))=0</formula>
    </cfRule>
    <cfRule type="containsBlanks" dxfId="12603" priority="9312">
      <formula>LEN(TRIM(P149))=0</formula>
    </cfRule>
    <cfRule type="containsBlanks" dxfId="12602" priority="9313">
      <formula>LEN(TRIM(P149))=0</formula>
    </cfRule>
    <cfRule type="containsBlanks" dxfId="12601" priority="9314">
      <formula>LEN(TRIM(P149))=0</formula>
    </cfRule>
    <cfRule type="containsBlanks" dxfId="12600" priority="9315">
      <formula>LEN(TRIM(P149))=0</formula>
    </cfRule>
    <cfRule type="containsBlanks" dxfId="12599" priority="9316">
      <formula>LEN(TRIM(P149))=0</formula>
    </cfRule>
    <cfRule type="containsBlanks" dxfId="12598" priority="9317">
      <formula>LEN(TRIM(P149))=0</formula>
    </cfRule>
    <cfRule type="containsBlanks" dxfId="12597" priority="9318">
      <formula>LEN(TRIM(P149))=0</formula>
    </cfRule>
    <cfRule type="containsBlanks" dxfId="12596" priority="9319">
      <formula>LEN(TRIM(P149))=0</formula>
    </cfRule>
    <cfRule type="containsBlanks" dxfId="12595" priority="9320">
      <formula>LEN(TRIM(P149))=0</formula>
    </cfRule>
    <cfRule type="containsBlanks" dxfId="12594" priority="9321">
      <formula>LEN(TRIM(P149))=0</formula>
    </cfRule>
    <cfRule type="containsBlanks" dxfId="12593" priority="9322">
      <formula>LEN(TRIM(P149))=0</formula>
    </cfRule>
    <cfRule type="containsBlanks" dxfId="12592" priority="9323">
      <formula>LEN(TRIM(P149))=0</formula>
    </cfRule>
    <cfRule type="containsBlanks" dxfId="12591" priority="9324">
      <formula>LEN(TRIM(P149))=0</formula>
    </cfRule>
    <cfRule type="containsBlanks" dxfId="12590" priority="9325">
      <formula>LEN(TRIM(P149))=0</formula>
    </cfRule>
    <cfRule type="containsBlanks" dxfId="12589" priority="9326">
      <formula>LEN(TRIM(P149))=0</formula>
    </cfRule>
    <cfRule type="containsBlanks" dxfId="12588" priority="9327">
      <formula>LEN(TRIM(P149))=0</formula>
    </cfRule>
    <cfRule type="containsBlanks" dxfId="12587" priority="9328">
      <formula>LEN(TRIM(P149))=0</formula>
    </cfRule>
    <cfRule type="containsBlanks" dxfId="12586" priority="9329">
      <formula>LEN(TRIM(P149))=0</formula>
    </cfRule>
    <cfRule type="containsBlanks" dxfId="12585" priority="9330">
      <formula>LEN(TRIM(P149))=0</formula>
    </cfRule>
    <cfRule type="containsBlanks" dxfId="12584" priority="9331">
      <formula>LEN(TRIM(P149))=0</formula>
    </cfRule>
    <cfRule type="containsBlanks" dxfId="12583" priority="9332">
      <formula>LEN(TRIM(P149))=0</formula>
    </cfRule>
    <cfRule type="containsBlanks" dxfId="12582" priority="9333">
      <formula>LEN(TRIM(P149))=0</formula>
    </cfRule>
    <cfRule type="containsBlanks" dxfId="12581" priority="9334">
      <formula>LEN(TRIM(P149))=0</formula>
    </cfRule>
    <cfRule type="containsBlanks" dxfId="12580" priority="9335">
      <formula>LEN(TRIM(P149))=0</formula>
    </cfRule>
    <cfRule type="containsBlanks" dxfId="12579" priority="9336">
      <formula>LEN(TRIM(P149))=0</formula>
    </cfRule>
    <cfRule type="containsBlanks" dxfId="12578" priority="9337">
      <formula>LEN(TRIM(P149))=0</formula>
    </cfRule>
    <cfRule type="containsBlanks" dxfId="12577" priority="9338">
      <formula>LEN(TRIM(P149))=0</formula>
    </cfRule>
    <cfRule type="containsBlanks" dxfId="12576" priority="9339">
      <formula>LEN(TRIM(P149))=0</formula>
    </cfRule>
  </conditionalFormatting>
  <conditionalFormatting sqref="P157:P158">
    <cfRule type="containsBlanks" dxfId="12575" priority="6250">
      <formula>LEN(TRIM(P157))=0</formula>
    </cfRule>
    <cfRule type="containsBlanks" dxfId="12574" priority="6251">
      <formula>LEN(TRIM(P157))=0</formula>
    </cfRule>
    <cfRule type="containsBlanks" dxfId="12573" priority="6252">
      <formula>LEN(TRIM(P157))=0</formula>
    </cfRule>
    <cfRule type="containsBlanks" dxfId="12572" priority="6253">
      <formula>LEN(TRIM(P157))=0</formula>
    </cfRule>
    <cfRule type="containsBlanks" dxfId="12571" priority="6254">
      <formula>LEN(TRIM(P157))=0</formula>
    </cfRule>
    <cfRule type="containsBlanks" dxfId="12570" priority="6255">
      <formula>LEN(TRIM(P157))=0</formula>
    </cfRule>
    <cfRule type="containsBlanks" dxfId="12569" priority="6256">
      <formula>LEN(TRIM(P157))=0</formula>
    </cfRule>
    <cfRule type="containsBlanks" dxfId="12568" priority="6257">
      <formula>LEN(TRIM(P157))=0</formula>
    </cfRule>
    <cfRule type="containsBlanks" dxfId="12567" priority="6258">
      <formula>LEN(TRIM(P157))=0</formula>
    </cfRule>
    <cfRule type="containsBlanks" dxfId="12566" priority="6259">
      <formula>LEN(TRIM(P157))=0</formula>
    </cfRule>
    <cfRule type="containsBlanks" dxfId="12565" priority="6260">
      <formula>LEN(TRIM(P157))=0</formula>
    </cfRule>
    <cfRule type="containsBlanks" dxfId="12564" priority="6261">
      <formula>LEN(TRIM(P157))=0</formula>
    </cfRule>
    <cfRule type="containsBlanks" dxfId="12563" priority="6262">
      <formula>LEN(TRIM(P157))=0</formula>
    </cfRule>
    <cfRule type="containsBlanks" dxfId="12562" priority="6263">
      <formula>LEN(TRIM(P157))=0</formula>
    </cfRule>
    <cfRule type="containsBlanks" dxfId="12561" priority="6264">
      <formula>LEN(TRIM(P157))=0</formula>
    </cfRule>
    <cfRule type="containsBlanks" dxfId="12560" priority="6265">
      <formula>LEN(TRIM(P157))=0</formula>
    </cfRule>
    <cfRule type="containsBlanks" dxfId="12559" priority="6266">
      <formula>LEN(TRIM(P157))=0</formula>
    </cfRule>
    <cfRule type="containsBlanks" dxfId="12558" priority="6267">
      <formula>LEN(TRIM(P157))=0</formula>
    </cfRule>
    <cfRule type="containsBlanks" dxfId="12557" priority="6268">
      <formula>LEN(TRIM(P157))=0</formula>
    </cfRule>
    <cfRule type="containsBlanks" dxfId="12556" priority="6269">
      <formula>LEN(TRIM(P157))=0</formula>
    </cfRule>
    <cfRule type="containsBlanks" dxfId="12555" priority="6270">
      <formula>LEN(TRIM(P157))=0</formula>
    </cfRule>
    <cfRule type="containsBlanks" dxfId="12554" priority="6271">
      <formula>LEN(TRIM(P157))=0</formula>
    </cfRule>
    <cfRule type="containsBlanks" dxfId="12553" priority="6272">
      <formula>LEN(TRIM(P157))=0</formula>
    </cfRule>
    <cfRule type="containsBlanks" dxfId="12552" priority="6273">
      <formula>LEN(TRIM(P157))=0</formula>
    </cfRule>
    <cfRule type="containsBlanks" dxfId="12551" priority="6274">
      <formula>LEN(TRIM(P157))=0</formula>
    </cfRule>
    <cfRule type="containsBlanks" dxfId="12550" priority="6275">
      <formula>LEN(TRIM(P157))=0</formula>
    </cfRule>
    <cfRule type="containsBlanks" dxfId="12549" priority="6276">
      <formula>LEN(TRIM(P157))=0</formula>
    </cfRule>
    <cfRule type="containsBlanks" dxfId="12548" priority="6277">
      <formula>LEN(TRIM(P157))=0</formula>
    </cfRule>
    <cfRule type="containsBlanks" dxfId="12547" priority="6278">
      <formula>LEN(TRIM(P157))=0</formula>
    </cfRule>
    <cfRule type="containsBlanks" dxfId="12546" priority="6279">
      <formula>LEN(TRIM(P157))=0</formula>
    </cfRule>
    <cfRule type="containsBlanks" dxfId="12545" priority="6280">
      <formula>LEN(TRIM(P157))=0</formula>
    </cfRule>
    <cfRule type="containsBlanks" dxfId="12544" priority="6281">
      <formula>LEN(TRIM(P157))=0</formula>
    </cfRule>
    <cfRule type="containsBlanks" dxfId="12543" priority="6282">
      <formula>LEN(TRIM(P157))=0</formula>
    </cfRule>
    <cfRule type="containsBlanks" dxfId="12542" priority="6283">
      <formula>LEN(TRIM(P157))=0</formula>
    </cfRule>
    <cfRule type="containsBlanks" dxfId="12541" priority="6284">
      <formula>LEN(TRIM(P157))=0</formula>
    </cfRule>
    <cfRule type="containsBlanks" dxfId="12540" priority="6285">
      <formula>LEN(TRIM(P157))=0</formula>
    </cfRule>
    <cfRule type="containsBlanks" dxfId="12539" priority="6286">
      <formula>LEN(TRIM(P157))=0</formula>
    </cfRule>
    <cfRule type="containsBlanks" dxfId="12538" priority="6287">
      <formula>LEN(TRIM(P157))=0</formula>
    </cfRule>
    <cfRule type="containsBlanks" dxfId="12537" priority="6288">
      <formula>LEN(TRIM(P157))=0</formula>
    </cfRule>
    <cfRule type="containsBlanks" dxfId="12536" priority="6289">
      <formula>LEN(TRIM(P157))=0</formula>
    </cfRule>
    <cfRule type="containsBlanks" dxfId="12535" priority="6290">
      <formula>LEN(TRIM(P157))=0</formula>
    </cfRule>
    <cfRule type="containsBlanks" dxfId="12534" priority="6291">
      <formula>LEN(TRIM(P157))=0</formula>
    </cfRule>
    <cfRule type="containsBlanks" dxfId="12533" priority="6292">
      <formula>LEN(TRIM(P157))=0</formula>
    </cfRule>
    <cfRule type="containsBlanks" dxfId="12532" priority="6293">
      <formula>LEN(TRIM(P157))=0</formula>
    </cfRule>
    <cfRule type="containsBlanks" dxfId="12531" priority="6294">
      <formula>LEN(TRIM(P157))=0</formula>
    </cfRule>
    <cfRule type="containsBlanks" dxfId="12530" priority="6295">
      <formula>LEN(TRIM(P157))=0</formula>
    </cfRule>
    <cfRule type="containsBlanks" dxfId="12529" priority="6296">
      <formula>LEN(TRIM(P157))=0</formula>
    </cfRule>
    <cfRule type="containsBlanks" dxfId="12528" priority="6297">
      <formula>LEN(TRIM(P157))=0</formula>
    </cfRule>
    <cfRule type="containsBlanks" dxfId="12527" priority="6298">
      <formula>LEN(TRIM(P157))=0</formula>
    </cfRule>
    <cfRule type="containsBlanks" dxfId="12526" priority="6299">
      <formula>LEN(TRIM(P157))=0</formula>
    </cfRule>
    <cfRule type="containsBlanks" dxfId="12525" priority="6300">
      <formula>LEN(TRIM(P157))=0</formula>
    </cfRule>
    <cfRule type="containsBlanks" dxfId="12524" priority="6301">
      <formula>LEN(TRIM(P157))=0</formula>
    </cfRule>
    <cfRule type="containsBlanks" dxfId="12523" priority="6302">
      <formula>LEN(TRIM(P157))=0</formula>
    </cfRule>
    <cfRule type="containsBlanks" dxfId="12522" priority="6303">
      <formula>LEN(TRIM(P157))=0</formula>
    </cfRule>
    <cfRule type="containsBlanks" dxfId="12521" priority="6304">
      <formula>LEN(TRIM(P157))=0</formula>
    </cfRule>
    <cfRule type="containsBlanks" dxfId="12520" priority="6305">
      <formula>LEN(TRIM(P157))=0</formula>
    </cfRule>
    <cfRule type="containsBlanks" dxfId="12519" priority="6306">
      <formula>LEN(TRIM(P157))=0</formula>
    </cfRule>
    <cfRule type="containsBlanks" dxfId="12518" priority="6307">
      <formula>LEN(TRIM(P157))=0</formula>
    </cfRule>
    <cfRule type="containsBlanks" dxfId="12517" priority="6308">
      <formula>LEN(TRIM(P157))=0</formula>
    </cfRule>
    <cfRule type="containsBlanks" dxfId="12516" priority="6309">
      <formula>LEN(TRIM(P157))=0</formula>
    </cfRule>
    <cfRule type="containsBlanks" dxfId="12515" priority="6310">
      <formula>LEN(TRIM(P157))=0</formula>
    </cfRule>
    <cfRule type="containsBlanks" dxfId="12514" priority="6311">
      <formula>LEN(TRIM(P157))=0</formula>
    </cfRule>
    <cfRule type="containsBlanks" dxfId="12513" priority="6312">
      <formula>LEN(TRIM(P157))=0</formula>
    </cfRule>
    <cfRule type="containsBlanks" dxfId="12512" priority="6313">
      <formula>LEN(TRIM(P157))=0</formula>
    </cfRule>
    <cfRule type="containsBlanks" dxfId="12511" priority="6314">
      <formula>LEN(TRIM(P157))=0</formula>
    </cfRule>
    <cfRule type="containsBlanks" dxfId="12510" priority="6315">
      <formula>LEN(TRIM(P157))=0</formula>
    </cfRule>
    <cfRule type="containsBlanks" dxfId="12509" priority="6316">
      <formula>LEN(TRIM(P157))=0</formula>
    </cfRule>
    <cfRule type="containsBlanks" dxfId="12508" priority="6317">
      <formula>LEN(TRIM(P157))=0</formula>
    </cfRule>
    <cfRule type="containsBlanks" dxfId="12507" priority="6318">
      <formula>LEN(TRIM(P157))=0</formula>
    </cfRule>
    <cfRule type="containsBlanks" dxfId="12506" priority="6319">
      <formula>LEN(TRIM(P157))=0</formula>
    </cfRule>
    <cfRule type="containsBlanks" dxfId="12505" priority="6320">
      <formula>LEN(TRIM(P157))=0</formula>
    </cfRule>
    <cfRule type="containsBlanks" dxfId="12504" priority="6321">
      <formula>LEN(TRIM(P157))=0</formula>
    </cfRule>
    <cfRule type="containsBlanks" dxfId="12503" priority="6322">
      <formula>LEN(TRIM(P157))=0</formula>
    </cfRule>
    <cfRule type="containsBlanks" dxfId="12502" priority="6323">
      <formula>LEN(TRIM(P157))=0</formula>
    </cfRule>
    <cfRule type="containsBlanks" dxfId="12501" priority="6324">
      <formula>LEN(TRIM(P157))=0</formula>
    </cfRule>
    <cfRule type="containsBlanks" dxfId="12500" priority="6325">
      <formula>LEN(TRIM(P157))=0</formula>
    </cfRule>
    <cfRule type="containsBlanks" dxfId="12499" priority="6326">
      <formula>LEN(TRIM(P157))=0</formula>
    </cfRule>
    <cfRule type="containsBlanks" dxfId="12498" priority="6327">
      <formula>LEN(TRIM(P157))=0</formula>
    </cfRule>
    <cfRule type="containsBlanks" dxfId="12497" priority="6328">
      <formula>LEN(TRIM(P157))=0</formula>
    </cfRule>
    <cfRule type="containsBlanks" dxfId="12496" priority="6329">
      <formula>LEN(TRIM(P157))=0</formula>
    </cfRule>
    <cfRule type="containsBlanks" dxfId="12495" priority="6330">
      <formula>LEN(TRIM(P157))=0</formula>
    </cfRule>
    <cfRule type="containsBlanks" dxfId="12494" priority="6331">
      <formula>LEN(TRIM(P157))=0</formula>
    </cfRule>
    <cfRule type="containsBlanks" dxfId="12493" priority="6332">
      <formula>LEN(TRIM(P157))=0</formula>
    </cfRule>
    <cfRule type="containsBlanks" dxfId="12492" priority="6333">
      <formula>LEN(TRIM(P157))=0</formula>
    </cfRule>
    <cfRule type="containsBlanks" dxfId="12491" priority="6334">
      <formula>LEN(TRIM(P157))=0</formula>
    </cfRule>
    <cfRule type="containsBlanks" dxfId="12490" priority="6335">
      <formula>LEN(TRIM(P157))=0</formula>
    </cfRule>
    <cfRule type="containsBlanks" dxfId="12489" priority="6336">
      <formula>LEN(TRIM(P157))=0</formula>
    </cfRule>
    <cfRule type="containsBlanks" dxfId="12488" priority="6337">
      <formula>LEN(TRIM(P157))=0</formula>
    </cfRule>
    <cfRule type="containsBlanks" dxfId="12487" priority="6338">
      <formula>LEN(TRIM(P157))=0</formula>
    </cfRule>
    <cfRule type="containsBlanks" dxfId="12486" priority="6339">
      <formula>LEN(TRIM(P157))=0</formula>
    </cfRule>
    <cfRule type="containsBlanks" dxfId="12485" priority="6340">
      <formula>LEN(TRIM(P157))=0</formula>
    </cfRule>
    <cfRule type="containsBlanks" dxfId="12484" priority="6341">
      <formula>LEN(TRIM(P157))=0</formula>
    </cfRule>
    <cfRule type="containsBlanks" dxfId="12483" priority="6342">
      <formula>LEN(TRIM(P157))=0</formula>
    </cfRule>
    <cfRule type="containsBlanks" dxfId="12482" priority="6343">
      <formula>LEN(TRIM(P157))=0</formula>
    </cfRule>
    <cfRule type="containsBlanks" dxfId="12481" priority="6344">
      <formula>LEN(TRIM(P157))=0</formula>
    </cfRule>
    <cfRule type="containsBlanks" dxfId="12480" priority="6345">
      <formula>LEN(TRIM(P157))=0</formula>
    </cfRule>
    <cfRule type="containsBlanks" dxfId="12479" priority="6346">
      <formula>LEN(TRIM(P157))=0</formula>
    </cfRule>
    <cfRule type="containsBlanks" dxfId="12478" priority="6347">
      <formula>LEN(TRIM(P157))=0</formula>
    </cfRule>
    <cfRule type="containsBlanks" dxfId="12477" priority="6348">
      <formula>LEN(TRIM(P157))=0</formula>
    </cfRule>
    <cfRule type="containsBlanks" dxfId="12476" priority="6349">
      <formula>LEN(TRIM(P157))=0</formula>
    </cfRule>
    <cfRule type="containsBlanks" dxfId="12475" priority="6350">
      <formula>LEN(TRIM(P157))=0</formula>
    </cfRule>
    <cfRule type="containsBlanks" dxfId="12474" priority="6351">
      <formula>LEN(TRIM(P157))=0</formula>
    </cfRule>
    <cfRule type="containsBlanks" dxfId="12473" priority="6352">
      <formula>LEN(TRIM(P157))=0</formula>
    </cfRule>
    <cfRule type="containsBlanks" dxfId="12472" priority="6353">
      <formula>LEN(TRIM(P157))=0</formula>
    </cfRule>
    <cfRule type="containsBlanks" dxfId="12471" priority="6354">
      <formula>LEN(TRIM(P157))=0</formula>
    </cfRule>
    <cfRule type="containsBlanks" dxfId="12470" priority="6355">
      <formula>LEN(TRIM(P157))=0</formula>
    </cfRule>
    <cfRule type="containsBlanks" dxfId="12469" priority="6356">
      <formula>LEN(TRIM(P157))=0</formula>
    </cfRule>
    <cfRule type="containsBlanks" dxfId="12468" priority="6357">
      <formula>LEN(TRIM(P157))=0</formula>
    </cfRule>
    <cfRule type="containsBlanks" dxfId="12467" priority="6358">
      <formula>LEN(TRIM(P157))=0</formula>
    </cfRule>
    <cfRule type="containsBlanks" dxfId="12466" priority="6359">
      <formula>LEN(TRIM(P157))=0</formula>
    </cfRule>
    <cfRule type="containsBlanks" dxfId="12465" priority="6360">
      <formula>LEN(TRIM(P157))=0</formula>
    </cfRule>
    <cfRule type="containsBlanks" dxfId="12464" priority="6361">
      <formula>LEN(TRIM(P157))=0</formula>
    </cfRule>
    <cfRule type="containsBlanks" dxfId="12463" priority="6362">
      <formula>LEN(TRIM(P157))=0</formula>
    </cfRule>
    <cfRule type="containsBlanks" dxfId="12462" priority="6363">
      <formula>LEN(TRIM(P157))=0</formula>
    </cfRule>
    <cfRule type="containsBlanks" dxfId="12461" priority="6364">
      <formula>LEN(TRIM(P157))=0</formula>
    </cfRule>
    <cfRule type="containsBlanks" dxfId="12460" priority="6365">
      <formula>LEN(TRIM(P157))=0</formula>
    </cfRule>
    <cfRule type="containsBlanks" dxfId="12459" priority="6366">
      <formula>LEN(TRIM(P157))=0</formula>
    </cfRule>
    <cfRule type="containsBlanks" dxfId="12458" priority="6367">
      <formula>LEN(TRIM(P157))=0</formula>
    </cfRule>
    <cfRule type="containsBlanks" dxfId="12457" priority="6368">
      <formula>LEN(TRIM(P157))=0</formula>
    </cfRule>
    <cfRule type="containsBlanks" dxfId="12456" priority="6369">
      <formula>LEN(TRIM(P157))=0</formula>
    </cfRule>
    <cfRule type="containsBlanks" dxfId="12455" priority="6370">
      <formula>LEN(TRIM(P157))=0</formula>
    </cfRule>
    <cfRule type="containsBlanks" dxfId="12454" priority="6371">
      <formula>LEN(TRIM(P157))=0</formula>
    </cfRule>
    <cfRule type="containsBlanks" dxfId="12453" priority="6372">
      <formula>LEN(TRIM(P157))=0</formula>
    </cfRule>
    <cfRule type="containsBlanks" dxfId="12452" priority="6373">
      <formula>LEN(TRIM(P157))=0</formula>
    </cfRule>
    <cfRule type="containsBlanks" dxfId="12451" priority="6374">
      <formula>LEN(TRIM(P157))=0</formula>
    </cfRule>
    <cfRule type="containsBlanks" dxfId="12450" priority="6375">
      <formula>LEN(TRIM(P157))=0</formula>
    </cfRule>
    <cfRule type="containsBlanks" dxfId="12449" priority="6376">
      <formula>LEN(TRIM(P157))=0</formula>
    </cfRule>
    <cfRule type="containsBlanks" dxfId="12448" priority="6377">
      <formula>LEN(TRIM(P157))=0</formula>
    </cfRule>
    <cfRule type="containsBlanks" dxfId="12447" priority="6378">
      <formula>LEN(TRIM(P157))=0</formula>
    </cfRule>
    <cfRule type="containsBlanks" dxfId="12446" priority="6379">
      <formula>LEN(TRIM(P157))=0</formula>
    </cfRule>
    <cfRule type="containsBlanks" dxfId="12445" priority="6380">
      <formula>LEN(TRIM(P157))=0</formula>
    </cfRule>
    <cfRule type="containsBlanks" dxfId="12444" priority="6381">
      <formula>LEN(TRIM(P157))=0</formula>
    </cfRule>
    <cfRule type="containsBlanks" dxfId="12443" priority="6382">
      <formula>LEN(TRIM(P157))=0</formula>
    </cfRule>
    <cfRule type="containsBlanks" dxfId="12442" priority="6383">
      <formula>LEN(TRIM(P157))=0</formula>
    </cfRule>
    <cfRule type="containsBlanks" dxfId="12441" priority="6384">
      <formula>LEN(TRIM(P157))=0</formula>
    </cfRule>
    <cfRule type="containsBlanks" dxfId="12440" priority="6385">
      <formula>LEN(TRIM(P157))=0</formula>
    </cfRule>
    <cfRule type="containsBlanks" dxfId="12439" priority="6386">
      <formula>LEN(TRIM(P157))=0</formula>
    </cfRule>
    <cfRule type="containsBlanks" dxfId="12438" priority="6387">
      <formula>LEN(TRIM(P157))=0</formula>
    </cfRule>
    <cfRule type="containsBlanks" dxfId="12437" priority="6388">
      <formula>LEN(TRIM(P157))=0</formula>
    </cfRule>
    <cfRule type="containsBlanks" dxfId="12436" priority="6389">
      <formula>LEN(TRIM(P157))=0</formula>
    </cfRule>
    <cfRule type="containsBlanks" dxfId="12435" priority="6390">
      <formula>LEN(TRIM(P157))=0</formula>
    </cfRule>
    <cfRule type="containsBlanks" dxfId="12434" priority="6391">
      <formula>LEN(TRIM(P157))=0</formula>
    </cfRule>
    <cfRule type="containsBlanks" dxfId="12433" priority="6392">
      <formula>LEN(TRIM(P157))=0</formula>
    </cfRule>
    <cfRule type="containsBlanks" dxfId="12432" priority="6393">
      <formula>LEN(TRIM(P157))=0</formula>
    </cfRule>
    <cfRule type="containsBlanks" dxfId="12431" priority="6394">
      <formula>LEN(TRIM(P157))=0</formula>
    </cfRule>
    <cfRule type="containsBlanks" dxfId="12430" priority="6395">
      <formula>LEN(TRIM(P157))=0</formula>
    </cfRule>
    <cfRule type="containsBlanks" dxfId="12429" priority="6396">
      <formula>LEN(TRIM(P157))=0</formula>
    </cfRule>
    <cfRule type="containsBlanks" dxfId="12428" priority="6397">
      <formula>LEN(TRIM(P157))=0</formula>
    </cfRule>
    <cfRule type="containsBlanks" dxfId="12427" priority="6398">
      <formula>LEN(TRIM(P157))=0</formula>
    </cfRule>
    <cfRule type="containsBlanks" dxfId="12426" priority="6399">
      <formula>LEN(TRIM(P157))=0</formula>
    </cfRule>
    <cfRule type="containsBlanks" dxfId="12425" priority="6400">
      <formula>LEN(TRIM(P157))=0</formula>
    </cfRule>
    <cfRule type="containsBlanks" dxfId="12424" priority="6401">
      <formula>LEN(TRIM(P157))=0</formula>
    </cfRule>
    <cfRule type="containsBlanks" dxfId="12423" priority="6402">
      <formula>LEN(TRIM(P157))=0</formula>
    </cfRule>
    <cfRule type="containsBlanks" dxfId="12422" priority="6403">
      <formula>LEN(TRIM(P157))=0</formula>
    </cfRule>
    <cfRule type="containsBlanks" dxfId="12421" priority="6404">
      <formula>LEN(TRIM(P157))=0</formula>
    </cfRule>
    <cfRule type="containsBlanks" dxfId="12420" priority="6405">
      <formula>LEN(TRIM(P157))=0</formula>
    </cfRule>
    <cfRule type="containsBlanks" dxfId="12419" priority="6406">
      <formula>LEN(TRIM(P157))=0</formula>
    </cfRule>
    <cfRule type="containsBlanks" dxfId="12418" priority="6407">
      <formula>LEN(TRIM(P157))=0</formula>
    </cfRule>
    <cfRule type="containsBlanks" dxfId="12417" priority="6408">
      <formula>LEN(TRIM(P157))=0</formula>
    </cfRule>
    <cfRule type="containsBlanks" dxfId="12416" priority="6409">
      <formula>LEN(TRIM(P157))=0</formula>
    </cfRule>
    <cfRule type="containsBlanks" dxfId="12415" priority="6410">
      <formula>LEN(TRIM(P157))=0</formula>
    </cfRule>
    <cfRule type="containsBlanks" dxfId="12414" priority="6411">
      <formula>LEN(TRIM(P157))=0</formula>
    </cfRule>
    <cfRule type="containsBlanks" dxfId="12413" priority="6412">
      <formula>LEN(TRIM(P157))=0</formula>
    </cfRule>
    <cfRule type="containsBlanks" dxfId="12412" priority="6413">
      <formula>LEN(TRIM(P157))=0</formula>
    </cfRule>
    <cfRule type="containsBlanks" dxfId="12411" priority="6414">
      <formula>LEN(TRIM(P157))=0</formula>
    </cfRule>
    <cfRule type="containsBlanks" dxfId="12410" priority="6415">
      <formula>LEN(TRIM(P157))=0</formula>
    </cfRule>
    <cfRule type="containsBlanks" dxfId="12409" priority="6416">
      <formula>LEN(TRIM(P157))=0</formula>
    </cfRule>
    <cfRule type="containsBlanks" dxfId="12408" priority="6417">
      <formula>LEN(TRIM(P157))=0</formula>
    </cfRule>
    <cfRule type="containsBlanks" dxfId="12407" priority="6418">
      <formula>LEN(TRIM(P157))=0</formula>
    </cfRule>
    <cfRule type="containsBlanks" dxfId="12406" priority="6419">
      <formula>LEN(TRIM(P157))=0</formula>
    </cfRule>
    <cfRule type="containsBlanks" dxfId="12405" priority="6420">
      <formula>LEN(TRIM(P157))=0</formula>
    </cfRule>
    <cfRule type="containsBlanks" dxfId="12404" priority="6421">
      <formula>LEN(TRIM(P157))=0</formula>
    </cfRule>
    <cfRule type="containsBlanks" dxfId="12403" priority="6422">
      <formula>LEN(TRIM(P157))=0</formula>
    </cfRule>
    <cfRule type="containsBlanks" dxfId="12402" priority="6423">
      <formula>LEN(TRIM(P157))=0</formula>
    </cfRule>
    <cfRule type="containsBlanks" dxfId="12401" priority="6424">
      <formula>LEN(TRIM(P157))=0</formula>
    </cfRule>
    <cfRule type="containsBlanks" dxfId="12400" priority="6425">
      <formula>LEN(TRIM(P157))=0</formula>
    </cfRule>
    <cfRule type="containsBlanks" dxfId="12399" priority="6426">
      <formula>LEN(TRIM(P157))=0</formula>
    </cfRule>
    <cfRule type="containsBlanks" dxfId="12398" priority="6427">
      <formula>LEN(TRIM(P157))=0</formula>
    </cfRule>
    <cfRule type="containsBlanks" dxfId="12397" priority="6428">
      <formula>LEN(TRIM(P157))=0</formula>
    </cfRule>
    <cfRule type="containsBlanks" dxfId="12396" priority="6429">
      <formula>LEN(TRIM(P157))=0</formula>
    </cfRule>
    <cfRule type="containsBlanks" dxfId="12395" priority="6430">
      <formula>LEN(TRIM(P157))=0</formula>
    </cfRule>
    <cfRule type="containsBlanks" dxfId="12394" priority="6431">
      <formula>LEN(TRIM(P157))=0</formula>
    </cfRule>
    <cfRule type="containsBlanks" dxfId="12393" priority="6432">
      <formula>LEN(TRIM(P157))=0</formula>
    </cfRule>
    <cfRule type="containsBlanks" dxfId="12392" priority="6433">
      <formula>LEN(TRIM(P157))=0</formula>
    </cfRule>
    <cfRule type="containsBlanks" dxfId="12391" priority="6434">
      <formula>LEN(TRIM(P157))=0</formula>
    </cfRule>
    <cfRule type="containsBlanks" dxfId="12390" priority="6435">
      <formula>LEN(TRIM(P157))=0</formula>
    </cfRule>
    <cfRule type="containsBlanks" dxfId="12389" priority="6436">
      <formula>LEN(TRIM(P157))=0</formula>
    </cfRule>
    <cfRule type="containsBlanks" dxfId="12388" priority="6437">
      <formula>LEN(TRIM(P157))=0</formula>
    </cfRule>
    <cfRule type="containsBlanks" dxfId="12387" priority="6438">
      <formula>LEN(TRIM(P157))=0</formula>
    </cfRule>
    <cfRule type="containsBlanks" dxfId="12386" priority="6439">
      <formula>LEN(TRIM(P157))=0</formula>
    </cfRule>
    <cfRule type="containsBlanks" dxfId="12385" priority="6440">
      <formula>LEN(TRIM(P157))=0</formula>
    </cfRule>
    <cfRule type="containsBlanks" dxfId="12384" priority="6441">
      <formula>LEN(TRIM(P157))=0</formula>
    </cfRule>
    <cfRule type="containsBlanks" dxfId="12383" priority="6442">
      <formula>LEN(TRIM(P157))=0</formula>
    </cfRule>
    <cfRule type="containsBlanks" dxfId="12382" priority="6443">
      <formula>LEN(TRIM(P157))=0</formula>
    </cfRule>
    <cfRule type="containsBlanks" dxfId="12381" priority="6444">
      <formula>LEN(TRIM(P157))=0</formula>
    </cfRule>
    <cfRule type="containsBlanks" dxfId="12380" priority="6445">
      <formula>LEN(TRIM(P157))=0</formula>
    </cfRule>
    <cfRule type="containsBlanks" dxfId="12379" priority="6446">
      <formula>LEN(TRIM(P157))=0</formula>
    </cfRule>
    <cfRule type="containsBlanks" dxfId="12378" priority="6447">
      <formula>LEN(TRIM(P157))=0</formula>
    </cfRule>
    <cfRule type="containsBlanks" dxfId="12377" priority="6448">
      <formula>LEN(TRIM(P157))=0</formula>
    </cfRule>
    <cfRule type="containsBlanks" dxfId="12376" priority="6449">
      <formula>LEN(TRIM(P157))=0</formula>
    </cfRule>
    <cfRule type="containsBlanks" dxfId="12375" priority="6450">
      <formula>LEN(TRIM(P157))=0</formula>
    </cfRule>
    <cfRule type="containsBlanks" dxfId="12374" priority="6451">
      <formula>LEN(TRIM(P157))=0</formula>
    </cfRule>
    <cfRule type="containsBlanks" dxfId="12373" priority="6452">
      <formula>LEN(TRIM(P157))=0</formula>
    </cfRule>
    <cfRule type="containsBlanks" dxfId="12372" priority="6453">
      <formula>LEN(TRIM(P157))=0</formula>
    </cfRule>
    <cfRule type="containsBlanks" dxfId="12371" priority="6454">
      <formula>LEN(TRIM(P157))=0</formula>
    </cfRule>
    <cfRule type="containsBlanks" dxfId="12370" priority="6455">
      <formula>LEN(TRIM(P157))=0</formula>
    </cfRule>
    <cfRule type="containsBlanks" dxfId="12369" priority="6456">
      <formula>LEN(TRIM(P157))=0</formula>
    </cfRule>
    <cfRule type="containsBlanks" dxfId="12368" priority="6457">
      <formula>LEN(TRIM(P157))=0</formula>
    </cfRule>
    <cfRule type="containsBlanks" dxfId="12367" priority="6458">
      <formula>LEN(TRIM(P157))=0</formula>
    </cfRule>
    <cfRule type="containsBlanks" dxfId="12366" priority="6459">
      <formula>LEN(TRIM(P157))=0</formula>
    </cfRule>
    <cfRule type="containsBlanks" dxfId="12365" priority="6460">
      <formula>LEN(TRIM(P157))=0</formula>
    </cfRule>
    <cfRule type="containsBlanks" dxfId="12364" priority="6461">
      <formula>LEN(TRIM(P157))=0</formula>
    </cfRule>
    <cfRule type="containsBlanks" dxfId="12363" priority="6462">
      <formula>LEN(TRIM(P157))=0</formula>
    </cfRule>
    <cfRule type="containsBlanks" dxfId="12362" priority="6463">
      <formula>LEN(TRIM(P157))=0</formula>
    </cfRule>
    <cfRule type="containsBlanks" dxfId="12361" priority="6464">
      <formula>LEN(TRIM(P157))=0</formula>
    </cfRule>
    <cfRule type="containsBlanks" dxfId="12360" priority="6465">
      <formula>LEN(TRIM(P157))=0</formula>
    </cfRule>
    <cfRule type="containsBlanks" dxfId="12359" priority="6466">
      <formula>LEN(TRIM(P157))=0</formula>
    </cfRule>
    <cfRule type="containsBlanks" dxfId="12358" priority="6467">
      <formula>LEN(TRIM(P157))=0</formula>
    </cfRule>
    <cfRule type="containsBlanks" dxfId="12357" priority="6468">
      <formula>LEN(TRIM(P157))=0</formula>
    </cfRule>
    <cfRule type="containsBlanks" dxfId="12356" priority="6469">
      <formula>LEN(TRIM(P157))=0</formula>
    </cfRule>
    <cfRule type="containsBlanks" dxfId="12355" priority="6470">
      <formula>LEN(TRIM(P157))=0</formula>
    </cfRule>
    <cfRule type="containsBlanks" dxfId="12354" priority="6471">
      <formula>LEN(TRIM(P157))=0</formula>
    </cfRule>
    <cfRule type="containsBlanks" dxfId="12353" priority="6472">
      <formula>LEN(TRIM(P157))=0</formula>
    </cfRule>
    <cfRule type="containsBlanks" dxfId="12352" priority="6473">
      <formula>LEN(TRIM(P157))=0</formula>
    </cfRule>
    <cfRule type="containsBlanks" dxfId="12351" priority="6474">
      <formula>LEN(TRIM(P157))=0</formula>
    </cfRule>
    <cfRule type="containsBlanks" dxfId="12350" priority="6475">
      <formula>LEN(TRIM(P157))=0</formula>
    </cfRule>
    <cfRule type="containsBlanks" dxfId="12349" priority="6476">
      <formula>LEN(TRIM(P157))=0</formula>
    </cfRule>
    <cfRule type="containsBlanks" dxfId="12348" priority="6477">
      <formula>LEN(TRIM(P157))=0</formula>
    </cfRule>
    <cfRule type="containsBlanks" dxfId="12347" priority="6478">
      <formula>LEN(TRIM(P157))=0</formula>
    </cfRule>
    <cfRule type="containsBlanks" dxfId="12346" priority="6479">
      <formula>LEN(TRIM(P157))=0</formula>
    </cfRule>
    <cfRule type="containsBlanks" dxfId="12345" priority="6480">
      <formula>LEN(TRIM(P157))=0</formula>
    </cfRule>
    <cfRule type="containsBlanks" dxfId="12344" priority="6481">
      <formula>LEN(TRIM(P157))=0</formula>
    </cfRule>
    <cfRule type="containsBlanks" dxfId="12343" priority="6482">
      <formula>LEN(TRIM(P157))=0</formula>
    </cfRule>
    <cfRule type="containsBlanks" dxfId="12342" priority="6483">
      <formula>LEN(TRIM(P157))=0</formula>
    </cfRule>
    <cfRule type="containsBlanks" dxfId="12341" priority="6484">
      <formula>LEN(TRIM(P157))=0</formula>
    </cfRule>
    <cfRule type="containsBlanks" dxfId="12340" priority="6485">
      <formula>LEN(TRIM(P157))=0</formula>
    </cfRule>
    <cfRule type="containsBlanks" dxfId="12339" priority="6486">
      <formula>LEN(TRIM(P157))=0</formula>
    </cfRule>
    <cfRule type="containsBlanks" dxfId="12338" priority="6487">
      <formula>LEN(TRIM(P157))=0</formula>
    </cfRule>
    <cfRule type="containsBlanks" dxfId="12337" priority="6488">
      <formula>LEN(TRIM(P157))=0</formula>
    </cfRule>
    <cfRule type="containsBlanks" dxfId="12336" priority="6489">
      <formula>LEN(TRIM(P157))=0</formula>
    </cfRule>
    <cfRule type="containsBlanks" dxfId="12335" priority="6490">
      <formula>LEN(TRIM(P157))=0</formula>
    </cfRule>
    <cfRule type="containsBlanks" dxfId="12334" priority="6491">
      <formula>LEN(TRIM(P157))=0</formula>
    </cfRule>
    <cfRule type="containsBlanks" dxfId="12333" priority="6492">
      <formula>LEN(TRIM(P157))=0</formula>
    </cfRule>
    <cfRule type="containsBlanks" dxfId="12332" priority="6493">
      <formula>LEN(TRIM(P157))=0</formula>
    </cfRule>
    <cfRule type="containsBlanks" dxfId="12331" priority="6494">
      <formula>LEN(TRIM(P157))=0</formula>
    </cfRule>
    <cfRule type="containsBlanks" dxfId="12330" priority="6495">
      <formula>LEN(TRIM(P157))=0</formula>
    </cfRule>
    <cfRule type="containsBlanks" dxfId="12329" priority="6496">
      <formula>LEN(TRIM(P157))=0</formula>
    </cfRule>
    <cfRule type="containsBlanks" dxfId="12328" priority="6497">
      <formula>LEN(TRIM(P157))=0</formula>
    </cfRule>
    <cfRule type="containsBlanks" dxfId="12327" priority="6498">
      <formula>LEN(TRIM(P157))=0</formula>
    </cfRule>
    <cfRule type="containsBlanks" dxfId="12326" priority="6499">
      <formula>LEN(TRIM(P157))=0</formula>
    </cfRule>
    <cfRule type="containsBlanks" dxfId="12325" priority="6500">
      <formula>LEN(TRIM(P157))=0</formula>
    </cfRule>
    <cfRule type="containsBlanks" dxfId="12324" priority="6501">
      <formula>LEN(TRIM(P157))=0</formula>
    </cfRule>
    <cfRule type="containsBlanks" dxfId="12323" priority="6502">
      <formula>LEN(TRIM(P157))=0</formula>
    </cfRule>
    <cfRule type="containsBlanks" dxfId="12322" priority="6503">
      <formula>LEN(TRIM(P157))=0</formula>
    </cfRule>
    <cfRule type="containsBlanks" dxfId="12321" priority="6504">
      <formula>LEN(TRIM(P157))=0</formula>
    </cfRule>
    <cfRule type="containsBlanks" dxfId="12320" priority="6505">
      <formula>LEN(TRIM(P157))=0</formula>
    </cfRule>
    <cfRule type="containsBlanks" dxfId="12319" priority="6506">
      <formula>LEN(TRIM(P157))=0</formula>
    </cfRule>
    <cfRule type="containsBlanks" dxfId="12318" priority="6507">
      <formula>LEN(TRIM(P157))=0</formula>
    </cfRule>
    <cfRule type="containsBlanks" dxfId="12317" priority="6508">
      <formula>LEN(TRIM(P157))=0</formula>
    </cfRule>
    <cfRule type="containsBlanks" dxfId="12316" priority="6509">
      <formula>LEN(TRIM(P157))=0</formula>
    </cfRule>
    <cfRule type="containsBlanks" dxfId="12315" priority="6510">
      <formula>LEN(TRIM(P157))=0</formula>
    </cfRule>
    <cfRule type="containsBlanks" dxfId="12314" priority="6511">
      <formula>LEN(TRIM(P157))=0</formula>
    </cfRule>
    <cfRule type="containsBlanks" dxfId="12313" priority="6512">
      <formula>LEN(TRIM(P157))=0</formula>
    </cfRule>
    <cfRule type="containsBlanks" dxfId="12312" priority="6513">
      <formula>LEN(TRIM(P157))=0</formula>
    </cfRule>
    <cfRule type="containsBlanks" dxfId="12311" priority="6514">
      <formula>LEN(TRIM(P157))=0</formula>
    </cfRule>
    <cfRule type="containsBlanks" dxfId="12310" priority="6515">
      <formula>LEN(TRIM(P157))=0</formula>
    </cfRule>
    <cfRule type="containsBlanks" dxfId="12309" priority="6516">
      <formula>LEN(TRIM(P157))=0</formula>
    </cfRule>
    <cfRule type="containsBlanks" dxfId="12308" priority="6517">
      <formula>LEN(TRIM(P157))=0</formula>
    </cfRule>
    <cfRule type="containsBlanks" dxfId="12307" priority="6518">
      <formula>LEN(TRIM(P157))=0</formula>
    </cfRule>
    <cfRule type="containsBlanks" dxfId="12306" priority="6519">
      <formula>LEN(TRIM(P157))=0</formula>
    </cfRule>
    <cfRule type="containsBlanks" dxfId="12305" priority="6520">
      <formula>LEN(TRIM(P157))=0</formula>
    </cfRule>
    <cfRule type="containsBlanks" dxfId="12304" priority="6521">
      <formula>LEN(TRIM(P157))=0</formula>
    </cfRule>
    <cfRule type="containsBlanks" dxfId="12303" priority="6522">
      <formula>LEN(TRIM(P157))=0</formula>
    </cfRule>
    <cfRule type="containsBlanks" dxfId="12302" priority="6523">
      <formula>LEN(TRIM(P157))=0</formula>
    </cfRule>
    <cfRule type="containsBlanks" dxfId="12301" priority="6524">
      <formula>LEN(TRIM(P157))=0</formula>
    </cfRule>
    <cfRule type="containsBlanks" dxfId="12300" priority="6525">
      <formula>LEN(TRIM(P157))=0</formula>
    </cfRule>
    <cfRule type="containsBlanks" dxfId="12299" priority="6526">
      <formula>LEN(TRIM(P157))=0</formula>
    </cfRule>
    <cfRule type="containsBlanks" dxfId="12298" priority="6527">
      <formula>LEN(TRIM(P157))=0</formula>
    </cfRule>
    <cfRule type="containsBlanks" dxfId="12297" priority="6528">
      <formula>LEN(TRIM(P157))=0</formula>
    </cfRule>
    <cfRule type="containsBlanks" dxfId="12296" priority="6529">
      <formula>LEN(TRIM(P157))=0</formula>
    </cfRule>
    <cfRule type="containsBlanks" dxfId="12295" priority="6530">
      <formula>LEN(TRIM(P157))=0</formula>
    </cfRule>
    <cfRule type="containsBlanks" dxfId="12294" priority="6531">
      <formula>LEN(TRIM(P157))=0</formula>
    </cfRule>
    <cfRule type="containsBlanks" dxfId="12293" priority="6532">
      <formula>LEN(TRIM(P157))=0</formula>
    </cfRule>
    <cfRule type="containsBlanks" dxfId="12292" priority="6533">
      <formula>LEN(TRIM(P157))=0</formula>
    </cfRule>
    <cfRule type="containsBlanks" dxfId="12291" priority="6534">
      <formula>LEN(TRIM(P157))=0</formula>
    </cfRule>
    <cfRule type="containsBlanks" dxfId="12290" priority="6535">
      <formula>LEN(TRIM(P157))=0</formula>
    </cfRule>
    <cfRule type="containsBlanks" dxfId="12289" priority="6536">
      <formula>LEN(TRIM(P157))=0</formula>
    </cfRule>
    <cfRule type="containsBlanks" dxfId="12288" priority="6537">
      <formula>LEN(TRIM(P157))=0</formula>
    </cfRule>
    <cfRule type="containsBlanks" dxfId="12287" priority="6538">
      <formula>LEN(TRIM(P157))=0</formula>
    </cfRule>
    <cfRule type="containsBlanks" dxfId="12286" priority="6539">
      <formula>LEN(TRIM(P157))=0</formula>
    </cfRule>
    <cfRule type="containsBlanks" dxfId="12285" priority="6540">
      <formula>LEN(TRIM(P157))=0</formula>
    </cfRule>
    <cfRule type="containsBlanks" dxfId="12284" priority="6541">
      <formula>LEN(TRIM(P157))=0</formula>
    </cfRule>
    <cfRule type="containsBlanks" dxfId="12283" priority="6542">
      <formula>LEN(TRIM(P157))=0</formula>
    </cfRule>
    <cfRule type="containsBlanks" dxfId="12282" priority="6543">
      <formula>LEN(TRIM(P157))=0</formula>
    </cfRule>
    <cfRule type="containsBlanks" dxfId="12281" priority="6544">
      <formula>LEN(TRIM(P157))=0</formula>
    </cfRule>
    <cfRule type="containsBlanks" dxfId="12280" priority="6545">
      <formula>LEN(TRIM(P157))=0</formula>
    </cfRule>
    <cfRule type="containsBlanks" dxfId="12279" priority="6546">
      <formula>LEN(TRIM(P157))=0</formula>
    </cfRule>
    <cfRule type="containsBlanks" dxfId="12278" priority="6547">
      <formula>LEN(TRIM(P157))=0</formula>
    </cfRule>
    <cfRule type="containsBlanks" dxfId="12277" priority="6548">
      <formula>LEN(TRIM(P157))=0</formula>
    </cfRule>
    <cfRule type="containsBlanks" dxfId="12276" priority="6549">
      <formula>LEN(TRIM(P157))=0</formula>
    </cfRule>
    <cfRule type="containsBlanks" dxfId="12275" priority="6550">
      <formula>LEN(TRIM(P157))=0</formula>
    </cfRule>
    <cfRule type="containsBlanks" dxfId="12274" priority="6551">
      <formula>LEN(TRIM(P157))=0</formula>
    </cfRule>
    <cfRule type="containsBlanks" dxfId="12273" priority="6552">
      <formula>LEN(TRIM(P157))=0</formula>
    </cfRule>
    <cfRule type="containsBlanks" dxfId="12272" priority="6553">
      <formula>LEN(TRIM(P157))=0</formula>
    </cfRule>
    <cfRule type="containsBlanks" dxfId="12271" priority="6554">
      <formula>LEN(TRIM(P157))=0</formula>
    </cfRule>
    <cfRule type="containsBlanks" dxfId="12270" priority="6555">
      <formula>LEN(TRIM(P157))=0</formula>
    </cfRule>
    <cfRule type="containsBlanks" dxfId="12269" priority="6556">
      <formula>LEN(TRIM(P157))=0</formula>
    </cfRule>
    <cfRule type="containsBlanks" dxfId="12268" priority="6557">
      <formula>LEN(TRIM(P157))=0</formula>
    </cfRule>
    <cfRule type="containsBlanks" dxfId="12267" priority="6558">
      <formula>LEN(TRIM(P157))=0</formula>
    </cfRule>
    <cfRule type="containsBlanks" dxfId="12266" priority="6559">
      <formula>LEN(TRIM(P157))=0</formula>
    </cfRule>
    <cfRule type="containsBlanks" dxfId="12265" priority="6560">
      <formula>LEN(TRIM(P157))=0</formula>
    </cfRule>
    <cfRule type="containsBlanks" dxfId="12264" priority="6561">
      <formula>LEN(TRIM(P157))=0</formula>
    </cfRule>
    <cfRule type="containsBlanks" dxfId="12263" priority="6562">
      <formula>LEN(TRIM(P157))=0</formula>
    </cfRule>
    <cfRule type="containsBlanks" dxfId="12262" priority="6563">
      <formula>LEN(TRIM(P157))=0</formula>
    </cfRule>
    <cfRule type="containsBlanks" dxfId="12261" priority="6564">
      <formula>LEN(TRIM(P157))=0</formula>
    </cfRule>
    <cfRule type="containsBlanks" dxfId="12260" priority="6565">
      <formula>LEN(TRIM(P157))=0</formula>
    </cfRule>
    <cfRule type="containsBlanks" dxfId="12259" priority="6566">
      <formula>LEN(TRIM(P157))=0</formula>
    </cfRule>
    <cfRule type="containsBlanks" dxfId="12258" priority="6567">
      <formula>LEN(TRIM(P157))=0</formula>
    </cfRule>
    <cfRule type="containsBlanks" dxfId="12257" priority="6568">
      <formula>LEN(TRIM(P157))=0</formula>
    </cfRule>
    <cfRule type="containsBlanks" dxfId="12256" priority="6569">
      <formula>LEN(TRIM(P157))=0</formula>
    </cfRule>
    <cfRule type="containsBlanks" dxfId="12255" priority="6570">
      <formula>LEN(TRIM(P157))=0</formula>
    </cfRule>
    <cfRule type="containsBlanks" dxfId="12254" priority="6571">
      <formula>LEN(TRIM(P157))=0</formula>
    </cfRule>
    <cfRule type="containsBlanks" dxfId="12253" priority="6572">
      <formula>LEN(TRIM(P157))=0</formula>
    </cfRule>
    <cfRule type="containsBlanks" dxfId="12252" priority="6573">
      <formula>LEN(TRIM(P157))=0</formula>
    </cfRule>
    <cfRule type="containsBlanks" dxfId="12251" priority="6574">
      <formula>LEN(TRIM(P157))=0</formula>
    </cfRule>
    <cfRule type="containsBlanks" dxfId="12250" priority="6575">
      <formula>LEN(TRIM(P157))=0</formula>
    </cfRule>
    <cfRule type="containsBlanks" dxfId="12249" priority="6576">
      <formula>LEN(TRIM(P157))=0</formula>
    </cfRule>
    <cfRule type="containsBlanks" dxfId="12248" priority="6577">
      <formula>LEN(TRIM(P157))=0</formula>
    </cfRule>
    <cfRule type="containsBlanks" dxfId="12247" priority="6578">
      <formula>LEN(TRIM(P157))=0</formula>
    </cfRule>
    <cfRule type="containsBlanks" dxfId="12246" priority="6579">
      <formula>LEN(TRIM(P157))=0</formula>
    </cfRule>
    <cfRule type="containsBlanks" dxfId="12245" priority="6580">
      <formula>LEN(TRIM(P157))=0</formula>
    </cfRule>
    <cfRule type="containsBlanks" dxfId="12244" priority="6581">
      <formula>LEN(TRIM(P157))=0</formula>
    </cfRule>
    <cfRule type="containsBlanks" dxfId="12243" priority="6582">
      <formula>LEN(TRIM(P157))=0</formula>
    </cfRule>
    <cfRule type="containsBlanks" dxfId="12242" priority="6583">
      <formula>LEN(TRIM(P157))=0</formula>
    </cfRule>
    <cfRule type="containsBlanks" dxfId="12241" priority="6584">
      <formula>LEN(TRIM(P157))=0</formula>
    </cfRule>
    <cfRule type="containsBlanks" dxfId="12240" priority="6585">
      <formula>LEN(TRIM(P157))=0</formula>
    </cfRule>
    <cfRule type="containsBlanks" dxfId="12239" priority="6586">
      <formula>LEN(TRIM(P157))=0</formula>
    </cfRule>
    <cfRule type="containsBlanks" dxfId="12238" priority="6587">
      <formula>LEN(TRIM(P157))=0</formula>
    </cfRule>
    <cfRule type="containsBlanks" dxfId="12237" priority="6588">
      <formula>LEN(TRIM(P157))=0</formula>
    </cfRule>
    <cfRule type="containsBlanks" dxfId="12236" priority="6589">
      <formula>LEN(TRIM(P157))=0</formula>
    </cfRule>
    <cfRule type="containsBlanks" dxfId="12235" priority="6590">
      <formula>LEN(TRIM(P157))=0</formula>
    </cfRule>
    <cfRule type="containsBlanks" dxfId="12234" priority="6591">
      <formula>LEN(TRIM(P157))=0</formula>
    </cfRule>
    <cfRule type="containsBlanks" dxfId="12233" priority="6592">
      <formula>LEN(TRIM(P157))=0</formula>
    </cfRule>
    <cfRule type="containsBlanks" dxfId="12232" priority="6593">
      <formula>LEN(TRIM(P157))=0</formula>
    </cfRule>
    <cfRule type="containsBlanks" dxfId="12231" priority="6594">
      <formula>LEN(TRIM(P157))=0</formula>
    </cfRule>
    <cfRule type="containsBlanks" dxfId="12230" priority="6595">
      <formula>LEN(TRIM(P157))=0</formula>
    </cfRule>
    <cfRule type="containsBlanks" dxfId="12229" priority="6596">
      <formula>LEN(TRIM(P157))=0</formula>
    </cfRule>
    <cfRule type="containsBlanks" dxfId="12228" priority="6597">
      <formula>LEN(TRIM(P157))=0</formula>
    </cfRule>
    <cfRule type="containsBlanks" dxfId="12227" priority="6598">
      <formula>LEN(TRIM(P157))=0</formula>
    </cfRule>
    <cfRule type="containsBlanks" dxfId="12226" priority="6599">
      <formula>LEN(TRIM(P157))=0</formula>
    </cfRule>
    <cfRule type="containsBlanks" dxfId="12225" priority="6600">
      <formula>LEN(TRIM(P157))=0</formula>
    </cfRule>
    <cfRule type="containsBlanks" dxfId="12224" priority="6601">
      <formula>LEN(TRIM(P157))=0</formula>
    </cfRule>
    <cfRule type="containsBlanks" dxfId="12223" priority="6602">
      <formula>LEN(TRIM(P157))=0</formula>
    </cfRule>
    <cfRule type="containsBlanks" dxfId="12222" priority="6603">
      <formula>LEN(TRIM(P157))=0</formula>
    </cfRule>
    <cfRule type="containsBlanks" dxfId="12221" priority="6604">
      <formula>LEN(TRIM(P157))=0</formula>
    </cfRule>
    <cfRule type="containsBlanks" dxfId="12220" priority="6605">
      <formula>LEN(TRIM(P157))=0</formula>
    </cfRule>
    <cfRule type="containsBlanks" dxfId="12219" priority="6606">
      <formula>LEN(TRIM(P157))=0</formula>
    </cfRule>
    <cfRule type="containsBlanks" dxfId="12218" priority="6607">
      <formula>LEN(TRIM(P157))=0</formula>
    </cfRule>
    <cfRule type="containsBlanks" dxfId="12217" priority="6608">
      <formula>LEN(TRIM(P157))=0</formula>
    </cfRule>
    <cfRule type="containsBlanks" dxfId="12216" priority="6609">
      <formula>LEN(TRIM(P157))=0</formula>
    </cfRule>
    <cfRule type="containsBlanks" dxfId="12215" priority="6610">
      <formula>LEN(TRIM(P157))=0</formula>
    </cfRule>
    <cfRule type="containsBlanks" dxfId="12214" priority="6611">
      <formula>LEN(TRIM(P157))=0</formula>
    </cfRule>
    <cfRule type="containsBlanks" dxfId="12213" priority="6612">
      <formula>LEN(TRIM(P157))=0</formula>
    </cfRule>
    <cfRule type="containsBlanks" dxfId="12212" priority="6613">
      <formula>LEN(TRIM(P157))=0</formula>
    </cfRule>
    <cfRule type="containsBlanks" dxfId="12211" priority="6614">
      <formula>LEN(TRIM(P157))=0</formula>
    </cfRule>
    <cfRule type="containsBlanks" dxfId="12210" priority="6615">
      <formula>LEN(TRIM(P157))=0</formula>
    </cfRule>
    <cfRule type="containsBlanks" dxfId="12209" priority="6616">
      <formula>LEN(TRIM(P157))=0</formula>
    </cfRule>
    <cfRule type="containsBlanks" dxfId="12208" priority="6617">
      <formula>LEN(TRIM(P157))=0</formula>
    </cfRule>
    <cfRule type="containsBlanks" dxfId="12207" priority="6618">
      <formula>LEN(TRIM(P157))=0</formula>
    </cfRule>
    <cfRule type="containsBlanks" dxfId="12206" priority="6619">
      <formula>LEN(TRIM(P157))=0</formula>
    </cfRule>
    <cfRule type="containsBlanks" dxfId="12205" priority="6620">
      <formula>LEN(TRIM(P157))=0</formula>
    </cfRule>
    <cfRule type="containsBlanks" dxfId="12204" priority="6621">
      <formula>LEN(TRIM(P157))=0</formula>
    </cfRule>
    <cfRule type="containsBlanks" dxfId="12203" priority="6622">
      <formula>LEN(TRIM(P157))=0</formula>
    </cfRule>
    <cfRule type="containsBlanks" dxfId="12202" priority="6623">
      <formula>LEN(TRIM(P157))=0</formula>
    </cfRule>
    <cfRule type="containsBlanks" dxfId="12201" priority="6624">
      <formula>LEN(TRIM(P157))=0</formula>
    </cfRule>
    <cfRule type="containsBlanks" dxfId="12200" priority="6625">
      <formula>LEN(TRIM(P157))=0</formula>
    </cfRule>
    <cfRule type="containsBlanks" dxfId="12199" priority="6626">
      <formula>LEN(TRIM(P157))=0</formula>
    </cfRule>
    <cfRule type="containsBlanks" dxfId="12198" priority="6627">
      <formula>LEN(TRIM(P157))=0</formula>
    </cfRule>
    <cfRule type="containsBlanks" dxfId="12197" priority="6628">
      <formula>LEN(TRIM(P157))=0</formula>
    </cfRule>
    <cfRule type="containsBlanks" dxfId="12196" priority="6629">
      <formula>LEN(TRIM(P157))=0</formula>
    </cfRule>
    <cfRule type="containsBlanks" dxfId="12195" priority="6630">
      <formula>LEN(TRIM(P157))=0</formula>
    </cfRule>
    <cfRule type="containsBlanks" dxfId="12194" priority="6631">
      <formula>LEN(TRIM(P157))=0</formula>
    </cfRule>
    <cfRule type="containsBlanks" dxfId="12193" priority="6632">
      <formula>LEN(TRIM(P157))=0</formula>
    </cfRule>
    <cfRule type="containsBlanks" dxfId="12192" priority="6633">
      <formula>LEN(TRIM(P157))=0</formula>
    </cfRule>
    <cfRule type="containsBlanks" dxfId="12191" priority="6634">
      <formula>LEN(TRIM(P157))=0</formula>
    </cfRule>
    <cfRule type="containsBlanks" dxfId="12190" priority="6635">
      <formula>LEN(TRIM(P157))=0</formula>
    </cfRule>
    <cfRule type="containsBlanks" dxfId="12189" priority="6636">
      <formula>LEN(TRIM(P157))=0</formula>
    </cfRule>
    <cfRule type="containsBlanks" dxfId="12188" priority="6637">
      <formula>LEN(TRIM(P157))=0</formula>
    </cfRule>
    <cfRule type="containsBlanks" dxfId="12187" priority="6638">
      <formula>LEN(TRIM(P157))=0</formula>
    </cfRule>
    <cfRule type="containsBlanks" dxfId="12186" priority="6639">
      <formula>LEN(TRIM(P157))=0</formula>
    </cfRule>
    <cfRule type="containsBlanks" dxfId="12185" priority="6640">
      <formula>LEN(TRIM(P157))=0</formula>
    </cfRule>
    <cfRule type="containsBlanks" dxfId="12184" priority="6641">
      <formula>LEN(TRIM(P157))=0</formula>
    </cfRule>
    <cfRule type="containsBlanks" dxfId="12183" priority="6642">
      <formula>LEN(TRIM(P157))=0</formula>
    </cfRule>
    <cfRule type="containsBlanks" dxfId="12182" priority="6643">
      <formula>LEN(TRIM(P157))=0</formula>
    </cfRule>
    <cfRule type="containsBlanks" dxfId="12181" priority="6644">
      <formula>LEN(TRIM(P157))=0</formula>
    </cfRule>
    <cfRule type="containsBlanks" dxfId="12180" priority="6645">
      <formula>LEN(TRIM(P157))=0</formula>
    </cfRule>
    <cfRule type="containsBlanks" dxfId="12179" priority="6646">
      <formula>LEN(TRIM(P157))=0</formula>
    </cfRule>
    <cfRule type="containsBlanks" dxfId="12178" priority="6647">
      <formula>LEN(TRIM(P157))=0</formula>
    </cfRule>
    <cfRule type="containsBlanks" dxfId="12177" priority="6648">
      <formula>LEN(TRIM(P157))=0</formula>
    </cfRule>
    <cfRule type="containsBlanks" dxfId="12176" priority="6649">
      <formula>LEN(TRIM(P157))=0</formula>
    </cfRule>
    <cfRule type="containsBlanks" dxfId="12175" priority="6650">
      <formula>LEN(TRIM(P157))=0</formula>
    </cfRule>
    <cfRule type="containsBlanks" dxfId="12174" priority="6651">
      <formula>LEN(TRIM(P157))=0</formula>
    </cfRule>
    <cfRule type="containsBlanks" dxfId="12173" priority="6652">
      <formula>LEN(TRIM(P157))=0</formula>
    </cfRule>
    <cfRule type="containsBlanks" dxfId="12172" priority="6653">
      <formula>LEN(TRIM(P157))=0</formula>
    </cfRule>
    <cfRule type="containsBlanks" dxfId="12171" priority="6654">
      <formula>LEN(TRIM(P157))=0</formula>
    </cfRule>
    <cfRule type="containsBlanks" dxfId="12170" priority="6655">
      <formula>LEN(TRIM(P157))=0</formula>
    </cfRule>
    <cfRule type="containsBlanks" dxfId="12169" priority="6656">
      <formula>LEN(TRIM(P157))=0</formula>
    </cfRule>
    <cfRule type="containsBlanks" dxfId="12168" priority="6657">
      <formula>LEN(TRIM(P157))=0</formula>
    </cfRule>
    <cfRule type="containsBlanks" dxfId="12167" priority="6658">
      <formula>LEN(TRIM(P157))=0</formula>
    </cfRule>
    <cfRule type="containsBlanks" dxfId="12166" priority="6659">
      <formula>LEN(TRIM(P157))=0</formula>
    </cfRule>
    <cfRule type="containsBlanks" dxfId="12165" priority="6660">
      <formula>LEN(TRIM(P157))=0</formula>
    </cfRule>
    <cfRule type="containsBlanks" dxfId="12164" priority="6661">
      <formula>LEN(TRIM(P157))=0</formula>
    </cfRule>
    <cfRule type="containsBlanks" dxfId="12163" priority="6662">
      <formula>LEN(TRIM(P157))=0</formula>
    </cfRule>
    <cfRule type="containsBlanks" dxfId="12162" priority="6663">
      <formula>LEN(TRIM(P157))=0</formula>
    </cfRule>
    <cfRule type="containsBlanks" dxfId="12161" priority="6664">
      <formula>LEN(TRIM(P157))=0</formula>
    </cfRule>
    <cfRule type="containsBlanks" dxfId="12160" priority="6665">
      <formula>LEN(TRIM(P157))=0</formula>
    </cfRule>
    <cfRule type="containsBlanks" dxfId="12159" priority="6666">
      <formula>LEN(TRIM(P157))=0</formula>
    </cfRule>
    <cfRule type="containsBlanks" dxfId="12158" priority="6667">
      <formula>LEN(TRIM(P157))=0</formula>
    </cfRule>
    <cfRule type="containsBlanks" dxfId="12157" priority="6668">
      <formula>LEN(TRIM(P157))=0</formula>
    </cfRule>
    <cfRule type="containsBlanks" dxfId="12156" priority="6669">
      <formula>LEN(TRIM(P157))=0</formula>
    </cfRule>
    <cfRule type="containsBlanks" dxfId="12155" priority="6670">
      <formula>LEN(TRIM(P157))=0</formula>
    </cfRule>
    <cfRule type="containsBlanks" dxfId="12154" priority="6671">
      <formula>LEN(TRIM(P157))=0</formula>
    </cfRule>
    <cfRule type="containsBlanks" dxfId="12153" priority="6672">
      <formula>LEN(TRIM(P157))=0</formula>
    </cfRule>
    <cfRule type="containsBlanks" dxfId="12152" priority="6673">
      <formula>LEN(TRIM(P157))=0</formula>
    </cfRule>
    <cfRule type="containsBlanks" dxfId="12151" priority="6674">
      <formula>LEN(TRIM(P157))=0</formula>
    </cfRule>
    <cfRule type="containsBlanks" dxfId="12150" priority="6675">
      <formula>LEN(TRIM(P157))=0</formula>
    </cfRule>
    <cfRule type="containsBlanks" dxfId="12149" priority="6676">
      <formula>LEN(TRIM(P157))=0</formula>
    </cfRule>
    <cfRule type="containsBlanks" dxfId="12148" priority="6677">
      <formula>LEN(TRIM(P157))=0</formula>
    </cfRule>
    <cfRule type="containsBlanks" dxfId="12147" priority="6678">
      <formula>LEN(TRIM(P157))=0</formula>
    </cfRule>
    <cfRule type="containsBlanks" dxfId="12146" priority="6679">
      <formula>LEN(TRIM(P157))=0</formula>
    </cfRule>
    <cfRule type="containsBlanks" dxfId="12145" priority="6680">
      <formula>LEN(TRIM(P157))=0</formula>
    </cfRule>
    <cfRule type="containsBlanks" dxfId="12144" priority="6681">
      <formula>LEN(TRIM(P157))=0</formula>
    </cfRule>
    <cfRule type="containsBlanks" dxfId="12143" priority="6682">
      <formula>LEN(TRIM(P157))=0</formula>
    </cfRule>
    <cfRule type="containsBlanks" dxfId="12142" priority="6683">
      <formula>LEN(TRIM(P157))=0</formula>
    </cfRule>
    <cfRule type="containsBlanks" dxfId="12141" priority="6684">
      <formula>LEN(TRIM(P157))=0</formula>
    </cfRule>
    <cfRule type="containsBlanks" dxfId="12140" priority="6685">
      <formula>LEN(TRIM(P157))=0</formula>
    </cfRule>
    <cfRule type="containsBlanks" dxfId="12139" priority="6686">
      <formula>LEN(TRIM(P157))=0</formula>
    </cfRule>
    <cfRule type="containsBlanks" dxfId="12138" priority="6687">
      <formula>LEN(TRIM(P157))=0</formula>
    </cfRule>
    <cfRule type="containsBlanks" dxfId="12137" priority="6688">
      <formula>LEN(TRIM(P157))=0</formula>
    </cfRule>
    <cfRule type="containsBlanks" dxfId="12136" priority="6689">
      <formula>LEN(TRIM(P157))=0</formula>
    </cfRule>
    <cfRule type="containsBlanks" dxfId="12135" priority="6690">
      <formula>LEN(TRIM(P157))=0</formula>
    </cfRule>
    <cfRule type="containsBlanks" dxfId="12134" priority="6691">
      <formula>LEN(TRIM(P157))=0</formula>
    </cfRule>
    <cfRule type="containsBlanks" dxfId="12133" priority="6692">
      <formula>LEN(TRIM(P157))=0</formula>
    </cfRule>
    <cfRule type="containsBlanks" dxfId="12132" priority="6693">
      <formula>LEN(TRIM(P157))=0</formula>
    </cfRule>
    <cfRule type="containsBlanks" dxfId="12131" priority="6694">
      <formula>LEN(TRIM(P157))=0</formula>
    </cfRule>
    <cfRule type="containsBlanks" dxfId="12130" priority="6695">
      <formula>LEN(TRIM(P157))=0</formula>
    </cfRule>
    <cfRule type="containsBlanks" dxfId="12129" priority="6696">
      <formula>LEN(TRIM(P157))=0</formula>
    </cfRule>
    <cfRule type="containsBlanks" dxfId="12128" priority="6697">
      <formula>LEN(TRIM(P157))=0</formula>
    </cfRule>
    <cfRule type="containsBlanks" dxfId="12127" priority="6698">
      <formula>LEN(TRIM(P157))=0</formula>
    </cfRule>
    <cfRule type="containsBlanks" dxfId="12126" priority="6699">
      <formula>LEN(TRIM(P157))=0</formula>
    </cfRule>
    <cfRule type="containsBlanks" dxfId="12125" priority="6700">
      <formula>LEN(TRIM(P157))=0</formula>
    </cfRule>
    <cfRule type="containsBlanks" dxfId="12124" priority="6701">
      <formula>LEN(TRIM(P157))=0</formula>
    </cfRule>
    <cfRule type="containsBlanks" dxfId="12123" priority="6702">
      <formula>LEN(TRIM(P157))=0</formula>
    </cfRule>
    <cfRule type="containsBlanks" dxfId="12122" priority="6703">
      <formula>LEN(TRIM(P157))=0</formula>
    </cfRule>
    <cfRule type="containsBlanks" dxfId="12121" priority="6704">
      <formula>LEN(TRIM(P157))=0</formula>
    </cfRule>
    <cfRule type="containsBlanks" dxfId="12120" priority="6705">
      <formula>LEN(TRIM(P157))=0</formula>
    </cfRule>
    <cfRule type="containsBlanks" dxfId="12119" priority="6706">
      <formula>LEN(TRIM(P157))=0</formula>
    </cfRule>
    <cfRule type="containsBlanks" dxfId="12118" priority="6707">
      <formula>LEN(TRIM(P157))=0</formula>
    </cfRule>
    <cfRule type="containsBlanks" dxfId="12117" priority="6708">
      <formula>LEN(TRIM(P157))=0</formula>
    </cfRule>
    <cfRule type="containsBlanks" dxfId="12116" priority="6709">
      <formula>LEN(TRIM(P157))=0</formula>
    </cfRule>
    <cfRule type="containsBlanks" dxfId="12115" priority="6710">
      <formula>LEN(TRIM(P157))=0</formula>
    </cfRule>
    <cfRule type="containsBlanks" dxfId="12114" priority="6711">
      <formula>LEN(TRIM(P157))=0</formula>
    </cfRule>
    <cfRule type="containsBlanks" dxfId="12113" priority="6712">
      <formula>LEN(TRIM(P157))=0</formula>
    </cfRule>
    <cfRule type="containsBlanks" dxfId="12112" priority="6713">
      <formula>LEN(TRIM(P157))=0</formula>
    </cfRule>
    <cfRule type="containsBlanks" dxfId="12111" priority="6714">
      <formula>LEN(TRIM(P157))=0</formula>
    </cfRule>
    <cfRule type="containsBlanks" dxfId="12110" priority="6715">
      <formula>LEN(TRIM(P157))=0</formula>
    </cfRule>
    <cfRule type="containsBlanks" dxfId="12109" priority="6716">
      <formula>LEN(TRIM(P157))=0</formula>
    </cfRule>
    <cfRule type="containsBlanks" dxfId="12108" priority="6717">
      <formula>LEN(TRIM(P157))=0</formula>
    </cfRule>
    <cfRule type="containsBlanks" dxfId="12107" priority="6718">
      <formula>LEN(TRIM(P157))=0</formula>
    </cfRule>
    <cfRule type="containsBlanks" dxfId="12106" priority="6719">
      <formula>LEN(TRIM(P157))=0</formula>
    </cfRule>
    <cfRule type="containsBlanks" dxfId="12105" priority="6720">
      <formula>LEN(TRIM(P157))=0</formula>
    </cfRule>
    <cfRule type="containsBlanks" dxfId="12104" priority="6721">
      <formula>LEN(TRIM(P157))=0</formula>
    </cfRule>
    <cfRule type="containsBlanks" dxfId="12103" priority="6722">
      <formula>LEN(TRIM(P157))=0</formula>
    </cfRule>
    <cfRule type="containsBlanks" dxfId="12102" priority="6723">
      <formula>LEN(TRIM(P157))=0</formula>
    </cfRule>
    <cfRule type="containsBlanks" dxfId="12101" priority="6724">
      <formula>LEN(TRIM(P157))=0</formula>
    </cfRule>
    <cfRule type="containsBlanks" dxfId="12100" priority="6725">
      <formula>LEN(TRIM(P157))=0</formula>
    </cfRule>
    <cfRule type="containsBlanks" dxfId="12099" priority="6726">
      <formula>LEN(TRIM(P157))=0</formula>
    </cfRule>
    <cfRule type="containsBlanks" dxfId="12098" priority="6727">
      <formula>LEN(TRIM(P157))=0</formula>
    </cfRule>
    <cfRule type="containsBlanks" dxfId="12097" priority="6728">
      <formula>LEN(TRIM(P157))=0</formula>
    </cfRule>
    <cfRule type="containsBlanks" dxfId="12096" priority="6729">
      <formula>LEN(TRIM(P157))=0</formula>
    </cfRule>
    <cfRule type="containsBlanks" dxfId="12095" priority="6730">
      <formula>LEN(TRIM(P157))=0</formula>
    </cfRule>
    <cfRule type="containsBlanks" dxfId="12094" priority="6731">
      <formula>LEN(TRIM(P157))=0</formula>
    </cfRule>
    <cfRule type="containsBlanks" dxfId="12093" priority="6732">
      <formula>LEN(TRIM(P157))=0</formula>
    </cfRule>
    <cfRule type="containsBlanks" dxfId="12092" priority="6733">
      <formula>LEN(TRIM(P157))=0</formula>
    </cfRule>
    <cfRule type="containsBlanks" dxfId="12091" priority="6734">
      <formula>LEN(TRIM(P157))=0</formula>
    </cfRule>
    <cfRule type="containsBlanks" dxfId="12090" priority="6735">
      <formula>LEN(TRIM(P157))=0</formula>
    </cfRule>
    <cfRule type="containsBlanks" dxfId="12089" priority="6736">
      <formula>LEN(TRIM(P157))=0</formula>
    </cfRule>
    <cfRule type="containsBlanks" dxfId="12088" priority="6737">
      <formula>LEN(TRIM(P157))=0</formula>
    </cfRule>
    <cfRule type="containsBlanks" dxfId="12087" priority="6738">
      <formula>LEN(TRIM(P157))=0</formula>
    </cfRule>
    <cfRule type="containsBlanks" dxfId="12086" priority="6739">
      <formula>LEN(TRIM(P157))=0</formula>
    </cfRule>
    <cfRule type="containsBlanks" dxfId="12085" priority="6740">
      <formula>LEN(TRIM(P157))=0</formula>
    </cfRule>
    <cfRule type="containsBlanks" dxfId="12084" priority="6741">
      <formula>LEN(TRIM(P157))=0</formula>
    </cfRule>
    <cfRule type="containsBlanks" dxfId="12083" priority="6742">
      <formula>LEN(TRIM(P157))=0</formula>
    </cfRule>
    <cfRule type="containsBlanks" dxfId="12082" priority="6743">
      <formula>LEN(TRIM(P157))=0</formula>
    </cfRule>
    <cfRule type="containsBlanks" dxfId="12081" priority="6744">
      <formula>LEN(TRIM(P157))=0</formula>
    </cfRule>
    <cfRule type="containsBlanks" dxfId="12080" priority="6745">
      <formula>LEN(TRIM(P157))=0</formula>
    </cfRule>
    <cfRule type="containsBlanks" dxfId="12079" priority="6746">
      <formula>LEN(TRIM(P157))=0</formula>
    </cfRule>
    <cfRule type="containsBlanks" dxfId="12078" priority="6747">
      <formula>LEN(TRIM(P157))=0</formula>
    </cfRule>
    <cfRule type="containsBlanks" dxfId="12077" priority="6748">
      <formula>LEN(TRIM(P157))=0</formula>
    </cfRule>
    <cfRule type="containsBlanks" dxfId="12076" priority="6749">
      <formula>LEN(TRIM(P157))=0</formula>
    </cfRule>
    <cfRule type="containsBlanks" dxfId="12075" priority="6750">
      <formula>LEN(TRIM(P157))=0</formula>
    </cfRule>
    <cfRule type="containsBlanks" dxfId="12074" priority="6751">
      <formula>LEN(TRIM(P157))=0</formula>
    </cfRule>
    <cfRule type="containsBlanks" dxfId="12073" priority="6752">
      <formula>LEN(TRIM(P157))=0</formula>
    </cfRule>
    <cfRule type="containsBlanks" dxfId="12072" priority="6753">
      <formula>LEN(TRIM(P157))=0</formula>
    </cfRule>
    <cfRule type="containsBlanks" dxfId="12071" priority="6754">
      <formula>LEN(TRIM(P157))=0</formula>
    </cfRule>
    <cfRule type="containsBlanks" dxfId="12070" priority="6755">
      <formula>LEN(TRIM(P157))=0</formula>
    </cfRule>
    <cfRule type="containsBlanks" dxfId="12069" priority="6756">
      <formula>LEN(TRIM(P157))=0</formula>
    </cfRule>
    <cfRule type="containsBlanks" dxfId="12068" priority="6757">
      <formula>LEN(TRIM(P157))=0</formula>
    </cfRule>
    <cfRule type="containsBlanks" dxfId="12067" priority="6758">
      <formula>LEN(TRIM(P157))=0</formula>
    </cfRule>
    <cfRule type="containsBlanks" dxfId="12066" priority="6759">
      <formula>LEN(TRIM(P157))=0</formula>
    </cfRule>
    <cfRule type="containsBlanks" dxfId="12065" priority="6760">
      <formula>LEN(TRIM(P157))=0</formula>
    </cfRule>
    <cfRule type="containsBlanks" dxfId="12064" priority="6761">
      <formula>LEN(TRIM(P157))=0</formula>
    </cfRule>
    <cfRule type="containsBlanks" dxfId="12063" priority="6762">
      <formula>LEN(TRIM(P157))=0</formula>
    </cfRule>
    <cfRule type="containsBlanks" dxfId="12062" priority="6763">
      <formula>LEN(TRIM(P157))=0</formula>
    </cfRule>
    <cfRule type="containsBlanks" dxfId="12061" priority="6764">
      <formula>LEN(TRIM(P157))=0</formula>
    </cfRule>
  </conditionalFormatting>
  <conditionalFormatting sqref="Q99:Q105 Q107:Q110 Q112:Q158">
    <cfRule type="containsBlanks" dxfId="12060" priority="7795">
      <formula>LEN(TRIM(Q99))=0</formula>
    </cfRule>
    <cfRule type="containsBlanks" dxfId="12059" priority="7796">
      <formula>LEN(TRIM(Q99))=0</formula>
    </cfRule>
    <cfRule type="containsBlanks" dxfId="12058" priority="7797">
      <formula>LEN(TRIM(Q99))=0</formula>
    </cfRule>
    <cfRule type="containsBlanks" dxfId="12057" priority="7798">
      <formula>LEN(TRIM(Q99))=0</formula>
    </cfRule>
    <cfRule type="containsBlanks" dxfId="12056" priority="7799">
      <formula>LEN(TRIM(Q99))=0</formula>
    </cfRule>
    <cfRule type="containsBlanks" dxfId="12055" priority="7800">
      <formula>LEN(TRIM(Q99))=0</formula>
    </cfRule>
    <cfRule type="containsBlanks" dxfId="12054" priority="7801">
      <formula>LEN(TRIM(Q99))=0</formula>
    </cfRule>
    <cfRule type="containsBlanks" dxfId="12053" priority="7802">
      <formula>LEN(TRIM(Q99))=0</formula>
    </cfRule>
    <cfRule type="containsBlanks" dxfId="12052" priority="7803">
      <formula>LEN(TRIM(Q99))=0</formula>
    </cfRule>
    <cfRule type="containsBlanks" dxfId="12051" priority="7804">
      <formula>LEN(TRIM(Q99))=0</formula>
    </cfRule>
    <cfRule type="containsBlanks" dxfId="12050" priority="7805">
      <formula>LEN(TRIM(Q99))=0</formula>
    </cfRule>
    <cfRule type="containsBlanks" dxfId="12049" priority="7806">
      <formula>LEN(TRIM(Q99))=0</formula>
    </cfRule>
    <cfRule type="containsBlanks" dxfId="12048" priority="7807">
      <formula>LEN(TRIM(Q99))=0</formula>
    </cfRule>
    <cfRule type="containsBlanks" dxfId="12047" priority="7808">
      <formula>LEN(TRIM(Q99))=0</formula>
    </cfRule>
    <cfRule type="containsBlanks" dxfId="12046" priority="7809">
      <formula>LEN(TRIM(Q99))=0</formula>
    </cfRule>
    <cfRule type="containsBlanks" dxfId="12045" priority="7810">
      <formula>LEN(TRIM(Q99))=0</formula>
    </cfRule>
    <cfRule type="containsBlanks" dxfId="12044" priority="7811">
      <formula>LEN(TRIM(Q99))=0</formula>
    </cfRule>
    <cfRule type="containsBlanks" dxfId="12043" priority="7812">
      <formula>LEN(TRIM(Q99))=0</formula>
    </cfRule>
    <cfRule type="containsBlanks" dxfId="12042" priority="7813">
      <formula>LEN(TRIM(Q99))=0</formula>
    </cfRule>
    <cfRule type="containsBlanks" dxfId="12041" priority="7814">
      <formula>LEN(TRIM(Q99))=0</formula>
    </cfRule>
    <cfRule type="containsBlanks" dxfId="12040" priority="7815">
      <formula>LEN(TRIM(Q99))=0</formula>
    </cfRule>
    <cfRule type="containsBlanks" dxfId="12039" priority="7816">
      <formula>LEN(TRIM(Q99))=0</formula>
    </cfRule>
    <cfRule type="containsBlanks" dxfId="12038" priority="7817">
      <formula>LEN(TRIM(Q99))=0</formula>
    </cfRule>
    <cfRule type="containsBlanks" dxfId="12037" priority="7818">
      <formula>LEN(TRIM(Q99))=0</formula>
    </cfRule>
    <cfRule type="containsBlanks" dxfId="12036" priority="7819">
      <formula>LEN(TRIM(Q99))=0</formula>
    </cfRule>
    <cfRule type="containsBlanks" dxfId="12035" priority="7820">
      <formula>LEN(TRIM(Q99))=0</formula>
    </cfRule>
    <cfRule type="containsBlanks" dxfId="12034" priority="7821">
      <formula>LEN(TRIM(Q99))=0</formula>
    </cfRule>
    <cfRule type="containsBlanks" dxfId="12033" priority="7822">
      <formula>LEN(TRIM(Q99))=0</formula>
    </cfRule>
    <cfRule type="containsBlanks" dxfId="12032" priority="7823">
      <formula>LEN(TRIM(Q99))=0</formula>
    </cfRule>
    <cfRule type="containsBlanks" dxfId="12031" priority="7824">
      <formula>LEN(TRIM(Q99))=0</formula>
    </cfRule>
    <cfRule type="containsBlanks" dxfId="12030" priority="7825">
      <formula>LEN(TRIM(Q99))=0</formula>
    </cfRule>
    <cfRule type="containsBlanks" dxfId="12029" priority="7826">
      <formula>LEN(TRIM(Q99))=0</formula>
    </cfRule>
    <cfRule type="containsBlanks" dxfId="12028" priority="7827">
      <formula>LEN(TRIM(Q99))=0</formula>
    </cfRule>
    <cfRule type="containsBlanks" dxfId="12027" priority="7828">
      <formula>LEN(TRIM(Q99))=0</formula>
    </cfRule>
    <cfRule type="containsBlanks" dxfId="12026" priority="7829">
      <formula>LEN(TRIM(Q99))=0</formula>
    </cfRule>
    <cfRule type="containsBlanks" dxfId="12025" priority="7830">
      <formula>LEN(TRIM(Q99))=0</formula>
    </cfRule>
    <cfRule type="containsBlanks" dxfId="12024" priority="7831">
      <formula>LEN(TRIM(Q99))=0</formula>
    </cfRule>
    <cfRule type="containsBlanks" dxfId="12023" priority="7832">
      <formula>LEN(TRIM(Q99))=0</formula>
    </cfRule>
    <cfRule type="containsBlanks" dxfId="12022" priority="7833">
      <formula>LEN(TRIM(Q99))=0</formula>
    </cfRule>
    <cfRule type="containsBlanks" dxfId="12021" priority="7834">
      <formula>LEN(TRIM(Q99))=0</formula>
    </cfRule>
    <cfRule type="containsBlanks" dxfId="12020" priority="7835">
      <formula>LEN(TRIM(Q99))=0</formula>
    </cfRule>
    <cfRule type="containsBlanks" dxfId="12019" priority="7836">
      <formula>LEN(TRIM(Q99))=0</formula>
    </cfRule>
    <cfRule type="containsBlanks" dxfId="12018" priority="7837">
      <formula>LEN(TRIM(Q99))=0</formula>
    </cfRule>
    <cfRule type="containsBlanks" dxfId="12017" priority="7838">
      <formula>LEN(TRIM(Q99))=0</formula>
    </cfRule>
    <cfRule type="containsBlanks" dxfId="12016" priority="7839">
      <formula>LEN(TRIM(Q99))=0</formula>
    </cfRule>
    <cfRule type="containsBlanks" dxfId="12015" priority="7840">
      <formula>LEN(TRIM(Q99))=0</formula>
    </cfRule>
    <cfRule type="containsBlanks" dxfId="12014" priority="7841">
      <formula>LEN(TRIM(Q99))=0</formula>
    </cfRule>
    <cfRule type="containsBlanks" dxfId="12013" priority="7842">
      <formula>LEN(TRIM(Q99))=0</formula>
    </cfRule>
    <cfRule type="containsBlanks" dxfId="12012" priority="7843">
      <formula>LEN(TRIM(Q99))=0</formula>
    </cfRule>
    <cfRule type="containsBlanks" dxfId="12011" priority="7844">
      <formula>LEN(TRIM(Q99))=0</formula>
    </cfRule>
    <cfRule type="containsBlanks" dxfId="12010" priority="7845">
      <formula>LEN(TRIM(Q99))=0</formula>
    </cfRule>
    <cfRule type="containsBlanks" dxfId="12009" priority="7846">
      <formula>LEN(TRIM(Q99))=0</formula>
    </cfRule>
    <cfRule type="containsBlanks" dxfId="12008" priority="7847">
      <formula>LEN(TRIM(Q99))=0</formula>
    </cfRule>
    <cfRule type="containsBlanks" dxfId="12007" priority="7848">
      <formula>LEN(TRIM(Q99))=0</formula>
    </cfRule>
    <cfRule type="containsBlanks" dxfId="12006" priority="7849">
      <formula>LEN(TRIM(Q99))=0</formula>
    </cfRule>
    <cfRule type="containsBlanks" dxfId="12005" priority="7850">
      <formula>LEN(TRIM(Q99))=0</formula>
    </cfRule>
    <cfRule type="containsBlanks" dxfId="12004" priority="7851">
      <formula>LEN(TRIM(Q99))=0</formula>
    </cfRule>
    <cfRule type="containsBlanks" dxfId="12003" priority="7852">
      <formula>LEN(TRIM(Q99))=0</formula>
    </cfRule>
    <cfRule type="containsBlanks" dxfId="12002" priority="7853">
      <formula>LEN(TRIM(Q99))=0</formula>
    </cfRule>
    <cfRule type="containsBlanks" dxfId="12001" priority="7854">
      <formula>LEN(TRIM(Q99))=0</formula>
    </cfRule>
    <cfRule type="containsBlanks" dxfId="12000" priority="7855">
      <formula>LEN(TRIM(Q99))=0</formula>
    </cfRule>
    <cfRule type="containsBlanks" dxfId="11999" priority="7856">
      <formula>LEN(TRIM(Q99))=0</formula>
    </cfRule>
    <cfRule type="containsBlanks" dxfId="11998" priority="7857">
      <formula>LEN(TRIM(Q99))=0</formula>
    </cfRule>
    <cfRule type="containsBlanks" dxfId="11997" priority="7858">
      <formula>LEN(TRIM(Q99))=0</formula>
    </cfRule>
    <cfRule type="containsBlanks" dxfId="11996" priority="7859">
      <formula>LEN(TRIM(Q99))=0</formula>
    </cfRule>
    <cfRule type="containsBlanks" dxfId="11995" priority="7860">
      <formula>LEN(TRIM(Q99))=0</formula>
    </cfRule>
    <cfRule type="containsBlanks" dxfId="11994" priority="7861">
      <formula>LEN(TRIM(Q99))=0</formula>
    </cfRule>
    <cfRule type="containsBlanks" dxfId="11993" priority="7862">
      <formula>LEN(TRIM(Q99))=0</formula>
    </cfRule>
    <cfRule type="containsBlanks" dxfId="11992" priority="7863">
      <formula>LEN(TRIM(Q99))=0</formula>
    </cfRule>
    <cfRule type="containsBlanks" dxfId="11991" priority="7864">
      <formula>LEN(TRIM(Q99))=0</formula>
    </cfRule>
    <cfRule type="containsBlanks" dxfId="11990" priority="7865">
      <formula>LEN(TRIM(Q99))=0</formula>
    </cfRule>
    <cfRule type="containsBlanks" dxfId="11989" priority="7866">
      <formula>LEN(TRIM(Q99))=0</formula>
    </cfRule>
    <cfRule type="containsBlanks" dxfId="11988" priority="7867">
      <formula>LEN(TRIM(Q99))=0</formula>
    </cfRule>
    <cfRule type="containsBlanks" dxfId="11987" priority="7868">
      <formula>LEN(TRIM(Q99))=0</formula>
    </cfRule>
    <cfRule type="containsBlanks" dxfId="11986" priority="7869">
      <formula>LEN(TRIM(Q99))=0</formula>
    </cfRule>
    <cfRule type="containsBlanks" dxfId="11985" priority="7870">
      <formula>LEN(TRIM(Q99))=0</formula>
    </cfRule>
    <cfRule type="containsBlanks" dxfId="11984" priority="7871">
      <formula>LEN(TRIM(Q99))=0</formula>
    </cfRule>
    <cfRule type="containsBlanks" dxfId="11983" priority="7872">
      <formula>LEN(TRIM(Q99))=0</formula>
    </cfRule>
    <cfRule type="containsBlanks" dxfId="11982" priority="7873">
      <formula>LEN(TRIM(Q99))=0</formula>
    </cfRule>
    <cfRule type="containsBlanks" dxfId="11981" priority="7874">
      <formula>LEN(TRIM(Q99))=0</formula>
    </cfRule>
    <cfRule type="containsBlanks" dxfId="11980" priority="7875">
      <formula>LEN(TRIM(Q99))=0</formula>
    </cfRule>
    <cfRule type="containsBlanks" dxfId="11979" priority="7876">
      <formula>LEN(TRIM(Q99))=0</formula>
    </cfRule>
    <cfRule type="containsBlanks" dxfId="11978" priority="7877">
      <formula>LEN(TRIM(Q99))=0</formula>
    </cfRule>
    <cfRule type="containsBlanks" dxfId="11977" priority="7878">
      <formula>LEN(TRIM(Q99))=0</formula>
    </cfRule>
    <cfRule type="containsBlanks" dxfId="11976" priority="7879">
      <formula>LEN(TRIM(Q99))=0</formula>
    </cfRule>
    <cfRule type="containsBlanks" dxfId="11975" priority="7880">
      <formula>LEN(TRIM(Q99))=0</formula>
    </cfRule>
    <cfRule type="containsBlanks" dxfId="11974" priority="7881">
      <formula>LEN(TRIM(Q99))=0</formula>
    </cfRule>
    <cfRule type="containsBlanks" dxfId="11973" priority="7882">
      <formula>LEN(TRIM(Q99))=0</formula>
    </cfRule>
    <cfRule type="containsBlanks" dxfId="11972" priority="7883">
      <formula>LEN(TRIM(Q99))=0</formula>
    </cfRule>
    <cfRule type="containsBlanks" dxfId="11971" priority="7884">
      <formula>LEN(TRIM(Q99))=0</formula>
    </cfRule>
    <cfRule type="containsBlanks" dxfId="11970" priority="7885">
      <formula>LEN(TRIM(Q99))=0</formula>
    </cfRule>
    <cfRule type="containsBlanks" dxfId="11969" priority="7886">
      <formula>LEN(TRIM(Q99))=0</formula>
    </cfRule>
    <cfRule type="containsBlanks" dxfId="11968" priority="7887">
      <formula>LEN(TRIM(Q99))=0</formula>
    </cfRule>
    <cfRule type="containsBlanks" dxfId="11967" priority="7888">
      <formula>LEN(TRIM(Q99))=0</formula>
    </cfRule>
    <cfRule type="containsBlanks" dxfId="11966" priority="7889">
      <formula>LEN(TRIM(Q99))=0</formula>
    </cfRule>
    <cfRule type="containsBlanks" dxfId="11965" priority="7890">
      <formula>LEN(TRIM(Q99))=0</formula>
    </cfRule>
    <cfRule type="containsBlanks" dxfId="11964" priority="7891">
      <formula>LEN(TRIM(Q99))=0</formula>
    </cfRule>
    <cfRule type="containsBlanks" dxfId="11963" priority="7892">
      <formula>LEN(TRIM(Q99))=0</formula>
    </cfRule>
    <cfRule type="containsBlanks" dxfId="11962" priority="7893">
      <formula>LEN(TRIM(Q99))=0</formula>
    </cfRule>
    <cfRule type="containsBlanks" dxfId="11961" priority="7894">
      <formula>LEN(TRIM(Q99))=0</formula>
    </cfRule>
    <cfRule type="containsBlanks" dxfId="11960" priority="7895">
      <formula>LEN(TRIM(Q99))=0</formula>
    </cfRule>
    <cfRule type="containsBlanks" dxfId="11959" priority="7896">
      <formula>LEN(TRIM(Q99))=0</formula>
    </cfRule>
    <cfRule type="containsBlanks" dxfId="11958" priority="7897">
      <formula>LEN(TRIM(Q99))=0</formula>
    </cfRule>
    <cfRule type="containsBlanks" dxfId="11957" priority="7898">
      <formula>LEN(TRIM(Q99))=0</formula>
    </cfRule>
    <cfRule type="containsBlanks" dxfId="11956" priority="7899">
      <formula>LEN(TRIM(Q99))=0</formula>
    </cfRule>
    <cfRule type="containsBlanks" dxfId="11955" priority="7900">
      <formula>LEN(TRIM(Q99))=0</formula>
    </cfRule>
    <cfRule type="containsBlanks" dxfId="11954" priority="7901">
      <formula>LEN(TRIM(Q99))=0</formula>
    </cfRule>
    <cfRule type="containsBlanks" dxfId="11953" priority="7902">
      <formula>LEN(TRIM(Q99))=0</formula>
    </cfRule>
    <cfRule type="containsBlanks" dxfId="11952" priority="7903">
      <formula>LEN(TRIM(Q99))=0</formula>
    </cfRule>
    <cfRule type="containsBlanks" dxfId="11951" priority="7904">
      <formula>LEN(TRIM(Q99))=0</formula>
    </cfRule>
    <cfRule type="containsBlanks" dxfId="11950" priority="7905">
      <formula>LEN(TRIM(Q99))=0</formula>
    </cfRule>
    <cfRule type="containsBlanks" dxfId="11949" priority="7906">
      <formula>LEN(TRIM(Q99))=0</formula>
    </cfRule>
    <cfRule type="containsBlanks" dxfId="11948" priority="7907">
      <formula>LEN(TRIM(Q99))=0</formula>
    </cfRule>
    <cfRule type="containsBlanks" dxfId="11947" priority="7908">
      <formula>LEN(TRIM(Q99))=0</formula>
    </cfRule>
    <cfRule type="containsBlanks" dxfId="11946" priority="7909">
      <formula>LEN(TRIM(Q99))=0</formula>
    </cfRule>
    <cfRule type="containsBlanks" dxfId="11945" priority="7910">
      <formula>LEN(TRIM(Q99))=0</formula>
    </cfRule>
    <cfRule type="containsBlanks" dxfId="11944" priority="7911">
      <formula>LEN(TRIM(Q99))=0</formula>
    </cfRule>
    <cfRule type="containsBlanks" dxfId="11943" priority="7912">
      <formula>LEN(TRIM(Q99))=0</formula>
    </cfRule>
    <cfRule type="containsBlanks" dxfId="11942" priority="7913">
      <formula>LEN(TRIM(Q99))=0</formula>
    </cfRule>
    <cfRule type="containsBlanks" dxfId="11941" priority="7914">
      <formula>LEN(TRIM(Q99))=0</formula>
    </cfRule>
    <cfRule type="containsBlanks" dxfId="11940" priority="7915">
      <formula>LEN(TRIM(Q99))=0</formula>
    </cfRule>
    <cfRule type="containsBlanks" dxfId="11939" priority="7916">
      <formula>LEN(TRIM(Q99))=0</formula>
    </cfRule>
    <cfRule type="containsBlanks" dxfId="11938" priority="7917">
      <formula>LEN(TRIM(Q99))=0</formula>
    </cfRule>
    <cfRule type="containsBlanks" dxfId="11937" priority="7918">
      <formula>LEN(TRIM(Q99))=0</formula>
    </cfRule>
    <cfRule type="containsBlanks" dxfId="11936" priority="7919">
      <formula>LEN(TRIM(Q99))=0</formula>
    </cfRule>
    <cfRule type="containsBlanks" dxfId="11935" priority="7920">
      <formula>LEN(TRIM(Q99))=0</formula>
    </cfRule>
    <cfRule type="containsBlanks" dxfId="11934" priority="7921">
      <formula>LEN(TRIM(Q99))=0</formula>
    </cfRule>
    <cfRule type="containsBlanks" dxfId="11933" priority="7922">
      <formula>LEN(TRIM(Q99))=0</formula>
    </cfRule>
    <cfRule type="containsBlanks" dxfId="11932" priority="7923">
      <formula>LEN(TRIM(Q99))=0</formula>
    </cfRule>
    <cfRule type="containsBlanks" dxfId="11931" priority="7924">
      <formula>LEN(TRIM(Q99))=0</formula>
    </cfRule>
    <cfRule type="containsBlanks" dxfId="11930" priority="7925">
      <formula>LEN(TRIM(Q99))=0</formula>
    </cfRule>
    <cfRule type="containsBlanks" dxfId="11929" priority="7926">
      <formula>LEN(TRIM(Q99))=0</formula>
    </cfRule>
    <cfRule type="containsBlanks" dxfId="11928" priority="7927">
      <formula>LEN(TRIM(Q99))=0</formula>
    </cfRule>
    <cfRule type="containsBlanks" dxfId="11927" priority="7928">
      <formula>LEN(TRIM(Q99))=0</formula>
    </cfRule>
    <cfRule type="containsBlanks" dxfId="11926" priority="7929">
      <formula>LEN(TRIM(Q99))=0</formula>
    </cfRule>
    <cfRule type="containsBlanks" dxfId="11925" priority="7930">
      <formula>LEN(TRIM(Q99))=0</formula>
    </cfRule>
    <cfRule type="containsBlanks" dxfId="11924" priority="7931">
      <formula>LEN(TRIM(Q99))=0</formula>
    </cfRule>
    <cfRule type="containsBlanks" dxfId="11923" priority="7932">
      <formula>LEN(TRIM(Q99))=0</formula>
    </cfRule>
    <cfRule type="containsBlanks" dxfId="11922" priority="7933">
      <formula>LEN(TRIM(Q99))=0</formula>
    </cfRule>
    <cfRule type="containsBlanks" dxfId="11921" priority="7934">
      <formula>LEN(TRIM(Q99))=0</formula>
    </cfRule>
    <cfRule type="containsBlanks" dxfId="11920" priority="7935">
      <formula>LEN(TRIM(Q99))=0</formula>
    </cfRule>
    <cfRule type="containsBlanks" dxfId="11919" priority="7936">
      <formula>LEN(TRIM(Q99))=0</formula>
    </cfRule>
    <cfRule type="containsBlanks" dxfId="11918" priority="7937">
      <formula>LEN(TRIM(Q99))=0</formula>
    </cfRule>
    <cfRule type="containsBlanks" dxfId="11917" priority="7938">
      <formula>LEN(TRIM(Q99))=0</formula>
    </cfRule>
    <cfRule type="containsBlanks" dxfId="11916" priority="7939">
      <formula>LEN(TRIM(Q99))=0</formula>
    </cfRule>
    <cfRule type="containsBlanks" dxfId="11915" priority="7940">
      <formula>LEN(TRIM(Q99))=0</formula>
    </cfRule>
    <cfRule type="containsBlanks" dxfId="11914" priority="7941">
      <formula>LEN(TRIM(Q99))=0</formula>
    </cfRule>
    <cfRule type="containsBlanks" dxfId="11913" priority="7942">
      <formula>LEN(TRIM(Q99))=0</formula>
    </cfRule>
    <cfRule type="containsBlanks" dxfId="11912" priority="7943">
      <formula>LEN(TRIM(Q99))=0</formula>
    </cfRule>
    <cfRule type="containsBlanks" dxfId="11911" priority="7944">
      <formula>LEN(TRIM(Q99))=0</formula>
    </cfRule>
    <cfRule type="containsBlanks" dxfId="11910" priority="7945">
      <formula>LEN(TRIM(Q99))=0</formula>
    </cfRule>
    <cfRule type="containsBlanks" dxfId="11909" priority="7946">
      <formula>LEN(TRIM(Q99))=0</formula>
    </cfRule>
    <cfRule type="containsBlanks" dxfId="11908" priority="7947">
      <formula>LEN(TRIM(Q99))=0</formula>
    </cfRule>
    <cfRule type="containsBlanks" dxfId="11907" priority="7948">
      <formula>LEN(TRIM(Q99))=0</formula>
    </cfRule>
    <cfRule type="containsBlanks" dxfId="11906" priority="7949">
      <formula>LEN(TRIM(Q99))=0</formula>
    </cfRule>
    <cfRule type="containsBlanks" dxfId="11905" priority="7950">
      <formula>LEN(TRIM(Q99))=0</formula>
    </cfRule>
    <cfRule type="containsBlanks" dxfId="11904" priority="7951">
      <formula>LEN(TRIM(Q99))=0</formula>
    </cfRule>
    <cfRule type="containsBlanks" dxfId="11903" priority="7952">
      <formula>LEN(TRIM(Q99))=0</formula>
    </cfRule>
    <cfRule type="containsBlanks" dxfId="11902" priority="7953">
      <formula>LEN(TRIM(Q99))=0</formula>
    </cfRule>
    <cfRule type="containsBlanks" dxfId="11901" priority="7954">
      <formula>LEN(TRIM(Q99))=0</formula>
    </cfRule>
    <cfRule type="containsBlanks" dxfId="11900" priority="7955">
      <formula>LEN(TRIM(Q99))=0</formula>
    </cfRule>
    <cfRule type="containsBlanks" dxfId="11899" priority="7956">
      <formula>LEN(TRIM(Q99))=0</formula>
    </cfRule>
    <cfRule type="containsBlanks" dxfId="11898" priority="7957">
      <formula>LEN(TRIM(Q99))=0</formula>
    </cfRule>
    <cfRule type="containsBlanks" dxfId="11897" priority="7958">
      <formula>LEN(TRIM(Q99))=0</formula>
    </cfRule>
    <cfRule type="containsBlanks" dxfId="11896" priority="7959">
      <formula>LEN(TRIM(Q99))=0</formula>
    </cfRule>
    <cfRule type="containsBlanks" dxfId="11895" priority="7960">
      <formula>LEN(TRIM(Q99))=0</formula>
    </cfRule>
    <cfRule type="containsBlanks" dxfId="11894" priority="7961">
      <formula>LEN(TRIM(Q99))=0</formula>
    </cfRule>
    <cfRule type="containsBlanks" dxfId="11893" priority="7962">
      <formula>LEN(TRIM(Q99))=0</formula>
    </cfRule>
    <cfRule type="containsBlanks" dxfId="11892" priority="7963">
      <formula>LEN(TRIM(Q99))=0</formula>
    </cfRule>
    <cfRule type="containsBlanks" dxfId="11891" priority="7964">
      <formula>LEN(TRIM(Q99))=0</formula>
    </cfRule>
    <cfRule type="containsBlanks" dxfId="11890" priority="7965">
      <formula>LEN(TRIM(Q99))=0</formula>
    </cfRule>
    <cfRule type="containsBlanks" dxfId="11889" priority="7966">
      <formula>LEN(TRIM(Q99))=0</formula>
    </cfRule>
    <cfRule type="containsBlanks" dxfId="11888" priority="7967">
      <formula>LEN(TRIM(Q99))=0</formula>
    </cfRule>
    <cfRule type="containsBlanks" dxfId="11887" priority="7968">
      <formula>LEN(TRIM(Q99))=0</formula>
    </cfRule>
    <cfRule type="containsBlanks" dxfId="11886" priority="7969">
      <formula>LEN(TRIM(Q99))=0</formula>
    </cfRule>
    <cfRule type="containsBlanks" dxfId="11885" priority="7970">
      <formula>LEN(TRIM(Q99))=0</formula>
    </cfRule>
    <cfRule type="containsBlanks" dxfId="11884" priority="7971">
      <formula>LEN(TRIM(Q99))=0</formula>
    </cfRule>
    <cfRule type="containsBlanks" dxfId="11883" priority="7972">
      <formula>LEN(TRIM(Q99))=0</formula>
    </cfRule>
    <cfRule type="containsBlanks" dxfId="11882" priority="7973">
      <formula>LEN(TRIM(Q99))=0</formula>
    </cfRule>
    <cfRule type="containsBlanks" dxfId="11881" priority="7974">
      <formula>LEN(TRIM(Q99))=0</formula>
    </cfRule>
    <cfRule type="containsBlanks" dxfId="11880" priority="7975">
      <formula>LEN(TRIM(Q99))=0</formula>
    </cfRule>
    <cfRule type="containsBlanks" dxfId="11879" priority="7976">
      <formula>LEN(TRIM(Q99))=0</formula>
    </cfRule>
    <cfRule type="containsBlanks" dxfId="11878" priority="7977">
      <formula>LEN(TRIM(Q99))=0</formula>
    </cfRule>
    <cfRule type="containsBlanks" dxfId="11877" priority="7978">
      <formula>LEN(TRIM(Q99))=0</formula>
    </cfRule>
    <cfRule type="containsBlanks" dxfId="11876" priority="7979">
      <formula>LEN(TRIM(Q99))=0</formula>
    </cfRule>
    <cfRule type="containsBlanks" dxfId="11875" priority="7980">
      <formula>LEN(TRIM(Q99))=0</formula>
    </cfRule>
    <cfRule type="containsBlanks" dxfId="11874" priority="7981">
      <formula>LEN(TRIM(Q99))=0</formula>
    </cfRule>
    <cfRule type="containsBlanks" dxfId="11873" priority="7982">
      <formula>LEN(TRIM(Q99))=0</formula>
    </cfRule>
    <cfRule type="containsBlanks" dxfId="11872" priority="7983">
      <formula>LEN(TRIM(Q99))=0</formula>
    </cfRule>
    <cfRule type="containsBlanks" dxfId="11871" priority="7984">
      <formula>LEN(TRIM(Q99))=0</formula>
    </cfRule>
    <cfRule type="containsBlanks" dxfId="11870" priority="7985">
      <formula>LEN(TRIM(Q99))=0</formula>
    </cfRule>
    <cfRule type="containsBlanks" dxfId="11869" priority="7986">
      <formula>LEN(TRIM(Q99))=0</formula>
    </cfRule>
    <cfRule type="containsBlanks" dxfId="11868" priority="7987">
      <formula>LEN(TRIM(Q99))=0</formula>
    </cfRule>
    <cfRule type="containsBlanks" dxfId="11867" priority="7988">
      <formula>LEN(TRIM(Q99))=0</formula>
    </cfRule>
    <cfRule type="containsBlanks" dxfId="11866" priority="7989">
      <formula>LEN(TRIM(Q99))=0</formula>
    </cfRule>
    <cfRule type="containsBlanks" dxfId="11865" priority="7990">
      <formula>LEN(TRIM(Q99))=0</formula>
    </cfRule>
    <cfRule type="containsBlanks" dxfId="11864" priority="7991">
      <formula>LEN(TRIM(Q99))=0</formula>
    </cfRule>
    <cfRule type="containsBlanks" dxfId="11863" priority="7992">
      <formula>LEN(TRIM(Q99))=0</formula>
    </cfRule>
    <cfRule type="containsBlanks" dxfId="11862" priority="7993">
      <formula>LEN(TRIM(Q99))=0</formula>
    </cfRule>
    <cfRule type="containsBlanks" dxfId="11861" priority="7994">
      <formula>LEN(TRIM(Q99))=0</formula>
    </cfRule>
    <cfRule type="containsBlanks" dxfId="11860" priority="7995">
      <formula>LEN(TRIM(Q99))=0</formula>
    </cfRule>
    <cfRule type="containsBlanks" dxfId="11859" priority="7996">
      <formula>LEN(TRIM(Q99))=0</formula>
    </cfRule>
    <cfRule type="containsBlanks" dxfId="11858" priority="7997">
      <formula>LEN(TRIM(Q99))=0</formula>
    </cfRule>
    <cfRule type="containsBlanks" dxfId="11857" priority="7998">
      <formula>LEN(TRIM(Q99))=0</formula>
    </cfRule>
    <cfRule type="containsBlanks" dxfId="11856" priority="7999">
      <formula>LEN(TRIM(Q99))=0</formula>
    </cfRule>
    <cfRule type="containsBlanks" dxfId="11855" priority="8000">
      <formula>LEN(TRIM(Q99))=0</formula>
    </cfRule>
    <cfRule type="containsBlanks" dxfId="11854" priority="8001">
      <formula>LEN(TRIM(Q99))=0</formula>
    </cfRule>
    <cfRule type="containsBlanks" dxfId="11853" priority="8002">
      <formula>LEN(TRIM(Q99))=0</formula>
    </cfRule>
    <cfRule type="containsBlanks" dxfId="11852" priority="8003">
      <formula>LEN(TRIM(Q99))=0</formula>
    </cfRule>
    <cfRule type="containsBlanks" dxfId="11851" priority="8004">
      <formula>LEN(TRIM(Q99))=0</formula>
    </cfRule>
    <cfRule type="containsBlanks" dxfId="11850" priority="8005">
      <formula>LEN(TRIM(Q99))=0</formula>
    </cfRule>
    <cfRule type="containsBlanks" dxfId="11849" priority="8006">
      <formula>LEN(TRIM(Q99))=0</formula>
    </cfRule>
    <cfRule type="containsBlanks" dxfId="11848" priority="8007">
      <formula>LEN(TRIM(Q99))=0</formula>
    </cfRule>
    <cfRule type="containsBlanks" dxfId="11847" priority="8008">
      <formula>LEN(TRIM(Q99))=0</formula>
    </cfRule>
    <cfRule type="containsBlanks" dxfId="11846" priority="8009">
      <formula>LEN(TRIM(Q99))=0</formula>
    </cfRule>
    <cfRule type="containsBlanks" dxfId="11845" priority="8010">
      <formula>LEN(TRIM(Q99))=0</formula>
    </cfRule>
    <cfRule type="containsBlanks" dxfId="11844" priority="8011">
      <formula>LEN(TRIM(Q99))=0</formula>
    </cfRule>
    <cfRule type="containsBlanks" dxfId="11843" priority="8012">
      <formula>LEN(TRIM(Q99))=0</formula>
    </cfRule>
    <cfRule type="containsBlanks" dxfId="11842" priority="8013">
      <formula>LEN(TRIM(Q99))=0</formula>
    </cfRule>
    <cfRule type="containsBlanks" dxfId="11841" priority="8014">
      <formula>LEN(TRIM(Q99))=0</formula>
    </cfRule>
    <cfRule type="containsBlanks" dxfId="11840" priority="8015">
      <formula>LEN(TRIM(Q99))=0</formula>
    </cfRule>
    <cfRule type="containsBlanks" dxfId="11839" priority="8016">
      <formula>LEN(TRIM(Q99))=0</formula>
    </cfRule>
    <cfRule type="containsBlanks" dxfId="11838" priority="8017">
      <formula>LEN(TRIM(Q99))=0</formula>
    </cfRule>
    <cfRule type="containsBlanks" dxfId="11837" priority="8018">
      <formula>LEN(TRIM(Q99))=0</formula>
    </cfRule>
    <cfRule type="containsBlanks" dxfId="11836" priority="8019">
      <formula>LEN(TRIM(Q99))=0</formula>
    </cfRule>
    <cfRule type="containsBlanks" dxfId="11835" priority="8020">
      <formula>LEN(TRIM(Q99))=0</formula>
    </cfRule>
    <cfRule type="containsBlanks" dxfId="11834" priority="8021">
      <formula>LEN(TRIM(Q99))=0</formula>
    </cfRule>
    <cfRule type="containsBlanks" dxfId="11833" priority="8022">
      <formula>LEN(TRIM(Q99))=0</formula>
    </cfRule>
    <cfRule type="containsBlanks" dxfId="11832" priority="8023">
      <formula>LEN(TRIM(Q99))=0</formula>
    </cfRule>
    <cfRule type="containsBlanks" dxfId="11831" priority="8024">
      <formula>LEN(TRIM(Q99))=0</formula>
    </cfRule>
    <cfRule type="containsBlanks" dxfId="11830" priority="8025">
      <formula>LEN(TRIM(Q99))=0</formula>
    </cfRule>
    <cfRule type="containsBlanks" dxfId="11829" priority="8026">
      <formula>LEN(TRIM(Q99))=0</formula>
    </cfRule>
    <cfRule type="containsBlanks" dxfId="11828" priority="8027">
      <formula>LEN(TRIM(Q99))=0</formula>
    </cfRule>
    <cfRule type="containsBlanks" dxfId="11827" priority="8028">
      <formula>LEN(TRIM(Q99))=0</formula>
    </cfRule>
    <cfRule type="containsBlanks" dxfId="11826" priority="8029">
      <formula>LEN(TRIM(Q99))=0</formula>
    </cfRule>
    <cfRule type="containsBlanks" dxfId="11825" priority="8030">
      <formula>LEN(TRIM(Q99))=0</formula>
    </cfRule>
    <cfRule type="containsBlanks" dxfId="11824" priority="8031">
      <formula>LEN(TRIM(Q99))=0</formula>
    </cfRule>
    <cfRule type="containsBlanks" dxfId="11823" priority="8032">
      <formula>LEN(TRIM(Q99))=0</formula>
    </cfRule>
    <cfRule type="containsBlanks" dxfId="11822" priority="8033">
      <formula>LEN(TRIM(Q99))=0</formula>
    </cfRule>
    <cfRule type="containsBlanks" dxfId="11821" priority="8034">
      <formula>LEN(TRIM(Q99))=0</formula>
    </cfRule>
    <cfRule type="containsBlanks" dxfId="11820" priority="8035">
      <formula>LEN(TRIM(Q99))=0</formula>
    </cfRule>
    <cfRule type="containsBlanks" dxfId="11819" priority="8036">
      <formula>LEN(TRIM(Q99))=0</formula>
    </cfRule>
    <cfRule type="containsBlanks" dxfId="11818" priority="8037">
      <formula>LEN(TRIM(Q99))=0</formula>
    </cfRule>
    <cfRule type="containsBlanks" dxfId="11817" priority="8038">
      <formula>LEN(TRIM(Q99))=0</formula>
    </cfRule>
    <cfRule type="containsBlanks" dxfId="11816" priority="8039">
      <formula>LEN(TRIM(Q99))=0</formula>
    </cfRule>
    <cfRule type="containsBlanks" dxfId="11815" priority="8040">
      <formula>LEN(TRIM(Q99))=0</formula>
    </cfRule>
    <cfRule type="containsBlanks" dxfId="11814" priority="8041">
      <formula>LEN(TRIM(Q99))=0</formula>
    </cfRule>
    <cfRule type="containsBlanks" dxfId="11813" priority="8042">
      <formula>LEN(TRIM(Q99))=0</formula>
    </cfRule>
    <cfRule type="containsBlanks" dxfId="11812" priority="8043">
      <formula>LEN(TRIM(Q99))=0</formula>
    </cfRule>
    <cfRule type="containsBlanks" dxfId="11811" priority="8044">
      <formula>LEN(TRIM(Q99))=0</formula>
    </cfRule>
    <cfRule type="containsBlanks" dxfId="11810" priority="8045">
      <formula>LEN(TRIM(Q99))=0</formula>
    </cfRule>
    <cfRule type="containsBlanks" dxfId="11809" priority="8046">
      <formula>LEN(TRIM(Q99))=0</formula>
    </cfRule>
    <cfRule type="containsBlanks" dxfId="11808" priority="8047">
      <formula>LEN(TRIM(Q99))=0</formula>
    </cfRule>
    <cfRule type="containsBlanks" dxfId="11807" priority="8048">
      <formula>LEN(TRIM(Q99))=0</formula>
    </cfRule>
    <cfRule type="containsBlanks" dxfId="11806" priority="8049">
      <formula>LEN(TRIM(Q99))=0</formula>
    </cfRule>
    <cfRule type="containsBlanks" dxfId="11805" priority="8050">
      <formula>LEN(TRIM(Q99))=0</formula>
    </cfRule>
    <cfRule type="containsBlanks" dxfId="11804" priority="8051">
      <formula>LEN(TRIM(Q99))=0</formula>
    </cfRule>
    <cfRule type="containsBlanks" dxfId="11803" priority="8052">
      <formula>LEN(TRIM(Q99))=0</formula>
    </cfRule>
    <cfRule type="containsBlanks" dxfId="11802" priority="8053">
      <formula>LEN(TRIM(Q99))=0</formula>
    </cfRule>
    <cfRule type="containsBlanks" dxfId="11801" priority="8054">
      <formula>LEN(TRIM(Q99))=0</formula>
    </cfRule>
    <cfRule type="containsBlanks" dxfId="11800" priority="8055">
      <formula>LEN(TRIM(Q99))=0</formula>
    </cfRule>
    <cfRule type="containsBlanks" dxfId="11799" priority="8056">
      <formula>LEN(TRIM(Q99))=0</formula>
    </cfRule>
    <cfRule type="containsBlanks" dxfId="11798" priority="8057">
      <formula>LEN(TRIM(Q99))=0</formula>
    </cfRule>
    <cfRule type="containsBlanks" dxfId="11797" priority="8058">
      <formula>LEN(TRIM(Q99))=0</formula>
    </cfRule>
    <cfRule type="containsBlanks" dxfId="11796" priority="8059">
      <formula>LEN(TRIM(Q99))=0</formula>
    </cfRule>
    <cfRule type="containsBlanks" dxfId="11795" priority="8060">
      <formula>LEN(TRIM(Q99))=0</formula>
    </cfRule>
    <cfRule type="containsBlanks" dxfId="11794" priority="8061">
      <formula>LEN(TRIM(Q99))=0</formula>
    </cfRule>
    <cfRule type="containsBlanks" dxfId="11793" priority="8062">
      <formula>LEN(TRIM(Q99))=0</formula>
    </cfRule>
    <cfRule type="containsBlanks" dxfId="11792" priority="8063">
      <formula>LEN(TRIM(Q99))=0</formula>
    </cfRule>
    <cfRule type="containsBlanks" dxfId="11791" priority="8064">
      <formula>LEN(TRIM(Q99))=0</formula>
    </cfRule>
    <cfRule type="containsBlanks" dxfId="11790" priority="8065">
      <formula>LEN(TRIM(Q99))=0</formula>
    </cfRule>
    <cfRule type="containsBlanks" dxfId="11789" priority="8066">
      <formula>LEN(TRIM(Q99))=0</formula>
    </cfRule>
    <cfRule type="containsBlanks" dxfId="11788" priority="8067">
      <formula>LEN(TRIM(Q99))=0</formula>
    </cfRule>
    <cfRule type="containsBlanks" dxfId="11787" priority="8068">
      <formula>LEN(TRIM(Q99))=0</formula>
    </cfRule>
    <cfRule type="containsBlanks" dxfId="11786" priority="8069">
      <formula>LEN(TRIM(Q99))=0</formula>
    </cfRule>
    <cfRule type="containsBlanks" dxfId="11785" priority="8070">
      <formula>LEN(TRIM(Q99))=0</formula>
    </cfRule>
    <cfRule type="containsBlanks" dxfId="11784" priority="8071">
      <formula>LEN(TRIM(Q99))=0</formula>
    </cfRule>
    <cfRule type="containsBlanks" dxfId="11783" priority="8072">
      <formula>LEN(TRIM(Q99))=0</formula>
    </cfRule>
    <cfRule type="containsBlanks" dxfId="11782" priority="8073">
      <formula>LEN(TRIM(Q99))=0</formula>
    </cfRule>
    <cfRule type="containsBlanks" dxfId="11781" priority="8074">
      <formula>LEN(TRIM(Q99))=0</formula>
    </cfRule>
    <cfRule type="containsBlanks" dxfId="11780" priority="8075">
      <formula>LEN(TRIM(Q99))=0</formula>
    </cfRule>
    <cfRule type="containsBlanks" dxfId="11779" priority="8076">
      <formula>LEN(TRIM(Q99))=0</formula>
    </cfRule>
    <cfRule type="containsBlanks" dxfId="11778" priority="8077">
      <formula>LEN(TRIM(Q99))=0</formula>
    </cfRule>
    <cfRule type="containsBlanks" dxfId="11777" priority="8078">
      <formula>LEN(TRIM(Q99))=0</formula>
    </cfRule>
    <cfRule type="containsBlanks" dxfId="11776" priority="8079">
      <formula>LEN(TRIM(Q99))=0</formula>
    </cfRule>
    <cfRule type="containsBlanks" dxfId="11775" priority="8080">
      <formula>LEN(TRIM(Q99))=0</formula>
    </cfRule>
    <cfRule type="containsBlanks" dxfId="11774" priority="8081">
      <formula>LEN(TRIM(Q99))=0</formula>
    </cfRule>
    <cfRule type="containsBlanks" dxfId="11773" priority="8082">
      <formula>LEN(TRIM(Q99))=0</formula>
    </cfRule>
    <cfRule type="containsBlanks" dxfId="11772" priority="8083">
      <formula>LEN(TRIM(Q99))=0</formula>
    </cfRule>
    <cfRule type="containsBlanks" dxfId="11771" priority="8084">
      <formula>LEN(TRIM(Q99))=0</formula>
    </cfRule>
    <cfRule type="containsBlanks" dxfId="11770" priority="8085">
      <formula>LEN(TRIM(Q99))=0</formula>
    </cfRule>
    <cfRule type="containsBlanks" dxfId="11769" priority="8086">
      <formula>LEN(TRIM(Q99))=0</formula>
    </cfRule>
    <cfRule type="containsBlanks" dxfId="11768" priority="8087">
      <formula>LEN(TRIM(Q99))=0</formula>
    </cfRule>
    <cfRule type="containsBlanks" dxfId="11767" priority="8088">
      <formula>LEN(TRIM(Q99))=0</formula>
    </cfRule>
    <cfRule type="containsBlanks" dxfId="11766" priority="8089">
      <formula>LEN(TRIM(Q99))=0</formula>
    </cfRule>
    <cfRule type="containsBlanks" dxfId="11765" priority="8090">
      <formula>LEN(TRIM(Q99))=0</formula>
    </cfRule>
    <cfRule type="containsBlanks" dxfId="11764" priority="8091">
      <formula>LEN(TRIM(Q99))=0</formula>
    </cfRule>
    <cfRule type="containsBlanks" dxfId="11763" priority="8092">
      <formula>LEN(TRIM(Q99))=0</formula>
    </cfRule>
    <cfRule type="containsBlanks" dxfId="11762" priority="8093">
      <formula>LEN(TRIM(Q99))=0</formula>
    </cfRule>
    <cfRule type="containsBlanks" dxfId="11761" priority="8094">
      <formula>LEN(TRIM(Q99))=0</formula>
    </cfRule>
    <cfRule type="containsBlanks" dxfId="11760" priority="8095">
      <formula>LEN(TRIM(Q99))=0</formula>
    </cfRule>
    <cfRule type="containsBlanks" dxfId="11759" priority="8096">
      <formula>LEN(TRIM(Q99))=0</formula>
    </cfRule>
    <cfRule type="containsBlanks" dxfId="11758" priority="8097">
      <formula>LEN(TRIM(Q99))=0</formula>
    </cfRule>
    <cfRule type="containsBlanks" dxfId="11757" priority="8098">
      <formula>LEN(TRIM(Q99))=0</formula>
    </cfRule>
    <cfRule type="containsBlanks" dxfId="11756" priority="8099">
      <formula>LEN(TRIM(Q99))=0</formula>
    </cfRule>
    <cfRule type="containsBlanks" dxfId="11755" priority="8100">
      <formula>LEN(TRIM(Q99))=0</formula>
    </cfRule>
    <cfRule type="containsBlanks" dxfId="11754" priority="8101">
      <formula>LEN(TRIM(Q99))=0</formula>
    </cfRule>
    <cfRule type="containsBlanks" dxfId="11753" priority="8102">
      <formula>LEN(TRIM(Q99))=0</formula>
    </cfRule>
    <cfRule type="containsBlanks" dxfId="11752" priority="8103">
      <formula>LEN(TRIM(Q99))=0</formula>
    </cfRule>
    <cfRule type="containsBlanks" dxfId="11751" priority="8104">
      <formula>LEN(TRIM(Q99))=0</formula>
    </cfRule>
    <cfRule type="containsBlanks" dxfId="11750" priority="8105">
      <formula>LEN(TRIM(Q99))=0</formula>
    </cfRule>
    <cfRule type="containsBlanks" dxfId="11749" priority="8106">
      <formula>LEN(TRIM(Q99))=0</formula>
    </cfRule>
    <cfRule type="containsBlanks" dxfId="11748" priority="8107">
      <formula>LEN(TRIM(Q99))=0</formula>
    </cfRule>
    <cfRule type="containsBlanks" dxfId="11747" priority="8108">
      <formula>LEN(TRIM(Q99))=0</formula>
    </cfRule>
    <cfRule type="containsBlanks" dxfId="11746" priority="8109">
      <formula>LEN(TRIM(Q99))=0</formula>
    </cfRule>
    <cfRule type="containsBlanks" dxfId="11745" priority="8110">
      <formula>LEN(TRIM(Q99))=0</formula>
    </cfRule>
    <cfRule type="containsBlanks" dxfId="11744" priority="8111">
      <formula>LEN(TRIM(Q99))=0</formula>
    </cfRule>
    <cfRule type="containsBlanks" dxfId="11743" priority="8112">
      <formula>LEN(TRIM(Q99))=0</formula>
    </cfRule>
    <cfRule type="containsBlanks" dxfId="11742" priority="8113">
      <formula>LEN(TRIM(Q99))=0</formula>
    </cfRule>
    <cfRule type="containsBlanks" dxfId="11741" priority="8114">
      <formula>LEN(TRIM(Q99))=0</formula>
    </cfRule>
    <cfRule type="containsBlanks" dxfId="11740" priority="8115">
      <formula>LEN(TRIM(Q99))=0</formula>
    </cfRule>
    <cfRule type="containsBlanks" dxfId="11739" priority="8116">
      <formula>LEN(TRIM(Q99))=0</formula>
    </cfRule>
    <cfRule type="containsBlanks" dxfId="11738" priority="8117">
      <formula>LEN(TRIM(Q99))=0</formula>
    </cfRule>
    <cfRule type="containsBlanks" dxfId="11737" priority="8118">
      <formula>LEN(TRIM(Q99))=0</formula>
    </cfRule>
    <cfRule type="containsBlanks" dxfId="11736" priority="8119">
      <formula>LEN(TRIM(Q99))=0</formula>
    </cfRule>
    <cfRule type="containsBlanks" dxfId="11735" priority="8120">
      <formula>LEN(TRIM(Q99))=0</formula>
    </cfRule>
    <cfRule type="containsBlanks" dxfId="11734" priority="8121">
      <formula>LEN(TRIM(Q99))=0</formula>
    </cfRule>
    <cfRule type="containsBlanks" dxfId="11733" priority="8122">
      <formula>LEN(TRIM(Q99))=0</formula>
    </cfRule>
    <cfRule type="containsBlanks" dxfId="11732" priority="8123">
      <formula>LEN(TRIM(Q99))=0</formula>
    </cfRule>
    <cfRule type="containsBlanks" dxfId="11731" priority="8124">
      <formula>LEN(TRIM(Q99))=0</formula>
    </cfRule>
    <cfRule type="containsBlanks" dxfId="11730" priority="8125">
      <formula>LEN(TRIM(Q99))=0</formula>
    </cfRule>
    <cfRule type="containsBlanks" dxfId="11729" priority="8126">
      <formula>LEN(TRIM(Q99))=0</formula>
    </cfRule>
    <cfRule type="containsBlanks" dxfId="11728" priority="8127">
      <formula>LEN(TRIM(Q99))=0</formula>
    </cfRule>
    <cfRule type="containsBlanks" dxfId="11727" priority="8128">
      <formula>LEN(TRIM(Q99))=0</formula>
    </cfRule>
    <cfRule type="containsBlanks" dxfId="11726" priority="8129">
      <formula>LEN(TRIM(Q99))=0</formula>
    </cfRule>
    <cfRule type="containsBlanks" dxfId="11725" priority="8130">
      <formula>LEN(TRIM(Q99))=0</formula>
    </cfRule>
    <cfRule type="containsBlanks" dxfId="11724" priority="8131">
      <formula>LEN(TRIM(Q99))=0</formula>
    </cfRule>
    <cfRule type="containsBlanks" dxfId="11723" priority="8132">
      <formula>LEN(TRIM(Q99))=0</formula>
    </cfRule>
    <cfRule type="containsBlanks" dxfId="11722" priority="8133">
      <formula>LEN(TRIM(Q99))=0</formula>
    </cfRule>
    <cfRule type="containsBlanks" dxfId="11721" priority="8134">
      <formula>LEN(TRIM(Q99))=0</formula>
    </cfRule>
    <cfRule type="containsBlanks" dxfId="11720" priority="8135">
      <formula>LEN(TRIM(Q99))=0</formula>
    </cfRule>
    <cfRule type="containsBlanks" dxfId="11719" priority="8136">
      <formula>LEN(TRIM(Q99))=0</formula>
    </cfRule>
    <cfRule type="containsBlanks" dxfId="11718" priority="8137">
      <formula>LEN(TRIM(Q99))=0</formula>
    </cfRule>
    <cfRule type="containsBlanks" dxfId="11717" priority="8138">
      <formula>LEN(TRIM(Q99))=0</formula>
    </cfRule>
    <cfRule type="containsBlanks" dxfId="11716" priority="8139">
      <formula>LEN(TRIM(Q99))=0</formula>
    </cfRule>
    <cfRule type="containsBlanks" dxfId="11715" priority="8140">
      <formula>LEN(TRIM(Q99))=0</formula>
    </cfRule>
    <cfRule type="containsBlanks" dxfId="11714" priority="8141">
      <formula>LEN(TRIM(Q99))=0</formula>
    </cfRule>
    <cfRule type="containsBlanks" dxfId="11713" priority="8142">
      <formula>LEN(TRIM(Q99))=0</formula>
    </cfRule>
    <cfRule type="containsBlanks" dxfId="11712" priority="8143">
      <formula>LEN(TRIM(Q99))=0</formula>
    </cfRule>
    <cfRule type="containsBlanks" dxfId="11711" priority="8144">
      <formula>LEN(TRIM(Q99))=0</formula>
    </cfRule>
    <cfRule type="containsBlanks" dxfId="11710" priority="8145">
      <formula>LEN(TRIM(Q99))=0</formula>
    </cfRule>
    <cfRule type="containsBlanks" dxfId="11709" priority="8146">
      <formula>LEN(TRIM(Q99))=0</formula>
    </cfRule>
    <cfRule type="containsBlanks" dxfId="11708" priority="8147">
      <formula>LEN(TRIM(Q99))=0</formula>
    </cfRule>
    <cfRule type="containsBlanks" dxfId="11707" priority="8148">
      <formula>LEN(TRIM(Q99))=0</formula>
    </cfRule>
    <cfRule type="containsBlanks" dxfId="11706" priority="8149">
      <formula>LEN(TRIM(Q99))=0</formula>
    </cfRule>
    <cfRule type="containsBlanks" dxfId="11705" priority="8150">
      <formula>LEN(TRIM(Q99))=0</formula>
    </cfRule>
    <cfRule type="containsBlanks" dxfId="11704" priority="8151">
      <formula>LEN(TRIM(Q99))=0</formula>
    </cfRule>
    <cfRule type="containsBlanks" dxfId="11703" priority="8152">
      <formula>LEN(TRIM(Q99))=0</formula>
    </cfRule>
    <cfRule type="containsBlanks" dxfId="11702" priority="8153">
      <formula>LEN(TRIM(Q99))=0</formula>
    </cfRule>
    <cfRule type="containsBlanks" dxfId="11701" priority="8154">
      <formula>LEN(TRIM(Q99))=0</formula>
    </cfRule>
    <cfRule type="containsBlanks" dxfId="11700" priority="8155">
      <formula>LEN(TRIM(Q99))=0</formula>
    </cfRule>
    <cfRule type="containsBlanks" dxfId="11699" priority="8156">
      <formula>LEN(TRIM(Q99))=0</formula>
    </cfRule>
    <cfRule type="containsBlanks" dxfId="11698" priority="8157">
      <formula>LEN(TRIM(Q99))=0</formula>
    </cfRule>
    <cfRule type="containsBlanks" dxfId="11697" priority="8158">
      <formula>LEN(TRIM(Q99))=0</formula>
    </cfRule>
    <cfRule type="containsBlanks" dxfId="11696" priority="8159">
      <formula>LEN(TRIM(Q99))=0</formula>
    </cfRule>
    <cfRule type="containsBlanks" dxfId="11695" priority="8160">
      <formula>LEN(TRIM(Q99))=0</formula>
    </cfRule>
    <cfRule type="containsBlanks" dxfId="11694" priority="8161">
      <formula>LEN(TRIM(Q99))=0</formula>
    </cfRule>
    <cfRule type="containsBlanks" dxfId="11693" priority="8162">
      <formula>LEN(TRIM(Q99))=0</formula>
    </cfRule>
    <cfRule type="containsBlanks" dxfId="11692" priority="8163">
      <formula>LEN(TRIM(Q99))=0</formula>
    </cfRule>
    <cfRule type="containsBlanks" dxfId="11691" priority="8164">
      <formula>LEN(TRIM(Q99))=0</formula>
    </cfRule>
    <cfRule type="containsBlanks" dxfId="11690" priority="8165">
      <formula>LEN(TRIM(Q99))=0</formula>
    </cfRule>
    <cfRule type="containsBlanks" dxfId="11689" priority="8166">
      <formula>LEN(TRIM(Q99))=0</formula>
    </cfRule>
    <cfRule type="containsBlanks" dxfId="11688" priority="8167">
      <formula>LEN(TRIM(Q99))=0</formula>
    </cfRule>
    <cfRule type="containsBlanks" dxfId="11687" priority="8168">
      <formula>LEN(TRIM(Q99))=0</formula>
    </cfRule>
    <cfRule type="containsBlanks" dxfId="11686" priority="8169">
      <formula>LEN(TRIM(Q99))=0</formula>
    </cfRule>
    <cfRule type="containsBlanks" dxfId="11685" priority="8170">
      <formula>LEN(TRIM(Q99))=0</formula>
    </cfRule>
    <cfRule type="containsBlanks" dxfId="11684" priority="8171">
      <formula>LEN(TRIM(Q99))=0</formula>
    </cfRule>
    <cfRule type="containsBlanks" dxfId="11683" priority="8172">
      <formula>LEN(TRIM(Q99))=0</formula>
    </cfRule>
    <cfRule type="containsBlanks" dxfId="11682" priority="8173">
      <formula>LEN(TRIM(Q99))=0</formula>
    </cfRule>
    <cfRule type="containsBlanks" dxfId="11681" priority="8174">
      <formula>LEN(TRIM(Q99))=0</formula>
    </cfRule>
    <cfRule type="containsBlanks" dxfId="11680" priority="8175">
      <formula>LEN(TRIM(Q99))=0</formula>
    </cfRule>
    <cfRule type="containsBlanks" dxfId="11679" priority="8176">
      <formula>LEN(TRIM(Q99))=0</formula>
    </cfRule>
    <cfRule type="containsBlanks" dxfId="11678" priority="8177">
      <formula>LEN(TRIM(Q99))=0</formula>
    </cfRule>
    <cfRule type="containsBlanks" dxfId="11677" priority="8178">
      <formula>LEN(TRIM(Q99))=0</formula>
    </cfRule>
    <cfRule type="containsBlanks" dxfId="11676" priority="8179">
      <formula>LEN(TRIM(Q99))=0</formula>
    </cfRule>
    <cfRule type="containsBlanks" dxfId="11675" priority="8180">
      <formula>LEN(TRIM(Q99))=0</formula>
    </cfRule>
    <cfRule type="containsBlanks" dxfId="11674" priority="8181">
      <formula>LEN(TRIM(Q99))=0</formula>
    </cfRule>
    <cfRule type="containsBlanks" dxfId="11673" priority="8182">
      <formula>LEN(TRIM(Q99))=0</formula>
    </cfRule>
    <cfRule type="containsBlanks" dxfId="11672" priority="8183">
      <formula>LEN(TRIM(Q99))=0</formula>
    </cfRule>
    <cfRule type="containsBlanks" dxfId="11671" priority="8184">
      <formula>LEN(TRIM(Q99))=0</formula>
    </cfRule>
    <cfRule type="containsBlanks" dxfId="11670" priority="8185">
      <formula>LEN(TRIM(Q99))=0</formula>
    </cfRule>
    <cfRule type="containsBlanks" dxfId="11669" priority="8186">
      <formula>LEN(TRIM(Q99))=0</formula>
    </cfRule>
    <cfRule type="containsBlanks" dxfId="11668" priority="8187">
      <formula>LEN(TRIM(Q99))=0</formula>
    </cfRule>
    <cfRule type="containsBlanks" dxfId="11667" priority="8188">
      <formula>LEN(TRIM(Q99))=0</formula>
    </cfRule>
    <cfRule type="containsBlanks" dxfId="11666" priority="8189">
      <formula>LEN(TRIM(Q99))=0</formula>
    </cfRule>
    <cfRule type="containsBlanks" dxfId="11665" priority="8190">
      <formula>LEN(TRIM(Q99))=0</formula>
    </cfRule>
    <cfRule type="containsBlanks" dxfId="11664" priority="8191">
      <formula>LEN(TRIM(Q99))=0</formula>
    </cfRule>
    <cfRule type="containsBlanks" dxfId="11663" priority="8192">
      <formula>LEN(TRIM(Q99))=0</formula>
    </cfRule>
    <cfRule type="containsBlanks" dxfId="11662" priority="8193">
      <formula>LEN(TRIM(Q99))=0</formula>
    </cfRule>
    <cfRule type="containsBlanks" dxfId="11661" priority="8194">
      <formula>LEN(TRIM(Q99))=0</formula>
    </cfRule>
    <cfRule type="containsBlanks" dxfId="11660" priority="8195">
      <formula>LEN(TRIM(Q99))=0</formula>
    </cfRule>
    <cfRule type="containsBlanks" dxfId="11659" priority="8196">
      <formula>LEN(TRIM(Q99))=0</formula>
    </cfRule>
    <cfRule type="containsBlanks" dxfId="11658" priority="8197">
      <formula>LEN(TRIM(Q99))=0</formula>
    </cfRule>
    <cfRule type="containsBlanks" dxfId="11657" priority="8198">
      <formula>LEN(TRIM(Q99))=0</formula>
    </cfRule>
    <cfRule type="containsBlanks" dxfId="11656" priority="8199">
      <formula>LEN(TRIM(Q99))=0</formula>
    </cfRule>
    <cfRule type="containsBlanks" dxfId="11655" priority="8200">
      <formula>LEN(TRIM(Q99))=0</formula>
    </cfRule>
    <cfRule type="containsBlanks" dxfId="11654" priority="8201">
      <formula>LEN(TRIM(Q99))=0</formula>
    </cfRule>
    <cfRule type="containsBlanks" dxfId="11653" priority="8202">
      <formula>LEN(TRIM(Q99))=0</formula>
    </cfRule>
    <cfRule type="containsBlanks" dxfId="11652" priority="8203">
      <formula>LEN(TRIM(Q99))=0</formula>
    </cfRule>
    <cfRule type="containsBlanks" dxfId="11651" priority="8204">
      <formula>LEN(TRIM(Q99))=0</formula>
    </cfRule>
    <cfRule type="containsBlanks" dxfId="11650" priority="8205">
      <formula>LEN(TRIM(Q99))=0</formula>
    </cfRule>
    <cfRule type="containsBlanks" dxfId="11649" priority="8206">
      <formula>LEN(TRIM(Q99))=0</formula>
    </cfRule>
    <cfRule type="containsBlanks" dxfId="11648" priority="8207">
      <formula>LEN(TRIM(Q99))=0</formula>
    </cfRule>
    <cfRule type="containsBlanks" dxfId="11647" priority="8208">
      <formula>LEN(TRIM(Q99))=0</formula>
    </cfRule>
    <cfRule type="containsBlanks" dxfId="11646" priority="8209">
      <formula>LEN(TRIM(Q99))=0</formula>
    </cfRule>
    <cfRule type="containsBlanks" dxfId="11645" priority="8210">
      <formula>LEN(TRIM(Q99))=0</formula>
    </cfRule>
    <cfRule type="containsBlanks" dxfId="11644" priority="8211">
      <formula>LEN(TRIM(Q99))=0</formula>
    </cfRule>
    <cfRule type="containsBlanks" dxfId="11643" priority="8212">
      <formula>LEN(TRIM(Q99))=0</formula>
    </cfRule>
    <cfRule type="containsBlanks" dxfId="11642" priority="8213">
      <formula>LEN(TRIM(Q99))=0</formula>
    </cfRule>
    <cfRule type="containsBlanks" dxfId="11641" priority="8214">
      <formula>LEN(TRIM(Q99))=0</formula>
    </cfRule>
    <cfRule type="containsBlanks" dxfId="11640" priority="8215">
      <formula>LEN(TRIM(Q99))=0</formula>
    </cfRule>
    <cfRule type="containsBlanks" dxfId="11639" priority="8216">
      <formula>LEN(TRIM(Q99))=0</formula>
    </cfRule>
    <cfRule type="containsBlanks" dxfId="11638" priority="8217">
      <formula>LEN(TRIM(Q99))=0</formula>
    </cfRule>
    <cfRule type="containsBlanks" dxfId="11637" priority="8218">
      <formula>LEN(TRIM(Q99))=0</formula>
    </cfRule>
    <cfRule type="containsBlanks" dxfId="11636" priority="8219">
      <formula>LEN(TRIM(Q99))=0</formula>
    </cfRule>
    <cfRule type="containsBlanks" dxfId="11635" priority="8220">
      <formula>LEN(TRIM(Q99))=0</formula>
    </cfRule>
    <cfRule type="containsBlanks" dxfId="11634" priority="8221">
      <formula>LEN(TRIM(Q99))=0</formula>
    </cfRule>
    <cfRule type="containsBlanks" dxfId="11633" priority="8222">
      <formula>LEN(TRIM(Q99))=0</formula>
    </cfRule>
    <cfRule type="containsBlanks" dxfId="11632" priority="8223">
      <formula>LEN(TRIM(Q99))=0</formula>
    </cfRule>
    <cfRule type="containsBlanks" dxfId="11631" priority="8224">
      <formula>LEN(TRIM(Q99))=0</formula>
    </cfRule>
    <cfRule type="containsBlanks" dxfId="11630" priority="8225">
      <formula>LEN(TRIM(Q99))=0</formula>
    </cfRule>
    <cfRule type="containsBlanks" dxfId="11629" priority="8226">
      <formula>LEN(TRIM(Q99))=0</formula>
    </cfRule>
    <cfRule type="containsBlanks" dxfId="11628" priority="8227">
      <formula>LEN(TRIM(Q99))=0</formula>
    </cfRule>
    <cfRule type="containsBlanks" dxfId="11627" priority="8228">
      <formula>LEN(TRIM(Q99))=0</formula>
    </cfRule>
    <cfRule type="containsBlanks" dxfId="11626" priority="8229">
      <formula>LEN(TRIM(Q99))=0</formula>
    </cfRule>
    <cfRule type="containsBlanks" dxfId="11625" priority="8230">
      <formula>LEN(TRIM(Q99))=0</formula>
    </cfRule>
    <cfRule type="containsBlanks" dxfId="11624" priority="8231">
      <formula>LEN(TRIM(Q99))=0</formula>
    </cfRule>
    <cfRule type="containsBlanks" dxfId="11623" priority="8232">
      <formula>LEN(TRIM(Q99))=0</formula>
    </cfRule>
    <cfRule type="containsBlanks" dxfId="11622" priority="8233">
      <formula>LEN(TRIM(Q99))=0</formula>
    </cfRule>
    <cfRule type="containsBlanks" dxfId="11621" priority="8234">
      <formula>LEN(TRIM(Q99))=0</formula>
    </cfRule>
    <cfRule type="containsBlanks" dxfId="11620" priority="8235">
      <formula>LEN(TRIM(Q99))=0</formula>
    </cfRule>
    <cfRule type="containsBlanks" dxfId="11619" priority="8236">
      <formula>LEN(TRIM(Q99))=0</formula>
    </cfRule>
    <cfRule type="containsBlanks" dxfId="11618" priority="8237">
      <formula>LEN(TRIM(Q99))=0</formula>
    </cfRule>
    <cfRule type="containsBlanks" dxfId="11617" priority="8238">
      <formula>LEN(TRIM(Q99))=0</formula>
    </cfRule>
    <cfRule type="containsBlanks" dxfId="11616" priority="8239">
      <formula>LEN(TRIM(Q99))=0</formula>
    </cfRule>
    <cfRule type="containsBlanks" dxfId="11615" priority="8240">
      <formula>LEN(TRIM(Q99))=0</formula>
    </cfRule>
    <cfRule type="containsBlanks" dxfId="11614" priority="8241">
      <formula>LEN(TRIM(Q99))=0</formula>
    </cfRule>
    <cfRule type="containsBlanks" dxfId="11613" priority="8242">
      <formula>LEN(TRIM(Q99))=0</formula>
    </cfRule>
    <cfRule type="containsBlanks" dxfId="11612" priority="8243">
      <formula>LEN(TRIM(Q99))=0</formula>
    </cfRule>
    <cfRule type="containsBlanks" dxfId="11611" priority="8244">
      <formula>LEN(TRIM(Q99))=0</formula>
    </cfRule>
    <cfRule type="containsBlanks" dxfId="11610" priority="8245">
      <formula>LEN(TRIM(Q99))=0</formula>
    </cfRule>
    <cfRule type="containsBlanks" dxfId="11609" priority="8246">
      <formula>LEN(TRIM(Q99))=0</formula>
    </cfRule>
    <cfRule type="containsBlanks" dxfId="11608" priority="8247">
      <formula>LEN(TRIM(Q99))=0</formula>
    </cfRule>
    <cfRule type="containsBlanks" dxfId="11607" priority="8248">
      <formula>LEN(TRIM(Q99))=0</formula>
    </cfRule>
    <cfRule type="containsBlanks" dxfId="11606" priority="8249">
      <formula>LEN(TRIM(Q99))=0</formula>
    </cfRule>
    <cfRule type="containsBlanks" dxfId="11605" priority="8250">
      <formula>LEN(TRIM(Q99))=0</formula>
    </cfRule>
    <cfRule type="containsBlanks" dxfId="11604" priority="8251">
      <formula>LEN(TRIM(Q99))=0</formula>
    </cfRule>
    <cfRule type="containsBlanks" dxfId="11603" priority="8252">
      <formula>LEN(TRIM(Q99))=0</formula>
    </cfRule>
    <cfRule type="containsBlanks" dxfId="11602" priority="8253">
      <formula>LEN(TRIM(Q99))=0</formula>
    </cfRule>
    <cfRule type="containsBlanks" dxfId="11601" priority="8254">
      <formula>LEN(TRIM(Q99))=0</formula>
    </cfRule>
    <cfRule type="containsBlanks" dxfId="11600" priority="8255">
      <formula>LEN(TRIM(Q99))=0</formula>
    </cfRule>
    <cfRule type="containsBlanks" dxfId="11599" priority="8256">
      <formula>LEN(TRIM(Q99))=0</formula>
    </cfRule>
    <cfRule type="containsBlanks" dxfId="11598" priority="8257">
      <formula>LEN(TRIM(Q99))=0</formula>
    </cfRule>
    <cfRule type="containsBlanks" dxfId="11597" priority="8258">
      <formula>LEN(TRIM(Q99))=0</formula>
    </cfRule>
    <cfRule type="containsBlanks" dxfId="11596" priority="8259">
      <formula>LEN(TRIM(Q99))=0</formula>
    </cfRule>
    <cfRule type="containsBlanks" dxfId="11595" priority="8260">
      <formula>LEN(TRIM(Q99))=0</formula>
    </cfRule>
    <cfRule type="containsBlanks" dxfId="11594" priority="8261">
      <formula>LEN(TRIM(Q99))=0</formula>
    </cfRule>
    <cfRule type="containsBlanks" dxfId="11593" priority="8262">
      <formula>LEN(TRIM(Q99))=0</formula>
    </cfRule>
    <cfRule type="containsBlanks" dxfId="11592" priority="8263">
      <formula>LEN(TRIM(Q99))=0</formula>
    </cfRule>
    <cfRule type="containsBlanks" dxfId="11591" priority="8264">
      <formula>LEN(TRIM(Q99))=0</formula>
    </cfRule>
    <cfRule type="containsBlanks" dxfId="11590" priority="8265">
      <formula>LEN(TRIM(Q99))=0</formula>
    </cfRule>
    <cfRule type="containsBlanks" dxfId="11589" priority="8266">
      <formula>LEN(TRIM(Q99))=0</formula>
    </cfRule>
    <cfRule type="containsBlanks" dxfId="11588" priority="8267">
      <formula>LEN(TRIM(Q99))=0</formula>
    </cfRule>
    <cfRule type="containsBlanks" dxfId="11587" priority="8268">
      <formula>LEN(TRIM(Q99))=0</formula>
    </cfRule>
    <cfRule type="containsBlanks" dxfId="11586" priority="8269">
      <formula>LEN(TRIM(Q99))=0</formula>
    </cfRule>
    <cfRule type="containsBlanks" dxfId="11585" priority="8270">
      <formula>LEN(TRIM(Q99))=0</formula>
    </cfRule>
    <cfRule type="containsBlanks" dxfId="11584" priority="8271">
      <formula>LEN(TRIM(Q99))=0</formula>
    </cfRule>
    <cfRule type="containsBlanks" dxfId="11583" priority="8272">
      <formula>LEN(TRIM(Q99))=0</formula>
    </cfRule>
    <cfRule type="containsBlanks" dxfId="11582" priority="8273">
      <formula>LEN(TRIM(Q99))=0</formula>
    </cfRule>
    <cfRule type="containsBlanks" dxfId="11581" priority="8274">
      <formula>LEN(TRIM(Q99))=0</formula>
    </cfRule>
    <cfRule type="containsBlanks" dxfId="11580" priority="8275">
      <formula>LEN(TRIM(Q99))=0</formula>
    </cfRule>
    <cfRule type="containsBlanks" dxfId="11579" priority="8276">
      <formula>LEN(TRIM(Q99))=0</formula>
    </cfRule>
    <cfRule type="containsBlanks" dxfId="11578" priority="8277">
      <formula>LEN(TRIM(Q99))=0</formula>
    </cfRule>
    <cfRule type="containsBlanks" dxfId="11577" priority="8278">
      <formula>LEN(TRIM(Q99))=0</formula>
    </cfRule>
    <cfRule type="containsBlanks" dxfId="11576" priority="8279">
      <formula>LEN(TRIM(Q99))=0</formula>
    </cfRule>
    <cfRule type="containsBlanks" dxfId="11575" priority="8280">
      <formula>LEN(TRIM(Q99))=0</formula>
    </cfRule>
    <cfRule type="containsBlanks" dxfId="11574" priority="8281">
      <formula>LEN(TRIM(Q99))=0</formula>
    </cfRule>
    <cfRule type="containsBlanks" dxfId="11573" priority="8282">
      <formula>LEN(TRIM(Q99))=0</formula>
    </cfRule>
    <cfRule type="containsBlanks" dxfId="11572" priority="8283">
      <formula>LEN(TRIM(Q99))=0</formula>
    </cfRule>
    <cfRule type="containsBlanks" dxfId="11571" priority="8284">
      <formula>LEN(TRIM(Q99))=0</formula>
    </cfRule>
    <cfRule type="containsBlanks" dxfId="11570" priority="8285">
      <formula>LEN(TRIM(Q99))=0</formula>
    </cfRule>
    <cfRule type="containsBlanks" dxfId="11569" priority="8286">
      <formula>LEN(TRIM(Q99))=0</formula>
    </cfRule>
    <cfRule type="containsBlanks" dxfId="11568" priority="8287">
      <formula>LEN(TRIM(Q99))=0</formula>
    </cfRule>
    <cfRule type="containsBlanks" dxfId="11567" priority="8288">
      <formula>LEN(TRIM(Q99))=0</formula>
    </cfRule>
    <cfRule type="containsBlanks" dxfId="11566" priority="8289">
      <formula>LEN(TRIM(Q99))=0</formula>
    </cfRule>
    <cfRule type="containsBlanks" dxfId="11565" priority="8290">
      <formula>LEN(TRIM(Q99))=0</formula>
    </cfRule>
    <cfRule type="containsBlanks" dxfId="11564" priority="8291">
      <formula>LEN(TRIM(Q99))=0</formula>
    </cfRule>
    <cfRule type="containsBlanks" dxfId="11563" priority="8292">
      <formula>LEN(TRIM(Q99))=0</formula>
    </cfRule>
    <cfRule type="containsBlanks" dxfId="11562" priority="8293">
      <formula>LEN(TRIM(Q99))=0</formula>
    </cfRule>
    <cfRule type="containsBlanks" dxfId="11561" priority="8294">
      <formula>LEN(TRIM(Q99))=0</formula>
    </cfRule>
    <cfRule type="containsBlanks" dxfId="11560" priority="8295">
      <formula>LEN(TRIM(Q99))=0</formula>
    </cfRule>
    <cfRule type="containsBlanks" dxfId="11559" priority="8296">
      <formula>LEN(TRIM(Q99))=0</formula>
    </cfRule>
    <cfRule type="containsBlanks" dxfId="11558" priority="8297">
      <formula>LEN(TRIM(Q99))=0</formula>
    </cfRule>
    <cfRule type="containsBlanks" dxfId="11557" priority="8298">
      <formula>LEN(TRIM(Q99))=0</formula>
    </cfRule>
    <cfRule type="containsBlanks" dxfId="11556" priority="8299">
      <formula>LEN(TRIM(Q99))=0</formula>
    </cfRule>
    <cfRule type="containsBlanks" dxfId="11555" priority="8300">
      <formula>LEN(TRIM(Q99))=0</formula>
    </cfRule>
    <cfRule type="containsBlanks" dxfId="11554" priority="8301">
      <formula>LEN(TRIM(Q99))=0</formula>
    </cfRule>
    <cfRule type="containsBlanks" dxfId="11553" priority="8302">
      <formula>LEN(TRIM(Q99))=0</formula>
    </cfRule>
    <cfRule type="containsBlanks" dxfId="11552" priority="8303">
      <formula>LEN(TRIM(Q99))=0</formula>
    </cfRule>
    <cfRule type="containsBlanks" dxfId="11551" priority="8304">
      <formula>LEN(TRIM(Q99))=0</formula>
    </cfRule>
    <cfRule type="containsBlanks" dxfId="11550" priority="8305">
      <formula>LEN(TRIM(Q99))=0</formula>
    </cfRule>
    <cfRule type="containsBlanks" dxfId="11549" priority="8306">
      <formula>LEN(TRIM(Q99))=0</formula>
    </cfRule>
    <cfRule type="containsBlanks" dxfId="11548" priority="8307">
      <formula>LEN(TRIM(Q99))=0</formula>
    </cfRule>
    <cfRule type="containsBlanks" dxfId="11547" priority="8308">
      <formula>LEN(TRIM(Q99))=0</formula>
    </cfRule>
    <cfRule type="containsBlanks" dxfId="11546" priority="8309">
      <formula>LEN(TRIM(Q99))=0</formula>
    </cfRule>
  </conditionalFormatting>
  <conditionalFormatting sqref="Q106">
    <cfRule type="containsBlanks" dxfId="11545" priority="7280">
      <formula>LEN(TRIM(Q106))=0</formula>
    </cfRule>
    <cfRule type="containsBlanks" dxfId="11544" priority="7281">
      <formula>LEN(TRIM(Q106))=0</formula>
    </cfRule>
    <cfRule type="containsBlanks" dxfId="11543" priority="7282">
      <formula>LEN(TRIM(Q106))=0</formula>
    </cfRule>
    <cfRule type="containsBlanks" dxfId="11542" priority="7283">
      <formula>LEN(TRIM(Q106))=0</formula>
    </cfRule>
    <cfRule type="containsBlanks" dxfId="11541" priority="7284">
      <formula>LEN(TRIM(Q106))=0</formula>
    </cfRule>
    <cfRule type="containsBlanks" dxfId="11540" priority="7285">
      <formula>LEN(TRIM(Q106))=0</formula>
    </cfRule>
    <cfRule type="containsBlanks" dxfId="11539" priority="7286">
      <formula>LEN(TRIM(Q106))=0</formula>
    </cfRule>
    <cfRule type="containsBlanks" dxfId="11538" priority="7287">
      <formula>LEN(TRIM(Q106))=0</formula>
    </cfRule>
    <cfRule type="containsBlanks" dxfId="11537" priority="7288">
      <formula>LEN(TRIM(Q106))=0</formula>
    </cfRule>
    <cfRule type="containsBlanks" dxfId="11536" priority="7289">
      <formula>LEN(TRIM(Q106))=0</formula>
    </cfRule>
    <cfRule type="containsBlanks" dxfId="11535" priority="7290">
      <formula>LEN(TRIM(Q106))=0</formula>
    </cfRule>
    <cfRule type="containsBlanks" dxfId="11534" priority="7291">
      <formula>LEN(TRIM(Q106))=0</formula>
    </cfRule>
    <cfRule type="containsBlanks" dxfId="11533" priority="7292">
      <formula>LEN(TRIM(Q106))=0</formula>
    </cfRule>
    <cfRule type="containsBlanks" dxfId="11532" priority="7293">
      <formula>LEN(TRIM(Q106))=0</formula>
    </cfRule>
    <cfRule type="containsBlanks" dxfId="11531" priority="7294">
      <formula>LEN(TRIM(Q106))=0</formula>
    </cfRule>
    <cfRule type="containsBlanks" dxfId="11530" priority="7295">
      <formula>LEN(TRIM(Q106))=0</formula>
    </cfRule>
    <cfRule type="containsBlanks" dxfId="11529" priority="7296">
      <formula>LEN(TRIM(Q106))=0</formula>
    </cfRule>
    <cfRule type="containsBlanks" dxfId="11528" priority="7297">
      <formula>LEN(TRIM(Q106))=0</formula>
    </cfRule>
    <cfRule type="containsBlanks" dxfId="11527" priority="7298">
      <formula>LEN(TRIM(Q106))=0</formula>
    </cfRule>
    <cfRule type="containsBlanks" dxfId="11526" priority="7299">
      <formula>LEN(TRIM(Q106))=0</formula>
    </cfRule>
    <cfRule type="containsBlanks" dxfId="11525" priority="7300">
      <formula>LEN(TRIM(Q106))=0</formula>
    </cfRule>
    <cfRule type="containsBlanks" dxfId="11524" priority="7301">
      <formula>LEN(TRIM(Q106))=0</formula>
    </cfRule>
    <cfRule type="containsBlanks" dxfId="11523" priority="7302">
      <formula>LEN(TRIM(Q106))=0</formula>
    </cfRule>
    <cfRule type="containsBlanks" dxfId="11522" priority="7303">
      <formula>LEN(TRIM(Q106))=0</formula>
    </cfRule>
    <cfRule type="containsBlanks" dxfId="11521" priority="7304">
      <formula>LEN(TRIM(Q106))=0</formula>
    </cfRule>
    <cfRule type="containsBlanks" dxfId="11520" priority="7305">
      <formula>LEN(TRIM(Q106))=0</formula>
    </cfRule>
    <cfRule type="containsBlanks" dxfId="11519" priority="7306">
      <formula>LEN(TRIM(Q106))=0</formula>
    </cfRule>
    <cfRule type="containsBlanks" dxfId="11518" priority="7307">
      <formula>LEN(TRIM(Q106))=0</formula>
    </cfRule>
    <cfRule type="containsBlanks" dxfId="11517" priority="7308">
      <formula>LEN(TRIM(Q106))=0</formula>
    </cfRule>
    <cfRule type="containsBlanks" dxfId="11516" priority="7309">
      <formula>LEN(TRIM(Q106))=0</formula>
    </cfRule>
    <cfRule type="containsBlanks" dxfId="11515" priority="7310">
      <formula>LEN(TRIM(Q106))=0</formula>
    </cfRule>
    <cfRule type="containsBlanks" dxfId="11514" priority="7311">
      <formula>LEN(TRIM(Q106))=0</formula>
    </cfRule>
    <cfRule type="containsBlanks" dxfId="11513" priority="7312">
      <formula>LEN(TRIM(Q106))=0</formula>
    </cfRule>
    <cfRule type="containsBlanks" dxfId="11512" priority="7313">
      <formula>LEN(TRIM(Q106))=0</formula>
    </cfRule>
    <cfRule type="containsBlanks" dxfId="11511" priority="7314">
      <formula>LEN(TRIM(Q106))=0</formula>
    </cfRule>
    <cfRule type="containsBlanks" dxfId="11510" priority="7315">
      <formula>LEN(TRIM(Q106))=0</formula>
    </cfRule>
    <cfRule type="containsBlanks" dxfId="11509" priority="7316">
      <formula>LEN(TRIM(Q106))=0</formula>
    </cfRule>
    <cfRule type="containsBlanks" dxfId="11508" priority="7317">
      <formula>LEN(TRIM(Q106))=0</formula>
    </cfRule>
    <cfRule type="containsBlanks" dxfId="11507" priority="7318">
      <formula>LEN(TRIM(Q106))=0</formula>
    </cfRule>
    <cfRule type="containsBlanks" dxfId="11506" priority="7319">
      <formula>LEN(TRIM(Q106))=0</formula>
    </cfRule>
    <cfRule type="containsBlanks" dxfId="11505" priority="7320">
      <formula>LEN(TRIM(Q106))=0</formula>
    </cfRule>
    <cfRule type="containsBlanks" dxfId="11504" priority="7321">
      <formula>LEN(TRIM(Q106))=0</formula>
    </cfRule>
    <cfRule type="containsBlanks" dxfId="11503" priority="7322">
      <formula>LEN(TRIM(Q106))=0</formula>
    </cfRule>
    <cfRule type="containsBlanks" dxfId="11502" priority="7323">
      <formula>LEN(TRIM(Q106))=0</formula>
    </cfRule>
    <cfRule type="containsBlanks" dxfId="11501" priority="7324">
      <formula>LEN(TRIM(Q106))=0</formula>
    </cfRule>
    <cfRule type="containsBlanks" dxfId="11500" priority="7325">
      <formula>LEN(TRIM(Q106))=0</formula>
    </cfRule>
    <cfRule type="containsBlanks" dxfId="11499" priority="7326">
      <formula>LEN(TRIM(Q106))=0</formula>
    </cfRule>
    <cfRule type="containsBlanks" dxfId="11498" priority="7327">
      <formula>LEN(TRIM(Q106))=0</formula>
    </cfRule>
    <cfRule type="containsBlanks" dxfId="11497" priority="7328">
      <formula>LEN(TRIM(Q106))=0</formula>
    </cfRule>
    <cfRule type="containsBlanks" dxfId="11496" priority="7329">
      <formula>LEN(TRIM(Q106))=0</formula>
    </cfRule>
    <cfRule type="containsBlanks" dxfId="11495" priority="7330">
      <formula>LEN(TRIM(Q106))=0</formula>
    </cfRule>
    <cfRule type="containsBlanks" dxfId="11494" priority="7331">
      <formula>LEN(TRIM(Q106))=0</formula>
    </cfRule>
    <cfRule type="containsBlanks" dxfId="11493" priority="7332">
      <formula>LEN(TRIM(Q106))=0</formula>
    </cfRule>
    <cfRule type="containsBlanks" dxfId="11492" priority="7333">
      <formula>LEN(TRIM(Q106))=0</formula>
    </cfRule>
    <cfRule type="containsBlanks" dxfId="11491" priority="7334">
      <formula>LEN(TRIM(Q106))=0</formula>
    </cfRule>
    <cfRule type="containsBlanks" dxfId="11490" priority="7335">
      <formula>LEN(TRIM(Q106))=0</formula>
    </cfRule>
    <cfRule type="containsBlanks" dxfId="11489" priority="7336">
      <formula>LEN(TRIM(Q106))=0</formula>
    </cfRule>
    <cfRule type="containsBlanks" dxfId="11488" priority="7337">
      <formula>LEN(TRIM(Q106))=0</formula>
    </cfRule>
    <cfRule type="containsBlanks" dxfId="11487" priority="7338">
      <formula>LEN(TRIM(Q106))=0</formula>
    </cfRule>
    <cfRule type="containsBlanks" dxfId="11486" priority="7339">
      <formula>LEN(TRIM(Q106))=0</formula>
    </cfRule>
    <cfRule type="containsBlanks" dxfId="11485" priority="7340">
      <formula>LEN(TRIM(Q106))=0</formula>
    </cfRule>
    <cfRule type="containsBlanks" dxfId="11484" priority="7341">
      <formula>LEN(TRIM(Q106))=0</formula>
    </cfRule>
    <cfRule type="containsBlanks" dxfId="11483" priority="7342">
      <formula>LEN(TRIM(Q106))=0</formula>
    </cfRule>
    <cfRule type="containsBlanks" dxfId="11482" priority="7343">
      <formula>LEN(TRIM(Q106))=0</formula>
    </cfRule>
    <cfRule type="containsBlanks" dxfId="11481" priority="7344">
      <formula>LEN(TRIM(Q106))=0</formula>
    </cfRule>
    <cfRule type="containsBlanks" dxfId="11480" priority="7345">
      <formula>LEN(TRIM(Q106))=0</formula>
    </cfRule>
    <cfRule type="containsBlanks" dxfId="11479" priority="7346">
      <formula>LEN(TRIM(Q106))=0</formula>
    </cfRule>
    <cfRule type="containsBlanks" dxfId="11478" priority="7347">
      <formula>LEN(TRIM(Q106))=0</formula>
    </cfRule>
    <cfRule type="containsBlanks" dxfId="11477" priority="7348">
      <formula>LEN(TRIM(Q106))=0</formula>
    </cfRule>
    <cfRule type="containsBlanks" dxfId="11476" priority="7349">
      <formula>LEN(TRIM(Q106))=0</formula>
    </cfRule>
    <cfRule type="containsBlanks" dxfId="11475" priority="7350">
      <formula>LEN(TRIM(Q106))=0</formula>
    </cfRule>
    <cfRule type="containsBlanks" dxfId="11474" priority="7351">
      <formula>LEN(TRIM(Q106))=0</formula>
    </cfRule>
    <cfRule type="containsBlanks" dxfId="11473" priority="7352">
      <formula>LEN(TRIM(Q106))=0</formula>
    </cfRule>
    <cfRule type="containsBlanks" dxfId="11472" priority="7353">
      <formula>LEN(TRIM(Q106))=0</formula>
    </cfRule>
    <cfRule type="containsBlanks" dxfId="11471" priority="7354">
      <formula>LEN(TRIM(Q106))=0</formula>
    </cfRule>
    <cfRule type="containsBlanks" dxfId="11470" priority="7355">
      <formula>LEN(TRIM(Q106))=0</formula>
    </cfRule>
    <cfRule type="containsBlanks" dxfId="11469" priority="7356">
      <formula>LEN(TRIM(Q106))=0</formula>
    </cfRule>
    <cfRule type="containsBlanks" dxfId="11468" priority="7357">
      <formula>LEN(TRIM(Q106))=0</formula>
    </cfRule>
    <cfRule type="containsBlanks" dxfId="11467" priority="7358">
      <formula>LEN(TRIM(Q106))=0</formula>
    </cfRule>
    <cfRule type="containsBlanks" dxfId="11466" priority="7359">
      <formula>LEN(TRIM(Q106))=0</formula>
    </cfRule>
    <cfRule type="containsBlanks" dxfId="11465" priority="7360">
      <formula>LEN(TRIM(Q106))=0</formula>
    </cfRule>
    <cfRule type="containsBlanks" dxfId="11464" priority="7361">
      <formula>LEN(TRIM(Q106))=0</formula>
    </cfRule>
    <cfRule type="containsBlanks" dxfId="11463" priority="7362">
      <formula>LEN(TRIM(Q106))=0</formula>
    </cfRule>
    <cfRule type="containsBlanks" dxfId="11462" priority="7363">
      <formula>LEN(TRIM(Q106))=0</formula>
    </cfRule>
    <cfRule type="containsBlanks" dxfId="11461" priority="7364">
      <formula>LEN(TRIM(Q106))=0</formula>
    </cfRule>
    <cfRule type="containsBlanks" dxfId="11460" priority="7365">
      <formula>LEN(TRIM(Q106))=0</formula>
    </cfRule>
    <cfRule type="containsBlanks" dxfId="11459" priority="7366">
      <formula>LEN(TRIM(Q106))=0</formula>
    </cfRule>
    <cfRule type="containsBlanks" dxfId="11458" priority="7367">
      <formula>LEN(TRIM(Q106))=0</formula>
    </cfRule>
    <cfRule type="containsBlanks" dxfId="11457" priority="7368">
      <formula>LEN(TRIM(Q106))=0</formula>
    </cfRule>
    <cfRule type="containsBlanks" dxfId="11456" priority="7369">
      <formula>LEN(TRIM(Q106))=0</formula>
    </cfRule>
    <cfRule type="containsBlanks" dxfId="11455" priority="7370">
      <formula>LEN(TRIM(Q106))=0</formula>
    </cfRule>
    <cfRule type="containsBlanks" dxfId="11454" priority="7371">
      <formula>LEN(TRIM(Q106))=0</formula>
    </cfRule>
    <cfRule type="containsBlanks" dxfId="11453" priority="7372">
      <formula>LEN(TRIM(Q106))=0</formula>
    </cfRule>
    <cfRule type="containsBlanks" dxfId="11452" priority="7373">
      <formula>LEN(TRIM(Q106))=0</formula>
    </cfRule>
    <cfRule type="containsBlanks" dxfId="11451" priority="7374">
      <formula>LEN(TRIM(Q106))=0</formula>
    </cfRule>
    <cfRule type="containsBlanks" dxfId="11450" priority="7375">
      <formula>LEN(TRIM(Q106))=0</formula>
    </cfRule>
    <cfRule type="containsBlanks" dxfId="11449" priority="7376">
      <formula>LEN(TRIM(Q106))=0</formula>
    </cfRule>
    <cfRule type="containsBlanks" dxfId="11448" priority="7377">
      <formula>LEN(TRIM(Q106))=0</formula>
    </cfRule>
    <cfRule type="containsBlanks" dxfId="11447" priority="7378">
      <formula>LEN(TRIM(Q106))=0</formula>
    </cfRule>
    <cfRule type="containsBlanks" dxfId="11446" priority="7379">
      <formula>LEN(TRIM(Q106))=0</formula>
    </cfRule>
    <cfRule type="containsBlanks" dxfId="11445" priority="7380">
      <formula>LEN(TRIM(Q106))=0</formula>
    </cfRule>
    <cfRule type="containsBlanks" dxfId="11444" priority="7381">
      <formula>LEN(TRIM(Q106))=0</formula>
    </cfRule>
    <cfRule type="containsBlanks" dxfId="11443" priority="7382">
      <formula>LEN(TRIM(Q106))=0</formula>
    </cfRule>
    <cfRule type="containsBlanks" dxfId="11442" priority="7383">
      <formula>LEN(TRIM(Q106))=0</formula>
    </cfRule>
    <cfRule type="containsBlanks" dxfId="11441" priority="7384">
      <formula>LEN(TRIM(Q106))=0</formula>
    </cfRule>
    <cfRule type="containsBlanks" dxfId="11440" priority="7385">
      <formula>LEN(TRIM(Q106))=0</formula>
    </cfRule>
    <cfRule type="containsBlanks" dxfId="11439" priority="7386">
      <formula>LEN(TRIM(Q106))=0</formula>
    </cfRule>
    <cfRule type="containsBlanks" dxfId="11438" priority="7387">
      <formula>LEN(TRIM(Q106))=0</formula>
    </cfRule>
    <cfRule type="containsBlanks" dxfId="11437" priority="7388">
      <formula>LEN(TRIM(Q106))=0</formula>
    </cfRule>
    <cfRule type="containsBlanks" dxfId="11436" priority="7389">
      <formula>LEN(TRIM(Q106))=0</formula>
    </cfRule>
    <cfRule type="containsBlanks" dxfId="11435" priority="7390">
      <formula>LEN(TRIM(Q106))=0</formula>
    </cfRule>
    <cfRule type="containsBlanks" dxfId="11434" priority="7391">
      <formula>LEN(TRIM(Q106))=0</formula>
    </cfRule>
    <cfRule type="containsBlanks" dxfId="11433" priority="7392">
      <formula>LEN(TRIM(Q106))=0</formula>
    </cfRule>
    <cfRule type="containsBlanks" dxfId="11432" priority="7393">
      <formula>LEN(TRIM(Q106))=0</formula>
    </cfRule>
    <cfRule type="containsBlanks" dxfId="11431" priority="7394">
      <formula>LEN(TRIM(Q106))=0</formula>
    </cfRule>
    <cfRule type="containsBlanks" dxfId="11430" priority="7395">
      <formula>LEN(TRIM(Q106))=0</formula>
    </cfRule>
    <cfRule type="containsBlanks" dxfId="11429" priority="7396">
      <formula>LEN(TRIM(Q106))=0</formula>
    </cfRule>
    <cfRule type="containsBlanks" dxfId="11428" priority="7397">
      <formula>LEN(TRIM(Q106))=0</formula>
    </cfRule>
    <cfRule type="containsBlanks" dxfId="11427" priority="7398">
      <formula>LEN(TRIM(Q106))=0</formula>
    </cfRule>
    <cfRule type="containsBlanks" dxfId="11426" priority="7399">
      <formula>LEN(TRIM(Q106))=0</formula>
    </cfRule>
    <cfRule type="containsBlanks" dxfId="11425" priority="7400">
      <formula>LEN(TRIM(Q106))=0</formula>
    </cfRule>
    <cfRule type="containsBlanks" dxfId="11424" priority="7401">
      <formula>LEN(TRIM(Q106))=0</formula>
    </cfRule>
    <cfRule type="containsBlanks" dxfId="11423" priority="7402">
      <formula>LEN(TRIM(Q106))=0</formula>
    </cfRule>
    <cfRule type="containsBlanks" dxfId="11422" priority="7403">
      <formula>LEN(TRIM(Q106))=0</formula>
    </cfRule>
    <cfRule type="containsBlanks" dxfId="11421" priority="7404">
      <formula>LEN(TRIM(Q106))=0</formula>
    </cfRule>
    <cfRule type="containsBlanks" dxfId="11420" priority="7405">
      <formula>LEN(TRIM(Q106))=0</formula>
    </cfRule>
    <cfRule type="containsBlanks" dxfId="11419" priority="7406">
      <formula>LEN(TRIM(Q106))=0</formula>
    </cfRule>
    <cfRule type="containsBlanks" dxfId="11418" priority="7407">
      <formula>LEN(TRIM(Q106))=0</formula>
    </cfRule>
    <cfRule type="containsBlanks" dxfId="11417" priority="7408">
      <formula>LEN(TRIM(Q106))=0</formula>
    </cfRule>
    <cfRule type="containsBlanks" dxfId="11416" priority="7409">
      <formula>LEN(TRIM(Q106))=0</formula>
    </cfRule>
    <cfRule type="containsBlanks" dxfId="11415" priority="7410">
      <formula>LEN(TRIM(Q106))=0</formula>
    </cfRule>
    <cfRule type="containsBlanks" dxfId="11414" priority="7411">
      <formula>LEN(TRIM(Q106))=0</formula>
    </cfRule>
    <cfRule type="containsBlanks" dxfId="11413" priority="7412">
      <formula>LEN(TRIM(Q106))=0</formula>
    </cfRule>
    <cfRule type="containsBlanks" dxfId="11412" priority="7413">
      <formula>LEN(TRIM(Q106))=0</formula>
    </cfRule>
    <cfRule type="containsBlanks" dxfId="11411" priority="7414">
      <formula>LEN(TRIM(Q106))=0</formula>
    </cfRule>
    <cfRule type="containsBlanks" dxfId="11410" priority="7415">
      <formula>LEN(TRIM(Q106))=0</formula>
    </cfRule>
    <cfRule type="containsBlanks" dxfId="11409" priority="7416">
      <formula>LEN(TRIM(Q106))=0</formula>
    </cfRule>
    <cfRule type="containsBlanks" dxfId="11408" priority="7417">
      <formula>LEN(TRIM(Q106))=0</formula>
    </cfRule>
    <cfRule type="containsBlanks" dxfId="11407" priority="7418">
      <formula>LEN(TRIM(Q106))=0</formula>
    </cfRule>
    <cfRule type="containsBlanks" dxfId="11406" priority="7419">
      <formula>LEN(TRIM(Q106))=0</formula>
    </cfRule>
    <cfRule type="containsBlanks" dxfId="11405" priority="7420">
      <formula>LEN(TRIM(Q106))=0</formula>
    </cfRule>
    <cfRule type="containsBlanks" dxfId="11404" priority="7421">
      <formula>LEN(TRIM(Q106))=0</formula>
    </cfRule>
    <cfRule type="containsBlanks" dxfId="11403" priority="7422">
      <formula>LEN(TRIM(Q106))=0</formula>
    </cfRule>
    <cfRule type="containsBlanks" dxfId="11402" priority="7423">
      <formula>LEN(TRIM(Q106))=0</formula>
    </cfRule>
    <cfRule type="containsBlanks" dxfId="11401" priority="7424">
      <formula>LEN(TRIM(Q106))=0</formula>
    </cfRule>
    <cfRule type="containsBlanks" dxfId="11400" priority="7425">
      <formula>LEN(TRIM(Q106))=0</formula>
    </cfRule>
    <cfRule type="containsBlanks" dxfId="11399" priority="7426">
      <formula>LEN(TRIM(Q106))=0</formula>
    </cfRule>
    <cfRule type="containsBlanks" dxfId="11398" priority="7427">
      <formula>LEN(TRIM(Q106))=0</formula>
    </cfRule>
    <cfRule type="containsBlanks" dxfId="11397" priority="7428">
      <formula>LEN(TRIM(Q106))=0</formula>
    </cfRule>
    <cfRule type="containsBlanks" dxfId="11396" priority="7429">
      <formula>LEN(TRIM(Q106))=0</formula>
    </cfRule>
    <cfRule type="containsBlanks" dxfId="11395" priority="7430">
      <formula>LEN(TRIM(Q106))=0</formula>
    </cfRule>
    <cfRule type="containsBlanks" dxfId="11394" priority="7431">
      <formula>LEN(TRIM(Q106))=0</formula>
    </cfRule>
    <cfRule type="containsBlanks" dxfId="11393" priority="7432">
      <formula>LEN(TRIM(Q106))=0</formula>
    </cfRule>
    <cfRule type="containsBlanks" dxfId="11392" priority="7433">
      <formula>LEN(TRIM(Q106))=0</formula>
    </cfRule>
    <cfRule type="containsBlanks" dxfId="11391" priority="7434">
      <formula>LEN(TRIM(Q106))=0</formula>
    </cfRule>
    <cfRule type="containsBlanks" dxfId="11390" priority="7435">
      <formula>LEN(TRIM(Q106))=0</formula>
    </cfRule>
    <cfRule type="containsBlanks" dxfId="11389" priority="7436">
      <formula>LEN(TRIM(Q106))=0</formula>
    </cfRule>
    <cfRule type="containsBlanks" dxfId="11388" priority="7437">
      <formula>LEN(TRIM(Q106))=0</formula>
    </cfRule>
    <cfRule type="containsBlanks" dxfId="11387" priority="7438">
      <formula>LEN(TRIM(Q106))=0</formula>
    </cfRule>
    <cfRule type="containsBlanks" dxfId="11386" priority="7439">
      <formula>LEN(TRIM(Q106))=0</formula>
    </cfRule>
    <cfRule type="containsBlanks" dxfId="11385" priority="7440">
      <formula>LEN(TRIM(Q106))=0</formula>
    </cfRule>
    <cfRule type="containsBlanks" dxfId="11384" priority="7441">
      <formula>LEN(TRIM(Q106))=0</formula>
    </cfRule>
    <cfRule type="containsBlanks" dxfId="11383" priority="7442">
      <formula>LEN(TRIM(Q106))=0</formula>
    </cfRule>
    <cfRule type="containsBlanks" dxfId="11382" priority="7443">
      <formula>LEN(TRIM(Q106))=0</formula>
    </cfRule>
    <cfRule type="containsBlanks" dxfId="11381" priority="7444">
      <formula>LEN(TRIM(Q106))=0</formula>
    </cfRule>
    <cfRule type="containsBlanks" dxfId="11380" priority="7445">
      <formula>LEN(TRIM(Q106))=0</formula>
    </cfRule>
    <cfRule type="containsBlanks" dxfId="11379" priority="7446">
      <formula>LEN(TRIM(Q106))=0</formula>
    </cfRule>
    <cfRule type="containsBlanks" dxfId="11378" priority="7447">
      <formula>LEN(TRIM(Q106))=0</formula>
    </cfRule>
    <cfRule type="containsBlanks" dxfId="11377" priority="7448">
      <formula>LEN(TRIM(Q106))=0</formula>
    </cfRule>
    <cfRule type="containsBlanks" dxfId="11376" priority="7449">
      <formula>LEN(TRIM(Q106))=0</formula>
    </cfRule>
    <cfRule type="containsBlanks" dxfId="11375" priority="7450">
      <formula>LEN(TRIM(Q106))=0</formula>
    </cfRule>
    <cfRule type="containsBlanks" dxfId="11374" priority="7451">
      <formula>LEN(TRIM(Q106))=0</formula>
    </cfRule>
    <cfRule type="containsBlanks" dxfId="11373" priority="7452">
      <formula>LEN(TRIM(Q106))=0</formula>
    </cfRule>
    <cfRule type="containsBlanks" dxfId="11372" priority="7453">
      <formula>LEN(TRIM(Q106))=0</formula>
    </cfRule>
    <cfRule type="containsBlanks" dxfId="11371" priority="7454">
      <formula>LEN(TRIM(Q106))=0</formula>
    </cfRule>
    <cfRule type="containsBlanks" dxfId="11370" priority="7455">
      <formula>LEN(TRIM(Q106))=0</formula>
    </cfRule>
    <cfRule type="containsBlanks" dxfId="11369" priority="7456">
      <formula>LEN(TRIM(Q106))=0</formula>
    </cfRule>
    <cfRule type="containsBlanks" dxfId="11368" priority="7457">
      <formula>LEN(TRIM(Q106))=0</formula>
    </cfRule>
    <cfRule type="containsBlanks" dxfId="11367" priority="7458">
      <formula>LEN(TRIM(Q106))=0</formula>
    </cfRule>
    <cfRule type="containsBlanks" dxfId="11366" priority="7459">
      <formula>LEN(TRIM(Q106))=0</formula>
    </cfRule>
    <cfRule type="containsBlanks" dxfId="11365" priority="7460">
      <formula>LEN(TRIM(Q106))=0</formula>
    </cfRule>
    <cfRule type="containsBlanks" dxfId="11364" priority="7461">
      <formula>LEN(TRIM(Q106))=0</formula>
    </cfRule>
    <cfRule type="containsBlanks" dxfId="11363" priority="7462">
      <formula>LEN(TRIM(Q106))=0</formula>
    </cfRule>
    <cfRule type="containsBlanks" dxfId="11362" priority="7463">
      <formula>LEN(TRIM(Q106))=0</formula>
    </cfRule>
    <cfRule type="containsBlanks" dxfId="11361" priority="7464">
      <formula>LEN(TRIM(Q106))=0</formula>
    </cfRule>
    <cfRule type="containsBlanks" dxfId="11360" priority="7465">
      <formula>LEN(TRIM(Q106))=0</formula>
    </cfRule>
    <cfRule type="containsBlanks" dxfId="11359" priority="7466">
      <formula>LEN(TRIM(Q106))=0</formula>
    </cfRule>
    <cfRule type="containsBlanks" dxfId="11358" priority="7467">
      <formula>LEN(TRIM(Q106))=0</formula>
    </cfRule>
    <cfRule type="containsBlanks" dxfId="11357" priority="7468">
      <formula>LEN(TRIM(Q106))=0</formula>
    </cfRule>
    <cfRule type="containsBlanks" dxfId="11356" priority="7469">
      <formula>LEN(TRIM(Q106))=0</formula>
    </cfRule>
    <cfRule type="containsBlanks" dxfId="11355" priority="7470">
      <formula>LEN(TRIM(Q106))=0</formula>
    </cfRule>
    <cfRule type="containsBlanks" dxfId="11354" priority="7471">
      <formula>LEN(TRIM(Q106))=0</formula>
    </cfRule>
    <cfRule type="containsBlanks" dxfId="11353" priority="7472">
      <formula>LEN(TRIM(Q106))=0</formula>
    </cfRule>
    <cfRule type="containsBlanks" dxfId="11352" priority="7473">
      <formula>LEN(TRIM(Q106))=0</formula>
    </cfRule>
    <cfRule type="containsBlanks" dxfId="11351" priority="7474">
      <formula>LEN(TRIM(Q106))=0</formula>
    </cfRule>
    <cfRule type="containsBlanks" dxfId="11350" priority="7475">
      <formula>LEN(TRIM(Q106))=0</formula>
    </cfRule>
    <cfRule type="containsBlanks" dxfId="11349" priority="7476">
      <formula>LEN(TRIM(Q106))=0</formula>
    </cfRule>
    <cfRule type="containsBlanks" dxfId="11348" priority="7477">
      <formula>LEN(TRIM(Q106))=0</formula>
    </cfRule>
    <cfRule type="containsBlanks" dxfId="11347" priority="7478">
      <formula>LEN(TRIM(Q106))=0</formula>
    </cfRule>
    <cfRule type="containsBlanks" dxfId="11346" priority="7479">
      <formula>LEN(TRIM(Q106))=0</formula>
    </cfRule>
    <cfRule type="containsBlanks" dxfId="11345" priority="7480">
      <formula>LEN(TRIM(Q106))=0</formula>
    </cfRule>
    <cfRule type="containsBlanks" dxfId="11344" priority="7481">
      <formula>LEN(TRIM(Q106))=0</formula>
    </cfRule>
    <cfRule type="containsBlanks" dxfId="11343" priority="7482">
      <formula>LEN(TRIM(Q106))=0</formula>
    </cfRule>
    <cfRule type="containsBlanks" dxfId="11342" priority="7483">
      <formula>LEN(TRIM(Q106))=0</formula>
    </cfRule>
    <cfRule type="containsBlanks" dxfId="11341" priority="7484">
      <formula>LEN(TRIM(Q106))=0</formula>
    </cfRule>
    <cfRule type="containsBlanks" dxfId="11340" priority="7485">
      <formula>LEN(TRIM(Q106))=0</formula>
    </cfRule>
    <cfRule type="containsBlanks" dxfId="11339" priority="7486">
      <formula>LEN(TRIM(Q106))=0</formula>
    </cfRule>
    <cfRule type="containsBlanks" dxfId="11338" priority="7487">
      <formula>LEN(TRIM(Q106))=0</formula>
    </cfRule>
    <cfRule type="containsBlanks" dxfId="11337" priority="7488">
      <formula>LEN(TRIM(Q106))=0</formula>
    </cfRule>
    <cfRule type="containsBlanks" dxfId="11336" priority="7489">
      <formula>LEN(TRIM(Q106))=0</formula>
    </cfRule>
    <cfRule type="containsBlanks" dxfId="11335" priority="7490">
      <formula>LEN(TRIM(Q106))=0</formula>
    </cfRule>
    <cfRule type="containsBlanks" dxfId="11334" priority="7491">
      <formula>LEN(TRIM(Q106))=0</formula>
    </cfRule>
    <cfRule type="containsBlanks" dxfId="11333" priority="7492">
      <formula>LEN(TRIM(Q106))=0</formula>
    </cfRule>
    <cfRule type="containsBlanks" dxfId="11332" priority="7493">
      <formula>LEN(TRIM(Q106))=0</formula>
    </cfRule>
    <cfRule type="containsBlanks" dxfId="11331" priority="7494">
      <formula>LEN(TRIM(Q106))=0</formula>
    </cfRule>
    <cfRule type="containsBlanks" dxfId="11330" priority="7495">
      <formula>LEN(TRIM(Q106))=0</formula>
    </cfRule>
    <cfRule type="containsBlanks" dxfId="11329" priority="7496">
      <formula>LEN(TRIM(Q106))=0</formula>
    </cfRule>
    <cfRule type="containsBlanks" dxfId="11328" priority="7497">
      <formula>LEN(TRIM(Q106))=0</formula>
    </cfRule>
    <cfRule type="containsBlanks" dxfId="11327" priority="7498">
      <formula>LEN(TRIM(Q106))=0</formula>
    </cfRule>
    <cfRule type="containsBlanks" dxfId="11326" priority="7499">
      <formula>LEN(TRIM(Q106))=0</formula>
    </cfRule>
    <cfRule type="containsBlanks" dxfId="11325" priority="7500">
      <formula>LEN(TRIM(Q106))=0</formula>
    </cfRule>
    <cfRule type="containsBlanks" dxfId="11324" priority="7501">
      <formula>LEN(TRIM(Q106))=0</formula>
    </cfRule>
    <cfRule type="containsBlanks" dxfId="11323" priority="7502">
      <formula>LEN(TRIM(Q106))=0</formula>
    </cfRule>
    <cfRule type="containsBlanks" dxfId="11322" priority="7503">
      <formula>LEN(TRIM(Q106))=0</formula>
    </cfRule>
    <cfRule type="containsBlanks" dxfId="11321" priority="7504">
      <formula>LEN(TRIM(Q106))=0</formula>
    </cfRule>
    <cfRule type="containsBlanks" dxfId="11320" priority="7505">
      <formula>LEN(TRIM(Q106))=0</formula>
    </cfRule>
    <cfRule type="containsBlanks" dxfId="11319" priority="7506">
      <formula>LEN(TRIM(Q106))=0</formula>
    </cfRule>
    <cfRule type="containsBlanks" dxfId="11318" priority="7507">
      <formula>LEN(TRIM(Q106))=0</formula>
    </cfRule>
    <cfRule type="containsBlanks" dxfId="11317" priority="7508">
      <formula>LEN(TRIM(Q106))=0</formula>
    </cfRule>
    <cfRule type="containsBlanks" dxfId="11316" priority="7509">
      <formula>LEN(TRIM(Q106))=0</formula>
    </cfRule>
    <cfRule type="containsBlanks" dxfId="11315" priority="7510">
      <formula>LEN(TRIM(Q106))=0</formula>
    </cfRule>
    <cfRule type="containsBlanks" dxfId="11314" priority="7511">
      <formula>LEN(TRIM(Q106))=0</formula>
    </cfRule>
    <cfRule type="containsBlanks" dxfId="11313" priority="7512">
      <formula>LEN(TRIM(Q106))=0</formula>
    </cfRule>
    <cfRule type="containsBlanks" dxfId="11312" priority="7513">
      <formula>LEN(TRIM(Q106))=0</formula>
    </cfRule>
    <cfRule type="containsBlanks" dxfId="11311" priority="7514">
      <formula>LEN(TRIM(Q106))=0</formula>
    </cfRule>
    <cfRule type="containsBlanks" dxfId="11310" priority="7515">
      <formula>LEN(TRIM(Q106))=0</formula>
    </cfRule>
    <cfRule type="containsBlanks" dxfId="11309" priority="7516">
      <formula>LEN(TRIM(Q106))=0</formula>
    </cfRule>
    <cfRule type="containsBlanks" dxfId="11308" priority="7517">
      <formula>LEN(TRIM(Q106))=0</formula>
    </cfRule>
    <cfRule type="containsBlanks" dxfId="11307" priority="7518">
      <formula>LEN(TRIM(Q106))=0</formula>
    </cfRule>
    <cfRule type="containsBlanks" dxfId="11306" priority="7519">
      <formula>LEN(TRIM(Q106))=0</formula>
    </cfRule>
    <cfRule type="containsBlanks" dxfId="11305" priority="7520">
      <formula>LEN(TRIM(Q106))=0</formula>
    </cfRule>
    <cfRule type="containsBlanks" dxfId="11304" priority="7521">
      <formula>LEN(TRIM(Q106))=0</formula>
    </cfRule>
    <cfRule type="containsBlanks" dxfId="11303" priority="7522">
      <formula>LEN(TRIM(Q106))=0</formula>
    </cfRule>
    <cfRule type="containsBlanks" dxfId="11302" priority="7523">
      <formula>LEN(TRIM(Q106))=0</formula>
    </cfRule>
    <cfRule type="containsBlanks" dxfId="11301" priority="7524">
      <formula>LEN(TRIM(Q106))=0</formula>
    </cfRule>
    <cfRule type="containsBlanks" dxfId="11300" priority="7525">
      <formula>LEN(TRIM(Q106))=0</formula>
    </cfRule>
    <cfRule type="containsBlanks" dxfId="11299" priority="7526">
      <formula>LEN(TRIM(Q106))=0</formula>
    </cfRule>
    <cfRule type="containsBlanks" dxfId="11298" priority="7527">
      <formula>LEN(TRIM(Q106))=0</formula>
    </cfRule>
    <cfRule type="containsBlanks" dxfId="11297" priority="7528">
      <formula>LEN(TRIM(Q106))=0</formula>
    </cfRule>
    <cfRule type="containsBlanks" dxfId="11296" priority="7529">
      <formula>LEN(TRIM(Q106))=0</formula>
    </cfRule>
    <cfRule type="containsBlanks" dxfId="11295" priority="7530">
      <formula>LEN(TRIM(Q106))=0</formula>
    </cfRule>
    <cfRule type="containsBlanks" dxfId="11294" priority="7531">
      <formula>LEN(TRIM(Q106))=0</formula>
    </cfRule>
    <cfRule type="containsBlanks" dxfId="11293" priority="7532">
      <formula>LEN(TRIM(Q106))=0</formula>
    </cfRule>
    <cfRule type="containsBlanks" dxfId="11292" priority="7533">
      <formula>LEN(TRIM(Q106))=0</formula>
    </cfRule>
    <cfRule type="containsBlanks" dxfId="11291" priority="7534">
      <formula>LEN(TRIM(Q106))=0</formula>
    </cfRule>
    <cfRule type="containsBlanks" dxfId="11290" priority="7535">
      <formula>LEN(TRIM(Q106))=0</formula>
    </cfRule>
    <cfRule type="containsBlanks" dxfId="11289" priority="7536">
      <formula>LEN(TRIM(Q106))=0</formula>
    </cfRule>
    <cfRule type="containsBlanks" dxfId="11288" priority="7537">
      <formula>LEN(TRIM(Q106))=0</formula>
    </cfRule>
    <cfRule type="containsBlanks" dxfId="11287" priority="7538">
      <formula>LEN(TRIM(Q106))=0</formula>
    </cfRule>
    <cfRule type="containsBlanks" dxfId="11286" priority="7539">
      <formula>LEN(TRIM(Q106))=0</formula>
    </cfRule>
    <cfRule type="containsBlanks" dxfId="11285" priority="7540">
      <formula>LEN(TRIM(Q106))=0</formula>
    </cfRule>
    <cfRule type="containsBlanks" dxfId="11284" priority="7541">
      <formula>LEN(TRIM(Q106))=0</formula>
    </cfRule>
    <cfRule type="containsBlanks" dxfId="11283" priority="7542">
      <formula>LEN(TRIM(Q106))=0</formula>
    </cfRule>
    <cfRule type="containsBlanks" dxfId="11282" priority="7543">
      <formula>LEN(TRIM(Q106))=0</formula>
    </cfRule>
    <cfRule type="containsBlanks" dxfId="11281" priority="7544">
      <formula>LEN(TRIM(Q106))=0</formula>
    </cfRule>
    <cfRule type="containsBlanks" dxfId="11280" priority="7545">
      <formula>LEN(TRIM(Q106))=0</formula>
    </cfRule>
    <cfRule type="containsBlanks" dxfId="11279" priority="7546">
      <formula>LEN(TRIM(Q106))=0</formula>
    </cfRule>
    <cfRule type="containsBlanks" dxfId="11278" priority="7547">
      <formula>LEN(TRIM(Q106))=0</formula>
    </cfRule>
    <cfRule type="containsBlanks" dxfId="11277" priority="7548">
      <formula>LEN(TRIM(Q106))=0</formula>
    </cfRule>
    <cfRule type="containsBlanks" dxfId="11276" priority="7549">
      <formula>LEN(TRIM(Q106))=0</formula>
    </cfRule>
    <cfRule type="containsBlanks" dxfId="11275" priority="7550">
      <formula>LEN(TRIM(Q106))=0</formula>
    </cfRule>
    <cfRule type="containsBlanks" dxfId="11274" priority="7551">
      <formula>LEN(TRIM(Q106))=0</formula>
    </cfRule>
    <cfRule type="containsBlanks" dxfId="11273" priority="7552">
      <formula>LEN(TRIM(Q106))=0</formula>
    </cfRule>
    <cfRule type="containsBlanks" dxfId="11272" priority="7553">
      <formula>LEN(TRIM(Q106))=0</formula>
    </cfRule>
    <cfRule type="containsBlanks" dxfId="11271" priority="7554">
      <formula>LEN(TRIM(Q106))=0</formula>
    </cfRule>
    <cfRule type="containsBlanks" dxfId="11270" priority="7555">
      <formula>LEN(TRIM(Q106))=0</formula>
    </cfRule>
    <cfRule type="containsBlanks" dxfId="11269" priority="7556">
      <formula>LEN(TRIM(Q106))=0</formula>
    </cfRule>
    <cfRule type="containsBlanks" dxfId="11268" priority="7557">
      <formula>LEN(TRIM(Q106))=0</formula>
    </cfRule>
    <cfRule type="containsBlanks" dxfId="11267" priority="7558">
      <formula>LEN(TRIM(Q106))=0</formula>
    </cfRule>
    <cfRule type="containsBlanks" dxfId="11266" priority="7559">
      <formula>LEN(TRIM(Q106))=0</formula>
    </cfRule>
    <cfRule type="containsBlanks" dxfId="11265" priority="7560">
      <formula>LEN(TRIM(Q106))=0</formula>
    </cfRule>
    <cfRule type="containsBlanks" dxfId="11264" priority="7561">
      <formula>LEN(TRIM(Q106))=0</formula>
    </cfRule>
    <cfRule type="containsBlanks" dxfId="11263" priority="7562">
      <formula>LEN(TRIM(Q106))=0</formula>
    </cfRule>
    <cfRule type="containsBlanks" dxfId="11262" priority="7563">
      <formula>LEN(TRIM(Q106))=0</formula>
    </cfRule>
    <cfRule type="containsBlanks" dxfId="11261" priority="7564">
      <formula>LEN(TRIM(Q106))=0</formula>
    </cfRule>
    <cfRule type="containsBlanks" dxfId="11260" priority="7565">
      <formula>LEN(TRIM(Q106))=0</formula>
    </cfRule>
    <cfRule type="containsBlanks" dxfId="11259" priority="7566">
      <formula>LEN(TRIM(Q106))=0</formula>
    </cfRule>
    <cfRule type="containsBlanks" dxfId="11258" priority="7567">
      <formula>LEN(TRIM(Q106))=0</formula>
    </cfRule>
    <cfRule type="containsBlanks" dxfId="11257" priority="7568">
      <formula>LEN(TRIM(Q106))=0</formula>
    </cfRule>
    <cfRule type="containsBlanks" dxfId="11256" priority="7569">
      <formula>LEN(TRIM(Q106))=0</formula>
    </cfRule>
    <cfRule type="containsBlanks" dxfId="11255" priority="7570">
      <formula>LEN(TRIM(Q106))=0</formula>
    </cfRule>
    <cfRule type="containsBlanks" dxfId="11254" priority="7571">
      <formula>LEN(TRIM(Q106))=0</formula>
    </cfRule>
    <cfRule type="containsBlanks" dxfId="11253" priority="7572">
      <formula>LEN(TRIM(Q106))=0</formula>
    </cfRule>
    <cfRule type="containsBlanks" dxfId="11252" priority="7573">
      <formula>LEN(TRIM(Q106))=0</formula>
    </cfRule>
    <cfRule type="containsBlanks" dxfId="11251" priority="7574">
      <formula>LEN(TRIM(Q106))=0</formula>
    </cfRule>
    <cfRule type="containsBlanks" dxfId="11250" priority="7575">
      <formula>LEN(TRIM(Q106))=0</formula>
    </cfRule>
    <cfRule type="containsBlanks" dxfId="11249" priority="7576">
      <formula>LEN(TRIM(Q106))=0</formula>
    </cfRule>
    <cfRule type="containsBlanks" dxfId="11248" priority="7577">
      <formula>LEN(TRIM(Q106))=0</formula>
    </cfRule>
    <cfRule type="containsBlanks" dxfId="11247" priority="7578">
      <formula>LEN(TRIM(Q106))=0</formula>
    </cfRule>
    <cfRule type="containsBlanks" dxfId="11246" priority="7579">
      <formula>LEN(TRIM(Q106))=0</formula>
    </cfRule>
    <cfRule type="containsBlanks" dxfId="11245" priority="7580">
      <formula>LEN(TRIM(Q106))=0</formula>
    </cfRule>
    <cfRule type="containsBlanks" dxfId="11244" priority="7581">
      <formula>LEN(TRIM(Q106))=0</formula>
    </cfRule>
    <cfRule type="containsBlanks" dxfId="11243" priority="7582">
      <formula>LEN(TRIM(Q106))=0</formula>
    </cfRule>
    <cfRule type="containsBlanks" dxfId="11242" priority="7583">
      <formula>LEN(TRIM(Q106))=0</formula>
    </cfRule>
    <cfRule type="containsBlanks" dxfId="11241" priority="7584">
      <formula>LEN(TRIM(Q106))=0</formula>
    </cfRule>
    <cfRule type="containsBlanks" dxfId="11240" priority="7585">
      <formula>LEN(TRIM(Q106))=0</formula>
    </cfRule>
    <cfRule type="containsBlanks" dxfId="11239" priority="7586">
      <formula>LEN(TRIM(Q106))=0</formula>
    </cfRule>
    <cfRule type="containsBlanks" dxfId="11238" priority="7587">
      <formula>LEN(TRIM(Q106))=0</formula>
    </cfRule>
    <cfRule type="containsBlanks" dxfId="11237" priority="7588">
      <formula>LEN(TRIM(Q106))=0</formula>
    </cfRule>
    <cfRule type="containsBlanks" dxfId="11236" priority="7589">
      <formula>LEN(TRIM(Q106))=0</formula>
    </cfRule>
    <cfRule type="containsBlanks" dxfId="11235" priority="7590">
      <formula>LEN(TRIM(Q106))=0</formula>
    </cfRule>
    <cfRule type="containsBlanks" dxfId="11234" priority="7591">
      <formula>LEN(TRIM(Q106))=0</formula>
    </cfRule>
    <cfRule type="containsBlanks" dxfId="11233" priority="7592">
      <formula>LEN(TRIM(Q106))=0</formula>
    </cfRule>
    <cfRule type="containsBlanks" dxfId="11232" priority="7593">
      <formula>LEN(TRIM(Q106))=0</formula>
    </cfRule>
    <cfRule type="containsBlanks" dxfId="11231" priority="7594">
      <formula>LEN(TRIM(Q106))=0</formula>
    </cfRule>
    <cfRule type="containsBlanks" dxfId="11230" priority="7595">
      <formula>LEN(TRIM(Q106))=0</formula>
    </cfRule>
    <cfRule type="containsBlanks" dxfId="11229" priority="7596">
      <formula>LEN(TRIM(Q106))=0</formula>
    </cfRule>
    <cfRule type="containsBlanks" dxfId="11228" priority="7597">
      <formula>LEN(TRIM(Q106))=0</formula>
    </cfRule>
    <cfRule type="containsBlanks" dxfId="11227" priority="7598">
      <formula>LEN(TRIM(Q106))=0</formula>
    </cfRule>
    <cfRule type="containsBlanks" dxfId="11226" priority="7599">
      <formula>LEN(TRIM(Q106))=0</formula>
    </cfRule>
    <cfRule type="containsBlanks" dxfId="11225" priority="7600">
      <formula>LEN(TRIM(Q106))=0</formula>
    </cfRule>
    <cfRule type="containsBlanks" dxfId="11224" priority="7601">
      <formula>LEN(TRIM(Q106))=0</formula>
    </cfRule>
    <cfRule type="containsBlanks" dxfId="11223" priority="7602">
      <formula>LEN(TRIM(Q106))=0</formula>
    </cfRule>
    <cfRule type="containsBlanks" dxfId="11222" priority="7603">
      <formula>LEN(TRIM(Q106))=0</formula>
    </cfRule>
    <cfRule type="containsBlanks" dxfId="11221" priority="7604">
      <formula>LEN(TRIM(Q106))=0</formula>
    </cfRule>
    <cfRule type="containsBlanks" dxfId="11220" priority="7605">
      <formula>LEN(TRIM(Q106))=0</formula>
    </cfRule>
    <cfRule type="containsBlanks" dxfId="11219" priority="7606">
      <formula>LEN(TRIM(Q106))=0</formula>
    </cfRule>
    <cfRule type="containsBlanks" dxfId="11218" priority="7607">
      <formula>LEN(TRIM(Q106))=0</formula>
    </cfRule>
    <cfRule type="containsBlanks" dxfId="11217" priority="7608">
      <formula>LEN(TRIM(Q106))=0</formula>
    </cfRule>
    <cfRule type="containsBlanks" dxfId="11216" priority="7609">
      <formula>LEN(TRIM(Q106))=0</formula>
    </cfRule>
    <cfRule type="containsBlanks" dxfId="11215" priority="7610">
      <formula>LEN(TRIM(Q106))=0</formula>
    </cfRule>
    <cfRule type="containsBlanks" dxfId="11214" priority="7611">
      <formula>LEN(TRIM(Q106))=0</formula>
    </cfRule>
    <cfRule type="containsBlanks" dxfId="11213" priority="7612">
      <formula>LEN(TRIM(Q106))=0</formula>
    </cfRule>
    <cfRule type="containsBlanks" dxfId="11212" priority="7613">
      <formula>LEN(TRIM(Q106))=0</formula>
    </cfRule>
    <cfRule type="containsBlanks" dxfId="11211" priority="7614">
      <formula>LEN(TRIM(Q106))=0</formula>
    </cfRule>
    <cfRule type="containsBlanks" dxfId="11210" priority="7615">
      <formula>LEN(TRIM(Q106))=0</formula>
    </cfRule>
    <cfRule type="containsBlanks" dxfId="11209" priority="7616">
      <formula>LEN(TRIM(Q106))=0</formula>
    </cfRule>
    <cfRule type="containsBlanks" dxfId="11208" priority="7617">
      <formula>LEN(TRIM(Q106))=0</formula>
    </cfRule>
    <cfRule type="containsBlanks" dxfId="11207" priority="7618">
      <formula>LEN(TRIM(Q106))=0</formula>
    </cfRule>
    <cfRule type="containsBlanks" dxfId="11206" priority="7619">
      <formula>LEN(TRIM(Q106))=0</formula>
    </cfRule>
    <cfRule type="containsBlanks" dxfId="11205" priority="7620">
      <formula>LEN(TRIM(Q106))=0</formula>
    </cfRule>
    <cfRule type="containsBlanks" dxfId="11204" priority="7621">
      <formula>LEN(TRIM(Q106))=0</formula>
    </cfRule>
    <cfRule type="containsBlanks" dxfId="11203" priority="7622">
      <formula>LEN(TRIM(Q106))=0</formula>
    </cfRule>
    <cfRule type="containsBlanks" dxfId="11202" priority="7623">
      <formula>LEN(TRIM(Q106))=0</formula>
    </cfRule>
    <cfRule type="containsBlanks" dxfId="11201" priority="7624">
      <formula>LEN(TRIM(Q106))=0</formula>
    </cfRule>
    <cfRule type="containsBlanks" dxfId="11200" priority="7625">
      <formula>LEN(TRIM(Q106))=0</formula>
    </cfRule>
    <cfRule type="containsBlanks" dxfId="11199" priority="7626">
      <formula>LEN(TRIM(Q106))=0</formula>
    </cfRule>
    <cfRule type="containsBlanks" dxfId="11198" priority="7627">
      <formula>LEN(TRIM(Q106))=0</formula>
    </cfRule>
    <cfRule type="containsBlanks" dxfId="11197" priority="7628">
      <formula>LEN(TRIM(Q106))=0</formula>
    </cfRule>
    <cfRule type="containsBlanks" dxfId="11196" priority="7629">
      <formula>LEN(TRIM(Q106))=0</formula>
    </cfRule>
    <cfRule type="containsBlanks" dxfId="11195" priority="7630">
      <formula>LEN(TRIM(Q106))=0</formula>
    </cfRule>
    <cfRule type="containsBlanks" dxfId="11194" priority="7631">
      <formula>LEN(TRIM(Q106))=0</formula>
    </cfRule>
    <cfRule type="containsBlanks" dxfId="11193" priority="7632">
      <formula>LEN(TRIM(Q106))=0</formula>
    </cfRule>
    <cfRule type="containsBlanks" dxfId="11192" priority="7633">
      <formula>LEN(TRIM(Q106))=0</formula>
    </cfRule>
    <cfRule type="containsBlanks" dxfId="11191" priority="7634">
      <formula>LEN(TRIM(Q106))=0</formula>
    </cfRule>
    <cfRule type="containsBlanks" dxfId="11190" priority="7635">
      <formula>LEN(TRIM(Q106))=0</formula>
    </cfRule>
    <cfRule type="containsBlanks" dxfId="11189" priority="7636">
      <formula>LEN(TRIM(Q106))=0</formula>
    </cfRule>
    <cfRule type="containsBlanks" dxfId="11188" priority="7637">
      <formula>LEN(TRIM(Q106))=0</formula>
    </cfRule>
    <cfRule type="containsBlanks" dxfId="11187" priority="7638">
      <formula>LEN(TRIM(Q106))=0</formula>
    </cfRule>
    <cfRule type="containsBlanks" dxfId="11186" priority="7639">
      <formula>LEN(TRIM(Q106))=0</formula>
    </cfRule>
    <cfRule type="containsBlanks" dxfId="11185" priority="7640">
      <formula>LEN(TRIM(Q106))=0</formula>
    </cfRule>
    <cfRule type="containsBlanks" dxfId="11184" priority="7641">
      <formula>LEN(TRIM(Q106))=0</formula>
    </cfRule>
    <cfRule type="containsBlanks" dxfId="11183" priority="7642">
      <formula>LEN(TRIM(Q106))=0</formula>
    </cfRule>
    <cfRule type="containsBlanks" dxfId="11182" priority="7643">
      <formula>LEN(TRIM(Q106))=0</formula>
    </cfRule>
    <cfRule type="containsBlanks" dxfId="11181" priority="7644">
      <formula>LEN(TRIM(Q106))=0</formula>
    </cfRule>
    <cfRule type="containsBlanks" dxfId="11180" priority="7645">
      <formula>LEN(TRIM(Q106))=0</formula>
    </cfRule>
    <cfRule type="containsBlanks" dxfId="11179" priority="7646">
      <formula>LEN(TRIM(Q106))=0</formula>
    </cfRule>
    <cfRule type="containsBlanks" dxfId="11178" priority="7647">
      <formula>LEN(TRIM(Q106))=0</formula>
    </cfRule>
    <cfRule type="containsBlanks" dxfId="11177" priority="7648">
      <formula>LEN(TRIM(Q106))=0</formula>
    </cfRule>
    <cfRule type="containsBlanks" dxfId="11176" priority="7649">
      <formula>LEN(TRIM(Q106))=0</formula>
    </cfRule>
    <cfRule type="containsBlanks" dxfId="11175" priority="7650">
      <formula>LEN(TRIM(Q106))=0</formula>
    </cfRule>
    <cfRule type="containsBlanks" dxfId="11174" priority="7651">
      <formula>LEN(TRIM(Q106))=0</formula>
    </cfRule>
    <cfRule type="containsBlanks" dxfId="11173" priority="7652">
      <formula>LEN(TRIM(Q106))=0</formula>
    </cfRule>
    <cfRule type="containsBlanks" dxfId="11172" priority="7653">
      <formula>LEN(TRIM(Q106))=0</formula>
    </cfRule>
    <cfRule type="containsBlanks" dxfId="11171" priority="7654">
      <formula>LEN(TRIM(Q106))=0</formula>
    </cfRule>
    <cfRule type="containsBlanks" dxfId="11170" priority="7655">
      <formula>LEN(TRIM(Q106))=0</formula>
    </cfRule>
    <cfRule type="containsBlanks" dxfId="11169" priority="7656">
      <formula>LEN(TRIM(Q106))=0</formula>
    </cfRule>
    <cfRule type="containsBlanks" dxfId="11168" priority="7657">
      <formula>LEN(TRIM(Q106))=0</formula>
    </cfRule>
    <cfRule type="containsBlanks" dxfId="11167" priority="7658">
      <formula>LEN(TRIM(Q106))=0</formula>
    </cfRule>
    <cfRule type="containsBlanks" dxfId="11166" priority="7659">
      <formula>LEN(TRIM(Q106))=0</formula>
    </cfRule>
    <cfRule type="containsBlanks" dxfId="11165" priority="7660">
      <formula>LEN(TRIM(Q106))=0</formula>
    </cfRule>
    <cfRule type="containsBlanks" dxfId="11164" priority="7661">
      <formula>LEN(TRIM(Q106))=0</formula>
    </cfRule>
    <cfRule type="containsBlanks" dxfId="11163" priority="7662">
      <formula>LEN(TRIM(Q106))=0</formula>
    </cfRule>
    <cfRule type="containsBlanks" dxfId="11162" priority="7663">
      <formula>LEN(TRIM(Q106))=0</formula>
    </cfRule>
    <cfRule type="containsBlanks" dxfId="11161" priority="7664">
      <formula>LEN(TRIM(Q106))=0</formula>
    </cfRule>
    <cfRule type="containsBlanks" dxfId="11160" priority="7665">
      <formula>LEN(TRIM(Q106))=0</formula>
    </cfRule>
    <cfRule type="containsBlanks" dxfId="11159" priority="7666">
      <formula>LEN(TRIM(Q106))=0</formula>
    </cfRule>
    <cfRule type="containsBlanks" dxfId="11158" priority="7667">
      <formula>LEN(TRIM(Q106))=0</formula>
    </cfRule>
    <cfRule type="containsBlanks" dxfId="11157" priority="7668">
      <formula>LEN(TRIM(Q106))=0</formula>
    </cfRule>
    <cfRule type="containsBlanks" dxfId="11156" priority="7669">
      <formula>LEN(TRIM(Q106))=0</formula>
    </cfRule>
    <cfRule type="containsBlanks" dxfId="11155" priority="7670">
      <formula>LEN(TRIM(Q106))=0</formula>
    </cfRule>
    <cfRule type="containsBlanks" dxfId="11154" priority="7671">
      <formula>LEN(TRIM(Q106))=0</formula>
    </cfRule>
    <cfRule type="containsBlanks" dxfId="11153" priority="7672">
      <formula>LEN(TRIM(Q106))=0</formula>
    </cfRule>
    <cfRule type="containsBlanks" dxfId="11152" priority="7673">
      <formula>LEN(TRIM(Q106))=0</formula>
    </cfRule>
    <cfRule type="containsBlanks" dxfId="11151" priority="7674">
      <formula>LEN(TRIM(Q106))=0</formula>
    </cfRule>
    <cfRule type="containsBlanks" dxfId="11150" priority="7675">
      <formula>LEN(TRIM(Q106))=0</formula>
    </cfRule>
    <cfRule type="containsBlanks" dxfId="11149" priority="7676">
      <formula>LEN(TRIM(Q106))=0</formula>
    </cfRule>
    <cfRule type="containsBlanks" dxfId="11148" priority="7677">
      <formula>LEN(TRIM(Q106))=0</formula>
    </cfRule>
    <cfRule type="containsBlanks" dxfId="11147" priority="7678">
      <formula>LEN(TRIM(Q106))=0</formula>
    </cfRule>
    <cfRule type="containsBlanks" dxfId="11146" priority="7679">
      <formula>LEN(TRIM(Q106))=0</formula>
    </cfRule>
    <cfRule type="containsBlanks" dxfId="11145" priority="7680">
      <formula>LEN(TRIM(Q106))=0</formula>
    </cfRule>
    <cfRule type="containsBlanks" dxfId="11144" priority="7681">
      <formula>LEN(TRIM(Q106))=0</formula>
    </cfRule>
    <cfRule type="containsBlanks" dxfId="11143" priority="7682">
      <formula>LEN(TRIM(Q106))=0</formula>
    </cfRule>
    <cfRule type="containsBlanks" dxfId="11142" priority="7683">
      <formula>LEN(TRIM(Q106))=0</formula>
    </cfRule>
    <cfRule type="containsBlanks" dxfId="11141" priority="7684">
      <formula>LEN(TRIM(Q106))=0</formula>
    </cfRule>
    <cfRule type="containsBlanks" dxfId="11140" priority="7685">
      <formula>LEN(TRIM(Q106))=0</formula>
    </cfRule>
    <cfRule type="containsBlanks" dxfId="11139" priority="7686">
      <formula>LEN(TRIM(Q106))=0</formula>
    </cfRule>
    <cfRule type="containsBlanks" dxfId="11138" priority="7687">
      <formula>LEN(TRIM(Q106))=0</formula>
    </cfRule>
    <cfRule type="containsBlanks" dxfId="11137" priority="7688">
      <formula>LEN(TRIM(Q106))=0</formula>
    </cfRule>
    <cfRule type="containsBlanks" dxfId="11136" priority="7689">
      <formula>LEN(TRIM(Q106))=0</formula>
    </cfRule>
    <cfRule type="containsBlanks" dxfId="11135" priority="7690">
      <formula>LEN(TRIM(Q106))=0</formula>
    </cfRule>
    <cfRule type="containsBlanks" dxfId="11134" priority="7691">
      <formula>LEN(TRIM(Q106))=0</formula>
    </cfRule>
    <cfRule type="containsBlanks" dxfId="11133" priority="7692">
      <formula>LEN(TRIM(Q106))=0</formula>
    </cfRule>
    <cfRule type="containsBlanks" dxfId="11132" priority="7693">
      <formula>LEN(TRIM(Q106))=0</formula>
    </cfRule>
    <cfRule type="containsBlanks" dxfId="11131" priority="7694">
      <formula>LEN(TRIM(Q106))=0</formula>
    </cfRule>
    <cfRule type="containsBlanks" dxfId="11130" priority="7695">
      <formula>LEN(TRIM(Q106))=0</formula>
    </cfRule>
    <cfRule type="containsBlanks" dxfId="11129" priority="7696">
      <formula>LEN(TRIM(Q106))=0</formula>
    </cfRule>
    <cfRule type="containsBlanks" dxfId="11128" priority="7697">
      <formula>LEN(TRIM(Q106))=0</formula>
    </cfRule>
    <cfRule type="containsBlanks" dxfId="11127" priority="7698">
      <formula>LEN(TRIM(Q106))=0</formula>
    </cfRule>
    <cfRule type="containsBlanks" dxfId="11126" priority="7699">
      <formula>LEN(TRIM(Q106))=0</formula>
    </cfRule>
    <cfRule type="containsBlanks" dxfId="11125" priority="7700">
      <formula>LEN(TRIM(Q106))=0</formula>
    </cfRule>
    <cfRule type="containsBlanks" dxfId="11124" priority="7701">
      <formula>LEN(TRIM(Q106))=0</formula>
    </cfRule>
    <cfRule type="containsBlanks" dxfId="11123" priority="7702">
      <formula>LEN(TRIM(Q106))=0</formula>
    </cfRule>
    <cfRule type="containsBlanks" dxfId="11122" priority="7703">
      <formula>LEN(TRIM(Q106))=0</formula>
    </cfRule>
    <cfRule type="containsBlanks" dxfId="11121" priority="7704">
      <formula>LEN(TRIM(Q106))=0</formula>
    </cfRule>
    <cfRule type="containsBlanks" dxfId="11120" priority="7705">
      <formula>LEN(TRIM(Q106))=0</formula>
    </cfRule>
    <cfRule type="containsBlanks" dxfId="11119" priority="7706">
      <formula>LEN(TRIM(Q106))=0</formula>
    </cfRule>
    <cfRule type="containsBlanks" dxfId="11118" priority="7707">
      <formula>LEN(TRIM(Q106))=0</formula>
    </cfRule>
    <cfRule type="containsBlanks" dxfId="11117" priority="7708">
      <formula>LEN(TRIM(Q106))=0</formula>
    </cfRule>
    <cfRule type="containsBlanks" dxfId="11116" priority="7709">
      <formula>LEN(TRIM(Q106))=0</formula>
    </cfRule>
    <cfRule type="containsBlanks" dxfId="11115" priority="7710">
      <formula>LEN(TRIM(Q106))=0</formula>
    </cfRule>
    <cfRule type="containsBlanks" dxfId="11114" priority="7711">
      <formula>LEN(TRIM(Q106))=0</formula>
    </cfRule>
    <cfRule type="containsBlanks" dxfId="11113" priority="7712">
      <formula>LEN(TRIM(Q106))=0</formula>
    </cfRule>
    <cfRule type="containsBlanks" dxfId="11112" priority="7713">
      <formula>LEN(TRIM(Q106))=0</formula>
    </cfRule>
    <cfRule type="containsBlanks" dxfId="11111" priority="7714">
      <formula>LEN(TRIM(Q106))=0</formula>
    </cfRule>
    <cfRule type="containsBlanks" dxfId="11110" priority="7715">
      <formula>LEN(TRIM(Q106))=0</formula>
    </cfRule>
    <cfRule type="containsBlanks" dxfId="11109" priority="7716">
      <formula>LEN(TRIM(Q106))=0</formula>
    </cfRule>
    <cfRule type="containsBlanks" dxfId="11108" priority="7717">
      <formula>LEN(TRIM(Q106))=0</formula>
    </cfRule>
    <cfRule type="containsBlanks" dxfId="11107" priority="7718">
      <formula>LEN(TRIM(Q106))=0</formula>
    </cfRule>
    <cfRule type="containsBlanks" dxfId="11106" priority="7719">
      <formula>LEN(TRIM(Q106))=0</formula>
    </cfRule>
    <cfRule type="containsBlanks" dxfId="11105" priority="7720">
      <formula>LEN(TRIM(Q106))=0</formula>
    </cfRule>
    <cfRule type="containsBlanks" dxfId="11104" priority="7721">
      <formula>LEN(TRIM(Q106))=0</formula>
    </cfRule>
    <cfRule type="containsBlanks" dxfId="11103" priority="7722">
      <formula>LEN(TRIM(Q106))=0</formula>
    </cfRule>
    <cfRule type="containsBlanks" dxfId="11102" priority="7723">
      <formula>LEN(TRIM(Q106))=0</formula>
    </cfRule>
    <cfRule type="containsBlanks" dxfId="11101" priority="7724">
      <formula>LEN(TRIM(Q106))=0</formula>
    </cfRule>
    <cfRule type="containsBlanks" dxfId="11100" priority="7725">
      <formula>LEN(TRIM(Q106))=0</formula>
    </cfRule>
    <cfRule type="containsBlanks" dxfId="11099" priority="7726">
      <formula>LEN(TRIM(Q106))=0</formula>
    </cfRule>
    <cfRule type="containsBlanks" dxfId="11098" priority="7727">
      <formula>LEN(TRIM(Q106))=0</formula>
    </cfRule>
    <cfRule type="containsBlanks" dxfId="11097" priority="7728">
      <formula>LEN(TRIM(Q106))=0</formula>
    </cfRule>
    <cfRule type="containsBlanks" dxfId="11096" priority="7729">
      <formula>LEN(TRIM(Q106))=0</formula>
    </cfRule>
    <cfRule type="containsBlanks" dxfId="11095" priority="7730">
      <formula>LEN(TRIM(Q106))=0</formula>
    </cfRule>
    <cfRule type="containsBlanks" dxfId="11094" priority="7731">
      <formula>LEN(TRIM(Q106))=0</formula>
    </cfRule>
    <cfRule type="containsBlanks" dxfId="11093" priority="7732">
      <formula>LEN(TRIM(Q106))=0</formula>
    </cfRule>
    <cfRule type="containsBlanks" dxfId="11092" priority="7733">
      <formula>LEN(TRIM(Q106))=0</formula>
    </cfRule>
    <cfRule type="containsBlanks" dxfId="11091" priority="7734">
      <formula>LEN(TRIM(Q106))=0</formula>
    </cfRule>
    <cfRule type="containsBlanks" dxfId="11090" priority="7735">
      <formula>LEN(TRIM(Q106))=0</formula>
    </cfRule>
    <cfRule type="containsBlanks" dxfId="11089" priority="7736">
      <formula>LEN(TRIM(Q106))=0</formula>
    </cfRule>
    <cfRule type="containsBlanks" dxfId="11088" priority="7737">
      <formula>LEN(TRIM(Q106))=0</formula>
    </cfRule>
    <cfRule type="containsBlanks" dxfId="11087" priority="7738">
      <formula>LEN(TRIM(Q106))=0</formula>
    </cfRule>
    <cfRule type="containsBlanks" dxfId="11086" priority="7739">
      <formula>LEN(TRIM(Q106))=0</formula>
    </cfRule>
    <cfRule type="containsBlanks" dxfId="11085" priority="7740">
      <formula>LEN(TRIM(Q106))=0</formula>
    </cfRule>
    <cfRule type="containsBlanks" dxfId="11084" priority="7741">
      <formula>LEN(TRIM(Q106))=0</formula>
    </cfRule>
    <cfRule type="containsBlanks" dxfId="11083" priority="7742">
      <formula>LEN(TRIM(Q106))=0</formula>
    </cfRule>
    <cfRule type="containsBlanks" dxfId="11082" priority="7743">
      <formula>LEN(TRIM(Q106))=0</formula>
    </cfRule>
    <cfRule type="containsBlanks" dxfId="11081" priority="7744">
      <formula>LEN(TRIM(Q106))=0</formula>
    </cfRule>
    <cfRule type="containsBlanks" dxfId="11080" priority="7745">
      <formula>LEN(TRIM(Q106))=0</formula>
    </cfRule>
    <cfRule type="containsBlanks" dxfId="11079" priority="7746">
      <formula>LEN(TRIM(Q106))=0</formula>
    </cfRule>
    <cfRule type="containsBlanks" dxfId="11078" priority="7747">
      <formula>LEN(TRIM(Q106))=0</formula>
    </cfRule>
    <cfRule type="containsBlanks" dxfId="11077" priority="7748">
      <formula>LEN(TRIM(Q106))=0</formula>
    </cfRule>
    <cfRule type="containsBlanks" dxfId="11076" priority="7749">
      <formula>LEN(TRIM(Q106))=0</formula>
    </cfRule>
    <cfRule type="containsBlanks" dxfId="11075" priority="7750">
      <formula>LEN(TRIM(Q106))=0</formula>
    </cfRule>
    <cfRule type="containsBlanks" dxfId="11074" priority="7751">
      <formula>LEN(TRIM(Q106))=0</formula>
    </cfRule>
    <cfRule type="containsBlanks" dxfId="11073" priority="7752">
      <formula>LEN(TRIM(Q106))=0</formula>
    </cfRule>
    <cfRule type="containsBlanks" dxfId="11072" priority="7753">
      <formula>LEN(TRIM(Q106))=0</formula>
    </cfRule>
    <cfRule type="containsBlanks" dxfId="11071" priority="7754">
      <formula>LEN(TRIM(Q106))=0</formula>
    </cfRule>
    <cfRule type="containsBlanks" dxfId="11070" priority="7755">
      <formula>LEN(TRIM(Q106))=0</formula>
    </cfRule>
    <cfRule type="containsBlanks" dxfId="11069" priority="7756">
      <formula>LEN(TRIM(Q106))=0</formula>
    </cfRule>
    <cfRule type="containsBlanks" dxfId="11068" priority="7757">
      <formula>LEN(TRIM(Q106))=0</formula>
    </cfRule>
    <cfRule type="containsBlanks" dxfId="11067" priority="7758">
      <formula>LEN(TRIM(Q106))=0</formula>
    </cfRule>
    <cfRule type="containsBlanks" dxfId="11066" priority="7759">
      <formula>LEN(TRIM(Q106))=0</formula>
    </cfRule>
    <cfRule type="containsBlanks" dxfId="11065" priority="7760">
      <formula>LEN(TRIM(Q106))=0</formula>
    </cfRule>
    <cfRule type="containsBlanks" dxfId="11064" priority="7761">
      <formula>LEN(TRIM(Q106))=0</formula>
    </cfRule>
    <cfRule type="containsBlanks" dxfId="11063" priority="7762">
      <formula>LEN(TRIM(Q106))=0</formula>
    </cfRule>
    <cfRule type="containsBlanks" dxfId="11062" priority="7763">
      <formula>LEN(TRIM(Q106))=0</formula>
    </cfRule>
    <cfRule type="containsBlanks" dxfId="11061" priority="7764">
      <formula>LEN(TRIM(Q106))=0</formula>
    </cfRule>
    <cfRule type="containsBlanks" dxfId="11060" priority="7765">
      <formula>LEN(TRIM(Q106))=0</formula>
    </cfRule>
    <cfRule type="containsBlanks" dxfId="11059" priority="7766">
      <formula>LEN(TRIM(Q106))=0</formula>
    </cfRule>
    <cfRule type="containsBlanks" dxfId="11058" priority="7767">
      <formula>LEN(TRIM(Q106))=0</formula>
    </cfRule>
    <cfRule type="containsBlanks" dxfId="11057" priority="7768">
      <formula>LEN(TRIM(Q106))=0</formula>
    </cfRule>
    <cfRule type="containsBlanks" dxfId="11056" priority="7769">
      <formula>LEN(TRIM(Q106))=0</formula>
    </cfRule>
    <cfRule type="containsBlanks" dxfId="11055" priority="7770">
      <formula>LEN(TRIM(Q106))=0</formula>
    </cfRule>
    <cfRule type="containsBlanks" dxfId="11054" priority="7771">
      <formula>LEN(TRIM(Q106))=0</formula>
    </cfRule>
    <cfRule type="containsBlanks" dxfId="11053" priority="7772">
      <formula>LEN(TRIM(Q106))=0</formula>
    </cfRule>
    <cfRule type="containsBlanks" dxfId="11052" priority="7773">
      <formula>LEN(TRIM(Q106))=0</formula>
    </cfRule>
    <cfRule type="containsBlanks" dxfId="11051" priority="7774">
      <formula>LEN(TRIM(Q106))=0</formula>
    </cfRule>
    <cfRule type="containsBlanks" dxfId="11050" priority="7775">
      <formula>LEN(TRIM(Q106))=0</formula>
    </cfRule>
    <cfRule type="containsBlanks" dxfId="11049" priority="7776">
      <formula>LEN(TRIM(Q106))=0</formula>
    </cfRule>
    <cfRule type="containsBlanks" dxfId="11048" priority="7777">
      <formula>LEN(TRIM(Q106))=0</formula>
    </cfRule>
    <cfRule type="containsBlanks" dxfId="11047" priority="7778">
      <formula>LEN(TRIM(Q106))=0</formula>
    </cfRule>
    <cfRule type="containsBlanks" dxfId="11046" priority="7779">
      <formula>LEN(TRIM(Q106))=0</formula>
    </cfRule>
    <cfRule type="containsBlanks" dxfId="11045" priority="7780">
      <formula>LEN(TRIM(Q106))=0</formula>
    </cfRule>
    <cfRule type="containsBlanks" dxfId="11044" priority="7781">
      <formula>LEN(TRIM(Q106))=0</formula>
    </cfRule>
    <cfRule type="containsBlanks" dxfId="11043" priority="7782">
      <formula>LEN(TRIM(Q106))=0</formula>
    </cfRule>
    <cfRule type="containsBlanks" dxfId="11042" priority="7783">
      <formula>LEN(TRIM(Q106))=0</formula>
    </cfRule>
    <cfRule type="containsBlanks" dxfId="11041" priority="7784">
      <formula>LEN(TRIM(Q106))=0</formula>
    </cfRule>
    <cfRule type="containsBlanks" dxfId="11040" priority="7785">
      <formula>LEN(TRIM(Q106))=0</formula>
    </cfRule>
    <cfRule type="containsBlanks" dxfId="11039" priority="7786">
      <formula>LEN(TRIM(Q106))=0</formula>
    </cfRule>
    <cfRule type="containsBlanks" dxfId="11038" priority="7787">
      <formula>LEN(TRIM(Q106))=0</formula>
    </cfRule>
    <cfRule type="containsBlanks" dxfId="11037" priority="7788">
      <formula>LEN(TRIM(Q106))=0</formula>
    </cfRule>
    <cfRule type="containsBlanks" dxfId="11036" priority="7789">
      <formula>LEN(TRIM(Q106))=0</formula>
    </cfRule>
    <cfRule type="containsBlanks" dxfId="11035" priority="7790">
      <formula>LEN(TRIM(Q106))=0</formula>
    </cfRule>
    <cfRule type="containsBlanks" dxfId="11034" priority="7791">
      <formula>LEN(TRIM(Q106))=0</formula>
    </cfRule>
    <cfRule type="containsBlanks" dxfId="11033" priority="7792">
      <formula>LEN(TRIM(Q106))=0</formula>
    </cfRule>
    <cfRule type="containsBlanks" dxfId="11032" priority="7793">
      <formula>LEN(TRIM(Q106))=0</formula>
    </cfRule>
    <cfRule type="containsBlanks" dxfId="11031" priority="7794">
      <formula>LEN(TRIM(Q106))=0</formula>
    </cfRule>
  </conditionalFormatting>
  <conditionalFormatting sqref="Q111">
    <cfRule type="containsBlanks" dxfId="11030" priority="6765">
      <formula>LEN(TRIM(Q111))=0</formula>
    </cfRule>
    <cfRule type="containsBlanks" dxfId="11029" priority="6766">
      <formula>LEN(TRIM(Q111))=0</formula>
    </cfRule>
    <cfRule type="containsBlanks" dxfId="11028" priority="6767">
      <formula>LEN(TRIM(Q111))=0</formula>
    </cfRule>
    <cfRule type="containsBlanks" dxfId="11027" priority="6768">
      <formula>LEN(TRIM(Q111))=0</formula>
    </cfRule>
    <cfRule type="containsBlanks" dxfId="11026" priority="6769">
      <formula>LEN(TRIM(Q111))=0</formula>
    </cfRule>
    <cfRule type="containsBlanks" dxfId="11025" priority="6770">
      <formula>LEN(TRIM(Q111))=0</formula>
    </cfRule>
    <cfRule type="containsBlanks" dxfId="11024" priority="6771">
      <formula>LEN(TRIM(Q111))=0</formula>
    </cfRule>
    <cfRule type="containsBlanks" dxfId="11023" priority="6772">
      <formula>LEN(TRIM(Q111))=0</formula>
    </cfRule>
    <cfRule type="containsBlanks" dxfId="11022" priority="6773">
      <formula>LEN(TRIM(Q111))=0</formula>
    </cfRule>
    <cfRule type="containsBlanks" dxfId="11021" priority="6774">
      <formula>LEN(TRIM(Q111))=0</formula>
    </cfRule>
    <cfRule type="containsBlanks" dxfId="11020" priority="6775">
      <formula>LEN(TRIM(Q111))=0</formula>
    </cfRule>
    <cfRule type="containsBlanks" dxfId="11019" priority="6776">
      <formula>LEN(TRIM(Q111))=0</formula>
    </cfRule>
    <cfRule type="containsBlanks" dxfId="11018" priority="6777">
      <formula>LEN(TRIM(Q111))=0</formula>
    </cfRule>
    <cfRule type="containsBlanks" dxfId="11017" priority="6778">
      <formula>LEN(TRIM(Q111))=0</formula>
    </cfRule>
    <cfRule type="containsBlanks" dxfId="11016" priority="6779">
      <formula>LEN(TRIM(Q111))=0</formula>
    </cfRule>
    <cfRule type="containsBlanks" dxfId="11015" priority="6780">
      <formula>LEN(TRIM(Q111))=0</formula>
    </cfRule>
    <cfRule type="containsBlanks" dxfId="11014" priority="6781">
      <formula>LEN(TRIM(Q111))=0</formula>
    </cfRule>
    <cfRule type="containsBlanks" dxfId="11013" priority="6782">
      <formula>LEN(TRIM(Q111))=0</formula>
    </cfRule>
    <cfRule type="containsBlanks" dxfId="11012" priority="6783">
      <formula>LEN(TRIM(Q111))=0</formula>
    </cfRule>
    <cfRule type="containsBlanks" dxfId="11011" priority="6784">
      <formula>LEN(TRIM(Q111))=0</formula>
    </cfRule>
    <cfRule type="containsBlanks" dxfId="11010" priority="6785">
      <formula>LEN(TRIM(Q111))=0</formula>
    </cfRule>
    <cfRule type="containsBlanks" dxfId="11009" priority="6786">
      <formula>LEN(TRIM(Q111))=0</formula>
    </cfRule>
    <cfRule type="containsBlanks" dxfId="11008" priority="6787">
      <formula>LEN(TRIM(Q111))=0</formula>
    </cfRule>
    <cfRule type="containsBlanks" dxfId="11007" priority="6788">
      <formula>LEN(TRIM(Q111))=0</formula>
    </cfRule>
    <cfRule type="containsBlanks" dxfId="11006" priority="6789">
      <formula>LEN(TRIM(Q111))=0</formula>
    </cfRule>
    <cfRule type="containsBlanks" dxfId="11005" priority="6790">
      <formula>LEN(TRIM(Q111))=0</formula>
    </cfRule>
    <cfRule type="containsBlanks" dxfId="11004" priority="6791">
      <formula>LEN(TRIM(Q111))=0</formula>
    </cfRule>
    <cfRule type="containsBlanks" dxfId="11003" priority="6792">
      <formula>LEN(TRIM(Q111))=0</formula>
    </cfRule>
    <cfRule type="containsBlanks" dxfId="11002" priority="6793">
      <formula>LEN(TRIM(Q111))=0</formula>
    </cfRule>
    <cfRule type="containsBlanks" dxfId="11001" priority="6794">
      <formula>LEN(TRIM(Q111))=0</formula>
    </cfRule>
    <cfRule type="containsBlanks" dxfId="11000" priority="6795">
      <formula>LEN(TRIM(Q111))=0</formula>
    </cfRule>
    <cfRule type="containsBlanks" dxfId="10999" priority="6796">
      <formula>LEN(TRIM(Q111))=0</formula>
    </cfRule>
    <cfRule type="containsBlanks" dxfId="10998" priority="6797">
      <formula>LEN(TRIM(Q111))=0</formula>
    </cfRule>
    <cfRule type="containsBlanks" dxfId="10997" priority="6798">
      <formula>LEN(TRIM(Q111))=0</formula>
    </cfRule>
    <cfRule type="containsBlanks" dxfId="10996" priority="6799">
      <formula>LEN(TRIM(Q111))=0</formula>
    </cfRule>
    <cfRule type="containsBlanks" dxfId="10995" priority="6800">
      <formula>LEN(TRIM(Q111))=0</formula>
    </cfRule>
    <cfRule type="containsBlanks" dxfId="10994" priority="6801">
      <formula>LEN(TRIM(Q111))=0</formula>
    </cfRule>
    <cfRule type="containsBlanks" dxfId="10993" priority="6802">
      <formula>LEN(TRIM(Q111))=0</formula>
    </cfRule>
    <cfRule type="containsBlanks" dxfId="10992" priority="6803">
      <formula>LEN(TRIM(Q111))=0</formula>
    </cfRule>
    <cfRule type="containsBlanks" dxfId="10991" priority="6804">
      <formula>LEN(TRIM(Q111))=0</formula>
    </cfRule>
    <cfRule type="containsBlanks" dxfId="10990" priority="6805">
      <formula>LEN(TRIM(Q111))=0</formula>
    </cfRule>
    <cfRule type="containsBlanks" dxfId="10989" priority="6806">
      <formula>LEN(TRIM(Q111))=0</formula>
    </cfRule>
    <cfRule type="containsBlanks" dxfId="10988" priority="6807">
      <formula>LEN(TRIM(Q111))=0</formula>
    </cfRule>
    <cfRule type="containsBlanks" dxfId="10987" priority="6808">
      <formula>LEN(TRIM(Q111))=0</formula>
    </cfRule>
    <cfRule type="containsBlanks" dxfId="10986" priority="6809">
      <formula>LEN(TRIM(Q111))=0</formula>
    </cfRule>
    <cfRule type="containsBlanks" dxfId="10985" priority="6810">
      <formula>LEN(TRIM(Q111))=0</formula>
    </cfRule>
    <cfRule type="containsBlanks" dxfId="10984" priority="6811">
      <formula>LEN(TRIM(Q111))=0</formula>
    </cfRule>
    <cfRule type="containsBlanks" dxfId="10983" priority="6812">
      <formula>LEN(TRIM(Q111))=0</formula>
    </cfRule>
    <cfRule type="containsBlanks" dxfId="10982" priority="6813">
      <formula>LEN(TRIM(Q111))=0</formula>
    </cfRule>
    <cfRule type="containsBlanks" dxfId="10981" priority="6814">
      <formula>LEN(TRIM(Q111))=0</formula>
    </cfRule>
    <cfRule type="containsBlanks" dxfId="10980" priority="6815">
      <formula>LEN(TRIM(Q111))=0</formula>
    </cfRule>
    <cfRule type="containsBlanks" dxfId="10979" priority="6816">
      <formula>LEN(TRIM(Q111))=0</formula>
    </cfRule>
    <cfRule type="containsBlanks" dxfId="10978" priority="6817">
      <formula>LEN(TRIM(Q111))=0</formula>
    </cfRule>
    <cfRule type="containsBlanks" dxfId="10977" priority="6818">
      <formula>LEN(TRIM(Q111))=0</formula>
    </cfRule>
    <cfRule type="containsBlanks" dxfId="10976" priority="6819">
      <formula>LEN(TRIM(Q111))=0</formula>
    </cfRule>
    <cfRule type="containsBlanks" dxfId="10975" priority="6820">
      <formula>LEN(TRIM(Q111))=0</formula>
    </cfRule>
    <cfRule type="containsBlanks" dxfId="10974" priority="6821">
      <formula>LEN(TRIM(Q111))=0</formula>
    </cfRule>
    <cfRule type="containsBlanks" dxfId="10973" priority="6822">
      <formula>LEN(TRIM(Q111))=0</formula>
    </cfRule>
    <cfRule type="containsBlanks" dxfId="10972" priority="6823">
      <formula>LEN(TRIM(Q111))=0</formula>
    </cfRule>
    <cfRule type="containsBlanks" dxfId="10971" priority="6824">
      <formula>LEN(TRIM(Q111))=0</formula>
    </cfRule>
    <cfRule type="containsBlanks" dxfId="10970" priority="6825">
      <formula>LEN(TRIM(Q111))=0</formula>
    </cfRule>
    <cfRule type="containsBlanks" dxfId="10969" priority="6826">
      <formula>LEN(TRIM(Q111))=0</formula>
    </cfRule>
    <cfRule type="containsBlanks" dxfId="10968" priority="6827">
      <formula>LEN(TRIM(Q111))=0</formula>
    </cfRule>
    <cfRule type="containsBlanks" dxfId="10967" priority="6828">
      <formula>LEN(TRIM(Q111))=0</formula>
    </cfRule>
    <cfRule type="containsBlanks" dxfId="10966" priority="6829">
      <formula>LEN(TRIM(Q111))=0</formula>
    </cfRule>
    <cfRule type="containsBlanks" dxfId="10965" priority="6830">
      <formula>LEN(TRIM(Q111))=0</formula>
    </cfRule>
    <cfRule type="containsBlanks" dxfId="10964" priority="6831">
      <formula>LEN(TRIM(Q111))=0</formula>
    </cfRule>
    <cfRule type="containsBlanks" dxfId="10963" priority="6832">
      <formula>LEN(TRIM(Q111))=0</formula>
    </cfRule>
    <cfRule type="containsBlanks" dxfId="10962" priority="6833">
      <formula>LEN(TRIM(Q111))=0</formula>
    </cfRule>
    <cfRule type="containsBlanks" dxfId="10961" priority="6834">
      <formula>LEN(TRIM(Q111))=0</formula>
    </cfRule>
    <cfRule type="containsBlanks" dxfId="10960" priority="6835">
      <formula>LEN(TRIM(Q111))=0</formula>
    </cfRule>
    <cfRule type="containsBlanks" dxfId="10959" priority="6836">
      <formula>LEN(TRIM(Q111))=0</formula>
    </cfRule>
    <cfRule type="containsBlanks" dxfId="10958" priority="6837">
      <formula>LEN(TRIM(Q111))=0</formula>
    </cfRule>
    <cfRule type="containsBlanks" dxfId="10957" priority="6838">
      <formula>LEN(TRIM(Q111))=0</formula>
    </cfRule>
    <cfRule type="containsBlanks" dxfId="10956" priority="6839">
      <formula>LEN(TRIM(Q111))=0</formula>
    </cfRule>
    <cfRule type="containsBlanks" dxfId="10955" priority="6840">
      <formula>LEN(TRIM(Q111))=0</formula>
    </cfRule>
    <cfRule type="containsBlanks" dxfId="10954" priority="6841">
      <formula>LEN(TRIM(Q111))=0</formula>
    </cfRule>
    <cfRule type="containsBlanks" dxfId="10953" priority="6842">
      <formula>LEN(TRIM(Q111))=0</formula>
    </cfRule>
    <cfRule type="containsBlanks" dxfId="10952" priority="6843">
      <formula>LEN(TRIM(Q111))=0</formula>
    </cfRule>
    <cfRule type="containsBlanks" dxfId="10951" priority="6844">
      <formula>LEN(TRIM(Q111))=0</formula>
    </cfRule>
    <cfRule type="containsBlanks" dxfId="10950" priority="6845">
      <formula>LEN(TRIM(Q111))=0</formula>
    </cfRule>
    <cfRule type="containsBlanks" dxfId="10949" priority="6846">
      <formula>LEN(TRIM(Q111))=0</formula>
    </cfRule>
    <cfRule type="containsBlanks" dxfId="10948" priority="6847">
      <formula>LEN(TRIM(Q111))=0</formula>
    </cfRule>
    <cfRule type="containsBlanks" dxfId="10947" priority="6848">
      <formula>LEN(TRIM(Q111))=0</formula>
    </cfRule>
    <cfRule type="containsBlanks" dxfId="10946" priority="6849">
      <formula>LEN(TRIM(Q111))=0</formula>
    </cfRule>
    <cfRule type="containsBlanks" dxfId="10945" priority="6850">
      <formula>LEN(TRIM(Q111))=0</formula>
    </cfRule>
    <cfRule type="containsBlanks" dxfId="10944" priority="6851">
      <formula>LEN(TRIM(Q111))=0</formula>
    </cfRule>
    <cfRule type="containsBlanks" dxfId="10943" priority="6852">
      <formula>LEN(TRIM(Q111))=0</formula>
    </cfRule>
    <cfRule type="containsBlanks" dxfId="10942" priority="6853">
      <formula>LEN(TRIM(Q111))=0</formula>
    </cfRule>
    <cfRule type="containsBlanks" dxfId="10941" priority="6854">
      <formula>LEN(TRIM(Q111))=0</formula>
    </cfRule>
    <cfRule type="containsBlanks" dxfId="10940" priority="6855">
      <formula>LEN(TRIM(Q111))=0</formula>
    </cfRule>
    <cfRule type="containsBlanks" dxfId="10939" priority="6856">
      <formula>LEN(TRIM(Q111))=0</formula>
    </cfRule>
    <cfRule type="containsBlanks" dxfId="10938" priority="6857">
      <formula>LEN(TRIM(Q111))=0</formula>
    </cfRule>
    <cfRule type="containsBlanks" dxfId="10937" priority="6858">
      <formula>LEN(TRIM(Q111))=0</formula>
    </cfRule>
    <cfRule type="containsBlanks" dxfId="10936" priority="6859">
      <formula>LEN(TRIM(Q111))=0</formula>
    </cfRule>
    <cfRule type="containsBlanks" dxfId="10935" priority="6860">
      <formula>LEN(TRIM(Q111))=0</formula>
    </cfRule>
    <cfRule type="containsBlanks" dxfId="10934" priority="6861">
      <formula>LEN(TRIM(Q111))=0</formula>
    </cfRule>
    <cfRule type="containsBlanks" dxfId="10933" priority="6862">
      <formula>LEN(TRIM(Q111))=0</formula>
    </cfRule>
    <cfRule type="containsBlanks" dxfId="10932" priority="6863">
      <formula>LEN(TRIM(Q111))=0</formula>
    </cfRule>
    <cfRule type="containsBlanks" dxfId="10931" priority="6864">
      <formula>LEN(TRIM(Q111))=0</formula>
    </cfRule>
    <cfRule type="containsBlanks" dxfId="10930" priority="6865">
      <formula>LEN(TRIM(Q111))=0</formula>
    </cfRule>
    <cfRule type="containsBlanks" dxfId="10929" priority="6866">
      <formula>LEN(TRIM(Q111))=0</formula>
    </cfRule>
    <cfRule type="containsBlanks" dxfId="10928" priority="6867">
      <formula>LEN(TRIM(Q111))=0</formula>
    </cfRule>
    <cfRule type="containsBlanks" dxfId="10927" priority="6868">
      <formula>LEN(TRIM(Q111))=0</formula>
    </cfRule>
    <cfRule type="containsBlanks" dxfId="10926" priority="6869">
      <formula>LEN(TRIM(Q111))=0</formula>
    </cfRule>
    <cfRule type="containsBlanks" dxfId="10925" priority="6870">
      <formula>LEN(TRIM(Q111))=0</formula>
    </cfRule>
    <cfRule type="containsBlanks" dxfId="10924" priority="6871">
      <formula>LEN(TRIM(Q111))=0</formula>
    </cfRule>
    <cfRule type="containsBlanks" dxfId="10923" priority="6872">
      <formula>LEN(TRIM(Q111))=0</formula>
    </cfRule>
    <cfRule type="containsBlanks" dxfId="10922" priority="6873">
      <formula>LEN(TRIM(Q111))=0</formula>
    </cfRule>
    <cfRule type="containsBlanks" dxfId="10921" priority="6874">
      <formula>LEN(TRIM(Q111))=0</formula>
    </cfRule>
    <cfRule type="containsBlanks" dxfId="10920" priority="6875">
      <formula>LEN(TRIM(Q111))=0</formula>
    </cfRule>
    <cfRule type="containsBlanks" dxfId="10919" priority="6876">
      <formula>LEN(TRIM(Q111))=0</formula>
    </cfRule>
    <cfRule type="containsBlanks" dxfId="10918" priority="6877">
      <formula>LEN(TRIM(Q111))=0</formula>
    </cfRule>
    <cfRule type="containsBlanks" dxfId="10917" priority="6878">
      <formula>LEN(TRIM(Q111))=0</formula>
    </cfRule>
    <cfRule type="containsBlanks" dxfId="10916" priority="6879">
      <formula>LEN(TRIM(Q111))=0</formula>
    </cfRule>
    <cfRule type="containsBlanks" dxfId="10915" priority="6880">
      <formula>LEN(TRIM(Q111))=0</formula>
    </cfRule>
    <cfRule type="containsBlanks" dxfId="10914" priority="6881">
      <formula>LEN(TRIM(Q111))=0</formula>
    </cfRule>
    <cfRule type="containsBlanks" dxfId="10913" priority="6882">
      <formula>LEN(TRIM(Q111))=0</formula>
    </cfRule>
    <cfRule type="containsBlanks" dxfId="10912" priority="6883">
      <formula>LEN(TRIM(Q111))=0</formula>
    </cfRule>
    <cfRule type="containsBlanks" dxfId="10911" priority="6884">
      <formula>LEN(TRIM(Q111))=0</formula>
    </cfRule>
    <cfRule type="containsBlanks" dxfId="10910" priority="6885">
      <formula>LEN(TRIM(Q111))=0</formula>
    </cfRule>
    <cfRule type="containsBlanks" dxfId="10909" priority="6886">
      <formula>LEN(TRIM(Q111))=0</formula>
    </cfRule>
    <cfRule type="containsBlanks" dxfId="10908" priority="6887">
      <formula>LEN(TRIM(Q111))=0</formula>
    </cfRule>
    <cfRule type="containsBlanks" dxfId="10907" priority="6888">
      <formula>LEN(TRIM(Q111))=0</formula>
    </cfRule>
    <cfRule type="containsBlanks" dxfId="10906" priority="6889">
      <formula>LEN(TRIM(Q111))=0</formula>
    </cfRule>
    <cfRule type="containsBlanks" dxfId="10905" priority="6890">
      <formula>LEN(TRIM(Q111))=0</formula>
    </cfRule>
    <cfRule type="containsBlanks" dxfId="10904" priority="6891">
      <formula>LEN(TRIM(Q111))=0</formula>
    </cfRule>
    <cfRule type="containsBlanks" dxfId="10903" priority="6892">
      <formula>LEN(TRIM(Q111))=0</formula>
    </cfRule>
    <cfRule type="containsBlanks" dxfId="10902" priority="6893">
      <formula>LEN(TRIM(Q111))=0</formula>
    </cfRule>
    <cfRule type="containsBlanks" dxfId="10901" priority="6894">
      <formula>LEN(TRIM(Q111))=0</formula>
    </cfRule>
    <cfRule type="containsBlanks" dxfId="10900" priority="6895">
      <formula>LEN(TRIM(Q111))=0</formula>
    </cfRule>
    <cfRule type="containsBlanks" dxfId="10899" priority="6896">
      <formula>LEN(TRIM(Q111))=0</formula>
    </cfRule>
    <cfRule type="containsBlanks" dxfId="10898" priority="6897">
      <formula>LEN(TRIM(Q111))=0</formula>
    </cfRule>
    <cfRule type="containsBlanks" dxfId="10897" priority="6898">
      <formula>LEN(TRIM(Q111))=0</formula>
    </cfRule>
    <cfRule type="containsBlanks" dxfId="10896" priority="6899">
      <formula>LEN(TRIM(Q111))=0</formula>
    </cfRule>
    <cfRule type="containsBlanks" dxfId="10895" priority="6900">
      <formula>LEN(TRIM(Q111))=0</formula>
    </cfRule>
    <cfRule type="containsBlanks" dxfId="10894" priority="6901">
      <formula>LEN(TRIM(Q111))=0</formula>
    </cfRule>
    <cfRule type="containsBlanks" dxfId="10893" priority="6902">
      <formula>LEN(TRIM(Q111))=0</formula>
    </cfRule>
    <cfRule type="containsBlanks" dxfId="10892" priority="6903">
      <formula>LEN(TRIM(Q111))=0</formula>
    </cfRule>
    <cfRule type="containsBlanks" dxfId="10891" priority="6904">
      <formula>LEN(TRIM(Q111))=0</formula>
    </cfRule>
    <cfRule type="containsBlanks" dxfId="10890" priority="6905">
      <formula>LEN(TRIM(Q111))=0</formula>
    </cfRule>
    <cfRule type="containsBlanks" dxfId="10889" priority="6906">
      <formula>LEN(TRIM(Q111))=0</formula>
    </cfRule>
    <cfRule type="containsBlanks" dxfId="10888" priority="6907">
      <formula>LEN(TRIM(Q111))=0</formula>
    </cfRule>
    <cfRule type="containsBlanks" dxfId="10887" priority="6908">
      <formula>LEN(TRIM(Q111))=0</formula>
    </cfRule>
    <cfRule type="containsBlanks" dxfId="10886" priority="6909">
      <formula>LEN(TRIM(Q111))=0</formula>
    </cfRule>
    <cfRule type="containsBlanks" dxfId="10885" priority="6910">
      <formula>LEN(TRIM(Q111))=0</formula>
    </cfRule>
    <cfRule type="containsBlanks" dxfId="10884" priority="6911">
      <formula>LEN(TRIM(Q111))=0</formula>
    </cfRule>
    <cfRule type="containsBlanks" dxfId="10883" priority="6912">
      <formula>LEN(TRIM(Q111))=0</formula>
    </cfRule>
    <cfRule type="containsBlanks" dxfId="10882" priority="6913">
      <formula>LEN(TRIM(Q111))=0</formula>
    </cfRule>
    <cfRule type="containsBlanks" dxfId="10881" priority="6914">
      <formula>LEN(TRIM(Q111))=0</formula>
    </cfRule>
    <cfRule type="containsBlanks" dxfId="10880" priority="6915">
      <formula>LEN(TRIM(Q111))=0</formula>
    </cfRule>
    <cfRule type="containsBlanks" dxfId="10879" priority="6916">
      <formula>LEN(TRIM(Q111))=0</formula>
    </cfRule>
    <cfRule type="containsBlanks" dxfId="10878" priority="6917">
      <formula>LEN(TRIM(Q111))=0</formula>
    </cfRule>
    <cfRule type="containsBlanks" dxfId="10877" priority="6918">
      <formula>LEN(TRIM(Q111))=0</formula>
    </cfRule>
    <cfRule type="containsBlanks" dxfId="10876" priority="6919">
      <formula>LEN(TRIM(Q111))=0</formula>
    </cfRule>
    <cfRule type="containsBlanks" dxfId="10875" priority="6920">
      <formula>LEN(TRIM(Q111))=0</formula>
    </cfRule>
    <cfRule type="containsBlanks" dxfId="10874" priority="6921">
      <formula>LEN(TRIM(Q111))=0</formula>
    </cfRule>
    <cfRule type="containsBlanks" dxfId="10873" priority="6922">
      <formula>LEN(TRIM(Q111))=0</formula>
    </cfRule>
    <cfRule type="containsBlanks" dxfId="10872" priority="6923">
      <formula>LEN(TRIM(Q111))=0</formula>
    </cfRule>
    <cfRule type="containsBlanks" dxfId="10871" priority="6924">
      <formula>LEN(TRIM(Q111))=0</formula>
    </cfRule>
    <cfRule type="containsBlanks" dxfId="10870" priority="6925">
      <formula>LEN(TRIM(Q111))=0</formula>
    </cfRule>
    <cfRule type="containsBlanks" dxfId="10869" priority="6926">
      <formula>LEN(TRIM(Q111))=0</formula>
    </cfRule>
    <cfRule type="containsBlanks" dxfId="10868" priority="6927">
      <formula>LEN(TRIM(Q111))=0</formula>
    </cfRule>
    <cfRule type="containsBlanks" dxfId="10867" priority="6928">
      <formula>LEN(TRIM(Q111))=0</formula>
    </cfRule>
    <cfRule type="containsBlanks" dxfId="10866" priority="6929">
      <formula>LEN(TRIM(Q111))=0</formula>
    </cfRule>
    <cfRule type="containsBlanks" dxfId="10865" priority="6930">
      <formula>LEN(TRIM(Q111))=0</formula>
    </cfRule>
    <cfRule type="containsBlanks" dxfId="10864" priority="6931">
      <formula>LEN(TRIM(Q111))=0</formula>
    </cfRule>
    <cfRule type="containsBlanks" dxfId="10863" priority="6932">
      <formula>LEN(TRIM(Q111))=0</formula>
    </cfRule>
    <cfRule type="containsBlanks" dxfId="10862" priority="6933">
      <formula>LEN(TRIM(Q111))=0</formula>
    </cfRule>
    <cfRule type="containsBlanks" dxfId="10861" priority="6934">
      <formula>LEN(TRIM(Q111))=0</formula>
    </cfRule>
    <cfRule type="containsBlanks" dxfId="10860" priority="6935">
      <formula>LEN(TRIM(Q111))=0</formula>
    </cfRule>
    <cfRule type="containsBlanks" dxfId="10859" priority="6936">
      <formula>LEN(TRIM(Q111))=0</formula>
    </cfRule>
    <cfRule type="containsBlanks" dxfId="10858" priority="6937">
      <formula>LEN(TRIM(Q111))=0</formula>
    </cfRule>
    <cfRule type="containsBlanks" dxfId="10857" priority="6938">
      <formula>LEN(TRIM(Q111))=0</formula>
    </cfRule>
    <cfRule type="containsBlanks" dxfId="10856" priority="6939">
      <formula>LEN(TRIM(Q111))=0</formula>
    </cfRule>
    <cfRule type="containsBlanks" dxfId="10855" priority="6940">
      <formula>LEN(TRIM(Q111))=0</formula>
    </cfRule>
    <cfRule type="containsBlanks" dxfId="10854" priority="6941">
      <formula>LEN(TRIM(Q111))=0</formula>
    </cfRule>
    <cfRule type="containsBlanks" dxfId="10853" priority="6942">
      <formula>LEN(TRIM(Q111))=0</formula>
    </cfRule>
    <cfRule type="containsBlanks" dxfId="10852" priority="6943">
      <formula>LEN(TRIM(Q111))=0</formula>
    </cfRule>
    <cfRule type="containsBlanks" dxfId="10851" priority="6944">
      <formula>LEN(TRIM(Q111))=0</formula>
    </cfRule>
    <cfRule type="containsBlanks" dxfId="10850" priority="6945">
      <formula>LEN(TRIM(Q111))=0</formula>
    </cfRule>
    <cfRule type="containsBlanks" dxfId="10849" priority="6946">
      <formula>LEN(TRIM(Q111))=0</formula>
    </cfRule>
    <cfRule type="containsBlanks" dxfId="10848" priority="6947">
      <formula>LEN(TRIM(Q111))=0</formula>
    </cfRule>
    <cfRule type="containsBlanks" dxfId="10847" priority="6948">
      <formula>LEN(TRIM(Q111))=0</formula>
    </cfRule>
    <cfRule type="containsBlanks" dxfId="10846" priority="6949">
      <formula>LEN(TRIM(Q111))=0</formula>
    </cfRule>
    <cfRule type="containsBlanks" dxfId="10845" priority="6950">
      <formula>LEN(TRIM(Q111))=0</formula>
    </cfRule>
    <cfRule type="containsBlanks" dxfId="10844" priority="6951">
      <formula>LEN(TRIM(Q111))=0</formula>
    </cfRule>
    <cfRule type="containsBlanks" dxfId="10843" priority="6952">
      <formula>LEN(TRIM(Q111))=0</formula>
    </cfRule>
    <cfRule type="containsBlanks" dxfId="10842" priority="6953">
      <formula>LEN(TRIM(Q111))=0</formula>
    </cfRule>
    <cfRule type="containsBlanks" dxfId="10841" priority="6954">
      <formula>LEN(TRIM(Q111))=0</formula>
    </cfRule>
    <cfRule type="containsBlanks" dxfId="10840" priority="6955">
      <formula>LEN(TRIM(Q111))=0</formula>
    </cfRule>
    <cfRule type="containsBlanks" dxfId="10839" priority="6956">
      <formula>LEN(TRIM(Q111))=0</formula>
    </cfRule>
    <cfRule type="containsBlanks" dxfId="10838" priority="6957">
      <formula>LEN(TRIM(Q111))=0</formula>
    </cfRule>
    <cfRule type="containsBlanks" dxfId="10837" priority="6958">
      <formula>LEN(TRIM(Q111))=0</formula>
    </cfRule>
    <cfRule type="containsBlanks" dxfId="10836" priority="6959">
      <formula>LEN(TRIM(Q111))=0</formula>
    </cfRule>
    <cfRule type="containsBlanks" dxfId="10835" priority="6960">
      <formula>LEN(TRIM(Q111))=0</formula>
    </cfRule>
    <cfRule type="containsBlanks" dxfId="10834" priority="6961">
      <formula>LEN(TRIM(Q111))=0</formula>
    </cfRule>
    <cfRule type="containsBlanks" dxfId="10833" priority="6962">
      <formula>LEN(TRIM(Q111))=0</formula>
    </cfRule>
    <cfRule type="containsBlanks" dxfId="10832" priority="6963">
      <formula>LEN(TRIM(Q111))=0</formula>
    </cfRule>
    <cfRule type="containsBlanks" dxfId="10831" priority="6964">
      <formula>LEN(TRIM(Q111))=0</formula>
    </cfRule>
    <cfRule type="containsBlanks" dxfId="10830" priority="6965">
      <formula>LEN(TRIM(Q111))=0</formula>
    </cfRule>
    <cfRule type="containsBlanks" dxfId="10829" priority="6966">
      <formula>LEN(TRIM(Q111))=0</formula>
    </cfRule>
    <cfRule type="containsBlanks" dxfId="10828" priority="6967">
      <formula>LEN(TRIM(Q111))=0</formula>
    </cfRule>
    <cfRule type="containsBlanks" dxfId="10827" priority="6968">
      <formula>LEN(TRIM(Q111))=0</formula>
    </cfRule>
    <cfRule type="containsBlanks" dxfId="10826" priority="6969">
      <formula>LEN(TRIM(Q111))=0</formula>
    </cfRule>
    <cfRule type="containsBlanks" dxfId="10825" priority="6970">
      <formula>LEN(TRIM(Q111))=0</formula>
    </cfRule>
    <cfRule type="containsBlanks" dxfId="10824" priority="6971">
      <formula>LEN(TRIM(Q111))=0</formula>
    </cfRule>
    <cfRule type="containsBlanks" dxfId="10823" priority="6972">
      <formula>LEN(TRIM(Q111))=0</formula>
    </cfRule>
    <cfRule type="containsBlanks" dxfId="10822" priority="6973">
      <formula>LEN(TRIM(Q111))=0</formula>
    </cfRule>
    <cfRule type="containsBlanks" dxfId="10821" priority="6974">
      <formula>LEN(TRIM(Q111))=0</formula>
    </cfRule>
    <cfRule type="containsBlanks" dxfId="10820" priority="6975">
      <formula>LEN(TRIM(Q111))=0</formula>
    </cfRule>
    <cfRule type="containsBlanks" dxfId="10819" priority="6976">
      <formula>LEN(TRIM(Q111))=0</formula>
    </cfRule>
    <cfRule type="containsBlanks" dxfId="10818" priority="6977">
      <formula>LEN(TRIM(Q111))=0</formula>
    </cfRule>
    <cfRule type="containsBlanks" dxfId="10817" priority="6978">
      <formula>LEN(TRIM(Q111))=0</formula>
    </cfRule>
    <cfRule type="containsBlanks" dxfId="10816" priority="6979">
      <formula>LEN(TRIM(Q111))=0</formula>
    </cfRule>
    <cfRule type="containsBlanks" dxfId="10815" priority="6980">
      <formula>LEN(TRIM(Q111))=0</formula>
    </cfRule>
    <cfRule type="containsBlanks" dxfId="10814" priority="6981">
      <formula>LEN(TRIM(Q111))=0</formula>
    </cfRule>
    <cfRule type="containsBlanks" dxfId="10813" priority="6982">
      <formula>LEN(TRIM(Q111))=0</formula>
    </cfRule>
    <cfRule type="containsBlanks" dxfId="10812" priority="6983">
      <formula>LEN(TRIM(Q111))=0</formula>
    </cfRule>
    <cfRule type="containsBlanks" dxfId="10811" priority="6984">
      <formula>LEN(TRIM(Q111))=0</formula>
    </cfRule>
    <cfRule type="containsBlanks" dxfId="10810" priority="6985">
      <formula>LEN(TRIM(Q111))=0</formula>
    </cfRule>
    <cfRule type="containsBlanks" dxfId="10809" priority="6986">
      <formula>LEN(TRIM(Q111))=0</formula>
    </cfRule>
    <cfRule type="containsBlanks" dxfId="10808" priority="6987">
      <formula>LEN(TRIM(Q111))=0</formula>
    </cfRule>
    <cfRule type="containsBlanks" dxfId="10807" priority="6988">
      <formula>LEN(TRIM(Q111))=0</formula>
    </cfRule>
    <cfRule type="containsBlanks" dxfId="10806" priority="6989">
      <formula>LEN(TRIM(Q111))=0</formula>
    </cfRule>
    <cfRule type="containsBlanks" dxfId="10805" priority="6990">
      <formula>LEN(TRIM(Q111))=0</formula>
    </cfRule>
    <cfRule type="containsBlanks" dxfId="10804" priority="6991">
      <formula>LEN(TRIM(Q111))=0</formula>
    </cfRule>
    <cfRule type="containsBlanks" dxfId="10803" priority="6992">
      <formula>LEN(TRIM(Q111))=0</formula>
    </cfRule>
    <cfRule type="containsBlanks" dxfId="10802" priority="6993">
      <formula>LEN(TRIM(Q111))=0</formula>
    </cfRule>
    <cfRule type="containsBlanks" dxfId="10801" priority="6994">
      <formula>LEN(TRIM(Q111))=0</formula>
    </cfRule>
    <cfRule type="containsBlanks" dxfId="10800" priority="6995">
      <formula>LEN(TRIM(Q111))=0</formula>
    </cfRule>
    <cfRule type="containsBlanks" dxfId="10799" priority="6996">
      <formula>LEN(TRIM(Q111))=0</formula>
    </cfRule>
    <cfRule type="containsBlanks" dxfId="10798" priority="6997">
      <formula>LEN(TRIM(Q111))=0</formula>
    </cfRule>
    <cfRule type="containsBlanks" dxfId="10797" priority="6998">
      <formula>LEN(TRIM(Q111))=0</formula>
    </cfRule>
    <cfRule type="containsBlanks" dxfId="10796" priority="6999">
      <formula>LEN(TRIM(Q111))=0</formula>
    </cfRule>
    <cfRule type="containsBlanks" dxfId="10795" priority="7000">
      <formula>LEN(TRIM(Q111))=0</formula>
    </cfRule>
    <cfRule type="containsBlanks" dxfId="10794" priority="7001">
      <formula>LEN(TRIM(Q111))=0</formula>
    </cfRule>
    <cfRule type="containsBlanks" dxfId="10793" priority="7002">
      <formula>LEN(TRIM(Q111))=0</formula>
    </cfRule>
    <cfRule type="containsBlanks" dxfId="10792" priority="7003">
      <formula>LEN(TRIM(Q111))=0</formula>
    </cfRule>
    <cfRule type="containsBlanks" dxfId="10791" priority="7004">
      <formula>LEN(TRIM(Q111))=0</formula>
    </cfRule>
    <cfRule type="containsBlanks" dxfId="10790" priority="7005">
      <formula>LEN(TRIM(Q111))=0</formula>
    </cfRule>
    <cfRule type="containsBlanks" dxfId="10789" priority="7006">
      <formula>LEN(TRIM(Q111))=0</formula>
    </cfRule>
    <cfRule type="containsBlanks" dxfId="10788" priority="7007">
      <formula>LEN(TRIM(Q111))=0</formula>
    </cfRule>
    <cfRule type="containsBlanks" dxfId="10787" priority="7008">
      <formula>LEN(TRIM(Q111))=0</formula>
    </cfRule>
    <cfRule type="containsBlanks" dxfId="10786" priority="7009">
      <formula>LEN(TRIM(Q111))=0</formula>
    </cfRule>
    <cfRule type="containsBlanks" dxfId="10785" priority="7010">
      <formula>LEN(TRIM(Q111))=0</formula>
    </cfRule>
    <cfRule type="containsBlanks" dxfId="10784" priority="7011">
      <formula>LEN(TRIM(Q111))=0</formula>
    </cfRule>
    <cfRule type="containsBlanks" dxfId="10783" priority="7012">
      <formula>LEN(TRIM(Q111))=0</formula>
    </cfRule>
    <cfRule type="containsBlanks" dxfId="10782" priority="7013">
      <formula>LEN(TRIM(Q111))=0</formula>
    </cfRule>
    <cfRule type="containsBlanks" dxfId="10781" priority="7014">
      <formula>LEN(TRIM(Q111))=0</formula>
    </cfRule>
    <cfRule type="containsBlanks" dxfId="10780" priority="7015">
      <formula>LEN(TRIM(Q111))=0</formula>
    </cfRule>
    <cfRule type="containsBlanks" dxfId="10779" priority="7016">
      <formula>LEN(TRIM(Q111))=0</formula>
    </cfRule>
    <cfRule type="containsBlanks" dxfId="10778" priority="7017">
      <formula>LEN(TRIM(Q111))=0</formula>
    </cfRule>
    <cfRule type="containsBlanks" dxfId="10777" priority="7018">
      <formula>LEN(TRIM(Q111))=0</formula>
    </cfRule>
    <cfRule type="containsBlanks" dxfId="10776" priority="7019">
      <formula>LEN(TRIM(Q111))=0</formula>
    </cfRule>
    <cfRule type="containsBlanks" dxfId="10775" priority="7020">
      <formula>LEN(TRIM(Q111))=0</formula>
    </cfRule>
    <cfRule type="containsBlanks" dxfId="10774" priority="7021">
      <formula>LEN(TRIM(Q111))=0</formula>
    </cfRule>
    <cfRule type="containsBlanks" dxfId="10773" priority="7022">
      <formula>LEN(TRIM(Q111))=0</formula>
    </cfRule>
    <cfRule type="containsBlanks" dxfId="10772" priority="7023">
      <formula>LEN(TRIM(Q111))=0</formula>
    </cfRule>
    <cfRule type="containsBlanks" dxfId="10771" priority="7024">
      <formula>LEN(TRIM(Q111))=0</formula>
    </cfRule>
    <cfRule type="containsBlanks" dxfId="10770" priority="7025">
      <formula>LEN(TRIM(Q111))=0</formula>
    </cfRule>
    <cfRule type="containsBlanks" dxfId="10769" priority="7026">
      <formula>LEN(TRIM(Q111))=0</formula>
    </cfRule>
    <cfRule type="containsBlanks" dxfId="10768" priority="7027">
      <formula>LEN(TRIM(Q111))=0</formula>
    </cfRule>
    <cfRule type="containsBlanks" dxfId="10767" priority="7028">
      <formula>LEN(TRIM(Q111))=0</formula>
    </cfRule>
    <cfRule type="containsBlanks" dxfId="10766" priority="7029">
      <formula>LEN(TRIM(Q111))=0</formula>
    </cfRule>
    <cfRule type="containsBlanks" dxfId="10765" priority="7030">
      <formula>LEN(TRIM(Q111))=0</formula>
    </cfRule>
    <cfRule type="containsBlanks" dxfId="10764" priority="7031">
      <formula>LEN(TRIM(Q111))=0</formula>
    </cfRule>
    <cfRule type="containsBlanks" dxfId="10763" priority="7032">
      <formula>LEN(TRIM(Q111))=0</formula>
    </cfRule>
    <cfRule type="containsBlanks" dxfId="10762" priority="7033">
      <formula>LEN(TRIM(Q111))=0</formula>
    </cfRule>
    <cfRule type="containsBlanks" dxfId="10761" priority="7034">
      <formula>LEN(TRIM(Q111))=0</formula>
    </cfRule>
    <cfRule type="containsBlanks" dxfId="10760" priority="7035">
      <formula>LEN(TRIM(Q111))=0</formula>
    </cfRule>
    <cfRule type="containsBlanks" dxfId="10759" priority="7036">
      <formula>LEN(TRIM(Q111))=0</formula>
    </cfRule>
    <cfRule type="containsBlanks" dxfId="10758" priority="7037">
      <formula>LEN(TRIM(Q111))=0</formula>
    </cfRule>
    <cfRule type="containsBlanks" dxfId="10757" priority="7038">
      <formula>LEN(TRIM(Q111))=0</formula>
    </cfRule>
    <cfRule type="containsBlanks" dxfId="10756" priority="7039">
      <formula>LEN(TRIM(Q111))=0</formula>
    </cfRule>
    <cfRule type="containsBlanks" dxfId="10755" priority="7040">
      <formula>LEN(TRIM(Q111))=0</formula>
    </cfRule>
    <cfRule type="containsBlanks" dxfId="10754" priority="7041">
      <formula>LEN(TRIM(Q111))=0</formula>
    </cfRule>
    <cfRule type="containsBlanks" dxfId="10753" priority="7042">
      <formula>LEN(TRIM(Q111))=0</formula>
    </cfRule>
    <cfRule type="containsBlanks" dxfId="10752" priority="7043">
      <formula>LEN(TRIM(Q111))=0</formula>
    </cfRule>
    <cfRule type="containsBlanks" dxfId="10751" priority="7044">
      <formula>LEN(TRIM(Q111))=0</formula>
    </cfRule>
    <cfRule type="containsBlanks" dxfId="10750" priority="7045">
      <formula>LEN(TRIM(Q111))=0</formula>
    </cfRule>
    <cfRule type="containsBlanks" dxfId="10749" priority="7046">
      <formula>LEN(TRIM(Q111))=0</formula>
    </cfRule>
    <cfRule type="containsBlanks" dxfId="10748" priority="7047">
      <formula>LEN(TRIM(Q111))=0</formula>
    </cfRule>
    <cfRule type="containsBlanks" dxfId="10747" priority="7048">
      <formula>LEN(TRIM(Q111))=0</formula>
    </cfRule>
    <cfRule type="containsBlanks" dxfId="10746" priority="7049">
      <formula>LEN(TRIM(Q111))=0</formula>
    </cfRule>
    <cfRule type="containsBlanks" dxfId="10745" priority="7050">
      <formula>LEN(TRIM(Q111))=0</formula>
    </cfRule>
    <cfRule type="containsBlanks" dxfId="10744" priority="7051">
      <formula>LEN(TRIM(Q111))=0</formula>
    </cfRule>
    <cfRule type="containsBlanks" dxfId="10743" priority="7052">
      <formula>LEN(TRIM(Q111))=0</formula>
    </cfRule>
    <cfRule type="containsBlanks" dxfId="10742" priority="7053">
      <formula>LEN(TRIM(Q111))=0</formula>
    </cfRule>
    <cfRule type="containsBlanks" dxfId="10741" priority="7054">
      <formula>LEN(TRIM(Q111))=0</formula>
    </cfRule>
    <cfRule type="containsBlanks" dxfId="10740" priority="7055">
      <formula>LEN(TRIM(Q111))=0</formula>
    </cfRule>
    <cfRule type="containsBlanks" dxfId="10739" priority="7056">
      <formula>LEN(TRIM(Q111))=0</formula>
    </cfRule>
    <cfRule type="containsBlanks" dxfId="10738" priority="7057">
      <formula>LEN(TRIM(Q111))=0</formula>
    </cfRule>
    <cfRule type="containsBlanks" dxfId="10737" priority="7058">
      <formula>LEN(TRIM(Q111))=0</formula>
    </cfRule>
    <cfRule type="containsBlanks" dxfId="10736" priority="7059">
      <formula>LEN(TRIM(Q111))=0</formula>
    </cfRule>
    <cfRule type="containsBlanks" dxfId="10735" priority="7060">
      <formula>LEN(TRIM(Q111))=0</formula>
    </cfRule>
    <cfRule type="containsBlanks" dxfId="10734" priority="7061">
      <formula>LEN(TRIM(Q111))=0</formula>
    </cfRule>
    <cfRule type="containsBlanks" dxfId="10733" priority="7062">
      <formula>LEN(TRIM(Q111))=0</formula>
    </cfRule>
    <cfRule type="containsBlanks" dxfId="10732" priority="7063">
      <formula>LEN(TRIM(Q111))=0</formula>
    </cfRule>
    <cfRule type="containsBlanks" dxfId="10731" priority="7064">
      <formula>LEN(TRIM(Q111))=0</formula>
    </cfRule>
    <cfRule type="containsBlanks" dxfId="10730" priority="7065">
      <formula>LEN(TRIM(Q111))=0</formula>
    </cfRule>
    <cfRule type="containsBlanks" dxfId="10729" priority="7066">
      <formula>LEN(TRIM(Q111))=0</formula>
    </cfRule>
    <cfRule type="containsBlanks" dxfId="10728" priority="7067">
      <formula>LEN(TRIM(Q111))=0</formula>
    </cfRule>
    <cfRule type="containsBlanks" dxfId="10727" priority="7068">
      <formula>LEN(TRIM(Q111))=0</formula>
    </cfRule>
    <cfRule type="containsBlanks" dxfId="10726" priority="7069">
      <formula>LEN(TRIM(Q111))=0</formula>
    </cfRule>
    <cfRule type="containsBlanks" dxfId="10725" priority="7070">
      <formula>LEN(TRIM(Q111))=0</formula>
    </cfRule>
    <cfRule type="containsBlanks" dxfId="10724" priority="7071">
      <formula>LEN(TRIM(Q111))=0</formula>
    </cfRule>
    <cfRule type="containsBlanks" dxfId="10723" priority="7072">
      <formula>LEN(TRIM(Q111))=0</formula>
    </cfRule>
    <cfRule type="containsBlanks" dxfId="10722" priority="7073">
      <formula>LEN(TRIM(Q111))=0</formula>
    </cfRule>
    <cfRule type="containsBlanks" dxfId="10721" priority="7074">
      <formula>LEN(TRIM(Q111))=0</formula>
    </cfRule>
    <cfRule type="containsBlanks" dxfId="10720" priority="7075">
      <formula>LEN(TRIM(Q111))=0</formula>
    </cfRule>
    <cfRule type="containsBlanks" dxfId="10719" priority="7076">
      <formula>LEN(TRIM(Q111))=0</formula>
    </cfRule>
    <cfRule type="containsBlanks" dxfId="10718" priority="7077">
      <formula>LEN(TRIM(Q111))=0</formula>
    </cfRule>
    <cfRule type="containsBlanks" dxfId="10717" priority="7078">
      <formula>LEN(TRIM(Q111))=0</formula>
    </cfRule>
    <cfRule type="containsBlanks" dxfId="10716" priority="7079">
      <formula>LEN(TRIM(Q111))=0</formula>
    </cfRule>
    <cfRule type="containsBlanks" dxfId="10715" priority="7080">
      <formula>LEN(TRIM(Q111))=0</formula>
    </cfRule>
    <cfRule type="containsBlanks" dxfId="10714" priority="7081">
      <formula>LEN(TRIM(Q111))=0</formula>
    </cfRule>
    <cfRule type="containsBlanks" dxfId="10713" priority="7082">
      <formula>LEN(TRIM(Q111))=0</formula>
    </cfRule>
    <cfRule type="containsBlanks" dxfId="10712" priority="7083">
      <formula>LEN(TRIM(Q111))=0</formula>
    </cfRule>
    <cfRule type="containsBlanks" dxfId="10711" priority="7084">
      <formula>LEN(TRIM(Q111))=0</formula>
    </cfRule>
    <cfRule type="containsBlanks" dxfId="10710" priority="7085">
      <formula>LEN(TRIM(Q111))=0</formula>
    </cfRule>
    <cfRule type="containsBlanks" dxfId="10709" priority="7086">
      <formula>LEN(TRIM(Q111))=0</formula>
    </cfRule>
    <cfRule type="containsBlanks" dxfId="10708" priority="7087">
      <formula>LEN(TRIM(Q111))=0</formula>
    </cfRule>
    <cfRule type="containsBlanks" dxfId="10707" priority="7088">
      <formula>LEN(TRIM(Q111))=0</formula>
    </cfRule>
    <cfRule type="containsBlanks" dxfId="10706" priority="7089">
      <formula>LEN(TRIM(Q111))=0</formula>
    </cfRule>
    <cfRule type="containsBlanks" dxfId="10705" priority="7090">
      <formula>LEN(TRIM(Q111))=0</formula>
    </cfRule>
    <cfRule type="containsBlanks" dxfId="10704" priority="7091">
      <formula>LEN(TRIM(Q111))=0</formula>
    </cfRule>
    <cfRule type="containsBlanks" dxfId="10703" priority="7092">
      <formula>LEN(TRIM(Q111))=0</formula>
    </cfRule>
    <cfRule type="containsBlanks" dxfId="10702" priority="7093">
      <formula>LEN(TRIM(Q111))=0</formula>
    </cfRule>
    <cfRule type="containsBlanks" dxfId="10701" priority="7094">
      <formula>LEN(TRIM(Q111))=0</formula>
    </cfRule>
    <cfRule type="containsBlanks" dxfId="10700" priority="7095">
      <formula>LEN(TRIM(Q111))=0</formula>
    </cfRule>
    <cfRule type="containsBlanks" dxfId="10699" priority="7096">
      <formula>LEN(TRIM(Q111))=0</formula>
    </cfRule>
    <cfRule type="containsBlanks" dxfId="10698" priority="7097">
      <formula>LEN(TRIM(Q111))=0</formula>
    </cfRule>
    <cfRule type="containsBlanks" dxfId="10697" priority="7098">
      <formula>LEN(TRIM(Q111))=0</formula>
    </cfRule>
    <cfRule type="containsBlanks" dxfId="10696" priority="7099">
      <formula>LEN(TRIM(Q111))=0</formula>
    </cfRule>
    <cfRule type="containsBlanks" dxfId="10695" priority="7100">
      <formula>LEN(TRIM(Q111))=0</formula>
    </cfRule>
    <cfRule type="containsBlanks" dxfId="10694" priority="7101">
      <formula>LEN(TRIM(Q111))=0</formula>
    </cfRule>
    <cfRule type="containsBlanks" dxfId="10693" priority="7102">
      <formula>LEN(TRIM(Q111))=0</formula>
    </cfRule>
    <cfRule type="containsBlanks" dxfId="10692" priority="7103">
      <formula>LEN(TRIM(Q111))=0</formula>
    </cfRule>
    <cfRule type="containsBlanks" dxfId="10691" priority="7104">
      <formula>LEN(TRIM(Q111))=0</formula>
    </cfRule>
    <cfRule type="containsBlanks" dxfId="10690" priority="7105">
      <formula>LEN(TRIM(Q111))=0</formula>
    </cfRule>
    <cfRule type="containsBlanks" dxfId="10689" priority="7106">
      <formula>LEN(TRIM(Q111))=0</formula>
    </cfRule>
    <cfRule type="containsBlanks" dxfId="10688" priority="7107">
      <formula>LEN(TRIM(Q111))=0</formula>
    </cfRule>
    <cfRule type="containsBlanks" dxfId="10687" priority="7108">
      <formula>LEN(TRIM(Q111))=0</formula>
    </cfRule>
    <cfRule type="containsBlanks" dxfId="10686" priority="7109">
      <formula>LEN(TRIM(Q111))=0</formula>
    </cfRule>
    <cfRule type="containsBlanks" dxfId="10685" priority="7110">
      <formula>LEN(TRIM(Q111))=0</formula>
    </cfRule>
    <cfRule type="containsBlanks" dxfId="10684" priority="7111">
      <formula>LEN(TRIM(Q111))=0</formula>
    </cfRule>
    <cfRule type="containsBlanks" dxfId="10683" priority="7112">
      <formula>LEN(TRIM(Q111))=0</formula>
    </cfRule>
    <cfRule type="containsBlanks" dxfId="10682" priority="7113">
      <formula>LEN(TRIM(Q111))=0</formula>
    </cfRule>
    <cfRule type="containsBlanks" dxfId="10681" priority="7114">
      <formula>LEN(TRIM(Q111))=0</formula>
    </cfRule>
    <cfRule type="containsBlanks" dxfId="10680" priority="7115">
      <formula>LEN(TRIM(Q111))=0</formula>
    </cfRule>
    <cfRule type="containsBlanks" dxfId="10679" priority="7116">
      <formula>LEN(TRIM(Q111))=0</formula>
    </cfRule>
    <cfRule type="containsBlanks" dxfId="10678" priority="7117">
      <formula>LEN(TRIM(Q111))=0</formula>
    </cfRule>
    <cfRule type="containsBlanks" dxfId="10677" priority="7118">
      <formula>LEN(TRIM(Q111))=0</formula>
    </cfRule>
    <cfRule type="containsBlanks" dxfId="10676" priority="7119">
      <formula>LEN(TRIM(Q111))=0</formula>
    </cfRule>
    <cfRule type="containsBlanks" dxfId="10675" priority="7120">
      <formula>LEN(TRIM(Q111))=0</formula>
    </cfRule>
    <cfRule type="containsBlanks" dxfId="10674" priority="7121">
      <formula>LEN(TRIM(Q111))=0</formula>
    </cfRule>
    <cfRule type="containsBlanks" dxfId="10673" priority="7122">
      <formula>LEN(TRIM(Q111))=0</formula>
    </cfRule>
    <cfRule type="containsBlanks" dxfId="10672" priority="7123">
      <formula>LEN(TRIM(Q111))=0</formula>
    </cfRule>
    <cfRule type="containsBlanks" dxfId="10671" priority="7124">
      <formula>LEN(TRIM(Q111))=0</formula>
    </cfRule>
    <cfRule type="containsBlanks" dxfId="10670" priority="7125">
      <formula>LEN(TRIM(Q111))=0</formula>
    </cfRule>
    <cfRule type="containsBlanks" dxfId="10669" priority="7126">
      <formula>LEN(TRIM(Q111))=0</formula>
    </cfRule>
    <cfRule type="containsBlanks" dxfId="10668" priority="7127">
      <formula>LEN(TRIM(Q111))=0</formula>
    </cfRule>
    <cfRule type="containsBlanks" dxfId="10667" priority="7128">
      <formula>LEN(TRIM(Q111))=0</formula>
    </cfRule>
    <cfRule type="containsBlanks" dxfId="10666" priority="7129">
      <formula>LEN(TRIM(Q111))=0</formula>
    </cfRule>
    <cfRule type="containsBlanks" dxfId="10665" priority="7130">
      <formula>LEN(TRIM(Q111))=0</formula>
    </cfRule>
    <cfRule type="containsBlanks" dxfId="10664" priority="7131">
      <formula>LEN(TRIM(Q111))=0</formula>
    </cfRule>
    <cfRule type="containsBlanks" dxfId="10663" priority="7132">
      <formula>LEN(TRIM(Q111))=0</formula>
    </cfRule>
    <cfRule type="containsBlanks" dxfId="10662" priority="7133">
      <formula>LEN(TRIM(Q111))=0</formula>
    </cfRule>
    <cfRule type="containsBlanks" dxfId="10661" priority="7134">
      <formula>LEN(TRIM(Q111))=0</formula>
    </cfRule>
    <cfRule type="containsBlanks" dxfId="10660" priority="7135">
      <formula>LEN(TRIM(Q111))=0</formula>
    </cfRule>
    <cfRule type="containsBlanks" dxfId="10659" priority="7136">
      <formula>LEN(TRIM(Q111))=0</formula>
    </cfRule>
    <cfRule type="containsBlanks" dxfId="10658" priority="7137">
      <formula>LEN(TRIM(Q111))=0</formula>
    </cfRule>
    <cfRule type="containsBlanks" dxfId="10657" priority="7138">
      <formula>LEN(TRIM(Q111))=0</formula>
    </cfRule>
    <cfRule type="containsBlanks" dxfId="10656" priority="7139">
      <formula>LEN(TRIM(Q111))=0</formula>
    </cfRule>
    <cfRule type="containsBlanks" dxfId="10655" priority="7140">
      <formula>LEN(TRIM(Q111))=0</formula>
    </cfRule>
    <cfRule type="containsBlanks" dxfId="10654" priority="7141">
      <formula>LEN(TRIM(Q111))=0</formula>
    </cfRule>
    <cfRule type="containsBlanks" dxfId="10653" priority="7142">
      <formula>LEN(TRIM(Q111))=0</formula>
    </cfRule>
    <cfRule type="containsBlanks" dxfId="10652" priority="7143">
      <formula>LEN(TRIM(Q111))=0</formula>
    </cfRule>
    <cfRule type="containsBlanks" dxfId="10651" priority="7144">
      <formula>LEN(TRIM(Q111))=0</formula>
    </cfRule>
    <cfRule type="containsBlanks" dxfId="10650" priority="7145">
      <formula>LEN(TRIM(Q111))=0</formula>
    </cfRule>
    <cfRule type="containsBlanks" dxfId="10649" priority="7146">
      <formula>LEN(TRIM(Q111))=0</formula>
    </cfRule>
    <cfRule type="containsBlanks" dxfId="10648" priority="7147">
      <formula>LEN(TRIM(Q111))=0</formula>
    </cfRule>
    <cfRule type="containsBlanks" dxfId="10647" priority="7148">
      <formula>LEN(TRIM(Q111))=0</formula>
    </cfRule>
    <cfRule type="containsBlanks" dxfId="10646" priority="7149">
      <formula>LEN(TRIM(Q111))=0</formula>
    </cfRule>
    <cfRule type="containsBlanks" dxfId="10645" priority="7150">
      <formula>LEN(TRIM(Q111))=0</formula>
    </cfRule>
    <cfRule type="containsBlanks" dxfId="10644" priority="7151">
      <formula>LEN(TRIM(Q111))=0</formula>
    </cfRule>
    <cfRule type="containsBlanks" dxfId="10643" priority="7152">
      <formula>LEN(TRIM(Q111))=0</formula>
    </cfRule>
    <cfRule type="containsBlanks" dxfId="10642" priority="7153">
      <formula>LEN(TRIM(Q111))=0</formula>
    </cfRule>
    <cfRule type="containsBlanks" dxfId="10641" priority="7154">
      <formula>LEN(TRIM(Q111))=0</formula>
    </cfRule>
    <cfRule type="containsBlanks" dxfId="10640" priority="7155">
      <formula>LEN(TRIM(Q111))=0</formula>
    </cfRule>
    <cfRule type="containsBlanks" dxfId="10639" priority="7156">
      <formula>LEN(TRIM(Q111))=0</formula>
    </cfRule>
    <cfRule type="containsBlanks" dxfId="10638" priority="7157">
      <formula>LEN(TRIM(Q111))=0</formula>
    </cfRule>
    <cfRule type="containsBlanks" dxfId="10637" priority="7158">
      <formula>LEN(TRIM(Q111))=0</formula>
    </cfRule>
    <cfRule type="containsBlanks" dxfId="10636" priority="7159">
      <formula>LEN(TRIM(Q111))=0</formula>
    </cfRule>
    <cfRule type="containsBlanks" dxfId="10635" priority="7160">
      <formula>LEN(TRIM(Q111))=0</formula>
    </cfRule>
    <cfRule type="containsBlanks" dxfId="10634" priority="7161">
      <formula>LEN(TRIM(Q111))=0</formula>
    </cfRule>
    <cfRule type="containsBlanks" dxfId="10633" priority="7162">
      <formula>LEN(TRIM(Q111))=0</formula>
    </cfRule>
    <cfRule type="containsBlanks" dxfId="10632" priority="7163">
      <formula>LEN(TRIM(Q111))=0</formula>
    </cfRule>
    <cfRule type="containsBlanks" dxfId="10631" priority="7164">
      <formula>LEN(TRIM(Q111))=0</formula>
    </cfRule>
    <cfRule type="containsBlanks" dxfId="10630" priority="7165">
      <formula>LEN(TRIM(Q111))=0</formula>
    </cfRule>
    <cfRule type="containsBlanks" dxfId="10629" priority="7166">
      <formula>LEN(TRIM(Q111))=0</formula>
    </cfRule>
    <cfRule type="containsBlanks" dxfId="10628" priority="7167">
      <formula>LEN(TRIM(Q111))=0</formula>
    </cfRule>
    <cfRule type="containsBlanks" dxfId="10627" priority="7168">
      <formula>LEN(TRIM(Q111))=0</formula>
    </cfRule>
    <cfRule type="containsBlanks" dxfId="10626" priority="7169">
      <formula>LEN(TRIM(Q111))=0</formula>
    </cfRule>
    <cfRule type="containsBlanks" dxfId="10625" priority="7170">
      <formula>LEN(TRIM(Q111))=0</formula>
    </cfRule>
    <cfRule type="containsBlanks" dxfId="10624" priority="7171">
      <formula>LEN(TRIM(Q111))=0</formula>
    </cfRule>
    <cfRule type="containsBlanks" dxfId="10623" priority="7172">
      <formula>LEN(TRIM(Q111))=0</formula>
    </cfRule>
    <cfRule type="containsBlanks" dxfId="10622" priority="7173">
      <formula>LEN(TRIM(Q111))=0</formula>
    </cfRule>
    <cfRule type="containsBlanks" dxfId="10621" priority="7174">
      <formula>LEN(TRIM(Q111))=0</formula>
    </cfRule>
    <cfRule type="containsBlanks" dxfId="10620" priority="7175">
      <formula>LEN(TRIM(Q111))=0</formula>
    </cfRule>
    <cfRule type="containsBlanks" dxfId="10619" priority="7176">
      <formula>LEN(TRIM(Q111))=0</formula>
    </cfRule>
    <cfRule type="containsBlanks" dxfId="10618" priority="7177">
      <formula>LEN(TRIM(Q111))=0</formula>
    </cfRule>
    <cfRule type="containsBlanks" dxfId="10617" priority="7178">
      <formula>LEN(TRIM(Q111))=0</formula>
    </cfRule>
    <cfRule type="containsBlanks" dxfId="10616" priority="7179">
      <formula>LEN(TRIM(Q111))=0</formula>
    </cfRule>
    <cfRule type="containsBlanks" dxfId="10615" priority="7180">
      <formula>LEN(TRIM(Q111))=0</formula>
    </cfRule>
    <cfRule type="containsBlanks" dxfId="10614" priority="7181">
      <formula>LEN(TRIM(Q111))=0</formula>
    </cfRule>
    <cfRule type="containsBlanks" dxfId="10613" priority="7182">
      <formula>LEN(TRIM(Q111))=0</formula>
    </cfRule>
    <cfRule type="containsBlanks" dxfId="10612" priority="7183">
      <formula>LEN(TRIM(Q111))=0</formula>
    </cfRule>
    <cfRule type="containsBlanks" dxfId="10611" priority="7184">
      <formula>LEN(TRIM(Q111))=0</formula>
    </cfRule>
    <cfRule type="containsBlanks" dxfId="10610" priority="7185">
      <formula>LEN(TRIM(Q111))=0</formula>
    </cfRule>
    <cfRule type="containsBlanks" dxfId="10609" priority="7186">
      <formula>LEN(TRIM(Q111))=0</formula>
    </cfRule>
    <cfRule type="containsBlanks" dxfId="10608" priority="7187">
      <formula>LEN(TRIM(Q111))=0</formula>
    </cfRule>
    <cfRule type="containsBlanks" dxfId="10607" priority="7188">
      <formula>LEN(TRIM(Q111))=0</formula>
    </cfRule>
    <cfRule type="containsBlanks" dxfId="10606" priority="7189">
      <formula>LEN(TRIM(Q111))=0</formula>
    </cfRule>
    <cfRule type="containsBlanks" dxfId="10605" priority="7190">
      <formula>LEN(TRIM(Q111))=0</formula>
    </cfRule>
    <cfRule type="containsBlanks" dxfId="10604" priority="7191">
      <formula>LEN(TRIM(Q111))=0</formula>
    </cfRule>
    <cfRule type="containsBlanks" dxfId="10603" priority="7192">
      <formula>LEN(TRIM(Q111))=0</formula>
    </cfRule>
    <cfRule type="containsBlanks" dxfId="10602" priority="7193">
      <formula>LEN(TRIM(Q111))=0</formula>
    </cfRule>
    <cfRule type="containsBlanks" dxfId="10601" priority="7194">
      <formula>LEN(TRIM(Q111))=0</formula>
    </cfRule>
    <cfRule type="containsBlanks" dxfId="10600" priority="7195">
      <formula>LEN(TRIM(Q111))=0</formula>
    </cfRule>
    <cfRule type="containsBlanks" dxfId="10599" priority="7196">
      <formula>LEN(TRIM(Q111))=0</formula>
    </cfRule>
    <cfRule type="containsBlanks" dxfId="10598" priority="7197">
      <formula>LEN(TRIM(Q111))=0</formula>
    </cfRule>
    <cfRule type="containsBlanks" dxfId="10597" priority="7198">
      <formula>LEN(TRIM(Q111))=0</formula>
    </cfRule>
    <cfRule type="containsBlanks" dxfId="10596" priority="7199">
      <formula>LEN(TRIM(Q111))=0</formula>
    </cfRule>
    <cfRule type="containsBlanks" dxfId="10595" priority="7200">
      <formula>LEN(TRIM(Q111))=0</formula>
    </cfRule>
    <cfRule type="containsBlanks" dxfId="10594" priority="7201">
      <formula>LEN(TRIM(Q111))=0</formula>
    </cfRule>
    <cfRule type="containsBlanks" dxfId="10593" priority="7202">
      <formula>LEN(TRIM(Q111))=0</formula>
    </cfRule>
    <cfRule type="containsBlanks" dxfId="10592" priority="7203">
      <formula>LEN(TRIM(Q111))=0</formula>
    </cfRule>
    <cfRule type="containsBlanks" dxfId="10591" priority="7204">
      <formula>LEN(TRIM(Q111))=0</formula>
    </cfRule>
    <cfRule type="containsBlanks" dxfId="10590" priority="7205">
      <formula>LEN(TRIM(Q111))=0</formula>
    </cfRule>
    <cfRule type="containsBlanks" dxfId="10589" priority="7206">
      <formula>LEN(TRIM(Q111))=0</formula>
    </cfRule>
    <cfRule type="containsBlanks" dxfId="10588" priority="7207">
      <formula>LEN(TRIM(Q111))=0</formula>
    </cfRule>
    <cfRule type="containsBlanks" dxfId="10587" priority="7208">
      <formula>LEN(TRIM(Q111))=0</formula>
    </cfRule>
    <cfRule type="containsBlanks" dxfId="10586" priority="7209">
      <formula>LEN(TRIM(Q111))=0</formula>
    </cfRule>
    <cfRule type="containsBlanks" dxfId="10585" priority="7210">
      <formula>LEN(TRIM(Q111))=0</formula>
    </cfRule>
    <cfRule type="containsBlanks" dxfId="10584" priority="7211">
      <formula>LEN(TRIM(Q111))=0</formula>
    </cfRule>
    <cfRule type="containsBlanks" dxfId="10583" priority="7212">
      <formula>LEN(TRIM(Q111))=0</formula>
    </cfRule>
    <cfRule type="containsBlanks" dxfId="10582" priority="7213">
      <formula>LEN(TRIM(Q111))=0</formula>
    </cfRule>
    <cfRule type="containsBlanks" dxfId="10581" priority="7214">
      <formula>LEN(TRIM(Q111))=0</formula>
    </cfRule>
    <cfRule type="containsBlanks" dxfId="10580" priority="7215">
      <formula>LEN(TRIM(Q111))=0</formula>
    </cfRule>
    <cfRule type="containsBlanks" dxfId="10579" priority="7216">
      <formula>LEN(TRIM(Q111))=0</formula>
    </cfRule>
    <cfRule type="containsBlanks" dxfId="10578" priority="7217">
      <formula>LEN(TRIM(Q111))=0</formula>
    </cfRule>
    <cfRule type="containsBlanks" dxfId="10577" priority="7218">
      <formula>LEN(TRIM(Q111))=0</formula>
    </cfRule>
    <cfRule type="containsBlanks" dxfId="10576" priority="7219">
      <formula>LEN(TRIM(Q111))=0</formula>
    </cfRule>
    <cfRule type="containsBlanks" dxfId="10575" priority="7220">
      <formula>LEN(TRIM(Q111))=0</formula>
    </cfRule>
    <cfRule type="containsBlanks" dxfId="10574" priority="7221">
      <formula>LEN(TRIM(Q111))=0</formula>
    </cfRule>
    <cfRule type="containsBlanks" dxfId="10573" priority="7222">
      <formula>LEN(TRIM(Q111))=0</formula>
    </cfRule>
    <cfRule type="containsBlanks" dxfId="10572" priority="7223">
      <formula>LEN(TRIM(Q111))=0</formula>
    </cfRule>
    <cfRule type="containsBlanks" dxfId="10571" priority="7224">
      <formula>LEN(TRIM(Q111))=0</formula>
    </cfRule>
    <cfRule type="containsBlanks" dxfId="10570" priority="7225">
      <formula>LEN(TRIM(Q111))=0</formula>
    </cfRule>
    <cfRule type="containsBlanks" dxfId="10569" priority="7226">
      <formula>LEN(TRIM(Q111))=0</formula>
    </cfRule>
    <cfRule type="containsBlanks" dxfId="10568" priority="7227">
      <formula>LEN(TRIM(Q111))=0</formula>
    </cfRule>
    <cfRule type="containsBlanks" dxfId="10567" priority="7228">
      <formula>LEN(TRIM(Q111))=0</formula>
    </cfRule>
    <cfRule type="containsBlanks" dxfId="10566" priority="7229">
      <formula>LEN(TRIM(Q111))=0</formula>
    </cfRule>
    <cfRule type="containsBlanks" dxfId="10565" priority="7230">
      <formula>LEN(TRIM(Q111))=0</formula>
    </cfRule>
    <cfRule type="containsBlanks" dxfId="10564" priority="7231">
      <formula>LEN(TRIM(Q111))=0</formula>
    </cfRule>
    <cfRule type="containsBlanks" dxfId="10563" priority="7232">
      <formula>LEN(TRIM(Q111))=0</formula>
    </cfRule>
    <cfRule type="containsBlanks" dxfId="10562" priority="7233">
      <formula>LEN(TRIM(Q111))=0</formula>
    </cfRule>
    <cfRule type="containsBlanks" dxfId="10561" priority="7234">
      <formula>LEN(TRIM(Q111))=0</formula>
    </cfRule>
    <cfRule type="containsBlanks" dxfId="10560" priority="7235">
      <formula>LEN(TRIM(Q111))=0</formula>
    </cfRule>
    <cfRule type="containsBlanks" dxfId="10559" priority="7236">
      <formula>LEN(TRIM(Q111))=0</formula>
    </cfRule>
    <cfRule type="containsBlanks" dxfId="10558" priority="7237">
      <formula>LEN(TRIM(Q111))=0</formula>
    </cfRule>
    <cfRule type="containsBlanks" dxfId="10557" priority="7238">
      <formula>LEN(TRIM(Q111))=0</formula>
    </cfRule>
    <cfRule type="containsBlanks" dxfId="10556" priority="7239">
      <formula>LEN(TRIM(Q111))=0</formula>
    </cfRule>
    <cfRule type="containsBlanks" dxfId="10555" priority="7240">
      <formula>LEN(TRIM(Q111))=0</formula>
    </cfRule>
    <cfRule type="containsBlanks" dxfId="10554" priority="7241">
      <formula>LEN(TRIM(Q111))=0</formula>
    </cfRule>
    <cfRule type="containsBlanks" dxfId="10553" priority="7242">
      <formula>LEN(TRIM(Q111))=0</formula>
    </cfRule>
    <cfRule type="containsBlanks" dxfId="10552" priority="7243">
      <formula>LEN(TRIM(Q111))=0</formula>
    </cfRule>
    <cfRule type="containsBlanks" dxfId="10551" priority="7244">
      <formula>LEN(TRIM(Q111))=0</formula>
    </cfRule>
    <cfRule type="containsBlanks" dxfId="10550" priority="7245">
      <formula>LEN(TRIM(Q111))=0</formula>
    </cfRule>
    <cfRule type="containsBlanks" dxfId="10549" priority="7246">
      <formula>LEN(TRIM(Q111))=0</formula>
    </cfRule>
    <cfRule type="containsBlanks" dxfId="10548" priority="7247">
      <formula>LEN(TRIM(Q111))=0</formula>
    </cfRule>
    <cfRule type="containsBlanks" dxfId="10547" priority="7248">
      <formula>LEN(TRIM(Q111))=0</formula>
    </cfRule>
    <cfRule type="containsBlanks" dxfId="10546" priority="7249">
      <formula>LEN(TRIM(Q111))=0</formula>
    </cfRule>
    <cfRule type="containsBlanks" dxfId="10545" priority="7250">
      <formula>LEN(TRIM(Q111))=0</formula>
    </cfRule>
    <cfRule type="containsBlanks" dxfId="10544" priority="7251">
      <formula>LEN(TRIM(Q111))=0</formula>
    </cfRule>
    <cfRule type="containsBlanks" dxfId="10543" priority="7252">
      <formula>LEN(TRIM(Q111))=0</formula>
    </cfRule>
    <cfRule type="containsBlanks" dxfId="10542" priority="7253">
      <formula>LEN(TRIM(Q111))=0</formula>
    </cfRule>
    <cfRule type="containsBlanks" dxfId="10541" priority="7254">
      <formula>LEN(TRIM(Q111))=0</formula>
    </cfRule>
    <cfRule type="containsBlanks" dxfId="10540" priority="7255">
      <formula>LEN(TRIM(Q111))=0</formula>
    </cfRule>
    <cfRule type="containsBlanks" dxfId="10539" priority="7256">
      <formula>LEN(TRIM(Q111))=0</formula>
    </cfRule>
    <cfRule type="containsBlanks" dxfId="10538" priority="7257">
      <formula>LEN(TRIM(Q111))=0</formula>
    </cfRule>
    <cfRule type="containsBlanks" dxfId="10537" priority="7258">
      <formula>LEN(TRIM(Q111))=0</formula>
    </cfRule>
    <cfRule type="containsBlanks" dxfId="10536" priority="7259">
      <formula>LEN(TRIM(Q111))=0</formula>
    </cfRule>
    <cfRule type="containsBlanks" dxfId="10535" priority="7260">
      <formula>LEN(TRIM(Q111))=0</formula>
    </cfRule>
    <cfRule type="containsBlanks" dxfId="10534" priority="7261">
      <formula>LEN(TRIM(Q111))=0</formula>
    </cfRule>
    <cfRule type="containsBlanks" dxfId="10533" priority="7262">
      <formula>LEN(TRIM(Q111))=0</formula>
    </cfRule>
    <cfRule type="containsBlanks" dxfId="10532" priority="7263">
      <formula>LEN(TRIM(Q111))=0</formula>
    </cfRule>
    <cfRule type="containsBlanks" dxfId="10531" priority="7264">
      <formula>LEN(TRIM(Q111))=0</formula>
    </cfRule>
    <cfRule type="containsBlanks" dxfId="10530" priority="7265">
      <formula>LEN(TRIM(Q111))=0</formula>
    </cfRule>
    <cfRule type="containsBlanks" dxfId="10529" priority="7266">
      <formula>LEN(TRIM(Q111))=0</formula>
    </cfRule>
    <cfRule type="containsBlanks" dxfId="10528" priority="7267">
      <formula>LEN(TRIM(Q111))=0</formula>
    </cfRule>
    <cfRule type="containsBlanks" dxfId="10527" priority="7268">
      <formula>LEN(TRIM(Q111))=0</formula>
    </cfRule>
    <cfRule type="containsBlanks" dxfId="10526" priority="7269">
      <formula>LEN(TRIM(Q111))=0</formula>
    </cfRule>
    <cfRule type="containsBlanks" dxfId="10525" priority="7270">
      <formula>LEN(TRIM(Q111))=0</formula>
    </cfRule>
    <cfRule type="containsBlanks" dxfId="10524" priority="7271">
      <formula>LEN(TRIM(Q111))=0</formula>
    </cfRule>
    <cfRule type="containsBlanks" dxfId="10523" priority="7272">
      <formula>LEN(TRIM(Q111))=0</formula>
    </cfRule>
    <cfRule type="containsBlanks" dxfId="10522" priority="7273">
      <formula>LEN(TRIM(Q111))=0</formula>
    </cfRule>
    <cfRule type="containsBlanks" dxfId="10521" priority="7274">
      <formula>LEN(TRIM(Q111))=0</formula>
    </cfRule>
    <cfRule type="containsBlanks" dxfId="10520" priority="7275">
      <formula>LEN(TRIM(Q111))=0</formula>
    </cfRule>
    <cfRule type="containsBlanks" dxfId="10519" priority="7276">
      <formula>LEN(TRIM(Q111))=0</formula>
    </cfRule>
    <cfRule type="containsBlanks" dxfId="10518" priority="7277">
      <formula>LEN(TRIM(Q111))=0</formula>
    </cfRule>
    <cfRule type="containsBlanks" dxfId="10517" priority="7278">
      <formula>LEN(TRIM(Q111))=0</formula>
    </cfRule>
    <cfRule type="containsBlanks" dxfId="10516" priority="7279">
      <formula>LEN(TRIM(Q111))=0</formula>
    </cfRule>
  </conditionalFormatting>
  <conditionalFormatting sqref="R99:R158">
    <cfRule type="containsBlanks" dxfId="10515" priority="16010">
      <formula>LEN(TRIM(R99))=0</formula>
    </cfRule>
    <cfRule type="containsBlanks" dxfId="10514" priority="16011">
      <formula>LEN(TRIM(R99))=0</formula>
    </cfRule>
    <cfRule type="containsBlanks" dxfId="10513" priority="16012">
      <formula>LEN(TRIM(R99))=0</formula>
    </cfRule>
    <cfRule type="containsBlanks" dxfId="10512" priority="16013">
      <formula>LEN(TRIM(R99))=0</formula>
    </cfRule>
    <cfRule type="containsBlanks" dxfId="10511" priority="16014">
      <formula>LEN(TRIM(R99))=0</formula>
    </cfRule>
    <cfRule type="containsBlanks" dxfId="10510" priority="16015">
      <formula>LEN(TRIM(R99))=0</formula>
    </cfRule>
    <cfRule type="containsBlanks" dxfId="10509" priority="16016">
      <formula>LEN(TRIM(R99))=0</formula>
    </cfRule>
    <cfRule type="containsBlanks" dxfId="10508" priority="16017">
      <formula>LEN(TRIM(R99))=0</formula>
    </cfRule>
    <cfRule type="containsBlanks" dxfId="10507" priority="16018">
      <formula>LEN(TRIM(R99))=0</formula>
    </cfRule>
    <cfRule type="containsBlanks" dxfId="10506" priority="16019">
      <formula>LEN(TRIM(R99))=0</formula>
    </cfRule>
    <cfRule type="containsBlanks" dxfId="10505" priority="16020">
      <formula>LEN(TRIM(R99))=0</formula>
    </cfRule>
    <cfRule type="containsBlanks" dxfId="10504" priority="16021">
      <formula>LEN(TRIM(R99))=0</formula>
    </cfRule>
    <cfRule type="containsBlanks" dxfId="10503" priority="16022">
      <formula>LEN(TRIM(R99))=0</formula>
    </cfRule>
    <cfRule type="containsBlanks" dxfId="10502" priority="16023">
      <formula>LEN(TRIM(R99))=0</formula>
    </cfRule>
    <cfRule type="containsBlanks" dxfId="10501" priority="16024">
      <formula>LEN(TRIM(R99))=0</formula>
    </cfRule>
    <cfRule type="containsBlanks" dxfId="10500" priority="16025">
      <formula>LEN(TRIM(R99))=0</formula>
    </cfRule>
    <cfRule type="containsBlanks" dxfId="10499" priority="16026">
      <formula>LEN(TRIM(R99))=0</formula>
    </cfRule>
    <cfRule type="containsBlanks" dxfId="10498" priority="16027">
      <formula>LEN(TRIM(R99))=0</formula>
    </cfRule>
    <cfRule type="containsBlanks" dxfId="10497" priority="16028">
      <formula>LEN(TRIM(R99))=0</formula>
    </cfRule>
    <cfRule type="containsBlanks" dxfId="10496" priority="16029">
      <formula>LEN(TRIM(R99))=0</formula>
    </cfRule>
    <cfRule type="containsBlanks" dxfId="10495" priority="16030">
      <formula>LEN(TRIM(R99))=0</formula>
    </cfRule>
    <cfRule type="containsBlanks" dxfId="10494" priority="16031">
      <formula>LEN(TRIM(R99))=0</formula>
    </cfRule>
    <cfRule type="containsBlanks" dxfId="10493" priority="16032">
      <formula>LEN(TRIM(R99))=0</formula>
    </cfRule>
    <cfRule type="containsBlanks" dxfId="10492" priority="16033">
      <formula>LEN(TRIM(R99))=0</formula>
    </cfRule>
    <cfRule type="containsBlanks" dxfId="10491" priority="16034">
      <formula>LEN(TRIM(R99))=0</formula>
    </cfRule>
    <cfRule type="containsBlanks" dxfId="10490" priority="16035">
      <formula>LEN(TRIM(R99))=0</formula>
    </cfRule>
    <cfRule type="containsBlanks" dxfId="10489" priority="16036">
      <formula>LEN(TRIM(R99))=0</formula>
    </cfRule>
    <cfRule type="containsBlanks" dxfId="10488" priority="16037">
      <formula>LEN(TRIM(R99))=0</formula>
    </cfRule>
    <cfRule type="containsBlanks" dxfId="10487" priority="16038">
      <formula>LEN(TRIM(R99))=0</formula>
    </cfRule>
    <cfRule type="containsBlanks" dxfId="10486" priority="16039">
      <formula>LEN(TRIM(R99))=0</formula>
    </cfRule>
    <cfRule type="containsBlanks" dxfId="10485" priority="16040">
      <formula>LEN(TRIM(R99))=0</formula>
    </cfRule>
    <cfRule type="containsBlanks" dxfId="10484" priority="16041">
      <formula>LEN(TRIM(R99))=0</formula>
    </cfRule>
    <cfRule type="containsBlanks" dxfId="10483" priority="16042">
      <formula>LEN(TRIM(R99))=0</formula>
    </cfRule>
    <cfRule type="containsBlanks" dxfId="10482" priority="16043">
      <formula>LEN(TRIM(R99))=0</formula>
    </cfRule>
    <cfRule type="containsBlanks" dxfId="10481" priority="16044">
      <formula>LEN(TRIM(R99))=0</formula>
    </cfRule>
    <cfRule type="containsBlanks" dxfId="10480" priority="16045">
      <formula>LEN(TRIM(R99))=0</formula>
    </cfRule>
    <cfRule type="containsBlanks" dxfId="10479" priority="16046">
      <formula>LEN(TRIM(R99))=0</formula>
    </cfRule>
    <cfRule type="containsBlanks" dxfId="10478" priority="16047">
      <formula>LEN(TRIM(R99))=0</formula>
    </cfRule>
    <cfRule type="containsBlanks" dxfId="10477" priority="16048">
      <formula>LEN(TRIM(R99))=0</formula>
    </cfRule>
    <cfRule type="containsBlanks" dxfId="10476" priority="16049">
      <formula>LEN(TRIM(R99))=0</formula>
    </cfRule>
    <cfRule type="containsBlanks" dxfId="10475" priority="16050">
      <formula>LEN(TRIM(R99))=0</formula>
    </cfRule>
    <cfRule type="containsBlanks" dxfId="10474" priority="16051">
      <formula>LEN(TRIM(R99))=0</formula>
    </cfRule>
    <cfRule type="containsBlanks" dxfId="10473" priority="16052">
      <formula>LEN(TRIM(R99))=0</formula>
    </cfRule>
    <cfRule type="containsBlanks" dxfId="10472" priority="16053">
      <formula>LEN(TRIM(R99))=0</formula>
    </cfRule>
    <cfRule type="containsBlanks" dxfId="10471" priority="16054">
      <formula>LEN(TRIM(R99))=0</formula>
    </cfRule>
    <cfRule type="containsBlanks" dxfId="10470" priority="16055">
      <formula>LEN(TRIM(R99))=0</formula>
    </cfRule>
    <cfRule type="containsBlanks" dxfId="10469" priority="16056">
      <formula>LEN(TRIM(R99))=0</formula>
    </cfRule>
    <cfRule type="containsBlanks" dxfId="10468" priority="16057">
      <formula>LEN(TRIM(R99))=0</formula>
    </cfRule>
    <cfRule type="containsBlanks" dxfId="10467" priority="16058">
      <formula>LEN(TRIM(R99))=0</formula>
    </cfRule>
    <cfRule type="containsBlanks" dxfId="10466" priority="16059">
      <formula>LEN(TRIM(R99))=0</formula>
    </cfRule>
    <cfRule type="containsBlanks" dxfId="10465" priority="16060">
      <formula>LEN(TRIM(R99))=0</formula>
    </cfRule>
    <cfRule type="containsBlanks" dxfId="10464" priority="16061">
      <formula>LEN(TRIM(R99))=0</formula>
    </cfRule>
    <cfRule type="containsBlanks" dxfId="10463" priority="16062">
      <formula>LEN(TRIM(R99))=0</formula>
    </cfRule>
    <cfRule type="containsBlanks" dxfId="10462" priority="16063">
      <formula>LEN(TRIM(R99))=0</formula>
    </cfRule>
  </conditionalFormatting>
  <conditionalFormatting sqref="R104:S104">
    <cfRule type="containsBlanks" dxfId="10461" priority="15734">
      <formula>LEN(TRIM(R104))=0</formula>
    </cfRule>
    <cfRule type="containsBlanks" dxfId="10460" priority="15735">
      <formula>LEN(TRIM(R104))=0</formula>
    </cfRule>
    <cfRule type="containsBlanks" dxfId="10459" priority="15736">
      <formula>LEN(TRIM(R104))=0</formula>
    </cfRule>
    <cfRule type="containsBlanks" dxfId="10458" priority="15737">
      <formula>LEN(TRIM(R104))=0</formula>
    </cfRule>
    <cfRule type="containsBlanks" dxfId="10457" priority="15738">
      <formula>LEN(TRIM(R104))=0</formula>
    </cfRule>
    <cfRule type="containsBlanks" dxfId="10456" priority="15739">
      <formula>LEN(TRIM(R104))=0</formula>
    </cfRule>
    <cfRule type="containsBlanks" dxfId="10455" priority="15740">
      <formula>LEN(TRIM(R104))=0</formula>
    </cfRule>
    <cfRule type="containsBlanks" dxfId="10454" priority="15741">
      <formula>LEN(TRIM(R104))=0</formula>
    </cfRule>
    <cfRule type="containsBlanks" dxfId="10453" priority="15742">
      <formula>LEN(TRIM(R104))=0</formula>
    </cfRule>
    <cfRule type="containsBlanks" dxfId="10452" priority="15743">
      <formula>LEN(TRIM(R104))=0</formula>
    </cfRule>
    <cfRule type="containsBlanks" dxfId="10451" priority="15744">
      <formula>LEN(TRIM(R104))=0</formula>
    </cfRule>
    <cfRule type="containsBlanks" dxfId="10450" priority="15745">
      <formula>LEN(TRIM(R104))=0</formula>
    </cfRule>
    <cfRule type="containsBlanks" dxfId="10449" priority="15746">
      <formula>LEN(TRIM(R104))=0</formula>
    </cfRule>
    <cfRule type="containsBlanks" dxfId="10448" priority="15747">
      <formula>LEN(TRIM(R104))=0</formula>
    </cfRule>
    <cfRule type="containsBlanks" dxfId="10447" priority="15748">
      <formula>LEN(TRIM(R104))=0</formula>
    </cfRule>
    <cfRule type="containsBlanks" dxfId="10446" priority="15749">
      <formula>LEN(TRIM(R104))=0</formula>
    </cfRule>
    <cfRule type="containsBlanks" dxfId="10445" priority="15750">
      <formula>LEN(TRIM(R104))=0</formula>
    </cfRule>
    <cfRule type="containsBlanks" dxfId="10444" priority="15751">
      <formula>LEN(TRIM(R104))=0</formula>
    </cfRule>
    <cfRule type="containsBlanks" dxfId="10443" priority="15752">
      <formula>LEN(TRIM(R104))=0</formula>
    </cfRule>
    <cfRule type="containsBlanks" dxfId="10442" priority="15753">
      <formula>LEN(TRIM(R104))=0</formula>
    </cfRule>
    <cfRule type="containsBlanks" dxfId="10441" priority="15754">
      <formula>LEN(TRIM(R104))=0</formula>
    </cfRule>
    <cfRule type="containsBlanks" dxfId="10440" priority="15755">
      <formula>LEN(TRIM(R104))=0</formula>
    </cfRule>
    <cfRule type="containsBlanks" dxfId="10439" priority="15756">
      <formula>LEN(TRIM(R104))=0</formula>
    </cfRule>
    <cfRule type="containsBlanks" dxfId="10438" priority="15757">
      <formula>LEN(TRIM(R104))=0</formula>
    </cfRule>
    <cfRule type="containsBlanks" dxfId="10437" priority="15758">
      <formula>LEN(TRIM(R104))=0</formula>
    </cfRule>
    <cfRule type="containsBlanks" dxfId="10436" priority="15759">
      <formula>LEN(TRIM(R104))=0</formula>
    </cfRule>
    <cfRule type="containsBlanks" dxfId="10435" priority="15760">
      <formula>LEN(TRIM(R104))=0</formula>
    </cfRule>
    <cfRule type="containsBlanks" dxfId="10434" priority="15761">
      <formula>LEN(TRIM(R104))=0</formula>
    </cfRule>
    <cfRule type="containsBlanks" dxfId="10433" priority="15762">
      <formula>LEN(TRIM(R104))=0</formula>
    </cfRule>
    <cfRule type="containsBlanks" dxfId="10432" priority="15763">
      <formula>LEN(TRIM(R104))=0</formula>
    </cfRule>
    <cfRule type="containsBlanks" dxfId="10431" priority="15764">
      <formula>LEN(TRIM(R104))=0</formula>
    </cfRule>
    <cfRule type="containsBlanks" dxfId="10430" priority="15765">
      <formula>LEN(TRIM(R104))=0</formula>
    </cfRule>
    <cfRule type="containsBlanks" dxfId="10429" priority="15766">
      <formula>LEN(TRIM(R104))=0</formula>
    </cfRule>
    <cfRule type="containsBlanks" dxfId="10428" priority="15767">
      <formula>LEN(TRIM(R104))=0</formula>
    </cfRule>
    <cfRule type="containsBlanks" dxfId="10427" priority="15768">
      <formula>LEN(TRIM(R104))=0</formula>
    </cfRule>
    <cfRule type="containsBlanks" dxfId="10426" priority="15769">
      <formula>LEN(TRIM(R104))=0</formula>
    </cfRule>
    <cfRule type="containsBlanks" dxfId="10425" priority="15770">
      <formula>LEN(TRIM(R104))=0</formula>
    </cfRule>
    <cfRule type="containsBlanks" dxfId="10424" priority="15771">
      <formula>LEN(TRIM(R104))=0</formula>
    </cfRule>
    <cfRule type="containsBlanks" dxfId="10423" priority="15772">
      <formula>LEN(TRIM(R104))=0</formula>
    </cfRule>
    <cfRule type="containsBlanks" dxfId="10422" priority="15773">
      <formula>LEN(TRIM(R104))=0</formula>
    </cfRule>
    <cfRule type="containsBlanks" dxfId="10421" priority="15774">
      <formula>LEN(TRIM(R104))=0</formula>
    </cfRule>
    <cfRule type="containsBlanks" dxfId="10420" priority="15775">
      <formula>LEN(TRIM(R104))=0</formula>
    </cfRule>
    <cfRule type="containsBlanks" dxfId="10419" priority="15776">
      <formula>LEN(TRIM(R104))=0</formula>
    </cfRule>
    <cfRule type="containsBlanks" dxfId="10418" priority="15777">
      <formula>LEN(TRIM(R104))=0</formula>
    </cfRule>
    <cfRule type="containsBlanks" dxfId="10417" priority="15778">
      <formula>LEN(TRIM(R104))=0</formula>
    </cfRule>
    <cfRule type="containsBlanks" dxfId="10416" priority="15779">
      <formula>LEN(TRIM(R104))=0</formula>
    </cfRule>
    <cfRule type="containsBlanks" dxfId="10415" priority="15780">
      <formula>LEN(TRIM(R104))=0</formula>
    </cfRule>
    <cfRule type="containsBlanks" dxfId="10414" priority="15781">
      <formula>LEN(TRIM(R104))=0</formula>
    </cfRule>
    <cfRule type="containsBlanks" dxfId="10413" priority="15782">
      <formula>LEN(TRIM(R104))=0</formula>
    </cfRule>
    <cfRule type="containsBlanks" dxfId="10412" priority="15783">
      <formula>LEN(TRIM(R104))=0</formula>
    </cfRule>
    <cfRule type="containsBlanks" dxfId="10411" priority="15784">
      <formula>LEN(TRIM(R104))=0</formula>
    </cfRule>
    <cfRule type="containsBlanks" dxfId="10410" priority="15785">
      <formula>LEN(TRIM(R104))=0</formula>
    </cfRule>
    <cfRule type="containsBlanks" dxfId="10409" priority="15786">
      <formula>LEN(TRIM(R104))=0</formula>
    </cfRule>
    <cfRule type="containsBlanks" dxfId="10408" priority="15787">
      <formula>LEN(TRIM(R104))=0</formula>
    </cfRule>
    <cfRule type="containsBlanks" dxfId="10407" priority="15788">
      <formula>LEN(TRIM(R104))=0</formula>
    </cfRule>
    <cfRule type="containsBlanks" dxfId="10406" priority="15789">
      <formula>LEN(TRIM(R104))=0</formula>
    </cfRule>
    <cfRule type="containsBlanks" dxfId="10405" priority="15790">
      <formula>LEN(TRIM(R104))=0</formula>
    </cfRule>
    <cfRule type="containsBlanks" dxfId="10404" priority="15791">
      <formula>LEN(TRIM(R104))=0</formula>
    </cfRule>
    <cfRule type="containsBlanks" dxfId="10403" priority="15792">
      <formula>LEN(TRIM(R104))=0</formula>
    </cfRule>
    <cfRule type="containsBlanks" dxfId="10402" priority="15793">
      <formula>LEN(TRIM(R104))=0</formula>
    </cfRule>
    <cfRule type="containsBlanks" dxfId="10401" priority="15794">
      <formula>LEN(TRIM(R104))=0</formula>
    </cfRule>
    <cfRule type="containsBlanks" dxfId="10400" priority="15795">
      <formula>LEN(TRIM(R104))=0</formula>
    </cfRule>
    <cfRule type="containsBlanks" dxfId="10399" priority="15796">
      <formula>LEN(TRIM(R104))=0</formula>
    </cfRule>
    <cfRule type="containsBlanks" dxfId="10398" priority="15797">
      <formula>LEN(TRIM(R104))=0</formula>
    </cfRule>
    <cfRule type="containsBlanks" dxfId="10397" priority="15798">
      <formula>LEN(TRIM(R104))=0</formula>
    </cfRule>
    <cfRule type="containsBlanks" dxfId="10396" priority="15799">
      <formula>LEN(TRIM(R104))=0</formula>
    </cfRule>
    <cfRule type="containsBlanks" dxfId="10395" priority="15800">
      <formula>LEN(TRIM(R104))=0</formula>
    </cfRule>
    <cfRule type="containsBlanks" dxfId="10394" priority="15801">
      <formula>LEN(TRIM(R104))=0</formula>
    </cfRule>
    <cfRule type="containsBlanks" dxfId="10393" priority="15802">
      <formula>LEN(TRIM(R104))=0</formula>
    </cfRule>
    <cfRule type="containsBlanks" dxfId="10392" priority="15803">
      <formula>LEN(TRIM(R104))=0</formula>
    </cfRule>
    <cfRule type="containsBlanks" dxfId="10391" priority="15804">
      <formula>LEN(TRIM(R104))=0</formula>
    </cfRule>
    <cfRule type="containsBlanks" dxfId="10390" priority="15805">
      <formula>LEN(TRIM(R104))=0</formula>
    </cfRule>
    <cfRule type="containsBlanks" dxfId="10389" priority="15806">
      <formula>LEN(TRIM(R104))=0</formula>
    </cfRule>
    <cfRule type="containsBlanks" dxfId="10388" priority="15807">
      <formula>LEN(TRIM(R104))=0</formula>
    </cfRule>
    <cfRule type="containsBlanks" dxfId="10387" priority="15808">
      <formula>LEN(TRIM(R104))=0</formula>
    </cfRule>
    <cfRule type="containsBlanks" dxfId="10386" priority="15809">
      <formula>LEN(TRIM(R104))=0</formula>
    </cfRule>
    <cfRule type="containsBlanks" dxfId="10385" priority="15810">
      <formula>LEN(TRIM(R104))=0</formula>
    </cfRule>
    <cfRule type="containsBlanks" dxfId="10384" priority="15811">
      <formula>LEN(TRIM(R104))=0</formula>
    </cfRule>
    <cfRule type="containsBlanks" dxfId="10383" priority="15812">
      <formula>LEN(TRIM(R104))=0</formula>
    </cfRule>
    <cfRule type="containsBlanks" dxfId="10382" priority="15813">
      <formula>LEN(TRIM(R104))=0</formula>
    </cfRule>
    <cfRule type="containsBlanks" dxfId="10381" priority="15814">
      <formula>LEN(TRIM(R104))=0</formula>
    </cfRule>
    <cfRule type="containsBlanks" dxfId="10380" priority="15815">
      <formula>LEN(TRIM(R104))=0</formula>
    </cfRule>
    <cfRule type="containsBlanks" dxfId="10379" priority="15816">
      <formula>LEN(TRIM(R104))=0</formula>
    </cfRule>
    <cfRule type="containsBlanks" dxfId="10378" priority="15817">
      <formula>LEN(TRIM(R104))=0</formula>
    </cfRule>
    <cfRule type="containsBlanks" dxfId="10377" priority="15818">
      <formula>LEN(TRIM(R104))=0</formula>
    </cfRule>
    <cfRule type="containsBlanks" dxfId="10376" priority="15819">
      <formula>LEN(TRIM(R104))=0</formula>
    </cfRule>
    <cfRule type="containsBlanks" dxfId="10375" priority="15820">
      <formula>LEN(TRIM(R104))=0</formula>
    </cfRule>
    <cfRule type="containsBlanks" dxfId="10374" priority="15821">
      <formula>LEN(TRIM(R104))=0</formula>
    </cfRule>
    <cfRule type="containsBlanks" dxfId="10373" priority="15822">
      <formula>LEN(TRIM(R104))=0</formula>
    </cfRule>
    <cfRule type="containsBlanks" dxfId="10372" priority="15823">
      <formula>LEN(TRIM(R104))=0</formula>
    </cfRule>
    <cfRule type="containsBlanks" dxfId="10371" priority="15824">
      <formula>LEN(TRIM(R104))=0</formula>
    </cfRule>
    <cfRule type="containsBlanks" dxfId="10370" priority="15825">
      <formula>LEN(TRIM(R104))=0</formula>
    </cfRule>
    <cfRule type="containsBlanks" dxfId="10369" priority="15826">
      <formula>LEN(TRIM(R104))=0</formula>
    </cfRule>
    <cfRule type="containsBlanks" dxfId="10368" priority="15827">
      <formula>LEN(TRIM(R104))=0</formula>
    </cfRule>
    <cfRule type="containsBlanks" dxfId="10367" priority="15828">
      <formula>LEN(TRIM(R104))=0</formula>
    </cfRule>
    <cfRule type="containsBlanks" dxfId="10366" priority="15829">
      <formula>LEN(TRIM(R104))=0</formula>
    </cfRule>
    <cfRule type="containsBlanks" dxfId="10365" priority="15830">
      <formula>LEN(TRIM(R104))=0</formula>
    </cfRule>
    <cfRule type="containsBlanks" dxfId="10364" priority="15831">
      <formula>LEN(TRIM(R104))=0</formula>
    </cfRule>
    <cfRule type="containsBlanks" dxfId="10363" priority="15832">
      <formula>LEN(TRIM(R104))=0</formula>
    </cfRule>
    <cfRule type="containsBlanks" dxfId="10362" priority="15833">
      <formula>LEN(TRIM(R104))=0</formula>
    </cfRule>
    <cfRule type="containsBlanks" dxfId="10361" priority="15834">
      <formula>LEN(TRIM(R104))=0</formula>
    </cfRule>
    <cfRule type="containsBlanks" dxfId="10360" priority="15835">
      <formula>LEN(TRIM(R104))=0</formula>
    </cfRule>
    <cfRule type="containsBlanks" dxfId="10359" priority="15836">
      <formula>LEN(TRIM(R104))=0</formula>
    </cfRule>
    <cfRule type="containsBlanks" dxfId="10358" priority="15837">
      <formula>LEN(TRIM(R104))=0</formula>
    </cfRule>
    <cfRule type="containsBlanks" dxfId="10357" priority="15838">
      <formula>LEN(TRIM(R104))=0</formula>
    </cfRule>
    <cfRule type="containsBlanks" dxfId="10356" priority="15839">
      <formula>LEN(TRIM(R104))=0</formula>
    </cfRule>
    <cfRule type="containsBlanks" dxfId="10355" priority="15840">
      <formula>LEN(TRIM(R104))=0</formula>
    </cfRule>
    <cfRule type="containsBlanks" dxfId="10354" priority="15841">
      <formula>LEN(TRIM(R104))=0</formula>
    </cfRule>
    <cfRule type="containsBlanks" dxfId="10353" priority="15842">
      <formula>LEN(TRIM(R104))=0</formula>
    </cfRule>
    <cfRule type="containsBlanks" dxfId="10352" priority="15843">
      <formula>LEN(TRIM(R104))=0</formula>
    </cfRule>
    <cfRule type="containsBlanks" dxfId="10351" priority="15844">
      <formula>LEN(TRIM(R104))=0</formula>
    </cfRule>
    <cfRule type="containsBlanks" dxfId="10350" priority="15845">
      <formula>LEN(TRIM(R104))=0</formula>
    </cfRule>
    <cfRule type="containsBlanks" dxfId="10349" priority="15846">
      <formula>LEN(TRIM(R104))=0</formula>
    </cfRule>
    <cfRule type="containsBlanks" dxfId="10348" priority="15847">
      <formula>LEN(TRIM(R104))=0</formula>
    </cfRule>
    <cfRule type="containsBlanks" dxfId="10347" priority="15848">
      <formula>LEN(TRIM(R104))=0</formula>
    </cfRule>
    <cfRule type="containsBlanks" dxfId="10346" priority="15849">
      <formula>LEN(TRIM(R104))=0</formula>
    </cfRule>
    <cfRule type="containsBlanks" dxfId="10345" priority="15850">
      <formula>LEN(TRIM(R104))=0</formula>
    </cfRule>
    <cfRule type="containsBlanks" dxfId="10344" priority="15851">
      <formula>LEN(TRIM(R104))=0</formula>
    </cfRule>
    <cfRule type="containsBlanks" dxfId="10343" priority="15852">
      <formula>LEN(TRIM(R104))=0</formula>
    </cfRule>
    <cfRule type="containsBlanks" dxfId="10342" priority="15853">
      <formula>LEN(TRIM(R104))=0</formula>
    </cfRule>
    <cfRule type="containsBlanks" dxfId="10341" priority="15854">
      <formula>LEN(TRIM(R104))=0</formula>
    </cfRule>
    <cfRule type="containsBlanks" dxfId="10340" priority="15855">
      <formula>LEN(TRIM(R104))=0</formula>
    </cfRule>
    <cfRule type="containsBlanks" dxfId="10339" priority="15856">
      <formula>LEN(TRIM(R104))=0</formula>
    </cfRule>
    <cfRule type="containsBlanks" dxfId="10338" priority="15857">
      <formula>LEN(TRIM(R104))=0</formula>
    </cfRule>
    <cfRule type="containsBlanks" dxfId="10337" priority="15858">
      <formula>LEN(TRIM(R104))=0</formula>
    </cfRule>
    <cfRule type="containsBlanks" dxfId="10336" priority="15859">
      <formula>LEN(TRIM(R104))=0</formula>
    </cfRule>
    <cfRule type="containsBlanks" dxfId="10335" priority="15860">
      <formula>LEN(TRIM(R104))=0</formula>
    </cfRule>
    <cfRule type="containsBlanks" dxfId="10334" priority="15861">
      <formula>LEN(TRIM(R104))=0</formula>
    </cfRule>
    <cfRule type="containsBlanks" dxfId="10333" priority="15862">
      <formula>LEN(TRIM(R104))=0</formula>
    </cfRule>
    <cfRule type="containsBlanks" dxfId="10332" priority="15863">
      <formula>LEN(TRIM(R104))=0</formula>
    </cfRule>
    <cfRule type="containsBlanks" dxfId="10331" priority="15864">
      <formula>LEN(TRIM(R104))=0</formula>
    </cfRule>
    <cfRule type="containsBlanks" dxfId="10330" priority="15865">
      <formula>LEN(TRIM(R104))=0</formula>
    </cfRule>
    <cfRule type="containsBlanks" dxfId="10329" priority="15866">
      <formula>LEN(TRIM(R104))=0</formula>
    </cfRule>
    <cfRule type="containsBlanks" dxfId="10328" priority="15867">
      <formula>LEN(TRIM(R104))=0</formula>
    </cfRule>
    <cfRule type="containsBlanks" dxfId="10327" priority="15868">
      <formula>LEN(TRIM(R104))=0</formula>
    </cfRule>
    <cfRule type="containsBlanks" dxfId="10326" priority="15869">
      <formula>LEN(TRIM(R104))=0</formula>
    </cfRule>
    <cfRule type="containsBlanks" dxfId="10325" priority="15870">
      <formula>LEN(TRIM(R104))=0</formula>
    </cfRule>
    <cfRule type="containsBlanks" dxfId="10324" priority="15871">
      <formula>LEN(TRIM(R104))=0</formula>
    </cfRule>
    <cfRule type="containsBlanks" dxfId="10323" priority="15872">
      <formula>LEN(TRIM(R104))=0</formula>
    </cfRule>
    <cfRule type="containsBlanks" dxfId="10322" priority="15873">
      <formula>LEN(TRIM(R104))=0</formula>
    </cfRule>
    <cfRule type="containsBlanks" dxfId="10321" priority="15874">
      <formula>LEN(TRIM(R104))=0</formula>
    </cfRule>
    <cfRule type="containsBlanks" dxfId="10320" priority="15875">
      <formula>LEN(TRIM(R104))=0</formula>
    </cfRule>
    <cfRule type="containsBlanks" dxfId="10319" priority="15876">
      <formula>LEN(TRIM(R104))=0</formula>
    </cfRule>
    <cfRule type="containsBlanks" dxfId="10318" priority="15877">
      <formula>LEN(TRIM(R104))=0</formula>
    </cfRule>
    <cfRule type="containsBlanks" dxfId="10317" priority="15878">
      <formula>LEN(TRIM(R104))=0</formula>
    </cfRule>
    <cfRule type="containsBlanks" dxfId="10316" priority="15879">
      <formula>LEN(TRIM(R104))=0</formula>
    </cfRule>
    <cfRule type="containsBlanks" dxfId="10315" priority="15880">
      <formula>LEN(TRIM(R104))=0</formula>
    </cfRule>
    <cfRule type="containsBlanks" dxfId="10314" priority="15881">
      <formula>LEN(TRIM(R104))=0</formula>
    </cfRule>
    <cfRule type="containsBlanks" dxfId="10313" priority="15882">
      <formula>LEN(TRIM(R104))=0</formula>
    </cfRule>
    <cfRule type="containsBlanks" dxfId="10312" priority="15883">
      <formula>LEN(TRIM(R104))=0</formula>
    </cfRule>
    <cfRule type="containsBlanks" dxfId="10311" priority="15884">
      <formula>LEN(TRIM(R104))=0</formula>
    </cfRule>
    <cfRule type="containsBlanks" dxfId="10310" priority="15885">
      <formula>LEN(TRIM(R104))=0</formula>
    </cfRule>
    <cfRule type="containsBlanks" dxfId="10309" priority="15886">
      <formula>LEN(TRIM(R104))=0</formula>
    </cfRule>
    <cfRule type="containsBlanks" dxfId="10308" priority="15887">
      <formula>LEN(TRIM(R104))=0</formula>
    </cfRule>
    <cfRule type="containsBlanks" dxfId="10307" priority="15888">
      <formula>LEN(TRIM(R104))=0</formula>
    </cfRule>
    <cfRule type="containsBlanks" dxfId="10306" priority="15889">
      <formula>LEN(TRIM(R104))=0</formula>
    </cfRule>
    <cfRule type="containsBlanks" dxfId="10305" priority="15890">
      <formula>LEN(TRIM(R104))=0</formula>
    </cfRule>
    <cfRule type="containsBlanks" dxfId="10304" priority="15891">
      <formula>LEN(TRIM(R104))=0</formula>
    </cfRule>
    <cfRule type="containsBlanks" dxfId="10303" priority="15892">
      <formula>LEN(TRIM(R104))=0</formula>
    </cfRule>
    <cfRule type="containsBlanks" dxfId="10302" priority="15893">
      <formula>LEN(TRIM(R104))=0</formula>
    </cfRule>
    <cfRule type="containsBlanks" dxfId="10301" priority="15894">
      <formula>LEN(TRIM(R104))=0</formula>
    </cfRule>
    <cfRule type="containsBlanks" dxfId="10300" priority="15895">
      <formula>LEN(TRIM(R104))=0</formula>
    </cfRule>
    <cfRule type="containsBlanks" dxfId="10299" priority="15896">
      <formula>LEN(TRIM(R104))=0</formula>
    </cfRule>
    <cfRule type="containsBlanks" dxfId="10298" priority="15897">
      <formula>LEN(TRIM(R104))=0</formula>
    </cfRule>
    <cfRule type="containsBlanks" dxfId="10297" priority="15898">
      <formula>LEN(TRIM(R104))=0</formula>
    </cfRule>
    <cfRule type="containsBlanks" dxfId="10296" priority="15899">
      <formula>LEN(TRIM(R104))=0</formula>
    </cfRule>
    <cfRule type="containsBlanks" dxfId="10295" priority="15900">
      <formula>LEN(TRIM(R104))=0</formula>
    </cfRule>
    <cfRule type="containsBlanks" dxfId="10294" priority="15901">
      <formula>LEN(TRIM(R104))=0</formula>
    </cfRule>
    <cfRule type="containsBlanks" dxfId="10293" priority="15902">
      <formula>LEN(TRIM(R104))=0</formula>
    </cfRule>
    <cfRule type="containsBlanks" dxfId="10292" priority="15903">
      <formula>LEN(TRIM(R104))=0</formula>
    </cfRule>
    <cfRule type="containsBlanks" dxfId="10291" priority="15904">
      <formula>LEN(TRIM(R104))=0</formula>
    </cfRule>
    <cfRule type="containsBlanks" dxfId="10290" priority="15905">
      <formula>LEN(TRIM(R104))=0</formula>
    </cfRule>
    <cfRule type="containsBlanks" dxfId="10289" priority="15906">
      <formula>LEN(TRIM(R104))=0</formula>
    </cfRule>
    <cfRule type="containsBlanks" dxfId="10288" priority="15907">
      <formula>LEN(TRIM(R104))=0</formula>
    </cfRule>
    <cfRule type="containsBlanks" dxfId="10287" priority="15908">
      <formula>LEN(TRIM(R104))=0</formula>
    </cfRule>
    <cfRule type="containsBlanks" dxfId="10286" priority="15909">
      <formula>LEN(TRIM(R104))=0</formula>
    </cfRule>
    <cfRule type="containsBlanks" dxfId="10285" priority="15910">
      <formula>LEN(TRIM(R104))=0</formula>
    </cfRule>
    <cfRule type="containsBlanks" dxfId="10284" priority="15911">
      <formula>LEN(TRIM(R104))=0</formula>
    </cfRule>
    <cfRule type="containsBlanks" dxfId="10283" priority="15912">
      <formula>LEN(TRIM(R104))=0</formula>
    </cfRule>
    <cfRule type="containsBlanks" dxfId="10282" priority="15913">
      <formula>LEN(TRIM(R104))=0</formula>
    </cfRule>
    <cfRule type="containsBlanks" dxfId="10281" priority="15914">
      <formula>LEN(TRIM(R104))=0</formula>
    </cfRule>
    <cfRule type="containsBlanks" dxfId="10280" priority="15915">
      <formula>LEN(TRIM(R104))=0</formula>
    </cfRule>
    <cfRule type="containsBlanks" dxfId="10279" priority="15916">
      <formula>LEN(TRIM(R104))=0</formula>
    </cfRule>
    <cfRule type="containsBlanks" dxfId="10278" priority="15917">
      <formula>LEN(TRIM(R104))=0</formula>
    </cfRule>
    <cfRule type="containsBlanks" dxfId="10277" priority="15918">
      <formula>LEN(TRIM(R104))=0</formula>
    </cfRule>
    <cfRule type="containsBlanks" dxfId="10276" priority="15919">
      <formula>LEN(TRIM(R104))=0</formula>
    </cfRule>
    <cfRule type="containsBlanks" dxfId="10275" priority="15920">
      <formula>LEN(TRIM(R104))=0</formula>
    </cfRule>
    <cfRule type="containsBlanks" dxfId="10274" priority="15921">
      <formula>LEN(TRIM(R104))=0</formula>
    </cfRule>
    <cfRule type="containsBlanks" dxfId="10273" priority="15922">
      <formula>LEN(TRIM(R104))=0</formula>
    </cfRule>
    <cfRule type="containsBlanks" dxfId="10272" priority="15923">
      <formula>LEN(TRIM(R104))=0</formula>
    </cfRule>
    <cfRule type="containsBlanks" dxfId="10271" priority="15924">
      <formula>LEN(TRIM(R104))=0</formula>
    </cfRule>
    <cfRule type="containsBlanks" dxfId="10270" priority="15925">
      <formula>LEN(TRIM(R104))=0</formula>
    </cfRule>
    <cfRule type="containsBlanks" dxfId="10269" priority="15926">
      <formula>LEN(TRIM(R104))=0</formula>
    </cfRule>
    <cfRule type="containsBlanks" dxfId="10268" priority="15927">
      <formula>LEN(TRIM(R104))=0</formula>
    </cfRule>
    <cfRule type="containsBlanks" dxfId="10267" priority="15928">
      <formula>LEN(TRIM(R104))=0</formula>
    </cfRule>
    <cfRule type="containsBlanks" dxfId="10266" priority="15929">
      <formula>LEN(TRIM(R104))=0</formula>
    </cfRule>
    <cfRule type="containsBlanks" dxfId="10265" priority="15930">
      <formula>LEN(TRIM(R104))=0</formula>
    </cfRule>
    <cfRule type="containsBlanks" dxfId="10264" priority="15931">
      <formula>LEN(TRIM(R104))=0</formula>
    </cfRule>
    <cfRule type="containsBlanks" dxfId="10263" priority="15932">
      <formula>LEN(TRIM(R104))=0</formula>
    </cfRule>
    <cfRule type="containsBlanks" dxfId="10262" priority="15933">
      <formula>LEN(TRIM(R104))=0</formula>
    </cfRule>
    <cfRule type="containsBlanks" dxfId="10261" priority="15934">
      <formula>LEN(TRIM(R104))=0</formula>
    </cfRule>
    <cfRule type="containsBlanks" dxfId="10260" priority="15935">
      <formula>LEN(TRIM(R104))=0</formula>
    </cfRule>
    <cfRule type="containsBlanks" dxfId="10259" priority="15936">
      <formula>LEN(TRIM(R104))=0</formula>
    </cfRule>
    <cfRule type="containsBlanks" dxfId="10258" priority="15937">
      <formula>LEN(TRIM(R104))=0</formula>
    </cfRule>
    <cfRule type="containsBlanks" dxfId="10257" priority="15938">
      <formula>LEN(TRIM(R104))=0</formula>
    </cfRule>
    <cfRule type="containsBlanks" dxfId="10256" priority="15939">
      <formula>LEN(TRIM(R104))=0</formula>
    </cfRule>
    <cfRule type="containsBlanks" dxfId="10255" priority="15940">
      <formula>LEN(TRIM(R104))=0</formula>
    </cfRule>
    <cfRule type="containsBlanks" dxfId="10254" priority="15941">
      <formula>LEN(TRIM(R104))=0</formula>
    </cfRule>
    <cfRule type="containsBlanks" dxfId="10253" priority="15942">
      <formula>LEN(TRIM(R104))=0</formula>
    </cfRule>
    <cfRule type="containsBlanks" dxfId="10252" priority="15943">
      <formula>LEN(TRIM(R104))=0</formula>
    </cfRule>
    <cfRule type="containsBlanks" dxfId="10251" priority="15944">
      <formula>LEN(TRIM(R104))=0</formula>
    </cfRule>
    <cfRule type="containsBlanks" dxfId="10250" priority="15945">
      <formula>LEN(TRIM(R104))=0</formula>
    </cfRule>
    <cfRule type="containsBlanks" dxfId="10249" priority="15946">
      <formula>LEN(TRIM(R104))=0</formula>
    </cfRule>
    <cfRule type="containsBlanks" dxfId="10248" priority="15947">
      <formula>LEN(TRIM(R104))=0</formula>
    </cfRule>
    <cfRule type="containsBlanks" dxfId="10247" priority="15948">
      <formula>LEN(TRIM(R104))=0</formula>
    </cfRule>
    <cfRule type="containsBlanks" dxfId="10246" priority="15949">
      <formula>LEN(TRIM(R104))=0</formula>
    </cfRule>
    <cfRule type="containsBlanks" dxfId="10245" priority="15950">
      <formula>LEN(TRIM(R104))=0</formula>
    </cfRule>
    <cfRule type="containsBlanks" dxfId="10244" priority="15951">
      <formula>LEN(TRIM(R104))=0</formula>
    </cfRule>
    <cfRule type="containsBlanks" dxfId="10243" priority="15952">
      <formula>LEN(TRIM(R104))=0</formula>
    </cfRule>
    <cfRule type="containsBlanks" dxfId="10242" priority="15953">
      <formula>LEN(TRIM(R104))=0</formula>
    </cfRule>
    <cfRule type="containsBlanks" dxfId="10241" priority="15954">
      <formula>LEN(TRIM(R104))=0</formula>
    </cfRule>
    <cfRule type="containsBlanks" dxfId="10240" priority="15955">
      <formula>LEN(TRIM(R104))=0</formula>
    </cfRule>
    <cfRule type="containsBlanks" dxfId="10239" priority="15956">
      <formula>LEN(TRIM(R104))=0</formula>
    </cfRule>
    <cfRule type="containsBlanks" dxfId="10238" priority="15957">
      <formula>LEN(TRIM(R104))=0</formula>
    </cfRule>
    <cfRule type="containsBlanks" dxfId="10237" priority="15958">
      <formula>LEN(TRIM(R104))=0</formula>
    </cfRule>
    <cfRule type="containsBlanks" dxfId="10236" priority="15959">
      <formula>LEN(TRIM(R104))=0</formula>
    </cfRule>
    <cfRule type="containsBlanks" dxfId="10235" priority="15960">
      <formula>LEN(TRIM(R104))=0</formula>
    </cfRule>
    <cfRule type="containsBlanks" dxfId="10234" priority="15961">
      <formula>LEN(TRIM(R104))=0</formula>
    </cfRule>
    <cfRule type="containsBlanks" dxfId="10233" priority="15962">
      <formula>LEN(TRIM(R104))=0</formula>
    </cfRule>
    <cfRule type="containsBlanks" dxfId="10232" priority="15963">
      <formula>LEN(TRIM(R104))=0</formula>
    </cfRule>
    <cfRule type="containsBlanks" dxfId="10231" priority="15964">
      <formula>LEN(TRIM(R104))=0</formula>
    </cfRule>
    <cfRule type="containsBlanks" dxfId="10230" priority="15965">
      <formula>LEN(TRIM(R104))=0</formula>
    </cfRule>
    <cfRule type="containsBlanks" dxfId="10229" priority="15966">
      <formula>LEN(TRIM(R104))=0</formula>
    </cfRule>
    <cfRule type="containsBlanks" dxfId="10228" priority="15967">
      <formula>LEN(TRIM(R104))=0</formula>
    </cfRule>
    <cfRule type="containsBlanks" dxfId="10227" priority="15968">
      <formula>LEN(TRIM(R104))=0</formula>
    </cfRule>
    <cfRule type="containsBlanks" dxfId="10226" priority="15969">
      <formula>LEN(TRIM(R104))=0</formula>
    </cfRule>
    <cfRule type="containsBlanks" dxfId="10225" priority="15970">
      <formula>LEN(TRIM(R104))=0</formula>
    </cfRule>
    <cfRule type="containsBlanks" dxfId="10224" priority="15971">
      <formula>LEN(TRIM(R104))=0</formula>
    </cfRule>
    <cfRule type="containsBlanks" dxfId="10223" priority="15972">
      <formula>LEN(TRIM(R104))=0</formula>
    </cfRule>
    <cfRule type="containsBlanks" dxfId="10222" priority="15973">
      <formula>LEN(TRIM(R104))=0</formula>
    </cfRule>
    <cfRule type="containsBlanks" dxfId="10221" priority="15974">
      <formula>LEN(TRIM(R104))=0</formula>
    </cfRule>
    <cfRule type="containsBlanks" dxfId="10220" priority="15975">
      <formula>LEN(TRIM(R104))=0</formula>
    </cfRule>
    <cfRule type="containsBlanks" dxfId="10219" priority="15976">
      <formula>LEN(TRIM(R104))=0</formula>
    </cfRule>
    <cfRule type="containsBlanks" dxfId="10218" priority="15977">
      <formula>LEN(TRIM(R104))=0</formula>
    </cfRule>
    <cfRule type="containsBlanks" dxfId="10217" priority="15978">
      <formula>LEN(TRIM(R104))=0</formula>
    </cfRule>
    <cfRule type="containsBlanks" dxfId="10216" priority="15979">
      <formula>LEN(TRIM(R104))=0</formula>
    </cfRule>
    <cfRule type="containsBlanks" dxfId="10215" priority="15980">
      <formula>LEN(TRIM(R104))=0</formula>
    </cfRule>
    <cfRule type="containsBlanks" dxfId="10214" priority="15981">
      <formula>LEN(TRIM(R104))=0</formula>
    </cfRule>
    <cfRule type="containsBlanks" dxfId="10213" priority="15982">
      <formula>LEN(TRIM(R104))=0</formula>
    </cfRule>
    <cfRule type="containsBlanks" dxfId="10212" priority="15983">
      <formula>LEN(TRIM(R104))=0</formula>
    </cfRule>
    <cfRule type="containsBlanks" dxfId="10211" priority="15984">
      <formula>LEN(TRIM(R104))=0</formula>
    </cfRule>
    <cfRule type="containsBlanks" dxfId="10210" priority="15985">
      <formula>LEN(TRIM(R104))=0</formula>
    </cfRule>
    <cfRule type="containsBlanks" dxfId="10209" priority="15986">
      <formula>LEN(TRIM(R104))=0</formula>
    </cfRule>
    <cfRule type="containsBlanks" dxfId="10208" priority="15987">
      <formula>LEN(TRIM(R104))=0</formula>
    </cfRule>
    <cfRule type="containsBlanks" dxfId="10207" priority="15988">
      <formula>LEN(TRIM(R104))=0</formula>
    </cfRule>
    <cfRule type="containsBlanks" dxfId="10206" priority="15989">
      <formula>LEN(TRIM(R104))=0</formula>
    </cfRule>
    <cfRule type="containsBlanks" dxfId="10205" priority="15990">
      <formula>LEN(TRIM(R104))=0</formula>
    </cfRule>
    <cfRule type="containsBlanks" dxfId="10204" priority="15991">
      <formula>LEN(TRIM(R104))=0</formula>
    </cfRule>
    <cfRule type="containsBlanks" dxfId="10203" priority="15992">
      <formula>LEN(TRIM(R104))=0</formula>
    </cfRule>
    <cfRule type="containsBlanks" dxfId="10202" priority="15993">
      <formula>LEN(TRIM(R104))=0</formula>
    </cfRule>
    <cfRule type="containsBlanks" dxfId="10201" priority="15994">
      <formula>LEN(TRIM(R104))=0</formula>
    </cfRule>
    <cfRule type="containsBlanks" dxfId="10200" priority="15995">
      <formula>LEN(TRIM(R104))=0</formula>
    </cfRule>
    <cfRule type="containsBlanks" dxfId="10199" priority="15996">
      <formula>LEN(TRIM(R104))=0</formula>
    </cfRule>
    <cfRule type="containsBlanks" dxfId="10198" priority="15997">
      <formula>LEN(TRIM(R104))=0</formula>
    </cfRule>
    <cfRule type="containsBlanks" dxfId="10197" priority="15998">
      <formula>LEN(TRIM(R104))=0</formula>
    </cfRule>
    <cfRule type="containsBlanks" dxfId="10196" priority="15999">
      <formula>LEN(TRIM(R104))=0</formula>
    </cfRule>
    <cfRule type="containsBlanks" dxfId="10195" priority="16000">
      <formula>LEN(TRIM(R104))=0</formula>
    </cfRule>
    <cfRule type="containsBlanks" dxfId="10194" priority="16001">
      <formula>LEN(TRIM(R104))=0</formula>
    </cfRule>
    <cfRule type="containsBlanks" dxfId="10193" priority="16002">
      <formula>LEN(TRIM(R104))=0</formula>
    </cfRule>
    <cfRule type="containsBlanks" dxfId="10192" priority="16003">
      <formula>LEN(TRIM(R104))=0</formula>
    </cfRule>
    <cfRule type="containsBlanks" dxfId="10191" priority="16004">
      <formula>LEN(TRIM(R104))=0</formula>
    </cfRule>
    <cfRule type="containsBlanks" dxfId="10190" priority="16005">
      <formula>LEN(TRIM(R104))=0</formula>
    </cfRule>
    <cfRule type="containsBlanks" dxfId="10189" priority="16006">
      <formula>LEN(TRIM(R104))=0</formula>
    </cfRule>
    <cfRule type="containsBlanks" dxfId="10188" priority="16007">
      <formula>LEN(TRIM(R104))=0</formula>
    </cfRule>
    <cfRule type="containsBlanks" dxfId="10187" priority="16008">
      <formula>LEN(TRIM(R104))=0</formula>
    </cfRule>
    <cfRule type="containsBlanks" dxfId="10186" priority="16009">
      <formula>LEN(TRIM(R104))=0</formula>
    </cfRule>
  </conditionalFormatting>
  <conditionalFormatting sqref="R107:S107">
    <cfRule type="containsBlanks" dxfId="10185" priority="15458">
      <formula>LEN(TRIM(R107))=0</formula>
    </cfRule>
    <cfRule type="containsBlanks" dxfId="10184" priority="15459">
      <formula>LEN(TRIM(R107))=0</formula>
    </cfRule>
    <cfRule type="containsBlanks" dxfId="10183" priority="15460">
      <formula>LEN(TRIM(R107))=0</formula>
    </cfRule>
    <cfRule type="containsBlanks" dxfId="10182" priority="15461">
      <formula>LEN(TRIM(R107))=0</formula>
    </cfRule>
    <cfRule type="containsBlanks" dxfId="10181" priority="15462">
      <formula>LEN(TRIM(R107))=0</formula>
    </cfRule>
    <cfRule type="containsBlanks" dxfId="10180" priority="15463">
      <formula>LEN(TRIM(R107))=0</formula>
    </cfRule>
    <cfRule type="containsBlanks" dxfId="10179" priority="15464">
      <formula>LEN(TRIM(R107))=0</formula>
    </cfRule>
    <cfRule type="containsBlanks" dxfId="10178" priority="15465">
      <formula>LEN(TRIM(R107))=0</formula>
    </cfRule>
    <cfRule type="containsBlanks" dxfId="10177" priority="15466">
      <formula>LEN(TRIM(R107))=0</formula>
    </cfRule>
    <cfRule type="containsBlanks" dxfId="10176" priority="15467">
      <formula>LEN(TRIM(R107))=0</formula>
    </cfRule>
    <cfRule type="containsBlanks" dxfId="10175" priority="15468">
      <formula>LEN(TRIM(R107))=0</formula>
    </cfRule>
    <cfRule type="containsBlanks" dxfId="10174" priority="15469">
      <formula>LEN(TRIM(R107))=0</formula>
    </cfRule>
    <cfRule type="containsBlanks" dxfId="10173" priority="15470">
      <formula>LEN(TRIM(R107))=0</formula>
    </cfRule>
    <cfRule type="containsBlanks" dxfId="10172" priority="15471">
      <formula>LEN(TRIM(R107))=0</formula>
    </cfRule>
    <cfRule type="containsBlanks" dxfId="10171" priority="15472">
      <formula>LEN(TRIM(R107))=0</formula>
    </cfRule>
    <cfRule type="containsBlanks" dxfId="10170" priority="15473">
      <formula>LEN(TRIM(R107))=0</formula>
    </cfRule>
    <cfRule type="containsBlanks" dxfId="10169" priority="15474">
      <formula>LEN(TRIM(R107))=0</formula>
    </cfRule>
    <cfRule type="containsBlanks" dxfId="10168" priority="15475">
      <formula>LEN(TRIM(R107))=0</formula>
    </cfRule>
    <cfRule type="containsBlanks" dxfId="10167" priority="15476">
      <formula>LEN(TRIM(R107))=0</formula>
    </cfRule>
    <cfRule type="containsBlanks" dxfId="10166" priority="15477">
      <formula>LEN(TRIM(R107))=0</formula>
    </cfRule>
    <cfRule type="containsBlanks" dxfId="10165" priority="15478">
      <formula>LEN(TRIM(R107))=0</formula>
    </cfRule>
    <cfRule type="containsBlanks" dxfId="10164" priority="15479">
      <formula>LEN(TRIM(R107))=0</formula>
    </cfRule>
    <cfRule type="containsBlanks" dxfId="10163" priority="15480">
      <formula>LEN(TRIM(R107))=0</formula>
    </cfRule>
    <cfRule type="containsBlanks" dxfId="10162" priority="15481">
      <formula>LEN(TRIM(R107))=0</formula>
    </cfRule>
    <cfRule type="containsBlanks" dxfId="10161" priority="15482">
      <formula>LEN(TRIM(R107))=0</formula>
    </cfRule>
    <cfRule type="containsBlanks" dxfId="10160" priority="15483">
      <formula>LEN(TRIM(R107))=0</formula>
    </cfRule>
    <cfRule type="containsBlanks" dxfId="10159" priority="15484">
      <formula>LEN(TRIM(R107))=0</formula>
    </cfRule>
    <cfRule type="containsBlanks" dxfId="10158" priority="15485">
      <formula>LEN(TRIM(R107))=0</formula>
    </cfRule>
    <cfRule type="containsBlanks" dxfId="10157" priority="15486">
      <formula>LEN(TRIM(R107))=0</formula>
    </cfRule>
    <cfRule type="containsBlanks" dxfId="10156" priority="15487">
      <formula>LEN(TRIM(R107))=0</formula>
    </cfRule>
    <cfRule type="containsBlanks" dxfId="10155" priority="15488">
      <formula>LEN(TRIM(R107))=0</formula>
    </cfRule>
    <cfRule type="containsBlanks" dxfId="10154" priority="15489">
      <formula>LEN(TRIM(R107))=0</formula>
    </cfRule>
    <cfRule type="containsBlanks" dxfId="10153" priority="15490">
      <formula>LEN(TRIM(R107))=0</formula>
    </cfRule>
    <cfRule type="containsBlanks" dxfId="10152" priority="15491">
      <formula>LEN(TRIM(R107))=0</formula>
    </cfRule>
    <cfRule type="containsBlanks" dxfId="10151" priority="15492">
      <formula>LEN(TRIM(R107))=0</formula>
    </cfRule>
    <cfRule type="containsBlanks" dxfId="10150" priority="15493">
      <formula>LEN(TRIM(R107))=0</formula>
    </cfRule>
    <cfRule type="containsBlanks" dxfId="10149" priority="15494">
      <formula>LEN(TRIM(R107))=0</formula>
    </cfRule>
    <cfRule type="containsBlanks" dxfId="10148" priority="15495">
      <formula>LEN(TRIM(R107))=0</formula>
    </cfRule>
    <cfRule type="containsBlanks" dxfId="10147" priority="15496">
      <formula>LEN(TRIM(R107))=0</formula>
    </cfRule>
    <cfRule type="containsBlanks" dxfId="10146" priority="15497">
      <formula>LEN(TRIM(R107))=0</formula>
    </cfRule>
    <cfRule type="containsBlanks" dxfId="10145" priority="15498">
      <formula>LEN(TRIM(R107))=0</formula>
    </cfRule>
    <cfRule type="containsBlanks" dxfId="10144" priority="15499">
      <formula>LEN(TRIM(R107))=0</formula>
    </cfRule>
    <cfRule type="containsBlanks" dxfId="10143" priority="15500">
      <formula>LEN(TRIM(R107))=0</formula>
    </cfRule>
    <cfRule type="containsBlanks" dxfId="10142" priority="15501">
      <formula>LEN(TRIM(R107))=0</formula>
    </cfRule>
    <cfRule type="containsBlanks" dxfId="10141" priority="15502">
      <formula>LEN(TRIM(R107))=0</formula>
    </cfRule>
    <cfRule type="containsBlanks" dxfId="10140" priority="15503">
      <formula>LEN(TRIM(R107))=0</formula>
    </cfRule>
    <cfRule type="containsBlanks" dxfId="10139" priority="15504">
      <formula>LEN(TRIM(R107))=0</formula>
    </cfRule>
    <cfRule type="containsBlanks" dxfId="10138" priority="15505">
      <formula>LEN(TRIM(R107))=0</formula>
    </cfRule>
    <cfRule type="containsBlanks" dxfId="10137" priority="15506">
      <formula>LEN(TRIM(R107))=0</formula>
    </cfRule>
    <cfRule type="containsBlanks" dxfId="10136" priority="15507">
      <formula>LEN(TRIM(R107))=0</formula>
    </cfRule>
    <cfRule type="containsBlanks" dxfId="10135" priority="15508">
      <formula>LEN(TRIM(R107))=0</formula>
    </cfRule>
    <cfRule type="containsBlanks" dxfId="10134" priority="15509">
      <formula>LEN(TRIM(R107))=0</formula>
    </cfRule>
    <cfRule type="containsBlanks" dxfId="10133" priority="15510">
      <formula>LEN(TRIM(R107))=0</formula>
    </cfRule>
    <cfRule type="containsBlanks" dxfId="10132" priority="15511">
      <formula>LEN(TRIM(R107))=0</formula>
    </cfRule>
    <cfRule type="containsBlanks" dxfId="10131" priority="15512">
      <formula>LEN(TRIM(R107))=0</formula>
    </cfRule>
    <cfRule type="containsBlanks" dxfId="10130" priority="15513">
      <formula>LEN(TRIM(R107))=0</formula>
    </cfRule>
    <cfRule type="containsBlanks" dxfId="10129" priority="15514">
      <formula>LEN(TRIM(R107))=0</formula>
    </cfRule>
    <cfRule type="containsBlanks" dxfId="10128" priority="15515">
      <formula>LEN(TRIM(R107))=0</formula>
    </cfRule>
    <cfRule type="containsBlanks" dxfId="10127" priority="15516">
      <formula>LEN(TRIM(R107))=0</formula>
    </cfRule>
    <cfRule type="containsBlanks" dxfId="10126" priority="15517">
      <formula>LEN(TRIM(R107))=0</formula>
    </cfRule>
    <cfRule type="containsBlanks" dxfId="10125" priority="15518">
      <formula>LEN(TRIM(R107))=0</formula>
    </cfRule>
    <cfRule type="containsBlanks" dxfId="10124" priority="15519">
      <formula>LEN(TRIM(R107))=0</formula>
    </cfRule>
    <cfRule type="containsBlanks" dxfId="10123" priority="15520">
      <formula>LEN(TRIM(R107))=0</formula>
    </cfRule>
    <cfRule type="containsBlanks" dxfId="10122" priority="15521">
      <formula>LEN(TRIM(R107))=0</formula>
    </cfRule>
    <cfRule type="containsBlanks" dxfId="10121" priority="15522">
      <formula>LEN(TRIM(R107))=0</formula>
    </cfRule>
    <cfRule type="containsBlanks" dxfId="10120" priority="15523">
      <formula>LEN(TRIM(R107))=0</formula>
    </cfRule>
    <cfRule type="containsBlanks" dxfId="10119" priority="15524">
      <formula>LEN(TRIM(R107))=0</formula>
    </cfRule>
    <cfRule type="containsBlanks" dxfId="10118" priority="15525">
      <formula>LEN(TRIM(R107))=0</formula>
    </cfRule>
    <cfRule type="containsBlanks" dxfId="10117" priority="15526">
      <formula>LEN(TRIM(R107))=0</formula>
    </cfRule>
    <cfRule type="containsBlanks" dxfId="10116" priority="15527">
      <formula>LEN(TRIM(R107))=0</formula>
    </cfRule>
    <cfRule type="containsBlanks" dxfId="10115" priority="15528">
      <formula>LEN(TRIM(R107))=0</formula>
    </cfRule>
    <cfRule type="containsBlanks" dxfId="10114" priority="15529">
      <formula>LEN(TRIM(R107))=0</formula>
    </cfRule>
    <cfRule type="containsBlanks" dxfId="10113" priority="15530">
      <formula>LEN(TRIM(R107))=0</formula>
    </cfRule>
    <cfRule type="containsBlanks" dxfId="10112" priority="15531">
      <formula>LEN(TRIM(R107))=0</formula>
    </cfRule>
    <cfRule type="containsBlanks" dxfId="10111" priority="15532">
      <formula>LEN(TRIM(R107))=0</formula>
    </cfRule>
    <cfRule type="containsBlanks" dxfId="10110" priority="15533">
      <formula>LEN(TRIM(R107))=0</formula>
    </cfRule>
    <cfRule type="containsBlanks" dxfId="10109" priority="15534">
      <formula>LEN(TRIM(R107))=0</formula>
    </cfRule>
    <cfRule type="containsBlanks" dxfId="10108" priority="15535">
      <formula>LEN(TRIM(R107))=0</formula>
    </cfRule>
    <cfRule type="containsBlanks" dxfId="10107" priority="15536">
      <formula>LEN(TRIM(R107))=0</formula>
    </cfRule>
    <cfRule type="containsBlanks" dxfId="10106" priority="15537">
      <formula>LEN(TRIM(R107))=0</formula>
    </cfRule>
    <cfRule type="containsBlanks" dxfId="10105" priority="15538">
      <formula>LEN(TRIM(R107))=0</formula>
    </cfRule>
    <cfRule type="containsBlanks" dxfId="10104" priority="15539">
      <formula>LEN(TRIM(R107))=0</formula>
    </cfRule>
    <cfRule type="containsBlanks" dxfId="10103" priority="15540">
      <formula>LEN(TRIM(R107))=0</formula>
    </cfRule>
    <cfRule type="containsBlanks" dxfId="10102" priority="15541">
      <formula>LEN(TRIM(R107))=0</formula>
    </cfRule>
    <cfRule type="containsBlanks" dxfId="10101" priority="15542">
      <formula>LEN(TRIM(R107))=0</formula>
    </cfRule>
    <cfRule type="containsBlanks" dxfId="10100" priority="15543">
      <formula>LEN(TRIM(R107))=0</formula>
    </cfRule>
    <cfRule type="containsBlanks" dxfId="10099" priority="15544">
      <formula>LEN(TRIM(R107))=0</formula>
    </cfRule>
    <cfRule type="containsBlanks" dxfId="10098" priority="15545">
      <formula>LEN(TRIM(R107))=0</formula>
    </cfRule>
    <cfRule type="containsBlanks" dxfId="10097" priority="15546">
      <formula>LEN(TRIM(R107))=0</formula>
    </cfRule>
    <cfRule type="containsBlanks" dxfId="10096" priority="15547">
      <formula>LEN(TRIM(R107))=0</formula>
    </cfRule>
    <cfRule type="containsBlanks" dxfId="10095" priority="15548">
      <formula>LEN(TRIM(R107))=0</formula>
    </cfRule>
    <cfRule type="containsBlanks" dxfId="10094" priority="15549">
      <formula>LEN(TRIM(R107))=0</formula>
    </cfRule>
    <cfRule type="containsBlanks" dxfId="10093" priority="15550">
      <formula>LEN(TRIM(R107))=0</formula>
    </cfRule>
    <cfRule type="containsBlanks" dxfId="10092" priority="15551">
      <formula>LEN(TRIM(R107))=0</formula>
    </cfRule>
    <cfRule type="containsBlanks" dxfId="10091" priority="15552">
      <formula>LEN(TRIM(R107))=0</formula>
    </cfRule>
    <cfRule type="containsBlanks" dxfId="10090" priority="15553">
      <formula>LEN(TRIM(R107))=0</formula>
    </cfRule>
    <cfRule type="containsBlanks" dxfId="10089" priority="15554">
      <formula>LEN(TRIM(R107))=0</formula>
    </cfRule>
    <cfRule type="containsBlanks" dxfId="10088" priority="15555">
      <formula>LEN(TRIM(R107))=0</formula>
    </cfRule>
    <cfRule type="containsBlanks" dxfId="10087" priority="15556">
      <formula>LEN(TRIM(R107))=0</formula>
    </cfRule>
    <cfRule type="containsBlanks" dxfId="10086" priority="15557">
      <formula>LEN(TRIM(R107))=0</formula>
    </cfRule>
    <cfRule type="containsBlanks" dxfId="10085" priority="15558">
      <formula>LEN(TRIM(R107))=0</formula>
    </cfRule>
    <cfRule type="containsBlanks" dxfId="10084" priority="15559">
      <formula>LEN(TRIM(R107))=0</formula>
    </cfRule>
    <cfRule type="containsBlanks" dxfId="10083" priority="15560">
      <formula>LEN(TRIM(R107))=0</formula>
    </cfRule>
    <cfRule type="containsBlanks" dxfId="10082" priority="15561">
      <formula>LEN(TRIM(R107))=0</formula>
    </cfRule>
    <cfRule type="containsBlanks" dxfId="10081" priority="15562">
      <formula>LEN(TRIM(R107))=0</formula>
    </cfRule>
    <cfRule type="containsBlanks" dxfId="10080" priority="15563">
      <formula>LEN(TRIM(R107))=0</formula>
    </cfRule>
    <cfRule type="containsBlanks" dxfId="10079" priority="15564">
      <formula>LEN(TRIM(R107))=0</formula>
    </cfRule>
    <cfRule type="containsBlanks" dxfId="10078" priority="15565">
      <formula>LEN(TRIM(R107))=0</formula>
    </cfRule>
    <cfRule type="containsBlanks" dxfId="10077" priority="15566">
      <formula>LEN(TRIM(R107))=0</formula>
    </cfRule>
    <cfRule type="containsBlanks" dxfId="10076" priority="15567">
      <formula>LEN(TRIM(R107))=0</formula>
    </cfRule>
    <cfRule type="containsBlanks" dxfId="10075" priority="15568">
      <formula>LEN(TRIM(R107))=0</formula>
    </cfRule>
    <cfRule type="containsBlanks" dxfId="10074" priority="15569">
      <formula>LEN(TRIM(R107))=0</formula>
    </cfRule>
    <cfRule type="containsBlanks" dxfId="10073" priority="15570">
      <formula>LEN(TRIM(R107))=0</formula>
    </cfRule>
    <cfRule type="containsBlanks" dxfId="10072" priority="15571">
      <formula>LEN(TRIM(R107))=0</formula>
    </cfRule>
    <cfRule type="containsBlanks" dxfId="10071" priority="15572">
      <formula>LEN(TRIM(R107))=0</formula>
    </cfRule>
    <cfRule type="containsBlanks" dxfId="10070" priority="15573">
      <formula>LEN(TRIM(R107))=0</formula>
    </cfRule>
    <cfRule type="containsBlanks" dxfId="10069" priority="15574">
      <formula>LEN(TRIM(R107))=0</formula>
    </cfRule>
    <cfRule type="containsBlanks" dxfId="10068" priority="15575">
      <formula>LEN(TRIM(R107))=0</formula>
    </cfRule>
    <cfRule type="containsBlanks" dxfId="10067" priority="15576">
      <formula>LEN(TRIM(R107))=0</formula>
    </cfRule>
    <cfRule type="containsBlanks" dxfId="10066" priority="15577">
      <formula>LEN(TRIM(R107))=0</formula>
    </cfRule>
    <cfRule type="containsBlanks" dxfId="10065" priority="15578">
      <formula>LEN(TRIM(R107))=0</formula>
    </cfRule>
    <cfRule type="containsBlanks" dxfId="10064" priority="15579">
      <formula>LEN(TRIM(R107))=0</formula>
    </cfRule>
    <cfRule type="containsBlanks" dxfId="10063" priority="15580">
      <formula>LEN(TRIM(R107))=0</formula>
    </cfRule>
    <cfRule type="containsBlanks" dxfId="10062" priority="15581">
      <formula>LEN(TRIM(R107))=0</formula>
    </cfRule>
    <cfRule type="containsBlanks" dxfId="10061" priority="15582">
      <formula>LEN(TRIM(R107))=0</formula>
    </cfRule>
    <cfRule type="containsBlanks" dxfId="10060" priority="15583">
      <formula>LEN(TRIM(R107))=0</formula>
    </cfRule>
    <cfRule type="containsBlanks" dxfId="10059" priority="15584">
      <formula>LEN(TRIM(R107))=0</formula>
    </cfRule>
    <cfRule type="containsBlanks" dxfId="10058" priority="15585">
      <formula>LEN(TRIM(R107))=0</formula>
    </cfRule>
    <cfRule type="containsBlanks" dxfId="10057" priority="15586">
      <formula>LEN(TRIM(R107))=0</formula>
    </cfRule>
    <cfRule type="containsBlanks" dxfId="10056" priority="15587">
      <formula>LEN(TRIM(R107))=0</formula>
    </cfRule>
    <cfRule type="containsBlanks" dxfId="10055" priority="15588">
      <formula>LEN(TRIM(R107))=0</formula>
    </cfRule>
    <cfRule type="containsBlanks" dxfId="10054" priority="15589">
      <formula>LEN(TRIM(R107))=0</formula>
    </cfRule>
    <cfRule type="containsBlanks" dxfId="10053" priority="15590">
      <formula>LEN(TRIM(R107))=0</formula>
    </cfRule>
    <cfRule type="containsBlanks" dxfId="10052" priority="15591">
      <formula>LEN(TRIM(R107))=0</formula>
    </cfRule>
    <cfRule type="containsBlanks" dxfId="10051" priority="15592">
      <formula>LEN(TRIM(R107))=0</formula>
    </cfRule>
    <cfRule type="containsBlanks" dxfId="10050" priority="15593">
      <formula>LEN(TRIM(R107))=0</formula>
    </cfRule>
    <cfRule type="containsBlanks" dxfId="10049" priority="15594">
      <formula>LEN(TRIM(R107))=0</formula>
    </cfRule>
    <cfRule type="containsBlanks" dxfId="10048" priority="15595">
      <formula>LEN(TRIM(R107))=0</formula>
    </cfRule>
    <cfRule type="containsBlanks" dxfId="10047" priority="15596">
      <formula>LEN(TRIM(R107))=0</formula>
    </cfRule>
    <cfRule type="containsBlanks" dxfId="10046" priority="15597">
      <formula>LEN(TRIM(R107))=0</formula>
    </cfRule>
    <cfRule type="containsBlanks" dxfId="10045" priority="15598">
      <formula>LEN(TRIM(R107))=0</formula>
    </cfRule>
    <cfRule type="containsBlanks" dxfId="10044" priority="15599">
      <formula>LEN(TRIM(R107))=0</formula>
    </cfRule>
    <cfRule type="containsBlanks" dxfId="10043" priority="15600">
      <formula>LEN(TRIM(R107))=0</formula>
    </cfRule>
    <cfRule type="containsBlanks" dxfId="10042" priority="15601">
      <formula>LEN(TRIM(R107))=0</formula>
    </cfRule>
    <cfRule type="containsBlanks" dxfId="10041" priority="15602">
      <formula>LEN(TRIM(R107))=0</formula>
    </cfRule>
    <cfRule type="containsBlanks" dxfId="10040" priority="15603">
      <formula>LEN(TRIM(R107))=0</formula>
    </cfRule>
    <cfRule type="containsBlanks" dxfId="10039" priority="15604">
      <formula>LEN(TRIM(R107))=0</formula>
    </cfRule>
    <cfRule type="containsBlanks" dxfId="10038" priority="15605">
      <formula>LEN(TRIM(R107))=0</formula>
    </cfRule>
    <cfRule type="containsBlanks" dxfId="10037" priority="15606">
      <formula>LEN(TRIM(R107))=0</formula>
    </cfRule>
    <cfRule type="containsBlanks" dxfId="10036" priority="15607">
      <formula>LEN(TRIM(R107))=0</formula>
    </cfRule>
    <cfRule type="containsBlanks" dxfId="10035" priority="15608">
      <formula>LEN(TRIM(R107))=0</formula>
    </cfRule>
    <cfRule type="containsBlanks" dxfId="10034" priority="15609">
      <formula>LEN(TRIM(R107))=0</formula>
    </cfRule>
    <cfRule type="containsBlanks" dxfId="10033" priority="15610">
      <formula>LEN(TRIM(R107))=0</formula>
    </cfRule>
    <cfRule type="containsBlanks" dxfId="10032" priority="15611">
      <formula>LEN(TRIM(R107))=0</formula>
    </cfRule>
    <cfRule type="containsBlanks" dxfId="10031" priority="15612">
      <formula>LEN(TRIM(R107))=0</formula>
    </cfRule>
    <cfRule type="containsBlanks" dxfId="10030" priority="15613">
      <formula>LEN(TRIM(R107))=0</formula>
    </cfRule>
    <cfRule type="containsBlanks" dxfId="10029" priority="15614">
      <formula>LEN(TRIM(R107))=0</formula>
    </cfRule>
    <cfRule type="containsBlanks" dxfId="10028" priority="15615">
      <formula>LEN(TRIM(R107))=0</formula>
    </cfRule>
    <cfRule type="containsBlanks" dxfId="10027" priority="15616">
      <formula>LEN(TRIM(R107))=0</formula>
    </cfRule>
    <cfRule type="containsBlanks" dxfId="10026" priority="15617">
      <formula>LEN(TRIM(R107))=0</formula>
    </cfRule>
    <cfRule type="containsBlanks" dxfId="10025" priority="15618">
      <formula>LEN(TRIM(R107))=0</formula>
    </cfRule>
    <cfRule type="containsBlanks" dxfId="10024" priority="15619">
      <formula>LEN(TRIM(R107))=0</formula>
    </cfRule>
    <cfRule type="containsBlanks" dxfId="10023" priority="15620">
      <formula>LEN(TRIM(R107))=0</formula>
    </cfRule>
    <cfRule type="containsBlanks" dxfId="10022" priority="15621">
      <formula>LEN(TRIM(R107))=0</formula>
    </cfRule>
    <cfRule type="containsBlanks" dxfId="10021" priority="15622">
      <formula>LEN(TRIM(R107))=0</formula>
    </cfRule>
    <cfRule type="containsBlanks" dxfId="10020" priority="15623">
      <formula>LEN(TRIM(R107))=0</formula>
    </cfRule>
    <cfRule type="containsBlanks" dxfId="10019" priority="15624">
      <formula>LEN(TRIM(R107))=0</formula>
    </cfRule>
    <cfRule type="containsBlanks" dxfId="10018" priority="15625">
      <formula>LEN(TRIM(R107))=0</formula>
    </cfRule>
    <cfRule type="containsBlanks" dxfId="10017" priority="15626">
      <formula>LEN(TRIM(R107))=0</formula>
    </cfRule>
    <cfRule type="containsBlanks" dxfId="10016" priority="15627">
      <formula>LEN(TRIM(R107))=0</formula>
    </cfRule>
    <cfRule type="containsBlanks" dxfId="10015" priority="15628">
      <formula>LEN(TRIM(R107))=0</formula>
    </cfRule>
    <cfRule type="containsBlanks" dxfId="10014" priority="15629">
      <formula>LEN(TRIM(R107))=0</formula>
    </cfRule>
    <cfRule type="containsBlanks" dxfId="10013" priority="15630">
      <formula>LEN(TRIM(R107))=0</formula>
    </cfRule>
    <cfRule type="containsBlanks" dxfId="10012" priority="15631">
      <formula>LEN(TRIM(R107))=0</formula>
    </cfRule>
    <cfRule type="containsBlanks" dxfId="10011" priority="15632">
      <formula>LEN(TRIM(R107))=0</formula>
    </cfRule>
    <cfRule type="containsBlanks" dxfId="10010" priority="15633">
      <formula>LEN(TRIM(R107))=0</formula>
    </cfRule>
    <cfRule type="containsBlanks" dxfId="10009" priority="15634">
      <formula>LEN(TRIM(R107))=0</formula>
    </cfRule>
    <cfRule type="containsBlanks" dxfId="10008" priority="15635">
      <formula>LEN(TRIM(R107))=0</formula>
    </cfRule>
    <cfRule type="containsBlanks" dxfId="10007" priority="15636">
      <formula>LEN(TRIM(R107))=0</formula>
    </cfRule>
    <cfRule type="containsBlanks" dxfId="10006" priority="15637">
      <formula>LEN(TRIM(R107))=0</formula>
    </cfRule>
    <cfRule type="containsBlanks" dxfId="10005" priority="15638">
      <formula>LEN(TRIM(R107))=0</formula>
    </cfRule>
    <cfRule type="containsBlanks" dxfId="10004" priority="15639">
      <formula>LEN(TRIM(R107))=0</formula>
    </cfRule>
    <cfRule type="containsBlanks" dxfId="10003" priority="15640">
      <formula>LEN(TRIM(R107))=0</formula>
    </cfRule>
    <cfRule type="containsBlanks" dxfId="10002" priority="15641">
      <formula>LEN(TRIM(R107))=0</formula>
    </cfRule>
    <cfRule type="containsBlanks" dxfId="10001" priority="15642">
      <formula>LEN(TRIM(R107))=0</formula>
    </cfRule>
    <cfRule type="containsBlanks" dxfId="10000" priority="15643">
      <formula>LEN(TRIM(R107))=0</formula>
    </cfRule>
    <cfRule type="containsBlanks" dxfId="9999" priority="15644">
      <formula>LEN(TRIM(R107))=0</formula>
    </cfRule>
    <cfRule type="containsBlanks" dxfId="9998" priority="15645">
      <formula>LEN(TRIM(R107))=0</formula>
    </cfRule>
    <cfRule type="containsBlanks" dxfId="9997" priority="15646">
      <formula>LEN(TRIM(R107))=0</formula>
    </cfRule>
    <cfRule type="containsBlanks" dxfId="9996" priority="15647">
      <formula>LEN(TRIM(R107))=0</formula>
    </cfRule>
    <cfRule type="containsBlanks" dxfId="9995" priority="15648">
      <formula>LEN(TRIM(R107))=0</formula>
    </cfRule>
    <cfRule type="containsBlanks" dxfId="9994" priority="15649">
      <formula>LEN(TRIM(R107))=0</formula>
    </cfRule>
    <cfRule type="containsBlanks" dxfId="9993" priority="15650">
      <formula>LEN(TRIM(R107))=0</formula>
    </cfRule>
    <cfRule type="containsBlanks" dxfId="9992" priority="15651">
      <formula>LEN(TRIM(R107))=0</formula>
    </cfRule>
    <cfRule type="containsBlanks" dxfId="9991" priority="15652">
      <formula>LEN(TRIM(R107))=0</formula>
    </cfRule>
    <cfRule type="containsBlanks" dxfId="9990" priority="15653">
      <formula>LEN(TRIM(R107))=0</formula>
    </cfRule>
    <cfRule type="containsBlanks" dxfId="9989" priority="15654">
      <formula>LEN(TRIM(R107))=0</formula>
    </cfRule>
    <cfRule type="containsBlanks" dxfId="9988" priority="15655">
      <formula>LEN(TRIM(R107))=0</formula>
    </cfRule>
    <cfRule type="containsBlanks" dxfId="9987" priority="15656">
      <formula>LEN(TRIM(R107))=0</formula>
    </cfRule>
    <cfRule type="containsBlanks" dxfId="9986" priority="15657">
      <formula>LEN(TRIM(R107))=0</formula>
    </cfRule>
    <cfRule type="containsBlanks" dxfId="9985" priority="15658">
      <formula>LEN(TRIM(R107))=0</formula>
    </cfRule>
    <cfRule type="containsBlanks" dxfId="9984" priority="15659">
      <formula>LEN(TRIM(R107))=0</formula>
    </cfRule>
    <cfRule type="containsBlanks" dxfId="9983" priority="15660">
      <formula>LEN(TRIM(R107))=0</formula>
    </cfRule>
    <cfRule type="containsBlanks" dxfId="9982" priority="15661">
      <formula>LEN(TRIM(R107))=0</formula>
    </cfRule>
    <cfRule type="containsBlanks" dxfId="9981" priority="15662">
      <formula>LEN(TRIM(R107))=0</formula>
    </cfRule>
    <cfRule type="containsBlanks" dxfId="9980" priority="15663">
      <formula>LEN(TRIM(R107))=0</formula>
    </cfRule>
    <cfRule type="containsBlanks" dxfId="9979" priority="15664">
      <formula>LEN(TRIM(R107))=0</formula>
    </cfRule>
    <cfRule type="containsBlanks" dxfId="9978" priority="15665">
      <formula>LEN(TRIM(R107))=0</formula>
    </cfRule>
    <cfRule type="containsBlanks" dxfId="9977" priority="15666">
      <formula>LEN(TRIM(R107))=0</formula>
    </cfRule>
    <cfRule type="containsBlanks" dxfId="9976" priority="15667">
      <formula>LEN(TRIM(R107))=0</formula>
    </cfRule>
    <cfRule type="containsBlanks" dxfId="9975" priority="15668">
      <formula>LEN(TRIM(R107))=0</formula>
    </cfRule>
    <cfRule type="containsBlanks" dxfId="9974" priority="15669">
      <formula>LEN(TRIM(R107))=0</formula>
    </cfRule>
    <cfRule type="containsBlanks" dxfId="9973" priority="15670">
      <formula>LEN(TRIM(R107))=0</formula>
    </cfRule>
    <cfRule type="containsBlanks" dxfId="9972" priority="15671">
      <formula>LEN(TRIM(R107))=0</formula>
    </cfRule>
    <cfRule type="containsBlanks" dxfId="9971" priority="15672">
      <formula>LEN(TRIM(R107))=0</formula>
    </cfRule>
    <cfRule type="containsBlanks" dxfId="9970" priority="15673">
      <formula>LEN(TRIM(R107))=0</formula>
    </cfRule>
    <cfRule type="containsBlanks" dxfId="9969" priority="15674">
      <formula>LEN(TRIM(R107))=0</formula>
    </cfRule>
    <cfRule type="containsBlanks" dxfId="9968" priority="15675">
      <formula>LEN(TRIM(R107))=0</formula>
    </cfRule>
    <cfRule type="containsBlanks" dxfId="9967" priority="15676">
      <formula>LEN(TRIM(R107))=0</formula>
    </cfRule>
    <cfRule type="containsBlanks" dxfId="9966" priority="15677">
      <formula>LEN(TRIM(R107))=0</formula>
    </cfRule>
    <cfRule type="containsBlanks" dxfId="9965" priority="15678">
      <formula>LEN(TRIM(R107))=0</formula>
    </cfRule>
    <cfRule type="containsBlanks" dxfId="9964" priority="15679">
      <formula>LEN(TRIM(R107))=0</formula>
    </cfRule>
    <cfRule type="containsBlanks" dxfId="9963" priority="15680">
      <formula>LEN(TRIM(R107))=0</formula>
    </cfRule>
    <cfRule type="containsBlanks" dxfId="9962" priority="15681">
      <formula>LEN(TRIM(R107))=0</formula>
    </cfRule>
    <cfRule type="containsBlanks" dxfId="9961" priority="15682">
      <formula>LEN(TRIM(R107))=0</formula>
    </cfRule>
    <cfRule type="containsBlanks" dxfId="9960" priority="15683">
      <formula>LEN(TRIM(R107))=0</formula>
    </cfRule>
    <cfRule type="containsBlanks" dxfId="9959" priority="15684">
      <formula>LEN(TRIM(R107))=0</formula>
    </cfRule>
    <cfRule type="containsBlanks" dxfId="9958" priority="15685">
      <formula>LEN(TRIM(R107))=0</formula>
    </cfRule>
    <cfRule type="containsBlanks" dxfId="9957" priority="15686">
      <formula>LEN(TRIM(R107))=0</formula>
    </cfRule>
    <cfRule type="containsBlanks" dxfId="9956" priority="15687">
      <formula>LEN(TRIM(R107))=0</formula>
    </cfRule>
    <cfRule type="containsBlanks" dxfId="9955" priority="15688">
      <formula>LEN(TRIM(R107))=0</formula>
    </cfRule>
    <cfRule type="containsBlanks" dxfId="9954" priority="15689">
      <formula>LEN(TRIM(R107))=0</formula>
    </cfRule>
    <cfRule type="containsBlanks" dxfId="9953" priority="15690">
      <formula>LEN(TRIM(R107))=0</formula>
    </cfRule>
    <cfRule type="containsBlanks" dxfId="9952" priority="15691">
      <formula>LEN(TRIM(R107))=0</formula>
    </cfRule>
    <cfRule type="containsBlanks" dxfId="9951" priority="15692">
      <formula>LEN(TRIM(R107))=0</formula>
    </cfRule>
    <cfRule type="containsBlanks" dxfId="9950" priority="15693">
      <formula>LEN(TRIM(R107))=0</formula>
    </cfRule>
    <cfRule type="containsBlanks" dxfId="9949" priority="15694">
      <formula>LEN(TRIM(R107))=0</formula>
    </cfRule>
    <cfRule type="containsBlanks" dxfId="9948" priority="15695">
      <formula>LEN(TRIM(R107))=0</formula>
    </cfRule>
    <cfRule type="containsBlanks" dxfId="9947" priority="15696">
      <formula>LEN(TRIM(R107))=0</formula>
    </cfRule>
    <cfRule type="containsBlanks" dxfId="9946" priority="15697">
      <formula>LEN(TRIM(R107))=0</formula>
    </cfRule>
    <cfRule type="containsBlanks" dxfId="9945" priority="15698">
      <formula>LEN(TRIM(R107))=0</formula>
    </cfRule>
    <cfRule type="containsBlanks" dxfId="9944" priority="15699">
      <formula>LEN(TRIM(R107))=0</formula>
    </cfRule>
    <cfRule type="containsBlanks" dxfId="9943" priority="15700">
      <formula>LEN(TRIM(R107))=0</formula>
    </cfRule>
    <cfRule type="containsBlanks" dxfId="9942" priority="15701">
      <formula>LEN(TRIM(R107))=0</formula>
    </cfRule>
    <cfRule type="containsBlanks" dxfId="9941" priority="15702">
      <formula>LEN(TRIM(R107))=0</formula>
    </cfRule>
    <cfRule type="containsBlanks" dxfId="9940" priority="15703">
      <formula>LEN(TRIM(R107))=0</formula>
    </cfRule>
    <cfRule type="containsBlanks" dxfId="9939" priority="15704">
      <formula>LEN(TRIM(R107))=0</formula>
    </cfRule>
    <cfRule type="containsBlanks" dxfId="9938" priority="15705">
      <formula>LEN(TRIM(R107))=0</formula>
    </cfRule>
    <cfRule type="containsBlanks" dxfId="9937" priority="15706">
      <formula>LEN(TRIM(R107))=0</formula>
    </cfRule>
    <cfRule type="containsBlanks" dxfId="9936" priority="15707">
      <formula>LEN(TRIM(R107))=0</formula>
    </cfRule>
    <cfRule type="containsBlanks" dxfId="9935" priority="15708">
      <formula>LEN(TRIM(R107))=0</formula>
    </cfRule>
    <cfRule type="containsBlanks" dxfId="9934" priority="15709">
      <formula>LEN(TRIM(R107))=0</formula>
    </cfRule>
    <cfRule type="containsBlanks" dxfId="9933" priority="15710">
      <formula>LEN(TRIM(R107))=0</formula>
    </cfRule>
    <cfRule type="containsBlanks" dxfId="9932" priority="15711">
      <formula>LEN(TRIM(R107))=0</formula>
    </cfRule>
    <cfRule type="containsBlanks" dxfId="9931" priority="15712">
      <formula>LEN(TRIM(R107))=0</formula>
    </cfRule>
    <cfRule type="containsBlanks" dxfId="9930" priority="15713">
      <formula>LEN(TRIM(R107))=0</formula>
    </cfRule>
    <cfRule type="containsBlanks" dxfId="9929" priority="15714">
      <formula>LEN(TRIM(R107))=0</formula>
    </cfRule>
    <cfRule type="containsBlanks" dxfId="9928" priority="15715">
      <formula>LEN(TRIM(R107))=0</formula>
    </cfRule>
    <cfRule type="containsBlanks" dxfId="9927" priority="15716">
      <formula>LEN(TRIM(R107))=0</formula>
    </cfRule>
    <cfRule type="containsBlanks" dxfId="9926" priority="15717">
      <formula>LEN(TRIM(R107))=0</formula>
    </cfRule>
    <cfRule type="containsBlanks" dxfId="9925" priority="15718">
      <formula>LEN(TRIM(R107))=0</formula>
    </cfRule>
    <cfRule type="containsBlanks" dxfId="9924" priority="15719">
      <formula>LEN(TRIM(R107))=0</formula>
    </cfRule>
    <cfRule type="containsBlanks" dxfId="9923" priority="15720">
      <formula>LEN(TRIM(R107))=0</formula>
    </cfRule>
    <cfRule type="containsBlanks" dxfId="9922" priority="15721">
      <formula>LEN(TRIM(R107))=0</formula>
    </cfRule>
    <cfRule type="containsBlanks" dxfId="9921" priority="15722">
      <formula>LEN(TRIM(R107))=0</formula>
    </cfRule>
    <cfRule type="containsBlanks" dxfId="9920" priority="15723">
      <formula>LEN(TRIM(R107))=0</formula>
    </cfRule>
    <cfRule type="containsBlanks" dxfId="9919" priority="15724">
      <formula>LEN(TRIM(R107))=0</formula>
    </cfRule>
    <cfRule type="containsBlanks" dxfId="9918" priority="15725">
      <formula>LEN(TRIM(R107))=0</formula>
    </cfRule>
    <cfRule type="containsBlanks" dxfId="9917" priority="15726">
      <formula>LEN(TRIM(R107))=0</formula>
    </cfRule>
    <cfRule type="containsBlanks" dxfId="9916" priority="15727">
      <formula>LEN(TRIM(R107))=0</formula>
    </cfRule>
    <cfRule type="containsBlanks" dxfId="9915" priority="15728">
      <formula>LEN(TRIM(R107))=0</formula>
    </cfRule>
    <cfRule type="containsBlanks" dxfId="9914" priority="15729">
      <formula>LEN(TRIM(R107))=0</formula>
    </cfRule>
    <cfRule type="containsBlanks" dxfId="9913" priority="15730">
      <formula>LEN(TRIM(R107))=0</formula>
    </cfRule>
    <cfRule type="containsBlanks" dxfId="9912" priority="15731">
      <formula>LEN(TRIM(R107))=0</formula>
    </cfRule>
    <cfRule type="containsBlanks" dxfId="9911" priority="15732">
      <formula>LEN(TRIM(R107))=0</formula>
    </cfRule>
    <cfRule type="containsBlanks" dxfId="9910" priority="15733">
      <formula>LEN(TRIM(R107))=0</formula>
    </cfRule>
  </conditionalFormatting>
  <conditionalFormatting sqref="R149:S149">
    <cfRule type="containsBlanks" dxfId="9909" priority="15182">
      <formula>LEN(TRIM(R149))=0</formula>
    </cfRule>
    <cfRule type="containsBlanks" dxfId="9908" priority="15183">
      <formula>LEN(TRIM(R149))=0</formula>
    </cfRule>
    <cfRule type="containsBlanks" dxfId="9907" priority="15184">
      <formula>LEN(TRIM(R149))=0</formula>
    </cfRule>
    <cfRule type="containsBlanks" dxfId="9906" priority="15185">
      <formula>LEN(TRIM(R149))=0</formula>
    </cfRule>
    <cfRule type="containsBlanks" dxfId="9905" priority="15186">
      <formula>LEN(TRIM(R149))=0</formula>
    </cfRule>
    <cfRule type="containsBlanks" dxfId="9904" priority="15187">
      <formula>LEN(TRIM(R149))=0</formula>
    </cfRule>
    <cfRule type="containsBlanks" dxfId="9903" priority="15188">
      <formula>LEN(TRIM(R149))=0</formula>
    </cfRule>
    <cfRule type="containsBlanks" dxfId="9902" priority="15189">
      <formula>LEN(TRIM(R149))=0</formula>
    </cfRule>
    <cfRule type="containsBlanks" dxfId="9901" priority="15190">
      <formula>LEN(TRIM(R149))=0</formula>
    </cfRule>
    <cfRule type="containsBlanks" dxfId="9900" priority="15191">
      <formula>LEN(TRIM(R149))=0</formula>
    </cfRule>
    <cfRule type="containsBlanks" dxfId="9899" priority="15192">
      <formula>LEN(TRIM(R149))=0</formula>
    </cfRule>
    <cfRule type="containsBlanks" dxfId="9898" priority="15193">
      <formula>LEN(TRIM(R149))=0</formula>
    </cfRule>
    <cfRule type="containsBlanks" dxfId="9897" priority="15194">
      <formula>LEN(TRIM(R149))=0</formula>
    </cfRule>
    <cfRule type="containsBlanks" dxfId="9896" priority="15195">
      <formula>LEN(TRIM(R149))=0</formula>
    </cfRule>
    <cfRule type="containsBlanks" dxfId="9895" priority="15196">
      <formula>LEN(TRIM(R149))=0</formula>
    </cfRule>
    <cfRule type="containsBlanks" dxfId="9894" priority="15197">
      <formula>LEN(TRIM(R149))=0</formula>
    </cfRule>
    <cfRule type="containsBlanks" dxfId="9893" priority="15198">
      <formula>LEN(TRIM(R149))=0</formula>
    </cfRule>
    <cfRule type="containsBlanks" dxfId="9892" priority="15199">
      <formula>LEN(TRIM(R149))=0</formula>
    </cfRule>
    <cfRule type="containsBlanks" dxfId="9891" priority="15200">
      <formula>LEN(TRIM(R149))=0</formula>
    </cfRule>
    <cfRule type="containsBlanks" dxfId="9890" priority="15201">
      <formula>LEN(TRIM(R149))=0</formula>
    </cfRule>
    <cfRule type="containsBlanks" dxfId="9889" priority="15202">
      <formula>LEN(TRIM(R149))=0</formula>
    </cfRule>
    <cfRule type="containsBlanks" dxfId="9888" priority="15203">
      <formula>LEN(TRIM(R149))=0</formula>
    </cfRule>
    <cfRule type="containsBlanks" dxfId="9887" priority="15204">
      <formula>LEN(TRIM(R149))=0</formula>
    </cfRule>
    <cfRule type="containsBlanks" dxfId="9886" priority="15205">
      <formula>LEN(TRIM(R149))=0</formula>
    </cfRule>
    <cfRule type="containsBlanks" dxfId="9885" priority="15206">
      <formula>LEN(TRIM(R149))=0</formula>
    </cfRule>
    <cfRule type="containsBlanks" dxfId="9884" priority="15207">
      <formula>LEN(TRIM(R149))=0</formula>
    </cfRule>
    <cfRule type="containsBlanks" dxfId="9883" priority="15208">
      <formula>LEN(TRIM(R149))=0</formula>
    </cfRule>
    <cfRule type="containsBlanks" dxfId="9882" priority="15209">
      <formula>LEN(TRIM(R149))=0</formula>
    </cfRule>
    <cfRule type="containsBlanks" dxfId="9881" priority="15210">
      <formula>LEN(TRIM(R149))=0</formula>
    </cfRule>
    <cfRule type="containsBlanks" dxfId="9880" priority="15211">
      <formula>LEN(TRIM(R149))=0</formula>
    </cfRule>
    <cfRule type="containsBlanks" dxfId="9879" priority="15212">
      <formula>LEN(TRIM(R149))=0</formula>
    </cfRule>
    <cfRule type="containsBlanks" dxfId="9878" priority="15213">
      <formula>LEN(TRIM(R149))=0</formula>
    </cfRule>
    <cfRule type="containsBlanks" dxfId="9877" priority="15214">
      <formula>LEN(TRIM(R149))=0</formula>
    </cfRule>
    <cfRule type="containsBlanks" dxfId="9876" priority="15215">
      <formula>LEN(TRIM(R149))=0</formula>
    </cfRule>
    <cfRule type="containsBlanks" dxfId="9875" priority="15216">
      <formula>LEN(TRIM(R149))=0</formula>
    </cfRule>
    <cfRule type="containsBlanks" dxfId="9874" priority="15217">
      <formula>LEN(TRIM(R149))=0</formula>
    </cfRule>
    <cfRule type="containsBlanks" dxfId="9873" priority="15218">
      <formula>LEN(TRIM(R149))=0</formula>
    </cfRule>
    <cfRule type="containsBlanks" dxfId="9872" priority="15219">
      <formula>LEN(TRIM(R149))=0</formula>
    </cfRule>
    <cfRule type="containsBlanks" dxfId="9871" priority="15220">
      <formula>LEN(TRIM(R149))=0</formula>
    </cfRule>
    <cfRule type="containsBlanks" dxfId="9870" priority="15221">
      <formula>LEN(TRIM(R149))=0</formula>
    </cfRule>
    <cfRule type="containsBlanks" dxfId="9869" priority="15222">
      <formula>LEN(TRIM(R149))=0</formula>
    </cfRule>
    <cfRule type="containsBlanks" dxfId="9868" priority="15223">
      <formula>LEN(TRIM(R149))=0</formula>
    </cfRule>
    <cfRule type="containsBlanks" dxfId="9867" priority="15224">
      <formula>LEN(TRIM(R149))=0</formula>
    </cfRule>
    <cfRule type="containsBlanks" dxfId="9866" priority="15225">
      <formula>LEN(TRIM(R149))=0</formula>
    </cfRule>
    <cfRule type="containsBlanks" dxfId="9865" priority="15226">
      <formula>LEN(TRIM(R149))=0</formula>
    </cfRule>
    <cfRule type="containsBlanks" dxfId="9864" priority="15227">
      <formula>LEN(TRIM(R149))=0</formula>
    </cfRule>
    <cfRule type="containsBlanks" dxfId="9863" priority="15228">
      <formula>LEN(TRIM(R149))=0</formula>
    </cfRule>
    <cfRule type="containsBlanks" dxfId="9862" priority="15229">
      <formula>LEN(TRIM(R149))=0</formula>
    </cfRule>
    <cfRule type="containsBlanks" dxfId="9861" priority="15230">
      <formula>LEN(TRIM(R149))=0</formula>
    </cfRule>
    <cfRule type="containsBlanks" dxfId="9860" priority="15231">
      <formula>LEN(TRIM(R149))=0</formula>
    </cfRule>
    <cfRule type="containsBlanks" dxfId="9859" priority="15232">
      <formula>LEN(TRIM(R149))=0</formula>
    </cfRule>
    <cfRule type="containsBlanks" dxfId="9858" priority="15233">
      <formula>LEN(TRIM(R149))=0</formula>
    </cfRule>
    <cfRule type="containsBlanks" dxfId="9857" priority="15234">
      <formula>LEN(TRIM(R149))=0</formula>
    </cfRule>
    <cfRule type="containsBlanks" dxfId="9856" priority="15235">
      <formula>LEN(TRIM(R149))=0</formula>
    </cfRule>
    <cfRule type="containsBlanks" dxfId="9855" priority="15236">
      <formula>LEN(TRIM(R149))=0</formula>
    </cfRule>
    <cfRule type="containsBlanks" dxfId="9854" priority="15237">
      <formula>LEN(TRIM(R149))=0</formula>
    </cfRule>
    <cfRule type="containsBlanks" dxfId="9853" priority="15238">
      <formula>LEN(TRIM(R149))=0</formula>
    </cfRule>
    <cfRule type="containsBlanks" dxfId="9852" priority="15239">
      <formula>LEN(TRIM(R149))=0</formula>
    </cfRule>
    <cfRule type="containsBlanks" dxfId="9851" priority="15240">
      <formula>LEN(TRIM(R149))=0</formula>
    </cfRule>
    <cfRule type="containsBlanks" dxfId="9850" priority="15241">
      <formula>LEN(TRIM(R149))=0</formula>
    </cfRule>
    <cfRule type="containsBlanks" dxfId="9849" priority="15242">
      <formula>LEN(TRIM(R149))=0</formula>
    </cfRule>
    <cfRule type="containsBlanks" dxfId="9848" priority="15243">
      <formula>LEN(TRIM(R149))=0</formula>
    </cfRule>
    <cfRule type="containsBlanks" dxfId="9847" priority="15244">
      <formula>LEN(TRIM(R149))=0</formula>
    </cfRule>
    <cfRule type="containsBlanks" dxfId="9846" priority="15245">
      <formula>LEN(TRIM(R149))=0</formula>
    </cfRule>
    <cfRule type="containsBlanks" dxfId="9845" priority="15246">
      <formula>LEN(TRIM(R149))=0</formula>
    </cfRule>
    <cfRule type="containsBlanks" dxfId="9844" priority="15247">
      <formula>LEN(TRIM(R149))=0</formula>
    </cfRule>
    <cfRule type="containsBlanks" dxfId="9843" priority="15248">
      <formula>LEN(TRIM(R149))=0</formula>
    </cfRule>
    <cfRule type="containsBlanks" dxfId="9842" priority="15249">
      <formula>LEN(TRIM(R149))=0</formula>
    </cfRule>
    <cfRule type="containsBlanks" dxfId="9841" priority="15250">
      <formula>LEN(TRIM(R149))=0</formula>
    </cfRule>
    <cfRule type="containsBlanks" dxfId="9840" priority="15251">
      <formula>LEN(TRIM(R149))=0</formula>
    </cfRule>
    <cfRule type="containsBlanks" dxfId="9839" priority="15252">
      <formula>LEN(TRIM(R149))=0</formula>
    </cfRule>
    <cfRule type="containsBlanks" dxfId="9838" priority="15253">
      <formula>LEN(TRIM(R149))=0</formula>
    </cfRule>
    <cfRule type="containsBlanks" dxfId="9837" priority="15254">
      <formula>LEN(TRIM(R149))=0</formula>
    </cfRule>
    <cfRule type="containsBlanks" dxfId="9836" priority="15255">
      <formula>LEN(TRIM(R149))=0</formula>
    </cfRule>
    <cfRule type="containsBlanks" dxfId="9835" priority="15256">
      <formula>LEN(TRIM(R149))=0</formula>
    </cfRule>
    <cfRule type="containsBlanks" dxfId="9834" priority="15257">
      <formula>LEN(TRIM(R149))=0</formula>
    </cfRule>
    <cfRule type="containsBlanks" dxfId="9833" priority="15258">
      <formula>LEN(TRIM(R149))=0</formula>
    </cfRule>
    <cfRule type="containsBlanks" dxfId="9832" priority="15259">
      <formula>LEN(TRIM(R149))=0</formula>
    </cfRule>
    <cfRule type="containsBlanks" dxfId="9831" priority="15260">
      <formula>LEN(TRIM(R149))=0</formula>
    </cfRule>
    <cfRule type="containsBlanks" dxfId="9830" priority="15261">
      <formula>LEN(TRIM(R149))=0</formula>
    </cfRule>
    <cfRule type="containsBlanks" dxfId="9829" priority="15262">
      <formula>LEN(TRIM(R149))=0</formula>
    </cfRule>
    <cfRule type="containsBlanks" dxfId="9828" priority="15263">
      <formula>LEN(TRIM(R149))=0</formula>
    </cfRule>
    <cfRule type="containsBlanks" dxfId="9827" priority="15264">
      <formula>LEN(TRIM(R149))=0</formula>
    </cfRule>
    <cfRule type="containsBlanks" dxfId="9826" priority="15265">
      <formula>LEN(TRIM(R149))=0</formula>
    </cfRule>
    <cfRule type="containsBlanks" dxfId="9825" priority="15266">
      <formula>LEN(TRIM(R149))=0</formula>
    </cfRule>
    <cfRule type="containsBlanks" dxfId="9824" priority="15267">
      <formula>LEN(TRIM(R149))=0</formula>
    </cfRule>
    <cfRule type="containsBlanks" dxfId="9823" priority="15268">
      <formula>LEN(TRIM(R149))=0</formula>
    </cfRule>
    <cfRule type="containsBlanks" dxfId="9822" priority="15269">
      <formula>LEN(TRIM(R149))=0</formula>
    </cfRule>
    <cfRule type="containsBlanks" dxfId="9821" priority="15270">
      <formula>LEN(TRIM(R149))=0</formula>
    </cfRule>
    <cfRule type="containsBlanks" dxfId="9820" priority="15271">
      <formula>LEN(TRIM(R149))=0</formula>
    </cfRule>
    <cfRule type="containsBlanks" dxfId="9819" priority="15272">
      <formula>LEN(TRIM(R149))=0</formula>
    </cfRule>
    <cfRule type="containsBlanks" dxfId="9818" priority="15273">
      <formula>LEN(TRIM(R149))=0</formula>
    </cfRule>
    <cfRule type="containsBlanks" dxfId="9817" priority="15274">
      <formula>LEN(TRIM(R149))=0</formula>
    </cfRule>
    <cfRule type="containsBlanks" dxfId="9816" priority="15275">
      <formula>LEN(TRIM(R149))=0</formula>
    </cfRule>
    <cfRule type="containsBlanks" dxfId="9815" priority="15276">
      <formula>LEN(TRIM(R149))=0</formula>
    </cfRule>
    <cfRule type="containsBlanks" dxfId="9814" priority="15277">
      <formula>LEN(TRIM(R149))=0</formula>
    </cfRule>
    <cfRule type="containsBlanks" dxfId="9813" priority="15278">
      <formula>LEN(TRIM(R149))=0</formula>
    </cfRule>
    <cfRule type="containsBlanks" dxfId="9812" priority="15279">
      <formula>LEN(TRIM(R149))=0</formula>
    </cfRule>
    <cfRule type="containsBlanks" dxfId="9811" priority="15280">
      <formula>LEN(TRIM(R149))=0</formula>
    </cfRule>
    <cfRule type="containsBlanks" dxfId="9810" priority="15281">
      <formula>LEN(TRIM(R149))=0</formula>
    </cfRule>
    <cfRule type="containsBlanks" dxfId="9809" priority="15282">
      <formula>LEN(TRIM(R149))=0</formula>
    </cfRule>
    <cfRule type="containsBlanks" dxfId="9808" priority="15283">
      <formula>LEN(TRIM(R149))=0</formula>
    </cfRule>
    <cfRule type="containsBlanks" dxfId="9807" priority="15284">
      <formula>LEN(TRIM(R149))=0</formula>
    </cfRule>
    <cfRule type="containsBlanks" dxfId="9806" priority="15285">
      <formula>LEN(TRIM(R149))=0</formula>
    </cfRule>
    <cfRule type="containsBlanks" dxfId="9805" priority="15286">
      <formula>LEN(TRIM(R149))=0</formula>
    </cfRule>
    <cfRule type="containsBlanks" dxfId="9804" priority="15287">
      <formula>LEN(TRIM(R149))=0</formula>
    </cfRule>
    <cfRule type="containsBlanks" dxfId="9803" priority="15288">
      <formula>LEN(TRIM(R149))=0</formula>
    </cfRule>
    <cfRule type="containsBlanks" dxfId="9802" priority="15289">
      <formula>LEN(TRIM(R149))=0</formula>
    </cfRule>
    <cfRule type="containsBlanks" dxfId="9801" priority="15290">
      <formula>LEN(TRIM(R149))=0</formula>
    </cfRule>
    <cfRule type="containsBlanks" dxfId="9800" priority="15291">
      <formula>LEN(TRIM(R149))=0</formula>
    </cfRule>
    <cfRule type="containsBlanks" dxfId="9799" priority="15292">
      <formula>LEN(TRIM(R149))=0</formula>
    </cfRule>
    <cfRule type="containsBlanks" dxfId="9798" priority="15293">
      <formula>LEN(TRIM(R149))=0</formula>
    </cfRule>
    <cfRule type="containsBlanks" dxfId="9797" priority="15294">
      <formula>LEN(TRIM(R149))=0</formula>
    </cfRule>
    <cfRule type="containsBlanks" dxfId="9796" priority="15295">
      <formula>LEN(TRIM(R149))=0</formula>
    </cfRule>
    <cfRule type="containsBlanks" dxfId="9795" priority="15296">
      <formula>LEN(TRIM(R149))=0</formula>
    </cfRule>
    <cfRule type="containsBlanks" dxfId="9794" priority="15297">
      <formula>LEN(TRIM(R149))=0</formula>
    </cfRule>
    <cfRule type="containsBlanks" dxfId="9793" priority="15298">
      <formula>LEN(TRIM(R149))=0</formula>
    </cfRule>
    <cfRule type="containsBlanks" dxfId="9792" priority="15299">
      <formula>LEN(TRIM(R149))=0</formula>
    </cfRule>
    <cfRule type="containsBlanks" dxfId="9791" priority="15300">
      <formula>LEN(TRIM(R149))=0</formula>
    </cfRule>
    <cfRule type="containsBlanks" dxfId="9790" priority="15301">
      <formula>LEN(TRIM(R149))=0</formula>
    </cfRule>
    <cfRule type="containsBlanks" dxfId="9789" priority="15302">
      <formula>LEN(TRIM(R149))=0</formula>
    </cfRule>
    <cfRule type="containsBlanks" dxfId="9788" priority="15303">
      <formula>LEN(TRIM(R149))=0</formula>
    </cfRule>
    <cfRule type="containsBlanks" dxfId="9787" priority="15304">
      <formula>LEN(TRIM(R149))=0</formula>
    </cfRule>
    <cfRule type="containsBlanks" dxfId="9786" priority="15305">
      <formula>LEN(TRIM(R149))=0</formula>
    </cfRule>
    <cfRule type="containsBlanks" dxfId="9785" priority="15306">
      <formula>LEN(TRIM(R149))=0</formula>
    </cfRule>
    <cfRule type="containsBlanks" dxfId="9784" priority="15307">
      <formula>LEN(TRIM(R149))=0</formula>
    </cfRule>
    <cfRule type="containsBlanks" dxfId="9783" priority="15308">
      <formula>LEN(TRIM(R149))=0</formula>
    </cfRule>
    <cfRule type="containsBlanks" dxfId="9782" priority="15309">
      <formula>LEN(TRIM(R149))=0</formula>
    </cfRule>
    <cfRule type="containsBlanks" dxfId="9781" priority="15310">
      <formula>LEN(TRIM(R149))=0</formula>
    </cfRule>
    <cfRule type="containsBlanks" dxfId="9780" priority="15311">
      <formula>LEN(TRIM(R149))=0</formula>
    </cfRule>
    <cfRule type="containsBlanks" dxfId="9779" priority="15312">
      <formula>LEN(TRIM(R149))=0</formula>
    </cfRule>
    <cfRule type="containsBlanks" dxfId="9778" priority="15313">
      <formula>LEN(TRIM(R149))=0</formula>
    </cfRule>
    <cfRule type="containsBlanks" dxfId="9777" priority="15314">
      <formula>LEN(TRIM(R149))=0</formula>
    </cfRule>
    <cfRule type="containsBlanks" dxfId="9776" priority="15315">
      <formula>LEN(TRIM(R149))=0</formula>
    </cfRule>
    <cfRule type="containsBlanks" dxfId="9775" priority="15316">
      <formula>LEN(TRIM(R149))=0</formula>
    </cfRule>
    <cfRule type="containsBlanks" dxfId="9774" priority="15317">
      <formula>LEN(TRIM(R149))=0</formula>
    </cfRule>
    <cfRule type="containsBlanks" dxfId="9773" priority="15318">
      <formula>LEN(TRIM(R149))=0</formula>
    </cfRule>
    <cfRule type="containsBlanks" dxfId="9772" priority="15319">
      <formula>LEN(TRIM(R149))=0</formula>
    </cfRule>
    <cfRule type="containsBlanks" dxfId="9771" priority="15320">
      <formula>LEN(TRIM(R149))=0</formula>
    </cfRule>
    <cfRule type="containsBlanks" dxfId="9770" priority="15321">
      <formula>LEN(TRIM(R149))=0</formula>
    </cfRule>
    <cfRule type="containsBlanks" dxfId="9769" priority="15322">
      <formula>LEN(TRIM(R149))=0</formula>
    </cfRule>
    <cfRule type="containsBlanks" dxfId="9768" priority="15323">
      <formula>LEN(TRIM(R149))=0</formula>
    </cfRule>
    <cfRule type="containsBlanks" dxfId="9767" priority="15324">
      <formula>LEN(TRIM(R149))=0</formula>
    </cfRule>
    <cfRule type="containsBlanks" dxfId="9766" priority="15325">
      <formula>LEN(TRIM(R149))=0</formula>
    </cfRule>
    <cfRule type="containsBlanks" dxfId="9765" priority="15326">
      <formula>LEN(TRIM(R149))=0</formula>
    </cfRule>
    <cfRule type="containsBlanks" dxfId="9764" priority="15327">
      <formula>LEN(TRIM(R149))=0</formula>
    </cfRule>
    <cfRule type="containsBlanks" dxfId="9763" priority="15328">
      <formula>LEN(TRIM(R149))=0</formula>
    </cfRule>
    <cfRule type="containsBlanks" dxfId="9762" priority="15329">
      <formula>LEN(TRIM(R149))=0</formula>
    </cfRule>
    <cfRule type="containsBlanks" dxfId="9761" priority="15330">
      <formula>LEN(TRIM(R149))=0</formula>
    </cfRule>
    <cfRule type="containsBlanks" dxfId="9760" priority="15331">
      <formula>LEN(TRIM(R149))=0</formula>
    </cfRule>
    <cfRule type="containsBlanks" dxfId="9759" priority="15332">
      <formula>LEN(TRIM(R149))=0</formula>
    </cfRule>
    <cfRule type="containsBlanks" dxfId="9758" priority="15333">
      <formula>LEN(TRIM(R149))=0</formula>
    </cfRule>
    <cfRule type="containsBlanks" dxfId="9757" priority="15334">
      <formula>LEN(TRIM(R149))=0</formula>
    </cfRule>
    <cfRule type="containsBlanks" dxfId="9756" priority="15335">
      <formula>LEN(TRIM(R149))=0</formula>
    </cfRule>
    <cfRule type="containsBlanks" dxfId="9755" priority="15336">
      <formula>LEN(TRIM(R149))=0</formula>
    </cfRule>
    <cfRule type="containsBlanks" dxfId="9754" priority="15337">
      <formula>LEN(TRIM(R149))=0</formula>
    </cfRule>
    <cfRule type="containsBlanks" dxfId="9753" priority="15338">
      <formula>LEN(TRIM(R149))=0</formula>
    </cfRule>
    <cfRule type="containsBlanks" dxfId="9752" priority="15339">
      <formula>LEN(TRIM(R149))=0</formula>
    </cfRule>
    <cfRule type="containsBlanks" dxfId="9751" priority="15340">
      <formula>LEN(TRIM(R149))=0</formula>
    </cfRule>
    <cfRule type="containsBlanks" dxfId="9750" priority="15341">
      <formula>LEN(TRIM(R149))=0</formula>
    </cfRule>
    <cfRule type="containsBlanks" dxfId="9749" priority="15342">
      <formula>LEN(TRIM(R149))=0</formula>
    </cfRule>
    <cfRule type="containsBlanks" dxfId="9748" priority="15343">
      <formula>LEN(TRIM(R149))=0</formula>
    </cfRule>
    <cfRule type="containsBlanks" dxfId="9747" priority="15344">
      <formula>LEN(TRIM(R149))=0</formula>
    </cfRule>
    <cfRule type="containsBlanks" dxfId="9746" priority="15345">
      <formula>LEN(TRIM(R149))=0</formula>
    </cfRule>
    <cfRule type="containsBlanks" dxfId="9745" priority="15346">
      <formula>LEN(TRIM(R149))=0</formula>
    </cfRule>
    <cfRule type="containsBlanks" dxfId="9744" priority="15347">
      <formula>LEN(TRIM(R149))=0</formula>
    </cfRule>
    <cfRule type="containsBlanks" dxfId="9743" priority="15348">
      <formula>LEN(TRIM(R149))=0</formula>
    </cfRule>
    <cfRule type="containsBlanks" dxfId="9742" priority="15349">
      <formula>LEN(TRIM(R149))=0</formula>
    </cfRule>
    <cfRule type="containsBlanks" dxfId="9741" priority="15350">
      <formula>LEN(TRIM(R149))=0</formula>
    </cfRule>
    <cfRule type="containsBlanks" dxfId="9740" priority="15351">
      <formula>LEN(TRIM(R149))=0</formula>
    </cfRule>
    <cfRule type="containsBlanks" dxfId="9739" priority="15352">
      <formula>LEN(TRIM(R149))=0</formula>
    </cfRule>
    <cfRule type="containsBlanks" dxfId="9738" priority="15353">
      <formula>LEN(TRIM(R149))=0</formula>
    </cfRule>
    <cfRule type="containsBlanks" dxfId="9737" priority="15354">
      <formula>LEN(TRIM(R149))=0</formula>
    </cfRule>
    <cfRule type="containsBlanks" dxfId="9736" priority="15355">
      <formula>LEN(TRIM(R149))=0</formula>
    </cfRule>
    <cfRule type="containsBlanks" dxfId="9735" priority="15356">
      <formula>LEN(TRIM(R149))=0</formula>
    </cfRule>
    <cfRule type="containsBlanks" dxfId="9734" priority="15357">
      <formula>LEN(TRIM(R149))=0</formula>
    </cfRule>
    <cfRule type="containsBlanks" dxfId="9733" priority="15358">
      <formula>LEN(TRIM(R149))=0</formula>
    </cfRule>
    <cfRule type="containsBlanks" dxfId="9732" priority="15359">
      <formula>LEN(TRIM(R149))=0</formula>
    </cfRule>
    <cfRule type="containsBlanks" dxfId="9731" priority="15360">
      <formula>LEN(TRIM(R149))=0</formula>
    </cfRule>
    <cfRule type="containsBlanks" dxfId="9730" priority="15361">
      <formula>LEN(TRIM(R149))=0</formula>
    </cfRule>
    <cfRule type="containsBlanks" dxfId="9729" priority="15362">
      <formula>LEN(TRIM(R149))=0</formula>
    </cfRule>
    <cfRule type="containsBlanks" dxfId="9728" priority="15363">
      <formula>LEN(TRIM(R149))=0</formula>
    </cfRule>
    <cfRule type="containsBlanks" dxfId="9727" priority="15364">
      <formula>LEN(TRIM(R149))=0</formula>
    </cfRule>
    <cfRule type="containsBlanks" dxfId="9726" priority="15365">
      <formula>LEN(TRIM(R149))=0</formula>
    </cfRule>
    <cfRule type="containsBlanks" dxfId="9725" priority="15366">
      <formula>LEN(TRIM(R149))=0</formula>
    </cfRule>
    <cfRule type="containsBlanks" dxfId="9724" priority="15367">
      <formula>LEN(TRIM(R149))=0</formula>
    </cfRule>
    <cfRule type="containsBlanks" dxfId="9723" priority="15368">
      <formula>LEN(TRIM(R149))=0</formula>
    </cfRule>
    <cfRule type="containsBlanks" dxfId="9722" priority="15369">
      <formula>LEN(TRIM(R149))=0</formula>
    </cfRule>
    <cfRule type="containsBlanks" dxfId="9721" priority="15370">
      <formula>LEN(TRIM(R149))=0</formula>
    </cfRule>
    <cfRule type="containsBlanks" dxfId="9720" priority="15371">
      <formula>LEN(TRIM(R149))=0</formula>
    </cfRule>
    <cfRule type="containsBlanks" dxfId="9719" priority="15372">
      <formula>LEN(TRIM(R149))=0</formula>
    </cfRule>
    <cfRule type="containsBlanks" dxfId="9718" priority="15373">
      <formula>LEN(TRIM(R149))=0</formula>
    </cfRule>
    <cfRule type="containsBlanks" dxfId="9717" priority="15374">
      <formula>LEN(TRIM(R149))=0</formula>
    </cfRule>
    <cfRule type="containsBlanks" dxfId="9716" priority="15375">
      <formula>LEN(TRIM(R149))=0</formula>
    </cfRule>
    <cfRule type="containsBlanks" dxfId="9715" priority="15376">
      <formula>LEN(TRIM(R149))=0</formula>
    </cfRule>
    <cfRule type="containsBlanks" dxfId="9714" priority="15377">
      <formula>LEN(TRIM(R149))=0</formula>
    </cfRule>
    <cfRule type="containsBlanks" dxfId="9713" priority="15378">
      <formula>LEN(TRIM(R149))=0</formula>
    </cfRule>
    <cfRule type="containsBlanks" dxfId="9712" priority="15379">
      <formula>LEN(TRIM(R149))=0</formula>
    </cfRule>
    <cfRule type="containsBlanks" dxfId="9711" priority="15380">
      <formula>LEN(TRIM(R149))=0</formula>
    </cfRule>
    <cfRule type="containsBlanks" dxfId="9710" priority="15381">
      <formula>LEN(TRIM(R149))=0</formula>
    </cfRule>
    <cfRule type="containsBlanks" dxfId="9709" priority="15382">
      <formula>LEN(TRIM(R149))=0</formula>
    </cfRule>
    <cfRule type="containsBlanks" dxfId="9708" priority="15383">
      <formula>LEN(TRIM(R149))=0</formula>
    </cfRule>
    <cfRule type="containsBlanks" dxfId="9707" priority="15384">
      <formula>LEN(TRIM(R149))=0</formula>
    </cfRule>
    <cfRule type="containsBlanks" dxfId="9706" priority="15385">
      <formula>LEN(TRIM(R149))=0</formula>
    </cfRule>
    <cfRule type="containsBlanks" dxfId="9705" priority="15386">
      <formula>LEN(TRIM(R149))=0</formula>
    </cfRule>
    <cfRule type="containsBlanks" dxfId="9704" priority="15387">
      <formula>LEN(TRIM(R149))=0</formula>
    </cfRule>
    <cfRule type="containsBlanks" dxfId="9703" priority="15388">
      <formula>LEN(TRIM(R149))=0</formula>
    </cfRule>
    <cfRule type="containsBlanks" dxfId="9702" priority="15389">
      <formula>LEN(TRIM(R149))=0</formula>
    </cfRule>
    <cfRule type="containsBlanks" dxfId="9701" priority="15390">
      <formula>LEN(TRIM(R149))=0</formula>
    </cfRule>
    <cfRule type="containsBlanks" dxfId="9700" priority="15391">
      <formula>LEN(TRIM(R149))=0</formula>
    </cfRule>
    <cfRule type="containsBlanks" dxfId="9699" priority="15392">
      <formula>LEN(TRIM(R149))=0</formula>
    </cfRule>
    <cfRule type="containsBlanks" dxfId="9698" priority="15393">
      <formula>LEN(TRIM(R149))=0</formula>
    </cfRule>
    <cfRule type="containsBlanks" dxfId="9697" priority="15394">
      <formula>LEN(TRIM(R149))=0</formula>
    </cfRule>
    <cfRule type="containsBlanks" dxfId="9696" priority="15395">
      <formula>LEN(TRIM(R149))=0</formula>
    </cfRule>
    <cfRule type="containsBlanks" dxfId="9695" priority="15396">
      <formula>LEN(TRIM(R149))=0</formula>
    </cfRule>
    <cfRule type="containsBlanks" dxfId="9694" priority="15397">
      <formula>LEN(TRIM(R149))=0</formula>
    </cfRule>
    <cfRule type="containsBlanks" dxfId="9693" priority="15398">
      <formula>LEN(TRIM(R149))=0</formula>
    </cfRule>
    <cfRule type="containsBlanks" dxfId="9692" priority="15399">
      <formula>LEN(TRIM(R149))=0</formula>
    </cfRule>
    <cfRule type="containsBlanks" dxfId="9691" priority="15400">
      <formula>LEN(TRIM(R149))=0</formula>
    </cfRule>
    <cfRule type="containsBlanks" dxfId="9690" priority="15401">
      <formula>LEN(TRIM(R149))=0</formula>
    </cfRule>
    <cfRule type="containsBlanks" dxfId="9689" priority="15402">
      <formula>LEN(TRIM(R149))=0</formula>
    </cfRule>
    <cfRule type="containsBlanks" dxfId="9688" priority="15403">
      <formula>LEN(TRIM(R149))=0</formula>
    </cfRule>
    <cfRule type="containsBlanks" dxfId="9687" priority="15404">
      <formula>LEN(TRIM(R149))=0</formula>
    </cfRule>
    <cfRule type="containsBlanks" dxfId="9686" priority="15405">
      <formula>LEN(TRIM(R149))=0</formula>
    </cfRule>
    <cfRule type="containsBlanks" dxfId="9685" priority="15406">
      <formula>LEN(TRIM(R149))=0</formula>
    </cfRule>
    <cfRule type="containsBlanks" dxfId="9684" priority="15407">
      <formula>LEN(TRIM(R149))=0</formula>
    </cfRule>
    <cfRule type="containsBlanks" dxfId="9683" priority="15408">
      <formula>LEN(TRIM(R149))=0</formula>
    </cfRule>
    <cfRule type="containsBlanks" dxfId="9682" priority="15409">
      <formula>LEN(TRIM(R149))=0</formula>
    </cfRule>
    <cfRule type="containsBlanks" dxfId="9681" priority="15410">
      <formula>LEN(TRIM(R149))=0</formula>
    </cfRule>
    <cfRule type="containsBlanks" dxfId="9680" priority="15411">
      <formula>LEN(TRIM(R149))=0</formula>
    </cfRule>
    <cfRule type="containsBlanks" dxfId="9679" priority="15412">
      <formula>LEN(TRIM(R149))=0</formula>
    </cfRule>
    <cfRule type="containsBlanks" dxfId="9678" priority="15413">
      <formula>LEN(TRIM(R149))=0</formula>
    </cfRule>
    <cfRule type="containsBlanks" dxfId="9677" priority="15414">
      <formula>LEN(TRIM(R149))=0</formula>
    </cfRule>
    <cfRule type="containsBlanks" dxfId="9676" priority="15415">
      <formula>LEN(TRIM(R149))=0</formula>
    </cfRule>
    <cfRule type="containsBlanks" dxfId="9675" priority="15416">
      <formula>LEN(TRIM(R149))=0</formula>
    </cfRule>
    <cfRule type="containsBlanks" dxfId="9674" priority="15417">
      <formula>LEN(TRIM(R149))=0</formula>
    </cfRule>
    <cfRule type="containsBlanks" dxfId="9673" priority="15418">
      <formula>LEN(TRIM(R149))=0</formula>
    </cfRule>
    <cfRule type="containsBlanks" dxfId="9672" priority="15419">
      <formula>LEN(TRIM(R149))=0</formula>
    </cfRule>
    <cfRule type="containsBlanks" dxfId="9671" priority="15420">
      <formula>LEN(TRIM(R149))=0</formula>
    </cfRule>
    <cfRule type="containsBlanks" dxfId="9670" priority="15421">
      <formula>LEN(TRIM(R149))=0</formula>
    </cfRule>
    <cfRule type="containsBlanks" dxfId="9669" priority="15422">
      <formula>LEN(TRIM(R149))=0</formula>
    </cfRule>
    <cfRule type="containsBlanks" dxfId="9668" priority="15423">
      <formula>LEN(TRIM(R149))=0</formula>
    </cfRule>
    <cfRule type="containsBlanks" dxfId="9667" priority="15424">
      <formula>LEN(TRIM(R149))=0</formula>
    </cfRule>
    <cfRule type="containsBlanks" dxfId="9666" priority="15425">
      <formula>LEN(TRIM(R149))=0</formula>
    </cfRule>
    <cfRule type="containsBlanks" dxfId="9665" priority="15426">
      <formula>LEN(TRIM(R149))=0</formula>
    </cfRule>
    <cfRule type="containsBlanks" dxfId="9664" priority="15427">
      <formula>LEN(TRIM(R149))=0</formula>
    </cfRule>
    <cfRule type="containsBlanks" dxfId="9663" priority="15428">
      <formula>LEN(TRIM(R149))=0</formula>
    </cfRule>
    <cfRule type="containsBlanks" dxfId="9662" priority="15429">
      <formula>LEN(TRIM(R149))=0</formula>
    </cfRule>
    <cfRule type="containsBlanks" dxfId="9661" priority="15430">
      <formula>LEN(TRIM(R149))=0</formula>
    </cfRule>
    <cfRule type="containsBlanks" dxfId="9660" priority="15431">
      <formula>LEN(TRIM(R149))=0</formula>
    </cfRule>
    <cfRule type="containsBlanks" dxfId="9659" priority="15432">
      <formula>LEN(TRIM(R149))=0</formula>
    </cfRule>
    <cfRule type="containsBlanks" dxfId="9658" priority="15433">
      <formula>LEN(TRIM(R149))=0</formula>
    </cfRule>
    <cfRule type="containsBlanks" dxfId="9657" priority="15434">
      <formula>LEN(TRIM(R149))=0</formula>
    </cfRule>
    <cfRule type="containsBlanks" dxfId="9656" priority="15435">
      <formula>LEN(TRIM(R149))=0</formula>
    </cfRule>
    <cfRule type="containsBlanks" dxfId="9655" priority="15436">
      <formula>LEN(TRIM(R149))=0</formula>
    </cfRule>
    <cfRule type="containsBlanks" dxfId="9654" priority="15437">
      <formula>LEN(TRIM(R149))=0</formula>
    </cfRule>
    <cfRule type="containsBlanks" dxfId="9653" priority="15438">
      <formula>LEN(TRIM(R149))=0</formula>
    </cfRule>
    <cfRule type="containsBlanks" dxfId="9652" priority="15439">
      <formula>LEN(TRIM(R149))=0</formula>
    </cfRule>
    <cfRule type="containsBlanks" dxfId="9651" priority="15440">
      <formula>LEN(TRIM(R149))=0</formula>
    </cfRule>
    <cfRule type="containsBlanks" dxfId="9650" priority="15441">
      <formula>LEN(TRIM(R149))=0</formula>
    </cfRule>
    <cfRule type="containsBlanks" dxfId="9649" priority="15442">
      <formula>LEN(TRIM(R149))=0</formula>
    </cfRule>
    <cfRule type="containsBlanks" dxfId="9648" priority="15443">
      <formula>LEN(TRIM(R149))=0</formula>
    </cfRule>
    <cfRule type="containsBlanks" dxfId="9647" priority="15444">
      <formula>LEN(TRIM(R149))=0</formula>
    </cfRule>
    <cfRule type="containsBlanks" dxfId="9646" priority="15445">
      <formula>LEN(TRIM(R149))=0</formula>
    </cfRule>
    <cfRule type="containsBlanks" dxfId="9645" priority="15446">
      <formula>LEN(TRIM(R149))=0</formula>
    </cfRule>
    <cfRule type="containsBlanks" dxfId="9644" priority="15447">
      <formula>LEN(TRIM(R149))=0</formula>
    </cfRule>
    <cfRule type="containsBlanks" dxfId="9643" priority="15448">
      <formula>LEN(TRIM(R149))=0</formula>
    </cfRule>
    <cfRule type="containsBlanks" dxfId="9642" priority="15449">
      <formula>LEN(TRIM(R149))=0</formula>
    </cfRule>
    <cfRule type="containsBlanks" dxfId="9641" priority="15450">
      <formula>LEN(TRIM(R149))=0</formula>
    </cfRule>
    <cfRule type="containsBlanks" dxfId="9640" priority="15451">
      <formula>LEN(TRIM(R149))=0</formula>
    </cfRule>
    <cfRule type="containsBlanks" dxfId="9639" priority="15452">
      <formula>LEN(TRIM(R149))=0</formula>
    </cfRule>
    <cfRule type="containsBlanks" dxfId="9638" priority="15453">
      <formula>LEN(TRIM(R149))=0</formula>
    </cfRule>
    <cfRule type="containsBlanks" dxfId="9637" priority="15454">
      <formula>LEN(TRIM(R149))=0</formula>
    </cfRule>
    <cfRule type="containsBlanks" dxfId="9636" priority="15455">
      <formula>LEN(TRIM(R149))=0</formula>
    </cfRule>
    <cfRule type="containsBlanks" dxfId="9635" priority="15456">
      <formula>LEN(TRIM(R149))=0</formula>
    </cfRule>
    <cfRule type="containsBlanks" dxfId="9634" priority="15457">
      <formula>LEN(TRIM(R149))=0</formula>
    </cfRule>
  </conditionalFormatting>
  <conditionalFormatting sqref="S99:S130 S132:S158">
    <cfRule type="containsBlanks" dxfId="9633" priority="14635">
      <formula>LEN(TRIM(S99))=0</formula>
    </cfRule>
    <cfRule type="containsBlanks" dxfId="9632" priority="14636">
      <formula>LEN(TRIM(S99))=0</formula>
    </cfRule>
    <cfRule type="containsBlanks" dxfId="9631" priority="14637">
      <formula>LEN(TRIM(S99))=0</formula>
    </cfRule>
    <cfRule type="containsBlanks" dxfId="9630" priority="14638">
      <formula>LEN(TRIM(S99))=0</formula>
    </cfRule>
    <cfRule type="containsBlanks" dxfId="9629" priority="14639">
      <formula>LEN(TRIM(S99))=0</formula>
    </cfRule>
    <cfRule type="containsBlanks" dxfId="9628" priority="14640">
      <formula>LEN(TRIM(S99))=0</formula>
    </cfRule>
    <cfRule type="containsBlanks" dxfId="9627" priority="14641">
      <formula>LEN(TRIM(S99))=0</formula>
    </cfRule>
    <cfRule type="containsBlanks" dxfId="9626" priority="14642">
      <formula>LEN(TRIM(S99))=0</formula>
    </cfRule>
    <cfRule type="containsBlanks" dxfId="9625" priority="14643">
      <formula>LEN(TRIM(S99))=0</formula>
    </cfRule>
    <cfRule type="containsBlanks" dxfId="9624" priority="14644">
      <formula>LEN(TRIM(S99))=0</formula>
    </cfRule>
    <cfRule type="containsBlanks" dxfId="9623" priority="14645">
      <formula>LEN(TRIM(S99))=0</formula>
    </cfRule>
    <cfRule type="containsBlanks" dxfId="9622" priority="14646">
      <formula>LEN(TRIM(S99))=0</formula>
    </cfRule>
    <cfRule type="containsBlanks" dxfId="9621" priority="14647">
      <formula>LEN(TRIM(S99))=0</formula>
    </cfRule>
    <cfRule type="containsBlanks" dxfId="9620" priority="14648">
      <formula>LEN(TRIM(S99))=0</formula>
    </cfRule>
    <cfRule type="containsBlanks" dxfId="9619" priority="14649">
      <formula>LEN(TRIM(S99))=0</formula>
    </cfRule>
    <cfRule type="containsBlanks" dxfId="9618" priority="14650">
      <formula>LEN(TRIM(S99))=0</formula>
    </cfRule>
    <cfRule type="containsBlanks" dxfId="9617" priority="14651">
      <formula>LEN(TRIM(S99))=0</formula>
    </cfRule>
    <cfRule type="containsBlanks" dxfId="9616" priority="14652">
      <formula>LEN(TRIM(S99))=0</formula>
    </cfRule>
    <cfRule type="containsBlanks" dxfId="9615" priority="14653">
      <formula>LEN(TRIM(S99))=0</formula>
    </cfRule>
    <cfRule type="containsBlanks" dxfId="9614" priority="14654">
      <formula>LEN(TRIM(S99))=0</formula>
    </cfRule>
    <cfRule type="containsBlanks" dxfId="9613" priority="14655">
      <formula>LEN(TRIM(S99))=0</formula>
    </cfRule>
    <cfRule type="containsBlanks" dxfId="9612" priority="14656">
      <formula>LEN(TRIM(S99))=0</formula>
    </cfRule>
    <cfRule type="containsBlanks" dxfId="9611" priority="14657">
      <formula>LEN(TRIM(S99))=0</formula>
    </cfRule>
    <cfRule type="containsBlanks" dxfId="9610" priority="14658">
      <formula>LEN(TRIM(S99))=0</formula>
    </cfRule>
    <cfRule type="containsBlanks" dxfId="9609" priority="14659">
      <formula>LEN(TRIM(S99))=0</formula>
    </cfRule>
    <cfRule type="containsBlanks" dxfId="9608" priority="14660">
      <formula>LEN(TRIM(S99))=0</formula>
    </cfRule>
    <cfRule type="containsBlanks" dxfId="9607" priority="14661">
      <formula>LEN(TRIM(S99))=0</formula>
    </cfRule>
    <cfRule type="containsBlanks" dxfId="9606" priority="14662">
      <formula>LEN(TRIM(S99))=0</formula>
    </cfRule>
    <cfRule type="containsBlanks" dxfId="9605" priority="14663">
      <formula>LEN(TRIM(S99))=0</formula>
    </cfRule>
    <cfRule type="containsBlanks" dxfId="9604" priority="14664">
      <formula>LEN(TRIM(S99))=0</formula>
    </cfRule>
    <cfRule type="containsBlanks" dxfId="9603" priority="14665">
      <formula>LEN(TRIM(S99))=0</formula>
    </cfRule>
    <cfRule type="containsBlanks" dxfId="9602" priority="14666">
      <formula>LEN(TRIM(S99))=0</formula>
    </cfRule>
    <cfRule type="containsBlanks" dxfId="9601" priority="14667">
      <formula>LEN(TRIM(S99))=0</formula>
    </cfRule>
    <cfRule type="containsBlanks" dxfId="9600" priority="14668">
      <formula>LEN(TRIM(S99))=0</formula>
    </cfRule>
    <cfRule type="containsBlanks" dxfId="9599" priority="14669">
      <formula>LEN(TRIM(S99))=0</formula>
    </cfRule>
    <cfRule type="containsBlanks" dxfId="9598" priority="14670">
      <formula>LEN(TRIM(S99))=0</formula>
    </cfRule>
    <cfRule type="containsBlanks" dxfId="9597" priority="14671">
      <formula>LEN(TRIM(S99))=0</formula>
    </cfRule>
    <cfRule type="containsBlanks" dxfId="9596" priority="14672">
      <formula>LEN(TRIM(S99))=0</formula>
    </cfRule>
    <cfRule type="containsBlanks" dxfId="9595" priority="14673">
      <formula>LEN(TRIM(S99))=0</formula>
    </cfRule>
    <cfRule type="containsBlanks" dxfId="9594" priority="14674">
      <formula>LEN(TRIM(S99))=0</formula>
    </cfRule>
    <cfRule type="containsBlanks" dxfId="9593" priority="14675">
      <formula>LEN(TRIM(S99))=0</formula>
    </cfRule>
    <cfRule type="containsBlanks" dxfId="9592" priority="14676">
      <formula>LEN(TRIM(S99))=0</formula>
    </cfRule>
    <cfRule type="containsBlanks" dxfId="9591" priority="14677">
      <formula>LEN(TRIM(S99))=0</formula>
    </cfRule>
    <cfRule type="containsBlanks" dxfId="9590" priority="14678">
      <formula>LEN(TRIM(S99))=0</formula>
    </cfRule>
    <cfRule type="containsBlanks" dxfId="9589" priority="14679">
      <formula>LEN(TRIM(S99))=0</formula>
    </cfRule>
    <cfRule type="containsBlanks" dxfId="9588" priority="14680">
      <formula>LEN(TRIM(S99))=0</formula>
    </cfRule>
    <cfRule type="containsBlanks" dxfId="9587" priority="14681">
      <formula>LEN(TRIM(S99))=0</formula>
    </cfRule>
    <cfRule type="containsBlanks" dxfId="9586" priority="14682">
      <formula>LEN(TRIM(S99))=0</formula>
    </cfRule>
    <cfRule type="containsBlanks" dxfId="9585" priority="14683">
      <formula>LEN(TRIM(S99))=0</formula>
    </cfRule>
    <cfRule type="containsBlanks" dxfId="9584" priority="14684">
      <formula>LEN(TRIM(S99))=0</formula>
    </cfRule>
    <cfRule type="containsBlanks" dxfId="9583" priority="14685">
      <formula>LEN(TRIM(S99))=0</formula>
    </cfRule>
    <cfRule type="containsBlanks" dxfId="9582" priority="14686">
      <formula>LEN(TRIM(S99))=0</formula>
    </cfRule>
    <cfRule type="containsBlanks" dxfId="9581" priority="14687">
      <formula>LEN(TRIM(S99))=0</formula>
    </cfRule>
    <cfRule type="containsBlanks" dxfId="9580" priority="14688">
      <formula>LEN(TRIM(S99))=0</formula>
    </cfRule>
  </conditionalFormatting>
  <conditionalFormatting sqref="S99:S130 S132:S158">
    <cfRule type="containsBlanks" dxfId="9579" priority="14689">
      <formula>LEN(TRIM(S99))=0</formula>
    </cfRule>
  </conditionalFormatting>
  <conditionalFormatting sqref="S131">
    <cfRule type="containsBlanks" dxfId="9578" priority="4030">
      <formula>LEN(TRIM(S131))=0</formula>
    </cfRule>
    <cfRule type="containsBlanks" dxfId="9577" priority="4031">
      <formula>LEN(TRIM(S131))=0</formula>
    </cfRule>
    <cfRule type="containsBlanks" dxfId="9576" priority="4032">
      <formula>LEN(TRIM(S131))=0</formula>
    </cfRule>
    <cfRule type="containsBlanks" dxfId="9575" priority="4033">
      <formula>LEN(TRIM(S131))=0</formula>
    </cfRule>
    <cfRule type="containsBlanks" dxfId="9574" priority="4034">
      <formula>LEN(TRIM(S131))=0</formula>
    </cfRule>
    <cfRule type="containsBlanks" dxfId="9573" priority="4035">
      <formula>LEN(TRIM(S131))=0</formula>
    </cfRule>
    <cfRule type="containsBlanks" dxfId="9572" priority="4036">
      <formula>LEN(TRIM(S131))=0</formula>
    </cfRule>
    <cfRule type="containsBlanks" dxfId="9571" priority="4037">
      <formula>LEN(TRIM(S131))=0</formula>
    </cfRule>
    <cfRule type="containsBlanks" dxfId="9570" priority="4038">
      <formula>LEN(TRIM(S131))=0</formula>
    </cfRule>
    <cfRule type="containsBlanks" dxfId="9569" priority="4039">
      <formula>LEN(TRIM(S131))=0</formula>
    </cfRule>
    <cfRule type="containsBlanks" dxfId="9568" priority="4040">
      <formula>LEN(TRIM(S131))=0</formula>
    </cfRule>
    <cfRule type="containsBlanks" dxfId="9567" priority="4041">
      <formula>LEN(TRIM(S131))=0</formula>
    </cfRule>
    <cfRule type="containsBlanks" dxfId="9566" priority="4042">
      <formula>LEN(TRIM(S131))=0</formula>
    </cfRule>
    <cfRule type="containsBlanks" dxfId="9565" priority="4043">
      <formula>LEN(TRIM(S131))=0</formula>
    </cfRule>
    <cfRule type="containsBlanks" dxfId="9564" priority="4044">
      <formula>LEN(TRIM(S131))=0</formula>
    </cfRule>
    <cfRule type="containsBlanks" dxfId="9563" priority="4045">
      <formula>LEN(TRIM(S131))=0</formula>
    </cfRule>
    <cfRule type="containsBlanks" dxfId="9562" priority="4046">
      <formula>LEN(TRIM(S131))=0</formula>
    </cfRule>
    <cfRule type="containsBlanks" dxfId="9561" priority="4047">
      <formula>LEN(TRIM(S131))=0</formula>
    </cfRule>
    <cfRule type="containsBlanks" dxfId="9560" priority="4048">
      <formula>LEN(TRIM(S131))=0</formula>
    </cfRule>
    <cfRule type="containsBlanks" dxfId="9559" priority="4049">
      <formula>LEN(TRIM(S131))=0</formula>
    </cfRule>
    <cfRule type="containsBlanks" dxfId="9558" priority="4050">
      <formula>LEN(TRIM(S131))=0</formula>
    </cfRule>
    <cfRule type="containsBlanks" dxfId="9557" priority="4051">
      <formula>LEN(TRIM(S131))=0</formula>
    </cfRule>
    <cfRule type="containsBlanks" dxfId="9556" priority="4052">
      <formula>LEN(TRIM(S131))=0</formula>
    </cfRule>
    <cfRule type="containsBlanks" dxfId="9555" priority="4053">
      <formula>LEN(TRIM(S131))=0</formula>
    </cfRule>
    <cfRule type="containsBlanks" dxfId="9554" priority="4054">
      <formula>LEN(TRIM(S131))=0</formula>
    </cfRule>
    <cfRule type="containsBlanks" dxfId="9553" priority="4055">
      <formula>LEN(TRIM(S131))=0</formula>
    </cfRule>
    <cfRule type="containsBlanks" dxfId="9552" priority="4056">
      <formula>LEN(TRIM(S131))=0</formula>
    </cfRule>
    <cfRule type="containsBlanks" dxfId="9551" priority="4057">
      <formula>LEN(TRIM(S131))=0</formula>
    </cfRule>
    <cfRule type="containsBlanks" dxfId="9550" priority="4058">
      <formula>LEN(TRIM(S131))=0</formula>
    </cfRule>
    <cfRule type="containsBlanks" dxfId="9549" priority="4059">
      <formula>LEN(TRIM(S131))=0</formula>
    </cfRule>
    <cfRule type="containsBlanks" dxfId="9548" priority="4060">
      <formula>LEN(TRIM(S131))=0</formula>
    </cfRule>
    <cfRule type="containsBlanks" dxfId="9547" priority="4061">
      <formula>LEN(TRIM(S131))=0</formula>
    </cfRule>
    <cfRule type="containsBlanks" dxfId="9546" priority="4062">
      <formula>LEN(TRIM(S131))=0</formula>
    </cfRule>
    <cfRule type="containsBlanks" dxfId="9545" priority="4063">
      <formula>LEN(TRIM(S131))=0</formula>
    </cfRule>
    <cfRule type="containsBlanks" dxfId="9544" priority="4064">
      <formula>LEN(TRIM(S131))=0</formula>
    </cfRule>
    <cfRule type="containsBlanks" dxfId="9543" priority="4065">
      <formula>LEN(TRIM(S131))=0</formula>
    </cfRule>
    <cfRule type="containsBlanks" dxfId="9542" priority="4066">
      <formula>LEN(TRIM(S131))=0</formula>
    </cfRule>
    <cfRule type="containsBlanks" dxfId="9541" priority="4067">
      <formula>LEN(TRIM(S131))=0</formula>
    </cfRule>
    <cfRule type="containsBlanks" dxfId="9540" priority="4068">
      <formula>LEN(TRIM(S131))=0</formula>
    </cfRule>
    <cfRule type="containsBlanks" dxfId="9539" priority="4069">
      <formula>LEN(TRIM(S131))=0</formula>
    </cfRule>
    <cfRule type="containsBlanks" dxfId="9538" priority="4070">
      <formula>LEN(TRIM(S131))=0</formula>
    </cfRule>
    <cfRule type="containsBlanks" dxfId="9537" priority="4071">
      <formula>LEN(TRIM(S131))=0</formula>
    </cfRule>
    <cfRule type="containsBlanks" dxfId="9536" priority="4072">
      <formula>LEN(TRIM(S131))=0</formula>
    </cfRule>
    <cfRule type="containsBlanks" dxfId="9535" priority="4073">
      <formula>LEN(TRIM(S131))=0</formula>
    </cfRule>
    <cfRule type="containsBlanks" dxfId="9534" priority="4074">
      <formula>LEN(TRIM(S131))=0</formula>
    </cfRule>
    <cfRule type="containsBlanks" dxfId="9533" priority="4075">
      <formula>LEN(TRIM(S131))=0</formula>
    </cfRule>
    <cfRule type="containsBlanks" dxfId="9532" priority="4076">
      <formula>LEN(TRIM(S131))=0</formula>
    </cfRule>
    <cfRule type="containsBlanks" dxfId="9531" priority="4077">
      <formula>LEN(TRIM(S131))=0</formula>
    </cfRule>
    <cfRule type="containsBlanks" dxfId="9530" priority="4078">
      <formula>LEN(TRIM(S131))=0</formula>
    </cfRule>
    <cfRule type="containsBlanks" dxfId="9529" priority="4079">
      <formula>LEN(TRIM(S131))=0</formula>
    </cfRule>
    <cfRule type="containsBlanks" dxfId="9528" priority="4080">
      <formula>LEN(TRIM(S131))=0</formula>
    </cfRule>
    <cfRule type="containsBlanks" dxfId="9527" priority="4081">
      <formula>LEN(TRIM(S131))=0</formula>
    </cfRule>
    <cfRule type="containsBlanks" dxfId="9526" priority="4082">
      <formula>LEN(TRIM(S131))=0</formula>
    </cfRule>
    <cfRule type="containsBlanks" dxfId="9525" priority="4083">
      <formula>LEN(TRIM(S131))=0</formula>
    </cfRule>
    <cfRule type="containsBlanks" dxfId="9524" priority="4084">
      <formula>LEN(TRIM(S131))=0</formula>
    </cfRule>
    <cfRule type="containsBlanks" dxfId="9523" priority="4085">
      <formula>LEN(TRIM(S131))=0</formula>
    </cfRule>
    <cfRule type="containsBlanks" dxfId="9522" priority="4086">
      <formula>LEN(TRIM(S131))=0</formula>
    </cfRule>
    <cfRule type="containsBlanks" dxfId="9521" priority="4087">
      <formula>LEN(TRIM(S131))=0</formula>
    </cfRule>
    <cfRule type="containsBlanks" dxfId="9520" priority="4088">
      <formula>LEN(TRIM(S131))=0</formula>
    </cfRule>
    <cfRule type="containsBlanks" dxfId="9519" priority="4089">
      <formula>LEN(TRIM(S131))=0</formula>
    </cfRule>
    <cfRule type="containsBlanks" dxfId="9518" priority="4090">
      <formula>LEN(TRIM(S131))=0</formula>
    </cfRule>
    <cfRule type="containsBlanks" dxfId="9517" priority="4091">
      <formula>LEN(TRIM(S131))=0</formula>
    </cfRule>
    <cfRule type="containsBlanks" dxfId="9516" priority="4092">
      <formula>LEN(TRIM(S131))=0</formula>
    </cfRule>
    <cfRule type="containsBlanks" dxfId="9515" priority="4093">
      <formula>LEN(TRIM(S131))=0</formula>
    </cfRule>
    <cfRule type="containsBlanks" dxfId="9514" priority="4094">
      <formula>LEN(TRIM(S131))=0</formula>
    </cfRule>
    <cfRule type="containsBlanks" dxfId="9513" priority="4095">
      <formula>LEN(TRIM(S131))=0</formula>
    </cfRule>
    <cfRule type="containsBlanks" dxfId="9512" priority="4096">
      <formula>LEN(TRIM(S131))=0</formula>
    </cfRule>
    <cfRule type="containsBlanks" dxfId="9511" priority="4097">
      <formula>LEN(TRIM(S131))=0</formula>
    </cfRule>
    <cfRule type="containsBlanks" dxfId="9510" priority="4098">
      <formula>LEN(TRIM(S131))=0</formula>
    </cfRule>
    <cfRule type="containsBlanks" dxfId="9509" priority="4099">
      <formula>LEN(TRIM(S131))=0</formula>
    </cfRule>
    <cfRule type="containsBlanks" dxfId="9508" priority="4100">
      <formula>LEN(TRIM(S131))=0</formula>
    </cfRule>
    <cfRule type="containsBlanks" dxfId="9507" priority="4101">
      <formula>LEN(TRIM(S131))=0</formula>
    </cfRule>
    <cfRule type="containsBlanks" dxfId="9506" priority="4102">
      <formula>LEN(TRIM(S131))=0</formula>
    </cfRule>
    <cfRule type="containsBlanks" dxfId="9505" priority="4103">
      <formula>LEN(TRIM(S131))=0</formula>
    </cfRule>
    <cfRule type="containsBlanks" dxfId="9504" priority="4104">
      <formula>LEN(TRIM(S131))=0</formula>
    </cfRule>
    <cfRule type="containsBlanks" dxfId="9503" priority="4105">
      <formula>LEN(TRIM(S131))=0</formula>
    </cfRule>
    <cfRule type="containsBlanks" dxfId="9502" priority="4106">
      <formula>LEN(TRIM(S131))=0</formula>
    </cfRule>
    <cfRule type="containsBlanks" dxfId="9501" priority="4107">
      <formula>LEN(TRIM(S131))=0</formula>
    </cfRule>
    <cfRule type="containsBlanks" dxfId="9500" priority="4108">
      <formula>LEN(TRIM(S131))=0</formula>
    </cfRule>
    <cfRule type="containsBlanks" dxfId="9499" priority="4109">
      <formula>LEN(TRIM(S131))=0</formula>
    </cfRule>
    <cfRule type="containsBlanks" dxfId="9498" priority="4110">
      <formula>LEN(TRIM(S131))=0</formula>
    </cfRule>
    <cfRule type="containsBlanks" dxfId="9497" priority="4111">
      <formula>LEN(TRIM(S131))=0</formula>
    </cfRule>
    <cfRule type="containsBlanks" dxfId="9496" priority="4112">
      <formula>LEN(TRIM(S131))=0</formula>
    </cfRule>
    <cfRule type="containsBlanks" dxfId="9495" priority="4113">
      <formula>LEN(TRIM(S131))=0</formula>
    </cfRule>
    <cfRule type="containsBlanks" dxfId="9494" priority="4114">
      <formula>LEN(TRIM(S131))=0</formula>
    </cfRule>
    <cfRule type="containsBlanks" dxfId="9493" priority="4115">
      <formula>LEN(TRIM(S131))=0</formula>
    </cfRule>
    <cfRule type="containsBlanks" dxfId="9492" priority="4116">
      <formula>LEN(TRIM(S131))=0</formula>
    </cfRule>
    <cfRule type="containsBlanks" dxfId="9491" priority="4117">
      <formula>LEN(TRIM(S131))=0</formula>
    </cfRule>
    <cfRule type="containsBlanks" dxfId="9490" priority="4118">
      <formula>LEN(TRIM(S131))=0</formula>
    </cfRule>
    <cfRule type="containsBlanks" dxfId="9489" priority="4119">
      <formula>LEN(TRIM(S131))=0</formula>
    </cfRule>
    <cfRule type="containsBlanks" dxfId="9488" priority="4120">
      <formula>LEN(TRIM(S131))=0</formula>
    </cfRule>
    <cfRule type="containsBlanks" dxfId="9487" priority="4121">
      <formula>LEN(TRIM(S131))=0</formula>
    </cfRule>
    <cfRule type="containsBlanks" dxfId="9486" priority="4122">
      <formula>LEN(TRIM(S131))=0</formula>
    </cfRule>
    <cfRule type="containsBlanks" dxfId="9485" priority="4123">
      <formula>LEN(TRIM(S131))=0</formula>
    </cfRule>
    <cfRule type="containsBlanks" dxfId="9484" priority="4124">
      <formula>LEN(TRIM(S131))=0</formula>
    </cfRule>
    <cfRule type="containsBlanks" dxfId="9483" priority="4125">
      <formula>LEN(TRIM(S131))=0</formula>
    </cfRule>
    <cfRule type="containsBlanks" dxfId="9482" priority="4126">
      <formula>LEN(TRIM(S131))=0</formula>
    </cfRule>
    <cfRule type="containsBlanks" dxfId="9481" priority="4127">
      <formula>LEN(TRIM(S131))=0</formula>
    </cfRule>
    <cfRule type="containsBlanks" dxfId="9480" priority="4128">
      <formula>LEN(TRIM(S131))=0</formula>
    </cfRule>
    <cfRule type="containsBlanks" dxfId="9479" priority="4129">
      <formula>LEN(TRIM(S131))=0</formula>
    </cfRule>
    <cfRule type="containsBlanks" dxfId="9478" priority="4130">
      <formula>LEN(TRIM(S131))=0</formula>
    </cfRule>
    <cfRule type="containsBlanks" dxfId="9477" priority="4131">
      <formula>LEN(TRIM(S131))=0</formula>
    </cfRule>
    <cfRule type="containsBlanks" dxfId="9476" priority="4132">
      <formula>LEN(TRIM(S131))=0</formula>
    </cfRule>
    <cfRule type="containsBlanks" dxfId="9475" priority="4133">
      <formula>LEN(TRIM(S131))=0</formula>
    </cfRule>
    <cfRule type="containsBlanks" dxfId="9474" priority="4134">
      <formula>LEN(TRIM(S131))=0</formula>
    </cfRule>
    <cfRule type="containsBlanks" dxfId="9473" priority="4135">
      <formula>LEN(TRIM(S131))=0</formula>
    </cfRule>
    <cfRule type="containsBlanks" dxfId="9472" priority="4136">
      <formula>LEN(TRIM(S131))=0</formula>
    </cfRule>
    <cfRule type="containsBlanks" dxfId="9471" priority="4137">
      <formula>LEN(TRIM(S131))=0</formula>
    </cfRule>
    <cfRule type="containsBlanks" dxfId="9470" priority="4138">
      <formula>LEN(TRIM(S131))=0</formula>
    </cfRule>
    <cfRule type="containsBlanks" dxfId="9469" priority="4139">
      <formula>LEN(TRIM(S131))=0</formula>
    </cfRule>
    <cfRule type="containsBlanks" dxfId="9468" priority="4140">
      <formula>LEN(TRIM(S131))=0</formula>
    </cfRule>
    <cfRule type="containsBlanks" dxfId="9467" priority="4141">
      <formula>LEN(TRIM(S131))=0</formula>
    </cfRule>
    <cfRule type="containsBlanks" dxfId="9466" priority="4142">
      <formula>LEN(TRIM(S131))=0</formula>
    </cfRule>
    <cfRule type="containsBlanks" dxfId="9465" priority="4143">
      <formula>LEN(TRIM(S131))=0</formula>
    </cfRule>
    <cfRule type="containsBlanks" dxfId="9464" priority="4144">
      <formula>LEN(TRIM(S131))=0</formula>
    </cfRule>
    <cfRule type="containsBlanks" dxfId="9463" priority="4145">
      <formula>LEN(TRIM(S131))=0</formula>
    </cfRule>
    <cfRule type="containsBlanks" dxfId="9462" priority="4146">
      <formula>LEN(TRIM(S131))=0</formula>
    </cfRule>
    <cfRule type="containsBlanks" dxfId="9461" priority="4147">
      <formula>LEN(TRIM(S131))=0</formula>
    </cfRule>
    <cfRule type="containsBlanks" dxfId="9460" priority="4148">
      <formula>LEN(TRIM(S131))=0</formula>
    </cfRule>
    <cfRule type="containsBlanks" dxfId="9459" priority="4149">
      <formula>LEN(TRIM(S131))=0</formula>
    </cfRule>
    <cfRule type="containsBlanks" dxfId="9458" priority="4150">
      <formula>LEN(TRIM(S131))=0</formula>
    </cfRule>
    <cfRule type="containsBlanks" dxfId="9457" priority="4151">
      <formula>LEN(TRIM(S131))=0</formula>
    </cfRule>
    <cfRule type="containsBlanks" dxfId="9456" priority="4152">
      <formula>LEN(TRIM(S131))=0</formula>
    </cfRule>
    <cfRule type="containsBlanks" dxfId="9455" priority="4153">
      <formula>LEN(TRIM(S131))=0</formula>
    </cfRule>
    <cfRule type="containsBlanks" dxfId="9454" priority="4154">
      <formula>LEN(TRIM(S131))=0</formula>
    </cfRule>
    <cfRule type="containsBlanks" dxfId="9453" priority="4155">
      <formula>LEN(TRIM(S131))=0</formula>
    </cfRule>
    <cfRule type="containsBlanks" dxfId="9452" priority="4156">
      <formula>LEN(TRIM(S131))=0</formula>
    </cfRule>
    <cfRule type="containsBlanks" dxfId="9451" priority="4157">
      <formula>LEN(TRIM(S131))=0</formula>
    </cfRule>
    <cfRule type="containsBlanks" dxfId="9450" priority="4158">
      <formula>LEN(TRIM(S131))=0</formula>
    </cfRule>
    <cfRule type="containsBlanks" dxfId="9449" priority="4159">
      <formula>LEN(TRIM(S131))=0</formula>
    </cfRule>
    <cfRule type="containsBlanks" dxfId="9448" priority="4160">
      <formula>LEN(TRIM(S131))=0</formula>
    </cfRule>
    <cfRule type="containsBlanks" dxfId="9447" priority="4161">
      <formula>LEN(TRIM(S131))=0</formula>
    </cfRule>
    <cfRule type="containsBlanks" dxfId="9446" priority="4162">
      <formula>LEN(TRIM(S131))=0</formula>
    </cfRule>
    <cfRule type="containsBlanks" dxfId="9445" priority="4163">
      <formula>LEN(TRIM(S131))=0</formula>
    </cfRule>
    <cfRule type="containsBlanks" dxfId="9444" priority="4164">
      <formula>LEN(TRIM(S131))=0</formula>
    </cfRule>
    <cfRule type="containsBlanks" dxfId="9443" priority="4165">
      <formula>LEN(TRIM(S131))=0</formula>
    </cfRule>
    <cfRule type="containsBlanks" dxfId="9442" priority="4166">
      <formula>LEN(TRIM(S131))=0</formula>
    </cfRule>
    <cfRule type="containsBlanks" dxfId="9441" priority="4167">
      <formula>LEN(TRIM(S131))=0</formula>
    </cfRule>
    <cfRule type="containsBlanks" dxfId="9440" priority="4168">
      <formula>LEN(TRIM(S131))=0</formula>
    </cfRule>
    <cfRule type="containsBlanks" dxfId="9439" priority="4169">
      <formula>LEN(TRIM(S131))=0</formula>
    </cfRule>
    <cfRule type="containsBlanks" dxfId="9438" priority="4170">
      <formula>LEN(TRIM(S131))=0</formula>
    </cfRule>
    <cfRule type="containsBlanks" dxfId="9437" priority="4171">
      <formula>LEN(TRIM(S131))=0</formula>
    </cfRule>
    <cfRule type="containsBlanks" dxfId="9436" priority="4172">
      <formula>LEN(TRIM(S131))=0</formula>
    </cfRule>
    <cfRule type="containsBlanks" dxfId="9435" priority="4173">
      <formula>LEN(TRIM(S131))=0</formula>
    </cfRule>
    <cfRule type="containsBlanks" dxfId="9434" priority="4174">
      <formula>LEN(TRIM(S131))=0</formula>
    </cfRule>
    <cfRule type="containsBlanks" dxfId="9433" priority="4175">
      <formula>LEN(TRIM(S131))=0</formula>
    </cfRule>
    <cfRule type="containsBlanks" dxfId="9432" priority="4176">
      <formula>LEN(TRIM(S131))=0</formula>
    </cfRule>
    <cfRule type="containsBlanks" dxfId="9431" priority="4177">
      <formula>LEN(TRIM(S131))=0</formula>
    </cfRule>
    <cfRule type="containsBlanks" dxfId="9430" priority="4178">
      <formula>LEN(TRIM(S131))=0</formula>
    </cfRule>
    <cfRule type="containsBlanks" dxfId="9429" priority="4179">
      <formula>LEN(TRIM(S131))=0</formula>
    </cfRule>
    <cfRule type="containsBlanks" dxfId="9428" priority="4180">
      <formula>LEN(TRIM(S131))=0</formula>
    </cfRule>
    <cfRule type="containsBlanks" dxfId="9427" priority="4181">
      <formula>LEN(TRIM(S131))=0</formula>
    </cfRule>
    <cfRule type="containsBlanks" dxfId="9426" priority="4182">
      <formula>LEN(TRIM(S131))=0</formula>
    </cfRule>
    <cfRule type="containsBlanks" dxfId="9425" priority="4183">
      <formula>LEN(TRIM(S131))=0</formula>
    </cfRule>
    <cfRule type="containsBlanks" dxfId="9424" priority="4184">
      <formula>LEN(TRIM(S131))=0</formula>
    </cfRule>
    <cfRule type="containsBlanks" dxfId="9423" priority="4185">
      <formula>LEN(TRIM(S131))=0</formula>
    </cfRule>
    <cfRule type="containsBlanks" dxfId="9422" priority="4186">
      <formula>LEN(TRIM(S131))=0</formula>
    </cfRule>
    <cfRule type="containsBlanks" dxfId="9421" priority="4187">
      <formula>LEN(TRIM(S131))=0</formula>
    </cfRule>
    <cfRule type="containsBlanks" dxfId="9420" priority="4188">
      <formula>LEN(TRIM(S131))=0</formula>
    </cfRule>
    <cfRule type="containsBlanks" dxfId="9419" priority="4189">
      <formula>LEN(TRIM(S131))=0</formula>
    </cfRule>
    <cfRule type="containsBlanks" dxfId="9418" priority="4190">
      <formula>LEN(TRIM(S131))=0</formula>
    </cfRule>
    <cfRule type="containsBlanks" dxfId="9417" priority="4191">
      <formula>LEN(TRIM(S131))=0</formula>
    </cfRule>
    <cfRule type="containsBlanks" dxfId="9416" priority="4192">
      <formula>LEN(TRIM(S131))=0</formula>
    </cfRule>
    <cfRule type="containsBlanks" dxfId="9415" priority="4193">
      <formula>LEN(TRIM(S131))=0</formula>
    </cfRule>
    <cfRule type="containsBlanks" dxfId="9414" priority="4194">
      <formula>LEN(TRIM(S131))=0</formula>
    </cfRule>
    <cfRule type="containsBlanks" dxfId="9413" priority="4195">
      <formula>LEN(TRIM(S131))=0</formula>
    </cfRule>
    <cfRule type="containsBlanks" dxfId="9412" priority="4196">
      <formula>LEN(TRIM(S131))=0</formula>
    </cfRule>
    <cfRule type="containsBlanks" dxfId="9411" priority="4197">
      <formula>LEN(TRIM(S131))=0</formula>
    </cfRule>
    <cfRule type="containsBlanks" dxfId="9410" priority="4198">
      <formula>LEN(TRIM(S131))=0</formula>
    </cfRule>
    <cfRule type="containsBlanks" dxfId="9409" priority="4199">
      <formula>LEN(TRIM(S131))=0</formula>
    </cfRule>
    <cfRule type="containsBlanks" dxfId="9408" priority="4200">
      <formula>LEN(TRIM(S131))=0</formula>
    </cfRule>
    <cfRule type="containsBlanks" dxfId="9407" priority="4201">
      <formula>LEN(TRIM(S131))=0</formula>
    </cfRule>
    <cfRule type="containsBlanks" dxfId="9406" priority="4202">
      <formula>LEN(TRIM(S131))=0</formula>
    </cfRule>
    <cfRule type="containsBlanks" dxfId="9405" priority="4203">
      <formula>LEN(TRIM(S131))=0</formula>
    </cfRule>
    <cfRule type="containsBlanks" dxfId="9404" priority="4204">
      <formula>LEN(TRIM(S131))=0</formula>
    </cfRule>
    <cfRule type="containsBlanks" dxfId="9403" priority="4205">
      <formula>LEN(TRIM(S131))=0</formula>
    </cfRule>
    <cfRule type="containsBlanks" dxfId="9402" priority="4206">
      <formula>LEN(TRIM(S131))=0</formula>
    </cfRule>
    <cfRule type="containsBlanks" dxfId="9401" priority="4207">
      <formula>LEN(TRIM(S131))=0</formula>
    </cfRule>
    <cfRule type="containsBlanks" dxfId="9400" priority="4208">
      <formula>LEN(TRIM(S131))=0</formula>
    </cfRule>
    <cfRule type="containsBlanks" dxfId="9399" priority="4209">
      <formula>LEN(TRIM(S131))=0</formula>
    </cfRule>
    <cfRule type="containsBlanks" dxfId="9398" priority="4210">
      <formula>LEN(TRIM(S131))=0</formula>
    </cfRule>
    <cfRule type="containsBlanks" dxfId="9397" priority="4211">
      <formula>LEN(TRIM(S131))=0</formula>
    </cfRule>
    <cfRule type="containsBlanks" dxfId="9396" priority="4212">
      <formula>LEN(TRIM(S131))=0</formula>
    </cfRule>
    <cfRule type="containsBlanks" dxfId="9395" priority="4213">
      <formula>LEN(TRIM(S131))=0</formula>
    </cfRule>
    <cfRule type="containsBlanks" dxfId="9394" priority="4214">
      <formula>LEN(TRIM(S131))=0</formula>
    </cfRule>
    <cfRule type="containsBlanks" dxfId="9393" priority="4215">
      <formula>LEN(TRIM(S131))=0</formula>
    </cfRule>
    <cfRule type="containsBlanks" dxfId="9392" priority="4216">
      <formula>LEN(TRIM(S131))=0</formula>
    </cfRule>
    <cfRule type="containsBlanks" dxfId="9391" priority="4217">
      <formula>LEN(TRIM(S131))=0</formula>
    </cfRule>
    <cfRule type="containsBlanks" dxfId="9390" priority="4218">
      <formula>LEN(TRIM(S131))=0</formula>
    </cfRule>
    <cfRule type="containsBlanks" dxfId="9389" priority="4219">
      <formula>LEN(TRIM(S131))=0</formula>
    </cfRule>
    <cfRule type="containsBlanks" dxfId="9388" priority="4220">
      <formula>LEN(TRIM(S131))=0</formula>
    </cfRule>
    <cfRule type="containsBlanks" dxfId="9387" priority="4221">
      <formula>LEN(TRIM(S131))=0</formula>
    </cfRule>
    <cfRule type="containsBlanks" dxfId="9386" priority="4222">
      <formula>LEN(TRIM(S131))=0</formula>
    </cfRule>
    <cfRule type="containsBlanks" dxfId="9385" priority="4223">
      <formula>LEN(TRIM(S131))=0</formula>
    </cfRule>
    <cfRule type="containsBlanks" dxfId="9384" priority="4224">
      <formula>LEN(TRIM(S131))=0</formula>
    </cfRule>
    <cfRule type="containsBlanks" dxfId="9383" priority="4225">
      <formula>LEN(TRIM(S131))=0</formula>
    </cfRule>
    <cfRule type="containsBlanks" dxfId="9382" priority="4226">
      <formula>LEN(TRIM(S131))=0</formula>
    </cfRule>
    <cfRule type="containsBlanks" dxfId="9381" priority="4227">
      <formula>LEN(TRIM(S131))=0</formula>
    </cfRule>
    <cfRule type="containsBlanks" dxfId="9380" priority="4228">
      <formula>LEN(TRIM(S131))=0</formula>
    </cfRule>
    <cfRule type="containsBlanks" dxfId="9379" priority="4229">
      <formula>LEN(TRIM(S131))=0</formula>
    </cfRule>
    <cfRule type="containsBlanks" dxfId="9378" priority="4230">
      <formula>LEN(TRIM(S131))=0</formula>
    </cfRule>
    <cfRule type="containsBlanks" dxfId="9377" priority="4231">
      <formula>LEN(TRIM(S131))=0</formula>
    </cfRule>
    <cfRule type="containsBlanks" dxfId="9376" priority="4232">
      <formula>LEN(TRIM(S131))=0</formula>
    </cfRule>
    <cfRule type="containsBlanks" dxfId="9375" priority="4233">
      <formula>LEN(TRIM(S131))=0</formula>
    </cfRule>
    <cfRule type="containsBlanks" dxfId="9374" priority="4234">
      <formula>LEN(TRIM(S131))=0</formula>
    </cfRule>
    <cfRule type="containsBlanks" dxfId="9373" priority="4235">
      <formula>LEN(TRIM(S131))=0</formula>
    </cfRule>
    <cfRule type="containsBlanks" dxfId="9372" priority="4236">
      <formula>LEN(TRIM(S131))=0</formula>
    </cfRule>
    <cfRule type="containsBlanks" dxfId="9371" priority="4237">
      <formula>LEN(TRIM(S131))=0</formula>
    </cfRule>
    <cfRule type="containsBlanks" dxfId="9370" priority="4238">
      <formula>LEN(TRIM(S131))=0</formula>
    </cfRule>
    <cfRule type="containsBlanks" dxfId="9369" priority="4239">
      <formula>LEN(TRIM(S131))=0</formula>
    </cfRule>
    <cfRule type="containsBlanks" dxfId="9368" priority="4240">
      <formula>LEN(TRIM(S131))=0</formula>
    </cfRule>
    <cfRule type="containsBlanks" dxfId="9367" priority="4241">
      <formula>LEN(TRIM(S131))=0</formula>
    </cfRule>
    <cfRule type="containsBlanks" dxfId="9366" priority="4242">
      <formula>LEN(TRIM(S131))=0</formula>
    </cfRule>
    <cfRule type="containsBlanks" dxfId="9365" priority="4243">
      <formula>LEN(TRIM(S131))=0</formula>
    </cfRule>
    <cfRule type="containsBlanks" dxfId="9364" priority="4244">
      <formula>LEN(TRIM(S131))=0</formula>
    </cfRule>
    <cfRule type="containsBlanks" dxfId="9363" priority="4245">
      <formula>LEN(TRIM(S131))=0</formula>
    </cfRule>
    <cfRule type="containsBlanks" dxfId="9362" priority="4246">
      <formula>LEN(TRIM(S131))=0</formula>
    </cfRule>
    <cfRule type="containsBlanks" dxfId="9361" priority="4247">
      <formula>LEN(TRIM(S131))=0</formula>
    </cfRule>
    <cfRule type="containsBlanks" dxfId="9360" priority="4248">
      <formula>LEN(TRIM(S131))=0</formula>
    </cfRule>
    <cfRule type="containsBlanks" dxfId="9359" priority="4249">
      <formula>LEN(TRIM(S131))=0</formula>
    </cfRule>
    <cfRule type="containsBlanks" dxfId="9358" priority="4250">
      <formula>LEN(TRIM(S131))=0</formula>
    </cfRule>
    <cfRule type="containsBlanks" dxfId="9357" priority="4251">
      <formula>LEN(TRIM(S131))=0</formula>
    </cfRule>
    <cfRule type="containsBlanks" dxfId="9356" priority="4252">
      <formula>LEN(TRIM(S131))=0</formula>
    </cfRule>
    <cfRule type="containsBlanks" dxfId="9355" priority="4253">
      <formula>LEN(TRIM(S131))=0</formula>
    </cfRule>
    <cfRule type="containsBlanks" dxfId="9354" priority="4254">
      <formula>LEN(TRIM(S131))=0</formula>
    </cfRule>
    <cfRule type="containsBlanks" dxfId="9353" priority="4255">
      <formula>LEN(TRIM(S131))=0</formula>
    </cfRule>
    <cfRule type="containsBlanks" dxfId="9352" priority="4256">
      <formula>LEN(TRIM(S131))=0</formula>
    </cfRule>
    <cfRule type="containsBlanks" dxfId="9351" priority="4257">
      <formula>LEN(TRIM(S131))=0</formula>
    </cfRule>
    <cfRule type="containsBlanks" dxfId="9350" priority="4258">
      <formula>LEN(TRIM(S131))=0</formula>
    </cfRule>
    <cfRule type="containsBlanks" dxfId="9349" priority="4259">
      <formula>LEN(TRIM(S131))=0</formula>
    </cfRule>
    <cfRule type="containsBlanks" dxfId="9348" priority="4260">
      <formula>LEN(TRIM(S131))=0</formula>
    </cfRule>
    <cfRule type="containsBlanks" dxfId="9347" priority="4261">
      <formula>LEN(TRIM(S131))=0</formula>
    </cfRule>
    <cfRule type="containsBlanks" dxfId="9346" priority="4262">
      <formula>LEN(TRIM(S131))=0</formula>
    </cfRule>
    <cfRule type="containsBlanks" dxfId="9345" priority="4263">
      <formula>LEN(TRIM(S131))=0</formula>
    </cfRule>
    <cfRule type="containsBlanks" dxfId="9344" priority="4264">
      <formula>LEN(TRIM(S131))=0</formula>
    </cfRule>
    <cfRule type="containsBlanks" dxfId="9343" priority="4265">
      <formula>LEN(TRIM(S131))=0</formula>
    </cfRule>
    <cfRule type="containsBlanks" dxfId="9342" priority="4266">
      <formula>LEN(TRIM(S131))=0</formula>
    </cfRule>
    <cfRule type="containsBlanks" dxfId="9341" priority="4267">
      <formula>LEN(TRIM(S131))=0</formula>
    </cfRule>
    <cfRule type="containsBlanks" dxfId="9340" priority="4268">
      <formula>LEN(TRIM(S131))=0</formula>
    </cfRule>
    <cfRule type="containsBlanks" dxfId="9339" priority="4269">
      <formula>LEN(TRIM(S131))=0</formula>
    </cfRule>
    <cfRule type="containsBlanks" dxfId="9338" priority="4270">
      <formula>LEN(TRIM(S131))=0</formula>
    </cfRule>
    <cfRule type="containsBlanks" dxfId="9337" priority="4271">
      <formula>LEN(TRIM(S131))=0</formula>
    </cfRule>
    <cfRule type="containsBlanks" dxfId="9336" priority="4272">
      <formula>LEN(TRIM(S131))=0</formula>
    </cfRule>
    <cfRule type="containsBlanks" dxfId="9335" priority="4273">
      <formula>LEN(TRIM(S131))=0</formula>
    </cfRule>
    <cfRule type="containsBlanks" dxfId="9334" priority="4274">
      <formula>LEN(TRIM(S131))=0</formula>
    </cfRule>
    <cfRule type="containsBlanks" dxfId="9333" priority="4275">
      <formula>LEN(TRIM(S131))=0</formula>
    </cfRule>
    <cfRule type="containsBlanks" dxfId="9332" priority="4276">
      <formula>LEN(TRIM(S131))=0</formula>
    </cfRule>
    <cfRule type="containsBlanks" dxfId="9331" priority="4277">
      <formula>LEN(TRIM(S131))=0</formula>
    </cfRule>
    <cfRule type="containsBlanks" dxfId="9330" priority="4278">
      <formula>LEN(TRIM(S131))=0</formula>
    </cfRule>
    <cfRule type="containsBlanks" dxfId="9329" priority="4279">
      <formula>LEN(TRIM(S131))=0</formula>
    </cfRule>
    <cfRule type="containsBlanks" dxfId="9328" priority="4280">
      <formula>LEN(TRIM(S131))=0</formula>
    </cfRule>
    <cfRule type="containsBlanks" dxfId="9327" priority="4281">
      <formula>LEN(TRIM(S131))=0</formula>
    </cfRule>
    <cfRule type="containsBlanks" dxfId="9326" priority="4282">
      <formula>LEN(TRIM(S131))=0</formula>
    </cfRule>
    <cfRule type="containsBlanks" dxfId="9325" priority="4283">
      <formula>LEN(TRIM(S131))=0</formula>
    </cfRule>
    <cfRule type="containsBlanks" dxfId="9324" priority="4284">
      <formula>LEN(TRIM(S131))=0</formula>
    </cfRule>
    <cfRule type="containsBlanks" dxfId="9323" priority="4285">
      <formula>LEN(TRIM(S131))=0</formula>
    </cfRule>
    <cfRule type="containsBlanks" dxfId="9322" priority="4286">
      <formula>LEN(TRIM(S131))=0</formula>
    </cfRule>
    <cfRule type="containsBlanks" dxfId="9321" priority="4287">
      <formula>LEN(TRIM(S131))=0</formula>
    </cfRule>
    <cfRule type="containsBlanks" dxfId="9320" priority="4288">
      <formula>LEN(TRIM(S131))=0</formula>
    </cfRule>
    <cfRule type="containsBlanks" dxfId="9319" priority="4289">
      <formula>LEN(TRIM(S131))=0</formula>
    </cfRule>
    <cfRule type="containsBlanks" dxfId="9318" priority="4290">
      <formula>LEN(TRIM(S131))=0</formula>
    </cfRule>
    <cfRule type="containsBlanks" dxfId="9317" priority="4291">
      <formula>LEN(TRIM(S131))=0</formula>
    </cfRule>
    <cfRule type="containsBlanks" dxfId="9316" priority="4292">
      <formula>LEN(TRIM(S131))=0</formula>
    </cfRule>
    <cfRule type="containsBlanks" dxfId="9315" priority="4293">
      <formula>LEN(TRIM(S131))=0</formula>
    </cfRule>
    <cfRule type="containsBlanks" dxfId="9314" priority="4294">
      <formula>LEN(TRIM(S131))=0</formula>
    </cfRule>
    <cfRule type="containsBlanks" dxfId="9313" priority="4295">
      <formula>LEN(TRIM(S131))=0</formula>
    </cfRule>
    <cfRule type="containsBlanks" dxfId="9312" priority="4296">
      <formula>LEN(TRIM(S131))=0</formula>
    </cfRule>
    <cfRule type="containsBlanks" dxfId="9311" priority="4297">
      <formula>LEN(TRIM(S131))=0</formula>
    </cfRule>
    <cfRule type="containsBlanks" dxfId="9310" priority="4298">
      <formula>LEN(TRIM(S131))=0</formula>
    </cfRule>
    <cfRule type="containsBlanks" dxfId="9309" priority="4299">
      <formula>LEN(TRIM(S131))=0</formula>
    </cfRule>
    <cfRule type="containsBlanks" dxfId="9308" priority="4300">
      <formula>LEN(TRIM(S131))=0</formula>
    </cfRule>
    <cfRule type="containsBlanks" dxfId="9307" priority="4301">
      <formula>LEN(TRIM(S131))=0</formula>
    </cfRule>
    <cfRule type="containsBlanks" dxfId="9306" priority="4302">
      <formula>LEN(TRIM(S131))=0</formula>
    </cfRule>
    <cfRule type="containsBlanks" dxfId="9305" priority="4303">
      <formula>LEN(TRIM(S131))=0</formula>
    </cfRule>
    <cfRule type="containsBlanks" dxfId="9304" priority="4304">
      <formula>LEN(TRIM(S131))=0</formula>
    </cfRule>
    <cfRule type="containsBlanks" dxfId="9303" priority="4305">
      <formula>LEN(TRIM(S131))=0</formula>
    </cfRule>
    <cfRule type="containsBlanks" dxfId="9302" priority="4306">
      <formula>LEN(TRIM(S131))=0</formula>
    </cfRule>
    <cfRule type="containsBlanks" dxfId="9301" priority="4307">
      <formula>LEN(TRIM(S131))=0</formula>
    </cfRule>
    <cfRule type="containsBlanks" dxfId="9300" priority="4308">
      <formula>LEN(TRIM(S131))=0</formula>
    </cfRule>
    <cfRule type="containsBlanks" dxfId="9299" priority="4309">
      <formula>LEN(TRIM(S131))=0</formula>
    </cfRule>
    <cfRule type="containsBlanks" dxfId="9298" priority="4310">
      <formula>LEN(TRIM(S131))=0</formula>
    </cfRule>
    <cfRule type="containsBlanks" dxfId="9297" priority="4311">
      <formula>LEN(TRIM(S131))=0</formula>
    </cfRule>
    <cfRule type="containsBlanks" dxfId="9296" priority="4312">
      <formula>LEN(TRIM(S131))=0</formula>
    </cfRule>
    <cfRule type="containsBlanks" dxfId="9295" priority="4313">
      <formula>LEN(TRIM(S131))=0</formula>
    </cfRule>
    <cfRule type="containsBlanks" dxfId="9294" priority="4314">
      <formula>LEN(TRIM(S131))=0</formula>
    </cfRule>
    <cfRule type="containsBlanks" dxfId="9293" priority="4315">
      <formula>LEN(TRIM(S131))=0</formula>
    </cfRule>
    <cfRule type="containsBlanks" dxfId="9292" priority="4316">
      <formula>LEN(TRIM(S131))=0</formula>
    </cfRule>
    <cfRule type="containsBlanks" dxfId="9291" priority="4317">
      <formula>LEN(TRIM(S131))=0</formula>
    </cfRule>
    <cfRule type="containsBlanks" dxfId="9290" priority="4318">
      <formula>LEN(TRIM(S131))=0</formula>
    </cfRule>
    <cfRule type="containsBlanks" dxfId="9289" priority="4319">
      <formula>LEN(TRIM(S131))=0</formula>
    </cfRule>
    <cfRule type="containsBlanks" dxfId="9288" priority="4320">
      <formula>LEN(TRIM(S131))=0</formula>
    </cfRule>
    <cfRule type="containsBlanks" dxfId="9287" priority="4321">
      <formula>LEN(TRIM(S131))=0</formula>
    </cfRule>
    <cfRule type="containsBlanks" dxfId="9286" priority="4322">
      <formula>LEN(TRIM(S131))=0</formula>
    </cfRule>
    <cfRule type="containsBlanks" dxfId="9285" priority="4323">
      <formula>LEN(TRIM(S131))=0</formula>
    </cfRule>
    <cfRule type="containsBlanks" dxfId="9284" priority="4324">
      <formula>LEN(TRIM(S131))=0</formula>
    </cfRule>
    <cfRule type="containsBlanks" dxfId="9283" priority="4325">
      <formula>LEN(TRIM(S131))=0</formula>
    </cfRule>
    <cfRule type="containsBlanks" dxfId="9282" priority="4326">
      <formula>LEN(TRIM(S131))=0</formula>
    </cfRule>
    <cfRule type="containsBlanks" dxfId="9281" priority="4327">
      <formula>LEN(TRIM(S131))=0</formula>
    </cfRule>
    <cfRule type="containsBlanks" dxfId="9280" priority="4328">
      <formula>LEN(TRIM(S131))=0</formula>
    </cfRule>
    <cfRule type="containsBlanks" dxfId="9279" priority="4329">
      <formula>LEN(TRIM(S131))=0</formula>
    </cfRule>
    <cfRule type="containsBlanks" dxfId="9278" priority="4330">
      <formula>LEN(TRIM(S131))=0</formula>
    </cfRule>
    <cfRule type="containsBlanks" dxfId="9277" priority="4331">
      <formula>LEN(TRIM(S131))=0</formula>
    </cfRule>
    <cfRule type="containsBlanks" dxfId="9276" priority="4332">
      <formula>LEN(TRIM(S131))=0</formula>
    </cfRule>
    <cfRule type="containsBlanks" dxfId="9275" priority="4333">
      <formula>LEN(TRIM(S131))=0</formula>
    </cfRule>
    <cfRule type="containsBlanks" dxfId="9274" priority="4334">
      <formula>LEN(TRIM(S131))=0</formula>
    </cfRule>
    <cfRule type="containsBlanks" dxfId="9273" priority="4335">
      <formula>LEN(TRIM(S131))=0</formula>
    </cfRule>
    <cfRule type="containsBlanks" dxfId="9272" priority="4336">
      <formula>LEN(TRIM(S131))=0</formula>
    </cfRule>
    <cfRule type="containsBlanks" dxfId="9271" priority="4337">
      <formula>LEN(TRIM(S131))=0</formula>
    </cfRule>
    <cfRule type="containsBlanks" dxfId="9270" priority="4338">
      <formula>LEN(TRIM(S131))=0</formula>
    </cfRule>
    <cfRule type="containsBlanks" dxfId="9269" priority="4339">
      <formula>LEN(TRIM(S131))=0</formula>
    </cfRule>
    <cfRule type="containsBlanks" dxfId="9268" priority="4340">
      <formula>LEN(TRIM(S131))=0</formula>
    </cfRule>
    <cfRule type="containsBlanks" dxfId="9267" priority="4341">
      <formula>LEN(TRIM(S131))=0</formula>
    </cfRule>
    <cfRule type="containsBlanks" dxfId="9266" priority="4342">
      <formula>LEN(TRIM(S131))=0</formula>
    </cfRule>
    <cfRule type="containsBlanks" dxfId="9265" priority="4343">
      <formula>LEN(TRIM(S131))=0</formula>
    </cfRule>
    <cfRule type="containsBlanks" dxfId="9264" priority="4344">
      <formula>LEN(TRIM(S131))=0</formula>
    </cfRule>
    <cfRule type="containsBlanks" dxfId="9263" priority="4345">
      <formula>LEN(TRIM(S131))=0</formula>
    </cfRule>
    <cfRule type="containsBlanks" dxfId="9262" priority="4346">
      <formula>LEN(TRIM(S131))=0</formula>
    </cfRule>
    <cfRule type="containsBlanks" dxfId="9261" priority="4347">
      <formula>LEN(TRIM(S131))=0</formula>
    </cfRule>
    <cfRule type="containsBlanks" dxfId="9260" priority="4348">
      <formula>LEN(TRIM(S131))=0</formula>
    </cfRule>
    <cfRule type="containsBlanks" dxfId="9259" priority="4349">
      <formula>LEN(TRIM(S131))=0</formula>
    </cfRule>
    <cfRule type="containsBlanks" dxfId="9258" priority="4350">
      <formula>LEN(TRIM(S131))=0</formula>
    </cfRule>
    <cfRule type="containsBlanks" dxfId="9257" priority="4351">
      <formula>LEN(TRIM(S131))=0</formula>
    </cfRule>
    <cfRule type="containsBlanks" dxfId="9256" priority="4352">
      <formula>LEN(TRIM(S131))=0</formula>
    </cfRule>
    <cfRule type="containsBlanks" dxfId="9255" priority="4353">
      <formula>LEN(TRIM(S131))=0</formula>
    </cfRule>
    <cfRule type="containsBlanks" dxfId="9254" priority="4354">
      <formula>LEN(TRIM(S131))=0</formula>
    </cfRule>
    <cfRule type="containsBlanks" dxfId="9253" priority="4355">
      <formula>LEN(TRIM(S131))=0</formula>
    </cfRule>
    <cfRule type="containsBlanks" dxfId="9252" priority="4356">
      <formula>LEN(TRIM(S131))=0</formula>
    </cfRule>
    <cfRule type="containsBlanks" dxfId="9251" priority="4357">
      <formula>LEN(TRIM(S131))=0</formula>
    </cfRule>
    <cfRule type="containsBlanks" dxfId="9250" priority="4358">
      <formula>LEN(TRIM(S131))=0</formula>
    </cfRule>
    <cfRule type="containsBlanks" dxfId="9249" priority="4359">
      <formula>LEN(TRIM(S131))=0</formula>
    </cfRule>
    <cfRule type="containsBlanks" dxfId="9248" priority="4360">
      <formula>LEN(TRIM(S131))=0</formula>
    </cfRule>
    <cfRule type="containsBlanks" dxfId="9247" priority="4361">
      <formula>LEN(TRIM(S131))=0</formula>
    </cfRule>
    <cfRule type="containsBlanks" dxfId="9246" priority="4362">
      <formula>LEN(TRIM(S131))=0</formula>
    </cfRule>
    <cfRule type="containsBlanks" dxfId="9245" priority="4363">
      <formula>LEN(TRIM(S131))=0</formula>
    </cfRule>
    <cfRule type="containsBlanks" dxfId="9244" priority="4364">
      <formula>LEN(TRIM(S131))=0</formula>
    </cfRule>
    <cfRule type="containsBlanks" dxfId="9243" priority="4365">
      <formula>LEN(TRIM(S131))=0</formula>
    </cfRule>
    <cfRule type="containsBlanks" dxfId="9242" priority="4366">
      <formula>LEN(TRIM(S131))=0</formula>
    </cfRule>
    <cfRule type="containsBlanks" dxfId="9241" priority="4367">
      <formula>LEN(TRIM(S131))=0</formula>
    </cfRule>
    <cfRule type="containsBlanks" dxfId="9240" priority="4368">
      <formula>LEN(TRIM(S131))=0</formula>
    </cfRule>
    <cfRule type="containsBlanks" dxfId="9239" priority="4369">
      <formula>LEN(TRIM(S131))=0</formula>
    </cfRule>
    <cfRule type="containsBlanks" dxfId="9238" priority="4370">
      <formula>LEN(TRIM(S131))=0</formula>
    </cfRule>
    <cfRule type="containsBlanks" dxfId="9237" priority="4371">
      <formula>LEN(TRIM(S131))=0</formula>
    </cfRule>
    <cfRule type="containsBlanks" dxfId="9236" priority="4372">
      <formula>LEN(TRIM(S131))=0</formula>
    </cfRule>
    <cfRule type="containsBlanks" dxfId="9235" priority="4373">
      <formula>LEN(TRIM(S131))=0</formula>
    </cfRule>
    <cfRule type="containsBlanks" dxfId="9234" priority="4374">
      <formula>LEN(TRIM(S131))=0</formula>
    </cfRule>
    <cfRule type="containsBlanks" dxfId="9233" priority="4375">
      <formula>LEN(TRIM(S131))=0</formula>
    </cfRule>
    <cfRule type="containsBlanks" dxfId="9232" priority="4376">
      <formula>LEN(TRIM(S131))=0</formula>
    </cfRule>
    <cfRule type="containsBlanks" dxfId="9231" priority="4377">
      <formula>LEN(TRIM(S131))=0</formula>
    </cfRule>
    <cfRule type="containsBlanks" dxfId="9230" priority="4378">
      <formula>LEN(TRIM(S131))=0</formula>
    </cfRule>
    <cfRule type="containsBlanks" dxfId="9229" priority="4379">
      <formula>LEN(TRIM(S131))=0</formula>
    </cfRule>
    <cfRule type="containsBlanks" dxfId="9228" priority="4380">
      <formula>LEN(TRIM(S131))=0</formula>
    </cfRule>
    <cfRule type="containsBlanks" dxfId="9227" priority="4381">
      <formula>LEN(TRIM(S131))=0</formula>
    </cfRule>
    <cfRule type="containsBlanks" dxfId="9226" priority="4382">
      <formula>LEN(TRIM(S131))=0</formula>
    </cfRule>
    <cfRule type="containsBlanks" dxfId="9225" priority="4383">
      <formula>LEN(TRIM(S131))=0</formula>
    </cfRule>
    <cfRule type="containsBlanks" dxfId="9224" priority="4384">
      <formula>LEN(TRIM(S131))=0</formula>
    </cfRule>
    <cfRule type="containsBlanks" dxfId="9223" priority="4385">
      <formula>LEN(TRIM(S131))=0</formula>
    </cfRule>
    <cfRule type="containsBlanks" dxfId="9222" priority="4386">
      <formula>LEN(TRIM(S131))=0</formula>
    </cfRule>
    <cfRule type="containsBlanks" dxfId="9221" priority="4387">
      <formula>LEN(TRIM(S131))=0</formula>
    </cfRule>
    <cfRule type="containsBlanks" dxfId="9220" priority="4388">
      <formula>LEN(TRIM(S131))=0</formula>
    </cfRule>
    <cfRule type="containsBlanks" dxfId="9219" priority="4389">
      <formula>LEN(TRIM(S131))=0</formula>
    </cfRule>
    <cfRule type="containsBlanks" dxfId="9218" priority="4390">
      <formula>LEN(TRIM(S131))=0</formula>
    </cfRule>
    <cfRule type="containsBlanks" dxfId="9217" priority="4391">
      <formula>LEN(TRIM(S131))=0</formula>
    </cfRule>
    <cfRule type="containsBlanks" dxfId="9216" priority="4392">
      <formula>LEN(TRIM(S131))=0</formula>
    </cfRule>
    <cfRule type="containsBlanks" dxfId="9215" priority="4393">
      <formula>LEN(TRIM(S131))=0</formula>
    </cfRule>
    <cfRule type="containsBlanks" dxfId="9214" priority="4394">
      <formula>LEN(TRIM(S131))=0</formula>
    </cfRule>
    <cfRule type="containsBlanks" dxfId="9213" priority="4395">
      <formula>LEN(TRIM(S131))=0</formula>
    </cfRule>
    <cfRule type="containsBlanks" dxfId="9212" priority="4396">
      <formula>LEN(TRIM(S131))=0</formula>
    </cfRule>
    <cfRule type="containsBlanks" dxfId="9211" priority="4397">
      <formula>LEN(TRIM(S131))=0</formula>
    </cfRule>
    <cfRule type="containsBlanks" dxfId="9210" priority="4398">
      <formula>LEN(TRIM(S131))=0</formula>
    </cfRule>
    <cfRule type="containsBlanks" dxfId="9209" priority="4399">
      <formula>LEN(TRIM(S131))=0</formula>
    </cfRule>
    <cfRule type="containsBlanks" dxfId="9208" priority="4400">
      <formula>LEN(TRIM(S131))=0</formula>
    </cfRule>
    <cfRule type="containsBlanks" dxfId="9207" priority="4401">
      <formula>LEN(TRIM(S131))=0</formula>
    </cfRule>
    <cfRule type="containsBlanks" dxfId="9206" priority="4402">
      <formula>LEN(TRIM(S131))=0</formula>
    </cfRule>
    <cfRule type="containsBlanks" dxfId="9205" priority="4403">
      <formula>LEN(TRIM(S131))=0</formula>
    </cfRule>
    <cfRule type="containsBlanks" dxfId="9204" priority="4404">
      <formula>LEN(TRIM(S131))=0</formula>
    </cfRule>
    <cfRule type="containsBlanks" dxfId="9203" priority="4405">
      <formula>LEN(TRIM(S131))=0</formula>
    </cfRule>
    <cfRule type="containsBlanks" dxfId="9202" priority="4406">
      <formula>LEN(TRIM(S131))=0</formula>
    </cfRule>
    <cfRule type="containsBlanks" dxfId="9201" priority="4407">
      <formula>LEN(TRIM(S131))=0</formula>
    </cfRule>
    <cfRule type="containsBlanks" dxfId="9200" priority="4408">
      <formula>LEN(TRIM(S131))=0</formula>
    </cfRule>
    <cfRule type="containsBlanks" dxfId="9199" priority="4409">
      <formula>LEN(TRIM(S131))=0</formula>
    </cfRule>
    <cfRule type="containsBlanks" dxfId="9198" priority="4410">
      <formula>LEN(TRIM(S131))=0</formula>
    </cfRule>
    <cfRule type="containsBlanks" dxfId="9197" priority="4411">
      <formula>LEN(TRIM(S131))=0</formula>
    </cfRule>
    <cfRule type="containsBlanks" dxfId="9196" priority="4412">
      <formula>LEN(TRIM(S131))=0</formula>
    </cfRule>
    <cfRule type="containsBlanks" dxfId="9195" priority="4413">
      <formula>LEN(TRIM(S131))=0</formula>
    </cfRule>
    <cfRule type="containsBlanks" dxfId="9194" priority="4414">
      <formula>LEN(TRIM(S131))=0</formula>
    </cfRule>
    <cfRule type="containsBlanks" dxfId="9193" priority="4415">
      <formula>LEN(TRIM(S131))=0</formula>
    </cfRule>
    <cfRule type="containsBlanks" dxfId="9192" priority="4416">
      <formula>LEN(TRIM(S131))=0</formula>
    </cfRule>
    <cfRule type="containsBlanks" dxfId="9191" priority="4417">
      <formula>LEN(TRIM(S131))=0</formula>
    </cfRule>
    <cfRule type="containsBlanks" dxfId="9190" priority="4418">
      <formula>LEN(TRIM(S131))=0</formula>
    </cfRule>
    <cfRule type="containsBlanks" dxfId="9189" priority="4419">
      <formula>LEN(TRIM(S131))=0</formula>
    </cfRule>
    <cfRule type="containsBlanks" dxfId="9188" priority="4420">
      <formula>LEN(TRIM(S131))=0</formula>
    </cfRule>
    <cfRule type="containsBlanks" dxfId="9187" priority="4421">
      <formula>LEN(TRIM(S131))=0</formula>
    </cfRule>
    <cfRule type="containsBlanks" dxfId="9186" priority="4422">
      <formula>LEN(TRIM(S131))=0</formula>
    </cfRule>
    <cfRule type="containsBlanks" dxfId="9185" priority="4423">
      <formula>LEN(TRIM(S131))=0</formula>
    </cfRule>
    <cfRule type="containsBlanks" dxfId="9184" priority="4424">
      <formula>LEN(TRIM(S131))=0</formula>
    </cfRule>
    <cfRule type="containsBlanks" dxfId="9183" priority="4425">
      <formula>LEN(TRIM(S131))=0</formula>
    </cfRule>
    <cfRule type="containsBlanks" dxfId="9182" priority="4426">
      <formula>LEN(TRIM(S131))=0</formula>
    </cfRule>
    <cfRule type="containsBlanks" dxfId="9181" priority="4427">
      <formula>LEN(TRIM(S131))=0</formula>
    </cfRule>
    <cfRule type="containsBlanks" dxfId="9180" priority="4428">
      <formula>LEN(TRIM(S131))=0</formula>
    </cfRule>
    <cfRule type="containsBlanks" dxfId="9179" priority="4429">
      <formula>LEN(TRIM(S131))=0</formula>
    </cfRule>
    <cfRule type="containsBlanks" dxfId="9178" priority="4430">
      <formula>LEN(TRIM(S131))=0</formula>
    </cfRule>
    <cfRule type="containsBlanks" dxfId="9177" priority="4431">
      <formula>LEN(TRIM(S131))=0</formula>
    </cfRule>
    <cfRule type="containsBlanks" dxfId="9176" priority="4432">
      <formula>LEN(TRIM(S131))=0</formula>
    </cfRule>
    <cfRule type="containsBlanks" dxfId="9175" priority="4433">
      <formula>LEN(TRIM(S131))=0</formula>
    </cfRule>
    <cfRule type="containsBlanks" dxfId="9174" priority="4434">
      <formula>LEN(TRIM(S131))=0</formula>
    </cfRule>
    <cfRule type="containsBlanks" dxfId="9173" priority="4435">
      <formula>LEN(TRIM(S131))=0</formula>
    </cfRule>
    <cfRule type="containsBlanks" dxfId="9172" priority="4436">
      <formula>LEN(TRIM(S131))=0</formula>
    </cfRule>
    <cfRule type="containsBlanks" dxfId="9171" priority="4437">
      <formula>LEN(TRIM(S131))=0</formula>
    </cfRule>
    <cfRule type="containsBlanks" dxfId="9170" priority="4438">
      <formula>LEN(TRIM(S131))=0</formula>
    </cfRule>
    <cfRule type="containsBlanks" dxfId="9169" priority="4439">
      <formula>LEN(TRIM(S131))=0</formula>
    </cfRule>
    <cfRule type="containsBlanks" dxfId="9168" priority="4440">
      <formula>LEN(TRIM(S131))=0</formula>
    </cfRule>
    <cfRule type="containsBlanks" dxfId="9167" priority="4441">
      <formula>LEN(TRIM(S131))=0</formula>
    </cfRule>
    <cfRule type="containsBlanks" dxfId="9166" priority="4442">
      <formula>LEN(TRIM(S131))=0</formula>
    </cfRule>
    <cfRule type="containsBlanks" dxfId="9165" priority="4443">
      <formula>LEN(TRIM(S131))=0</formula>
    </cfRule>
    <cfRule type="containsBlanks" dxfId="9164" priority="4444">
      <formula>LEN(TRIM(S131))=0</formula>
    </cfRule>
    <cfRule type="containsBlanks" dxfId="9163" priority="4445">
      <formula>LEN(TRIM(S131))=0</formula>
    </cfRule>
    <cfRule type="containsBlanks" dxfId="9162" priority="4446">
      <formula>LEN(TRIM(S131))=0</formula>
    </cfRule>
    <cfRule type="containsBlanks" dxfId="9161" priority="4447">
      <formula>LEN(TRIM(S131))=0</formula>
    </cfRule>
    <cfRule type="containsBlanks" dxfId="9160" priority="4448">
      <formula>LEN(TRIM(S131))=0</formula>
    </cfRule>
    <cfRule type="containsBlanks" dxfId="9159" priority="4449">
      <formula>LEN(TRIM(S131))=0</formula>
    </cfRule>
    <cfRule type="containsBlanks" dxfId="9158" priority="4450">
      <formula>LEN(TRIM(S131))=0</formula>
    </cfRule>
    <cfRule type="containsBlanks" dxfId="9157" priority="4451">
      <formula>LEN(TRIM(S131))=0</formula>
    </cfRule>
    <cfRule type="containsBlanks" dxfId="9156" priority="4452">
      <formula>LEN(TRIM(S131))=0</formula>
    </cfRule>
    <cfRule type="containsBlanks" dxfId="9155" priority="4453">
      <formula>LEN(TRIM(S131))=0</formula>
    </cfRule>
    <cfRule type="containsBlanks" dxfId="9154" priority="4454">
      <formula>LEN(TRIM(S131))=0</formula>
    </cfRule>
    <cfRule type="containsBlanks" dxfId="9153" priority="4455">
      <formula>LEN(TRIM(S131))=0</formula>
    </cfRule>
    <cfRule type="containsBlanks" dxfId="9152" priority="4456">
      <formula>LEN(TRIM(S131))=0</formula>
    </cfRule>
    <cfRule type="containsBlanks" dxfId="9151" priority="4457">
      <formula>LEN(TRIM(S131))=0</formula>
    </cfRule>
    <cfRule type="containsBlanks" dxfId="9150" priority="4458">
      <formula>LEN(TRIM(S131))=0</formula>
    </cfRule>
    <cfRule type="containsBlanks" dxfId="9149" priority="4459">
      <formula>LEN(TRIM(S131))=0</formula>
    </cfRule>
    <cfRule type="containsBlanks" dxfId="9148" priority="4460">
      <formula>LEN(TRIM(S131))=0</formula>
    </cfRule>
    <cfRule type="containsBlanks" dxfId="9147" priority="4461">
      <formula>LEN(TRIM(S131))=0</formula>
    </cfRule>
    <cfRule type="containsBlanks" dxfId="9146" priority="4462">
      <formula>LEN(TRIM(S131))=0</formula>
    </cfRule>
    <cfRule type="containsBlanks" dxfId="9145" priority="4463">
      <formula>LEN(TRIM(S131))=0</formula>
    </cfRule>
    <cfRule type="containsBlanks" dxfId="9144" priority="4464">
      <formula>LEN(TRIM(S131))=0</formula>
    </cfRule>
    <cfRule type="containsBlanks" dxfId="9143" priority="4465">
      <formula>LEN(TRIM(S131))=0</formula>
    </cfRule>
    <cfRule type="containsBlanks" dxfId="9142" priority="4466">
      <formula>LEN(TRIM(S131))=0</formula>
    </cfRule>
    <cfRule type="containsBlanks" dxfId="9141" priority="4467">
      <formula>LEN(TRIM(S131))=0</formula>
    </cfRule>
    <cfRule type="containsBlanks" dxfId="9140" priority="4468">
      <formula>LEN(TRIM(S131))=0</formula>
    </cfRule>
    <cfRule type="containsBlanks" dxfId="9139" priority="4469">
      <formula>LEN(TRIM(S131))=0</formula>
    </cfRule>
    <cfRule type="containsBlanks" dxfId="9138" priority="4470">
      <formula>LEN(TRIM(S131))=0</formula>
    </cfRule>
    <cfRule type="containsBlanks" dxfId="9137" priority="4471">
      <formula>LEN(TRIM(S131))=0</formula>
    </cfRule>
    <cfRule type="containsBlanks" dxfId="9136" priority="4472">
      <formula>LEN(TRIM(S131))=0</formula>
    </cfRule>
    <cfRule type="containsBlanks" dxfId="9135" priority="4473">
      <formula>LEN(TRIM(S131))=0</formula>
    </cfRule>
    <cfRule type="containsBlanks" dxfId="9134" priority="4474">
      <formula>LEN(TRIM(S131))=0</formula>
    </cfRule>
    <cfRule type="containsBlanks" dxfId="9133" priority="4475">
      <formula>LEN(TRIM(S131))=0</formula>
    </cfRule>
    <cfRule type="containsBlanks" dxfId="9132" priority="4476">
      <formula>LEN(TRIM(S131))=0</formula>
    </cfRule>
    <cfRule type="containsBlanks" dxfId="9131" priority="4477">
      <formula>LEN(TRIM(S131))=0</formula>
    </cfRule>
    <cfRule type="containsBlanks" dxfId="9130" priority="4478">
      <formula>LEN(TRIM(S131))=0</formula>
    </cfRule>
    <cfRule type="containsBlanks" dxfId="9129" priority="4479">
      <formula>LEN(TRIM(S131))=0</formula>
    </cfRule>
    <cfRule type="containsBlanks" dxfId="9128" priority="4480">
      <formula>LEN(TRIM(S131))=0</formula>
    </cfRule>
    <cfRule type="containsBlanks" dxfId="9127" priority="4481">
      <formula>LEN(TRIM(S131))=0</formula>
    </cfRule>
    <cfRule type="containsBlanks" dxfId="9126" priority="4482">
      <formula>LEN(TRIM(S131))=0</formula>
    </cfRule>
    <cfRule type="containsBlanks" dxfId="9125" priority="4483">
      <formula>LEN(TRIM(S131))=0</formula>
    </cfRule>
    <cfRule type="containsBlanks" dxfId="9124" priority="4484">
      <formula>LEN(TRIM(S131))=0</formula>
    </cfRule>
    <cfRule type="containsBlanks" dxfId="9123" priority="4485">
      <formula>LEN(TRIM(S131))=0</formula>
    </cfRule>
    <cfRule type="containsBlanks" dxfId="9122" priority="4486">
      <formula>LEN(TRIM(S131))=0</formula>
    </cfRule>
    <cfRule type="containsBlanks" dxfId="9121" priority="4487">
      <formula>LEN(TRIM(S131))=0</formula>
    </cfRule>
    <cfRule type="containsBlanks" dxfId="9120" priority="4488">
      <formula>LEN(TRIM(S131))=0</formula>
    </cfRule>
    <cfRule type="containsBlanks" dxfId="9119" priority="4489">
      <formula>LEN(TRIM(S131))=0</formula>
    </cfRule>
    <cfRule type="containsBlanks" dxfId="9118" priority="4490">
      <formula>LEN(TRIM(S131))=0</formula>
    </cfRule>
    <cfRule type="containsBlanks" dxfId="9117" priority="4491">
      <formula>LEN(TRIM(S131))=0</formula>
    </cfRule>
    <cfRule type="containsBlanks" dxfId="9116" priority="4492">
      <formula>LEN(TRIM(S131))=0</formula>
    </cfRule>
    <cfRule type="containsBlanks" dxfId="9115" priority="4493">
      <formula>LEN(TRIM(S131))=0</formula>
    </cfRule>
    <cfRule type="containsBlanks" dxfId="9114" priority="4494">
      <formula>LEN(TRIM(S131))=0</formula>
    </cfRule>
    <cfRule type="containsBlanks" dxfId="9113" priority="4495">
      <formula>LEN(TRIM(S131))=0</formula>
    </cfRule>
    <cfRule type="containsBlanks" dxfId="9112" priority="4496">
      <formula>LEN(TRIM(S131))=0</formula>
    </cfRule>
    <cfRule type="containsBlanks" dxfId="9111" priority="4497">
      <formula>LEN(TRIM(S131))=0</formula>
    </cfRule>
    <cfRule type="containsBlanks" dxfId="9110" priority="4498">
      <formula>LEN(TRIM(S131))=0</formula>
    </cfRule>
    <cfRule type="containsBlanks" dxfId="9109" priority="4499">
      <formula>LEN(TRIM(S131))=0</formula>
    </cfRule>
    <cfRule type="containsBlanks" dxfId="9108" priority="4500">
      <formula>LEN(TRIM(S131))=0</formula>
    </cfRule>
    <cfRule type="containsBlanks" dxfId="9107" priority="4501">
      <formula>LEN(TRIM(S131))=0</formula>
    </cfRule>
    <cfRule type="containsBlanks" dxfId="9106" priority="4502">
      <formula>LEN(TRIM(S131))=0</formula>
    </cfRule>
    <cfRule type="containsBlanks" dxfId="9105" priority="4503">
      <formula>LEN(TRIM(S131))=0</formula>
    </cfRule>
    <cfRule type="containsBlanks" dxfId="9104" priority="4504">
      <formula>LEN(TRIM(S131))=0</formula>
    </cfRule>
    <cfRule type="containsBlanks" dxfId="9103" priority="4505">
      <formula>LEN(TRIM(S131))=0</formula>
    </cfRule>
    <cfRule type="containsBlanks" dxfId="9102" priority="4506">
      <formula>LEN(TRIM(S131))=0</formula>
    </cfRule>
    <cfRule type="containsBlanks" dxfId="9101" priority="4507">
      <formula>LEN(TRIM(S131))=0</formula>
    </cfRule>
    <cfRule type="containsBlanks" dxfId="9100" priority="4508">
      <formula>LEN(TRIM(S131))=0</formula>
    </cfRule>
    <cfRule type="containsBlanks" dxfId="9099" priority="4509">
      <formula>LEN(TRIM(S131))=0</formula>
    </cfRule>
    <cfRule type="containsBlanks" dxfId="9098" priority="4510">
      <formula>LEN(TRIM(S131))=0</formula>
    </cfRule>
    <cfRule type="containsBlanks" dxfId="9097" priority="4511">
      <formula>LEN(TRIM(S131))=0</formula>
    </cfRule>
    <cfRule type="containsBlanks" dxfId="9096" priority="4512">
      <formula>LEN(TRIM(S131))=0</formula>
    </cfRule>
    <cfRule type="containsBlanks" dxfId="9095" priority="4513">
      <formula>LEN(TRIM(S131))=0</formula>
    </cfRule>
    <cfRule type="containsBlanks" dxfId="9094" priority="4514">
      <formula>LEN(TRIM(S131))=0</formula>
    </cfRule>
    <cfRule type="containsBlanks" dxfId="9093" priority="4515">
      <formula>LEN(TRIM(S131))=0</formula>
    </cfRule>
    <cfRule type="containsBlanks" dxfId="9092" priority="4516">
      <formula>LEN(TRIM(S131))=0</formula>
    </cfRule>
    <cfRule type="containsBlanks" dxfId="9091" priority="4517">
      <formula>LEN(TRIM(S131))=0</formula>
    </cfRule>
    <cfRule type="containsBlanks" dxfId="9090" priority="4518">
      <formula>LEN(TRIM(S131))=0</formula>
    </cfRule>
    <cfRule type="containsBlanks" dxfId="9089" priority="4519">
      <formula>LEN(TRIM(S131))=0</formula>
    </cfRule>
    <cfRule type="containsBlanks" dxfId="9088" priority="4520">
      <formula>LEN(TRIM(S131))=0</formula>
    </cfRule>
    <cfRule type="containsBlanks" dxfId="9087" priority="4521">
      <formula>LEN(TRIM(S131))=0</formula>
    </cfRule>
    <cfRule type="containsBlanks" dxfId="9086" priority="4522">
      <formula>LEN(TRIM(S131))=0</formula>
    </cfRule>
    <cfRule type="containsBlanks" dxfId="9085" priority="4523">
      <formula>LEN(TRIM(S131))=0</formula>
    </cfRule>
    <cfRule type="containsBlanks" dxfId="9084" priority="4524">
      <formula>LEN(TRIM(S131))=0</formula>
    </cfRule>
    <cfRule type="containsBlanks" dxfId="9083" priority="4525">
      <formula>LEN(TRIM(S131))=0</formula>
    </cfRule>
    <cfRule type="containsBlanks" dxfId="9082" priority="4526">
      <formula>LEN(TRIM(S131))=0</formula>
    </cfRule>
    <cfRule type="containsBlanks" dxfId="9081" priority="4527">
      <formula>LEN(TRIM(S131))=0</formula>
    </cfRule>
    <cfRule type="containsBlanks" dxfId="9080" priority="4528">
      <formula>LEN(TRIM(S131))=0</formula>
    </cfRule>
    <cfRule type="containsBlanks" dxfId="9079" priority="4529">
      <formula>LEN(TRIM(S131))=0</formula>
    </cfRule>
    <cfRule type="containsBlanks" dxfId="9078" priority="4530">
      <formula>LEN(TRIM(S131))=0</formula>
    </cfRule>
    <cfRule type="containsBlanks" dxfId="9077" priority="4531">
      <formula>LEN(TRIM(S131))=0</formula>
    </cfRule>
    <cfRule type="containsBlanks" dxfId="9076" priority="4532">
      <formula>LEN(TRIM(S131))=0</formula>
    </cfRule>
    <cfRule type="containsBlanks" dxfId="9075" priority="4533">
      <formula>LEN(TRIM(S131))=0</formula>
    </cfRule>
    <cfRule type="containsBlanks" dxfId="9074" priority="4534">
      <formula>LEN(TRIM(S131))=0</formula>
    </cfRule>
    <cfRule type="containsBlanks" dxfId="9073" priority="4535">
      <formula>LEN(TRIM(S131))=0</formula>
    </cfRule>
    <cfRule type="containsBlanks" dxfId="9072" priority="4536">
      <formula>LEN(TRIM(S131))=0</formula>
    </cfRule>
    <cfRule type="containsBlanks" dxfId="9071" priority="4537">
      <formula>LEN(TRIM(S131))=0</formula>
    </cfRule>
    <cfRule type="containsBlanks" dxfId="9070" priority="4538">
      <formula>LEN(TRIM(S131))=0</formula>
    </cfRule>
    <cfRule type="containsBlanks" dxfId="9069" priority="4539">
      <formula>LEN(TRIM(S131))=0</formula>
    </cfRule>
    <cfRule type="containsBlanks" dxfId="9068" priority="4540">
      <formula>LEN(TRIM(S131))=0</formula>
    </cfRule>
    <cfRule type="containsBlanks" dxfId="9067" priority="4541">
      <formula>LEN(TRIM(S131))=0</formula>
    </cfRule>
    <cfRule type="containsBlanks" dxfId="9066" priority="4542">
      <formula>LEN(TRIM(S131))=0</formula>
    </cfRule>
    <cfRule type="containsBlanks" dxfId="9065" priority="4543">
      <formula>LEN(TRIM(S131))=0</formula>
    </cfRule>
    <cfRule type="containsBlanks" dxfId="9064" priority="4544">
      <formula>LEN(TRIM(S131))=0</formula>
    </cfRule>
  </conditionalFormatting>
  <conditionalFormatting sqref="T99:T156">
    <cfRule type="containsBlanks" dxfId="9063" priority="6156">
      <formula>LEN(TRIM(T99))=0</formula>
    </cfRule>
    <cfRule type="containsBlanks" dxfId="9062" priority="6157">
      <formula>LEN(TRIM(T99))=0</formula>
    </cfRule>
    <cfRule type="containsBlanks" dxfId="9061" priority="6158">
      <formula>LEN(TRIM(T99))=0</formula>
    </cfRule>
    <cfRule type="containsBlanks" dxfId="9060" priority="6159">
      <formula>LEN(TRIM(T99))=0</formula>
    </cfRule>
    <cfRule type="containsBlanks" dxfId="9059" priority="6160">
      <formula>LEN(TRIM(T99))=0</formula>
    </cfRule>
    <cfRule type="containsBlanks" dxfId="9058" priority="6161">
      <formula>LEN(TRIM(T99))=0</formula>
    </cfRule>
    <cfRule type="containsBlanks" dxfId="9057" priority="6162">
      <formula>LEN(TRIM(T99))=0</formula>
    </cfRule>
    <cfRule type="containsBlanks" dxfId="9056" priority="6163">
      <formula>LEN(TRIM(T99))=0</formula>
    </cfRule>
    <cfRule type="containsBlanks" dxfId="9055" priority="6164">
      <formula>LEN(TRIM(T99))=0</formula>
    </cfRule>
    <cfRule type="containsBlanks" dxfId="9054" priority="6165">
      <formula>LEN(TRIM(T99))=0</formula>
    </cfRule>
    <cfRule type="containsBlanks" dxfId="9053" priority="6166">
      <formula>LEN(TRIM(T99))=0</formula>
    </cfRule>
    <cfRule type="containsBlanks" dxfId="9052" priority="6167">
      <formula>LEN(TRIM(T99))=0</formula>
    </cfRule>
    <cfRule type="containsBlanks" dxfId="9051" priority="6168">
      <formula>LEN(TRIM(T99))=0</formula>
    </cfRule>
    <cfRule type="containsBlanks" dxfId="9050" priority="6169">
      <formula>LEN(TRIM(T99))=0</formula>
    </cfRule>
    <cfRule type="containsBlanks" dxfId="9049" priority="6170">
      <formula>LEN(TRIM(T99))=0</formula>
    </cfRule>
    <cfRule type="containsBlanks" dxfId="9048" priority="6171">
      <formula>LEN(TRIM(T99))=0</formula>
    </cfRule>
    <cfRule type="containsBlanks" dxfId="9047" priority="6172">
      <formula>LEN(TRIM(T99))=0</formula>
    </cfRule>
    <cfRule type="containsBlanks" dxfId="9046" priority="6173">
      <formula>LEN(TRIM(T99))=0</formula>
    </cfRule>
    <cfRule type="containsBlanks" dxfId="9045" priority="6174">
      <formula>LEN(TRIM(T99))=0</formula>
    </cfRule>
    <cfRule type="containsBlanks" dxfId="9044" priority="6175">
      <formula>LEN(TRIM(T99))=0</formula>
    </cfRule>
    <cfRule type="containsBlanks" dxfId="9043" priority="6176">
      <formula>LEN(TRIM(T99))=0</formula>
    </cfRule>
    <cfRule type="containsBlanks" dxfId="9042" priority="6177">
      <formula>LEN(TRIM(T99))=0</formula>
    </cfRule>
    <cfRule type="containsBlanks" dxfId="9041" priority="6178">
      <formula>LEN(TRIM(T99))=0</formula>
    </cfRule>
    <cfRule type="containsBlanks" dxfId="9040" priority="6179">
      <formula>LEN(TRIM(T99))=0</formula>
    </cfRule>
    <cfRule type="containsBlanks" dxfId="9039" priority="6180">
      <formula>LEN(TRIM(T99))=0</formula>
    </cfRule>
    <cfRule type="containsBlanks" dxfId="9038" priority="6181">
      <formula>LEN(TRIM(T99))=0</formula>
    </cfRule>
    <cfRule type="containsBlanks" dxfId="9037" priority="6182">
      <formula>LEN(TRIM(T99))=0</formula>
    </cfRule>
    <cfRule type="containsBlanks" dxfId="9036" priority="6183">
      <formula>LEN(TRIM(T99))=0</formula>
    </cfRule>
    <cfRule type="containsBlanks" dxfId="9035" priority="6184">
      <formula>LEN(TRIM(T99))=0</formula>
    </cfRule>
    <cfRule type="containsBlanks" dxfId="9034" priority="6185">
      <formula>LEN(TRIM(T99))=0</formula>
    </cfRule>
    <cfRule type="containsBlanks" dxfId="9033" priority="6186">
      <formula>LEN(TRIM(T99))=0</formula>
    </cfRule>
    <cfRule type="containsBlanks" dxfId="9032" priority="6187">
      <formula>LEN(TRIM(T99))=0</formula>
    </cfRule>
    <cfRule type="containsBlanks" dxfId="9031" priority="6188">
      <formula>LEN(TRIM(T99))=0</formula>
    </cfRule>
    <cfRule type="containsBlanks" dxfId="9030" priority="6189">
      <formula>LEN(TRIM(T99))=0</formula>
    </cfRule>
    <cfRule type="containsBlanks" dxfId="9029" priority="6190">
      <formula>LEN(TRIM(T99))=0</formula>
    </cfRule>
    <cfRule type="containsBlanks" dxfId="9028" priority="6191">
      <formula>LEN(TRIM(T99))=0</formula>
    </cfRule>
    <cfRule type="containsBlanks" dxfId="9027" priority="6192">
      <formula>LEN(TRIM(T99))=0</formula>
    </cfRule>
    <cfRule type="containsBlanks" dxfId="9026" priority="6193">
      <formula>LEN(TRIM(T99))=0</formula>
    </cfRule>
    <cfRule type="containsBlanks" dxfId="9025" priority="6194">
      <formula>LEN(TRIM(T99))=0</formula>
    </cfRule>
    <cfRule type="containsBlanks" dxfId="9024" priority="6195">
      <formula>LEN(TRIM(T99))=0</formula>
    </cfRule>
    <cfRule type="containsBlanks" dxfId="9023" priority="6196">
      <formula>LEN(TRIM(T99))=0</formula>
    </cfRule>
    <cfRule type="containsBlanks" dxfId="9022" priority="6197">
      <formula>LEN(TRIM(T99))=0</formula>
    </cfRule>
    <cfRule type="containsBlanks" dxfId="9021" priority="6198">
      <formula>LEN(TRIM(T99))=0</formula>
    </cfRule>
    <cfRule type="containsBlanks" dxfId="9020" priority="6199">
      <formula>LEN(TRIM(T99))=0</formula>
    </cfRule>
    <cfRule type="containsBlanks" dxfId="9019" priority="6200">
      <formula>LEN(TRIM(T99))=0</formula>
    </cfRule>
    <cfRule type="containsBlanks" dxfId="9018" priority="6201">
      <formula>LEN(TRIM(T99))=0</formula>
    </cfRule>
    <cfRule type="containsBlanks" dxfId="9017" priority="6202">
      <formula>LEN(TRIM(T99))=0</formula>
    </cfRule>
    <cfRule type="containsBlanks" dxfId="9016" priority="6203">
      <formula>LEN(TRIM(T99))=0</formula>
    </cfRule>
    <cfRule type="containsBlanks" dxfId="9015" priority="6204">
      <formula>LEN(TRIM(T99))=0</formula>
    </cfRule>
    <cfRule type="containsBlanks" dxfId="9014" priority="6205">
      <formula>LEN(TRIM(T99))=0</formula>
    </cfRule>
    <cfRule type="containsBlanks" dxfId="9013" priority="6206">
      <formula>LEN(TRIM(T99))=0</formula>
    </cfRule>
    <cfRule type="containsBlanks" dxfId="9012" priority="6207">
      <formula>LEN(TRIM(T99))=0</formula>
    </cfRule>
    <cfRule type="containsBlanks" dxfId="9011" priority="6208">
      <formula>LEN(TRIM(T99))=0</formula>
    </cfRule>
    <cfRule type="containsBlanks" dxfId="9010" priority="6209">
      <formula>LEN(TRIM(T99))=0</formula>
    </cfRule>
    <cfRule type="containsBlanks" dxfId="9009" priority="6210">
      <formula>LEN(TRIM(T99))=0</formula>
    </cfRule>
    <cfRule type="containsBlanks" dxfId="9008" priority="6211">
      <formula>LEN(TRIM(T99))=0</formula>
    </cfRule>
    <cfRule type="containsBlanks" dxfId="9007" priority="6212">
      <formula>LEN(TRIM(T99))=0</formula>
    </cfRule>
    <cfRule type="containsBlanks" dxfId="9006" priority="6213">
      <formula>LEN(TRIM(T99))=0</formula>
    </cfRule>
    <cfRule type="containsBlanks" dxfId="9005" priority="6214">
      <formula>LEN(TRIM(T99))=0</formula>
    </cfRule>
    <cfRule type="containsBlanks" dxfId="9004" priority="6215">
      <formula>LEN(TRIM(T99))=0</formula>
    </cfRule>
    <cfRule type="containsBlanks" dxfId="9003" priority="6216">
      <formula>LEN(TRIM(T99))=0</formula>
    </cfRule>
    <cfRule type="containsBlanks" dxfId="9002" priority="6217">
      <formula>LEN(TRIM(T99))=0</formula>
    </cfRule>
    <cfRule type="containsBlanks" dxfId="9001" priority="6218">
      <formula>LEN(TRIM(T99))=0</formula>
    </cfRule>
    <cfRule type="containsBlanks" dxfId="9000" priority="6219">
      <formula>LEN(TRIM(T99))=0</formula>
    </cfRule>
    <cfRule type="containsBlanks" dxfId="8999" priority="6220">
      <formula>LEN(TRIM(T99))=0</formula>
    </cfRule>
    <cfRule type="containsBlanks" dxfId="8998" priority="6221">
      <formula>LEN(TRIM(T99))=0</formula>
    </cfRule>
  </conditionalFormatting>
  <conditionalFormatting sqref="T157:T158">
    <cfRule type="containsBlanks" dxfId="8997" priority="15127">
      <formula>LEN(TRIM(T157))=0</formula>
    </cfRule>
    <cfRule type="containsBlanks" dxfId="8996" priority="15128">
      <formula>LEN(TRIM(T157))=0</formula>
    </cfRule>
    <cfRule type="containsBlanks" dxfId="8995" priority="15129">
      <formula>LEN(TRIM(T157))=0</formula>
    </cfRule>
    <cfRule type="containsBlanks" dxfId="8994" priority="15130">
      <formula>LEN(TRIM(T157))=0</formula>
    </cfRule>
    <cfRule type="containsBlanks" dxfId="8993" priority="15131">
      <formula>LEN(TRIM(T157))=0</formula>
    </cfRule>
    <cfRule type="containsBlanks" dxfId="8992" priority="15132">
      <formula>LEN(TRIM(T157))=0</formula>
    </cfRule>
    <cfRule type="containsBlanks" dxfId="8991" priority="15133">
      <formula>LEN(TRIM(T157))=0</formula>
    </cfRule>
    <cfRule type="containsBlanks" dxfId="8990" priority="15134">
      <formula>LEN(TRIM(T157))=0</formula>
    </cfRule>
    <cfRule type="containsBlanks" dxfId="8989" priority="15135">
      <formula>LEN(TRIM(T157))=0</formula>
    </cfRule>
    <cfRule type="containsBlanks" dxfId="8988" priority="15136">
      <formula>LEN(TRIM(T157))=0</formula>
    </cfRule>
    <cfRule type="containsBlanks" dxfId="8987" priority="15137">
      <formula>LEN(TRIM(T157))=0</formula>
    </cfRule>
    <cfRule type="containsBlanks" dxfId="8986" priority="15138">
      <formula>LEN(TRIM(T157))=0</formula>
    </cfRule>
    <cfRule type="containsBlanks" dxfId="8985" priority="15139">
      <formula>LEN(TRIM(T157))=0</formula>
    </cfRule>
    <cfRule type="containsBlanks" dxfId="8984" priority="15140">
      <formula>LEN(TRIM(T157))=0</formula>
    </cfRule>
    <cfRule type="containsBlanks" dxfId="8983" priority="15141">
      <formula>LEN(TRIM(T157))=0</formula>
    </cfRule>
    <cfRule type="containsBlanks" dxfId="8982" priority="15142">
      <formula>LEN(TRIM(T157))=0</formula>
    </cfRule>
    <cfRule type="containsBlanks" dxfId="8981" priority="15143">
      <formula>LEN(TRIM(T157))=0</formula>
    </cfRule>
    <cfRule type="containsBlanks" dxfId="8980" priority="15144">
      <formula>LEN(TRIM(T157))=0</formula>
    </cfRule>
    <cfRule type="containsBlanks" dxfId="8979" priority="15145">
      <formula>LEN(TRIM(T157))=0</formula>
    </cfRule>
    <cfRule type="containsBlanks" dxfId="8978" priority="15146">
      <formula>LEN(TRIM(T157))=0</formula>
    </cfRule>
    <cfRule type="containsBlanks" dxfId="8977" priority="15147">
      <formula>LEN(TRIM(T157))=0</formula>
    </cfRule>
    <cfRule type="containsBlanks" dxfId="8976" priority="15148">
      <formula>LEN(TRIM(T157))=0</formula>
    </cfRule>
    <cfRule type="containsBlanks" dxfId="8975" priority="15149">
      <formula>LEN(TRIM(T157))=0</formula>
    </cfRule>
    <cfRule type="containsBlanks" dxfId="8974" priority="15150">
      <formula>LEN(TRIM(T157))=0</formula>
    </cfRule>
    <cfRule type="containsBlanks" dxfId="8973" priority="15151">
      <formula>LEN(TRIM(T157))=0</formula>
    </cfRule>
    <cfRule type="containsBlanks" dxfId="8972" priority="15152">
      <formula>LEN(TRIM(T157))=0</formula>
    </cfRule>
    <cfRule type="containsBlanks" dxfId="8971" priority="15153">
      <formula>LEN(TRIM(T157))=0</formula>
    </cfRule>
    <cfRule type="containsBlanks" dxfId="8970" priority="15154">
      <formula>LEN(TRIM(T157))=0</formula>
    </cfRule>
    <cfRule type="containsBlanks" dxfId="8969" priority="15155">
      <formula>LEN(TRIM(T157))=0</formula>
    </cfRule>
    <cfRule type="containsBlanks" dxfId="8968" priority="15156">
      <formula>LEN(TRIM(T157))=0</formula>
    </cfRule>
    <cfRule type="containsBlanks" dxfId="8967" priority="15157">
      <formula>LEN(TRIM(T157))=0</formula>
    </cfRule>
    <cfRule type="containsBlanks" dxfId="8966" priority="15158">
      <formula>LEN(TRIM(T157))=0</formula>
    </cfRule>
    <cfRule type="containsBlanks" dxfId="8965" priority="15159">
      <formula>LEN(TRIM(T157))=0</formula>
    </cfRule>
    <cfRule type="containsBlanks" dxfId="8964" priority="15160">
      <formula>LEN(TRIM(T157))=0</formula>
    </cfRule>
    <cfRule type="containsBlanks" dxfId="8963" priority="15161">
      <formula>LEN(TRIM(T157))=0</formula>
    </cfRule>
    <cfRule type="containsBlanks" dxfId="8962" priority="15162">
      <formula>LEN(TRIM(T157))=0</formula>
    </cfRule>
    <cfRule type="containsBlanks" dxfId="8961" priority="15163">
      <formula>LEN(TRIM(T157))=0</formula>
    </cfRule>
    <cfRule type="containsBlanks" dxfId="8960" priority="15164">
      <formula>LEN(TRIM(T157))=0</formula>
    </cfRule>
    <cfRule type="containsBlanks" dxfId="8959" priority="15165">
      <formula>LEN(TRIM(T157))=0</formula>
    </cfRule>
    <cfRule type="containsBlanks" dxfId="8958" priority="15166">
      <formula>LEN(TRIM(T157))=0</formula>
    </cfRule>
    <cfRule type="containsBlanks" dxfId="8957" priority="15167">
      <formula>LEN(TRIM(T157))=0</formula>
    </cfRule>
    <cfRule type="containsBlanks" dxfId="8956" priority="15168">
      <formula>LEN(TRIM(T157))=0</formula>
    </cfRule>
    <cfRule type="containsBlanks" dxfId="8955" priority="15169">
      <formula>LEN(TRIM(T157))=0</formula>
    </cfRule>
    <cfRule type="containsBlanks" dxfId="8954" priority="15170">
      <formula>LEN(TRIM(T157))=0</formula>
    </cfRule>
    <cfRule type="containsBlanks" dxfId="8953" priority="15171">
      <formula>LEN(TRIM(T157))=0</formula>
    </cfRule>
    <cfRule type="containsBlanks" dxfId="8952" priority="15172">
      <formula>LEN(TRIM(T157))=0</formula>
    </cfRule>
    <cfRule type="containsBlanks" dxfId="8951" priority="15173">
      <formula>LEN(TRIM(T157))=0</formula>
    </cfRule>
    <cfRule type="containsBlanks" dxfId="8950" priority="15174">
      <formula>LEN(TRIM(T157))=0</formula>
    </cfRule>
    <cfRule type="containsBlanks" dxfId="8949" priority="15175">
      <formula>LEN(TRIM(T157))=0</formula>
    </cfRule>
    <cfRule type="containsBlanks" dxfId="8948" priority="15176">
      <formula>LEN(TRIM(T157))=0</formula>
    </cfRule>
    <cfRule type="containsBlanks" dxfId="8947" priority="15177">
      <formula>LEN(TRIM(T157))=0</formula>
    </cfRule>
    <cfRule type="containsBlanks" dxfId="8946" priority="15178">
      <formula>LEN(TRIM(T157))=0</formula>
    </cfRule>
    <cfRule type="containsBlanks" dxfId="8945" priority="15179">
      <formula>LEN(TRIM(T157))=0</formula>
    </cfRule>
    <cfRule type="containsBlanks" dxfId="8944" priority="15180">
      <formula>LEN(TRIM(T157))=0</formula>
    </cfRule>
  </conditionalFormatting>
  <conditionalFormatting sqref="T157:T158">
    <cfRule type="containsBlanks" dxfId="8943" priority="15181">
      <formula>LEN(TRIM(T157))=0</formula>
    </cfRule>
  </conditionalFormatting>
  <conditionalFormatting sqref="U99:U126 U132:U158 U128:U130">
    <cfRule type="containsBlanks" dxfId="8942" priority="6222">
      <formula>LEN(TRIM(U99))=0</formula>
    </cfRule>
    <cfRule type="containsBlanks" dxfId="8941" priority="6223">
      <formula>LEN(TRIM(U99))=0</formula>
    </cfRule>
    <cfRule type="containsBlanks" dxfId="8940" priority="6224">
      <formula>LEN(TRIM(U99))=0</formula>
    </cfRule>
    <cfRule type="containsBlanks" dxfId="8939" priority="6225">
      <formula>LEN(TRIM(U99))=0</formula>
    </cfRule>
    <cfRule type="containsBlanks" dxfId="8938" priority="6226">
      <formula>LEN(TRIM(U99))=0</formula>
    </cfRule>
    <cfRule type="containsBlanks" dxfId="8937" priority="6227">
      <formula>LEN(TRIM(U99))=0</formula>
    </cfRule>
    <cfRule type="containsBlanks" dxfId="8936" priority="6228">
      <formula>LEN(TRIM(U99))=0</formula>
    </cfRule>
    <cfRule type="containsBlanks" dxfId="8935" priority="6229">
      <formula>LEN(TRIM(U99))=0</formula>
    </cfRule>
    <cfRule type="containsBlanks" dxfId="8934" priority="6230">
      <formula>LEN(TRIM(U99))=0</formula>
    </cfRule>
    <cfRule type="containsBlanks" dxfId="8933" priority="6231">
      <formula>LEN(TRIM(U99))=0</formula>
    </cfRule>
    <cfRule type="containsBlanks" dxfId="8932" priority="6232">
      <formula>LEN(TRIM(U99))=0</formula>
    </cfRule>
    <cfRule type="containsBlanks" dxfId="8931" priority="6233">
      <formula>LEN(TRIM(U99))=0</formula>
    </cfRule>
    <cfRule type="containsBlanks" dxfId="8930" priority="6234">
      <formula>LEN(TRIM(U99))=0</formula>
    </cfRule>
    <cfRule type="containsBlanks" dxfId="8929" priority="6235">
      <formula>LEN(TRIM(U99))=0</formula>
    </cfRule>
    <cfRule type="containsBlanks" dxfId="8928" priority="6236">
      <formula>LEN(TRIM(U99))=0</formula>
    </cfRule>
    <cfRule type="containsBlanks" dxfId="8927" priority="6237">
      <formula>LEN(TRIM(U99))=0</formula>
    </cfRule>
    <cfRule type="containsBlanks" dxfId="8926" priority="6238">
      <formula>LEN(TRIM(U99))=0</formula>
    </cfRule>
    <cfRule type="containsBlanks" dxfId="8925" priority="6239">
      <formula>LEN(TRIM(U99))=0</formula>
    </cfRule>
    <cfRule type="containsBlanks" dxfId="8924" priority="6240">
      <formula>LEN(TRIM(U99))=0</formula>
    </cfRule>
    <cfRule type="containsBlanks" dxfId="8923" priority="6241">
      <formula>LEN(TRIM(U99))=0</formula>
    </cfRule>
    <cfRule type="containsBlanks" dxfId="8922" priority="6242">
      <formula>LEN(TRIM(U99))=0</formula>
    </cfRule>
    <cfRule type="containsBlanks" dxfId="8921" priority="6243">
      <formula>LEN(TRIM(U99))=0</formula>
    </cfRule>
    <cfRule type="containsBlanks" dxfId="8920" priority="6244">
      <formula>LEN(TRIM(U99))=0</formula>
    </cfRule>
    <cfRule type="containsBlanks" dxfId="8919" priority="6245">
      <formula>LEN(TRIM(U99))=0</formula>
    </cfRule>
    <cfRule type="containsBlanks" dxfId="8918" priority="6246">
      <formula>LEN(TRIM(U99))=0</formula>
    </cfRule>
    <cfRule type="containsBlanks" dxfId="8917" priority="6247">
      <formula>LEN(TRIM(U99))=0</formula>
    </cfRule>
    <cfRule type="containsBlanks" dxfId="8916" priority="6248">
      <formula>LEN(TRIM(U99))=0</formula>
    </cfRule>
    <cfRule type="containsBlanks" dxfId="8915" priority="6249">
      <formula>LEN(TRIM(U99))=0</formula>
    </cfRule>
  </conditionalFormatting>
  <conditionalFormatting sqref="U131">
    <cfRule type="containsBlanks" dxfId="8914" priority="5641">
      <formula>LEN(TRIM(U131))=0</formula>
    </cfRule>
    <cfRule type="containsBlanks" dxfId="8913" priority="5642">
      <formula>LEN(TRIM(U131))=0</formula>
    </cfRule>
    <cfRule type="containsBlanks" dxfId="8912" priority="5643">
      <formula>LEN(TRIM(U131))=0</formula>
    </cfRule>
    <cfRule type="containsBlanks" dxfId="8911" priority="5644">
      <formula>LEN(TRIM(U131))=0</formula>
    </cfRule>
    <cfRule type="containsBlanks" dxfId="8910" priority="5645">
      <formula>LEN(TRIM(U131))=0</formula>
    </cfRule>
    <cfRule type="containsBlanks" dxfId="8909" priority="5646">
      <formula>LEN(TRIM(U131))=0</formula>
    </cfRule>
    <cfRule type="containsBlanks" dxfId="8908" priority="5647">
      <formula>LEN(TRIM(U131))=0</formula>
    </cfRule>
    <cfRule type="containsBlanks" dxfId="8907" priority="5648">
      <formula>LEN(TRIM(U131))=0</formula>
    </cfRule>
    <cfRule type="containsBlanks" dxfId="8906" priority="5649">
      <formula>LEN(TRIM(U131))=0</formula>
    </cfRule>
    <cfRule type="containsBlanks" dxfId="8905" priority="5650">
      <formula>LEN(TRIM(U131))=0</formula>
    </cfRule>
    <cfRule type="containsBlanks" dxfId="8904" priority="5651">
      <formula>LEN(TRIM(U131))=0</formula>
    </cfRule>
    <cfRule type="containsBlanks" dxfId="8903" priority="5652">
      <formula>LEN(TRIM(U131))=0</formula>
    </cfRule>
    <cfRule type="containsBlanks" dxfId="8902" priority="5653">
      <formula>LEN(TRIM(U131))=0</formula>
    </cfRule>
    <cfRule type="containsBlanks" dxfId="8901" priority="5654">
      <formula>LEN(TRIM(U131))=0</formula>
    </cfRule>
    <cfRule type="containsBlanks" dxfId="8900" priority="5655">
      <formula>LEN(TRIM(U131))=0</formula>
    </cfRule>
    <cfRule type="containsBlanks" dxfId="8899" priority="5656">
      <formula>LEN(TRIM(U131))=0</formula>
    </cfRule>
    <cfRule type="containsBlanks" dxfId="8898" priority="5657">
      <formula>LEN(TRIM(U131))=0</formula>
    </cfRule>
    <cfRule type="containsBlanks" dxfId="8897" priority="5658">
      <formula>LEN(TRIM(U131))=0</formula>
    </cfRule>
    <cfRule type="containsBlanks" dxfId="8896" priority="5659">
      <formula>LEN(TRIM(U131))=0</formula>
    </cfRule>
    <cfRule type="containsBlanks" dxfId="8895" priority="5660">
      <formula>LEN(TRIM(U131))=0</formula>
    </cfRule>
    <cfRule type="containsBlanks" dxfId="8894" priority="5661">
      <formula>LEN(TRIM(U131))=0</formula>
    </cfRule>
    <cfRule type="containsBlanks" dxfId="8893" priority="5662">
      <formula>LEN(TRIM(U131))=0</formula>
    </cfRule>
    <cfRule type="containsBlanks" dxfId="8892" priority="5663">
      <formula>LEN(TRIM(U131))=0</formula>
    </cfRule>
    <cfRule type="containsBlanks" dxfId="8891" priority="5664">
      <formula>LEN(TRIM(U131))=0</formula>
    </cfRule>
    <cfRule type="containsBlanks" dxfId="8890" priority="5665">
      <formula>LEN(TRIM(U131))=0</formula>
    </cfRule>
    <cfRule type="containsBlanks" dxfId="8889" priority="5666">
      <formula>LEN(TRIM(U131))=0</formula>
    </cfRule>
    <cfRule type="containsBlanks" dxfId="8888" priority="5667">
      <formula>LEN(TRIM(U131))=0</formula>
    </cfRule>
    <cfRule type="containsBlanks" dxfId="8887" priority="5668">
      <formula>LEN(TRIM(U131))=0</formula>
    </cfRule>
    <cfRule type="containsBlanks" dxfId="8886" priority="5669">
      <formula>LEN(TRIM(U131))=0</formula>
    </cfRule>
    <cfRule type="containsBlanks" dxfId="8885" priority="5670">
      <formula>LEN(TRIM(U131))=0</formula>
    </cfRule>
    <cfRule type="containsBlanks" dxfId="8884" priority="5671">
      <formula>LEN(TRIM(U131))=0</formula>
    </cfRule>
    <cfRule type="containsBlanks" dxfId="8883" priority="5672">
      <formula>LEN(TRIM(U131))=0</formula>
    </cfRule>
    <cfRule type="containsBlanks" dxfId="8882" priority="5673">
      <formula>LEN(TRIM(U131))=0</formula>
    </cfRule>
    <cfRule type="containsBlanks" dxfId="8881" priority="5674">
      <formula>LEN(TRIM(U131))=0</formula>
    </cfRule>
    <cfRule type="containsBlanks" dxfId="8880" priority="5675">
      <formula>LEN(TRIM(U131))=0</formula>
    </cfRule>
    <cfRule type="containsBlanks" dxfId="8879" priority="5676">
      <formula>LEN(TRIM(U131))=0</formula>
    </cfRule>
    <cfRule type="containsBlanks" dxfId="8878" priority="5677">
      <formula>LEN(TRIM(U131))=0</formula>
    </cfRule>
    <cfRule type="containsBlanks" dxfId="8877" priority="5678">
      <formula>LEN(TRIM(U131))=0</formula>
    </cfRule>
    <cfRule type="containsBlanks" dxfId="8876" priority="5679">
      <formula>LEN(TRIM(U131))=0</formula>
    </cfRule>
    <cfRule type="containsBlanks" dxfId="8875" priority="5680">
      <formula>LEN(TRIM(U131))=0</formula>
    </cfRule>
    <cfRule type="containsBlanks" dxfId="8874" priority="5681">
      <formula>LEN(TRIM(U131))=0</formula>
    </cfRule>
    <cfRule type="containsBlanks" dxfId="8873" priority="5682">
      <formula>LEN(TRIM(U131))=0</formula>
    </cfRule>
    <cfRule type="containsBlanks" dxfId="8872" priority="5683">
      <formula>LEN(TRIM(U131))=0</formula>
    </cfRule>
    <cfRule type="containsBlanks" dxfId="8871" priority="5684">
      <formula>LEN(TRIM(U131))=0</formula>
    </cfRule>
    <cfRule type="containsBlanks" dxfId="8870" priority="5685">
      <formula>LEN(TRIM(U131))=0</formula>
    </cfRule>
    <cfRule type="containsBlanks" dxfId="8869" priority="5686">
      <formula>LEN(TRIM(U131))=0</formula>
    </cfRule>
    <cfRule type="containsBlanks" dxfId="8868" priority="5687">
      <formula>LEN(TRIM(U131))=0</formula>
    </cfRule>
    <cfRule type="containsBlanks" dxfId="8867" priority="5688">
      <formula>LEN(TRIM(U131))=0</formula>
    </cfRule>
    <cfRule type="containsBlanks" dxfId="8866" priority="5689">
      <formula>LEN(TRIM(U131))=0</formula>
    </cfRule>
    <cfRule type="containsBlanks" dxfId="8865" priority="5690">
      <formula>LEN(TRIM(U131))=0</formula>
    </cfRule>
    <cfRule type="containsBlanks" dxfId="8864" priority="5691">
      <formula>LEN(TRIM(U131))=0</formula>
    </cfRule>
    <cfRule type="containsBlanks" dxfId="8863" priority="5692">
      <formula>LEN(TRIM(U131))=0</formula>
    </cfRule>
    <cfRule type="containsBlanks" dxfId="8862" priority="5693">
      <formula>LEN(TRIM(U131))=0</formula>
    </cfRule>
    <cfRule type="containsBlanks" dxfId="8861" priority="5694">
      <formula>LEN(TRIM(U131))=0</formula>
    </cfRule>
    <cfRule type="containsBlanks" dxfId="8860" priority="5695">
      <formula>LEN(TRIM(U131))=0</formula>
    </cfRule>
    <cfRule type="containsBlanks" dxfId="8859" priority="5696">
      <formula>LEN(TRIM(U131))=0</formula>
    </cfRule>
    <cfRule type="containsBlanks" dxfId="8858" priority="5697">
      <formula>LEN(TRIM(U131))=0</formula>
    </cfRule>
    <cfRule type="containsBlanks" dxfId="8857" priority="5698">
      <formula>LEN(TRIM(U131))=0</formula>
    </cfRule>
    <cfRule type="containsBlanks" dxfId="8856" priority="5699">
      <formula>LEN(TRIM(U131))=0</formula>
    </cfRule>
    <cfRule type="containsBlanks" dxfId="8855" priority="5700">
      <formula>LEN(TRIM(U131))=0</formula>
    </cfRule>
    <cfRule type="containsBlanks" dxfId="8854" priority="5701">
      <formula>LEN(TRIM(U131))=0</formula>
    </cfRule>
    <cfRule type="containsBlanks" dxfId="8853" priority="5702">
      <formula>LEN(TRIM(U131))=0</formula>
    </cfRule>
    <cfRule type="containsBlanks" dxfId="8852" priority="5703">
      <formula>LEN(TRIM(U131))=0</formula>
    </cfRule>
    <cfRule type="containsBlanks" dxfId="8851" priority="5704">
      <formula>LEN(TRIM(U131))=0</formula>
    </cfRule>
    <cfRule type="containsBlanks" dxfId="8850" priority="5705">
      <formula>LEN(TRIM(U131))=0</formula>
    </cfRule>
    <cfRule type="containsBlanks" dxfId="8849" priority="5706">
      <formula>LEN(TRIM(U131))=0</formula>
    </cfRule>
    <cfRule type="containsBlanks" dxfId="8848" priority="5707">
      <formula>LEN(TRIM(U131))=0</formula>
    </cfRule>
    <cfRule type="containsBlanks" dxfId="8847" priority="5708">
      <formula>LEN(TRIM(U131))=0</formula>
    </cfRule>
    <cfRule type="containsBlanks" dxfId="8846" priority="5709">
      <formula>LEN(TRIM(U131))=0</formula>
    </cfRule>
    <cfRule type="containsBlanks" dxfId="8845" priority="5710">
      <formula>LEN(TRIM(U131))=0</formula>
    </cfRule>
    <cfRule type="containsBlanks" dxfId="8844" priority="5711">
      <formula>LEN(TRIM(U131))=0</formula>
    </cfRule>
    <cfRule type="containsBlanks" dxfId="8843" priority="5712">
      <formula>LEN(TRIM(U131))=0</formula>
    </cfRule>
    <cfRule type="containsBlanks" dxfId="8842" priority="5713">
      <formula>LEN(TRIM(U131))=0</formula>
    </cfRule>
    <cfRule type="containsBlanks" dxfId="8841" priority="5714">
      <formula>LEN(TRIM(U131))=0</formula>
    </cfRule>
    <cfRule type="containsBlanks" dxfId="8840" priority="5715">
      <formula>LEN(TRIM(U131))=0</formula>
    </cfRule>
    <cfRule type="containsBlanks" dxfId="8839" priority="5716">
      <formula>LEN(TRIM(U131))=0</formula>
    </cfRule>
    <cfRule type="containsBlanks" dxfId="8838" priority="5717">
      <formula>LEN(TRIM(U131))=0</formula>
    </cfRule>
    <cfRule type="containsBlanks" dxfId="8837" priority="5718">
      <formula>LEN(TRIM(U131))=0</formula>
    </cfRule>
    <cfRule type="containsBlanks" dxfId="8836" priority="5719">
      <formula>LEN(TRIM(U131))=0</formula>
    </cfRule>
    <cfRule type="containsBlanks" dxfId="8835" priority="5720">
      <formula>LEN(TRIM(U131))=0</formula>
    </cfRule>
    <cfRule type="containsBlanks" dxfId="8834" priority="5721">
      <formula>LEN(TRIM(U131))=0</formula>
    </cfRule>
    <cfRule type="containsBlanks" dxfId="8833" priority="5722">
      <formula>LEN(TRIM(U131))=0</formula>
    </cfRule>
    <cfRule type="containsBlanks" dxfId="8832" priority="5723">
      <formula>LEN(TRIM(U131))=0</formula>
    </cfRule>
    <cfRule type="containsBlanks" dxfId="8831" priority="5724">
      <formula>LEN(TRIM(U131))=0</formula>
    </cfRule>
    <cfRule type="containsBlanks" dxfId="8830" priority="5725">
      <formula>LEN(TRIM(U131))=0</formula>
    </cfRule>
    <cfRule type="containsBlanks" dxfId="8829" priority="5726">
      <formula>LEN(TRIM(U131))=0</formula>
    </cfRule>
    <cfRule type="containsBlanks" dxfId="8828" priority="5727">
      <formula>LEN(TRIM(U131))=0</formula>
    </cfRule>
    <cfRule type="containsBlanks" dxfId="8827" priority="5728">
      <formula>LEN(TRIM(U131))=0</formula>
    </cfRule>
    <cfRule type="containsBlanks" dxfId="8826" priority="5729">
      <formula>LEN(TRIM(U131))=0</formula>
    </cfRule>
    <cfRule type="containsBlanks" dxfId="8825" priority="5730">
      <formula>LEN(TRIM(U131))=0</formula>
    </cfRule>
    <cfRule type="containsBlanks" dxfId="8824" priority="5731">
      <formula>LEN(TRIM(U131))=0</formula>
    </cfRule>
    <cfRule type="containsBlanks" dxfId="8823" priority="5732">
      <formula>LEN(TRIM(U131))=0</formula>
    </cfRule>
    <cfRule type="containsBlanks" dxfId="8822" priority="5733">
      <formula>LEN(TRIM(U131))=0</formula>
    </cfRule>
    <cfRule type="containsBlanks" dxfId="8821" priority="5734">
      <formula>LEN(TRIM(U131))=0</formula>
    </cfRule>
    <cfRule type="containsBlanks" dxfId="8820" priority="5735">
      <formula>LEN(TRIM(U131))=0</formula>
    </cfRule>
    <cfRule type="containsBlanks" dxfId="8819" priority="5736">
      <formula>LEN(TRIM(U131))=0</formula>
    </cfRule>
    <cfRule type="containsBlanks" dxfId="8818" priority="5737">
      <formula>LEN(TRIM(U131))=0</formula>
    </cfRule>
    <cfRule type="containsBlanks" dxfId="8817" priority="5738">
      <formula>LEN(TRIM(U131))=0</formula>
    </cfRule>
    <cfRule type="containsBlanks" dxfId="8816" priority="5739">
      <formula>LEN(TRIM(U131))=0</formula>
    </cfRule>
    <cfRule type="containsBlanks" dxfId="8815" priority="5740">
      <formula>LEN(TRIM(U131))=0</formula>
    </cfRule>
    <cfRule type="containsBlanks" dxfId="8814" priority="5741">
      <formula>LEN(TRIM(U131))=0</formula>
    </cfRule>
    <cfRule type="containsBlanks" dxfId="8813" priority="5742">
      <formula>LEN(TRIM(U131))=0</formula>
    </cfRule>
    <cfRule type="containsBlanks" dxfId="8812" priority="5743">
      <formula>LEN(TRIM(U131))=0</formula>
    </cfRule>
    <cfRule type="containsBlanks" dxfId="8811" priority="5744">
      <formula>LEN(TRIM(U131))=0</formula>
    </cfRule>
    <cfRule type="containsBlanks" dxfId="8810" priority="5745">
      <formula>LEN(TRIM(U131))=0</formula>
    </cfRule>
    <cfRule type="containsBlanks" dxfId="8809" priority="5746">
      <formula>LEN(TRIM(U131))=0</formula>
    </cfRule>
    <cfRule type="containsBlanks" dxfId="8808" priority="5747">
      <formula>LEN(TRIM(U131))=0</formula>
    </cfRule>
    <cfRule type="containsBlanks" dxfId="8807" priority="5748">
      <formula>LEN(TRIM(U131))=0</formula>
    </cfRule>
    <cfRule type="containsBlanks" dxfId="8806" priority="5749">
      <formula>LEN(TRIM(U131))=0</formula>
    </cfRule>
    <cfRule type="containsBlanks" dxfId="8805" priority="5750">
      <formula>LEN(TRIM(U131))=0</formula>
    </cfRule>
    <cfRule type="containsBlanks" dxfId="8804" priority="5751">
      <formula>LEN(TRIM(U131))=0</formula>
    </cfRule>
    <cfRule type="containsBlanks" dxfId="8803" priority="5752">
      <formula>LEN(TRIM(U131))=0</formula>
    </cfRule>
    <cfRule type="containsBlanks" dxfId="8802" priority="5753">
      <formula>LEN(TRIM(U131))=0</formula>
    </cfRule>
    <cfRule type="containsBlanks" dxfId="8801" priority="5754">
      <formula>LEN(TRIM(U131))=0</formula>
    </cfRule>
    <cfRule type="containsBlanks" dxfId="8800" priority="5755">
      <formula>LEN(TRIM(U131))=0</formula>
    </cfRule>
    <cfRule type="containsBlanks" dxfId="8799" priority="5756">
      <formula>LEN(TRIM(U131))=0</formula>
    </cfRule>
    <cfRule type="containsBlanks" dxfId="8798" priority="5757">
      <formula>LEN(TRIM(U131))=0</formula>
    </cfRule>
    <cfRule type="containsBlanks" dxfId="8797" priority="5758">
      <formula>LEN(TRIM(U131))=0</formula>
    </cfRule>
    <cfRule type="containsBlanks" dxfId="8796" priority="5759">
      <formula>LEN(TRIM(U131))=0</formula>
    </cfRule>
    <cfRule type="containsBlanks" dxfId="8795" priority="5760">
      <formula>LEN(TRIM(U131))=0</formula>
    </cfRule>
    <cfRule type="containsBlanks" dxfId="8794" priority="5761">
      <formula>LEN(TRIM(U131))=0</formula>
    </cfRule>
    <cfRule type="containsBlanks" dxfId="8793" priority="5762">
      <formula>LEN(TRIM(U131))=0</formula>
    </cfRule>
    <cfRule type="containsBlanks" dxfId="8792" priority="5763">
      <formula>LEN(TRIM(U131))=0</formula>
    </cfRule>
    <cfRule type="containsBlanks" dxfId="8791" priority="5764">
      <formula>LEN(TRIM(U131))=0</formula>
    </cfRule>
    <cfRule type="containsBlanks" dxfId="8790" priority="5765">
      <formula>LEN(TRIM(U131))=0</formula>
    </cfRule>
    <cfRule type="containsBlanks" dxfId="8789" priority="5766">
      <formula>LEN(TRIM(U131))=0</formula>
    </cfRule>
    <cfRule type="containsBlanks" dxfId="8788" priority="5767">
      <formula>LEN(TRIM(U131))=0</formula>
    </cfRule>
    <cfRule type="containsBlanks" dxfId="8787" priority="5768">
      <formula>LEN(TRIM(U131))=0</formula>
    </cfRule>
    <cfRule type="containsBlanks" dxfId="8786" priority="5769">
      <formula>LEN(TRIM(U131))=0</formula>
    </cfRule>
    <cfRule type="containsBlanks" dxfId="8785" priority="5770">
      <formula>LEN(TRIM(U131))=0</formula>
    </cfRule>
    <cfRule type="containsBlanks" dxfId="8784" priority="5771">
      <formula>LEN(TRIM(U131))=0</formula>
    </cfRule>
    <cfRule type="containsBlanks" dxfId="8783" priority="5772">
      <formula>LEN(TRIM(U131))=0</formula>
    </cfRule>
    <cfRule type="containsBlanks" dxfId="8782" priority="5773">
      <formula>LEN(TRIM(U131))=0</formula>
    </cfRule>
    <cfRule type="containsBlanks" dxfId="8781" priority="5774">
      <formula>LEN(TRIM(U131))=0</formula>
    </cfRule>
    <cfRule type="containsBlanks" dxfId="8780" priority="5775">
      <formula>LEN(TRIM(U131))=0</formula>
    </cfRule>
    <cfRule type="containsBlanks" dxfId="8779" priority="5776">
      <formula>LEN(TRIM(U131))=0</formula>
    </cfRule>
    <cfRule type="containsBlanks" dxfId="8778" priority="5777">
      <formula>LEN(TRIM(U131))=0</formula>
    </cfRule>
    <cfRule type="containsBlanks" dxfId="8777" priority="5778">
      <formula>LEN(TRIM(U131))=0</formula>
    </cfRule>
    <cfRule type="containsBlanks" dxfId="8776" priority="5779">
      <formula>LEN(TRIM(U131))=0</formula>
    </cfRule>
    <cfRule type="containsBlanks" dxfId="8775" priority="5780">
      <formula>LEN(TRIM(U131))=0</formula>
    </cfRule>
    <cfRule type="containsBlanks" dxfId="8774" priority="5781">
      <formula>LEN(TRIM(U131))=0</formula>
    </cfRule>
    <cfRule type="containsBlanks" dxfId="8773" priority="5782">
      <formula>LEN(TRIM(U131))=0</formula>
    </cfRule>
    <cfRule type="containsBlanks" dxfId="8772" priority="5783">
      <formula>LEN(TRIM(U131))=0</formula>
    </cfRule>
    <cfRule type="containsBlanks" dxfId="8771" priority="5784">
      <formula>LEN(TRIM(U131))=0</formula>
    </cfRule>
    <cfRule type="containsBlanks" dxfId="8770" priority="5785">
      <formula>LEN(TRIM(U131))=0</formula>
    </cfRule>
    <cfRule type="containsBlanks" dxfId="8769" priority="5786">
      <formula>LEN(TRIM(U131))=0</formula>
    </cfRule>
    <cfRule type="containsBlanks" dxfId="8768" priority="5787">
      <formula>LEN(TRIM(U131))=0</formula>
    </cfRule>
    <cfRule type="containsBlanks" dxfId="8767" priority="5788">
      <formula>LEN(TRIM(U131))=0</formula>
    </cfRule>
    <cfRule type="containsBlanks" dxfId="8766" priority="5789">
      <formula>LEN(TRIM(U131))=0</formula>
    </cfRule>
    <cfRule type="containsBlanks" dxfId="8765" priority="5790">
      <formula>LEN(TRIM(U131))=0</formula>
    </cfRule>
    <cfRule type="containsBlanks" dxfId="8764" priority="5791">
      <formula>LEN(TRIM(U131))=0</formula>
    </cfRule>
    <cfRule type="containsBlanks" dxfId="8763" priority="5792">
      <formula>LEN(TRIM(U131))=0</formula>
    </cfRule>
    <cfRule type="containsBlanks" dxfId="8762" priority="5793">
      <formula>LEN(TRIM(U131))=0</formula>
    </cfRule>
    <cfRule type="containsBlanks" dxfId="8761" priority="5794">
      <formula>LEN(TRIM(U131))=0</formula>
    </cfRule>
    <cfRule type="containsBlanks" dxfId="8760" priority="5795">
      <formula>LEN(TRIM(U131))=0</formula>
    </cfRule>
    <cfRule type="containsBlanks" dxfId="8759" priority="5796">
      <formula>LEN(TRIM(U131))=0</formula>
    </cfRule>
    <cfRule type="containsBlanks" dxfId="8758" priority="5797">
      <formula>LEN(TRIM(U131))=0</formula>
    </cfRule>
    <cfRule type="containsBlanks" dxfId="8757" priority="5798">
      <formula>LEN(TRIM(U131))=0</formula>
    </cfRule>
    <cfRule type="containsBlanks" dxfId="8756" priority="5799">
      <formula>LEN(TRIM(U131))=0</formula>
    </cfRule>
    <cfRule type="containsBlanks" dxfId="8755" priority="5800">
      <formula>LEN(TRIM(U131))=0</formula>
    </cfRule>
    <cfRule type="containsBlanks" dxfId="8754" priority="5801">
      <formula>LEN(TRIM(U131))=0</formula>
    </cfRule>
    <cfRule type="containsBlanks" dxfId="8753" priority="5802">
      <formula>LEN(TRIM(U131))=0</formula>
    </cfRule>
    <cfRule type="containsBlanks" dxfId="8752" priority="5803">
      <formula>LEN(TRIM(U131))=0</formula>
    </cfRule>
    <cfRule type="containsBlanks" dxfId="8751" priority="5804">
      <formula>LEN(TRIM(U131))=0</formula>
    </cfRule>
    <cfRule type="containsBlanks" dxfId="8750" priority="5805">
      <formula>LEN(TRIM(U131))=0</formula>
    </cfRule>
    <cfRule type="containsBlanks" dxfId="8749" priority="5806">
      <formula>LEN(TRIM(U131))=0</formula>
    </cfRule>
    <cfRule type="containsBlanks" dxfId="8748" priority="5807">
      <formula>LEN(TRIM(U131))=0</formula>
    </cfRule>
    <cfRule type="containsBlanks" dxfId="8747" priority="5808">
      <formula>LEN(TRIM(U131))=0</formula>
    </cfRule>
    <cfRule type="containsBlanks" dxfId="8746" priority="5809">
      <formula>LEN(TRIM(U131))=0</formula>
    </cfRule>
    <cfRule type="containsBlanks" dxfId="8745" priority="5810">
      <formula>LEN(TRIM(U131))=0</formula>
    </cfRule>
    <cfRule type="containsBlanks" dxfId="8744" priority="5811">
      <formula>LEN(TRIM(U131))=0</formula>
    </cfRule>
    <cfRule type="containsBlanks" dxfId="8743" priority="5812">
      <formula>LEN(TRIM(U131))=0</formula>
    </cfRule>
    <cfRule type="containsBlanks" dxfId="8742" priority="5813">
      <formula>LEN(TRIM(U131))=0</formula>
    </cfRule>
    <cfRule type="containsBlanks" dxfId="8741" priority="5814">
      <formula>LEN(TRIM(U131))=0</formula>
    </cfRule>
    <cfRule type="containsBlanks" dxfId="8740" priority="5815">
      <formula>LEN(TRIM(U131))=0</formula>
    </cfRule>
    <cfRule type="containsBlanks" dxfId="8739" priority="5816">
      <formula>LEN(TRIM(U131))=0</formula>
    </cfRule>
    <cfRule type="containsBlanks" dxfId="8738" priority="5817">
      <formula>LEN(TRIM(U131))=0</formula>
    </cfRule>
    <cfRule type="containsBlanks" dxfId="8737" priority="5818">
      <formula>LEN(TRIM(U131))=0</formula>
    </cfRule>
    <cfRule type="containsBlanks" dxfId="8736" priority="5819">
      <formula>LEN(TRIM(U131))=0</formula>
    </cfRule>
    <cfRule type="containsBlanks" dxfId="8735" priority="5820">
      <formula>LEN(TRIM(U131))=0</formula>
    </cfRule>
    <cfRule type="containsBlanks" dxfId="8734" priority="5821">
      <formula>LEN(TRIM(U131))=0</formula>
    </cfRule>
    <cfRule type="containsBlanks" dxfId="8733" priority="5822">
      <formula>LEN(TRIM(U131))=0</formula>
    </cfRule>
    <cfRule type="containsBlanks" dxfId="8732" priority="5823">
      <formula>LEN(TRIM(U131))=0</formula>
    </cfRule>
    <cfRule type="containsBlanks" dxfId="8731" priority="5824">
      <formula>LEN(TRIM(U131))=0</formula>
    </cfRule>
    <cfRule type="containsBlanks" dxfId="8730" priority="5825">
      <formula>LEN(TRIM(U131))=0</formula>
    </cfRule>
    <cfRule type="containsBlanks" dxfId="8729" priority="5826">
      <formula>LEN(TRIM(U131))=0</formula>
    </cfRule>
    <cfRule type="containsBlanks" dxfId="8728" priority="5827">
      <formula>LEN(TRIM(U131))=0</formula>
    </cfRule>
    <cfRule type="containsBlanks" dxfId="8727" priority="5828">
      <formula>LEN(TRIM(U131))=0</formula>
    </cfRule>
    <cfRule type="containsBlanks" dxfId="8726" priority="5829">
      <formula>LEN(TRIM(U131))=0</formula>
    </cfRule>
    <cfRule type="containsBlanks" dxfId="8725" priority="5830">
      <formula>LEN(TRIM(U131))=0</formula>
    </cfRule>
    <cfRule type="containsBlanks" dxfId="8724" priority="5831">
      <formula>LEN(TRIM(U131))=0</formula>
    </cfRule>
    <cfRule type="containsBlanks" dxfId="8723" priority="5832">
      <formula>LEN(TRIM(U131))=0</formula>
    </cfRule>
    <cfRule type="containsBlanks" dxfId="8722" priority="5833">
      <formula>LEN(TRIM(U131))=0</formula>
    </cfRule>
    <cfRule type="containsBlanks" dxfId="8721" priority="5834">
      <formula>LEN(TRIM(U131))=0</formula>
    </cfRule>
    <cfRule type="containsBlanks" dxfId="8720" priority="5835">
      <formula>LEN(TRIM(U131))=0</formula>
    </cfRule>
    <cfRule type="containsBlanks" dxfId="8719" priority="5836">
      <formula>LEN(TRIM(U131))=0</formula>
    </cfRule>
    <cfRule type="containsBlanks" dxfId="8718" priority="5837">
      <formula>LEN(TRIM(U131))=0</formula>
    </cfRule>
    <cfRule type="containsBlanks" dxfId="8717" priority="5838">
      <formula>LEN(TRIM(U131))=0</formula>
    </cfRule>
    <cfRule type="containsBlanks" dxfId="8716" priority="5839">
      <formula>LEN(TRIM(U131))=0</formula>
    </cfRule>
    <cfRule type="containsBlanks" dxfId="8715" priority="5840">
      <formula>LEN(TRIM(U131))=0</formula>
    </cfRule>
    <cfRule type="containsBlanks" dxfId="8714" priority="5841">
      <formula>LEN(TRIM(U131))=0</formula>
    </cfRule>
    <cfRule type="containsBlanks" dxfId="8713" priority="5842">
      <formula>LEN(TRIM(U131))=0</formula>
    </cfRule>
    <cfRule type="containsBlanks" dxfId="8712" priority="5843">
      <formula>LEN(TRIM(U131))=0</formula>
    </cfRule>
    <cfRule type="containsBlanks" dxfId="8711" priority="5844">
      <formula>LEN(TRIM(U131))=0</formula>
    </cfRule>
    <cfRule type="containsBlanks" dxfId="8710" priority="5845">
      <formula>LEN(TRIM(U131))=0</formula>
    </cfRule>
    <cfRule type="containsBlanks" dxfId="8709" priority="5846">
      <formula>LEN(TRIM(U131))=0</formula>
    </cfRule>
    <cfRule type="containsBlanks" dxfId="8708" priority="5847">
      <formula>LEN(TRIM(U131))=0</formula>
    </cfRule>
    <cfRule type="containsBlanks" dxfId="8707" priority="5848">
      <formula>LEN(TRIM(U131))=0</formula>
    </cfRule>
    <cfRule type="containsBlanks" dxfId="8706" priority="5849">
      <formula>LEN(TRIM(U131))=0</formula>
    </cfRule>
    <cfRule type="containsBlanks" dxfId="8705" priority="5850">
      <formula>LEN(TRIM(U131))=0</formula>
    </cfRule>
    <cfRule type="containsBlanks" dxfId="8704" priority="5851">
      <formula>LEN(TRIM(U131))=0</formula>
    </cfRule>
    <cfRule type="containsBlanks" dxfId="8703" priority="5852">
      <formula>LEN(TRIM(U131))=0</formula>
    </cfRule>
    <cfRule type="containsBlanks" dxfId="8702" priority="5853">
      <formula>LEN(TRIM(U131))=0</formula>
    </cfRule>
    <cfRule type="containsBlanks" dxfId="8701" priority="5854">
      <formula>LEN(TRIM(U131))=0</formula>
    </cfRule>
    <cfRule type="containsBlanks" dxfId="8700" priority="5855">
      <formula>LEN(TRIM(U131))=0</formula>
    </cfRule>
    <cfRule type="containsBlanks" dxfId="8699" priority="5856">
      <formula>LEN(TRIM(U131))=0</formula>
    </cfRule>
    <cfRule type="containsBlanks" dxfId="8698" priority="5857">
      <formula>LEN(TRIM(U131))=0</formula>
    </cfRule>
    <cfRule type="containsBlanks" dxfId="8697" priority="5858">
      <formula>LEN(TRIM(U131))=0</formula>
    </cfRule>
    <cfRule type="containsBlanks" dxfId="8696" priority="5859">
      <formula>LEN(TRIM(U131))=0</formula>
    </cfRule>
    <cfRule type="containsBlanks" dxfId="8695" priority="5860">
      <formula>LEN(TRIM(U131))=0</formula>
    </cfRule>
    <cfRule type="containsBlanks" dxfId="8694" priority="5861">
      <formula>LEN(TRIM(U131))=0</formula>
    </cfRule>
    <cfRule type="containsBlanks" dxfId="8693" priority="5862">
      <formula>LEN(TRIM(U131))=0</formula>
    </cfRule>
    <cfRule type="containsBlanks" dxfId="8692" priority="5863">
      <formula>LEN(TRIM(U131))=0</formula>
    </cfRule>
    <cfRule type="containsBlanks" dxfId="8691" priority="5864">
      <formula>LEN(TRIM(U131))=0</formula>
    </cfRule>
    <cfRule type="containsBlanks" dxfId="8690" priority="5865">
      <formula>LEN(TRIM(U131))=0</formula>
    </cfRule>
    <cfRule type="containsBlanks" dxfId="8689" priority="5866">
      <formula>LEN(TRIM(U131))=0</formula>
    </cfRule>
    <cfRule type="containsBlanks" dxfId="8688" priority="5867">
      <formula>LEN(TRIM(U131))=0</formula>
    </cfRule>
    <cfRule type="containsBlanks" dxfId="8687" priority="5868">
      <formula>LEN(TRIM(U131))=0</formula>
    </cfRule>
    <cfRule type="containsBlanks" dxfId="8686" priority="5869">
      <formula>LEN(TRIM(U131))=0</formula>
    </cfRule>
    <cfRule type="containsBlanks" dxfId="8685" priority="5870">
      <formula>LEN(TRIM(U131))=0</formula>
    </cfRule>
    <cfRule type="containsBlanks" dxfId="8684" priority="5871">
      <formula>LEN(TRIM(U131))=0</formula>
    </cfRule>
    <cfRule type="containsBlanks" dxfId="8683" priority="5872">
      <formula>LEN(TRIM(U131))=0</formula>
    </cfRule>
    <cfRule type="containsBlanks" dxfId="8682" priority="5873">
      <formula>LEN(TRIM(U131))=0</formula>
    </cfRule>
    <cfRule type="containsBlanks" dxfId="8681" priority="5874">
      <formula>LEN(TRIM(U131))=0</formula>
    </cfRule>
    <cfRule type="containsBlanks" dxfId="8680" priority="5875">
      <formula>LEN(TRIM(U131))=0</formula>
    </cfRule>
    <cfRule type="containsBlanks" dxfId="8679" priority="5876">
      <formula>LEN(TRIM(U131))=0</formula>
    </cfRule>
    <cfRule type="containsBlanks" dxfId="8678" priority="5877">
      <formula>LEN(TRIM(U131))=0</formula>
    </cfRule>
    <cfRule type="containsBlanks" dxfId="8677" priority="5878">
      <formula>LEN(TRIM(U131))=0</formula>
    </cfRule>
    <cfRule type="containsBlanks" dxfId="8676" priority="5879">
      <formula>LEN(TRIM(U131))=0</formula>
    </cfRule>
    <cfRule type="containsBlanks" dxfId="8675" priority="5880">
      <formula>LEN(TRIM(U131))=0</formula>
    </cfRule>
    <cfRule type="containsBlanks" dxfId="8674" priority="5881">
      <formula>LEN(TRIM(U131))=0</formula>
    </cfRule>
    <cfRule type="containsBlanks" dxfId="8673" priority="5882">
      <formula>LEN(TRIM(U131))=0</formula>
    </cfRule>
    <cfRule type="containsBlanks" dxfId="8672" priority="5883">
      <formula>LEN(TRIM(U131))=0</formula>
    </cfRule>
    <cfRule type="containsBlanks" dxfId="8671" priority="5884">
      <formula>LEN(TRIM(U131))=0</formula>
    </cfRule>
    <cfRule type="containsBlanks" dxfId="8670" priority="5885">
      <formula>LEN(TRIM(U131))=0</formula>
    </cfRule>
    <cfRule type="containsBlanks" dxfId="8669" priority="5886">
      <formula>LEN(TRIM(U131))=0</formula>
    </cfRule>
    <cfRule type="containsBlanks" dxfId="8668" priority="5887">
      <formula>LEN(TRIM(U131))=0</formula>
    </cfRule>
    <cfRule type="containsBlanks" dxfId="8667" priority="5888">
      <formula>LEN(TRIM(U131))=0</formula>
    </cfRule>
    <cfRule type="containsBlanks" dxfId="8666" priority="5889">
      <formula>LEN(TRIM(U131))=0</formula>
    </cfRule>
    <cfRule type="containsBlanks" dxfId="8665" priority="5890">
      <formula>LEN(TRIM(U131))=0</formula>
    </cfRule>
    <cfRule type="containsBlanks" dxfId="8664" priority="5891">
      <formula>LEN(TRIM(U131))=0</formula>
    </cfRule>
    <cfRule type="containsBlanks" dxfId="8663" priority="5892">
      <formula>LEN(TRIM(U131))=0</formula>
    </cfRule>
    <cfRule type="containsBlanks" dxfId="8662" priority="5893">
      <formula>LEN(TRIM(U131))=0</formula>
    </cfRule>
    <cfRule type="containsBlanks" dxfId="8661" priority="5894">
      <formula>LEN(TRIM(U131))=0</formula>
    </cfRule>
    <cfRule type="containsBlanks" dxfId="8660" priority="5895">
      <formula>LEN(TRIM(U131))=0</formula>
    </cfRule>
    <cfRule type="containsBlanks" dxfId="8659" priority="5896">
      <formula>LEN(TRIM(U131))=0</formula>
    </cfRule>
    <cfRule type="containsBlanks" dxfId="8658" priority="5897">
      <formula>LEN(TRIM(U131))=0</formula>
    </cfRule>
    <cfRule type="containsBlanks" dxfId="8657" priority="5898">
      <formula>LEN(TRIM(U131))=0</formula>
    </cfRule>
    <cfRule type="containsBlanks" dxfId="8656" priority="5899">
      <formula>LEN(TRIM(U131))=0</formula>
    </cfRule>
    <cfRule type="containsBlanks" dxfId="8655" priority="5900">
      <formula>LEN(TRIM(U131))=0</formula>
    </cfRule>
    <cfRule type="containsBlanks" dxfId="8654" priority="5901">
      <formula>LEN(TRIM(U131))=0</formula>
    </cfRule>
    <cfRule type="containsBlanks" dxfId="8653" priority="5902">
      <formula>LEN(TRIM(U131))=0</formula>
    </cfRule>
    <cfRule type="containsBlanks" dxfId="8652" priority="5903">
      <formula>LEN(TRIM(U131))=0</formula>
    </cfRule>
    <cfRule type="containsBlanks" dxfId="8651" priority="5904">
      <formula>LEN(TRIM(U131))=0</formula>
    </cfRule>
    <cfRule type="containsBlanks" dxfId="8650" priority="5905">
      <formula>LEN(TRIM(U131))=0</formula>
    </cfRule>
    <cfRule type="containsBlanks" dxfId="8649" priority="5906">
      <formula>LEN(TRIM(U131))=0</formula>
    </cfRule>
    <cfRule type="containsBlanks" dxfId="8648" priority="5907">
      <formula>LEN(TRIM(U131))=0</formula>
    </cfRule>
    <cfRule type="containsBlanks" dxfId="8647" priority="5908">
      <formula>LEN(TRIM(U131))=0</formula>
    </cfRule>
    <cfRule type="containsBlanks" dxfId="8646" priority="5909">
      <formula>LEN(TRIM(U131))=0</formula>
    </cfRule>
    <cfRule type="containsBlanks" dxfId="8645" priority="5910">
      <formula>LEN(TRIM(U131))=0</formula>
    </cfRule>
    <cfRule type="containsBlanks" dxfId="8644" priority="5911">
      <formula>LEN(TRIM(U131))=0</formula>
    </cfRule>
    <cfRule type="containsBlanks" dxfId="8643" priority="5912">
      <formula>LEN(TRIM(U131))=0</formula>
    </cfRule>
    <cfRule type="containsBlanks" dxfId="8642" priority="5913">
      <formula>LEN(TRIM(U131))=0</formula>
    </cfRule>
    <cfRule type="containsBlanks" dxfId="8641" priority="5914">
      <formula>LEN(TRIM(U131))=0</formula>
    </cfRule>
    <cfRule type="containsBlanks" dxfId="8640" priority="5915">
      <formula>LEN(TRIM(U131))=0</formula>
    </cfRule>
    <cfRule type="containsBlanks" dxfId="8639" priority="5916">
      <formula>LEN(TRIM(U131))=0</formula>
    </cfRule>
    <cfRule type="containsBlanks" dxfId="8638" priority="5917">
      <formula>LEN(TRIM(U131))=0</formula>
    </cfRule>
    <cfRule type="containsBlanks" dxfId="8637" priority="5918">
      <formula>LEN(TRIM(U131))=0</formula>
    </cfRule>
    <cfRule type="containsBlanks" dxfId="8636" priority="5919">
      <formula>LEN(TRIM(U131))=0</formula>
    </cfRule>
    <cfRule type="containsBlanks" dxfId="8635" priority="5920">
      <formula>LEN(TRIM(U131))=0</formula>
    </cfRule>
    <cfRule type="containsBlanks" dxfId="8634" priority="5921">
      <formula>LEN(TRIM(U131))=0</formula>
    </cfRule>
    <cfRule type="containsBlanks" dxfId="8633" priority="5922">
      <formula>LEN(TRIM(U131))=0</formula>
    </cfRule>
    <cfRule type="containsBlanks" dxfId="8632" priority="5923">
      <formula>LEN(TRIM(U131))=0</formula>
    </cfRule>
    <cfRule type="containsBlanks" dxfId="8631" priority="5924">
      <formula>LEN(TRIM(U131))=0</formula>
    </cfRule>
    <cfRule type="containsBlanks" dxfId="8630" priority="5925">
      <formula>LEN(TRIM(U131))=0</formula>
    </cfRule>
    <cfRule type="containsBlanks" dxfId="8629" priority="5926">
      <formula>LEN(TRIM(U131))=0</formula>
    </cfRule>
    <cfRule type="containsBlanks" dxfId="8628" priority="5927">
      <formula>LEN(TRIM(U131))=0</formula>
    </cfRule>
    <cfRule type="containsBlanks" dxfId="8627" priority="5928">
      <formula>LEN(TRIM(U131))=0</formula>
    </cfRule>
    <cfRule type="containsBlanks" dxfId="8626" priority="5929">
      <formula>LEN(TRIM(U131))=0</formula>
    </cfRule>
    <cfRule type="containsBlanks" dxfId="8625" priority="5930">
      <formula>LEN(TRIM(U131))=0</formula>
    </cfRule>
    <cfRule type="containsBlanks" dxfId="8624" priority="5931">
      <formula>LEN(TRIM(U131))=0</formula>
    </cfRule>
    <cfRule type="containsBlanks" dxfId="8623" priority="5932">
      <formula>LEN(TRIM(U131))=0</formula>
    </cfRule>
    <cfRule type="containsBlanks" dxfId="8622" priority="5933">
      <formula>LEN(TRIM(U131))=0</formula>
    </cfRule>
    <cfRule type="containsBlanks" dxfId="8621" priority="5934">
      <formula>LEN(TRIM(U131))=0</formula>
    </cfRule>
    <cfRule type="containsBlanks" dxfId="8620" priority="5935">
      <formula>LEN(TRIM(U131))=0</formula>
    </cfRule>
    <cfRule type="containsBlanks" dxfId="8619" priority="5936">
      <formula>LEN(TRIM(U131))=0</formula>
    </cfRule>
    <cfRule type="containsBlanks" dxfId="8618" priority="5937">
      <formula>LEN(TRIM(U131))=0</formula>
    </cfRule>
    <cfRule type="containsBlanks" dxfId="8617" priority="5938">
      <formula>LEN(TRIM(U131))=0</formula>
    </cfRule>
    <cfRule type="containsBlanks" dxfId="8616" priority="5939">
      <formula>LEN(TRIM(U131))=0</formula>
    </cfRule>
    <cfRule type="containsBlanks" dxfId="8615" priority="5940">
      <formula>LEN(TRIM(U131))=0</formula>
    </cfRule>
    <cfRule type="containsBlanks" dxfId="8614" priority="5941">
      <formula>LEN(TRIM(U131))=0</formula>
    </cfRule>
    <cfRule type="containsBlanks" dxfId="8613" priority="5942">
      <formula>LEN(TRIM(U131))=0</formula>
    </cfRule>
    <cfRule type="containsBlanks" dxfId="8612" priority="5943">
      <formula>LEN(TRIM(U131))=0</formula>
    </cfRule>
    <cfRule type="containsBlanks" dxfId="8611" priority="5944">
      <formula>LEN(TRIM(U131))=0</formula>
    </cfRule>
    <cfRule type="containsBlanks" dxfId="8610" priority="5945">
      <formula>LEN(TRIM(U131))=0</formula>
    </cfRule>
    <cfRule type="containsBlanks" dxfId="8609" priority="5946">
      <formula>LEN(TRIM(U131))=0</formula>
    </cfRule>
    <cfRule type="containsBlanks" dxfId="8608" priority="5947">
      <formula>LEN(TRIM(U131))=0</formula>
    </cfRule>
    <cfRule type="containsBlanks" dxfId="8607" priority="5948">
      <formula>LEN(TRIM(U131))=0</formula>
    </cfRule>
    <cfRule type="containsBlanks" dxfId="8606" priority="5949">
      <formula>LEN(TRIM(U131))=0</formula>
    </cfRule>
    <cfRule type="containsBlanks" dxfId="8605" priority="5950">
      <formula>LEN(TRIM(U131))=0</formula>
    </cfRule>
    <cfRule type="containsBlanks" dxfId="8604" priority="5951">
      <formula>LEN(TRIM(U131))=0</formula>
    </cfRule>
    <cfRule type="containsBlanks" dxfId="8603" priority="5952">
      <formula>LEN(TRIM(U131))=0</formula>
    </cfRule>
    <cfRule type="containsBlanks" dxfId="8602" priority="5953">
      <formula>LEN(TRIM(U131))=0</formula>
    </cfRule>
    <cfRule type="containsBlanks" dxfId="8601" priority="5954">
      <formula>LEN(TRIM(U131))=0</formula>
    </cfRule>
    <cfRule type="containsBlanks" dxfId="8600" priority="5955">
      <formula>LEN(TRIM(U131))=0</formula>
    </cfRule>
    <cfRule type="containsBlanks" dxfId="8599" priority="5956">
      <formula>LEN(TRIM(U131))=0</formula>
    </cfRule>
    <cfRule type="containsBlanks" dxfId="8598" priority="5957">
      <formula>LEN(TRIM(U131))=0</formula>
    </cfRule>
    <cfRule type="containsBlanks" dxfId="8597" priority="5958">
      <formula>LEN(TRIM(U131))=0</formula>
    </cfRule>
    <cfRule type="containsBlanks" dxfId="8596" priority="5959">
      <formula>LEN(TRIM(U131))=0</formula>
    </cfRule>
    <cfRule type="containsBlanks" dxfId="8595" priority="5960">
      <formula>LEN(TRIM(U131))=0</formula>
    </cfRule>
    <cfRule type="containsBlanks" dxfId="8594" priority="5961">
      <formula>LEN(TRIM(U131))=0</formula>
    </cfRule>
    <cfRule type="containsBlanks" dxfId="8593" priority="5962">
      <formula>LEN(TRIM(U131))=0</formula>
    </cfRule>
    <cfRule type="containsBlanks" dxfId="8592" priority="5963">
      <formula>LEN(TRIM(U131))=0</formula>
    </cfRule>
    <cfRule type="containsBlanks" dxfId="8591" priority="5964">
      <formula>LEN(TRIM(U131))=0</formula>
    </cfRule>
    <cfRule type="containsBlanks" dxfId="8590" priority="5965">
      <formula>LEN(TRIM(U131))=0</formula>
    </cfRule>
    <cfRule type="containsBlanks" dxfId="8589" priority="5966">
      <formula>LEN(TRIM(U131))=0</formula>
    </cfRule>
    <cfRule type="containsBlanks" dxfId="8588" priority="5967">
      <formula>LEN(TRIM(U131))=0</formula>
    </cfRule>
    <cfRule type="containsBlanks" dxfId="8587" priority="5968">
      <formula>LEN(TRIM(U131))=0</formula>
    </cfRule>
    <cfRule type="containsBlanks" dxfId="8586" priority="5969">
      <formula>LEN(TRIM(U131))=0</formula>
    </cfRule>
    <cfRule type="containsBlanks" dxfId="8585" priority="5970">
      <formula>LEN(TRIM(U131))=0</formula>
    </cfRule>
    <cfRule type="containsBlanks" dxfId="8584" priority="5971">
      <formula>LEN(TRIM(U131))=0</formula>
    </cfRule>
    <cfRule type="containsBlanks" dxfId="8583" priority="5972">
      <formula>LEN(TRIM(U131))=0</formula>
    </cfRule>
    <cfRule type="containsBlanks" dxfId="8582" priority="5973">
      <formula>LEN(TRIM(U131))=0</formula>
    </cfRule>
    <cfRule type="containsBlanks" dxfId="8581" priority="5974">
      <formula>LEN(TRIM(U131))=0</formula>
    </cfRule>
    <cfRule type="containsBlanks" dxfId="8580" priority="5975">
      <formula>LEN(TRIM(U131))=0</formula>
    </cfRule>
    <cfRule type="containsBlanks" dxfId="8579" priority="5976">
      <formula>LEN(TRIM(U131))=0</formula>
    </cfRule>
    <cfRule type="containsBlanks" dxfId="8578" priority="5977">
      <formula>LEN(TRIM(U131))=0</formula>
    </cfRule>
    <cfRule type="containsBlanks" dxfId="8577" priority="5978">
      <formula>LEN(TRIM(U131))=0</formula>
    </cfRule>
    <cfRule type="containsBlanks" dxfId="8576" priority="5979">
      <formula>LEN(TRIM(U131))=0</formula>
    </cfRule>
    <cfRule type="containsBlanks" dxfId="8575" priority="5980">
      <formula>LEN(TRIM(U131))=0</formula>
    </cfRule>
    <cfRule type="containsBlanks" dxfId="8574" priority="5981">
      <formula>LEN(TRIM(U131))=0</formula>
    </cfRule>
    <cfRule type="containsBlanks" dxfId="8573" priority="5982">
      <formula>LEN(TRIM(U131))=0</formula>
    </cfRule>
    <cfRule type="containsBlanks" dxfId="8572" priority="5983">
      <formula>LEN(TRIM(U131))=0</formula>
    </cfRule>
    <cfRule type="containsBlanks" dxfId="8571" priority="5984">
      <formula>LEN(TRIM(U131))=0</formula>
    </cfRule>
    <cfRule type="containsBlanks" dxfId="8570" priority="5985">
      <formula>LEN(TRIM(U131))=0</formula>
    </cfRule>
    <cfRule type="containsBlanks" dxfId="8569" priority="5986">
      <formula>LEN(TRIM(U131))=0</formula>
    </cfRule>
    <cfRule type="containsBlanks" dxfId="8568" priority="5987">
      <formula>LEN(TRIM(U131))=0</formula>
    </cfRule>
    <cfRule type="containsBlanks" dxfId="8567" priority="5988">
      <formula>LEN(TRIM(U131))=0</formula>
    </cfRule>
    <cfRule type="containsBlanks" dxfId="8566" priority="5989">
      <formula>LEN(TRIM(U131))=0</formula>
    </cfRule>
    <cfRule type="containsBlanks" dxfId="8565" priority="5990">
      <formula>LEN(TRIM(U131))=0</formula>
    </cfRule>
    <cfRule type="containsBlanks" dxfId="8564" priority="5991">
      <formula>LEN(TRIM(U131))=0</formula>
    </cfRule>
    <cfRule type="containsBlanks" dxfId="8563" priority="5992">
      <formula>LEN(TRIM(U131))=0</formula>
    </cfRule>
    <cfRule type="containsBlanks" dxfId="8562" priority="5993">
      <formula>LEN(TRIM(U131))=0</formula>
    </cfRule>
    <cfRule type="containsBlanks" dxfId="8561" priority="5994">
      <formula>LEN(TRIM(U131))=0</formula>
    </cfRule>
    <cfRule type="containsBlanks" dxfId="8560" priority="5995">
      <formula>LEN(TRIM(U131))=0</formula>
    </cfRule>
    <cfRule type="containsBlanks" dxfId="8559" priority="5996">
      <formula>LEN(TRIM(U131))=0</formula>
    </cfRule>
    <cfRule type="containsBlanks" dxfId="8558" priority="5997">
      <formula>LEN(TRIM(U131))=0</formula>
    </cfRule>
    <cfRule type="containsBlanks" dxfId="8557" priority="5998">
      <formula>LEN(TRIM(U131))=0</formula>
    </cfRule>
    <cfRule type="containsBlanks" dxfId="8556" priority="5999">
      <formula>LEN(TRIM(U131))=0</formula>
    </cfRule>
    <cfRule type="containsBlanks" dxfId="8555" priority="6000">
      <formula>LEN(TRIM(U131))=0</formula>
    </cfRule>
    <cfRule type="containsBlanks" dxfId="8554" priority="6001">
      <formula>LEN(TRIM(U131))=0</formula>
    </cfRule>
    <cfRule type="containsBlanks" dxfId="8553" priority="6002">
      <formula>LEN(TRIM(U131))=0</formula>
    </cfRule>
    <cfRule type="containsBlanks" dxfId="8552" priority="6003">
      <formula>LEN(TRIM(U131))=0</formula>
    </cfRule>
    <cfRule type="containsBlanks" dxfId="8551" priority="6004">
      <formula>LEN(TRIM(U131))=0</formula>
    </cfRule>
    <cfRule type="containsBlanks" dxfId="8550" priority="6005">
      <formula>LEN(TRIM(U131))=0</formula>
    </cfRule>
    <cfRule type="containsBlanks" dxfId="8549" priority="6006">
      <formula>LEN(TRIM(U131))=0</formula>
    </cfRule>
    <cfRule type="containsBlanks" dxfId="8548" priority="6007">
      <formula>LEN(TRIM(U131))=0</formula>
    </cfRule>
    <cfRule type="containsBlanks" dxfId="8547" priority="6008">
      <formula>LEN(TRIM(U131))=0</formula>
    </cfRule>
    <cfRule type="containsBlanks" dxfId="8546" priority="6009">
      <formula>LEN(TRIM(U131))=0</formula>
    </cfRule>
    <cfRule type="containsBlanks" dxfId="8545" priority="6010">
      <formula>LEN(TRIM(U131))=0</formula>
    </cfRule>
    <cfRule type="containsBlanks" dxfId="8544" priority="6011">
      <formula>LEN(TRIM(U131))=0</formula>
    </cfRule>
    <cfRule type="containsBlanks" dxfId="8543" priority="6012">
      <formula>LEN(TRIM(U131))=0</formula>
    </cfRule>
    <cfRule type="containsBlanks" dxfId="8542" priority="6013">
      <formula>LEN(TRIM(U131))=0</formula>
    </cfRule>
    <cfRule type="containsBlanks" dxfId="8541" priority="6014">
      <formula>LEN(TRIM(U131))=0</formula>
    </cfRule>
    <cfRule type="containsBlanks" dxfId="8540" priority="6015">
      <formula>LEN(TRIM(U131))=0</formula>
    </cfRule>
    <cfRule type="containsBlanks" dxfId="8539" priority="6016">
      <formula>LEN(TRIM(U131))=0</formula>
    </cfRule>
    <cfRule type="containsBlanks" dxfId="8538" priority="6017">
      <formula>LEN(TRIM(U131))=0</formula>
    </cfRule>
    <cfRule type="containsBlanks" dxfId="8537" priority="6018">
      <formula>LEN(TRIM(U131))=0</formula>
    </cfRule>
    <cfRule type="containsBlanks" dxfId="8536" priority="6019">
      <formula>LEN(TRIM(U131))=0</formula>
    </cfRule>
    <cfRule type="containsBlanks" dxfId="8535" priority="6020">
      <formula>LEN(TRIM(U131))=0</formula>
    </cfRule>
    <cfRule type="containsBlanks" dxfId="8534" priority="6021">
      <formula>LEN(TRIM(U131))=0</formula>
    </cfRule>
    <cfRule type="containsBlanks" dxfId="8533" priority="6022">
      <formula>LEN(TRIM(U131))=0</formula>
    </cfRule>
    <cfRule type="containsBlanks" dxfId="8532" priority="6023">
      <formula>LEN(TRIM(U131))=0</formula>
    </cfRule>
    <cfRule type="containsBlanks" dxfId="8531" priority="6024">
      <formula>LEN(TRIM(U131))=0</formula>
    </cfRule>
    <cfRule type="containsBlanks" dxfId="8530" priority="6025">
      <formula>LEN(TRIM(U131))=0</formula>
    </cfRule>
    <cfRule type="containsBlanks" dxfId="8529" priority="6026">
      <formula>LEN(TRIM(U131))=0</formula>
    </cfRule>
    <cfRule type="containsBlanks" dxfId="8528" priority="6027">
      <formula>LEN(TRIM(U131))=0</formula>
    </cfRule>
    <cfRule type="containsBlanks" dxfId="8527" priority="6028">
      <formula>LEN(TRIM(U131))=0</formula>
    </cfRule>
    <cfRule type="containsBlanks" dxfId="8526" priority="6029">
      <formula>LEN(TRIM(U131))=0</formula>
    </cfRule>
    <cfRule type="containsBlanks" dxfId="8525" priority="6030">
      <formula>LEN(TRIM(U131))=0</formula>
    </cfRule>
    <cfRule type="containsBlanks" dxfId="8524" priority="6031">
      <formula>LEN(TRIM(U131))=0</formula>
    </cfRule>
    <cfRule type="containsBlanks" dxfId="8523" priority="6032">
      <formula>LEN(TRIM(U131))=0</formula>
    </cfRule>
    <cfRule type="containsBlanks" dxfId="8522" priority="6033">
      <formula>LEN(TRIM(U131))=0</formula>
    </cfRule>
    <cfRule type="containsBlanks" dxfId="8521" priority="6034">
      <formula>LEN(TRIM(U131))=0</formula>
    </cfRule>
    <cfRule type="containsBlanks" dxfId="8520" priority="6035">
      <formula>LEN(TRIM(U131))=0</formula>
    </cfRule>
    <cfRule type="containsBlanks" dxfId="8519" priority="6036">
      <formula>LEN(TRIM(U131))=0</formula>
    </cfRule>
    <cfRule type="containsBlanks" dxfId="8518" priority="6037">
      <formula>LEN(TRIM(U131))=0</formula>
    </cfRule>
    <cfRule type="containsBlanks" dxfId="8517" priority="6038">
      <formula>LEN(TRIM(U131))=0</formula>
    </cfRule>
    <cfRule type="containsBlanks" dxfId="8516" priority="6039">
      <formula>LEN(TRIM(U131))=0</formula>
    </cfRule>
    <cfRule type="containsBlanks" dxfId="8515" priority="6040">
      <formula>LEN(TRIM(U131))=0</formula>
    </cfRule>
    <cfRule type="containsBlanks" dxfId="8514" priority="6041">
      <formula>LEN(TRIM(U131))=0</formula>
    </cfRule>
    <cfRule type="containsBlanks" dxfId="8513" priority="6042">
      <formula>LEN(TRIM(U131))=0</formula>
    </cfRule>
    <cfRule type="containsBlanks" dxfId="8512" priority="6043">
      <formula>LEN(TRIM(U131))=0</formula>
    </cfRule>
    <cfRule type="containsBlanks" dxfId="8511" priority="6044">
      <formula>LEN(TRIM(U131))=0</formula>
    </cfRule>
    <cfRule type="containsBlanks" dxfId="8510" priority="6045">
      <formula>LEN(TRIM(U131))=0</formula>
    </cfRule>
    <cfRule type="containsBlanks" dxfId="8509" priority="6046">
      <formula>LEN(TRIM(U131))=0</formula>
    </cfRule>
    <cfRule type="containsBlanks" dxfId="8508" priority="6047">
      <formula>LEN(TRIM(U131))=0</formula>
    </cfRule>
    <cfRule type="containsBlanks" dxfId="8507" priority="6048">
      <formula>LEN(TRIM(U131))=0</formula>
    </cfRule>
    <cfRule type="containsBlanks" dxfId="8506" priority="6049">
      <formula>LEN(TRIM(U131))=0</formula>
    </cfRule>
    <cfRule type="containsBlanks" dxfId="8505" priority="6050">
      <formula>LEN(TRIM(U131))=0</formula>
    </cfRule>
    <cfRule type="containsBlanks" dxfId="8504" priority="6051">
      <formula>LEN(TRIM(U131))=0</formula>
    </cfRule>
    <cfRule type="containsBlanks" dxfId="8503" priority="6052">
      <formula>LEN(TRIM(U131))=0</formula>
    </cfRule>
    <cfRule type="containsBlanks" dxfId="8502" priority="6053">
      <formula>LEN(TRIM(U131))=0</formula>
    </cfRule>
    <cfRule type="containsBlanks" dxfId="8501" priority="6054">
      <formula>LEN(TRIM(U131))=0</formula>
    </cfRule>
    <cfRule type="containsBlanks" dxfId="8500" priority="6055">
      <formula>LEN(TRIM(U131))=0</formula>
    </cfRule>
    <cfRule type="containsBlanks" dxfId="8499" priority="6056">
      <formula>LEN(TRIM(U131))=0</formula>
    </cfRule>
    <cfRule type="containsBlanks" dxfId="8498" priority="6057">
      <formula>LEN(TRIM(U131))=0</formula>
    </cfRule>
    <cfRule type="containsBlanks" dxfId="8497" priority="6058">
      <formula>LEN(TRIM(U131))=0</formula>
    </cfRule>
    <cfRule type="containsBlanks" dxfId="8496" priority="6059">
      <formula>LEN(TRIM(U131))=0</formula>
    </cfRule>
    <cfRule type="containsBlanks" dxfId="8495" priority="6060">
      <formula>LEN(TRIM(U131))=0</formula>
    </cfRule>
    <cfRule type="containsBlanks" dxfId="8494" priority="6061">
      <formula>LEN(TRIM(U131))=0</formula>
    </cfRule>
    <cfRule type="containsBlanks" dxfId="8493" priority="6062">
      <formula>LEN(TRIM(U131))=0</formula>
    </cfRule>
    <cfRule type="containsBlanks" dxfId="8492" priority="6063">
      <formula>LEN(TRIM(U131))=0</formula>
    </cfRule>
    <cfRule type="containsBlanks" dxfId="8491" priority="6064">
      <formula>LEN(TRIM(U131))=0</formula>
    </cfRule>
    <cfRule type="containsBlanks" dxfId="8490" priority="6065">
      <formula>LEN(TRIM(U131))=0</formula>
    </cfRule>
    <cfRule type="containsBlanks" dxfId="8489" priority="6066">
      <formula>LEN(TRIM(U131))=0</formula>
    </cfRule>
    <cfRule type="containsBlanks" dxfId="8488" priority="6067">
      <formula>LEN(TRIM(U131))=0</formula>
    </cfRule>
    <cfRule type="containsBlanks" dxfId="8487" priority="6068">
      <formula>LEN(TRIM(U131))=0</formula>
    </cfRule>
    <cfRule type="containsBlanks" dxfId="8486" priority="6069">
      <formula>LEN(TRIM(U131))=0</formula>
    </cfRule>
    <cfRule type="containsBlanks" dxfId="8485" priority="6070">
      <formula>LEN(TRIM(U131))=0</formula>
    </cfRule>
    <cfRule type="containsBlanks" dxfId="8484" priority="6071">
      <formula>LEN(TRIM(U131))=0</formula>
    </cfRule>
    <cfRule type="containsBlanks" dxfId="8483" priority="6072">
      <formula>LEN(TRIM(U131))=0</formula>
    </cfRule>
    <cfRule type="containsBlanks" dxfId="8482" priority="6073">
      <formula>LEN(TRIM(U131))=0</formula>
    </cfRule>
    <cfRule type="containsBlanks" dxfId="8481" priority="6074">
      <formula>LEN(TRIM(U131))=0</formula>
    </cfRule>
    <cfRule type="containsBlanks" dxfId="8480" priority="6075">
      <formula>LEN(TRIM(U131))=0</formula>
    </cfRule>
    <cfRule type="containsBlanks" dxfId="8479" priority="6076">
      <formula>LEN(TRIM(U131))=0</formula>
    </cfRule>
    <cfRule type="containsBlanks" dxfId="8478" priority="6077">
      <formula>LEN(TRIM(U131))=0</formula>
    </cfRule>
    <cfRule type="containsBlanks" dxfId="8477" priority="6078">
      <formula>LEN(TRIM(U131))=0</formula>
    </cfRule>
    <cfRule type="containsBlanks" dxfId="8476" priority="6079">
      <formula>LEN(TRIM(U131))=0</formula>
    </cfRule>
    <cfRule type="containsBlanks" dxfId="8475" priority="6080">
      <formula>LEN(TRIM(U131))=0</formula>
    </cfRule>
    <cfRule type="containsBlanks" dxfId="8474" priority="6081">
      <formula>LEN(TRIM(U131))=0</formula>
    </cfRule>
    <cfRule type="containsBlanks" dxfId="8473" priority="6082">
      <formula>LEN(TRIM(U131))=0</formula>
    </cfRule>
    <cfRule type="containsBlanks" dxfId="8472" priority="6083">
      <formula>LEN(TRIM(U131))=0</formula>
    </cfRule>
    <cfRule type="containsBlanks" dxfId="8471" priority="6084">
      <formula>LEN(TRIM(U131))=0</formula>
    </cfRule>
    <cfRule type="containsBlanks" dxfId="8470" priority="6085">
      <formula>LEN(TRIM(U131))=0</formula>
    </cfRule>
    <cfRule type="containsBlanks" dxfId="8469" priority="6086">
      <formula>LEN(TRIM(U131))=0</formula>
    </cfRule>
    <cfRule type="containsBlanks" dxfId="8468" priority="6087">
      <formula>LEN(TRIM(U131))=0</formula>
    </cfRule>
    <cfRule type="containsBlanks" dxfId="8467" priority="6088">
      <formula>LEN(TRIM(U131))=0</formula>
    </cfRule>
    <cfRule type="containsBlanks" dxfId="8466" priority="6089">
      <formula>LEN(TRIM(U131))=0</formula>
    </cfRule>
    <cfRule type="containsBlanks" dxfId="8465" priority="6090">
      <formula>LEN(TRIM(U131))=0</formula>
    </cfRule>
    <cfRule type="containsBlanks" dxfId="8464" priority="6091">
      <formula>LEN(TRIM(U131))=0</formula>
    </cfRule>
    <cfRule type="containsBlanks" dxfId="8463" priority="6092">
      <formula>LEN(TRIM(U131))=0</formula>
    </cfRule>
    <cfRule type="containsBlanks" dxfId="8462" priority="6093">
      <formula>LEN(TRIM(U131))=0</formula>
    </cfRule>
    <cfRule type="containsBlanks" dxfId="8461" priority="6094">
      <formula>LEN(TRIM(U131))=0</formula>
    </cfRule>
    <cfRule type="containsBlanks" dxfId="8460" priority="6095">
      <formula>LEN(TRIM(U131))=0</formula>
    </cfRule>
    <cfRule type="containsBlanks" dxfId="8459" priority="6096">
      <formula>LEN(TRIM(U131))=0</formula>
    </cfRule>
    <cfRule type="containsBlanks" dxfId="8458" priority="6097">
      <formula>LEN(TRIM(U131))=0</formula>
    </cfRule>
    <cfRule type="containsBlanks" dxfId="8457" priority="6098">
      <formula>LEN(TRIM(U131))=0</formula>
    </cfRule>
    <cfRule type="containsBlanks" dxfId="8456" priority="6099">
      <formula>LEN(TRIM(U131))=0</formula>
    </cfRule>
    <cfRule type="containsBlanks" dxfId="8455" priority="6100">
      <formula>LEN(TRIM(U131))=0</formula>
    </cfRule>
    <cfRule type="containsBlanks" dxfId="8454" priority="6101">
      <formula>LEN(TRIM(U131))=0</formula>
    </cfRule>
    <cfRule type="containsBlanks" dxfId="8453" priority="6102">
      <formula>LEN(TRIM(U131))=0</formula>
    </cfRule>
    <cfRule type="containsBlanks" dxfId="8452" priority="6103">
      <formula>LEN(TRIM(U131))=0</formula>
    </cfRule>
    <cfRule type="containsBlanks" dxfId="8451" priority="6104">
      <formula>LEN(TRIM(U131))=0</formula>
    </cfRule>
    <cfRule type="containsBlanks" dxfId="8450" priority="6105">
      <formula>LEN(TRIM(U131))=0</formula>
    </cfRule>
    <cfRule type="containsBlanks" dxfId="8449" priority="6106">
      <formula>LEN(TRIM(U131))=0</formula>
    </cfRule>
    <cfRule type="containsBlanks" dxfId="8448" priority="6107">
      <formula>LEN(TRIM(U131))=0</formula>
    </cfRule>
    <cfRule type="containsBlanks" dxfId="8447" priority="6108">
      <formula>LEN(TRIM(U131))=0</formula>
    </cfRule>
    <cfRule type="containsBlanks" dxfId="8446" priority="6109">
      <formula>LEN(TRIM(U131))=0</formula>
    </cfRule>
    <cfRule type="containsBlanks" dxfId="8445" priority="6110">
      <formula>LEN(TRIM(U131))=0</formula>
    </cfRule>
    <cfRule type="containsBlanks" dxfId="8444" priority="6111">
      <formula>LEN(TRIM(U131))=0</formula>
    </cfRule>
    <cfRule type="containsBlanks" dxfId="8443" priority="6112">
      <formula>LEN(TRIM(U131))=0</formula>
    </cfRule>
    <cfRule type="containsBlanks" dxfId="8442" priority="6113">
      <formula>LEN(TRIM(U131))=0</formula>
    </cfRule>
    <cfRule type="containsBlanks" dxfId="8441" priority="6114">
      <formula>LEN(TRIM(U131))=0</formula>
    </cfRule>
    <cfRule type="containsBlanks" dxfId="8440" priority="6115">
      <formula>LEN(TRIM(U131))=0</formula>
    </cfRule>
    <cfRule type="containsBlanks" dxfId="8439" priority="6116">
      <formula>LEN(TRIM(U131))=0</formula>
    </cfRule>
    <cfRule type="containsBlanks" dxfId="8438" priority="6117">
      <formula>LEN(TRIM(U131))=0</formula>
    </cfRule>
    <cfRule type="containsBlanks" dxfId="8437" priority="6118">
      <formula>LEN(TRIM(U131))=0</formula>
    </cfRule>
    <cfRule type="containsBlanks" dxfId="8436" priority="6119">
      <formula>LEN(TRIM(U131))=0</formula>
    </cfRule>
    <cfRule type="containsBlanks" dxfId="8435" priority="6120">
      <formula>LEN(TRIM(U131))=0</formula>
    </cfRule>
    <cfRule type="containsBlanks" dxfId="8434" priority="6121">
      <formula>LEN(TRIM(U131))=0</formula>
    </cfRule>
    <cfRule type="containsBlanks" dxfId="8433" priority="6122">
      <formula>LEN(TRIM(U131))=0</formula>
    </cfRule>
    <cfRule type="containsBlanks" dxfId="8432" priority="6123">
      <formula>LEN(TRIM(U131))=0</formula>
    </cfRule>
    <cfRule type="containsBlanks" dxfId="8431" priority="6124">
      <formula>LEN(TRIM(U131))=0</formula>
    </cfRule>
    <cfRule type="containsBlanks" dxfId="8430" priority="6125">
      <formula>LEN(TRIM(U131))=0</formula>
    </cfRule>
    <cfRule type="containsBlanks" dxfId="8429" priority="6126">
      <formula>LEN(TRIM(U131))=0</formula>
    </cfRule>
    <cfRule type="containsBlanks" dxfId="8428" priority="6127">
      <formula>LEN(TRIM(U131))=0</formula>
    </cfRule>
    <cfRule type="containsBlanks" dxfId="8427" priority="6128">
      <formula>LEN(TRIM(U131))=0</formula>
    </cfRule>
    <cfRule type="containsBlanks" dxfId="8426" priority="6129">
      <formula>LEN(TRIM(U131))=0</formula>
    </cfRule>
    <cfRule type="containsBlanks" dxfId="8425" priority="6130">
      <formula>LEN(TRIM(U131))=0</formula>
    </cfRule>
    <cfRule type="containsBlanks" dxfId="8424" priority="6131">
      <formula>LEN(TRIM(U131))=0</formula>
    </cfRule>
    <cfRule type="containsBlanks" dxfId="8423" priority="6132">
      <formula>LEN(TRIM(U131))=0</formula>
    </cfRule>
    <cfRule type="containsBlanks" dxfId="8422" priority="6133">
      <formula>LEN(TRIM(U131))=0</formula>
    </cfRule>
    <cfRule type="containsBlanks" dxfId="8421" priority="6134">
      <formula>LEN(TRIM(U131))=0</formula>
    </cfRule>
    <cfRule type="containsBlanks" dxfId="8420" priority="6135">
      <formula>LEN(TRIM(U131))=0</formula>
    </cfRule>
    <cfRule type="containsBlanks" dxfId="8419" priority="6136">
      <formula>LEN(TRIM(U131))=0</formula>
    </cfRule>
    <cfRule type="containsBlanks" dxfId="8418" priority="6137">
      <formula>LEN(TRIM(U131))=0</formula>
    </cfRule>
    <cfRule type="containsBlanks" dxfId="8417" priority="6138">
      <formula>LEN(TRIM(U131))=0</formula>
    </cfRule>
    <cfRule type="containsBlanks" dxfId="8416" priority="6139">
      <formula>LEN(TRIM(U131))=0</formula>
    </cfRule>
    <cfRule type="containsBlanks" dxfId="8415" priority="6140">
      <formula>LEN(TRIM(U131))=0</formula>
    </cfRule>
    <cfRule type="containsBlanks" dxfId="8414" priority="6141">
      <formula>LEN(TRIM(U131))=0</formula>
    </cfRule>
    <cfRule type="containsBlanks" dxfId="8413" priority="6142">
      <formula>LEN(TRIM(U131))=0</formula>
    </cfRule>
    <cfRule type="containsBlanks" dxfId="8412" priority="6143">
      <formula>LEN(TRIM(U131))=0</formula>
    </cfRule>
    <cfRule type="containsBlanks" dxfId="8411" priority="6144">
      <formula>LEN(TRIM(U131))=0</formula>
    </cfRule>
    <cfRule type="containsBlanks" dxfId="8410" priority="6145">
      <formula>LEN(TRIM(U131))=0</formula>
    </cfRule>
    <cfRule type="containsBlanks" dxfId="8409" priority="6146">
      <formula>LEN(TRIM(U131))=0</formula>
    </cfRule>
    <cfRule type="containsBlanks" dxfId="8408" priority="6147">
      <formula>LEN(TRIM(U131))=0</formula>
    </cfRule>
    <cfRule type="containsBlanks" dxfId="8407" priority="6148">
      <formula>LEN(TRIM(U131))=0</formula>
    </cfRule>
    <cfRule type="containsBlanks" dxfId="8406" priority="6149">
      <formula>LEN(TRIM(U131))=0</formula>
    </cfRule>
    <cfRule type="containsBlanks" dxfId="8405" priority="6150">
      <formula>LEN(TRIM(U131))=0</formula>
    </cfRule>
    <cfRule type="containsBlanks" dxfId="8404" priority="6151">
      <formula>LEN(TRIM(U131))=0</formula>
    </cfRule>
    <cfRule type="containsBlanks" dxfId="8403" priority="6152">
      <formula>LEN(TRIM(U131))=0</formula>
    </cfRule>
    <cfRule type="containsBlanks" dxfId="8402" priority="6153">
      <formula>LEN(TRIM(U131))=0</formula>
    </cfRule>
    <cfRule type="containsBlanks" dxfId="8401" priority="6154">
      <formula>LEN(TRIM(U131))=0</formula>
    </cfRule>
    <cfRule type="containsBlanks" dxfId="8400" priority="6155">
      <formula>LEN(TRIM(U131))=0</formula>
    </cfRule>
  </conditionalFormatting>
  <conditionalFormatting sqref="U127:V127">
    <cfRule type="containsBlanks" dxfId="8399" priority="5126">
      <formula>LEN(TRIM(U127))=0</formula>
    </cfRule>
    <cfRule type="containsBlanks" dxfId="8398" priority="5127">
      <formula>LEN(TRIM(U127))=0</formula>
    </cfRule>
    <cfRule type="containsBlanks" dxfId="8397" priority="5128">
      <formula>LEN(TRIM(U127))=0</formula>
    </cfRule>
    <cfRule type="containsBlanks" dxfId="8396" priority="5129">
      <formula>LEN(TRIM(U127))=0</formula>
    </cfRule>
    <cfRule type="containsBlanks" dxfId="8395" priority="5130">
      <formula>LEN(TRIM(U127))=0</formula>
    </cfRule>
    <cfRule type="containsBlanks" dxfId="8394" priority="5131">
      <formula>LEN(TRIM(U127))=0</formula>
    </cfRule>
    <cfRule type="containsBlanks" dxfId="8393" priority="5132">
      <formula>LEN(TRIM(U127))=0</formula>
    </cfRule>
    <cfRule type="containsBlanks" dxfId="8392" priority="5133">
      <formula>LEN(TRIM(U127))=0</formula>
    </cfRule>
    <cfRule type="containsBlanks" dxfId="8391" priority="5134">
      <formula>LEN(TRIM(U127))=0</formula>
    </cfRule>
    <cfRule type="containsBlanks" dxfId="8390" priority="5135">
      <formula>LEN(TRIM(U127))=0</formula>
    </cfRule>
    <cfRule type="containsBlanks" dxfId="8389" priority="5136">
      <formula>LEN(TRIM(U127))=0</formula>
    </cfRule>
    <cfRule type="containsBlanks" dxfId="8388" priority="5137">
      <formula>LEN(TRIM(U127))=0</formula>
    </cfRule>
    <cfRule type="containsBlanks" dxfId="8387" priority="5138">
      <formula>LEN(TRIM(U127))=0</formula>
    </cfRule>
    <cfRule type="containsBlanks" dxfId="8386" priority="5139">
      <formula>LEN(TRIM(U127))=0</formula>
    </cfRule>
    <cfRule type="containsBlanks" dxfId="8385" priority="5140">
      <formula>LEN(TRIM(U127))=0</formula>
    </cfRule>
    <cfRule type="containsBlanks" dxfId="8384" priority="5141">
      <formula>LEN(TRIM(U127))=0</formula>
    </cfRule>
    <cfRule type="containsBlanks" dxfId="8383" priority="5142">
      <formula>LEN(TRIM(U127))=0</formula>
    </cfRule>
    <cfRule type="containsBlanks" dxfId="8382" priority="5143">
      <formula>LEN(TRIM(U127))=0</formula>
    </cfRule>
    <cfRule type="containsBlanks" dxfId="8381" priority="5144">
      <formula>LEN(TRIM(U127))=0</formula>
    </cfRule>
    <cfRule type="containsBlanks" dxfId="8380" priority="5145">
      <formula>LEN(TRIM(U127))=0</formula>
    </cfRule>
    <cfRule type="containsBlanks" dxfId="8379" priority="5146">
      <formula>LEN(TRIM(U127))=0</formula>
    </cfRule>
    <cfRule type="containsBlanks" dxfId="8378" priority="5147">
      <formula>LEN(TRIM(U127))=0</formula>
    </cfRule>
    <cfRule type="containsBlanks" dxfId="8377" priority="5148">
      <formula>LEN(TRIM(U127))=0</formula>
    </cfRule>
    <cfRule type="containsBlanks" dxfId="8376" priority="5149">
      <formula>LEN(TRIM(U127))=0</formula>
    </cfRule>
    <cfRule type="containsBlanks" dxfId="8375" priority="5150">
      <formula>LEN(TRIM(U127))=0</formula>
    </cfRule>
    <cfRule type="containsBlanks" dxfId="8374" priority="5151">
      <formula>LEN(TRIM(U127))=0</formula>
    </cfRule>
    <cfRule type="containsBlanks" dxfId="8373" priority="5152">
      <formula>LEN(TRIM(U127))=0</formula>
    </cfRule>
    <cfRule type="containsBlanks" dxfId="8372" priority="5153">
      <formula>LEN(TRIM(U127))=0</formula>
    </cfRule>
    <cfRule type="containsBlanks" dxfId="8371" priority="5154">
      <formula>LEN(TRIM(U127))=0</formula>
    </cfRule>
    <cfRule type="containsBlanks" dxfId="8370" priority="5155">
      <formula>LEN(TRIM(U127))=0</formula>
    </cfRule>
    <cfRule type="containsBlanks" dxfId="8369" priority="5156">
      <formula>LEN(TRIM(U127))=0</formula>
    </cfRule>
    <cfRule type="containsBlanks" dxfId="8368" priority="5157">
      <formula>LEN(TRIM(U127))=0</formula>
    </cfRule>
    <cfRule type="containsBlanks" dxfId="8367" priority="5158">
      <formula>LEN(TRIM(U127))=0</formula>
    </cfRule>
    <cfRule type="containsBlanks" dxfId="8366" priority="5159">
      <formula>LEN(TRIM(U127))=0</formula>
    </cfRule>
    <cfRule type="containsBlanks" dxfId="8365" priority="5160">
      <formula>LEN(TRIM(U127))=0</formula>
    </cfRule>
    <cfRule type="containsBlanks" dxfId="8364" priority="5161">
      <formula>LEN(TRIM(U127))=0</formula>
    </cfRule>
    <cfRule type="containsBlanks" dxfId="8363" priority="5162">
      <formula>LEN(TRIM(U127))=0</formula>
    </cfRule>
    <cfRule type="containsBlanks" dxfId="8362" priority="5163">
      <formula>LEN(TRIM(U127))=0</formula>
    </cfRule>
    <cfRule type="containsBlanks" dxfId="8361" priority="5164">
      <formula>LEN(TRIM(U127))=0</formula>
    </cfRule>
    <cfRule type="containsBlanks" dxfId="8360" priority="5165">
      <formula>LEN(TRIM(U127))=0</formula>
    </cfRule>
    <cfRule type="containsBlanks" dxfId="8359" priority="5166">
      <formula>LEN(TRIM(U127))=0</formula>
    </cfRule>
    <cfRule type="containsBlanks" dxfId="8358" priority="5167">
      <formula>LEN(TRIM(U127))=0</formula>
    </cfRule>
    <cfRule type="containsBlanks" dxfId="8357" priority="5168">
      <formula>LEN(TRIM(U127))=0</formula>
    </cfRule>
    <cfRule type="containsBlanks" dxfId="8356" priority="5169">
      <formula>LEN(TRIM(U127))=0</formula>
    </cfRule>
    <cfRule type="containsBlanks" dxfId="8355" priority="5170">
      <formula>LEN(TRIM(U127))=0</formula>
    </cfRule>
    <cfRule type="containsBlanks" dxfId="8354" priority="5171">
      <formula>LEN(TRIM(U127))=0</formula>
    </cfRule>
    <cfRule type="containsBlanks" dxfId="8353" priority="5172">
      <formula>LEN(TRIM(U127))=0</formula>
    </cfRule>
    <cfRule type="containsBlanks" dxfId="8352" priority="5173">
      <formula>LEN(TRIM(U127))=0</formula>
    </cfRule>
    <cfRule type="containsBlanks" dxfId="8351" priority="5174">
      <formula>LEN(TRIM(U127))=0</formula>
    </cfRule>
    <cfRule type="containsBlanks" dxfId="8350" priority="5175">
      <formula>LEN(TRIM(U127))=0</formula>
    </cfRule>
    <cfRule type="containsBlanks" dxfId="8349" priority="5176">
      <formula>LEN(TRIM(U127))=0</formula>
    </cfRule>
    <cfRule type="containsBlanks" dxfId="8348" priority="5177">
      <formula>LEN(TRIM(U127))=0</formula>
    </cfRule>
    <cfRule type="containsBlanks" dxfId="8347" priority="5178">
      <formula>LEN(TRIM(U127))=0</formula>
    </cfRule>
    <cfRule type="containsBlanks" dxfId="8346" priority="5179">
      <formula>LEN(TRIM(U127))=0</formula>
    </cfRule>
    <cfRule type="containsBlanks" dxfId="8345" priority="5180">
      <formula>LEN(TRIM(U127))=0</formula>
    </cfRule>
    <cfRule type="containsBlanks" dxfId="8344" priority="5181">
      <formula>LEN(TRIM(U127))=0</formula>
    </cfRule>
    <cfRule type="containsBlanks" dxfId="8343" priority="5182">
      <formula>LEN(TRIM(U127))=0</formula>
    </cfRule>
    <cfRule type="containsBlanks" dxfId="8342" priority="5183">
      <formula>LEN(TRIM(U127))=0</formula>
    </cfRule>
    <cfRule type="containsBlanks" dxfId="8341" priority="5184">
      <formula>LEN(TRIM(U127))=0</formula>
    </cfRule>
    <cfRule type="containsBlanks" dxfId="8340" priority="5185">
      <formula>LEN(TRIM(U127))=0</formula>
    </cfRule>
    <cfRule type="containsBlanks" dxfId="8339" priority="5186">
      <formula>LEN(TRIM(U127))=0</formula>
    </cfRule>
    <cfRule type="containsBlanks" dxfId="8338" priority="5187">
      <formula>LEN(TRIM(U127))=0</formula>
    </cfRule>
    <cfRule type="containsBlanks" dxfId="8337" priority="5188">
      <formula>LEN(TRIM(U127))=0</formula>
    </cfRule>
    <cfRule type="containsBlanks" dxfId="8336" priority="5189">
      <formula>LEN(TRIM(U127))=0</formula>
    </cfRule>
    <cfRule type="containsBlanks" dxfId="8335" priority="5190">
      <formula>LEN(TRIM(U127))=0</formula>
    </cfRule>
    <cfRule type="containsBlanks" dxfId="8334" priority="5191">
      <formula>LEN(TRIM(U127))=0</formula>
    </cfRule>
    <cfRule type="containsBlanks" dxfId="8333" priority="5192">
      <formula>LEN(TRIM(U127))=0</formula>
    </cfRule>
    <cfRule type="containsBlanks" dxfId="8332" priority="5193">
      <formula>LEN(TRIM(U127))=0</formula>
    </cfRule>
    <cfRule type="containsBlanks" dxfId="8331" priority="5194">
      <formula>LEN(TRIM(U127))=0</formula>
    </cfRule>
    <cfRule type="containsBlanks" dxfId="8330" priority="5195">
      <formula>LEN(TRIM(U127))=0</formula>
    </cfRule>
    <cfRule type="containsBlanks" dxfId="8329" priority="5196">
      <formula>LEN(TRIM(U127))=0</formula>
    </cfRule>
    <cfRule type="containsBlanks" dxfId="8328" priority="5197">
      <formula>LEN(TRIM(U127))=0</formula>
    </cfRule>
    <cfRule type="containsBlanks" dxfId="8327" priority="5198">
      <formula>LEN(TRIM(U127))=0</formula>
    </cfRule>
    <cfRule type="containsBlanks" dxfId="8326" priority="5199">
      <formula>LEN(TRIM(U127))=0</formula>
    </cfRule>
    <cfRule type="containsBlanks" dxfId="8325" priority="5200">
      <formula>LEN(TRIM(U127))=0</formula>
    </cfRule>
    <cfRule type="containsBlanks" dxfId="8324" priority="5201">
      <formula>LEN(TRIM(U127))=0</formula>
    </cfRule>
    <cfRule type="containsBlanks" dxfId="8323" priority="5202">
      <formula>LEN(TRIM(U127))=0</formula>
    </cfRule>
    <cfRule type="containsBlanks" dxfId="8322" priority="5203">
      <formula>LEN(TRIM(U127))=0</formula>
    </cfRule>
    <cfRule type="containsBlanks" dxfId="8321" priority="5204">
      <formula>LEN(TRIM(U127))=0</formula>
    </cfRule>
    <cfRule type="containsBlanks" dxfId="8320" priority="5205">
      <formula>LEN(TRIM(U127))=0</formula>
    </cfRule>
    <cfRule type="containsBlanks" dxfId="8319" priority="5206">
      <formula>LEN(TRIM(U127))=0</formula>
    </cfRule>
    <cfRule type="containsBlanks" dxfId="8318" priority="5207">
      <formula>LEN(TRIM(U127))=0</formula>
    </cfRule>
    <cfRule type="containsBlanks" dxfId="8317" priority="5208">
      <formula>LEN(TRIM(U127))=0</formula>
    </cfRule>
    <cfRule type="containsBlanks" dxfId="8316" priority="5209">
      <formula>LEN(TRIM(U127))=0</formula>
    </cfRule>
    <cfRule type="containsBlanks" dxfId="8315" priority="5210">
      <formula>LEN(TRIM(U127))=0</formula>
    </cfRule>
    <cfRule type="containsBlanks" dxfId="8314" priority="5211">
      <formula>LEN(TRIM(U127))=0</formula>
    </cfRule>
    <cfRule type="containsBlanks" dxfId="8313" priority="5212">
      <formula>LEN(TRIM(U127))=0</formula>
    </cfRule>
    <cfRule type="containsBlanks" dxfId="8312" priority="5213">
      <formula>LEN(TRIM(U127))=0</formula>
    </cfRule>
    <cfRule type="containsBlanks" dxfId="8311" priority="5214">
      <formula>LEN(TRIM(U127))=0</formula>
    </cfRule>
    <cfRule type="containsBlanks" dxfId="8310" priority="5215">
      <formula>LEN(TRIM(U127))=0</formula>
    </cfRule>
    <cfRule type="containsBlanks" dxfId="8309" priority="5216">
      <formula>LEN(TRIM(U127))=0</formula>
    </cfRule>
    <cfRule type="containsBlanks" dxfId="8308" priority="5217">
      <formula>LEN(TRIM(U127))=0</formula>
    </cfRule>
    <cfRule type="containsBlanks" dxfId="8307" priority="5218">
      <formula>LEN(TRIM(U127))=0</formula>
    </cfRule>
    <cfRule type="containsBlanks" dxfId="8306" priority="5219">
      <formula>LEN(TRIM(U127))=0</formula>
    </cfRule>
    <cfRule type="containsBlanks" dxfId="8305" priority="5220">
      <formula>LEN(TRIM(U127))=0</formula>
    </cfRule>
    <cfRule type="containsBlanks" dxfId="8304" priority="5221">
      <formula>LEN(TRIM(U127))=0</formula>
    </cfRule>
    <cfRule type="containsBlanks" dxfId="8303" priority="5222">
      <formula>LEN(TRIM(U127))=0</formula>
    </cfRule>
    <cfRule type="containsBlanks" dxfId="8302" priority="5223">
      <formula>LEN(TRIM(U127))=0</formula>
    </cfRule>
    <cfRule type="containsBlanks" dxfId="8301" priority="5224">
      <formula>LEN(TRIM(U127))=0</formula>
    </cfRule>
    <cfRule type="containsBlanks" dxfId="8300" priority="5225">
      <formula>LEN(TRIM(U127))=0</formula>
    </cfRule>
    <cfRule type="containsBlanks" dxfId="8299" priority="5226">
      <formula>LEN(TRIM(U127))=0</formula>
    </cfRule>
    <cfRule type="containsBlanks" dxfId="8298" priority="5227">
      <formula>LEN(TRIM(U127))=0</formula>
    </cfRule>
    <cfRule type="containsBlanks" dxfId="8297" priority="5228">
      <formula>LEN(TRIM(U127))=0</formula>
    </cfRule>
    <cfRule type="containsBlanks" dxfId="8296" priority="5229">
      <formula>LEN(TRIM(U127))=0</formula>
    </cfRule>
    <cfRule type="containsBlanks" dxfId="8295" priority="5230">
      <formula>LEN(TRIM(U127))=0</formula>
    </cfRule>
    <cfRule type="containsBlanks" dxfId="8294" priority="5231">
      <formula>LEN(TRIM(U127))=0</formula>
    </cfRule>
    <cfRule type="containsBlanks" dxfId="8293" priority="5232">
      <formula>LEN(TRIM(U127))=0</formula>
    </cfRule>
    <cfRule type="containsBlanks" dxfId="8292" priority="5233">
      <formula>LEN(TRIM(U127))=0</formula>
    </cfRule>
    <cfRule type="containsBlanks" dxfId="8291" priority="5234">
      <formula>LEN(TRIM(U127))=0</formula>
    </cfRule>
    <cfRule type="containsBlanks" dxfId="8290" priority="5235">
      <formula>LEN(TRIM(U127))=0</formula>
    </cfRule>
    <cfRule type="containsBlanks" dxfId="8289" priority="5236">
      <formula>LEN(TRIM(U127))=0</formula>
    </cfRule>
    <cfRule type="containsBlanks" dxfId="8288" priority="5237">
      <formula>LEN(TRIM(U127))=0</formula>
    </cfRule>
    <cfRule type="containsBlanks" dxfId="8287" priority="5238">
      <formula>LEN(TRIM(U127))=0</formula>
    </cfRule>
    <cfRule type="containsBlanks" dxfId="8286" priority="5239">
      <formula>LEN(TRIM(U127))=0</formula>
    </cfRule>
    <cfRule type="containsBlanks" dxfId="8285" priority="5240">
      <formula>LEN(TRIM(U127))=0</formula>
    </cfRule>
    <cfRule type="containsBlanks" dxfId="8284" priority="5241">
      <formula>LEN(TRIM(U127))=0</formula>
    </cfRule>
    <cfRule type="containsBlanks" dxfId="8283" priority="5242">
      <formula>LEN(TRIM(U127))=0</formula>
    </cfRule>
    <cfRule type="containsBlanks" dxfId="8282" priority="5243">
      <formula>LEN(TRIM(U127))=0</formula>
    </cfRule>
    <cfRule type="containsBlanks" dxfId="8281" priority="5244">
      <formula>LEN(TRIM(U127))=0</formula>
    </cfRule>
    <cfRule type="containsBlanks" dxfId="8280" priority="5245">
      <formula>LEN(TRIM(U127))=0</formula>
    </cfRule>
    <cfRule type="containsBlanks" dxfId="8279" priority="5246">
      <formula>LEN(TRIM(U127))=0</formula>
    </cfRule>
    <cfRule type="containsBlanks" dxfId="8278" priority="5247">
      <formula>LEN(TRIM(U127))=0</formula>
    </cfRule>
    <cfRule type="containsBlanks" dxfId="8277" priority="5248">
      <formula>LEN(TRIM(U127))=0</formula>
    </cfRule>
    <cfRule type="containsBlanks" dxfId="8276" priority="5249">
      <formula>LEN(TRIM(U127))=0</formula>
    </cfRule>
    <cfRule type="containsBlanks" dxfId="8275" priority="5250">
      <formula>LEN(TRIM(U127))=0</formula>
    </cfRule>
    <cfRule type="containsBlanks" dxfId="8274" priority="5251">
      <formula>LEN(TRIM(U127))=0</formula>
    </cfRule>
    <cfRule type="containsBlanks" dxfId="8273" priority="5252">
      <formula>LEN(TRIM(U127))=0</formula>
    </cfRule>
    <cfRule type="containsBlanks" dxfId="8272" priority="5253">
      <formula>LEN(TRIM(U127))=0</formula>
    </cfRule>
    <cfRule type="containsBlanks" dxfId="8271" priority="5254">
      <formula>LEN(TRIM(U127))=0</formula>
    </cfRule>
    <cfRule type="containsBlanks" dxfId="8270" priority="5255">
      <formula>LEN(TRIM(U127))=0</formula>
    </cfRule>
    <cfRule type="containsBlanks" dxfId="8269" priority="5256">
      <formula>LEN(TRIM(U127))=0</formula>
    </cfRule>
    <cfRule type="containsBlanks" dxfId="8268" priority="5257">
      <formula>LEN(TRIM(U127))=0</formula>
    </cfRule>
    <cfRule type="containsBlanks" dxfId="8267" priority="5258">
      <formula>LEN(TRIM(U127))=0</formula>
    </cfRule>
    <cfRule type="containsBlanks" dxfId="8266" priority="5259">
      <formula>LEN(TRIM(U127))=0</formula>
    </cfRule>
    <cfRule type="containsBlanks" dxfId="8265" priority="5260">
      <formula>LEN(TRIM(U127))=0</formula>
    </cfRule>
    <cfRule type="containsBlanks" dxfId="8264" priority="5261">
      <formula>LEN(TRIM(U127))=0</formula>
    </cfRule>
    <cfRule type="containsBlanks" dxfId="8263" priority="5262">
      <formula>LEN(TRIM(U127))=0</formula>
    </cfRule>
    <cfRule type="containsBlanks" dxfId="8262" priority="5263">
      <formula>LEN(TRIM(U127))=0</formula>
    </cfRule>
    <cfRule type="containsBlanks" dxfId="8261" priority="5264">
      <formula>LEN(TRIM(U127))=0</formula>
    </cfRule>
    <cfRule type="containsBlanks" dxfId="8260" priority="5265">
      <formula>LEN(TRIM(U127))=0</formula>
    </cfRule>
    <cfRule type="containsBlanks" dxfId="8259" priority="5266">
      <formula>LEN(TRIM(U127))=0</formula>
    </cfRule>
    <cfRule type="containsBlanks" dxfId="8258" priority="5267">
      <formula>LEN(TRIM(U127))=0</formula>
    </cfRule>
    <cfRule type="containsBlanks" dxfId="8257" priority="5268">
      <formula>LEN(TRIM(U127))=0</formula>
    </cfRule>
    <cfRule type="containsBlanks" dxfId="8256" priority="5269">
      <formula>LEN(TRIM(U127))=0</formula>
    </cfRule>
    <cfRule type="containsBlanks" dxfId="8255" priority="5270">
      <formula>LEN(TRIM(U127))=0</formula>
    </cfRule>
    <cfRule type="containsBlanks" dxfId="8254" priority="5271">
      <formula>LEN(TRIM(U127))=0</formula>
    </cfRule>
    <cfRule type="containsBlanks" dxfId="8253" priority="5272">
      <formula>LEN(TRIM(U127))=0</formula>
    </cfRule>
    <cfRule type="containsBlanks" dxfId="8252" priority="5273">
      <formula>LEN(TRIM(U127))=0</formula>
    </cfRule>
    <cfRule type="containsBlanks" dxfId="8251" priority="5274">
      <formula>LEN(TRIM(U127))=0</formula>
    </cfRule>
    <cfRule type="containsBlanks" dxfId="8250" priority="5275">
      <formula>LEN(TRIM(U127))=0</formula>
    </cfRule>
    <cfRule type="containsBlanks" dxfId="8249" priority="5276">
      <formula>LEN(TRIM(U127))=0</formula>
    </cfRule>
    <cfRule type="containsBlanks" dxfId="8248" priority="5277">
      <formula>LEN(TRIM(U127))=0</formula>
    </cfRule>
    <cfRule type="containsBlanks" dxfId="8247" priority="5278">
      <formula>LEN(TRIM(U127))=0</formula>
    </cfRule>
    <cfRule type="containsBlanks" dxfId="8246" priority="5279">
      <formula>LEN(TRIM(U127))=0</formula>
    </cfRule>
    <cfRule type="containsBlanks" dxfId="8245" priority="5280">
      <formula>LEN(TRIM(U127))=0</formula>
    </cfRule>
    <cfRule type="containsBlanks" dxfId="8244" priority="5281">
      <formula>LEN(TRIM(U127))=0</formula>
    </cfRule>
    <cfRule type="containsBlanks" dxfId="8243" priority="5282">
      <formula>LEN(TRIM(U127))=0</formula>
    </cfRule>
    <cfRule type="containsBlanks" dxfId="8242" priority="5283">
      <formula>LEN(TRIM(U127))=0</formula>
    </cfRule>
    <cfRule type="containsBlanks" dxfId="8241" priority="5284">
      <formula>LEN(TRIM(U127))=0</formula>
    </cfRule>
    <cfRule type="containsBlanks" dxfId="8240" priority="5285">
      <formula>LEN(TRIM(U127))=0</formula>
    </cfRule>
    <cfRule type="containsBlanks" dxfId="8239" priority="5286">
      <formula>LEN(TRIM(U127))=0</formula>
    </cfRule>
    <cfRule type="containsBlanks" dxfId="8238" priority="5287">
      <formula>LEN(TRIM(U127))=0</formula>
    </cfRule>
    <cfRule type="containsBlanks" dxfId="8237" priority="5288">
      <formula>LEN(TRIM(U127))=0</formula>
    </cfRule>
    <cfRule type="containsBlanks" dxfId="8236" priority="5289">
      <formula>LEN(TRIM(U127))=0</formula>
    </cfRule>
    <cfRule type="containsBlanks" dxfId="8235" priority="5290">
      <formula>LEN(TRIM(U127))=0</formula>
    </cfRule>
    <cfRule type="containsBlanks" dxfId="8234" priority="5291">
      <formula>LEN(TRIM(U127))=0</formula>
    </cfRule>
    <cfRule type="containsBlanks" dxfId="8233" priority="5292">
      <formula>LEN(TRIM(U127))=0</formula>
    </cfRule>
    <cfRule type="containsBlanks" dxfId="8232" priority="5293">
      <formula>LEN(TRIM(U127))=0</formula>
    </cfRule>
    <cfRule type="containsBlanks" dxfId="8231" priority="5294">
      <formula>LEN(TRIM(U127))=0</formula>
    </cfRule>
    <cfRule type="containsBlanks" dxfId="8230" priority="5295">
      <formula>LEN(TRIM(U127))=0</formula>
    </cfRule>
    <cfRule type="containsBlanks" dxfId="8229" priority="5296">
      <formula>LEN(TRIM(U127))=0</formula>
    </cfRule>
    <cfRule type="containsBlanks" dxfId="8228" priority="5297">
      <formula>LEN(TRIM(U127))=0</formula>
    </cfRule>
    <cfRule type="containsBlanks" dxfId="8227" priority="5298">
      <formula>LEN(TRIM(U127))=0</formula>
    </cfRule>
    <cfRule type="containsBlanks" dxfId="8226" priority="5299">
      <formula>LEN(TRIM(U127))=0</formula>
    </cfRule>
    <cfRule type="containsBlanks" dxfId="8225" priority="5300">
      <formula>LEN(TRIM(U127))=0</formula>
    </cfRule>
    <cfRule type="containsBlanks" dxfId="8224" priority="5301">
      <formula>LEN(TRIM(U127))=0</formula>
    </cfRule>
    <cfRule type="containsBlanks" dxfId="8223" priority="5302">
      <formula>LEN(TRIM(U127))=0</formula>
    </cfRule>
    <cfRule type="containsBlanks" dxfId="8222" priority="5303">
      <formula>LEN(TRIM(U127))=0</formula>
    </cfRule>
    <cfRule type="containsBlanks" dxfId="8221" priority="5304">
      <formula>LEN(TRIM(U127))=0</formula>
    </cfRule>
    <cfRule type="containsBlanks" dxfId="8220" priority="5305">
      <formula>LEN(TRIM(U127))=0</formula>
    </cfRule>
    <cfRule type="containsBlanks" dxfId="8219" priority="5306">
      <formula>LEN(TRIM(U127))=0</formula>
    </cfRule>
    <cfRule type="containsBlanks" dxfId="8218" priority="5307">
      <formula>LEN(TRIM(U127))=0</formula>
    </cfRule>
    <cfRule type="containsBlanks" dxfId="8217" priority="5308">
      <formula>LEN(TRIM(U127))=0</formula>
    </cfRule>
    <cfRule type="containsBlanks" dxfId="8216" priority="5309">
      <formula>LEN(TRIM(U127))=0</formula>
    </cfRule>
    <cfRule type="containsBlanks" dxfId="8215" priority="5310">
      <formula>LEN(TRIM(U127))=0</formula>
    </cfRule>
    <cfRule type="containsBlanks" dxfId="8214" priority="5311">
      <formula>LEN(TRIM(U127))=0</formula>
    </cfRule>
    <cfRule type="containsBlanks" dxfId="8213" priority="5312">
      <formula>LEN(TRIM(U127))=0</formula>
    </cfRule>
    <cfRule type="containsBlanks" dxfId="8212" priority="5313">
      <formula>LEN(TRIM(U127))=0</formula>
    </cfRule>
    <cfRule type="containsBlanks" dxfId="8211" priority="5314">
      <formula>LEN(TRIM(U127))=0</formula>
    </cfRule>
    <cfRule type="containsBlanks" dxfId="8210" priority="5315">
      <formula>LEN(TRIM(U127))=0</formula>
    </cfRule>
    <cfRule type="containsBlanks" dxfId="8209" priority="5316">
      <formula>LEN(TRIM(U127))=0</formula>
    </cfRule>
    <cfRule type="containsBlanks" dxfId="8208" priority="5317">
      <formula>LEN(TRIM(U127))=0</formula>
    </cfRule>
    <cfRule type="containsBlanks" dxfId="8207" priority="5318">
      <formula>LEN(TRIM(U127))=0</formula>
    </cfRule>
    <cfRule type="containsBlanks" dxfId="8206" priority="5319">
      <formula>LEN(TRIM(U127))=0</formula>
    </cfRule>
    <cfRule type="containsBlanks" dxfId="8205" priority="5320">
      <formula>LEN(TRIM(U127))=0</formula>
    </cfRule>
    <cfRule type="containsBlanks" dxfId="8204" priority="5321">
      <formula>LEN(TRIM(U127))=0</formula>
    </cfRule>
    <cfRule type="containsBlanks" dxfId="8203" priority="5322">
      <formula>LEN(TRIM(U127))=0</formula>
    </cfRule>
    <cfRule type="containsBlanks" dxfId="8202" priority="5323">
      <formula>LEN(TRIM(U127))=0</formula>
    </cfRule>
    <cfRule type="containsBlanks" dxfId="8201" priority="5324">
      <formula>LEN(TRIM(U127))=0</formula>
    </cfRule>
    <cfRule type="containsBlanks" dxfId="8200" priority="5325">
      <formula>LEN(TRIM(U127))=0</formula>
    </cfRule>
    <cfRule type="containsBlanks" dxfId="8199" priority="5326">
      <formula>LEN(TRIM(U127))=0</formula>
    </cfRule>
    <cfRule type="containsBlanks" dxfId="8198" priority="5327">
      <formula>LEN(TRIM(U127))=0</formula>
    </cfRule>
    <cfRule type="containsBlanks" dxfId="8197" priority="5328">
      <formula>LEN(TRIM(U127))=0</formula>
    </cfRule>
    <cfRule type="containsBlanks" dxfId="8196" priority="5329">
      <formula>LEN(TRIM(U127))=0</formula>
    </cfRule>
    <cfRule type="containsBlanks" dxfId="8195" priority="5330">
      <formula>LEN(TRIM(U127))=0</formula>
    </cfRule>
    <cfRule type="containsBlanks" dxfId="8194" priority="5331">
      <formula>LEN(TRIM(U127))=0</formula>
    </cfRule>
    <cfRule type="containsBlanks" dxfId="8193" priority="5332">
      <formula>LEN(TRIM(U127))=0</formula>
    </cfRule>
    <cfRule type="containsBlanks" dxfId="8192" priority="5333">
      <formula>LEN(TRIM(U127))=0</formula>
    </cfRule>
    <cfRule type="containsBlanks" dxfId="8191" priority="5334">
      <formula>LEN(TRIM(U127))=0</formula>
    </cfRule>
    <cfRule type="containsBlanks" dxfId="8190" priority="5335">
      <formula>LEN(TRIM(U127))=0</formula>
    </cfRule>
    <cfRule type="containsBlanks" dxfId="8189" priority="5336">
      <formula>LEN(TRIM(U127))=0</formula>
    </cfRule>
    <cfRule type="containsBlanks" dxfId="8188" priority="5337">
      <formula>LEN(TRIM(U127))=0</formula>
    </cfRule>
    <cfRule type="containsBlanks" dxfId="8187" priority="5338">
      <formula>LEN(TRIM(U127))=0</formula>
    </cfRule>
    <cfRule type="containsBlanks" dxfId="8186" priority="5339">
      <formula>LEN(TRIM(U127))=0</formula>
    </cfRule>
    <cfRule type="containsBlanks" dxfId="8185" priority="5340">
      <formula>LEN(TRIM(U127))=0</formula>
    </cfRule>
    <cfRule type="containsBlanks" dxfId="8184" priority="5341">
      <formula>LEN(TRIM(U127))=0</formula>
    </cfRule>
    <cfRule type="containsBlanks" dxfId="8183" priority="5342">
      <formula>LEN(TRIM(U127))=0</formula>
    </cfRule>
    <cfRule type="containsBlanks" dxfId="8182" priority="5343">
      <formula>LEN(TRIM(U127))=0</formula>
    </cfRule>
    <cfRule type="containsBlanks" dxfId="8181" priority="5344">
      <formula>LEN(TRIM(U127))=0</formula>
    </cfRule>
    <cfRule type="containsBlanks" dxfId="8180" priority="5345">
      <formula>LEN(TRIM(U127))=0</formula>
    </cfRule>
    <cfRule type="containsBlanks" dxfId="8179" priority="5346">
      <formula>LEN(TRIM(U127))=0</formula>
    </cfRule>
    <cfRule type="containsBlanks" dxfId="8178" priority="5347">
      <formula>LEN(TRIM(U127))=0</formula>
    </cfRule>
    <cfRule type="containsBlanks" dxfId="8177" priority="5348">
      <formula>LEN(TRIM(U127))=0</formula>
    </cfRule>
    <cfRule type="containsBlanks" dxfId="8176" priority="5349">
      <formula>LEN(TRIM(U127))=0</formula>
    </cfRule>
    <cfRule type="containsBlanks" dxfId="8175" priority="5350">
      <formula>LEN(TRIM(U127))=0</formula>
    </cfRule>
    <cfRule type="containsBlanks" dxfId="8174" priority="5351">
      <formula>LEN(TRIM(U127))=0</formula>
    </cfRule>
    <cfRule type="containsBlanks" dxfId="8173" priority="5352">
      <formula>LEN(TRIM(U127))=0</formula>
    </cfRule>
    <cfRule type="containsBlanks" dxfId="8172" priority="5353">
      <formula>LEN(TRIM(U127))=0</formula>
    </cfRule>
    <cfRule type="containsBlanks" dxfId="8171" priority="5354">
      <formula>LEN(TRIM(U127))=0</formula>
    </cfRule>
    <cfRule type="containsBlanks" dxfId="8170" priority="5355">
      <formula>LEN(TRIM(U127))=0</formula>
    </cfRule>
    <cfRule type="containsBlanks" dxfId="8169" priority="5356">
      <formula>LEN(TRIM(U127))=0</formula>
    </cfRule>
    <cfRule type="containsBlanks" dxfId="8168" priority="5357">
      <formula>LEN(TRIM(U127))=0</formula>
    </cfRule>
    <cfRule type="containsBlanks" dxfId="8167" priority="5358">
      <formula>LEN(TRIM(U127))=0</formula>
    </cfRule>
    <cfRule type="containsBlanks" dxfId="8166" priority="5359">
      <formula>LEN(TRIM(U127))=0</formula>
    </cfRule>
    <cfRule type="containsBlanks" dxfId="8165" priority="5360">
      <formula>LEN(TRIM(U127))=0</formula>
    </cfRule>
    <cfRule type="containsBlanks" dxfId="8164" priority="5361">
      <formula>LEN(TRIM(U127))=0</formula>
    </cfRule>
    <cfRule type="containsBlanks" dxfId="8163" priority="5362">
      <formula>LEN(TRIM(U127))=0</formula>
    </cfRule>
    <cfRule type="containsBlanks" dxfId="8162" priority="5363">
      <formula>LEN(TRIM(U127))=0</formula>
    </cfRule>
    <cfRule type="containsBlanks" dxfId="8161" priority="5364">
      <formula>LEN(TRIM(U127))=0</formula>
    </cfRule>
    <cfRule type="containsBlanks" dxfId="8160" priority="5365">
      <formula>LEN(TRIM(U127))=0</formula>
    </cfRule>
    <cfRule type="containsBlanks" dxfId="8159" priority="5366">
      <formula>LEN(TRIM(U127))=0</formula>
    </cfRule>
    <cfRule type="containsBlanks" dxfId="8158" priority="5367">
      <formula>LEN(TRIM(U127))=0</formula>
    </cfRule>
    <cfRule type="containsBlanks" dxfId="8157" priority="5368">
      <formula>LEN(TRIM(U127))=0</formula>
    </cfRule>
    <cfRule type="containsBlanks" dxfId="8156" priority="5369">
      <formula>LEN(TRIM(U127))=0</formula>
    </cfRule>
    <cfRule type="containsBlanks" dxfId="8155" priority="5370">
      <formula>LEN(TRIM(U127))=0</formula>
    </cfRule>
    <cfRule type="containsBlanks" dxfId="8154" priority="5371">
      <formula>LEN(TRIM(U127))=0</formula>
    </cfRule>
    <cfRule type="containsBlanks" dxfId="8153" priority="5372">
      <formula>LEN(TRIM(U127))=0</formula>
    </cfRule>
    <cfRule type="containsBlanks" dxfId="8152" priority="5373">
      <formula>LEN(TRIM(U127))=0</formula>
    </cfRule>
    <cfRule type="containsBlanks" dxfId="8151" priority="5374">
      <formula>LEN(TRIM(U127))=0</formula>
    </cfRule>
    <cfRule type="containsBlanks" dxfId="8150" priority="5375">
      <formula>LEN(TRIM(U127))=0</formula>
    </cfRule>
    <cfRule type="containsBlanks" dxfId="8149" priority="5376">
      <formula>LEN(TRIM(U127))=0</formula>
    </cfRule>
    <cfRule type="containsBlanks" dxfId="8148" priority="5377">
      <formula>LEN(TRIM(U127))=0</formula>
    </cfRule>
    <cfRule type="containsBlanks" dxfId="8147" priority="5378">
      <formula>LEN(TRIM(U127))=0</formula>
    </cfRule>
    <cfRule type="containsBlanks" dxfId="8146" priority="5379">
      <formula>LEN(TRIM(U127))=0</formula>
    </cfRule>
    <cfRule type="containsBlanks" dxfId="8145" priority="5380">
      <formula>LEN(TRIM(U127))=0</formula>
    </cfRule>
    <cfRule type="containsBlanks" dxfId="8144" priority="5381">
      <formula>LEN(TRIM(U127))=0</formula>
    </cfRule>
    <cfRule type="containsBlanks" dxfId="8143" priority="5382">
      <formula>LEN(TRIM(U127))=0</formula>
    </cfRule>
    <cfRule type="containsBlanks" dxfId="8142" priority="5383">
      <formula>LEN(TRIM(U127))=0</formula>
    </cfRule>
    <cfRule type="containsBlanks" dxfId="8141" priority="5384">
      <formula>LEN(TRIM(U127))=0</formula>
    </cfRule>
    <cfRule type="containsBlanks" dxfId="8140" priority="5385">
      <formula>LEN(TRIM(U127))=0</formula>
    </cfRule>
    <cfRule type="containsBlanks" dxfId="8139" priority="5386">
      <formula>LEN(TRIM(U127))=0</formula>
    </cfRule>
    <cfRule type="containsBlanks" dxfId="8138" priority="5387">
      <formula>LEN(TRIM(U127))=0</formula>
    </cfRule>
    <cfRule type="containsBlanks" dxfId="8137" priority="5388">
      <formula>LEN(TRIM(U127))=0</formula>
    </cfRule>
    <cfRule type="containsBlanks" dxfId="8136" priority="5389">
      <formula>LEN(TRIM(U127))=0</formula>
    </cfRule>
    <cfRule type="containsBlanks" dxfId="8135" priority="5390">
      <formula>LEN(TRIM(U127))=0</formula>
    </cfRule>
    <cfRule type="containsBlanks" dxfId="8134" priority="5391">
      <formula>LEN(TRIM(U127))=0</formula>
    </cfRule>
    <cfRule type="containsBlanks" dxfId="8133" priority="5392">
      <formula>LEN(TRIM(U127))=0</formula>
    </cfRule>
    <cfRule type="containsBlanks" dxfId="8132" priority="5393">
      <formula>LEN(TRIM(U127))=0</formula>
    </cfRule>
    <cfRule type="containsBlanks" dxfId="8131" priority="5394">
      <formula>LEN(TRIM(U127))=0</formula>
    </cfRule>
    <cfRule type="containsBlanks" dxfId="8130" priority="5395">
      <formula>LEN(TRIM(U127))=0</formula>
    </cfRule>
    <cfRule type="containsBlanks" dxfId="8129" priority="5396">
      <formula>LEN(TRIM(U127))=0</formula>
    </cfRule>
    <cfRule type="containsBlanks" dxfId="8128" priority="5397">
      <formula>LEN(TRIM(U127))=0</formula>
    </cfRule>
    <cfRule type="containsBlanks" dxfId="8127" priority="5398">
      <formula>LEN(TRIM(U127))=0</formula>
    </cfRule>
    <cfRule type="containsBlanks" dxfId="8126" priority="5399">
      <formula>LEN(TRIM(U127))=0</formula>
    </cfRule>
    <cfRule type="containsBlanks" dxfId="8125" priority="5400">
      <formula>LEN(TRIM(U127))=0</formula>
    </cfRule>
    <cfRule type="containsBlanks" dxfId="8124" priority="5401">
      <formula>LEN(TRIM(U127))=0</formula>
    </cfRule>
    <cfRule type="containsBlanks" dxfId="8123" priority="5402">
      <formula>LEN(TRIM(U127))=0</formula>
    </cfRule>
    <cfRule type="containsBlanks" dxfId="8122" priority="5403">
      <formula>LEN(TRIM(U127))=0</formula>
    </cfRule>
    <cfRule type="containsBlanks" dxfId="8121" priority="5404">
      <formula>LEN(TRIM(U127))=0</formula>
    </cfRule>
    <cfRule type="containsBlanks" dxfId="8120" priority="5405">
      <formula>LEN(TRIM(U127))=0</formula>
    </cfRule>
    <cfRule type="containsBlanks" dxfId="8119" priority="5406">
      <formula>LEN(TRIM(U127))=0</formula>
    </cfRule>
    <cfRule type="containsBlanks" dxfId="8118" priority="5407">
      <formula>LEN(TRIM(U127))=0</formula>
    </cfRule>
    <cfRule type="containsBlanks" dxfId="8117" priority="5408">
      <formula>LEN(TRIM(U127))=0</formula>
    </cfRule>
    <cfRule type="containsBlanks" dxfId="8116" priority="5409">
      <formula>LEN(TRIM(U127))=0</formula>
    </cfRule>
    <cfRule type="containsBlanks" dxfId="8115" priority="5410">
      <formula>LEN(TRIM(U127))=0</formula>
    </cfRule>
    <cfRule type="containsBlanks" dxfId="8114" priority="5411">
      <formula>LEN(TRIM(U127))=0</formula>
    </cfRule>
    <cfRule type="containsBlanks" dxfId="8113" priority="5412">
      <formula>LEN(TRIM(U127))=0</formula>
    </cfRule>
    <cfRule type="containsBlanks" dxfId="8112" priority="5413">
      <formula>LEN(TRIM(U127))=0</formula>
    </cfRule>
    <cfRule type="containsBlanks" dxfId="8111" priority="5414">
      <formula>LEN(TRIM(U127))=0</formula>
    </cfRule>
    <cfRule type="containsBlanks" dxfId="8110" priority="5415">
      <formula>LEN(TRIM(U127))=0</formula>
    </cfRule>
    <cfRule type="containsBlanks" dxfId="8109" priority="5416">
      <formula>LEN(TRIM(U127))=0</formula>
    </cfRule>
    <cfRule type="containsBlanks" dxfId="8108" priority="5417">
      <formula>LEN(TRIM(U127))=0</formula>
    </cfRule>
    <cfRule type="containsBlanks" dxfId="8107" priority="5418">
      <formula>LEN(TRIM(U127))=0</formula>
    </cfRule>
    <cfRule type="containsBlanks" dxfId="8106" priority="5419">
      <formula>LEN(TRIM(U127))=0</formula>
    </cfRule>
    <cfRule type="containsBlanks" dxfId="8105" priority="5420">
      <formula>LEN(TRIM(U127))=0</formula>
    </cfRule>
    <cfRule type="containsBlanks" dxfId="8104" priority="5421">
      <formula>LEN(TRIM(U127))=0</formula>
    </cfRule>
    <cfRule type="containsBlanks" dxfId="8103" priority="5422">
      <formula>LEN(TRIM(U127))=0</formula>
    </cfRule>
    <cfRule type="containsBlanks" dxfId="8102" priority="5423">
      <formula>LEN(TRIM(U127))=0</formula>
    </cfRule>
    <cfRule type="containsBlanks" dxfId="8101" priority="5424">
      <formula>LEN(TRIM(U127))=0</formula>
    </cfRule>
    <cfRule type="containsBlanks" dxfId="8100" priority="5425">
      <formula>LEN(TRIM(U127))=0</formula>
    </cfRule>
    <cfRule type="containsBlanks" dxfId="8099" priority="5426">
      <formula>LEN(TRIM(U127))=0</formula>
    </cfRule>
    <cfRule type="containsBlanks" dxfId="8098" priority="5427">
      <formula>LEN(TRIM(U127))=0</formula>
    </cfRule>
    <cfRule type="containsBlanks" dxfId="8097" priority="5428">
      <formula>LEN(TRIM(U127))=0</formula>
    </cfRule>
    <cfRule type="containsBlanks" dxfId="8096" priority="5429">
      <formula>LEN(TRIM(U127))=0</formula>
    </cfRule>
    <cfRule type="containsBlanks" dxfId="8095" priority="5430">
      <formula>LEN(TRIM(U127))=0</formula>
    </cfRule>
    <cfRule type="containsBlanks" dxfId="8094" priority="5431">
      <formula>LEN(TRIM(U127))=0</formula>
    </cfRule>
    <cfRule type="containsBlanks" dxfId="8093" priority="5432">
      <formula>LEN(TRIM(U127))=0</formula>
    </cfRule>
    <cfRule type="containsBlanks" dxfId="8092" priority="5433">
      <formula>LEN(TRIM(U127))=0</formula>
    </cfRule>
    <cfRule type="containsBlanks" dxfId="8091" priority="5434">
      <formula>LEN(TRIM(U127))=0</formula>
    </cfRule>
    <cfRule type="containsBlanks" dxfId="8090" priority="5435">
      <formula>LEN(TRIM(U127))=0</formula>
    </cfRule>
    <cfRule type="containsBlanks" dxfId="8089" priority="5436">
      <formula>LEN(TRIM(U127))=0</formula>
    </cfRule>
    <cfRule type="containsBlanks" dxfId="8088" priority="5437">
      <formula>LEN(TRIM(U127))=0</formula>
    </cfRule>
    <cfRule type="containsBlanks" dxfId="8087" priority="5438">
      <formula>LEN(TRIM(U127))=0</formula>
    </cfRule>
    <cfRule type="containsBlanks" dxfId="8086" priority="5439">
      <formula>LEN(TRIM(U127))=0</formula>
    </cfRule>
    <cfRule type="containsBlanks" dxfId="8085" priority="5440">
      <formula>LEN(TRIM(U127))=0</formula>
    </cfRule>
    <cfRule type="containsBlanks" dxfId="8084" priority="5441">
      <formula>LEN(TRIM(U127))=0</formula>
    </cfRule>
    <cfRule type="containsBlanks" dxfId="8083" priority="5442">
      <formula>LEN(TRIM(U127))=0</formula>
    </cfRule>
    <cfRule type="containsBlanks" dxfId="8082" priority="5443">
      <formula>LEN(TRIM(U127))=0</formula>
    </cfRule>
    <cfRule type="containsBlanks" dxfId="8081" priority="5444">
      <formula>LEN(TRIM(U127))=0</formula>
    </cfRule>
    <cfRule type="containsBlanks" dxfId="8080" priority="5445">
      <formula>LEN(TRIM(U127))=0</formula>
    </cfRule>
    <cfRule type="containsBlanks" dxfId="8079" priority="5446">
      <formula>LEN(TRIM(U127))=0</formula>
    </cfRule>
    <cfRule type="containsBlanks" dxfId="8078" priority="5447">
      <formula>LEN(TRIM(U127))=0</formula>
    </cfRule>
    <cfRule type="containsBlanks" dxfId="8077" priority="5448">
      <formula>LEN(TRIM(U127))=0</formula>
    </cfRule>
    <cfRule type="containsBlanks" dxfId="8076" priority="5449">
      <formula>LEN(TRIM(U127))=0</formula>
    </cfRule>
    <cfRule type="containsBlanks" dxfId="8075" priority="5450">
      <formula>LEN(TRIM(U127))=0</formula>
    </cfRule>
    <cfRule type="containsBlanks" dxfId="8074" priority="5451">
      <formula>LEN(TRIM(U127))=0</formula>
    </cfRule>
    <cfRule type="containsBlanks" dxfId="8073" priority="5452">
      <formula>LEN(TRIM(U127))=0</formula>
    </cfRule>
    <cfRule type="containsBlanks" dxfId="8072" priority="5453">
      <formula>LEN(TRIM(U127))=0</formula>
    </cfRule>
    <cfRule type="containsBlanks" dxfId="8071" priority="5454">
      <formula>LEN(TRIM(U127))=0</formula>
    </cfRule>
    <cfRule type="containsBlanks" dxfId="8070" priority="5455">
      <formula>LEN(TRIM(U127))=0</formula>
    </cfRule>
    <cfRule type="containsBlanks" dxfId="8069" priority="5456">
      <formula>LEN(TRIM(U127))=0</formula>
    </cfRule>
    <cfRule type="containsBlanks" dxfId="8068" priority="5457">
      <formula>LEN(TRIM(U127))=0</formula>
    </cfRule>
    <cfRule type="containsBlanks" dxfId="8067" priority="5458">
      <formula>LEN(TRIM(U127))=0</formula>
    </cfRule>
    <cfRule type="containsBlanks" dxfId="8066" priority="5459">
      <formula>LEN(TRIM(U127))=0</formula>
    </cfRule>
    <cfRule type="containsBlanks" dxfId="8065" priority="5460">
      <formula>LEN(TRIM(U127))=0</formula>
    </cfRule>
    <cfRule type="containsBlanks" dxfId="8064" priority="5461">
      <formula>LEN(TRIM(U127))=0</formula>
    </cfRule>
    <cfRule type="containsBlanks" dxfId="8063" priority="5462">
      <formula>LEN(TRIM(U127))=0</formula>
    </cfRule>
    <cfRule type="containsBlanks" dxfId="8062" priority="5463">
      <formula>LEN(TRIM(U127))=0</formula>
    </cfRule>
    <cfRule type="containsBlanks" dxfId="8061" priority="5464">
      <formula>LEN(TRIM(U127))=0</formula>
    </cfRule>
    <cfRule type="containsBlanks" dxfId="8060" priority="5465">
      <formula>LEN(TRIM(U127))=0</formula>
    </cfRule>
    <cfRule type="containsBlanks" dxfId="8059" priority="5466">
      <formula>LEN(TRIM(U127))=0</formula>
    </cfRule>
    <cfRule type="containsBlanks" dxfId="8058" priority="5467">
      <formula>LEN(TRIM(U127))=0</formula>
    </cfRule>
    <cfRule type="containsBlanks" dxfId="8057" priority="5468">
      <formula>LEN(TRIM(U127))=0</formula>
    </cfRule>
    <cfRule type="containsBlanks" dxfId="8056" priority="5469">
      <formula>LEN(TRIM(U127))=0</formula>
    </cfRule>
    <cfRule type="containsBlanks" dxfId="8055" priority="5470">
      <formula>LEN(TRIM(U127))=0</formula>
    </cfRule>
    <cfRule type="containsBlanks" dxfId="8054" priority="5471">
      <formula>LEN(TRIM(U127))=0</formula>
    </cfRule>
    <cfRule type="containsBlanks" dxfId="8053" priority="5472">
      <formula>LEN(TRIM(U127))=0</formula>
    </cfRule>
    <cfRule type="containsBlanks" dxfId="8052" priority="5473">
      <formula>LEN(TRIM(U127))=0</formula>
    </cfRule>
    <cfRule type="containsBlanks" dxfId="8051" priority="5474">
      <formula>LEN(TRIM(U127))=0</formula>
    </cfRule>
    <cfRule type="containsBlanks" dxfId="8050" priority="5475">
      <formula>LEN(TRIM(U127))=0</formula>
    </cfRule>
    <cfRule type="containsBlanks" dxfId="8049" priority="5476">
      <formula>LEN(TRIM(U127))=0</formula>
    </cfRule>
    <cfRule type="containsBlanks" dxfId="8048" priority="5477">
      <formula>LEN(TRIM(U127))=0</formula>
    </cfRule>
    <cfRule type="containsBlanks" dxfId="8047" priority="5478">
      <formula>LEN(TRIM(U127))=0</formula>
    </cfRule>
    <cfRule type="containsBlanks" dxfId="8046" priority="5479">
      <formula>LEN(TRIM(U127))=0</formula>
    </cfRule>
    <cfRule type="containsBlanks" dxfId="8045" priority="5480">
      <formula>LEN(TRIM(U127))=0</formula>
    </cfRule>
    <cfRule type="containsBlanks" dxfId="8044" priority="5481">
      <formula>LEN(TRIM(U127))=0</formula>
    </cfRule>
    <cfRule type="containsBlanks" dxfId="8043" priority="5482">
      <formula>LEN(TRIM(U127))=0</formula>
    </cfRule>
    <cfRule type="containsBlanks" dxfId="8042" priority="5483">
      <formula>LEN(TRIM(U127))=0</formula>
    </cfRule>
    <cfRule type="containsBlanks" dxfId="8041" priority="5484">
      <formula>LEN(TRIM(U127))=0</formula>
    </cfRule>
    <cfRule type="containsBlanks" dxfId="8040" priority="5485">
      <formula>LEN(TRIM(U127))=0</formula>
    </cfRule>
    <cfRule type="containsBlanks" dxfId="8039" priority="5486">
      <formula>LEN(TRIM(U127))=0</formula>
    </cfRule>
    <cfRule type="containsBlanks" dxfId="8038" priority="5487">
      <formula>LEN(TRIM(U127))=0</formula>
    </cfRule>
    <cfRule type="containsBlanks" dxfId="8037" priority="5488">
      <formula>LEN(TRIM(U127))=0</formula>
    </cfRule>
    <cfRule type="containsBlanks" dxfId="8036" priority="5489">
      <formula>LEN(TRIM(U127))=0</formula>
    </cfRule>
    <cfRule type="containsBlanks" dxfId="8035" priority="5490">
      <formula>LEN(TRIM(U127))=0</formula>
    </cfRule>
    <cfRule type="containsBlanks" dxfId="8034" priority="5491">
      <formula>LEN(TRIM(U127))=0</formula>
    </cfRule>
    <cfRule type="containsBlanks" dxfId="8033" priority="5492">
      <formula>LEN(TRIM(U127))=0</formula>
    </cfRule>
    <cfRule type="containsBlanks" dxfId="8032" priority="5493">
      <formula>LEN(TRIM(U127))=0</formula>
    </cfRule>
    <cfRule type="containsBlanks" dxfId="8031" priority="5494">
      <formula>LEN(TRIM(U127))=0</formula>
    </cfRule>
    <cfRule type="containsBlanks" dxfId="8030" priority="5495">
      <formula>LEN(TRIM(U127))=0</formula>
    </cfRule>
    <cfRule type="containsBlanks" dxfId="8029" priority="5496">
      <formula>LEN(TRIM(U127))=0</formula>
    </cfRule>
    <cfRule type="containsBlanks" dxfId="8028" priority="5497">
      <formula>LEN(TRIM(U127))=0</formula>
    </cfRule>
    <cfRule type="containsBlanks" dxfId="8027" priority="5498">
      <formula>LEN(TRIM(U127))=0</formula>
    </cfRule>
    <cfRule type="containsBlanks" dxfId="8026" priority="5499">
      <formula>LEN(TRIM(U127))=0</formula>
    </cfRule>
    <cfRule type="containsBlanks" dxfId="8025" priority="5500">
      <formula>LEN(TRIM(U127))=0</formula>
    </cfRule>
    <cfRule type="containsBlanks" dxfId="8024" priority="5501">
      <formula>LEN(TRIM(U127))=0</formula>
    </cfRule>
    <cfRule type="containsBlanks" dxfId="8023" priority="5502">
      <formula>LEN(TRIM(U127))=0</formula>
    </cfRule>
    <cfRule type="containsBlanks" dxfId="8022" priority="5503">
      <formula>LEN(TRIM(U127))=0</formula>
    </cfRule>
    <cfRule type="containsBlanks" dxfId="8021" priority="5504">
      <formula>LEN(TRIM(U127))=0</formula>
    </cfRule>
    <cfRule type="containsBlanks" dxfId="8020" priority="5505">
      <formula>LEN(TRIM(U127))=0</formula>
    </cfRule>
    <cfRule type="containsBlanks" dxfId="8019" priority="5506">
      <formula>LEN(TRIM(U127))=0</formula>
    </cfRule>
    <cfRule type="containsBlanks" dxfId="8018" priority="5507">
      <formula>LEN(TRIM(U127))=0</formula>
    </cfRule>
    <cfRule type="containsBlanks" dxfId="8017" priority="5508">
      <formula>LEN(TRIM(U127))=0</formula>
    </cfRule>
    <cfRule type="containsBlanks" dxfId="8016" priority="5509">
      <formula>LEN(TRIM(U127))=0</formula>
    </cfRule>
    <cfRule type="containsBlanks" dxfId="8015" priority="5510">
      <formula>LEN(TRIM(U127))=0</formula>
    </cfRule>
    <cfRule type="containsBlanks" dxfId="8014" priority="5511">
      <formula>LEN(TRIM(U127))=0</formula>
    </cfRule>
    <cfRule type="containsBlanks" dxfId="8013" priority="5512">
      <formula>LEN(TRIM(U127))=0</formula>
    </cfRule>
    <cfRule type="containsBlanks" dxfId="8012" priority="5513">
      <formula>LEN(TRIM(U127))=0</formula>
    </cfRule>
    <cfRule type="containsBlanks" dxfId="8011" priority="5514">
      <formula>LEN(TRIM(U127))=0</formula>
    </cfRule>
    <cfRule type="containsBlanks" dxfId="8010" priority="5515">
      <formula>LEN(TRIM(U127))=0</formula>
    </cfRule>
    <cfRule type="containsBlanks" dxfId="8009" priority="5516">
      <formula>LEN(TRIM(U127))=0</formula>
    </cfRule>
    <cfRule type="containsBlanks" dxfId="8008" priority="5517">
      <formula>LEN(TRIM(U127))=0</formula>
    </cfRule>
    <cfRule type="containsBlanks" dxfId="8007" priority="5518">
      <formula>LEN(TRIM(U127))=0</formula>
    </cfRule>
    <cfRule type="containsBlanks" dxfId="8006" priority="5519">
      <formula>LEN(TRIM(U127))=0</formula>
    </cfRule>
    <cfRule type="containsBlanks" dxfId="8005" priority="5520">
      <formula>LEN(TRIM(U127))=0</formula>
    </cfRule>
    <cfRule type="containsBlanks" dxfId="8004" priority="5521">
      <formula>LEN(TRIM(U127))=0</formula>
    </cfRule>
    <cfRule type="containsBlanks" dxfId="8003" priority="5522">
      <formula>LEN(TRIM(U127))=0</formula>
    </cfRule>
    <cfRule type="containsBlanks" dxfId="8002" priority="5523">
      <formula>LEN(TRIM(U127))=0</formula>
    </cfRule>
    <cfRule type="containsBlanks" dxfId="8001" priority="5524">
      <formula>LEN(TRIM(U127))=0</formula>
    </cfRule>
    <cfRule type="containsBlanks" dxfId="8000" priority="5525">
      <formula>LEN(TRIM(U127))=0</formula>
    </cfRule>
    <cfRule type="containsBlanks" dxfId="7999" priority="5526">
      <formula>LEN(TRIM(U127))=0</formula>
    </cfRule>
    <cfRule type="containsBlanks" dxfId="7998" priority="5527">
      <formula>LEN(TRIM(U127))=0</formula>
    </cfRule>
    <cfRule type="containsBlanks" dxfId="7997" priority="5528">
      <formula>LEN(TRIM(U127))=0</formula>
    </cfRule>
    <cfRule type="containsBlanks" dxfId="7996" priority="5529">
      <formula>LEN(TRIM(U127))=0</formula>
    </cfRule>
    <cfRule type="containsBlanks" dxfId="7995" priority="5530">
      <formula>LEN(TRIM(U127))=0</formula>
    </cfRule>
    <cfRule type="containsBlanks" dxfId="7994" priority="5531">
      <formula>LEN(TRIM(U127))=0</formula>
    </cfRule>
    <cfRule type="containsBlanks" dxfId="7993" priority="5532">
      <formula>LEN(TRIM(U127))=0</formula>
    </cfRule>
    <cfRule type="containsBlanks" dxfId="7992" priority="5533">
      <formula>LEN(TRIM(U127))=0</formula>
    </cfRule>
    <cfRule type="containsBlanks" dxfId="7991" priority="5534">
      <formula>LEN(TRIM(U127))=0</formula>
    </cfRule>
    <cfRule type="containsBlanks" dxfId="7990" priority="5535">
      <formula>LEN(TRIM(U127))=0</formula>
    </cfRule>
    <cfRule type="containsBlanks" dxfId="7989" priority="5536">
      <formula>LEN(TRIM(U127))=0</formula>
    </cfRule>
    <cfRule type="containsBlanks" dxfId="7988" priority="5537">
      <formula>LEN(TRIM(U127))=0</formula>
    </cfRule>
    <cfRule type="containsBlanks" dxfId="7987" priority="5538">
      <formula>LEN(TRIM(U127))=0</formula>
    </cfRule>
    <cfRule type="containsBlanks" dxfId="7986" priority="5539">
      <formula>LEN(TRIM(U127))=0</formula>
    </cfRule>
    <cfRule type="containsBlanks" dxfId="7985" priority="5540">
      <formula>LEN(TRIM(U127))=0</formula>
    </cfRule>
    <cfRule type="containsBlanks" dxfId="7984" priority="5541">
      <formula>LEN(TRIM(U127))=0</formula>
    </cfRule>
    <cfRule type="containsBlanks" dxfId="7983" priority="5542">
      <formula>LEN(TRIM(U127))=0</formula>
    </cfRule>
    <cfRule type="containsBlanks" dxfId="7982" priority="5543">
      <formula>LEN(TRIM(U127))=0</formula>
    </cfRule>
    <cfRule type="containsBlanks" dxfId="7981" priority="5544">
      <formula>LEN(TRIM(U127))=0</formula>
    </cfRule>
    <cfRule type="containsBlanks" dxfId="7980" priority="5545">
      <formula>LEN(TRIM(U127))=0</formula>
    </cfRule>
    <cfRule type="containsBlanks" dxfId="7979" priority="5546">
      <formula>LEN(TRIM(U127))=0</formula>
    </cfRule>
    <cfRule type="containsBlanks" dxfId="7978" priority="5547">
      <formula>LEN(TRIM(U127))=0</formula>
    </cfRule>
    <cfRule type="containsBlanks" dxfId="7977" priority="5548">
      <formula>LEN(TRIM(U127))=0</formula>
    </cfRule>
    <cfRule type="containsBlanks" dxfId="7976" priority="5549">
      <formula>LEN(TRIM(U127))=0</formula>
    </cfRule>
    <cfRule type="containsBlanks" dxfId="7975" priority="5550">
      <formula>LEN(TRIM(U127))=0</formula>
    </cfRule>
    <cfRule type="containsBlanks" dxfId="7974" priority="5551">
      <formula>LEN(TRIM(U127))=0</formula>
    </cfRule>
    <cfRule type="containsBlanks" dxfId="7973" priority="5552">
      <formula>LEN(TRIM(U127))=0</formula>
    </cfRule>
    <cfRule type="containsBlanks" dxfId="7972" priority="5553">
      <formula>LEN(TRIM(U127))=0</formula>
    </cfRule>
    <cfRule type="containsBlanks" dxfId="7971" priority="5554">
      <formula>LEN(TRIM(U127))=0</formula>
    </cfRule>
    <cfRule type="containsBlanks" dxfId="7970" priority="5555">
      <formula>LEN(TRIM(U127))=0</formula>
    </cfRule>
    <cfRule type="containsBlanks" dxfId="7969" priority="5556">
      <formula>LEN(TRIM(U127))=0</formula>
    </cfRule>
    <cfRule type="containsBlanks" dxfId="7968" priority="5557">
      <formula>LEN(TRIM(U127))=0</formula>
    </cfRule>
    <cfRule type="containsBlanks" dxfId="7967" priority="5558">
      <formula>LEN(TRIM(U127))=0</formula>
    </cfRule>
    <cfRule type="containsBlanks" dxfId="7966" priority="5559">
      <formula>LEN(TRIM(U127))=0</formula>
    </cfRule>
    <cfRule type="containsBlanks" dxfId="7965" priority="5560">
      <formula>LEN(TRIM(U127))=0</formula>
    </cfRule>
    <cfRule type="containsBlanks" dxfId="7964" priority="5561">
      <formula>LEN(TRIM(U127))=0</formula>
    </cfRule>
    <cfRule type="containsBlanks" dxfId="7963" priority="5562">
      <formula>LEN(TRIM(U127))=0</formula>
    </cfRule>
    <cfRule type="containsBlanks" dxfId="7962" priority="5563">
      <formula>LEN(TRIM(U127))=0</formula>
    </cfRule>
    <cfRule type="containsBlanks" dxfId="7961" priority="5564">
      <formula>LEN(TRIM(U127))=0</formula>
    </cfRule>
    <cfRule type="containsBlanks" dxfId="7960" priority="5565">
      <formula>LEN(TRIM(U127))=0</formula>
    </cfRule>
    <cfRule type="containsBlanks" dxfId="7959" priority="5566">
      <formula>LEN(TRIM(U127))=0</formula>
    </cfRule>
    <cfRule type="containsBlanks" dxfId="7958" priority="5567">
      <formula>LEN(TRIM(U127))=0</formula>
    </cfRule>
    <cfRule type="containsBlanks" dxfId="7957" priority="5568">
      <formula>LEN(TRIM(U127))=0</formula>
    </cfRule>
    <cfRule type="containsBlanks" dxfId="7956" priority="5569">
      <formula>LEN(TRIM(U127))=0</formula>
    </cfRule>
    <cfRule type="containsBlanks" dxfId="7955" priority="5570">
      <formula>LEN(TRIM(U127))=0</formula>
    </cfRule>
    <cfRule type="containsBlanks" dxfId="7954" priority="5571">
      <formula>LEN(TRIM(U127))=0</formula>
    </cfRule>
    <cfRule type="containsBlanks" dxfId="7953" priority="5572">
      <formula>LEN(TRIM(U127))=0</formula>
    </cfRule>
    <cfRule type="containsBlanks" dxfId="7952" priority="5573">
      <formula>LEN(TRIM(U127))=0</formula>
    </cfRule>
    <cfRule type="containsBlanks" dxfId="7951" priority="5574">
      <formula>LEN(TRIM(U127))=0</formula>
    </cfRule>
    <cfRule type="containsBlanks" dxfId="7950" priority="5575">
      <formula>LEN(TRIM(U127))=0</formula>
    </cfRule>
    <cfRule type="containsBlanks" dxfId="7949" priority="5576">
      <formula>LEN(TRIM(U127))=0</formula>
    </cfRule>
    <cfRule type="containsBlanks" dxfId="7948" priority="5577">
      <formula>LEN(TRIM(U127))=0</formula>
    </cfRule>
    <cfRule type="containsBlanks" dxfId="7947" priority="5578">
      <formula>LEN(TRIM(U127))=0</formula>
    </cfRule>
    <cfRule type="containsBlanks" dxfId="7946" priority="5579">
      <formula>LEN(TRIM(U127))=0</formula>
    </cfRule>
    <cfRule type="containsBlanks" dxfId="7945" priority="5580">
      <formula>LEN(TRIM(U127))=0</formula>
    </cfRule>
    <cfRule type="containsBlanks" dxfId="7944" priority="5581">
      <formula>LEN(TRIM(U127))=0</formula>
    </cfRule>
    <cfRule type="containsBlanks" dxfId="7943" priority="5582">
      <formula>LEN(TRIM(U127))=0</formula>
    </cfRule>
    <cfRule type="containsBlanks" dxfId="7942" priority="5583">
      <formula>LEN(TRIM(U127))=0</formula>
    </cfRule>
    <cfRule type="containsBlanks" dxfId="7941" priority="5584">
      <formula>LEN(TRIM(U127))=0</formula>
    </cfRule>
    <cfRule type="containsBlanks" dxfId="7940" priority="5585">
      <formula>LEN(TRIM(U127))=0</formula>
    </cfRule>
    <cfRule type="containsBlanks" dxfId="7939" priority="5586">
      <formula>LEN(TRIM(U127))=0</formula>
    </cfRule>
    <cfRule type="containsBlanks" dxfId="7938" priority="5587">
      <formula>LEN(TRIM(U127))=0</formula>
    </cfRule>
    <cfRule type="containsBlanks" dxfId="7937" priority="5588">
      <formula>LEN(TRIM(U127))=0</formula>
    </cfRule>
    <cfRule type="containsBlanks" dxfId="7936" priority="5589">
      <formula>LEN(TRIM(U127))=0</formula>
    </cfRule>
    <cfRule type="containsBlanks" dxfId="7935" priority="5590">
      <formula>LEN(TRIM(U127))=0</formula>
    </cfRule>
    <cfRule type="containsBlanks" dxfId="7934" priority="5591">
      <formula>LEN(TRIM(U127))=0</formula>
    </cfRule>
    <cfRule type="containsBlanks" dxfId="7933" priority="5592">
      <formula>LEN(TRIM(U127))=0</formula>
    </cfRule>
    <cfRule type="containsBlanks" dxfId="7932" priority="5593">
      <formula>LEN(TRIM(U127))=0</formula>
    </cfRule>
    <cfRule type="containsBlanks" dxfId="7931" priority="5594">
      <formula>LEN(TRIM(U127))=0</formula>
    </cfRule>
    <cfRule type="containsBlanks" dxfId="7930" priority="5595">
      <formula>LEN(TRIM(U127))=0</formula>
    </cfRule>
    <cfRule type="containsBlanks" dxfId="7929" priority="5596">
      <formula>LEN(TRIM(U127))=0</formula>
    </cfRule>
    <cfRule type="containsBlanks" dxfId="7928" priority="5597">
      <formula>LEN(TRIM(U127))=0</formula>
    </cfRule>
    <cfRule type="containsBlanks" dxfId="7927" priority="5598">
      <formula>LEN(TRIM(U127))=0</formula>
    </cfRule>
    <cfRule type="containsBlanks" dxfId="7926" priority="5599">
      <formula>LEN(TRIM(U127))=0</formula>
    </cfRule>
    <cfRule type="containsBlanks" dxfId="7925" priority="5600">
      <formula>LEN(TRIM(U127))=0</formula>
    </cfRule>
    <cfRule type="containsBlanks" dxfId="7924" priority="5601">
      <formula>LEN(TRIM(U127))=0</formula>
    </cfRule>
    <cfRule type="containsBlanks" dxfId="7923" priority="5602">
      <formula>LEN(TRIM(U127))=0</formula>
    </cfRule>
    <cfRule type="containsBlanks" dxfId="7922" priority="5603">
      <formula>LEN(TRIM(U127))=0</formula>
    </cfRule>
    <cfRule type="containsBlanks" dxfId="7921" priority="5604">
      <formula>LEN(TRIM(U127))=0</formula>
    </cfRule>
    <cfRule type="containsBlanks" dxfId="7920" priority="5605">
      <formula>LEN(TRIM(U127))=0</formula>
    </cfRule>
    <cfRule type="containsBlanks" dxfId="7919" priority="5606">
      <formula>LEN(TRIM(U127))=0</formula>
    </cfRule>
    <cfRule type="containsBlanks" dxfId="7918" priority="5607">
      <formula>LEN(TRIM(U127))=0</formula>
    </cfRule>
    <cfRule type="containsBlanks" dxfId="7917" priority="5608">
      <formula>LEN(TRIM(U127))=0</formula>
    </cfRule>
    <cfRule type="containsBlanks" dxfId="7916" priority="5609">
      <formula>LEN(TRIM(U127))=0</formula>
    </cfRule>
    <cfRule type="containsBlanks" dxfId="7915" priority="5610">
      <formula>LEN(TRIM(U127))=0</formula>
    </cfRule>
    <cfRule type="containsBlanks" dxfId="7914" priority="5611">
      <formula>LEN(TRIM(U127))=0</formula>
    </cfRule>
    <cfRule type="containsBlanks" dxfId="7913" priority="5612">
      <formula>LEN(TRIM(U127))=0</formula>
    </cfRule>
    <cfRule type="containsBlanks" dxfId="7912" priority="5613">
      <formula>LEN(TRIM(U127))=0</formula>
    </cfRule>
    <cfRule type="containsBlanks" dxfId="7911" priority="5614">
      <formula>LEN(TRIM(U127))=0</formula>
    </cfRule>
    <cfRule type="containsBlanks" dxfId="7910" priority="5615">
      <formula>LEN(TRIM(U127))=0</formula>
    </cfRule>
    <cfRule type="containsBlanks" dxfId="7909" priority="5616">
      <formula>LEN(TRIM(U127))=0</formula>
    </cfRule>
    <cfRule type="containsBlanks" dxfId="7908" priority="5617">
      <formula>LEN(TRIM(U127))=0</formula>
    </cfRule>
    <cfRule type="containsBlanks" dxfId="7907" priority="5618">
      <formula>LEN(TRIM(U127))=0</formula>
    </cfRule>
    <cfRule type="containsBlanks" dxfId="7906" priority="5619">
      <formula>LEN(TRIM(U127))=0</formula>
    </cfRule>
    <cfRule type="containsBlanks" dxfId="7905" priority="5620">
      <formula>LEN(TRIM(U127))=0</formula>
    </cfRule>
    <cfRule type="containsBlanks" dxfId="7904" priority="5621">
      <formula>LEN(TRIM(U127))=0</formula>
    </cfRule>
    <cfRule type="containsBlanks" dxfId="7903" priority="5622">
      <formula>LEN(TRIM(U127))=0</formula>
    </cfRule>
    <cfRule type="containsBlanks" dxfId="7902" priority="5623">
      <formula>LEN(TRIM(U127))=0</formula>
    </cfRule>
    <cfRule type="containsBlanks" dxfId="7901" priority="5624">
      <formula>LEN(TRIM(U127))=0</formula>
    </cfRule>
    <cfRule type="containsBlanks" dxfId="7900" priority="5625">
      <formula>LEN(TRIM(U127))=0</formula>
    </cfRule>
    <cfRule type="containsBlanks" dxfId="7899" priority="5626">
      <formula>LEN(TRIM(U127))=0</formula>
    </cfRule>
    <cfRule type="containsBlanks" dxfId="7898" priority="5627">
      <formula>LEN(TRIM(U127))=0</formula>
    </cfRule>
    <cfRule type="containsBlanks" dxfId="7897" priority="5628">
      <formula>LEN(TRIM(U127))=0</formula>
    </cfRule>
    <cfRule type="containsBlanks" dxfId="7896" priority="5629">
      <formula>LEN(TRIM(U127))=0</formula>
    </cfRule>
    <cfRule type="containsBlanks" dxfId="7895" priority="5630">
      <formula>LEN(TRIM(U127))=0</formula>
    </cfRule>
    <cfRule type="containsBlanks" dxfId="7894" priority="5631">
      <formula>LEN(TRIM(U127))=0</formula>
    </cfRule>
    <cfRule type="containsBlanks" dxfId="7893" priority="5632">
      <formula>LEN(TRIM(U127))=0</formula>
    </cfRule>
    <cfRule type="containsBlanks" dxfId="7892" priority="5633">
      <formula>LEN(TRIM(U127))=0</formula>
    </cfRule>
    <cfRule type="containsBlanks" dxfId="7891" priority="5634">
      <formula>LEN(TRIM(U127))=0</formula>
    </cfRule>
    <cfRule type="containsBlanks" dxfId="7890" priority="5635">
      <formula>LEN(TRIM(U127))=0</formula>
    </cfRule>
    <cfRule type="containsBlanks" dxfId="7889" priority="5636">
      <formula>LEN(TRIM(U127))=0</formula>
    </cfRule>
    <cfRule type="containsBlanks" dxfId="7888" priority="5637">
      <formula>LEN(TRIM(U127))=0</formula>
    </cfRule>
    <cfRule type="containsBlanks" dxfId="7887" priority="5638">
      <formula>LEN(TRIM(U127))=0</formula>
    </cfRule>
    <cfRule type="containsBlanks" dxfId="7886" priority="5639">
      <formula>LEN(TRIM(U127))=0</formula>
    </cfRule>
    <cfRule type="containsBlanks" dxfId="7885" priority="5640">
      <formula>LEN(TRIM(U127))=0</formula>
    </cfRule>
  </conditionalFormatting>
  <conditionalFormatting sqref="V99:V126 V128:V130 V132:V158">
    <cfRule type="containsBlanks" dxfId="7884" priority="5060">
      <formula>LEN(TRIM(V99))=0</formula>
    </cfRule>
    <cfRule type="containsBlanks" dxfId="7883" priority="5061">
      <formula>LEN(TRIM(V99))=0</formula>
    </cfRule>
    <cfRule type="containsBlanks" dxfId="7882" priority="5062">
      <formula>LEN(TRIM(V99))=0</formula>
    </cfRule>
    <cfRule type="containsBlanks" dxfId="7881" priority="5063">
      <formula>LEN(TRIM(V99))=0</formula>
    </cfRule>
    <cfRule type="containsBlanks" dxfId="7880" priority="5064">
      <formula>LEN(TRIM(V99))=0</formula>
    </cfRule>
    <cfRule type="containsBlanks" dxfId="7879" priority="5065">
      <formula>LEN(TRIM(V99))=0</formula>
    </cfRule>
    <cfRule type="containsBlanks" dxfId="7878" priority="5066">
      <formula>LEN(TRIM(V99))=0</formula>
    </cfRule>
    <cfRule type="containsBlanks" dxfId="7877" priority="5067">
      <formula>LEN(TRIM(V99))=0</formula>
    </cfRule>
    <cfRule type="containsBlanks" dxfId="7876" priority="5068">
      <formula>LEN(TRIM(V99))=0</formula>
    </cfRule>
    <cfRule type="containsBlanks" dxfId="7875" priority="5069">
      <formula>LEN(TRIM(V99))=0</formula>
    </cfRule>
    <cfRule type="containsBlanks" dxfId="7874" priority="5070">
      <formula>LEN(TRIM(V99))=0</formula>
    </cfRule>
    <cfRule type="containsBlanks" dxfId="7873" priority="5071">
      <formula>LEN(TRIM(V99))=0</formula>
    </cfRule>
    <cfRule type="containsBlanks" dxfId="7872" priority="5072">
      <formula>LEN(TRIM(V99))=0</formula>
    </cfRule>
    <cfRule type="containsBlanks" dxfId="7871" priority="5073">
      <formula>LEN(TRIM(V99))=0</formula>
    </cfRule>
    <cfRule type="containsBlanks" dxfId="7870" priority="5074">
      <formula>LEN(TRIM(V99))=0</formula>
    </cfRule>
    <cfRule type="containsBlanks" dxfId="7869" priority="5075">
      <formula>LEN(TRIM(V99))=0</formula>
    </cfRule>
    <cfRule type="containsBlanks" dxfId="7868" priority="5076">
      <formula>LEN(TRIM(V99))=0</formula>
    </cfRule>
    <cfRule type="containsBlanks" dxfId="7867" priority="5077">
      <formula>LEN(TRIM(V99))=0</formula>
    </cfRule>
    <cfRule type="containsBlanks" dxfId="7866" priority="5078">
      <formula>LEN(TRIM(V99))=0</formula>
    </cfRule>
    <cfRule type="containsBlanks" dxfId="7865" priority="5079">
      <formula>LEN(TRIM(V99))=0</formula>
    </cfRule>
    <cfRule type="containsBlanks" dxfId="7864" priority="5080">
      <formula>LEN(TRIM(V99))=0</formula>
    </cfRule>
    <cfRule type="containsBlanks" dxfId="7863" priority="5081">
      <formula>LEN(TRIM(V99))=0</formula>
    </cfRule>
    <cfRule type="containsBlanks" dxfId="7862" priority="5082">
      <formula>LEN(TRIM(V99))=0</formula>
    </cfRule>
    <cfRule type="containsBlanks" dxfId="7861" priority="5083">
      <formula>LEN(TRIM(V99))=0</formula>
    </cfRule>
    <cfRule type="containsBlanks" dxfId="7860" priority="5084">
      <formula>LEN(TRIM(V99))=0</formula>
    </cfRule>
    <cfRule type="containsBlanks" dxfId="7859" priority="5085">
      <formula>LEN(TRIM(V99))=0</formula>
    </cfRule>
    <cfRule type="containsBlanks" dxfId="7858" priority="5086">
      <formula>LEN(TRIM(V99))=0</formula>
    </cfRule>
    <cfRule type="containsBlanks" dxfId="7857" priority="5087">
      <formula>LEN(TRIM(V99))=0</formula>
    </cfRule>
    <cfRule type="containsBlanks" dxfId="7856" priority="5088">
      <formula>LEN(TRIM(V99))=0</formula>
    </cfRule>
    <cfRule type="containsBlanks" dxfId="7855" priority="5089">
      <formula>LEN(TRIM(V99))=0</formula>
    </cfRule>
    <cfRule type="containsBlanks" dxfId="7854" priority="5090">
      <formula>LEN(TRIM(V99))=0</formula>
    </cfRule>
    <cfRule type="containsBlanks" dxfId="7853" priority="5091">
      <formula>LEN(TRIM(V99))=0</formula>
    </cfRule>
    <cfRule type="containsBlanks" dxfId="7852" priority="5092">
      <formula>LEN(TRIM(V99))=0</formula>
    </cfRule>
    <cfRule type="containsBlanks" dxfId="7851" priority="5093">
      <formula>LEN(TRIM(V99))=0</formula>
    </cfRule>
    <cfRule type="containsBlanks" dxfId="7850" priority="5094">
      <formula>LEN(TRIM(V99))=0</formula>
    </cfRule>
    <cfRule type="containsBlanks" dxfId="7849" priority="5095">
      <formula>LEN(TRIM(V99))=0</formula>
    </cfRule>
    <cfRule type="containsBlanks" dxfId="7848" priority="5096">
      <formula>LEN(TRIM(V99))=0</formula>
    </cfRule>
    <cfRule type="containsBlanks" dxfId="7847" priority="5097">
      <formula>LEN(TRIM(V99))=0</formula>
    </cfRule>
    <cfRule type="containsBlanks" dxfId="7846" priority="5098">
      <formula>LEN(TRIM(V99))=0</formula>
    </cfRule>
    <cfRule type="containsBlanks" dxfId="7845" priority="5099">
      <formula>LEN(TRIM(V99))=0</formula>
    </cfRule>
    <cfRule type="containsBlanks" dxfId="7844" priority="5100">
      <formula>LEN(TRIM(V99))=0</formula>
    </cfRule>
    <cfRule type="containsBlanks" dxfId="7843" priority="5101">
      <formula>LEN(TRIM(V99))=0</formula>
    </cfRule>
    <cfRule type="containsBlanks" dxfId="7842" priority="5102">
      <formula>LEN(TRIM(V99))=0</formula>
    </cfRule>
    <cfRule type="containsBlanks" dxfId="7841" priority="5103">
      <formula>LEN(TRIM(V99))=0</formula>
    </cfRule>
    <cfRule type="containsBlanks" dxfId="7840" priority="5104">
      <formula>LEN(TRIM(V99))=0</formula>
    </cfRule>
    <cfRule type="containsBlanks" dxfId="7839" priority="5105">
      <formula>LEN(TRIM(V99))=0</formula>
    </cfRule>
    <cfRule type="containsBlanks" dxfId="7838" priority="5106">
      <formula>LEN(TRIM(V99))=0</formula>
    </cfRule>
    <cfRule type="containsBlanks" dxfId="7837" priority="5107">
      <formula>LEN(TRIM(V99))=0</formula>
    </cfRule>
    <cfRule type="containsBlanks" dxfId="7836" priority="5108">
      <formula>LEN(TRIM(V99))=0</formula>
    </cfRule>
    <cfRule type="containsBlanks" dxfId="7835" priority="5109">
      <formula>LEN(TRIM(V99))=0</formula>
    </cfRule>
    <cfRule type="containsBlanks" dxfId="7834" priority="5110">
      <formula>LEN(TRIM(V99))=0</formula>
    </cfRule>
    <cfRule type="containsBlanks" dxfId="7833" priority="5111">
      <formula>LEN(TRIM(V99))=0</formula>
    </cfRule>
    <cfRule type="containsBlanks" dxfId="7832" priority="5112">
      <formula>LEN(TRIM(V99))=0</formula>
    </cfRule>
    <cfRule type="containsBlanks" dxfId="7831" priority="5113">
      <formula>LEN(TRIM(V99))=0</formula>
    </cfRule>
    <cfRule type="containsBlanks" dxfId="7830" priority="5114">
      <formula>LEN(TRIM(V99))=0</formula>
    </cfRule>
    <cfRule type="containsBlanks" dxfId="7829" priority="5115">
      <formula>LEN(TRIM(V99))=0</formula>
    </cfRule>
    <cfRule type="containsBlanks" dxfId="7828" priority="5116">
      <formula>LEN(TRIM(V99))=0</formula>
    </cfRule>
    <cfRule type="containsBlanks" dxfId="7827" priority="5117">
      <formula>LEN(TRIM(V99))=0</formula>
    </cfRule>
    <cfRule type="containsBlanks" dxfId="7826" priority="5118">
      <formula>LEN(TRIM(V99))=0</formula>
    </cfRule>
    <cfRule type="containsBlanks" dxfId="7825" priority="5119">
      <formula>LEN(TRIM(V99))=0</formula>
    </cfRule>
    <cfRule type="containsBlanks" dxfId="7824" priority="5120">
      <formula>LEN(TRIM(V99))=0</formula>
    </cfRule>
    <cfRule type="containsBlanks" dxfId="7823" priority="5121">
      <formula>LEN(TRIM(V99))=0</formula>
    </cfRule>
    <cfRule type="containsBlanks" dxfId="7822" priority="5122">
      <formula>LEN(TRIM(V99))=0</formula>
    </cfRule>
    <cfRule type="containsBlanks" dxfId="7821" priority="5123">
      <formula>LEN(TRIM(V99))=0</formula>
    </cfRule>
    <cfRule type="containsBlanks" dxfId="7820" priority="5124">
      <formula>LEN(TRIM(V99))=0</formula>
    </cfRule>
    <cfRule type="containsBlanks" dxfId="7819" priority="5125">
      <formula>LEN(TRIM(V99))=0</formula>
    </cfRule>
  </conditionalFormatting>
  <conditionalFormatting sqref="V131">
    <cfRule type="containsBlanks" dxfId="7818" priority="4545">
      <formula>LEN(TRIM(V131))=0</formula>
    </cfRule>
    <cfRule type="containsBlanks" dxfId="7817" priority="4546">
      <formula>LEN(TRIM(V131))=0</formula>
    </cfRule>
    <cfRule type="containsBlanks" dxfId="7816" priority="4547">
      <formula>LEN(TRIM(V131))=0</formula>
    </cfRule>
    <cfRule type="containsBlanks" dxfId="7815" priority="4548">
      <formula>LEN(TRIM(V131))=0</formula>
    </cfRule>
    <cfRule type="containsBlanks" dxfId="7814" priority="4549">
      <formula>LEN(TRIM(V131))=0</formula>
    </cfRule>
    <cfRule type="containsBlanks" dxfId="7813" priority="4550">
      <formula>LEN(TRIM(V131))=0</formula>
    </cfRule>
    <cfRule type="containsBlanks" dxfId="7812" priority="4551">
      <formula>LEN(TRIM(V131))=0</formula>
    </cfRule>
    <cfRule type="containsBlanks" dxfId="7811" priority="4552">
      <formula>LEN(TRIM(V131))=0</formula>
    </cfRule>
    <cfRule type="containsBlanks" dxfId="7810" priority="4553">
      <formula>LEN(TRIM(V131))=0</formula>
    </cfRule>
    <cfRule type="containsBlanks" dxfId="7809" priority="4554">
      <formula>LEN(TRIM(V131))=0</formula>
    </cfRule>
    <cfRule type="containsBlanks" dxfId="7808" priority="4555">
      <formula>LEN(TRIM(V131))=0</formula>
    </cfRule>
    <cfRule type="containsBlanks" dxfId="7807" priority="4556">
      <formula>LEN(TRIM(V131))=0</formula>
    </cfRule>
    <cfRule type="containsBlanks" dxfId="7806" priority="4557">
      <formula>LEN(TRIM(V131))=0</formula>
    </cfRule>
    <cfRule type="containsBlanks" dxfId="7805" priority="4558">
      <formula>LEN(TRIM(V131))=0</formula>
    </cfRule>
    <cfRule type="containsBlanks" dxfId="7804" priority="4559">
      <formula>LEN(TRIM(V131))=0</formula>
    </cfRule>
    <cfRule type="containsBlanks" dxfId="7803" priority="4560">
      <formula>LEN(TRIM(V131))=0</formula>
    </cfRule>
    <cfRule type="containsBlanks" dxfId="7802" priority="4561">
      <formula>LEN(TRIM(V131))=0</formula>
    </cfRule>
    <cfRule type="containsBlanks" dxfId="7801" priority="4562">
      <formula>LEN(TRIM(V131))=0</formula>
    </cfRule>
    <cfRule type="containsBlanks" dxfId="7800" priority="4563">
      <formula>LEN(TRIM(V131))=0</formula>
    </cfRule>
    <cfRule type="containsBlanks" dxfId="7799" priority="4564">
      <formula>LEN(TRIM(V131))=0</formula>
    </cfRule>
    <cfRule type="containsBlanks" dxfId="7798" priority="4565">
      <formula>LEN(TRIM(V131))=0</formula>
    </cfRule>
    <cfRule type="containsBlanks" dxfId="7797" priority="4566">
      <formula>LEN(TRIM(V131))=0</formula>
    </cfRule>
    <cfRule type="containsBlanks" dxfId="7796" priority="4567">
      <formula>LEN(TRIM(V131))=0</formula>
    </cfRule>
    <cfRule type="containsBlanks" dxfId="7795" priority="4568">
      <formula>LEN(TRIM(V131))=0</formula>
    </cfRule>
    <cfRule type="containsBlanks" dxfId="7794" priority="4569">
      <formula>LEN(TRIM(V131))=0</formula>
    </cfRule>
    <cfRule type="containsBlanks" dxfId="7793" priority="4570">
      <formula>LEN(TRIM(V131))=0</formula>
    </cfRule>
    <cfRule type="containsBlanks" dxfId="7792" priority="4571">
      <formula>LEN(TRIM(V131))=0</formula>
    </cfRule>
    <cfRule type="containsBlanks" dxfId="7791" priority="4572">
      <formula>LEN(TRIM(V131))=0</formula>
    </cfRule>
    <cfRule type="containsBlanks" dxfId="7790" priority="4573">
      <formula>LEN(TRIM(V131))=0</formula>
    </cfRule>
    <cfRule type="containsBlanks" dxfId="7789" priority="4574">
      <formula>LEN(TRIM(V131))=0</formula>
    </cfRule>
    <cfRule type="containsBlanks" dxfId="7788" priority="4575">
      <formula>LEN(TRIM(V131))=0</formula>
    </cfRule>
    <cfRule type="containsBlanks" dxfId="7787" priority="4576">
      <formula>LEN(TRIM(V131))=0</formula>
    </cfRule>
    <cfRule type="containsBlanks" dxfId="7786" priority="4577">
      <formula>LEN(TRIM(V131))=0</formula>
    </cfRule>
    <cfRule type="containsBlanks" dxfId="7785" priority="4578">
      <formula>LEN(TRIM(V131))=0</formula>
    </cfRule>
    <cfRule type="containsBlanks" dxfId="7784" priority="4579">
      <formula>LEN(TRIM(V131))=0</formula>
    </cfRule>
    <cfRule type="containsBlanks" dxfId="7783" priority="4580">
      <formula>LEN(TRIM(V131))=0</formula>
    </cfRule>
    <cfRule type="containsBlanks" dxfId="7782" priority="4581">
      <formula>LEN(TRIM(V131))=0</formula>
    </cfRule>
    <cfRule type="containsBlanks" dxfId="7781" priority="4582">
      <formula>LEN(TRIM(V131))=0</formula>
    </cfRule>
    <cfRule type="containsBlanks" dxfId="7780" priority="4583">
      <formula>LEN(TRIM(V131))=0</formula>
    </cfRule>
    <cfRule type="containsBlanks" dxfId="7779" priority="4584">
      <formula>LEN(TRIM(V131))=0</formula>
    </cfRule>
    <cfRule type="containsBlanks" dxfId="7778" priority="4585">
      <formula>LEN(TRIM(V131))=0</formula>
    </cfRule>
    <cfRule type="containsBlanks" dxfId="7777" priority="4586">
      <formula>LEN(TRIM(V131))=0</formula>
    </cfRule>
    <cfRule type="containsBlanks" dxfId="7776" priority="4587">
      <formula>LEN(TRIM(V131))=0</formula>
    </cfRule>
    <cfRule type="containsBlanks" dxfId="7775" priority="4588">
      <formula>LEN(TRIM(V131))=0</formula>
    </cfRule>
    <cfRule type="containsBlanks" dxfId="7774" priority="4589">
      <formula>LEN(TRIM(V131))=0</formula>
    </cfRule>
    <cfRule type="containsBlanks" dxfId="7773" priority="4590">
      <formula>LEN(TRIM(V131))=0</formula>
    </cfRule>
    <cfRule type="containsBlanks" dxfId="7772" priority="4591">
      <formula>LEN(TRIM(V131))=0</formula>
    </cfRule>
    <cfRule type="containsBlanks" dxfId="7771" priority="4592">
      <formula>LEN(TRIM(V131))=0</formula>
    </cfRule>
    <cfRule type="containsBlanks" dxfId="7770" priority="4593">
      <formula>LEN(TRIM(V131))=0</formula>
    </cfRule>
    <cfRule type="containsBlanks" dxfId="7769" priority="4594">
      <formula>LEN(TRIM(V131))=0</formula>
    </cfRule>
    <cfRule type="containsBlanks" dxfId="7768" priority="4595">
      <formula>LEN(TRIM(V131))=0</formula>
    </cfRule>
    <cfRule type="containsBlanks" dxfId="7767" priority="4596">
      <formula>LEN(TRIM(V131))=0</formula>
    </cfRule>
    <cfRule type="containsBlanks" dxfId="7766" priority="4597">
      <formula>LEN(TRIM(V131))=0</formula>
    </cfRule>
    <cfRule type="containsBlanks" dxfId="7765" priority="4598">
      <formula>LEN(TRIM(V131))=0</formula>
    </cfRule>
    <cfRule type="containsBlanks" dxfId="7764" priority="4599">
      <formula>LEN(TRIM(V131))=0</formula>
    </cfRule>
    <cfRule type="containsBlanks" dxfId="7763" priority="4600">
      <formula>LEN(TRIM(V131))=0</formula>
    </cfRule>
    <cfRule type="containsBlanks" dxfId="7762" priority="4601">
      <formula>LEN(TRIM(V131))=0</formula>
    </cfRule>
    <cfRule type="containsBlanks" dxfId="7761" priority="4602">
      <formula>LEN(TRIM(V131))=0</formula>
    </cfRule>
    <cfRule type="containsBlanks" dxfId="7760" priority="4603">
      <formula>LEN(TRIM(V131))=0</formula>
    </cfRule>
    <cfRule type="containsBlanks" dxfId="7759" priority="4604">
      <formula>LEN(TRIM(V131))=0</formula>
    </cfRule>
    <cfRule type="containsBlanks" dxfId="7758" priority="4605">
      <formula>LEN(TRIM(V131))=0</formula>
    </cfRule>
    <cfRule type="containsBlanks" dxfId="7757" priority="4606">
      <formula>LEN(TRIM(V131))=0</formula>
    </cfRule>
    <cfRule type="containsBlanks" dxfId="7756" priority="4607">
      <formula>LEN(TRIM(V131))=0</formula>
    </cfRule>
    <cfRule type="containsBlanks" dxfId="7755" priority="4608">
      <formula>LEN(TRIM(V131))=0</formula>
    </cfRule>
    <cfRule type="containsBlanks" dxfId="7754" priority="4609">
      <formula>LEN(TRIM(V131))=0</formula>
    </cfRule>
    <cfRule type="containsBlanks" dxfId="7753" priority="4610">
      <formula>LEN(TRIM(V131))=0</formula>
    </cfRule>
    <cfRule type="containsBlanks" dxfId="7752" priority="4611">
      <formula>LEN(TRIM(V131))=0</formula>
    </cfRule>
    <cfRule type="containsBlanks" dxfId="7751" priority="4612">
      <formula>LEN(TRIM(V131))=0</formula>
    </cfRule>
    <cfRule type="containsBlanks" dxfId="7750" priority="4613">
      <formula>LEN(TRIM(V131))=0</formula>
    </cfRule>
    <cfRule type="containsBlanks" dxfId="7749" priority="4614">
      <formula>LEN(TRIM(V131))=0</formula>
    </cfRule>
    <cfRule type="containsBlanks" dxfId="7748" priority="4615">
      <formula>LEN(TRIM(V131))=0</formula>
    </cfRule>
    <cfRule type="containsBlanks" dxfId="7747" priority="4616">
      <formula>LEN(TRIM(V131))=0</formula>
    </cfRule>
    <cfRule type="containsBlanks" dxfId="7746" priority="4617">
      <formula>LEN(TRIM(V131))=0</formula>
    </cfRule>
    <cfRule type="containsBlanks" dxfId="7745" priority="4618">
      <formula>LEN(TRIM(V131))=0</formula>
    </cfRule>
    <cfRule type="containsBlanks" dxfId="7744" priority="4619">
      <formula>LEN(TRIM(V131))=0</formula>
    </cfRule>
    <cfRule type="containsBlanks" dxfId="7743" priority="4620">
      <formula>LEN(TRIM(V131))=0</formula>
    </cfRule>
    <cfRule type="containsBlanks" dxfId="7742" priority="4621">
      <formula>LEN(TRIM(V131))=0</formula>
    </cfRule>
    <cfRule type="containsBlanks" dxfId="7741" priority="4622">
      <formula>LEN(TRIM(V131))=0</formula>
    </cfRule>
    <cfRule type="containsBlanks" dxfId="7740" priority="4623">
      <formula>LEN(TRIM(V131))=0</formula>
    </cfRule>
    <cfRule type="containsBlanks" dxfId="7739" priority="4624">
      <formula>LEN(TRIM(V131))=0</formula>
    </cfRule>
    <cfRule type="containsBlanks" dxfId="7738" priority="4625">
      <formula>LEN(TRIM(V131))=0</formula>
    </cfRule>
    <cfRule type="containsBlanks" dxfId="7737" priority="4626">
      <formula>LEN(TRIM(V131))=0</formula>
    </cfRule>
    <cfRule type="containsBlanks" dxfId="7736" priority="4627">
      <formula>LEN(TRIM(V131))=0</formula>
    </cfRule>
    <cfRule type="containsBlanks" dxfId="7735" priority="4628">
      <formula>LEN(TRIM(V131))=0</formula>
    </cfRule>
    <cfRule type="containsBlanks" dxfId="7734" priority="4629">
      <formula>LEN(TRIM(V131))=0</formula>
    </cfRule>
    <cfRule type="containsBlanks" dxfId="7733" priority="4630">
      <formula>LEN(TRIM(V131))=0</formula>
    </cfRule>
    <cfRule type="containsBlanks" dxfId="7732" priority="4631">
      <formula>LEN(TRIM(V131))=0</formula>
    </cfRule>
    <cfRule type="containsBlanks" dxfId="7731" priority="4632">
      <formula>LEN(TRIM(V131))=0</formula>
    </cfRule>
    <cfRule type="containsBlanks" dxfId="7730" priority="4633">
      <formula>LEN(TRIM(V131))=0</formula>
    </cfRule>
    <cfRule type="containsBlanks" dxfId="7729" priority="4634">
      <formula>LEN(TRIM(V131))=0</formula>
    </cfRule>
    <cfRule type="containsBlanks" dxfId="7728" priority="4635">
      <formula>LEN(TRIM(V131))=0</formula>
    </cfRule>
    <cfRule type="containsBlanks" dxfId="7727" priority="4636">
      <formula>LEN(TRIM(V131))=0</formula>
    </cfRule>
    <cfRule type="containsBlanks" dxfId="7726" priority="4637">
      <formula>LEN(TRIM(V131))=0</formula>
    </cfRule>
    <cfRule type="containsBlanks" dxfId="7725" priority="4638">
      <formula>LEN(TRIM(V131))=0</formula>
    </cfRule>
    <cfRule type="containsBlanks" dxfId="7724" priority="4639">
      <formula>LEN(TRIM(V131))=0</formula>
    </cfRule>
    <cfRule type="containsBlanks" dxfId="7723" priority="4640">
      <formula>LEN(TRIM(V131))=0</formula>
    </cfRule>
    <cfRule type="containsBlanks" dxfId="7722" priority="4641">
      <formula>LEN(TRIM(V131))=0</formula>
    </cfRule>
    <cfRule type="containsBlanks" dxfId="7721" priority="4642">
      <formula>LEN(TRIM(V131))=0</formula>
    </cfRule>
    <cfRule type="containsBlanks" dxfId="7720" priority="4643">
      <formula>LEN(TRIM(V131))=0</formula>
    </cfRule>
    <cfRule type="containsBlanks" dxfId="7719" priority="4644">
      <formula>LEN(TRIM(V131))=0</formula>
    </cfRule>
    <cfRule type="containsBlanks" dxfId="7718" priority="4645">
      <formula>LEN(TRIM(V131))=0</formula>
    </cfRule>
    <cfRule type="containsBlanks" dxfId="7717" priority="4646">
      <formula>LEN(TRIM(V131))=0</formula>
    </cfRule>
    <cfRule type="containsBlanks" dxfId="7716" priority="4647">
      <formula>LEN(TRIM(V131))=0</formula>
    </cfRule>
    <cfRule type="containsBlanks" dxfId="7715" priority="4648">
      <formula>LEN(TRIM(V131))=0</formula>
    </cfRule>
    <cfRule type="containsBlanks" dxfId="7714" priority="4649">
      <formula>LEN(TRIM(V131))=0</formula>
    </cfRule>
    <cfRule type="containsBlanks" dxfId="7713" priority="4650">
      <formula>LEN(TRIM(V131))=0</formula>
    </cfRule>
    <cfRule type="containsBlanks" dxfId="7712" priority="4651">
      <formula>LEN(TRIM(V131))=0</formula>
    </cfRule>
    <cfRule type="containsBlanks" dxfId="7711" priority="4652">
      <formula>LEN(TRIM(V131))=0</formula>
    </cfRule>
    <cfRule type="containsBlanks" dxfId="7710" priority="4653">
      <formula>LEN(TRIM(V131))=0</formula>
    </cfRule>
    <cfRule type="containsBlanks" dxfId="7709" priority="4654">
      <formula>LEN(TRIM(V131))=0</formula>
    </cfRule>
    <cfRule type="containsBlanks" dxfId="7708" priority="4655">
      <formula>LEN(TRIM(V131))=0</formula>
    </cfRule>
    <cfRule type="containsBlanks" dxfId="7707" priority="4656">
      <formula>LEN(TRIM(V131))=0</formula>
    </cfRule>
    <cfRule type="containsBlanks" dxfId="7706" priority="4657">
      <formula>LEN(TRIM(V131))=0</formula>
    </cfRule>
    <cfRule type="containsBlanks" dxfId="7705" priority="4658">
      <formula>LEN(TRIM(V131))=0</formula>
    </cfRule>
    <cfRule type="containsBlanks" dxfId="7704" priority="4659">
      <formula>LEN(TRIM(V131))=0</formula>
    </cfRule>
    <cfRule type="containsBlanks" dxfId="7703" priority="4660">
      <formula>LEN(TRIM(V131))=0</formula>
    </cfRule>
    <cfRule type="containsBlanks" dxfId="7702" priority="4661">
      <formula>LEN(TRIM(V131))=0</formula>
    </cfRule>
    <cfRule type="containsBlanks" dxfId="7701" priority="4662">
      <formula>LEN(TRIM(V131))=0</formula>
    </cfRule>
    <cfRule type="containsBlanks" dxfId="7700" priority="4663">
      <formula>LEN(TRIM(V131))=0</formula>
    </cfRule>
    <cfRule type="containsBlanks" dxfId="7699" priority="4664">
      <formula>LEN(TRIM(V131))=0</formula>
    </cfRule>
    <cfRule type="containsBlanks" dxfId="7698" priority="4665">
      <formula>LEN(TRIM(V131))=0</formula>
    </cfRule>
    <cfRule type="containsBlanks" dxfId="7697" priority="4666">
      <formula>LEN(TRIM(V131))=0</formula>
    </cfRule>
    <cfRule type="containsBlanks" dxfId="7696" priority="4667">
      <formula>LEN(TRIM(V131))=0</formula>
    </cfRule>
    <cfRule type="containsBlanks" dxfId="7695" priority="4668">
      <formula>LEN(TRIM(V131))=0</formula>
    </cfRule>
    <cfRule type="containsBlanks" dxfId="7694" priority="4669">
      <formula>LEN(TRIM(V131))=0</formula>
    </cfRule>
    <cfRule type="containsBlanks" dxfId="7693" priority="4670">
      <formula>LEN(TRIM(V131))=0</formula>
    </cfRule>
    <cfRule type="containsBlanks" dxfId="7692" priority="4671">
      <formula>LEN(TRIM(V131))=0</formula>
    </cfRule>
    <cfRule type="containsBlanks" dxfId="7691" priority="4672">
      <formula>LEN(TRIM(V131))=0</formula>
    </cfRule>
    <cfRule type="containsBlanks" dxfId="7690" priority="4673">
      <formula>LEN(TRIM(V131))=0</formula>
    </cfRule>
    <cfRule type="containsBlanks" dxfId="7689" priority="4674">
      <formula>LEN(TRIM(V131))=0</formula>
    </cfRule>
    <cfRule type="containsBlanks" dxfId="7688" priority="4675">
      <formula>LEN(TRIM(V131))=0</formula>
    </cfRule>
    <cfRule type="containsBlanks" dxfId="7687" priority="4676">
      <formula>LEN(TRIM(V131))=0</formula>
    </cfRule>
    <cfRule type="containsBlanks" dxfId="7686" priority="4677">
      <formula>LEN(TRIM(V131))=0</formula>
    </cfRule>
    <cfRule type="containsBlanks" dxfId="7685" priority="4678">
      <formula>LEN(TRIM(V131))=0</formula>
    </cfRule>
    <cfRule type="containsBlanks" dxfId="7684" priority="4679">
      <formula>LEN(TRIM(V131))=0</formula>
    </cfRule>
    <cfRule type="containsBlanks" dxfId="7683" priority="4680">
      <formula>LEN(TRIM(V131))=0</formula>
    </cfRule>
    <cfRule type="containsBlanks" dxfId="7682" priority="4681">
      <formula>LEN(TRIM(V131))=0</formula>
    </cfRule>
    <cfRule type="containsBlanks" dxfId="7681" priority="4682">
      <formula>LEN(TRIM(V131))=0</formula>
    </cfRule>
    <cfRule type="containsBlanks" dxfId="7680" priority="4683">
      <formula>LEN(TRIM(V131))=0</formula>
    </cfRule>
    <cfRule type="containsBlanks" dxfId="7679" priority="4684">
      <formula>LEN(TRIM(V131))=0</formula>
    </cfRule>
    <cfRule type="containsBlanks" dxfId="7678" priority="4685">
      <formula>LEN(TRIM(V131))=0</formula>
    </cfRule>
    <cfRule type="containsBlanks" dxfId="7677" priority="4686">
      <formula>LEN(TRIM(V131))=0</formula>
    </cfRule>
    <cfRule type="containsBlanks" dxfId="7676" priority="4687">
      <formula>LEN(TRIM(V131))=0</formula>
    </cfRule>
    <cfRule type="containsBlanks" dxfId="7675" priority="4688">
      <formula>LEN(TRIM(V131))=0</formula>
    </cfRule>
    <cfRule type="containsBlanks" dxfId="7674" priority="4689">
      <formula>LEN(TRIM(V131))=0</formula>
    </cfRule>
    <cfRule type="containsBlanks" dxfId="7673" priority="4690">
      <formula>LEN(TRIM(V131))=0</formula>
    </cfRule>
    <cfRule type="containsBlanks" dxfId="7672" priority="4691">
      <formula>LEN(TRIM(V131))=0</formula>
    </cfRule>
    <cfRule type="containsBlanks" dxfId="7671" priority="4692">
      <formula>LEN(TRIM(V131))=0</formula>
    </cfRule>
    <cfRule type="containsBlanks" dxfId="7670" priority="4693">
      <formula>LEN(TRIM(V131))=0</formula>
    </cfRule>
    <cfRule type="containsBlanks" dxfId="7669" priority="4694">
      <formula>LEN(TRIM(V131))=0</formula>
    </cfRule>
    <cfRule type="containsBlanks" dxfId="7668" priority="4695">
      <formula>LEN(TRIM(V131))=0</formula>
    </cfRule>
    <cfRule type="containsBlanks" dxfId="7667" priority="4696">
      <formula>LEN(TRIM(V131))=0</formula>
    </cfRule>
    <cfRule type="containsBlanks" dxfId="7666" priority="4697">
      <formula>LEN(TRIM(V131))=0</formula>
    </cfRule>
    <cfRule type="containsBlanks" dxfId="7665" priority="4698">
      <formula>LEN(TRIM(V131))=0</formula>
    </cfRule>
    <cfRule type="containsBlanks" dxfId="7664" priority="4699">
      <formula>LEN(TRIM(V131))=0</formula>
    </cfRule>
    <cfRule type="containsBlanks" dxfId="7663" priority="4700">
      <formula>LEN(TRIM(V131))=0</formula>
    </cfRule>
    <cfRule type="containsBlanks" dxfId="7662" priority="4701">
      <formula>LEN(TRIM(V131))=0</formula>
    </cfRule>
    <cfRule type="containsBlanks" dxfId="7661" priority="4702">
      <formula>LEN(TRIM(V131))=0</formula>
    </cfRule>
    <cfRule type="containsBlanks" dxfId="7660" priority="4703">
      <formula>LEN(TRIM(V131))=0</formula>
    </cfRule>
    <cfRule type="containsBlanks" dxfId="7659" priority="4704">
      <formula>LEN(TRIM(V131))=0</formula>
    </cfRule>
    <cfRule type="containsBlanks" dxfId="7658" priority="4705">
      <formula>LEN(TRIM(V131))=0</formula>
    </cfRule>
    <cfRule type="containsBlanks" dxfId="7657" priority="4706">
      <formula>LEN(TRIM(V131))=0</formula>
    </cfRule>
    <cfRule type="containsBlanks" dxfId="7656" priority="4707">
      <formula>LEN(TRIM(V131))=0</formula>
    </cfRule>
    <cfRule type="containsBlanks" dxfId="7655" priority="4708">
      <formula>LEN(TRIM(V131))=0</formula>
    </cfRule>
    <cfRule type="containsBlanks" dxfId="7654" priority="4709">
      <formula>LEN(TRIM(V131))=0</formula>
    </cfRule>
    <cfRule type="containsBlanks" dxfId="7653" priority="4710">
      <formula>LEN(TRIM(V131))=0</formula>
    </cfRule>
    <cfRule type="containsBlanks" dxfId="7652" priority="4711">
      <formula>LEN(TRIM(V131))=0</formula>
    </cfRule>
    <cfRule type="containsBlanks" dxfId="7651" priority="4712">
      <formula>LEN(TRIM(V131))=0</formula>
    </cfRule>
    <cfRule type="containsBlanks" dxfId="7650" priority="4713">
      <formula>LEN(TRIM(V131))=0</formula>
    </cfRule>
    <cfRule type="containsBlanks" dxfId="7649" priority="4714">
      <formula>LEN(TRIM(V131))=0</formula>
    </cfRule>
    <cfRule type="containsBlanks" dxfId="7648" priority="4715">
      <formula>LEN(TRIM(V131))=0</formula>
    </cfRule>
    <cfRule type="containsBlanks" dxfId="7647" priority="4716">
      <formula>LEN(TRIM(V131))=0</formula>
    </cfRule>
    <cfRule type="containsBlanks" dxfId="7646" priority="4717">
      <formula>LEN(TRIM(V131))=0</formula>
    </cfRule>
    <cfRule type="containsBlanks" dxfId="7645" priority="4718">
      <formula>LEN(TRIM(V131))=0</formula>
    </cfRule>
    <cfRule type="containsBlanks" dxfId="7644" priority="4719">
      <formula>LEN(TRIM(V131))=0</formula>
    </cfRule>
    <cfRule type="containsBlanks" dxfId="7643" priority="4720">
      <formula>LEN(TRIM(V131))=0</formula>
    </cfRule>
    <cfRule type="containsBlanks" dxfId="7642" priority="4721">
      <formula>LEN(TRIM(V131))=0</formula>
    </cfRule>
    <cfRule type="containsBlanks" dxfId="7641" priority="4722">
      <formula>LEN(TRIM(V131))=0</formula>
    </cfRule>
    <cfRule type="containsBlanks" dxfId="7640" priority="4723">
      <formula>LEN(TRIM(V131))=0</formula>
    </cfRule>
    <cfRule type="containsBlanks" dxfId="7639" priority="4724">
      <formula>LEN(TRIM(V131))=0</formula>
    </cfRule>
    <cfRule type="containsBlanks" dxfId="7638" priority="4725">
      <formula>LEN(TRIM(V131))=0</formula>
    </cfRule>
    <cfRule type="containsBlanks" dxfId="7637" priority="4726">
      <formula>LEN(TRIM(V131))=0</formula>
    </cfRule>
    <cfRule type="containsBlanks" dxfId="7636" priority="4727">
      <formula>LEN(TRIM(V131))=0</formula>
    </cfRule>
    <cfRule type="containsBlanks" dxfId="7635" priority="4728">
      <formula>LEN(TRIM(V131))=0</formula>
    </cfRule>
    <cfRule type="containsBlanks" dxfId="7634" priority="4729">
      <formula>LEN(TRIM(V131))=0</formula>
    </cfRule>
    <cfRule type="containsBlanks" dxfId="7633" priority="4730">
      <formula>LEN(TRIM(V131))=0</formula>
    </cfRule>
    <cfRule type="containsBlanks" dxfId="7632" priority="4731">
      <formula>LEN(TRIM(V131))=0</formula>
    </cfRule>
    <cfRule type="containsBlanks" dxfId="7631" priority="4732">
      <formula>LEN(TRIM(V131))=0</formula>
    </cfRule>
    <cfRule type="containsBlanks" dxfId="7630" priority="4733">
      <formula>LEN(TRIM(V131))=0</formula>
    </cfRule>
    <cfRule type="containsBlanks" dxfId="7629" priority="4734">
      <formula>LEN(TRIM(V131))=0</formula>
    </cfRule>
    <cfRule type="containsBlanks" dxfId="7628" priority="4735">
      <formula>LEN(TRIM(V131))=0</formula>
    </cfRule>
    <cfRule type="containsBlanks" dxfId="7627" priority="4736">
      <formula>LEN(TRIM(V131))=0</formula>
    </cfRule>
    <cfRule type="containsBlanks" dxfId="7626" priority="4737">
      <formula>LEN(TRIM(V131))=0</formula>
    </cfRule>
    <cfRule type="containsBlanks" dxfId="7625" priority="4738">
      <formula>LEN(TRIM(V131))=0</formula>
    </cfRule>
    <cfRule type="containsBlanks" dxfId="7624" priority="4739">
      <formula>LEN(TRIM(V131))=0</formula>
    </cfRule>
    <cfRule type="containsBlanks" dxfId="7623" priority="4740">
      <formula>LEN(TRIM(V131))=0</formula>
    </cfRule>
    <cfRule type="containsBlanks" dxfId="7622" priority="4741">
      <formula>LEN(TRIM(V131))=0</formula>
    </cfRule>
    <cfRule type="containsBlanks" dxfId="7621" priority="4742">
      <formula>LEN(TRIM(V131))=0</formula>
    </cfRule>
    <cfRule type="containsBlanks" dxfId="7620" priority="4743">
      <formula>LEN(TRIM(V131))=0</formula>
    </cfRule>
    <cfRule type="containsBlanks" dxfId="7619" priority="4744">
      <formula>LEN(TRIM(V131))=0</formula>
    </cfRule>
    <cfRule type="containsBlanks" dxfId="7618" priority="4745">
      <formula>LEN(TRIM(V131))=0</formula>
    </cfRule>
    <cfRule type="containsBlanks" dxfId="7617" priority="4746">
      <formula>LEN(TRIM(V131))=0</formula>
    </cfRule>
    <cfRule type="containsBlanks" dxfId="7616" priority="4747">
      <formula>LEN(TRIM(V131))=0</formula>
    </cfRule>
    <cfRule type="containsBlanks" dxfId="7615" priority="4748">
      <formula>LEN(TRIM(V131))=0</formula>
    </cfRule>
    <cfRule type="containsBlanks" dxfId="7614" priority="4749">
      <formula>LEN(TRIM(V131))=0</formula>
    </cfRule>
    <cfRule type="containsBlanks" dxfId="7613" priority="4750">
      <formula>LEN(TRIM(V131))=0</formula>
    </cfRule>
    <cfRule type="containsBlanks" dxfId="7612" priority="4751">
      <formula>LEN(TRIM(V131))=0</formula>
    </cfRule>
    <cfRule type="containsBlanks" dxfId="7611" priority="4752">
      <formula>LEN(TRIM(V131))=0</formula>
    </cfRule>
    <cfRule type="containsBlanks" dxfId="7610" priority="4753">
      <formula>LEN(TRIM(V131))=0</formula>
    </cfRule>
    <cfRule type="containsBlanks" dxfId="7609" priority="4754">
      <formula>LEN(TRIM(V131))=0</formula>
    </cfRule>
    <cfRule type="containsBlanks" dxfId="7608" priority="4755">
      <formula>LEN(TRIM(V131))=0</formula>
    </cfRule>
    <cfRule type="containsBlanks" dxfId="7607" priority="4756">
      <formula>LEN(TRIM(V131))=0</formula>
    </cfRule>
    <cfRule type="containsBlanks" dxfId="7606" priority="4757">
      <formula>LEN(TRIM(V131))=0</formula>
    </cfRule>
    <cfRule type="containsBlanks" dxfId="7605" priority="4758">
      <formula>LEN(TRIM(V131))=0</formula>
    </cfRule>
    <cfRule type="containsBlanks" dxfId="7604" priority="4759">
      <formula>LEN(TRIM(V131))=0</formula>
    </cfRule>
    <cfRule type="containsBlanks" dxfId="7603" priority="4760">
      <formula>LEN(TRIM(V131))=0</formula>
    </cfRule>
    <cfRule type="containsBlanks" dxfId="7602" priority="4761">
      <formula>LEN(TRIM(V131))=0</formula>
    </cfRule>
    <cfRule type="containsBlanks" dxfId="7601" priority="4762">
      <formula>LEN(TRIM(V131))=0</formula>
    </cfRule>
    <cfRule type="containsBlanks" dxfId="7600" priority="4763">
      <formula>LEN(TRIM(V131))=0</formula>
    </cfRule>
    <cfRule type="containsBlanks" dxfId="7599" priority="4764">
      <formula>LEN(TRIM(V131))=0</formula>
    </cfRule>
    <cfRule type="containsBlanks" dxfId="7598" priority="4765">
      <formula>LEN(TRIM(V131))=0</formula>
    </cfRule>
    <cfRule type="containsBlanks" dxfId="7597" priority="4766">
      <formula>LEN(TRIM(V131))=0</formula>
    </cfRule>
    <cfRule type="containsBlanks" dxfId="7596" priority="4767">
      <formula>LEN(TRIM(V131))=0</formula>
    </cfRule>
    <cfRule type="containsBlanks" dxfId="7595" priority="4768">
      <formula>LEN(TRIM(V131))=0</formula>
    </cfRule>
    <cfRule type="containsBlanks" dxfId="7594" priority="4769">
      <formula>LEN(TRIM(V131))=0</formula>
    </cfRule>
    <cfRule type="containsBlanks" dxfId="7593" priority="4770">
      <formula>LEN(TRIM(V131))=0</formula>
    </cfRule>
    <cfRule type="containsBlanks" dxfId="7592" priority="4771">
      <formula>LEN(TRIM(V131))=0</formula>
    </cfRule>
    <cfRule type="containsBlanks" dxfId="7591" priority="4772">
      <formula>LEN(TRIM(V131))=0</formula>
    </cfRule>
    <cfRule type="containsBlanks" dxfId="7590" priority="4773">
      <formula>LEN(TRIM(V131))=0</formula>
    </cfRule>
    <cfRule type="containsBlanks" dxfId="7589" priority="4774">
      <formula>LEN(TRIM(V131))=0</formula>
    </cfRule>
    <cfRule type="containsBlanks" dxfId="7588" priority="4775">
      <formula>LEN(TRIM(V131))=0</formula>
    </cfRule>
    <cfRule type="containsBlanks" dxfId="7587" priority="4776">
      <formula>LEN(TRIM(V131))=0</formula>
    </cfRule>
    <cfRule type="containsBlanks" dxfId="7586" priority="4777">
      <formula>LEN(TRIM(V131))=0</formula>
    </cfRule>
    <cfRule type="containsBlanks" dxfId="7585" priority="4778">
      <formula>LEN(TRIM(V131))=0</formula>
    </cfRule>
    <cfRule type="containsBlanks" dxfId="7584" priority="4779">
      <formula>LEN(TRIM(V131))=0</formula>
    </cfRule>
    <cfRule type="containsBlanks" dxfId="7583" priority="4780">
      <formula>LEN(TRIM(V131))=0</formula>
    </cfRule>
    <cfRule type="containsBlanks" dxfId="7582" priority="4781">
      <formula>LEN(TRIM(V131))=0</formula>
    </cfRule>
    <cfRule type="containsBlanks" dxfId="7581" priority="4782">
      <formula>LEN(TRIM(V131))=0</formula>
    </cfRule>
    <cfRule type="containsBlanks" dxfId="7580" priority="4783">
      <formula>LEN(TRIM(V131))=0</formula>
    </cfRule>
    <cfRule type="containsBlanks" dxfId="7579" priority="4784">
      <formula>LEN(TRIM(V131))=0</formula>
    </cfRule>
    <cfRule type="containsBlanks" dxfId="7578" priority="4785">
      <formula>LEN(TRIM(V131))=0</formula>
    </cfRule>
    <cfRule type="containsBlanks" dxfId="7577" priority="4786">
      <formula>LEN(TRIM(V131))=0</formula>
    </cfRule>
    <cfRule type="containsBlanks" dxfId="7576" priority="4787">
      <formula>LEN(TRIM(V131))=0</formula>
    </cfRule>
    <cfRule type="containsBlanks" dxfId="7575" priority="4788">
      <formula>LEN(TRIM(V131))=0</formula>
    </cfRule>
    <cfRule type="containsBlanks" dxfId="7574" priority="4789">
      <formula>LEN(TRIM(V131))=0</formula>
    </cfRule>
    <cfRule type="containsBlanks" dxfId="7573" priority="4790">
      <formula>LEN(TRIM(V131))=0</formula>
    </cfRule>
    <cfRule type="containsBlanks" dxfId="7572" priority="4791">
      <formula>LEN(TRIM(V131))=0</formula>
    </cfRule>
    <cfRule type="containsBlanks" dxfId="7571" priority="4792">
      <formula>LEN(TRIM(V131))=0</formula>
    </cfRule>
    <cfRule type="containsBlanks" dxfId="7570" priority="4793">
      <formula>LEN(TRIM(V131))=0</formula>
    </cfRule>
    <cfRule type="containsBlanks" dxfId="7569" priority="4794">
      <formula>LEN(TRIM(V131))=0</formula>
    </cfRule>
    <cfRule type="containsBlanks" dxfId="7568" priority="4795">
      <formula>LEN(TRIM(V131))=0</formula>
    </cfRule>
    <cfRule type="containsBlanks" dxfId="7567" priority="4796">
      <formula>LEN(TRIM(V131))=0</formula>
    </cfRule>
    <cfRule type="containsBlanks" dxfId="7566" priority="4797">
      <formula>LEN(TRIM(V131))=0</formula>
    </cfRule>
    <cfRule type="containsBlanks" dxfId="7565" priority="4798">
      <formula>LEN(TRIM(V131))=0</formula>
    </cfRule>
    <cfRule type="containsBlanks" dxfId="7564" priority="4799">
      <formula>LEN(TRIM(V131))=0</formula>
    </cfRule>
    <cfRule type="containsBlanks" dxfId="7563" priority="4800">
      <formula>LEN(TRIM(V131))=0</formula>
    </cfRule>
    <cfRule type="containsBlanks" dxfId="7562" priority="4801">
      <formula>LEN(TRIM(V131))=0</formula>
    </cfRule>
    <cfRule type="containsBlanks" dxfId="7561" priority="4802">
      <formula>LEN(TRIM(V131))=0</formula>
    </cfRule>
    <cfRule type="containsBlanks" dxfId="7560" priority="4803">
      <formula>LEN(TRIM(V131))=0</formula>
    </cfRule>
    <cfRule type="containsBlanks" dxfId="7559" priority="4804">
      <formula>LEN(TRIM(V131))=0</formula>
    </cfRule>
    <cfRule type="containsBlanks" dxfId="7558" priority="4805">
      <formula>LEN(TRIM(V131))=0</formula>
    </cfRule>
    <cfRule type="containsBlanks" dxfId="7557" priority="4806">
      <formula>LEN(TRIM(V131))=0</formula>
    </cfRule>
    <cfRule type="containsBlanks" dxfId="7556" priority="4807">
      <formula>LEN(TRIM(V131))=0</formula>
    </cfRule>
    <cfRule type="containsBlanks" dxfId="7555" priority="4808">
      <formula>LEN(TRIM(V131))=0</formula>
    </cfRule>
    <cfRule type="containsBlanks" dxfId="7554" priority="4809">
      <formula>LEN(TRIM(V131))=0</formula>
    </cfRule>
    <cfRule type="containsBlanks" dxfId="7553" priority="4810">
      <formula>LEN(TRIM(V131))=0</formula>
    </cfRule>
    <cfRule type="containsBlanks" dxfId="7552" priority="4811">
      <formula>LEN(TRIM(V131))=0</formula>
    </cfRule>
    <cfRule type="containsBlanks" dxfId="7551" priority="4812">
      <formula>LEN(TRIM(V131))=0</formula>
    </cfRule>
    <cfRule type="containsBlanks" dxfId="7550" priority="4813">
      <formula>LEN(TRIM(V131))=0</formula>
    </cfRule>
    <cfRule type="containsBlanks" dxfId="7549" priority="4814">
      <formula>LEN(TRIM(V131))=0</formula>
    </cfRule>
    <cfRule type="containsBlanks" dxfId="7548" priority="4815">
      <formula>LEN(TRIM(V131))=0</formula>
    </cfRule>
    <cfRule type="containsBlanks" dxfId="7547" priority="4816">
      <formula>LEN(TRIM(V131))=0</formula>
    </cfRule>
    <cfRule type="containsBlanks" dxfId="7546" priority="4817">
      <formula>LEN(TRIM(V131))=0</formula>
    </cfRule>
    <cfRule type="containsBlanks" dxfId="7545" priority="4818">
      <formula>LEN(TRIM(V131))=0</formula>
    </cfRule>
    <cfRule type="containsBlanks" dxfId="7544" priority="4819">
      <formula>LEN(TRIM(V131))=0</formula>
    </cfRule>
    <cfRule type="containsBlanks" dxfId="7543" priority="4820">
      <formula>LEN(TRIM(V131))=0</formula>
    </cfRule>
    <cfRule type="containsBlanks" dxfId="7542" priority="4821">
      <formula>LEN(TRIM(V131))=0</formula>
    </cfRule>
    <cfRule type="containsBlanks" dxfId="7541" priority="4822">
      <formula>LEN(TRIM(V131))=0</formula>
    </cfRule>
    <cfRule type="containsBlanks" dxfId="7540" priority="4823">
      <formula>LEN(TRIM(V131))=0</formula>
    </cfRule>
    <cfRule type="containsBlanks" dxfId="7539" priority="4824">
      <formula>LEN(TRIM(V131))=0</formula>
    </cfRule>
    <cfRule type="containsBlanks" dxfId="7538" priority="4825">
      <formula>LEN(TRIM(V131))=0</formula>
    </cfRule>
    <cfRule type="containsBlanks" dxfId="7537" priority="4826">
      <formula>LEN(TRIM(V131))=0</formula>
    </cfRule>
    <cfRule type="containsBlanks" dxfId="7536" priority="4827">
      <formula>LEN(TRIM(V131))=0</formula>
    </cfRule>
    <cfRule type="containsBlanks" dxfId="7535" priority="4828">
      <formula>LEN(TRIM(V131))=0</formula>
    </cfRule>
    <cfRule type="containsBlanks" dxfId="7534" priority="4829">
      <formula>LEN(TRIM(V131))=0</formula>
    </cfRule>
    <cfRule type="containsBlanks" dxfId="7533" priority="4830">
      <formula>LEN(TRIM(V131))=0</formula>
    </cfRule>
    <cfRule type="containsBlanks" dxfId="7532" priority="4831">
      <formula>LEN(TRIM(V131))=0</formula>
    </cfRule>
    <cfRule type="containsBlanks" dxfId="7531" priority="4832">
      <formula>LEN(TRIM(V131))=0</formula>
    </cfRule>
    <cfRule type="containsBlanks" dxfId="7530" priority="4833">
      <formula>LEN(TRIM(V131))=0</formula>
    </cfRule>
    <cfRule type="containsBlanks" dxfId="7529" priority="4834">
      <formula>LEN(TRIM(V131))=0</formula>
    </cfRule>
    <cfRule type="containsBlanks" dxfId="7528" priority="4835">
      <formula>LEN(TRIM(V131))=0</formula>
    </cfRule>
    <cfRule type="containsBlanks" dxfId="7527" priority="4836">
      <formula>LEN(TRIM(V131))=0</formula>
    </cfRule>
    <cfRule type="containsBlanks" dxfId="7526" priority="4837">
      <formula>LEN(TRIM(V131))=0</formula>
    </cfRule>
    <cfRule type="containsBlanks" dxfId="7525" priority="4838">
      <formula>LEN(TRIM(V131))=0</formula>
    </cfRule>
    <cfRule type="containsBlanks" dxfId="7524" priority="4839">
      <formula>LEN(TRIM(V131))=0</formula>
    </cfRule>
    <cfRule type="containsBlanks" dxfId="7523" priority="4840">
      <formula>LEN(TRIM(V131))=0</formula>
    </cfRule>
    <cfRule type="containsBlanks" dxfId="7522" priority="4841">
      <formula>LEN(TRIM(V131))=0</formula>
    </cfRule>
    <cfRule type="containsBlanks" dxfId="7521" priority="4842">
      <formula>LEN(TRIM(V131))=0</formula>
    </cfRule>
    <cfRule type="containsBlanks" dxfId="7520" priority="4843">
      <formula>LEN(TRIM(V131))=0</formula>
    </cfRule>
    <cfRule type="containsBlanks" dxfId="7519" priority="4844">
      <formula>LEN(TRIM(V131))=0</formula>
    </cfRule>
    <cfRule type="containsBlanks" dxfId="7518" priority="4845">
      <formula>LEN(TRIM(V131))=0</formula>
    </cfRule>
    <cfRule type="containsBlanks" dxfId="7517" priority="4846">
      <formula>LEN(TRIM(V131))=0</formula>
    </cfRule>
    <cfRule type="containsBlanks" dxfId="7516" priority="4847">
      <formula>LEN(TRIM(V131))=0</formula>
    </cfRule>
    <cfRule type="containsBlanks" dxfId="7515" priority="4848">
      <formula>LEN(TRIM(V131))=0</formula>
    </cfRule>
    <cfRule type="containsBlanks" dxfId="7514" priority="4849">
      <formula>LEN(TRIM(V131))=0</formula>
    </cfRule>
    <cfRule type="containsBlanks" dxfId="7513" priority="4850">
      <formula>LEN(TRIM(V131))=0</formula>
    </cfRule>
    <cfRule type="containsBlanks" dxfId="7512" priority="4851">
      <formula>LEN(TRIM(V131))=0</formula>
    </cfRule>
    <cfRule type="containsBlanks" dxfId="7511" priority="4852">
      <formula>LEN(TRIM(V131))=0</formula>
    </cfRule>
    <cfRule type="containsBlanks" dxfId="7510" priority="4853">
      <formula>LEN(TRIM(V131))=0</formula>
    </cfRule>
    <cfRule type="containsBlanks" dxfId="7509" priority="4854">
      <formula>LEN(TRIM(V131))=0</formula>
    </cfRule>
    <cfRule type="containsBlanks" dxfId="7508" priority="4855">
      <formula>LEN(TRIM(V131))=0</formula>
    </cfRule>
    <cfRule type="containsBlanks" dxfId="7507" priority="4856">
      <formula>LEN(TRIM(V131))=0</formula>
    </cfRule>
    <cfRule type="containsBlanks" dxfId="7506" priority="4857">
      <formula>LEN(TRIM(V131))=0</formula>
    </cfRule>
    <cfRule type="containsBlanks" dxfId="7505" priority="4858">
      <formula>LEN(TRIM(V131))=0</formula>
    </cfRule>
    <cfRule type="containsBlanks" dxfId="7504" priority="4859">
      <formula>LEN(TRIM(V131))=0</formula>
    </cfRule>
    <cfRule type="containsBlanks" dxfId="7503" priority="4860">
      <formula>LEN(TRIM(V131))=0</formula>
    </cfRule>
    <cfRule type="containsBlanks" dxfId="7502" priority="4861">
      <formula>LEN(TRIM(V131))=0</formula>
    </cfRule>
    <cfRule type="containsBlanks" dxfId="7501" priority="4862">
      <formula>LEN(TRIM(V131))=0</formula>
    </cfRule>
    <cfRule type="containsBlanks" dxfId="7500" priority="4863">
      <formula>LEN(TRIM(V131))=0</formula>
    </cfRule>
    <cfRule type="containsBlanks" dxfId="7499" priority="4864">
      <formula>LEN(TRIM(V131))=0</formula>
    </cfRule>
    <cfRule type="containsBlanks" dxfId="7498" priority="4865">
      <formula>LEN(TRIM(V131))=0</formula>
    </cfRule>
    <cfRule type="containsBlanks" dxfId="7497" priority="4866">
      <formula>LEN(TRIM(V131))=0</formula>
    </cfRule>
    <cfRule type="containsBlanks" dxfId="7496" priority="4867">
      <formula>LEN(TRIM(V131))=0</formula>
    </cfRule>
    <cfRule type="containsBlanks" dxfId="7495" priority="4868">
      <formula>LEN(TRIM(V131))=0</formula>
    </cfRule>
    <cfRule type="containsBlanks" dxfId="7494" priority="4869">
      <formula>LEN(TRIM(V131))=0</formula>
    </cfRule>
    <cfRule type="containsBlanks" dxfId="7493" priority="4870">
      <formula>LEN(TRIM(V131))=0</formula>
    </cfRule>
    <cfRule type="containsBlanks" dxfId="7492" priority="4871">
      <formula>LEN(TRIM(V131))=0</formula>
    </cfRule>
    <cfRule type="containsBlanks" dxfId="7491" priority="4872">
      <formula>LEN(TRIM(V131))=0</formula>
    </cfRule>
    <cfRule type="containsBlanks" dxfId="7490" priority="4873">
      <formula>LEN(TRIM(V131))=0</formula>
    </cfRule>
    <cfRule type="containsBlanks" dxfId="7489" priority="4874">
      <formula>LEN(TRIM(V131))=0</formula>
    </cfRule>
    <cfRule type="containsBlanks" dxfId="7488" priority="4875">
      <formula>LEN(TRIM(V131))=0</formula>
    </cfRule>
    <cfRule type="containsBlanks" dxfId="7487" priority="4876">
      <formula>LEN(TRIM(V131))=0</formula>
    </cfRule>
    <cfRule type="containsBlanks" dxfId="7486" priority="4877">
      <formula>LEN(TRIM(V131))=0</formula>
    </cfRule>
    <cfRule type="containsBlanks" dxfId="7485" priority="4878">
      <formula>LEN(TRIM(V131))=0</formula>
    </cfRule>
    <cfRule type="containsBlanks" dxfId="7484" priority="4879">
      <formula>LEN(TRIM(V131))=0</formula>
    </cfRule>
    <cfRule type="containsBlanks" dxfId="7483" priority="4880">
      <formula>LEN(TRIM(V131))=0</formula>
    </cfRule>
    <cfRule type="containsBlanks" dxfId="7482" priority="4881">
      <formula>LEN(TRIM(V131))=0</formula>
    </cfRule>
    <cfRule type="containsBlanks" dxfId="7481" priority="4882">
      <formula>LEN(TRIM(V131))=0</formula>
    </cfRule>
    <cfRule type="containsBlanks" dxfId="7480" priority="4883">
      <formula>LEN(TRIM(V131))=0</formula>
    </cfRule>
    <cfRule type="containsBlanks" dxfId="7479" priority="4884">
      <formula>LEN(TRIM(V131))=0</formula>
    </cfRule>
    <cfRule type="containsBlanks" dxfId="7478" priority="4885">
      <formula>LEN(TRIM(V131))=0</formula>
    </cfRule>
    <cfRule type="containsBlanks" dxfId="7477" priority="4886">
      <formula>LEN(TRIM(V131))=0</formula>
    </cfRule>
    <cfRule type="containsBlanks" dxfId="7476" priority="4887">
      <formula>LEN(TRIM(V131))=0</formula>
    </cfRule>
    <cfRule type="containsBlanks" dxfId="7475" priority="4888">
      <formula>LEN(TRIM(V131))=0</formula>
    </cfRule>
    <cfRule type="containsBlanks" dxfId="7474" priority="4889">
      <formula>LEN(TRIM(V131))=0</formula>
    </cfRule>
    <cfRule type="containsBlanks" dxfId="7473" priority="4890">
      <formula>LEN(TRIM(V131))=0</formula>
    </cfRule>
    <cfRule type="containsBlanks" dxfId="7472" priority="4891">
      <formula>LEN(TRIM(V131))=0</formula>
    </cfRule>
    <cfRule type="containsBlanks" dxfId="7471" priority="4892">
      <formula>LEN(TRIM(V131))=0</formula>
    </cfRule>
    <cfRule type="containsBlanks" dxfId="7470" priority="4893">
      <formula>LEN(TRIM(V131))=0</formula>
    </cfRule>
    <cfRule type="containsBlanks" dxfId="7469" priority="4894">
      <formula>LEN(TRIM(V131))=0</formula>
    </cfRule>
    <cfRule type="containsBlanks" dxfId="7468" priority="4895">
      <formula>LEN(TRIM(V131))=0</formula>
    </cfRule>
    <cfRule type="containsBlanks" dxfId="7467" priority="4896">
      <formula>LEN(TRIM(V131))=0</formula>
    </cfRule>
    <cfRule type="containsBlanks" dxfId="7466" priority="4897">
      <formula>LEN(TRIM(V131))=0</formula>
    </cfRule>
    <cfRule type="containsBlanks" dxfId="7465" priority="4898">
      <formula>LEN(TRIM(V131))=0</formula>
    </cfRule>
    <cfRule type="containsBlanks" dxfId="7464" priority="4899">
      <formula>LEN(TRIM(V131))=0</formula>
    </cfRule>
    <cfRule type="containsBlanks" dxfId="7463" priority="4900">
      <formula>LEN(TRIM(V131))=0</formula>
    </cfRule>
    <cfRule type="containsBlanks" dxfId="7462" priority="4901">
      <formula>LEN(TRIM(V131))=0</formula>
    </cfRule>
    <cfRule type="containsBlanks" dxfId="7461" priority="4902">
      <formula>LEN(TRIM(V131))=0</formula>
    </cfRule>
    <cfRule type="containsBlanks" dxfId="7460" priority="4903">
      <formula>LEN(TRIM(V131))=0</formula>
    </cfRule>
    <cfRule type="containsBlanks" dxfId="7459" priority="4904">
      <formula>LEN(TRIM(V131))=0</formula>
    </cfRule>
    <cfRule type="containsBlanks" dxfId="7458" priority="4905">
      <formula>LEN(TRIM(V131))=0</formula>
    </cfRule>
    <cfRule type="containsBlanks" dxfId="7457" priority="4906">
      <formula>LEN(TRIM(V131))=0</formula>
    </cfRule>
    <cfRule type="containsBlanks" dxfId="7456" priority="4907">
      <formula>LEN(TRIM(V131))=0</formula>
    </cfRule>
    <cfRule type="containsBlanks" dxfId="7455" priority="4908">
      <formula>LEN(TRIM(V131))=0</formula>
    </cfRule>
    <cfRule type="containsBlanks" dxfId="7454" priority="4909">
      <formula>LEN(TRIM(V131))=0</formula>
    </cfRule>
    <cfRule type="containsBlanks" dxfId="7453" priority="4910">
      <formula>LEN(TRIM(V131))=0</formula>
    </cfRule>
    <cfRule type="containsBlanks" dxfId="7452" priority="4911">
      <formula>LEN(TRIM(V131))=0</formula>
    </cfRule>
    <cfRule type="containsBlanks" dxfId="7451" priority="4912">
      <formula>LEN(TRIM(V131))=0</formula>
    </cfRule>
    <cfRule type="containsBlanks" dxfId="7450" priority="4913">
      <formula>LEN(TRIM(V131))=0</formula>
    </cfRule>
    <cfRule type="containsBlanks" dxfId="7449" priority="4914">
      <formula>LEN(TRIM(V131))=0</formula>
    </cfRule>
    <cfRule type="containsBlanks" dxfId="7448" priority="4915">
      <formula>LEN(TRIM(V131))=0</formula>
    </cfRule>
    <cfRule type="containsBlanks" dxfId="7447" priority="4916">
      <formula>LEN(TRIM(V131))=0</formula>
    </cfRule>
    <cfRule type="containsBlanks" dxfId="7446" priority="4917">
      <formula>LEN(TRIM(V131))=0</formula>
    </cfRule>
    <cfRule type="containsBlanks" dxfId="7445" priority="4918">
      <formula>LEN(TRIM(V131))=0</formula>
    </cfRule>
    <cfRule type="containsBlanks" dxfId="7444" priority="4919">
      <formula>LEN(TRIM(V131))=0</formula>
    </cfRule>
    <cfRule type="containsBlanks" dxfId="7443" priority="4920">
      <formula>LEN(TRIM(V131))=0</formula>
    </cfRule>
    <cfRule type="containsBlanks" dxfId="7442" priority="4921">
      <formula>LEN(TRIM(V131))=0</formula>
    </cfRule>
    <cfRule type="containsBlanks" dxfId="7441" priority="4922">
      <formula>LEN(TRIM(V131))=0</formula>
    </cfRule>
    <cfRule type="containsBlanks" dxfId="7440" priority="4923">
      <formula>LEN(TRIM(V131))=0</formula>
    </cfRule>
    <cfRule type="containsBlanks" dxfId="7439" priority="4924">
      <formula>LEN(TRIM(V131))=0</formula>
    </cfRule>
    <cfRule type="containsBlanks" dxfId="7438" priority="4925">
      <formula>LEN(TRIM(V131))=0</formula>
    </cfRule>
    <cfRule type="containsBlanks" dxfId="7437" priority="4926">
      <formula>LEN(TRIM(V131))=0</formula>
    </cfRule>
    <cfRule type="containsBlanks" dxfId="7436" priority="4927">
      <formula>LEN(TRIM(V131))=0</formula>
    </cfRule>
    <cfRule type="containsBlanks" dxfId="7435" priority="4928">
      <formula>LEN(TRIM(V131))=0</formula>
    </cfRule>
    <cfRule type="containsBlanks" dxfId="7434" priority="4929">
      <formula>LEN(TRIM(V131))=0</formula>
    </cfRule>
    <cfRule type="containsBlanks" dxfId="7433" priority="4930">
      <formula>LEN(TRIM(V131))=0</formula>
    </cfRule>
    <cfRule type="containsBlanks" dxfId="7432" priority="4931">
      <formula>LEN(TRIM(V131))=0</formula>
    </cfRule>
    <cfRule type="containsBlanks" dxfId="7431" priority="4932">
      <formula>LEN(TRIM(V131))=0</formula>
    </cfRule>
    <cfRule type="containsBlanks" dxfId="7430" priority="4933">
      <formula>LEN(TRIM(V131))=0</formula>
    </cfRule>
    <cfRule type="containsBlanks" dxfId="7429" priority="4934">
      <formula>LEN(TRIM(V131))=0</formula>
    </cfRule>
    <cfRule type="containsBlanks" dxfId="7428" priority="4935">
      <formula>LEN(TRIM(V131))=0</formula>
    </cfRule>
    <cfRule type="containsBlanks" dxfId="7427" priority="4936">
      <formula>LEN(TRIM(V131))=0</formula>
    </cfRule>
    <cfRule type="containsBlanks" dxfId="7426" priority="4937">
      <formula>LEN(TRIM(V131))=0</formula>
    </cfRule>
    <cfRule type="containsBlanks" dxfId="7425" priority="4938">
      <formula>LEN(TRIM(V131))=0</formula>
    </cfRule>
    <cfRule type="containsBlanks" dxfId="7424" priority="4939">
      <formula>LEN(TRIM(V131))=0</formula>
    </cfRule>
    <cfRule type="containsBlanks" dxfId="7423" priority="4940">
      <formula>LEN(TRIM(V131))=0</formula>
    </cfRule>
    <cfRule type="containsBlanks" dxfId="7422" priority="4941">
      <formula>LEN(TRIM(V131))=0</formula>
    </cfRule>
    <cfRule type="containsBlanks" dxfId="7421" priority="4942">
      <formula>LEN(TRIM(V131))=0</formula>
    </cfRule>
    <cfRule type="containsBlanks" dxfId="7420" priority="4943">
      <formula>LEN(TRIM(V131))=0</formula>
    </cfRule>
    <cfRule type="containsBlanks" dxfId="7419" priority="4944">
      <formula>LEN(TRIM(V131))=0</formula>
    </cfRule>
    <cfRule type="containsBlanks" dxfId="7418" priority="4945">
      <formula>LEN(TRIM(V131))=0</formula>
    </cfRule>
    <cfRule type="containsBlanks" dxfId="7417" priority="4946">
      <formula>LEN(TRIM(V131))=0</formula>
    </cfRule>
    <cfRule type="containsBlanks" dxfId="7416" priority="4947">
      <formula>LEN(TRIM(V131))=0</formula>
    </cfRule>
    <cfRule type="containsBlanks" dxfId="7415" priority="4948">
      <formula>LEN(TRIM(V131))=0</formula>
    </cfRule>
    <cfRule type="containsBlanks" dxfId="7414" priority="4949">
      <formula>LEN(TRIM(V131))=0</formula>
    </cfRule>
    <cfRule type="containsBlanks" dxfId="7413" priority="4950">
      <formula>LEN(TRIM(V131))=0</formula>
    </cfRule>
    <cfRule type="containsBlanks" dxfId="7412" priority="4951">
      <formula>LEN(TRIM(V131))=0</formula>
    </cfRule>
    <cfRule type="containsBlanks" dxfId="7411" priority="4952">
      <formula>LEN(TRIM(V131))=0</formula>
    </cfRule>
    <cfRule type="containsBlanks" dxfId="7410" priority="4953">
      <formula>LEN(TRIM(V131))=0</formula>
    </cfRule>
    <cfRule type="containsBlanks" dxfId="7409" priority="4954">
      <formula>LEN(TRIM(V131))=0</formula>
    </cfRule>
    <cfRule type="containsBlanks" dxfId="7408" priority="4955">
      <formula>LEN(TRIM(V131))=0</formula>
    </cfRule>
    <cfRule type="containsBlanks" dxfId="7407" priority="4956">
      <formula>LEN(TRIM(V131))=0</formula>
    </cfRule>
    <cfRule type="containsBlanks" dxfId="7406" priority="4957">
      <formula>LEN(TRIM(V131))=0</formula>
    </cfRule>
    <cfRule type="containsBlanks" dxfId="7405" priority="4958">
      <formula>LEN(TRIM(V131))=0</formula>
    </cfRule>
    <cfRule type="containsBlanks" dxfId="7404" priority="4959">
      <formula>LEN(TRIM(V131))=0</formula>
    </cfRule>
    <cfRule type="containsBlanks" dxfId="7403" priority="4960">
      <formula>LEN(TRIM(V131))=0</formula>
    </cfRule>
    <cfRule type="containsBlanks" dxfId="7402" priority="4961">
      <formula>LEN(TRIM(V131))=0</formula>
    </cfRule>
    <cfRule type="containsBlanks" dxfId="7401" priority="4962">
      <formula>LEN(TRIM(V131))=0</formula>
    </cfRule>
    <cfRule type="containsBlanks" dxfId="7400" priority="4963">
      <formula>LEN(TRIM(V131))=0</formula>
    </cfRule>
    <cfRule type="containsBlanks" dxfId="7399" priority="4964">
      <formula>LEN(TRIM(V131))=0</formula>
    </cfRule>
    <cfRule type="containsBlanks" dxfId="7398" priority="4965">
      <formula>LEN(TRIM(V131))=0</formula>
    </cfRule>
    <cfRule type="containsBlanks" dxfId="7397" priority="4966">
      <formula>LEN(TRIM(V131))=0</formula>
    </cfRule>
    <cfRule type="containsBlanks" dxfId="7396" priority="4967">
      <formula>LEN(TRIM(V131))=0</formula>
    </cfRule>
    <cfRule type="containsBlanks" dxfId="7395" priority="4968">
      <formula>LEN(TRIM(V131))=0</formula>
    </cfRule>
    <cfRule type="containsBlanks" dxfId="7394" priority="4969">
      <formula>LEN(TRIM(V131))=0</formula>
    </cfRule>
    <cfRule type="containsBlanks" dxfId="7393" priority="4970">
      <formula>LEN(TRIM(V131))=0</formula>
    </cfRule>
    <cfRule type="containsBlanks" dxfId="7392" priority="4971">
      <formula>LEN(TRIM(V131))=0</formula>
    </cfRule>
    <cfRule type="containsBlanks" dxfId="7391" priority="4972">
      <formula>LEN(TRIM(V131))=0</formula>
    </cfRule>
    <cfRule type="containsBlanks" dxfId="7390" priority="4973">
      <formula>LEN(TRIM(V131))=0</formula>
    </cfRule>
    <cfRule type="containsBlanks" dxfId="7389" priority="4974">
      <formula>LEN(TRIM(V131))=0</formula>
    </cfRule>
    <cfRule type="containsBlanks" dxfId="7388" priority="4975">
      <formula>LEN(TRIM(V131))=0</formula>
    </cfRule>
    <cfRule type="containsBlanks" dxfId="7387" priority="4976">
      <formula>LEN(TRIM(V131))=0</formula>
    </cfRule>
    <cfRule type="containsBlanks" dxfId="7386" priority="4977">
      <formula>LEN(TRIM(V131))=0</formula>
    </cfRule>
    <cfRule type="containsBlanks" dxfId="7385" priority="4978">
      <formula>LEN(TRIM(V131))=0</formula>
    </cfRule>
    <cfRule type="containsBlanks" dxfId="7384" priority="4979">
      <formula>LEN(TRIM(V131))=0</formula>
    </cfRule>
    <cfRule type="containsBlanks" dxfId="7383" priority="4980">
      <formula>LEN(TRIM(V131))=0</formula>
    </cfRule>
    <cfRule type="containsBlanks" dxfId="7382" priority="4981">
      <formula>LEN(TRIM(V131))=0</formula>
    </cfRule>
    <cfRule type="containsBlanks" dxfId="7381" priority="4982">
      <formula>LEN(TRIM(V131))=0</formula>
    </cfRule>
    <cfRule type="containsBlanks" dxfId="7380" priority="4983">
      <formula>LEN(TRIM(V131))=0</formula>
    </cfRule>
    <cfRule type="containsBlanks" dxfId="7379" priority="4984">
      <formula>LEN(TRIM(V131))=0</formula>
    </cfRule>
    <cfRule type="containsBlanks" dxfId="7378" priority="4985">
      <formula>LEN(TRIM(V131))=0</formula>
    </cfRule>
    <cfRule type="containsBlanks" dxfId="7377" priority="4986">
      <formula>LEN(TRIM(V131))=0</formula>
    </cfRule>
    <cfRule type="containsBlanks" dxfId="7376" priority="4987">
      <formula>LEN(TRIM(V131))=0</formula>
    </cfRule>
    <cfRule type="containsBlanks" dxfId="7375" priority="4988">
      <formula>LEN(TRIM(V131))=0</formula>
    </cfRule>
    <cfRule type="containsBlanks" dxfId="7374" priority="4989">
      <formula>LEN(TRIM(V131))=0</formula>
    </cfRule>
    <cfRule type="containsBlanks" dxfId="7373" priority="4990">
      <formula>LEN(TRIM(V131))=0</formula>
    </cfRule>
    <cfRule type="containsBlanks" dxfId="7372" priority="4991">
      <formula>LEN(TRIM(V131))=0</formula>
    </cfRule>
    <cfRule type="containsBlanks" dxfId="7371" priority="4992">
      <formula>LEN(TRIM(V131))=0</formula>
    </cfRule>
    <cfRule type="containsBlanks" dxfId="7370" priority="4993">
      <formula>LEN(TRIM(V131))=0</formula>
    </cfRule>
    <cfRule type="containsBlanks" dxfId="7369" priority="4994">
      <formula>LEN(TRIM(V131))=0</formula>
    </cfRule>
    <cfRule type="containsBlanks" dxfId="7368" priority="4995">
      <formula>LEN(TRIM(V131))=0</formula>
    </cfRule>
    <cfRule type="containsBlanks" dxfId="7367" priority="4996">
      <formula>LEN(TRIM(V131))=0</formula>
    </cfRule>
    <cfRule type="containsBlanks" dxfId="7366" priority="4997">
      <formula>LEN(TRIM(V131))=0</formula>
    </cfRule>
    <cfRule type="containsBlanks" dxfId="7365" priority="4998">
      <formula>LEN(TRIM(V131))=0</formula>
    </cfRule>
    <cfRule type="containsBlanks" dxfId="7364" priority="4999">
      <formula>LEN(TRIM(V131))=0</formula>
    </cfRule>
    <cfRule type="containsBlanks" dxfId="7363" priority="5000">
      <formula>LEN(TRIM(V131))=0</formula>
    </cfRule>
    <cfRule type="containsBlanks" dxfId="7362" priority="5001">
      <formula>LEN(TRIM(V131))=0</formula>
    </cfRule>
    <cfRule type="containsBlanks" dxfId="7361" priority="5002">
      <formula>LEN(TRIM(V131))=0</formula>
    </cfRule>
    <cfRule type="containsBlanks" dxfId="7360" priority="5003">
      <formula>LEN(TRIM(V131))=0</formula>
    </cfRule>
    <cfRule type="containsBlanks" dxfId="7359" priority="5004">
      <formula>LEN(TRIM(V131))=0</formula>
    </cfRule>
    <cfRule type="containsBlanks" dxfId="7358" priority="5005">
      <formula>LEN(TRIM(V131))=0</formula>
    </cfRule>
    <cfRule type="containsBlanks" dxfId="7357" priority="5006">
      <formula>LEN(TRIM(V131))=0</formula>
    </cfRule>
    <cfRule type="containsBlanks" dxfId="7356" priority="5007">
      <formula>LEN(TRIM(V131))=0</formula>
    </cfRule>
    <cfRule type="containsBlanks" dxfId="7355" priority="5008">
      <formula>LEN(TRIM(V131))=0</formula>
    </cfRule>
    <cfRule type="containsBlanks" dxfId="7354" priority="5009">
      <formula>LEN(TRIM(V131))=0</formula>
    </cfRule>
    <cfRule type="containsBlanks" dxfId="7353" priority="5010">
      <formula>LEN(TRIM(V131))=0</formula>
    </cfRule>
    <cfRule type="containsBlanks" dxfId="7352" priority="5011">
      <formula>LEN(TRIM(V131))=0</formula>
    </cfRule>
    <cfRule type="containsBlanks" dxfId="7351" priority="5012">
      <formula>LEN(TRIM(V131))=0</formula>
    </cfRule>
    <cfRule type="containsBlanks" dxfId="7350" priority="5013">
      <formula>LEN(TRIM(V131))=0</formula>
    </cfRule>
    <cfRule type="containsBlanks" dxfId="7349" priority="5014">
      <formula>LEN(TRIM(V131))=0</formula>
    </cfRule>
    <cfRule type="containsBlanks" dxfId="7348" priority="5015">
      <formula>LEN(TRIM(V131))=0</formula>
    </cfRule>
    <cfRule type="containsBlanks" dxfId="7347" priority="5016">
      <formula>LEN(TRIM(V131))=0</formula>
    </cfRule>
    <cfRule type="containsBlanks" dxfId="7346" priority="5017">
      <formula>LEN(TRIM(V131))=0</formula>
    </cfRule>
    <cfRule type="containsBlanks" dxfId="7345" priority="5018">
      <formula>LEN(TRIM(V131))=0</formula>
    </cfRule>
    <cfRule type="containsBlanks" dxfId="7344" priority="5019">
      <formula>LEN(TRIM(V131))=0</formula>
    </cfRule>
    <cfRule type="containsBlanks" dxfId="7343" priority="5020">
      <formula>LEN(TRIM(V131))=0</formula>
    </cfRule>
    <cfRule type="containsBlanks" dxfId="7342" priority="5021">
      <formula>LEN(TRIM(V131))=0</formula>
    </cfRule>
    <cfRule type="containsBlanks" dxfId="7341" priority="5022">
      <formula>LEN(TRIM(V131))=0</formula>
    </cfRule>
    <cfRule type="containsBlanks" dxfId="7340" priority="5023">
      <formula>LEN(TRIM(V131))=0</formula>
    </cfRule>
    <cfRule type="containsBlanks" dxfId="7339" priority="5024">
      <formula>LEN(TRIM(V131))=0</formula>
    </cfRule>
    <cfRule type="containsBlanks" dxfId="7338" priority="5025">
      <formula>LEN(TRIM(V131))=0</formula>
    </cfRule>
    <cfRule type="containsBlanks" dxfId="7337" priority="5026">
      <formula>LEN(TRIM(V131))=0</formula>
    </cfRule>
    <cfRule type="containsBlanks" dxfId="7336" priority="5027">
      <formula>LEN(TRIM(V131))=0</formula>
    </cfRule>
    <cfRule type="containsBlanks" dxfId="7335" priority="5028">
      <formula>LEN(TRIM(V131))=0</formula>
    </cfRule>
    <cfRule type="containsBlanks" dxfId="7334" priority="5029">
      <formula>LEN(TRIM(V131))=0</formula>
    </cfRule>
    <cfRule type="containsBlanks" dxfId="7333" priority="5030">
      <formula>LEN(TRIM(V131))=0</formula>
    </cfRule>
    <cfRule type="containsBlanks" dxfId="7332" priority="5031">
      <formula>LEN(TRIM(V131))=0</formula>
    </cfRule>
    <cfRule type="containsBlanks" dxfId="7331" priority="5032">
      <formula>LEN(TRIM(V131))=0</formula>
    </cfRule>
    <cfRule type="containsBlanks" dxfId="7330" priority="5033">
      <formula>LEN(TRIM(V131))=0</formula>
    </cfRule>
    <cfRule type="containsBlanks" dxfId="7329" priority="5034">
      <formula>LEN(TRIM(V131))=0</formula>
    </cfRule>
    <cfRule type="containsBlanks" dxfId="7328" priority="5035">
      <formula>LEN(TRIM(V131))=0</formula>
    </cfRule>
    <cfRule type="containsBlanks" dxfId="7327" priority="5036">
      <formula>LEN(TRIM(V131))=0</formula>
    </cfRule>
    <cfRule type="containsBlanks" dxfId="7326" priority="5037">
      <formula>LEN(TRIM(V131))=0</formula>
    </cfRule>
    <cfRule type="containsBlanks" dxfId="7325" priority="5038">
      <formula>LEN(TRIM(V131))=0</formula>
    </cfRule>
    <cfRule type="containsBlanks" dxfId="7324" priority="5039">
      <formula>LEN(TRIM(V131))=0</formula>
    </cfRule>
    <cfRule type="containsBlanks" dxfId="7323" priority="5040">
      <formula>LEN(TRIM(V131))=0</formula>
    </cfRule>
    <cfRule type="containsBlanks" dxfId="7322" priority="5041">
      <formula>LEN(TRIM(V131))=0</formula>
    </cfRule>
    <cfRule type="containsBlanks" dxfId="7321" priority="5042">
      <formula>LEN(TRIM(V131))=0</formula>
    </cfRule>
    <cfRule type="containsBlanks" dxfId="7320" priority="5043">
      <formula>LEN(TRIM(V131))=0</formula>
    </cfRule>
    <cfRule type="containsBlanks" dxfId="7319" priority="5044">
      <formula>LEN(TRIM(V131))=0</formula>
    </cfRule>
    <cfRule type="containsBlanks" dxfId="7318" priority="5045">
      <formula>LEN(TRIM(V131))=0</formula>
    </cfRule>
    <cfRule type="containsBlanks" dxfId="7317" priority="5046">
      <formula>LEN(TRIM(V131))=0</formula>
    </cfRule>
    <cfRule type="containsBlanks" dxfId="7316" priority="5047">
      <formula>LEN(TRIM(V131))=0</formula>
    </cfRule>
    <cfRule type="containsBlanks" dxfId="7315" priority="5048">
      <formula>LEN(TRIM(V131))=0</formula>
    </cfRule>
    <cfRule type="containsBlanks" dxfId="7314" priority="5049">
      <formula>LEN(TRIM(V131))=0</formula>
    </cfRule>
    <cfRule type="containsBlanks" dxfId="7313" priority="5050">
      <formula>LEN(TRIM(V131))=0</formula>
    </cfRule>
    <cfRule type="containsBlanks" dxfId="7312" priority="5051">
      <formula>LEN(TRIM(V131))=0</formula>
    </cfRule>
    <cfRule type="containsBlanks" dxfId="7311" priority="5052">
      <formula>LEN(TRIM(V131))=0</formula>
    </cfRule>
    <cfRule type="containsBlanks" dxfId="7310" priority="5053">
      <formula>LEN(TRIM(V131))=0</formula>
    </cfRule>
    <cfRule type="containsBlanks" dxfId="7309" priority="5054">
      <formula>LEN(TRIM(V131))=0</formula>
    </cfRule>
    <cfRule type="containsBlanks" dxfId="7308" priority="5055">
      <formula>LEN(TRIM(V131))=0</formula>
    </cfRule>
    <cfRule type="containsBlanks" dxfId="7307" priority="5056">
      <formula>LEN(TRIM(V131))=0</formula>
    </cfRule>
    <cfRule type="containsBlanks" dxfId="7306" priority="5057">
      <formula>LEN(TRIM(V131))=0</formula>
    </cfRule>
    <cfRule type="containsBlanks" dxfId="7305" priority="5058">
      <formula>LEN(TRIM(V131))=0</formula>
    </cfRule>
    <cfRule type="containsBlanks" dxfId="7304" priority="5059">
      <formula>LEN(TRIM(V131))=0</formula>
    </cfRule>
  </conditionalFormatting>
  <conditionalFormatting sqref="W99:W103 W148:W158 W105:W146">
    <cfRule type="containsBlanks" dxfId="7303" priority="3964">
      <formula>LEN(TRIM(W99))=0</formula>
    </cfRule>
    <cfRule type="containsBlanks" dxfId="7302" priority="3965">
      <formula>LEN(TRIM(W99))=0</formula>
    </cfRule>
    <cfRule type="containsBlanks" dxfId="7301" priority="3966">
      <formula>LEN(TRIM(W99))=0</formula>
    </cfRule>
    <cfRule type="containsBlanks" dxfId="7300" priority="3967">
      <formula>LEN(TRIM(W99))=0</formula>
    </cfRule>
    <cfRule type="containsBlanks" dxfId="7299" priority="3968">
      <formula>LEN(TRIM(W99))=0</formula>
    </cfRule>
    <cfRule type="containsBlanks" dxfId="7298" priority="3969">
      <formula>LEN(TRIM(W99))=0</formula>
    </cfRule>
    <cfRule type="containsBlanks" dxfId="7297" priority="3970">
      <formula>LEN(TRIM(W99))=0</formula>
    </cfRule>
    <cfRule type="containsBlanks" dxfId="7296" priority="3971">
      <formula>LEN(TRIM(W99))=0</formula>
    </cfRule>
    <cfRule type="containsBlanks" dxfId="7295" priority="3972">
      <formula>LEN(TRIM(W99))=0</formula>
    </cfRule>
    <cfRule type="containsBlanks" dxfId="7294" priority="3973">
      <formula>LEN(TRIM(W99))=0</formula>
    </cfRule>
    <cfRule type="containsBlanks" dxfId="7293" priority="3974">
      <formula>LEN(TRIM(W99))=0</formula>
    </cfRule>
    <cfRule type="containsBlanks" dxfId="7292" priority="3975">
      <formula>LEN(TRIM(W99))=0</formula>
    </cfRule>
    <cfRule type="containsBlanks" dxfId="7291" priority="3976">
      <formula>LEN(TRIM(W99))=0</formula>
    </cfRule>
    <cfRule type="containsBlanks" dxfId="7290" priority="3977">
      <formula>LEN(TRIM(W99))=0</formula>
    </cfRule>
    <cfRule type="containsBlanks" dxfId="7289" priority="3978">
      <formula>LEN(TRIM(W99))=0</formula>
    </cfRule>
    <cfRule type="containsBlanks" dxfId="7288" priority="3979">
      <formula>LEN(TRIM(W99))=0</formula>
    </cfRule>
    <cfRule type="containsBlanks" dxfId="7287" priority="3980">
      <formula>LEN(TRIM(W99))=0</formula>
    </cfRule>
    <cfRule type="containsBlanks" dxfId="7286" priority="3981">
      <formula>LEN(TRIM(W99))=0</formula>
    </cfRule>
    <cfRule type="containsBlanks" dxfId="7285" priority="3982">
      <formula>LEN(TRIM(W99))=0</formula>
    </cfRule>
    <cfRule type="containsBlanks" dxfId="7284" priority="3983">
      <formula>LEN(TRIM(W99))=0</formula>
    </cfRule>
    <cfRule type="containsBlanks" dxfId="7283" priority="3984">
      <formula>LEN(TRIM(W99))=0</formula>
    </cfRule>
    <cfRule type="containsBlanks" dxfId="7282" priority="3985">
      <formula>LEN(TRIM(W99))=0</formula>
    </cfRule>
    <cfRule type="containsBlanks" dxfId="7281" priority="3986">
      <formula>LEN(TRIM(W99))=0</formula>
    </cfRule>
    <cfRule type="containsBlanks" dxfId="7280" priority="3987">
      <formula>LEN(TRIM(W99))=0</formula>
    </cfRule>
    <cfRule type="containsBlanks" dxfId="7279" priority="3988">
      <formula>LEN(TRIM(W99))=0</formula>
    </cfRule>
    <cfRule type="containsBlanks" dxfId="7278" priority="3989">
      <formula>LEN(TRIM(W99))=0</formula>
    </cfRule>
    <cfRule type="containsBlanks" dxfId="7277" priority="3990">
      <formula>LEN(TRIM(W99))=0</formula>
    </cfRule>
    <cfRule type="containsBlanks" dxfId="7276" priority="3991">
      <formula>LEN(TRIM(W99))=0</formula>
    </cfRule>
    <cfRule type="containsBlanks" dxfId="7275" priority="3992">
      <formula>LEN(TRIM(W99))=0</formula>
    </cfRule>
    <cfRule type="containsBlanks" dxfId="7274" priority="3993">
      <formula>LEN(TRIM(W99))=0</formula>
    </cfRule>
    <cfRule type="containsBlanks" dxfId="7273" priority="3994">
      <formula>LEN(TRIM(W99))=0</formula>
    </cfRule>
    <cfRule type="containsBlanks" dxfId="7272" priority="3995">
      <formula>LEN(TRIM(W99))=0</formula>
    </cfRule>
    <cfRule type="containsBlanks" dxfId="7271" priority="3996">
      <formula>LEN(TRIM(W99))=0</formula>
    </cfRule>
    <cfRule type="containsBlanks" dxfId="7270" priority="3997">
      <formula>LEN(TRIM(W99))=0</formula>
    </cfRule>
    <cfRule type="containsBlanks" dxfId="7269" priority="3998">
      <formula>LEN(TRIM(W99))=0</formula>
    </cfRule>
    <cfRule type="containsBlanks" dxfId="7268" priority="3999">
      <formula>LEN(TRIM(W99))=0</formula>
    </cfRule>
    <cfRule type="containsBlanks" dxfId="7267" priority="4000">
      <formula>LEN(TRIM(W99))=0</formula>
    </cfRule>
    <cfRule type="containsBlanks" dxfId="7266" priority="4001">
      <formula>LEN(TRIM(W99))=0</formula>
    </cfRule>
    <cfRule type="containsBlanks" dxfId="7265" priority="4002">
      <formula>LEN(TRIM(W99))=0</formula>
    </cfRule>
    <cfRule type="containsBlanks" dxfId="7264" priority="4003">
      <formula>LEN(TRIM(W99))=0</formula>
    </cfRule>
    <cfRule type="containsBlanks" dxfId="7263" priority="4004">
      <formula>LEN(TRIM(W99))=0</formula>
    </cfRule>
    <cfRule type="containsBlanks" dxfId="7262" priority="4005">
      <formula>LEN(TRIM(W99))=0</formula>
    </cfRule>
    <cfRule type="containsBlanks" dxfId="7261" priority="4006">
      <formula>LEN(TRIM(W99))=0</formula>
    </cfRule>
    <cfRule type="containsBlanks" dxfId="7260" priority="4007">
      <formula>LEN(TRIM(W99))=0</formula>
    </cfRule>
    <cfRule type="containsBlanks" dxfId="7259" priority="4008">
      <formula>LEN(TRIM(W99))=0</formula>
    </cfRule>
    <cfRule type="containsBlanks" dxfId="7258" priority="4009">
      <formula>LEN(TRIM(W99))=0</formula>
    </cfRule>
    <cfRule type="containsBlanks" dxfId="7257" priority="4010">
      <formula>LEN(TRIM(W99))=0</formula>
    </cfRule>
    <cfRule type="containsBlanks" dxfId="7256" priority="4011">
      <formula>LEN(TRIM(W99))=0</formula>
    </cfRule>
    <cfRule type="containsBlanks" dxfId="7255" priority="4012">
      <formula>LEN(TRIM(W99))=0</formula>
    </cfRule>
    <cfRule type="containsBlanks" dxfId="7254" priority="4013">
      <formula>LEN(TRIM(W99))=0</formula>
    </cfRule>
    <cfRule type="containsBlanks" dxfId="7253" priority="4014">
      <formula>LEN(TRIM(W99))=0</formula>
    </cfRule>
    <cfRule type="containsBlanks" dxfId="7252" priority="4015">
      <formula>LEN(TRIM(W99))=0</formula>
    </cfRule>
    <cfRule type="containsBlanks" dxfId="7251" priority="4016">
      <formula>LEN(TRIM(W99))=0</formula>
    </cfRule>
    <cfRule type="containsBlanks" dxfId="7250" priority="4017">
      <formula>LEN(TRIM(W99))=0</formula>
    </cfRule>
    <cfRule type="containsBlanks" dxfId="7249" priority="4018">
      <formula>LEN(TRIM(W99))=0</formula>
    </cfRule>
    <cfRule type="containsBlanks" dxfId="7248" priority="4019">
      <formula>LEN(TRIM(W99))=0</formula>
    </cfRule>
    <cfRule type="containsBlanks" dxfId="7247" priority="4020">
      <formula>LEN(TRIM(W99))=0</formula>
    </cfRule>
    <cfRule type="containsBlanks" dxfId="7246" priority="4021">
      <formula>LEN(TRIM(W99))=0</formula>
    </cfRule>
    <cfRule type="containsBlanks" dxfId="7245" priority="4022">
      <formula>LEN(TRIM(W99))=0</formula>
    </cfRule>
    <cfRule type="containsBlanks" dxfId="7244" priority="4023">
      <formula>LEN(TRIM(W99))=0</formula>
    </cfRule>
    <cfRule type="containsBlanks" dxfId="7243" priority="4024">
      <formula>LEN(TRIM(W99))=0</formula>
    </cfRule>
    <cfRule type="containsBlanks" dxfId="7242" priority="4025">
      <formula>LEN(TRIM(W99))=0</formula>
    </cfRule>
    <cfRule type="containsBlanks" dxfId="7241" priority="4026">
      <formula>LEN(TRIM(W99))=0</formula>
    </cfRule>
    <cfRule type="containsBlanks" dxfId="7240" priority="4027">
      <formula>LEN(TRIM(W99))=0</formula>
    </cfRule>
    <cfRule type="containsBlanks" dxfId="7239" priority="4028">
      <formula>LEN(TRIM(W99))=0</formula>
    </cfRule>
    <cfRule type="containsBlanks" dxfId="7238" priority="4029">
      <formula>LEN(TRIM(W99))=0</formula>
    </cfRule>
  </conditionalFormatting>
  <conditionalFormatting sqref="W147">
    <cfRule type="containsBlanks" dxfId="7237" priority="3449">
      <formula>LEN(TRIM(W147))=0</formula>
    </cfRule>
    <cfRule type="containsBlanks" dxfId="7236" priority="3450">
      <formula>LEN(TRIM(W147))=0</formula>
    </cfRule>
    <cfRule type="containsBlanks" dxfId="7235" priority="3451">
      <formula>LEN(TRIM(W147))=0</formula>
    </cfRule>
    <cfRule type="containsBlanks" dxfId="7234" priority="3452">
      <formula>LEN(TRIM(W147))=0</formula>
    </cfRule>
    <cfRule type="containsBlanks" dxfId="7233" priority="3453">
      <formula>LEN(TRIM(W147))=0</formula>
    </cfRule>
    <cfRule type="containsBlanks" dxfId="7232" priority="3454">
      <formula>LEN(TRIM(W147))=0</formula>
    </cfRule>
    <cfRule type="containsBlanks" dxfId="7231" priority="3455">
      <formula>LEN(TRIM(W147))=0</formula>
    </cfRule>
    <cfRule type="containsBlanks" dxfId="7230" priority="3456">
      <formula>LEN(TRIM(W147))=0</formula>
    </cfRule>
    <cfRule type="containsBlanks" dxfId="7229" priority="3457">
      <formula>LEN(TRIM(W147))=0</formula>
    </cfRule>
    <cfRule type="containsBlanks" dxfId="7228" priority="3458">
      <formula>LEN(TRIM(W147))=0</formula>
    </cfRule>
    <cfRule type="containsBlanks" dxfId="7227" priority="3459">
      <formula>LEN(TRIM(W147))=0</formula>
    </cfRule>
    <cfRule type="containsBlanks" dxfId="7226" priority="3460">
      <formula>LEN(TRIM(W147))=0</formula>
    </cfRule>
    <cfRule type="containsBlanks" dxfId="7225" priority="3461">
      <formula>LEN(TRIM(W147))=0</formula>
    </cfRule>
    <cfRule type="containsBlanks" dxfId="7224" priority="3462">
      <formula>LEN(TRIM(W147))=0</formula>
    </cfRule>
    <cfRule type="containsBlanks" dxfId="7223" priority="3463">
      <formula>LEN(TRIM(W147))=0</formula>
    </cfRule>
    <cfRule type="containsBlanks" dxfId="7222" priority="3464">
      <formula>LEN(TRIM(W147))=0</formula>
    </cfRule>
    <cfRule type="containsBlanks" dxfId="7221" priority="3465">
      <formula>LEN(TRIM(W147))=0</formula>
    </cfRule>
    <cfRule type="containsBlanks" dxfId="7220" priority="3466">
      <formula>LEN(TRIM(W147))=0</formula>
    </cfRule>
    <cfRule type="containsBlanks" dxfId="7219" priority="3467">
      <formula>LEN(TRIM(W147))=0</formula>
    </cfRule>
    <cfRule type="containsBlanks" dxfId="7218" priority="3468">
      <formula>LEN(TRIM(W147))=0</formula>
    </cfRule>
    <cfRule type="containsBlanks" dxfId="7217" priority="3469">
      <formula>LEN(TRIM(W147))=0</formula>
    </cfRule>
    <cfRule type="containsBlanks" dxfId="7216" priority="3470">
      <formula>LEN(TRIM(W147))=0</formula>
    </cfRule>
    <cfRule type="containsBlanks" dxfId="7215" priority="3471">
      <formula>LEN(TRIM(W147))=0</formula>
    </cfRule>
    <cfRule type="containsBlanks" dxfId="7214" priority="3472">
      <formula>LEN(TRIM(W147))=0</formula>
    </cfRule>
    <cfRule type="containsBlanks" dxfId="7213" priority="3473">
      <formula>LEN(TRIM(W147))=0</formula>
    </cfRule>
    <cfRule type="containsBlanks" dxfId="7212" priority="3474">
      <formula>LEN(TRIM(W147))=0</formula>
    </cfRule>
    <cfRule type="containsBlanks" dxfId="7211" priority="3475">
      <formula>LEN(TRIM(W147))=0</formula>
    </cfRule>
    <cfRule type="containsBlanks" dxfId="7210" priority="3476">
      <formula>LEN(TRIM(W147))=0</formula>
    </cfRule>
    <cfRule type="containsBlanks" dxfId="7209" priority="3477">
      <formula>LEN(TRIM(W147))=0</formula>
    </cfRule>
    <cfRule type="containsBlanks" dxfId="7208" priority="3478">
      <formula>LEN(TRIM(W147))=0</formula>
    </cfRule>
    <cfRule type="containsBlanks" dxfId="7207" priority="3479">
      <formula>LEN(TRIM(W147))=0</formula>
    </cfRule>
    <cfRule type="containsBlanks" dxfId="7206" priority="3480">
      <formula>LEN(TRIM(W147))=0</formula>
    </cfRule>
    <cfRule type="containsBlanks" dxfId="7205" priority="3481">
      <formula>LEN(TRIM(W147))=0</formula>
    </cfRule>
    <cfRule type="containsBlanks" dxfId="7204" priority="3482">
      <formula>LEN(TRIM(W147))=0</formula>
    </cfRule>
    <cfRule type="containsBlanks" dxfId="7203" priority="3483">
      <formula>LEN(TRIM(W147))=0</formula>
    </cfRule>
    <cfRule type="containsBlanks" dxfId="7202" priority="3484">
      <formula>LEN(TRIM(W147))=0</formula>
    </cfRule>
    <cfRule type="containsBlanks" dxfId="7201" priority="3485">
      <formula>LEN(TRIM(W147))=0</formula>
    </cfRule>
    <cfRule type="containsBlanks" dxfId="7200" priority="3486">
      <formula>LEN(TRIM(W147))=0</formula>
    </cfRule>
    <cfRule type="containsBlanks" dxfId="7199" priority="3487">
      <formula>LEN(TRIM(W147))=0</formula>
    </cfRule>
    <cfRule type="containsBlanks" dxfId="7198" priority="3488">
      <formula>LEN(TRIM(W147))=0</formula>
    </cfRule>
    <cfRule type="containsBlanks" dxfId="7197" priority="3489">
      <formula>LEN(TRIM(W147))=0</formula>
    </cfRule>
    <cfRule type="containsBlanks" dxfId="7196" priority="3490">
      <formula>LEN(TRIM(W147))=0</formula>
    </cfRule>
    <cfRule type="containsBlanks" dxfId="7195" priority="3491">
      <formula>LEN(TRIM(W147))=0</formula>
    </cfRule>
    <cfRule type="containsBlanks" dxfId="7194" priority="3492">
      <formula>LEN(TRIM(W147))=0</formula>
    </cfRule>
    <cfRule type="containsBlanks" dxfId="7193" priority="3493">
      <formula>LEN(TRIM(W147))=0</formula>
    </cfRule>
    <cfRule type="containsBlanks" dxfId="7192" priority="3494">
      <formula>LEN(TRIM(W147))=0</formula>
    </cfRule>
    <cfRule type="containsBlanks" dxfId="7191" priority="3495">
      <formula>LEN(TRIM(W147))=0</formula>
    </cfRule>
    <cfRule type="containsBlanks" dxfId="7190" priority="3496">
      <formula>LEN(TRIM(W147))=0</formula>
    </cfRule>
    <cfRule type="containsBlanks" dxfId="7189" priority="3497">
      <formula>LEN(TRIM(W147))=0</formula>
    </cfRule>
    <cfRule type="containsBlanks" dxfId="7188" priority="3498">
      <formula>LEN(TRIM(W147))=0</formula>
    </cfRule>
    <cfRule type="containsBlanks" dxfId="7187" priority="3499">
      <formula>LEN(TRIM(W147))=0</formula>
    </cfRule>
    <cfRule type="containsBlanks" dxfId="7186" priority="3500">
      <formula>LEN(TRIM(W147))=0</formula>
    </cfRule>
    <cfRule type="containsBlanks" dxfId="7185" priority="3501">
      <formula>LEN(TRIM(W147))=0</formula>
    </cfRule>
    <cfRule type="containsBlanks" dxfId="7184" priority="3502">
      <formula>LEN(TRIM(W147))=0</formula>
    </cfRule>
    <cfRule type="containsBlanks" dxfId="7183" priority="3503">
      <formula>LEN(TRIM(W147))=0</formula>
    </cfRule>
    <cfRule type="containsBlanks" dxfId="7182" priority="3504">
      <formula>LEN(TRIM(W147))=0</formula>
    </cfRule>
    <cfRule type="containsBlanks" dxfId="7181" priority="3505">
      <formula>LEN(TRIM(W147))=0</formula>
    </cfRule>
    <cfRule type="containsBlanks" dxfId="7180" priority="3506">
      <formula>LEN(TRIM(W147))=0</formula>
    </cfRule>
    <cfRule type="containsBlanks" dxfId="7179" priority="3507">
      <formula>LEN(TRIM(W147))=0</formula>
    </cfRule>
    <cfRule type="containsBlanks" dxfId="7178" priority="3508">
      <formula>LEN(TRIM(W147))=0</formula>
    </cfRule>
    <cfRule type="containsBlanks" dxfId="7177" priority="3509">
      <formula>LEN(TRIM(W147))=0</formula>
    </cfRule>
    <cfRule type="containsBlanks" dxfId="7176" priority="3510">
      <formula>LEN(TRIM(W147))=0</formula>
    </cfRule>
    <cfRule type="containsBlanks" dxfId="7175" priority="3511">
      <formula>LEN(TRIM(W147))=0</formula>
    </cfRule>
    <cfRule type="containsBlanks" dxfId="7174" priority="3512">
      <formula>LEN(TRIM(W147))=0</formula>
    </cfRule>
    <cfRule type="containsBlanks" dxfId="7173" priority="3513">
      <formula>LEN(TRIM(W147))=0</formula>
    </cfRule>
    <cfRule type="containsBlanks" dxfId="7172" priority="3514">
      <formula>LEN(TRIM(W147))=0</formula>
    </cfRule>
    <cfRule type="containsBlanks" dxfId="7171" priority="3515">
      <formula>LEN(TRIM(W147))=0</formula>
    </cfRule>
    <cfRule type="containsBlanks" dxfId="7170" priority="3516">
      <formula>LEN(TRIM(W147))=0</formula>
    </cfRule>
    <cfRule type="containsBlanks" dxfId="7169" priority="3517">
      <formula>LEN(TRIM(W147))=0</formula>
    </cfRule>
    <cfRule type="containsBlanks" dxfId="7168" priority="3518">
      <formula>LEN(TRIM(W147))=0</formula>
    </cfRule>
    <cfRule type="containsBlanks" dxfId="7167" priority="3519">
      <formula>LEN(TRIM(W147))=0</formula>
    </cfRule>
    <cfRule type="containsBlanks" dxfId="7166" priority="3520">
      <formula>LEN(TRIM(W147))=0</formula>
    </cfRule>
    <cfRule type="containsBlanks" dxfId="7165" priority="3521">
      <formula>LEN(TRIM(W147))=0</formula>
    </cfRule>
    <cfRule type="containsBlanks" dxfId="7164" priority="3522">
      <formula>LEN(TRIM(W147))=0</formula>
    </cfRule>
    <cfRule type="containsBlanks" dxfId="7163" priority="3523">
      <formula>LEN(TRIM(W147))=0</formula>
    </cfRule>
    <cfRule type="containsBlanks" dxfId="7162" priority="3524">
      <formula>LEN(TRIM(W147))=0</formula>
    </cfRule>
    <cfRule type="containsBlanks" dxfId="7161" priority="3525">
      <formula>LEN(TRIM(W147))=0</formula>
    </cfRule>
    <cfRule type="containsBlanks" dxfId="7160" priority="3526">
      <formula>LEN(TRIM(W147))=0</formula>
    </cfRule>
    <cfRule type="containsBlanks" dxfId="7159" priority="3527">
      <formula>LEN(TRIM(W147))=0</formula>
    </cfRule>
    <cfRule type="containsBlanks" dxfId="7158" priority="3528">
      <formula>LEN(TRIM(W147))=0</formula>
    </cfRule>
    <cfRule type="containsBlanks" dxfId="7157" priority="3529">
      <formula>LEN(TRIM(W147))=0</formula>
    </cfRule>
    <cfRule type="containsBlanks" dxfId="7156" priority="3530">
      <formula>LEN(TRIM(W147))=0</formula>
    </cfRule>
    <cfRule type="containsBlanks" dxfId="7155" priority="3531">
      <formula>LEN(TRIM(W147))=0</formula>
    </cfRule>
    <cfRule type="containsBlanks" dxfId="7154" priority="3532">
      <formula>LEN(TRIM(W147))=0</formula>
    </cfRule>
    <cfRule type="containsBlanks" dxfId="7153" priority="3533">
      <formula>LEN(TRIM(W147))=0</formula>
    </cfRule>
    <cfRule type="containsBlanks" dxfId="7152" priority="3534">
      <formula>LEN(TRIM(W147))=0</formula>
    </cfRule>
    <cfRule type="containsBlanks" dxfId="7151" priority="3535">
      <formula>LEN(TRIM(W147))=0</formula>
    </cfRule>
    <cfRule type="containsBlanks" dxfId="7150" priority="3536">
      <formula>LEN(TRIM(W147))=0</formula>
    </cfRule>
    <cfRule type="containsBlanks" dxfId="7149" priority="3537">
      <formula>LEN(TRIM(W147))=0</formula>
    </cfRule>
    <cfRule type="containsBlanks" dxfId="7148" priority="3538">
      <formula>LEN(TRIM(W147))=0</formula>
    </cfRule>
    <cfRule type="containsBlanks" dxfId="7147" priority="3539">
      <formula>LEN(TRIM(W147))=0</formula>
    </cfRule>
    <cfRule type="containsBlanks" dxfId="7146" priority="3540">
      <formula>LEN(TRIM(W147))=0</formula>
    </cfRule>
    <cfRule type="containsBlanks" dxfId="7145" priority="3541">
      <formula>LEN(TRIM(W147))=0</formula>
    </cfRule>
    <cfRule type="containsBlanks" dxfId="7144" priority="3542">
      <formula>LEN(TRIM(W147))=0</formula>
    </cfRule>
    <cfRule type="containsBlanks" dxfId="7143" priority="3543">
      <formula>LEN(TRIM(W147))=0</formula>
    </cfRule>
    <cfRule type="containsBlanks" dxfId="7142" priority="3544">
      <formula>LEN(TRIM(W147))=0</formula>
    </cfRule>
    <cfRule type="containsBlanks" dxfId="7141" priority="3545">
      <formula>LEN(TRIM(W147))=0</formula>
    </cfRule>
    <cfRule type="containsBlanks" dxfId="7140" priority="3546">
      <formula>LEN(TRIM(W147))=0</formula>
    </cfRule>
    <cfRule type="containsBlanks" dxfId="7139" priority="3547">
      <formula>LEN(TRIM(W147))=0</formula>
    </cfRule>
    <cfRule type="containsBlanks" dxfId="7138" priority="3548">
      <formula>LEN(TRIM(W147))=0</formula>
    </cfRule>
    <cfRule type="containsBlanks" dxfId="7137" priority="3549">
      <formula>LEN(TRIM(W147))=0</formula>
    </cfRule>
    <cfRule type="containsBlanks" dxfId="7136" priority="3550">
      <formula>LEN(TRIM(W147))=0</formula>
    </cfRule>
    <cfRule type="containsBlanks" dxfId="7135" priority="3551">
      <formula>LEN(TRIM(W147))=0</formula>
    </cfRule>
    <cfRule type="containsBlanks" dxfId="7134" priority="3552">
      <formula>LEN(TRIM(W147))=0</formula>
    </cfRule>
    <cfRule type="containsBlanks" dxfId="7133" priority="3553">
      <formula>LEN(TRIM(W147))=0</formula>
    </cfRule>
    <cfRule type="containsBlanks" dxfId="7132" priority="3554">
      <formula>LEN(TRIM(W147))=0</formula>
    </cfRule>
    <cfRule type="containsBlanks" dxfId="7131" priority="3555">
      <formula>LEN(TRIM(W147))=0</formula>
    </cfRule>
    <cfRule type="containsBlanks" dxfId="7130" priority="3556">
      <formula>LEN(TRIM(W147))=0</formula>
    </cfRule>
    <cfRule type="containsBlanks" dxfId="7129" priority="3557">
      <formula>LEN(TRIM(W147))=0</formula>
    </cfRule>
    <cfRule type="containsBlanks" dxfId="7128" priority="3558">
      <formula>LEN(TRIM(W147))=0</formula>
    </cfRule>
    <cfRule type="containsBlanks" dxfId="7127" priority="3559">
      <formula>LEN(TRIM(W147))=0</formula>
    </cfRule>
    <cfRule type="containsBlanks" dxfId="7126" priority="3560">
      <formula>LEN(TRIM(W147))=0</formula>
    </cfRule>
    <cfRule type="containsBlanks" dxfId="7125" priority="3561">
      <formula>LEN(TRIM(W147))=0</formula>
    </cfRule>
    <cfRule type="containsBlanks" dxfId="7124" priority="3562">
      <formula>LEN(TRIM(W147))=0</formula>
    </cfRule>
    <cfRule type="containsBlanks" dxfId="7123" priority="3563">
      <formula>LEN(TRIM(W147))=0</formula>
    </cfRule>
    <cfRule type="containsBlanks" dxfId="7122" priority="3564">
      <formula>LEN(TRIM(W147))=0</formula>
    </cfRule>
    <cfRule type="containsBlanks" dxfId="7121" priority="3565">
      <formula>LEN(TRIM(W147))=0</formula>
    </cfRule>
    <cfRule type="containsBlanks" dxfId="7120" priority="3566">
      <formula>LEN(TRIM(W147))=0</formula>
    </cfRule>
    <cfRule type="containsBlanks" dxfId="7119" priority="3567">
      <formula>LEN(TRIM(W147))=0</formula>
    </cfRule>
    <cfRule type="containsBlanks" dxfId="7118" priority="3568">
      <formula>LEN(TRIM(W147))=0</formula>
    </cfRule>
    <cfRule type="containsBlanks" dxfId="7117" priority="3569">
      <formula>LEN(TRIM(W147))=0</formula>
    </cfRule>
    <cfRule type="containsBlanks" dxfId="7116" priority="3570">
      <formula>LEN(TRIM(W147))=0</formula>
    </cfRule>
    <cfRule type="containsBlanks" dxfId="7115" priority="3571">
      <formula>LEN(TRIM(W147))=0</formula>
    </cfRule>
    <cfRule type="containsBlanks" dxfId="7114" priority="3572">
      <formula>LEN(TRIM(W147))=0</formula>
    </cfRule>
    <cfRule type="containsBlanks" dxfId="7113" priority="3573">
      <formula>LEN(TRIM(W147))=0</formula>
    </cfRule>
    <cfRule type="containsBlanks" dxfId="7112" priority="3574">
      <formula>LEN(TRIM(W147))=0</formula>
    </cfRule>
    <cfRule type="containsBlanks" dxfId="7111" priority="3575">
      <formula>LEN(TRIM(W147))=0</formula>
    </cfRule>
    <cfRule type="containsBlanks" dxfId="7110" priority="3576">
      <formula>LEN(TRIM(W147))=0</formula>
    </cfRule>
    <cfRule type="containsBlanks" dxfId="7109" priority="3577">
      <formula>LEN(TRIM(W147))=0</formula>
    </cfRule>
    <cfRule type="containsBlanks" dxfId="7108" priority="3578">
      <formula>LEN(TRIM(W147))=0</formula>
    </cfRule>
    <cfRule type="containsBlanks" dxfId="7107" priority="3579">
      <formula>LEN(TRIM(W147))=0</formula>
    </cfRule>
    <cfRule type="containsBlanks" dxfId="7106" priority="3580">
      <formula>LEN(TRIM(W147))=0</formula>
    </cfRule>
    <cfRule type="containsBlanks" dxfId="7105" priority="3581">
      <formula>LEN(TRIM(W147))=0</formula>
    </cfRule>
    <cfRule type="containsBlanks" dxfId="7104" priority="3582">
      <formula>LEN(TRIM(W147))=0</formula>
    </cfRule>
    <cfRule type="containsBlanks" dxfId="7103" priority="3583">
      <formula>LEN(TRIM(W147))=0</formula>
    </cfRule>
    <cfRule type="containsBlanks" dxfId="7102" priority="3584">
      <formula>LEN(TRIM(W147))=0</formula>
    </cfRule>
    <cfRule type="containsBlanks" dxfId="7101" priority="3585">
      <formula>LEN(TRIM(W147))=0</formula>
    </cfRule>
    <cfRule type="containsBlanks" dxfId="7100" priority="3586">
      <formula>LEN(TRIM(W147))=0</formula>
    </cfRule>
    <cfRule type="containsBlanks" dxfId="7099" priority="3587">
      <formula>LEN(TRIM(W147))=0</formula>
    </cfRule>
    <cfRule type="containsBlanks" dxfId="7098" priority="3588">
      <formula>LEN(TRIM(W147))=0</formula>
    </cfRule>
    <cfRule type="containsBlanks" dxfId="7097" priority="3589">
      <formula>LEN(TRIM(W147))=0</formula>
    </cfRule>
    <cfRule type="containsBlanks" dxfId="7096" priority="3590">
      <formula>LEN(TRIM(W147))=0</formula>
    </cfRule>
    <cfRule type="containsBlanks" dxfId="7095" priority="3591">
      <formula>LEN(TRIM(W147))=0</formula>
    </cfRule>
    <cfRule type="containsBlanks" dxfId="7094" priority="3592">
      <formula>LEN(TRIM(W147))=0</formula>
    </cfRule>
    <cfRule type="containsBlanks" dxfId="7093" priority="3593">
      <formula>LEN(TRIM(W147))=0</formula>
    </cfRule>
    <cfRule type="containsBlanks" dxfId="7092" priority="3594">
      <formula>LEN(TRIM(W147))=0</formula>
    </cfRule>
    <cfRule type="containsBlanks" dxfId="7091" priority="3595">
      <formula>LEN(TRIM(W147))=0</formula>
    </cfRule>
    <cfRule type="containsBlanks" dxfId="7090" priority="3596">
      <formula>LEN(TRIM(W147))=0</formula>
    </cfRule>
    <cfRule type="containsBlanks" dxfId="7089" priority="3597">
      <formula>LEN(TRIM(W147))=0</formula>
    </cfRule>
    <cfRule type="containsBlanks" dxfId="7088" priority="3598">
      <formula>LEN(TRIM(W147))=0</formula>
    </cfRule>
    <cfRule type="containsBlanks" dxfId="7087" priority="3599">
      <formula>LEN(TRIM(W147))=0</formula>
    </cfRule>
    <cfRule type="containsBlanks" dxfId="7086" priority="3600">
      <formula>LEN(TRIM(W147))=0</formula>
    </cfRule>
    <cfRule type="containsBlanks" dxfId="7085" priority="3601">
      <formula>LEN(TRIM(W147))=0</formula>
    </cfRule>
    <cfRule type="containsBlanks" dxfId="7084" priority="3602">
      <formula>LEN(TRIM(W147))=0</formula>
    </cfRule>
    <cfRule type="containsBlanks" dxfId="7083" priority="3603">
      <formula>LEN(TRIM(W147))=0</formula>
    </cfRule>
    <cfRule type="containsBlanks" dxfId="7082" priority="3604">
      <formula>LEN(TRIM(W147))=0</formula>
    </cfRule>
    <cfRule type="containsBlanks" dxfId="7081" priority="3605">
      <formula>LEN(TRIM(W147))=0</formula>
    </cfRule>
    <cfRule type="containsBlanks" dxfId="7080" priority="3606">
      <formula>LEN(TRIM(W147))=0</formula>
    </cfRule>
    <cfRule type="containsBlanks" dxfId="7079" priority="3607">
      <formula>LEN(TRIM(W147))=0</formula>
    </cfRule>
    <cfRule type="containsBlanks" dxfId="7078" priority="3608">
      <formula>LEN(TRIM(W147))=0</formula>
    </cfRule>
    <cfRule type="containsBlanks" dxfId="7077" priority="3609">
      <formula>LEN(TRIM(W147))=0</formula>
    </cfRule>
    <cfRule type="containsBlanks" dxfId="7076" priority="3610">
      <formula>LEN(TRIM(W147))=0</formula>
    </cfRule>
    <cfRule type="containsBlanks" dxfId="7075" priority="3611">
      <formula>LEN(TRIM(W147))=0</formula>
    </cfRule>
    <cfRule type="containsBlanks" dxfId="7074" priority="3612">
      <formula>LEN(TRIM(W147))=0</formula>
    </cfRule>
    <cfRule type="containsBlanks" dxfId="7073" priority="3613">
      <formula>LEN(TRIM(W147))=0</formula>
    </cfRule>
    <cfRule type="containsBlanks" dxfId="7072" priority="3614">
      <formula>LEN(TRIM(W147))=0</formula>
    </cfRule>
    <cfRule type="containsBlanks" dxfId="7071" priority="3615">
      <formula>LEN(TRIM(W147))=0</formula>
    </cfRule>
    <cfRule type="containsBlanks" dxfId="7070" priority="3616">
      <formula>LEN(TRIM(W147))=0</formula>
    </cfRule>
    <cfRule type="containsBlanks" dxfId="7069" priority="3617">
      <formula>LEN(TRIM(W147))=0</formula>
    </cfRule>
    <cfRule type="containsBlanks" dxfId="7068" priority="3618">
      <formula>LEN(TRIM(W147))=0</formula>
    </cfRule>
    <cfRule type="containsBlanks" dxfId="7067" priority="3619">
      <formula>LEN(TRIM(W147))=0</formula>
    </cfRule>
    <cfRule type="containsBlanks" dxfId="7066" priority="3620">
      <formula>LEN(TRIM(W147))=0</formula>
    </cfRule>
    <cfRule type="containsBlanks" dxfId="7065" priority="3621">
      <formula>LEN(TRIM(W147))=0</formula>
    </cfRule>
    <cfRule type="containsBlanks" dxfId="7064" priority="3622">
      <formula>LEN(TRIM(W147))=0</formula>
    </cfRule>
    <cfRule type="containsBlanks" dxfId="7063" priority="3623">
      <formula>LEN(TRIM(W147))=0</formula>
    </cfRule>
    <cfRule type="containsBlanks" dxfId="7062" priority="3624">
      <formula>LEN(TRIM(W147))=0</formula>
    </cfRule>
    <cfRule type="containsBlanks" dxfId="7061" priority="3625">
      <formula>LEN(TRIM(W147))=0</formula>
    </cfRule>
    <cfRule type="containsBlanks" dxfId="7060" priority="3626">
      <formula>LEN(TRIM(W147))=0</formula>
    </cfRule>
    <cfRule type="containsBlanks" dxfId="7059" priority="3627">
      <formula>LEN(TRIM(W147))=0</formula>
    </cfRule>
    <cfRule type="containsBlanks" dxfId="7058" priority="3628">
      <formula>LEN(TRIM(W147))=0</formula>
    </cfRule>
    <cfRule type="containsBlanks" dxfId="7057" priority="3629">
      <formula>LEN(TRIM(W147))=0</formula>
    </cfRule>
    <cfRule type="containsBlanks" dxfId="7056" priority="3630">
      <formula>LEN(TRIM(W147))=0</formula>
    </cfRule>
    <cfRule type="containsBlanks" dxfId="7055" priority="3631">
      <formula>LEN(TRIM(W147))=0</formula>
    </cfRule>
    <cfRule type="containsBlanks" dxfId="7054" priority="3632">
      <formula>LEN(TRIM(W147))=0</formula>
    </cfRule>
    <cfRule type="containsBlanks" dxfId="7053" priority="3633">
      <formula>LEN(TRIM(W147))=0</formula>
    </cfRule>
    <cfRule type="containsBlanks" dxfId="7052" priority="3634">
      <formula>LEN(TRIM(W147))=0</formula>
    </cfRule>
    <cfRule type="containsBlanks" dxfId="7051" priority="3635">
      <formula>LEN(TRIM(W147))=0</formula>
    </cfRule>
    <cfRule type="containsBlanks" dxfId="7050" priority="3636">
      <formula>LEN(TRIM(W147))=0</formula>
    </cfRule>
    <cfRule type="containsBlanks" dxfId="7049" priority="3637">
      <formula>LEN(TRIM(W147))=0</formula>
    </cfRule>
    <cfRule type="containsBlanks" dxfId="7048" priority="3638">
      <formula>LEN(TRIM(W147))=0</formula>
    </cfRule>
    <cfRule type="containsBlanks" dxfId="7047" priority="3639">
      <formula>LEN(TRIM(W147))=0</formula>
    </cfRule>
    <cfRule type="containsBlanks" dxfId="7046" priority="3640">
      <formula>LEN(TRIM(W147))=0</formula>
    </cfRule>
    <cfRule type="containsBlanks" dxfId="7045" priority="3641">
      <formula>LEN(TRIM(W147))=0</formula>
    </cfRule>
    <cfRule type="containsBlanks" dxfId="7044" priority="3642">
      <formula>LEN(TRIM(W147))=0</formula>
    </cfRule>
    <cfRule type="containsBlanks" dxfId="7043" priority="3643">
      <formula>LEN(TRIM(W147))=0</formula>
    </cfRule>
    <cfRule type="containsBlanks" dxfId="7042" priority="3644">
      <formula>LEN(TRIM(W147))=0</formula>
    </cfRule>
    <cfRule type="containsBlanks" dxfId="7041" priority="3645">
      <formula>LEN(TRIM(W147))=0</formula>
    </cfRule>
    <cfRule type="containsBlanks" dxfId="7040" priority="3646">
      <formula>LEN(TRIM(W147))=0</formula>
    </cfRule>
    <cfRule type="containsBlanks" dxfId="7039" priority="3647">
      <formula>LEN(TRIM(W147))=0</formula>
    </cfRule>
    <cfRule type="containsBlanks" dxfId="7038" priority="3648">
      <formula>LEN(TRIM(W147))=0</formula>
    </cfRule>
    <cfRule type="containsBlanks" dxfId="7037" priority="3649">
      <formula>LEN(TRIM(W147))=0</formula>
    </cfRule>
    <cfRule type="containsBlanks" dxfId="7036" priority="3650">
      <formula>LEN(TRIM(W147))=0</formula>
    </cfRule>
    <cfRule type="containsBlanks" dxfId="7035" priority="3651">
      <formula>LEN(TRIM(W147))=0</formula>
    </cfRule>
    <cfRule type="containsBlanks" dxfId="7034" priority="3652">
      <formula>LEN(TRIM(W147))=0</formula>
    </cfRule>
    <cfRule type="containsBlanks" dxfId="7033" priority="3653">
      <formula>LEN(TRIM(W147))=0</formula>
    </cfRule>
    <cfRule type="containsBlanks" dxfId="7032" priority="3654">
      <formula>LEN(TRIM(W147))=0</formula>
    </cfRule>
    <cfRule type="containsBlanks" dxfId="7031" priority="3655">
      <formula>LEN(TRIM(W147))=0</formula>
    </cfRule>
    <cfRule type="containsBlanks" dxfId="7030" priority="3656">
      <formula>LEN(TRIM(W147))=0</formula>
    </cfRule>
    <cfRule type="containsBlanks" dxfId="7029" priority="3657">
      <formula>LEN(TRIM(W147))=0</formula>
    </cfRule>
    <cfRule type="containsBlanks" dxfId="7028" priority="3658">
      <formula>LEN(TRIM(W147))=0</formula>
    </cfRule>
    <cfRule type="containsBlanks" dxfId="7027" priority="3659">
      <formula>LEN(TRIM(W147))=0</formula>
    </cfRule>
    <cfRule type="containsBlanks" dxfId="7026" priority="3660">
      <formula>LEN(TRIM(W147))=0</formula>
    </cfRule>
    <cfRule type="containsBlanks" dxfId="7025" priority="3661">
      <formula>LEN(TRIM(W147))=0</formula>
    </cfRule>
    <cfRule type="containsBlanks" dxfId="7024" priority="3662">
      <formula>LEN(TRIM(W147))=0</formula>
    </cfRule>
    <cfRule type="containsBlanks" dxfId="7023" priority="3663">
      <formula>LEN(TRIM(W147))=0</formula>
    </cfRule>
    <cfRule type="containsBlanks" dxfId="7022" priority="3664">
      <formula>LEN(TRIM(W147))=0</formula>
    </cfRule>
    <cfRule type="containsBlanks" dxfId="7021" priority="3665">
      <formula>LEN(TRIM(W147))=0</formula>
    </cfRule>
    <cfRule type="containsBlanks" dxfId="7020" priority="3666">
      <formula>LEN(TRIM(W147))=0</formula>
    </cfRule>
    <cfRule type="containsBlanks" dxfId="7019" priority="3667">
      <formula>LEN(TRIM(W147))=0</formula>
    </cfRule>
    <cfRule type="containsBlanks" dxfId="7018" priority="3668">
      <formula>LEN(TRIM(W147))=0</formula>
    </cfRule>
    <cfRule type="containsBlanks" dxfId="7017" priority="3669">
      <formula>LEN(TRIM(W147))=0</formula>
    </cfRule>
    <cfRule type="containsBlanks" dxfId="7016" priority="3670">
      <formula>LEN(TRIM(W147))=0</formula>
    </cfRule>
    <cfRule type="containsBlanks" dxfId="7015" priority="3671">
      <formula>LEN(TRIM(W147))=0</formula>
    </cfRule>
    <cfRule type="containsBlanks" dxfId="7014" priority="3672">
      <formula>LEN(TRIM(W147))=0</formula>
    </cfRule>
    <cfRule type="containsBlanks" dxfId="7013" priority="3673">
      <formula>LEN(TRIM(W147))=0</formula>
    </cfRule>
    <cfRule type="containsBlanks" dxfId="7012" priority="3674">
      <formula>LEN(TRIM(W147))=0</formula>
    </cfRule>
    <cfRule type="containsBlanks" dxfId="7011" priority="3675">
      <formula>LEN(TRIM(W147))=0</formula>
    </cfRule>
    <cfRule type="containsBlanks" dxfId="7010" priority="3676">
      <formula>LEN(TRIM(W147))=0</formula>
    </cfRule>
    <cfRule type="containsBlanks" dxfId="7009" priority="3677">
      <formula>LEN(TRIM(W147))=0</formula>
    </cfRule>
    <cfRule type="containsBlanks" dxfId="7008" priority="3678">
      <formula>LEN(TRIM(W147))=0</formula>
    </cfRule>
    <cfRule type="containsBlanks" dxfId="7007" priority="3679">
      <formula>LEN(TRIM(W147))=0</formula>
    </cfRule>
    <cfRule type="containsBlanks" dxfId="7006" priority="3680">
      <formula>LEN(TRIM(W147))=0</formula>
    </cfRule>
    <cfRule type="containsBlanks" dxfId="7005" priority="3681">
      <formula>LEN(TRIM(W147))=0</formula>
    </cfRule>
    <cfRule type="containsBlanks" dxfId="7004" priority="3682">
      <formula>LEN(TRIM(W147))=0</formula>
    </cfRule>
    <cfRule type="containsBlanks" dxfId="7003" priority="3683">
      <formula>LEN(TRIM(W147))=0</formula>
    </cfRule>
    <cfRule type="containsBlanks" dxfId="7002" priority="3684">
      <formula>LEN(TRIM(W147))=0</formula>
    </cfRule>
    <cfRule type="containsBlanks" dxfId="7001" priority="3685">
      <formula>LEN(TRIM(W147))=0</formula>
    </cfRule>
    <cfRule type="containsBlanks" dxfId="7000" priority="3686">
      <formula>LEN(TRIM(W147))=0</formula>
    </cfRule>
    <cfRule type="containsBlanks" dxfId="6999" priority="3687">
      <formula>LEN(TRIM(W147))=0</formula>
    </cfRule>
    <cfRule type="containsBlanks" dxfId="6998" priority="3688">
      <formula>LEN(TRIM(W147))=0</formula>
    </cfRule>
    <cfRule type="containsBlanks" dxfId="6997" priority="3689">
      <formula>LEN(TRIM(W147))=0</formula>
    </cfRule>
    <cfRule type="containsBlanks" dxfId="6996" priority="3690">
      <formula>LEN(TRIM(W147))=0</formula>
    </cfRule>
    <cfRule type="containsBlanks" dxfId="6995" priority="3691">
      <formula>LEN(TRIM(W147))=0</formula>
    </cfRule>
    <cfRule type="containsBlanks" dxfId="6994" priority="3692">
      <formula>LEN(TRIM(W147))=0</formula>
    </cfRule>
    <cfRule type="containsBlanks" dxfId="6993" priority="3693">
      <formula>LEN(TRIM(W147))=0</formula>
    </cfRule>
    <cfRule type="containsBlanks" dxfId="6992" priority="3694">
      <formula>LEN(TRIM(W147))=0</formula>
    </cfRule>
    <cfRule type="containsBlanks" dxfId="6991" priority="3695">
      <formula>LEN(TRIM(W147))=0</formula>
    </cfRule>
    <cfRule type="containsBlanks" dxfId="6990" priority="3696">
      <formula>LEN(TRIM(W147))=0</formula>
    </cfRule>
    <cfRule type="containsBlanks" dxfId="6989" priority="3697">
      <formula>LEN(TRIM(W147))=0</formula>
    </cfRule>
    <cfRule type="containsBlanks" dxfId="6988" priority="3698">
      <formula>LEN(TRIM(W147))=0</formula>
    </cfRule>
    <cfRule type="containsBlanks" dxfId="6987" priority="3699">
      <formula>LEN(TRIM(W147))=0</formula>
    </cfRule>
    <cfRule type="containsBlanks" dxfId="6986" priority="3700">
      <formula>LEN(TRIM(W147))=0</formula>
    </cfRule>
    <cfRule type="containsBlanks" dxfId="6985" priority="3701">
      <formula>LEN(TRIM(W147))=0</formula>
    </cfRule>
    <cfRule type="containsBlanks" dxfId="6984" priority="3702">
      <formula>LEN(TRIM(W147))=0</formula>
    </cfRule>
    <cfRule type="containsBlanks" dxfId="6983" priority="3703">
      <formula>LEN(TRIM(W147))=0</formula>
    </cfRule>
    <cfRule type="containsBlanks" dxfId="6982" priority="3704">
      <formula>LEN(TRIM(W147))=0</formula>
    </cfRule>
    <cfRule type="containsBlanks" dxfId="6981" priority="3705">
      <formula>LEN(TRIM(W147))=0</formula>
    </cfRule>
    <cfRule type="containsBlanks" dxfId="6980" priority="3706">
      <formula>LEN(TRIM(W147))=0</formula>
    </cfRule>
    <cfRule type="containsBlanks" dxfId="6979" priority="3707">
      <formula>LEN(TRIM(W147))=0</formula>
    </cfRule>
    <cfRule type="containsBlanks" dxfId="6978" priority="3708">
      <formula>LEN(TRIM(W147))=0</formula>
    </cfRule>
    <cfRule type="containsBlanks" dxfId="6977" priority="3709">
      <formula>LEN(TRIM(W147))=0</formula>
    </cfRule>
    <cfRule type="containsBlanks" dxfId="6976" priority="3710">
      <formula>LEN(TRIM(W147))=0</formula>
    </cfRule>
    <cfRule type="containsBlanks" dxfId="6975" priority="3711">
      <formula>LEN(TRIM(W147))=0</formula>
    </cfRule>
    <cfRule type="containsBlanks" dxfId="6974" priority="3712">
      <formula>LEN(TRIM(W147))=0</formula>
    </cfRule>
    <cfRule type="containsBlanks" dxfId="6973" priority="3713">
      <formula>LEN(TRIM(W147))=0</formula>
    </cfRule>
    <cfRule type="containsBlanks" dxfId="6972" priority="3714">
      <formula>LEN(TRIM(W147))=0</formula>
    </cfRule>
    <cfRule type="containsBlanks" dxfId="6971" priority="3715">
      <formula>LEN(TRIM(W147))=0</formula>
    </cfRule>
    <cfRule type="containsBlanks" dxfId="6970" priority="3716">
      <formula>LEN(TRIM(W147))=0</formula>
    </cfRule>
    <cfRule type="containsBlanks" dxfId="6969" priority="3717">
      <formula>LEN(TRIM(W147))=0</formula>
    </cfRule>
    <cfRule type="containsBlanks" dxfId="6968" priority="3718">
      <formula>LEN(TRIM(W147))=0</formula>
    </cfRule>
    <cfRule type="containsBlanks" dxfId="6967" priority="3719">
      <formula>LEN(TRIM(W147))=0</formula>
    </cfRule>
    <cfRule type="containsBlanks" dxfId="6966" priority="3720">
      <formula>LEN(TRIM(W147))=0</formula>
    </cfRule>
    <cfRule type="containsBlanks" dxfId="6965" priority="3721">
      <formula>LEN(TRIM(W147))=0</formula>
    </cfRule>
    <cfRule type="containsBlanks" dxfId="6964" priority="3722">
      <formula>LEN(TRIM(W147))=0</formula>
    </cfRule>
    <cfRule type="containsBlanks" dxfId="6963" priority="3723">
      <formula>LEN(TRIM(W147))=0</formula>
    </cfRule>
    <cfRule type="containsBlanks" dxfId="6962" priority="3724">
      <formula>LEN(TRIM(W147))=0</formula>
    </cfRule>
    <cfRule type="containsBlanks" dxfId="6961" priority="3725">
      <formula>LEN(TRIM(W147))=0</formula>
    </cfRule>
    <cfRule type="containsBlanks" dxfId="6960" priority="3726">
      <formula>LEN(TRIM(W147))=0</formula>
    </cfRule>
    <cfRule type="containsBlanks" dxfId="6959" priority="3727">
      <formula>LEN(TRIM(W147))=0</formula>
    </cfRule>
    <cfRule type="containsBlanks" dxfId="6958" priority="3728">
      <formula>LEN(TRIM(W147))=0</formula>
    </cfRule>
    <cfRule type="containsBlanks" dxfId="6957" priority="3729">
      <formula>LEN(TRIM(W147))=0</formula>
    </cfRule>
    <cfRule type="containsBlanks" dxfId="6956" priority="3730">
      <formula>LEN(TRIM(W147))=0</formula>
    </cfRule>
    <cfRule type="containsBlanks" dxfId="6955" priority="3731">
      <formula>LEN(TRIM(W147))=0</formula>
    </cfRule>
    <cfRule type="containsBlanks" dxfId="6954" priority="3732">
      <formula>LEN(TRIM(W147))=0</formula>
    </cfRule>
    <cfRule type="containsBlanks" dxfId="6953" priority="3733">
      <formula>LEN(TRIM(W147))=0</formula>
    </cfRule>
    <cfRule type="containsBlanks" dxfId="6952" priority="3734">
      <formula>LEN(TRIM(W147))=0</formula>
    </cfRule>
    <cfRule type="containsBlanks" dxfId="6951" priority="3735">
      <formula>LEN(TRIM(W147))=0</formula>
    </cfRule>
    <cfRule type="containsBlanks" dxfId="6950" priority="3736">
      <formula>LEN(TRIM(W147))=0</formula>
    </cfRule>
    <cfRule type="containsBlanks" dxfId="6949" priority="3737">
      <formula>LEN(TRIM(W147))=0</formula>
    </cfRule>
    <cfRule type="containsBlanks" dxfId="6948" priority="3738">
      <formula>LEN(TRIM(W147))=0</formula>
    </cfRule>
    <cfRule type="containsBlanks" dxfId="6947" priority="3739">
      <formula>LEN(TRIM(W147))=0</formula>
    </cfRule>
    <cfRule type="containsBlanks" dxfId="6946" priority="3740">
      <formula>LEN(TRIM(W147))=0</formula>
    </cfRule>
    <cfRule type="containsBlanks" dxfId="6945" priority="3741">
      <formula>LEN(TRIM(W147))=0</formula>
    </cfRule>
    <cfRule type="containsBlanks" dxfId="6944" priority="3742">
      <formula>LEN(TRIM(W147))=0</formula>
    </cfRule>
    <cfRule type="containsBlanks" dxfId="6943" priority="3743">
      <formula>LEN(TRIM(W147))=0</formula>
    </cfRule>
    <cfRule type="containsBlanks" dxfId="6942" priority="3744">
      <formula>LEN(TRIM(W147))=0</formula>
    </cfRule>
    <cfRule type="containsBlanks" dxfId="6941" priority="3745">
      <formula>LEN(TRIM(W147))=0</formula>
    </cfRule>
    <cfRule type="containsBlanks" dxfId="6940" priority="3746">
      <formula>LEN(TRIM(W147))=0</formula>
    </cfRule>
    <cfRule type="containsBlanks" dxfId="6939" priority="3747">
      <formula>LEN(TRIM(W147))=0</formula>
    </cfRule>
    <cfRule type="containsBlanks" dxfId="6938" priority="3748">
      <formula>LEN(TRIM(W147))=0</formula>
    </cfRule>
    <cfRule type="containsBlanks" dxfId="6937" priority="3749">
      <formula>LEN(TRIM(W147))=0</formula>
    </cfRule>
    <cfRule type="containsBlanks" dxfId="6936" priority="3750">
      <formula>LEN(TRIM(W147))=0</formula>
    </cfRule>
    <cfRule type="containsBlanks" dxfId="6935" priority="3751">
      <formula>LEN(TRIM(W147))=0</formula>
    </cfRule>
    <cfRule type="containsBlanks" dxfId="6934" priority="3752">
      <formula>LEN(TRIM(W147))=0</formula>
    </cfRule>
    <cfRule type="containsBlanks" dxfId="6933" priority="3753">
      <formula>LEN(TRIM(W147))=0</formula>
    </cfRule>
    <cfRule type="containsBlanks" dxfId="6932" priority="3754">
      <formula>LEN(TRIM(W147))=0</formula>
    </cfRule>
    <cfRule type="containsBlanks" dxfId="6931" priority="3755">
      <formula>LEN(TRIM(W147))=0</formula>
    </cfRule>
    <cfRule type="containsBlanks" dxfId="6930" priority="3756">
      <formula>LEN(TRIM(W147))=0</formula>
    </cfRule>
    <cfRule type="containsBlanks" dxfId="6929" priority="3757">
      <formula>LEN(TRIM(W147))=0</formula>
    </cfRule>
    <cfRule type="containsBlanks" dxfId="6928" priority="3758">
      <formula>LEN(TRIM(W147))=0</formula>
    </cfRule>
    <cfRule type="containsBlanks" dxfId="6927" priority="3759">
      <formula>LEN(TRIM(W147))=0</formula>
    </cfRule>
    <cfRule type="containsBlanks" dxfId="6926" priority="3760">
      <formula>LEN(TRIM(W147))=0</formula>
    </cfRule>
    <cfRule type="containsBlanks" dxfId="6925" priority="3761">
      <formula>LEN(TRIM(W147))=0</formula>
    </cfRule>
    <cfRule type="containsBlanks" dxfId="6924" priority="3762">
      <formula>LEN(TRIM(W147))=0</formula>
    </cfRule>
    <cfRule type="containsBlanks" dxfId="6923" priority="3763">
      <formula>LEN(TRIM(W147))=0</formula>
    </cfRule>
    <cfRule type="containsBlanks" dxfId="6922" priority="3764">
      <formula>LEN(TRIM(W147))=0</formula>
    </cfRule>
    <cfRule type="containsBlanks" dxfId="6921" priority="3765">
      <formula>LEN(TRIM(W147))=0</formula>
    </cfRule>
    <cfRule type="containsBlanks" dxfId="6920" priority="3766">
      <formula>LEN(TRIM(W147))=0</formula>
    </cfRule>
    <cfRule type="containsBlanks" dxfId="6919" priority="3767">
      <formula>LEN(TRIM(W147))=0</formula>
    </cfRule>
    <cfRule type="containsBlanks" dxfId="6918" priority="3768">
      <formula>LEN(TRIM(W147))=0</formula>
    </cfRule>
    <cfRule type="containsBlanks" dxfId="6917" priority="3769">
      <formula>LEN(TRIM(W147))=0</formula>
    </cfRule>
    <cfRule type="containsBlanks" dxfId="6916" priority="3770">
      <formula>LEN(TRIM(W147))=0</formula>
    </cfRule>
    <cfRule type="containsBlanks" dxfId="6915" priority="3771">
      <formula>LEN(TRIM(W147))=0</formula>
    </cfRule>
    <cfRule type="containsBlanks" dxfId="6914" priority="3772">
      <formula>LEN(TRIM(W147))=0</formula>
    </cfRule>
    <cfRule type="containsBlanks" dxfId="6913" priority="3773">
      <formula>LEN(TRIM(W147))=0</formula>
    </cfRule>
    <cfRule type="containsBlanks" dxfId="6912" priority="3774">
      <formula>LEN(TRIM(W147))=0</formula>
    </cfRule>
    <cfRule type="containsBlanks" dxfId="6911" priority="3775">
      <formula>LEN(TRIM(W147))=0</formula>
    </cfRule>
    <cfRule type="containsBlanks" dxfId="6910" priority="3776">
      <formula>LEN(TRIM(W147))=0</formula>
    </cfRule>
    <cfRule type="containsBlanks" dxfId="6909" priority="3777">
      <formula>LEN(TRIM(W147))=0</formula>
    </cfRule>
    <cfRule type="containsBlanks" dxfId="6908" priority="3778">
      <formula>LEN(TRIM(W147))=0</formula>
    </cfRule>
    <cfRule type="containsBlanks" dxfId="6907" priority="3779">
      <formula>LEN(TRIM(W147))=0</formula>
    </cfRule>
    <cfRule type="containsBlanks" dxfId="6906" priority="3780">
      <formula>LEN(TRIM(W147))=0</formula>
    </cfRule>
    <cfRule type="containsBlanks" dxfId="6905" priority="3781">
      <formula>LEN(TRIM(W147))=0</formula>
    </cfRule>
    <cfRule type="containsBlanks" dxfId="6904" priority="3782">
      <formula>LEN(TRIM(W147))=0</formula>
    </cfRule>
    <cfRule type="containsBlanks" dxfId="6903" priority="3783">
      <formula>LEN(TRIM(W147))=0</formula>
    </cfRule>
    <cfRule type="containsBlanks" dxfId="6902" priority="3784">
      <formula>LEN(TRIM(W147))=0</formula>
    </cfRule>
    <cfRule type="containsBlanks" dxfId="6901" priority="3785">
      <formula>LEN(TRIM(W147))=0</formula>
    </cfRule>
    <cfRule type="containsBlanks" dxfId="6900" priority="3786">
      <formula>LEN(TRIM(W147))=0</formula>
    </cfRule>
    <cfRule type="containsBlanks" dxfId="6899" priority="3787">
      <formula>LEN(TRIM(W147))=0</formula>
    </cfRule>
    <cfRule type="containsBlanks" dxfId="6898" priority="3788">
      <formula>LEN(TRIM(W147))=0</formula>
    </cfRule>
    <cfRule type="containsBlanks" dxfId="6897" priority="3789">
      <formula>LEN(TRIM(W147))=0</formula>
    </cfRule>
    <cfRule type="containsBlanks" dxfId="6896" priority="3790">
      <formula>LEN(TRIM(W147))=0</formula>
    </cfRule>
    <cfRule type="containsBlanks" dxfId="6895" priority="3791">
      <formula>LEN(TRIM(W147))=0</formula>
    </cfRule>
    <cfRule type="containsBlanks" dxfId="6894" priority="3792">
      <formula>LEN(TRIM(W147))=0</formula>
    </cfRule>
    <cfRule type="containsBlanks" dxfId="6893" priority="3793">
      <formula>LEN(TRIM(W147))=0</formula>
    </cfRule>
    <cfRule type="containsBlanks" dxfId="6892" priority="3794">
      <formula>LEN(TRIM(W147))=0</formula>
    </cfRule>
    <cfRule type="containsBlanks" dxfId="6891" priority="3795">
      <formula>LEN(TRIM(W147))=0</formula>
    </cfRule>
    <cfRule type="containsBlanks" dxfId="6890" priority="3796">
      <formula>LEN(TRIM(W147))=0</formula>
    </cfRule>
    <cfRule type="containsBlanks" dxfId="6889" priority="3797">
      <formula>LEN(TRIM(W147))=0</formula>
    </cfRule>
    <cfRule type="containsBlanks" dxfId="6888" priority="3798">
      <formula>LEN(TRIM(W147))=0</formula>
    </cfRule>
    <cfRule type="containsBlanks" dxfId="6887" priority="3799">
      <formula>LEN(TRIM(W147))=0</formula>
    </cfRule>
    <cfRule type="containsBlanks" dxfId="6886" priority="3800">
      <formula>LEN(TRIM(W147))=0</formula>
    </cfRule>
    <cfRule type="containsBlanks" dxfId="6885" priority="3801">
      <formula>LEN(TRIM(W147))=0</formula>
    </cfRule>
    <cfRule type="containsBlanks" dxfId="6884" priority="3802">
      <formula>LEN(TRIM(W147))=0</formula>
    </cfRule>
    <cfRule type="containsBlanks" dxfId="6883" priority="3803">
      <formula>LEN(TRIM(W147))=0</formula>
    </cfRule>
    <cfRule type="containsBlanks" dxfId="6882" priority="3804">
      <formula>LEN(TRIM(W147))=0</formula>
    </cfRule>
    <cfRule type="containsBlanks" dxfId="6881" priority="3805">
      <formula>LEN(TRIM(W147))=0</formula>
    </cfRule>
    <cfRule type="containsBlanks" dxfId="6880" priority="3806">
      <formula>LEN(TRIM(W147))=0</formula>
    </cfRule>
    <cfRule type="containsBlanks" dxfId="6879" priority="3807">
      <formula>LEN(TRIM(W147))=0</formula>
    </cfRule>
    <cfRule type="containsBlanks" dxfId="6878" priority="3808">
      <formula>LEN(TRIM(W147))=0</formula>
    </cfRule>
    <cfRule type="containsBlanks" dxfId="6877" priority="3809">
      <formula>LEN(TRIM(W147))=0</formula>
    </cfRule>
    <cfRule type="containsBlanks" dxfId="6876" priority="3810">
      <formula>LEN(TRIM(W147))=0</formula>
    </cfRule>
    <cfRule type="containsBlanks" dxfId="6875" priority="3811">
      <formula>LEN(TRIM(W147))=0</formula>
    </cfRule>
    <cfRule type="containsBlanks" dxfId="6874" priority="3812">
      <formula>LEN(TRIM(W147))=0</formula>
    </cfRule>
    <cfRule type="containsBlanks" dxfId="6873" priority="3813">
      <formula>LEN(TRIM(W147))=0</formula>
    </cfRule>
    <cfRule type="containsBlanks" dxfId="6872" priority="3814">
      <formula>LEN(TRIM(W147))=0</formula>
    </cfRule>
    <cfRule type="containsBlanks" dxfId="6871" priority="3815">
      <formula>LEN(TRIM(W147))=0</formula>
    </cfRule>
    <cfRule type="containsBlanks" dxfId="6870" priority="3816">
      <formula>LEN(TRIM(W147))=0</formula>
    </cfRule>
    <cfRule type="containsBlanks" dxfId="6869" priority="3817">
      <formula>LEN(TRIM(W147))=0</formula>
    </cfRule>
    <cfRule type="containsBlanks" dxfId="6868" priority="3818">
      <formula>LEN(TRIM(W147))=0</formula>
    </cfRule>
    <cfRule type="containsBlanks" dxfId="6867" priority="3819">
      <formula>LEN(TRIM(W147))=0</formula>
    </cfRule>
    <cfRule type="containsBlanks" dxfId="6866" priority="3820">
      <formula>LEN(TRIM(W147))=0</formula>
    </cfRule>
    <cfRule type="containsBlanks" dxfId="6865" priority="3821">
      <formula>LEN(TRIM(W147))=0</formula>
    </cfRule>
    <cfRule type="containsBlanks" dxfId="6864" priority="3822">
      <formula>LEN(TRIM(W147))=0</formula>
    </cfRule>
    <cfRule type="containsBlanks" dxfId="6863" priority="3823">
      <formula>LEN(TRIM(W147))=0</formula>
    </cfRule>
    <cfRule type="containsBlanks" dxfId="6862" priority="3824">
      <formula>LEN(TRIM(W147))=0</formula>
    </cfRule>
    <cfRule type="containsBlanks" dxfId="6861" priority="3825">
      <formula>LEN(TRIM(W147))=0</formula>
    </cfRule>
    <cfRule type="containsBlanks" dxfId="6860" priority="3826">
      <formula>LEN(TRIM(W147))=0</formula>
    </cfRule>
    <cfRule type="containsBlanks" dxfId="6859" priority="3827">
      <formula>LEN(TRIM(W147))=0</formula>
    </cfRule>
    <cfRule type="containsBlanks" dxfId="6858" priority="3828">
      <formula>LEN(TRIM(W147))=0</formula>
    </cfRule>
    <cfRule type="containsBlanks" dxfId="6857" priority="3829">
      <formula>LEN(TRIM(W147))=0</formula>
    </cfRule>
    <cfRule type="containsBlanks" dxfId="6856" priority="3830">
      <formula>LEN(TRIM(W147))=0</formula>
    </cfRule>
    <cfRule type="containsBlanks" dxfId="6855" priority="3831">
      <formula>LEN(TRIM(W147))=0</formula>
    </cfRule>
    <cfRule type="containsBlanks" dxfId="6854" priority="3832">
      <formula>LEN(TRIM(W147))=0</formula>
    </cfRule>
    <cfRule type="containsBlanks" dxfId="6853" priority="3833">
      <formula>LEN(TRIM(W147))=0</formula>
    </cfRule>
    <cfRule type="containsBlanks" dxfId="6852" priority="3834">
      <formula>LEN(TRIM(W147))=0</formula>
    </cfRule>
    <cfRule type="containsBlanks" dxfId="6851" priority="3835">
      <formula>LEN(TRIM(W147))=0</formula>
    </cfRule>
    <cfRule type="containsBlanks" dxfId="6850" priority="3836">
      <formula>LEN(TRIM(W147))=0</formula>
    </cfRule>
    <cfRule type="containsBlanks" dxfId="6849" priority="3837">
      <formula>LEN(TRIM(W147))=0</formula>
    </cfRule>
    <cfRule type="containsBlanks" dxfId="6848" priority="3838">
      <formula>LEN(TRIM(W147))=0</formula>
    </cfRule>
    <cfRule type="containsBlanks" dxfId="6847" priority="3839">
      <formula>LEN(TRIM(W147))=0</formula>
    </cfRule>
    <cfRule type="containsBlanks" dxfId="6846" priority="3840">
      <formula>LEN(TRIM(W147))=0</formula>
    </cfRule>
    <cfRule type="containsBlanks" dxfId="6845" priority="3841">
      <formula>LEN(TRIM(W147))=0</formula>
    </cfRule>
    <cfRule type="containsBlanks" dxfId="6844" priority="3842">
      <formula>LEN(TRIM(W147))=0</formula>
    </cfRule>
    <cfRule type="containsBlanks" dxfId="6843" priority="3843">
      <formula>LEN(TRIM(W147))=0</formula>
    </cfRule>
    <cfRule type="containsBlanks" dxfId="6842" priority="3844">
      <formula>LEN(TRIM(W147))=0</formula>
    </cfRule>
    <cfRule type="containsBlanks" dxfId="6841" priority="3845">
      <formula>LEN(TRIM(W147))=0</formula>
    </cfRule>
    <cfRule type="containsBlanks" dxfId="6840" priority="3846">
      <formula>LEN(TRIM(W147))=0</formula>
    </cfRule>
    <cfRule type="containsBlanks" dxfId="6839" priority="3847">
      <formula>LEN(TRIM(W147))=0</formula>
    </cfRule>
    <cfRule type="containsBlanks" dxfId="6838" priority="3848">
      <formula>LEN(TRIM(W147))=0</formula>
    </cfRule>
    <cfRule type="containsBlanks" dxfId="6837" priority="3849">
      <formula>LEN(TRIM(W147))=0</formula>
    </cfRule>
    <cfRule type="containsBlanks" dxfId="6836" priority="3850">
      <formula>LEN(TRIM(W147))=0</formula>
    </cfRule>
    <cfRule type="containsBlanks" dxfId="6835" priority="3851">
      <formula>LEN(TRIM(W147))=0</formula>
    </cfRule>
    <cfRule type="containsBlanks" dxfId="6834" priority="3852">
      <formula>LEN(TRIM(W147))=0</formula>
    </cfRule>
    <cfRule type="containsBlanks" dxfId="6833" priority="3853">
      <formula>LEN(TRIM(W147))=0</formula>
    </cfRule>
    <cfRule type="containsBlanks" dxfId="6832" priority="3854">
      <formula>LEN(TRIM(W147))=0</formula>
    </cfRule>
    <cfRule type="containsBlanks" dxfId="6831" priority="3855">
      <formula>LEN(TRIM(W147))=0</formula>
    </cfRule>
    <cfRule type="containsBlanks" dxfId="6830" priority="3856">
      <formula>LEN(TRIM(W147))=0</formula>
    </cfRule>
    <cfRule type="containsBlanks" dxfId="6829" priority="3857">
      <formula>LEN(TRIM(W147))=0</formula>
    </cfRule>
    <cfRule type="containsBlanks" dxfId="6828" priority="3858">
      <formula>LEN(TRIM(W147))=0</formula>
    </cfRule>
    <cfRule type="containsBlanks" dxfId="6827" priority="3859">
      <formula>LEN(TRIM(W147))=0</formula>
    </cfRule>
    <cfRule type="containsBlanks" dxfId="6826" priority="3860">
      <formula>LEN(TRIM(W147))=0</formula>
    </cfRule>
    <cfRule type="containsBlanks" dxfId="6825" priority="3861">
      <formula>LEN(TRIM(W147))=0</formula>
    </cfRule>
    <cfRule type="containsBlanks" dxfId="6824" priority="3862">
      <formula>LEN(TRIM(W147))=0</formula>
    </cfRule>
    <cfRule type="containsBlanks" dxfId="6823" priority="3863">
      <formula>LEN(TRIM(W147))=0</formula>
    </cfRule>
    <cfRule type="containsBlanks" dxfId="6822" priority="3864">
      <formula>LEN(TRIM(W147))=0</formula>
    </cfRule>
    <cfRule type="containsBlanks" dxfId="6821" priority="3865">
      <formula>LEN(TRIM(W147))=0</formula>
    </cfRule>
    <cfRule type="containsBlanks" dxfId="6820" priority="3866">
      <formula>LEN(TRIM(W147))=0</formula>
    </cfRule>
    <cfRule type="containsBlanks" dxfId="6819" priority="3867">
      <formula>LEN(TRIM(W147))=0</formula>
    </cfRule>
    <cfRule type="containsBlanks" dxfId="6818" priority="3868">
      <formula>LEN(TRIM(W147))=0</formula>
    </cfRule>
    <cfRule type="containsBlanks" dxfId="6817" priority="3869">
      <formula>LEN(TRIM(W147))=0</formula>
    </cfRule>
    <cfRule type="containsBlanks" dxfId="6816" priority="3870">
      <formula>LEN(TRIM(W147))=0</formula>
    </cfRule>
    <cfRule type="containsBlanks" dxfId="6815" priority="3871">
      <formula>LEN(TRIM(W147))=0</formula>
    </cfRule>
    <cfRule type="containsBlanks" dxfId="6814" priority="3872">
      <formula>LEN(TRIM(W147))=0</formula>
    </cfRule>
    <cfRule type="containsBlanks" dxfId="6813" priority="3873">
      <formula>LEN(TRIM(W147))=0</formula>
    </cfRule>
    <cfRule type="containsBlanks" dxfId="6812" priority="3874">
      <formula>LEN(TRIM(W147))=0</formula>
    </cfRule>
    <cfRule type="containsBlanks" dxfId="6811" priority="3875">
      <formula>LEN(TRIM(W147))=0</formula>
    </cfRule>
    <cfRule type="containsBlanks" dxfId="6810" priority="3876">
      <formula>LEN(TRIM(W147))=0</formula>
    </cfRule>
    <cfRule type="containsBlanks" dxfId="6809" priority="3877">
      <formula>LEN(TRIM(W147))=0</formula>
    </cfRule>
    <cfRule type="containsBlanks" dxfId="6808" priority="3878">
      <formula>LEN(TRIM(W147))=0</formula>
    </cfRule>
    <cfRule type="containsBlanks" dxfId="6807" priority="3879">
      <formula>LEN(TRIM(W147))=0</formula>
    </cfRule>
    <cfRule type="containsBlanks" dxfId="6806" priority="3880">
      <formula>LEN(TRIM(W147))=0</formula>
    </cfRule>
    <cfRule type="containsBlanks" dxfId="6805" priority="3881">
      <formula>LEN(TRIM(W147))=0</formula>
    </cfRule>
    <cfRule type="containsBlanks" dxfId="6804" priority="3882">
      <formula>LEN(TRIM(W147))=0</formula>
    </cfRule>
    <cfRule type="containsBlanks" dxfId="6803" priority="3883">
      <formula>LEN(TRIM(W147))=0</formula>
    </cfRule>
    <cfRule type="containsBlanks" dxfId="6802" priority="3884">
      <formula>LEN(TRIM(W147))=0</formula>
    </cfRule>
    <cfRule type="containsBlanks" dxfId="6801" priority="3885">
      <formula>LEN(TRIM(W147))=0</formula>
    </cfRule>
    <cfRule type="containsBlanks" dxfId="6800" priority="3886">
      <formula>LEN(TRIM(W147))=0</formula>
    </cfRule>
    <cfRule type="containsBlanks" dxfId="6799" priority="3887">
      <formula>LEN(TRIM(W147))=0</formula>
    </cfRule>
    <cfRule type="containsBlanks" dxfId="6798" priority="3888">
      <formula>LEN(TRIM(W147))=0</formula>
    </cfRule>
    <cfRule type="containsBlanks" dxfId="6797" priority="3889">
      <formula>LEN(TRIM(W147))=0</formula>
    </cfRule>
    <cfRule type="containsBlanks" dxfId="6796" priority="3890">
      <formula>LEN(TRIM(W147))=0</formula>
    </cfRule>
    <cfRule type="containsBlanks" dxfId="6795" priority="3891">
      <formula>LEN(TRIM(W147))=0</formula>
    </cfRule>
    <cfRule type="containsBlanks" dxfId="6794" priority="3892">
      <formula>LEN(TRIM(W147))=0</formula>
    </cfRule>
    <cfRule type="containsBlanks" dxfId="6793" priority="3893">
      <formula>LEN(TRIM(W147))=0</formula>
    </cfRule>
    <cfRule type="containsBlanks" dxfId="6792" priority="3894">
      <formula>LEN(TRIM(W147))=0</formula>
    </cfRule>
    <cfRule type="containsBlanks" dxfId="6791" priority="3895">
      <formula>LEN(TRIM(W147))=0</formula>
    </cfRule>
    <cfRule type="containsBlanks" dxfId="6790" priority="3896">
      <formula>LEN(TRIM(W147))=0</formula>
    </cfRule>
    <cfRule type="containsBlanks" dxfId="6789" priority="3897">
      <formula>LEN(TRIM(W147))=0</formula>
    </cfRule>
    <cfRule type="containsBlanks" dxfId="6788" priority="3898">
      <formula>LEN(TRIM(W147))=0</formula>
    </cfRule>
    <cfRule type="containsBlanks" dxfId="6787" priority="3899">
      <formula>LEN(TRIM(W147))=0</formula>
    </cfRule>
    <cfRule type="containsBlanks" dxfId="6786" priority="3900">
      <formula>LEN(TRIM(W147))=0</formula>
    </cfRule>
    <cfRule type="containsBlanks" dxfId="6785" priority="3901">
      <formula>LEN(TRIM(W147))=0</formula>
    </cfRule>
    <cfRule type="containsBlanks" dxfId="6784" priority="3902">
      <formula>LEN(TRIM(W147))=0</formula>
    </cfRule>
    <cfRule type="containsBlanks" dxfId="6783" priority="3903">
      <formula>LEN(TRIM(W147))=0</formula>
    </cfRule>
    <cfRule type="containsBlanks" dxfId="6782" priority="3904">
      <formula>LEN(TRIM(W147))=0</formula>
    </cfRule>
    <cfRule type="containsBlanks" dxfId="6781" priority="3905">
      <formula>LEN(TRIM(W147))=0</formula>
    </cfRule>
    <cfRule type="containsBlanks" dxfId="6780" priority="3906">
      <formula>LEN(TRIM(W147))=0</formula>
    </cfRule>
    <cfRule type="containsBlanks" dxfId="6779" priority="3907">
      <formula>LEN(TRIM(W147))=0</formula>
    </cfRule>
    <cfRule type="containsBlanks" dxfId="6778" priority="3908">
      <formula>LEN(TRIM(W147))=0</formula>
    </cfRule>
    <cfRule type="containsBlanks" dxfId="6777" priority="3909">
      <formula>LEN(TRIM(W147))=0</formula>
    </cfRule>
    <cfRule type="containsBlanks" dxfId="6776" priority="3910">
      <formula>LEN(TRIM(W147))=0</formula>
    </cfRule>
    <cfRule type="containsBlanks" dxfId="6775" priority="3911">
      <formula>LEN(TRIM(W147))=0</formula>
    </cfRule>
    <cfRule type="containsBlanks" dxfId="6774" priority="3912">
      <formula>LEN(TRIM(W147))=0</formula>
    </cfRule>
    <cfRule type="containsBlanks" dxfId="6773" priority="3913">
      <formula>LEN(TRIM(W147))=0</formula>
    </cfRule>
    <cfRule type="containsBlanks" dxfId="6772" priority="3914">
      <formula>LEN(TRIM(W147))=0</formula>
    </cfRule>
    <cfRule type="containsBlanks" dxfId="6771" priority="3915">
      <formula>LEN(TRIM(W147))=0</formula>
    </cfRule>
    <cfRule type="containsBlanks" dxfId="6770" priority="3916">
      <formula>LEN(TRIM(W147))=0</formula>
    </cfRule>
    <cfRule type="containsBlanks" dxfId="6769" priority="3917">
      <formula>LEN(TRIM(W147))=0</formula>
    </cfRule>
    <cfRule type="containsBlanks" dxfId="6768" priority="3918">
      <formula>LEN(TRIM(W147))=0</formula>
    </cfRule>
    <cfRule type="containsBlanks" dxfId="6767" priority="3919">
      <formula>LEN(TRIM(W147))=0</formula>
    </cfRule>
    <cfRule type="containsBlanks" dxfId="6766" priority="3920">
      <formula>LEN(TRIM(W147))=0</formula>
    </cfRule>
    <cfRule type="containsBlanks" dxfId="6765" priority="3921">
      <formula>LEN(TRIM(W147))=0</formula>
    </cfRule>
    <cfRule type="containsBlanks" dxfId="6764" priority="3922">
      <formula>LEN(TRIM(W147))=0</formula>
    </cfRule>
    <cfRule type="containsBlanks" dxfId="6763" priority="3923">
      <formula>LEN(TRIM(W147))=0</formula>
    </cfRule>
    <cfRule type="containsBlanks" dxfId="6762" priority="3924">
      <formula>LEN(TRIM(W147))=0</formula>
    </cfRule>
    <cfRule type="containsBlanks" dxfId="6761" priority="3925">
      <formula>LEN(TRIM(W147))=0</formula>
    </cfRule>
    <cfRule type="containsBlanks" dxfId="6760" priority="3926">
      <formula>LEN(TRIM(W147))=0</formula>
    </cfRule>
    <cfRule type="containsBlanks" dxfId="6759" priority="3927">
      <formula>LEN(TRIM(W147))=0</formula>
    </cfRule>
    <cfRule type="containsBlanks" dxfId="6758" priority="3928">
      <formula>LEN(TRIM(W147))=0</formula>
    </cfRule>
    <cfRule type="containsBlanks" dxfId="6757" priority="3929">
      <formula>LEN(TRIM(W147))=0</formula>
    </cfRule>
    <cfRule type="containsBlanks" dxfId="6756" priority="3930">
      <formula>LEN(TRIM(W147))=0</formula>
    </cfRule>
    <cfRule type="containsBlanks" dxfId="6755" priority="3931">
      <formula>LEN(TRIM(W147))=0</formula>
    </cfRule>
    <cfRule type="containsBlanks" dxfId="6754" priority="3932">
      <formula>LEN(TRIM(W147))=0</formula>
    </cfRule>
    <cfRule type="containsBlanks" dxfId="6753" priority="3933">
      <formula>LEN(TRIM(W147))=0</formula>
    </cfRule>
    <cfRule type="containsBlanks" dxfId="6752" priority="3934">
      <formula>LEN(TRIM(W147))=0</formula>
    </cfRule>
    <cfRule type="containsBlanks" dxfId="6751" priority="3935">
      <formula>LEN(TRIM(W147))=0</formula>
    </cfRule>
    <cfRule type="containsBlanks" dxfId="6750" priority="3936">
      <formula>LEN(TRIM(W147))=0</formula>
    </cfRule>
    <cfRule type="containsBlanks" dxfId="6749" priority="3937">
      <formula>LEN(TRIM(W147))=0</formula>
    </cfRule>
    <cfRule type="containsBlanks" dxfId="6748" priority="3938">
      <formula>LEN(TRIM(W147))=0</formula>
    </cfRule>
    <cfRule type="containsBlanks" dxfId="6747" priority="3939">
      <formula>LEN(TRIM(W147))=0</formula>
    </cfRule>
    <cfRule type="containsBlanks" dxfId="6746" priority="3940">
      <formula>LEN(TRIM(W147))=0</formula>
    </cfRule>
    <cfRule type="containsBlanks" dxfId="6745" priority="3941">
      <formula>LEN(TRIM(W147))=0</formula>
    </cfRule>
    <cfRule type="containsBlanks" dxfId="6744" priority="3942">
      <formula>LEN(TRIM(W147))=0</formula>
    </cfRule>
    <cfRule type="containsBlanks" dxfId="6743" priority="3943">
      <formula>LEN(TRIM(W147))=0</formula>
    </cfRule>
    <cfRule type="containsBlanks" dxfId="6742" priority="3944">
      <formula>LEN(TRIM(W147))=0</formula>
    </cfRule>
    <cfRule type="containsBlanks" dxfId="6741" priority="3945">
      <formula>LEN(TRIM(W147))=0</formula>
    </cfRule>
    <cfRule type="containsBlanks" dxfId="6740" priority="3946">
      <formula>LEN(TRIM(W147))=0</formula>
    </cfRule>
    <cfRule type="containsBlanks" dxfId="6739" priority="3947">
      <formula>LEN(TRIM(W147))=0</formula>
    </cfRule>
    <cfRule type="containsBlanks" dxfId="6738" priority="3948">
      <formula>LEN(TRIM(W147))=0</formula>
    </cfRule>
    <cfRule type="containsBlanks" dxfId="6737" priority="3949">
      <formula>LEN(TRIM(W147))=0</formula>
    </cfRule>
    <cfRule type="containsBlanks" dxfId="6736" priority="3950">
      <formula>LEN(TRIM(W147))=0</formula>
    </cfRule>
    <cfRule type="containsBlanks" dxfId="6735" priority="3951">
      <formula>LEN(TRIM(W147))=0</formula>
    </cfRule>
    <cfRule type="containsBlanks" dxfId="6734" priority="3952">
      <formula>LEN(TRIM(W147))=0</formula>
    </cfRule>
    <cfRule type="containsBlanks" dxfId="6733" priority="3953">
      <formula>LEN(TRIM(W147))=0</formula>
    </cfRule>
    <cfRule type="containsBlanks" dxfId="6732" priority="3954">
      <formula>LEN(TRIM(W147))=0</formula>
    </cfRule>
    <cfRule type="containsBlanks" dxfId="6731" priority="3955">
      <formula>LEN(TRIM(W147))=0</formula>
    </cfRule>
    <cfRule type="containsBlanks" dxfId="6730" priority="3956">
      <formula>LEN(TRIM(W147))=0</formula>
    </cfRule>
    <cfRule type="containsBlanks" dxfId="6729" priority="3957">
      <formula>LEN(TRIM(W147))=0</formula>
    </cfRule>
    <cfRule type="containsBlanks" dxfId="6728" priority="3958">
      <formula>LEN(TRIM(W147))=0</formula>
    </cfRule>
    <cfRule type="containsBlanks" dxfId="6727" priority="3959">
      <formula>LEN(TRIM(W147))=0</formula>
    </cfRule>
    <cfRule type="containsBlanks" dxfId="6726" priority="3960">
      <formula>LEN(TRIM(W147))=0</formula>
    </cfRule>
    <cfRule type="containsBlanks" dxfId="6725" priority="3961">
      <formula>LEN(TRIM(W147))=0</formula>
    </cfRule>
    <cfRule type="containsBlanks" dxfId="6724" priority="3962">
      <formula>LEN(TRIM(W147))=0</formula>
    </cfRule>
    <cfRule type="containsBlanks" dxfId="6723" priority="3963">
      <formula>LEN(TRIM(W147))=0</formula>
    </cfRule>
  </conditionalFormatting>
  <conditionalFormatting sqref="W104:Y104">
    <cfRule type="containsBlanks" dxfId="6722" priority="2934">
      <formula>LEN(TRIM(W104))=0</formula>
    </cfRule>
    <cfRule type="containsBlanks" dxfId="6721" priority="2935">
      <formula>LEN(TRIM(W104))=0</formula>
    </cfRule>
    <cfRule type="containsBlanks" dxfId="6720" priority="2936">
      <formula>LEN(TRIM(W104))=0</formula>
    </cfRule>
    <cfRule type="containsBlanks" dxfId="6719" priority="2937">
      <formula>LEN(TRIM(W104))=0</formula>
    </cfRule>
    <cfRule type="containsBlanks" dxfId="6718" priority="2938">
      <formula>LEN(TRIM(W104))=0</formula>
    </cfRule>
    <cfRule type="containsBlanks" dxfId="6717" priority="2939">
      <formula>LEN(TRIM(W104))=0</formula>
    </cfRule>
    <cfRule type="containsBlanks" dxfId="6716" priority="2940">
      <formula>LEN(TRIM(W104))=0</formula>
    </cfRule>
    <cfRule type="containsBlanks" dxfId="6715" priority="2941">
      <formula>LEN(TRIM(W104))=0</formula>
    </cfRule>
    <cfRule type="containsBlanks" dxfId="6714" priority="2942">
      <formula>LEN(TRIM(W104))=0</formula>
    </cfRule>
    <cfRule type="containsBlanks" dxfId="6713" priority="2943">
      <formula>LEN(TRIM(W104))=0</formula>
    </cfRule>
    <cfRule type="containsBlanks" dxfId="6712" priority="2944">
      <formula>LEN(TRIM(W104))=0</formula>
    </cfRule>
    <cfRule type="containsBlanks" dxfId="6711" priority="2945">
      <formula>LEN(TRIM(W104))=0</formula>
    </cfRule>
    <cfRule type="containsBlanks" dxfId="6710" priority="2946">
      <formula>LEN(TRIM(W104))=0</formula>
    </cfRule>
    <cfRule type="containsBlanks" dxfId="6709" priority="2947">
      <formula>LEN(TRIM(W104))=0</formula>
    </cfRule>
    <cfRule type="containsBlanks" dxfId="6708" priority="2948">
      <formula>LEN(TRIM(W104))=0</formula>
    </cfRule>
    <cfRule type="containsBlanks" dxfId="6707" priority="2949">
      <formula>LEN(TRIM(W104))=0</formula>
    </cfRule>
    <cfRule type="containsBlanks" dxfId="6706" priority="2950">
      <formula>LEN(TRIM(W104))=0</formula>
    </cfRule>
    <cfRule type="containsBlanks" dxfId="6705" priority="2951">
      <formula>LEN(TRIM(W104))=0</formula>
    </cfRule>
    <cfRule type="containsBlanks" dxfId="6704" priority="2952">
      <formula>LEN(TRIM(W104))=0</formula>
    </cfRule>
    <cfRule type="containsBlanks" dxfId="6703" priority="2953">
      <formula>LEN(TRIM(W104))=0</formula>
    </cfRule>
    <cfRule type="containsBlanks" dxfId="6702" priority="2954">
      <formula>LEN(TRIM(W104))=0</formula>
    </cfRule>
    <cfRule type="containsBlanks" dxfId="6701" priority="2955">
      <formula>LEN(TRIM(W104))=0</formula>
    </cfRule>
    <cfRule type="containsBlanks" dxfId="6700" priority="2956">
      <formula>LEN(TRIM(W104))=0</formula>
    </cfRule>
    <cfRule type="containsBlanks" dxfId="6699" priority="2957">
      <formula>LEN(TRIM(W104))=0</formula>
    </cfRule>
    <cfRule type="containsBlanks" dxfId="6698" priority="2958">
      <formula>LEN(TRIM(W104))=0</formula>
    </cfRule>
    <cfRule type="containsBlanks" dxfId="6697" priority="2959">
      <formula>LEN(TRIM(W104))=0</formula>
    </cfRule>
    <cfRule type="containsBlanks" dxfId="6696" priority="2960">
      <formula>LEN(TRIM(W104))=0</formula>
    </cfRule>
    <cfRule type="containsBlanks" dxfId="6695" priority="2961">
      <formula>LEN(TRIM(W104))=0</formula>
    </cfRule>
    <cfRule type="containsBlanks" dxfId="6694" priority="2962">
      <formula>LEN(TRIM(W104))=0</formula>
    </cfRule>
    <cfRule type="containsBlanks" dxfId="6693" priority="2963">
      <formula>LEN(TRIM(W104))=0</formula>
    </cfRule>
    <cfRule type="containsBlanks" dxfId="6692" priority="2964">
      <formula>LEN(TRIM(W104))=0</formula>
    </cfRule>
    <cfRule type="containsBlanks" dxfId="6691" priority="2965">
      <formula>LEN(TRIM(W104))=0</formula>
    </cfRule>
    <cfRule type="containsBlanks" dxfId="6690" priority="2966">
      <formula>LEN(TRIM(W104))=0</formula>
    </cfRule>
    <cfRule type="containsBlanks" dxfId="6689" priority="2967">
      <formula>LEN(TRIM(W104))=0</formula>
    </cfRule>
    <cfRule type="containsBlanks" dxfId="6688" priority="2968">
      <formula>LEN(TRIM(W104))=0</formula>
    </cfRule>
    <cfRule type="containsBlanks" dxfId="6687" priority="2969">
      <formula>LEN(TRIM(W104))=0</formula>
    </cfRule>
    <cfRule type="containsBlanks" dxfId="6686" priority="2970">
      <formula>LEN(TRIM(W104))=0</formula>
    </cfRule>
    <cfRule type="containsBlanks" dxfId="6685" priority="2971">
      <formula>LEN(TRIM(W104))=0</formula>
    </cfRule>
    <cfRule type="containsBlanks" dxfId="6684" priority="2972">
      <formula>LEN(TRIM(W104))=0</formula>
    </cfRule>
    <cfRule type="containsBlanks" dxfId="6683" priority="2973">
      <formula>LEN(TRIM(W104))=0</formula>
    </cfRule>
    <cfRule type="containsBlanks" dxfId="6682" priority="2974">
      <formula>LEN(TRIM(W104))=0</formula>
    </cfRule>
    <cfRule type="containsBlanks" dxfId="6681" priority="2975">
      <formula>LEN(TRIM(W104))=0</formula>
    </cfRule>
    <cfRule type="containsBlanks" dxfId="6680" priority="2976">
      <formula>LEN(TRIM(W104))=0</formula>
    </cfRule>
    <cfRule type="containsBlanks" dxfId="6679" priority="2977">
      <formula>LEN(TRIM(W104))=0</formula>
    </cfRule>
    <cfRule type="containsBlanks" dxfId="6678" priority="2978">
      <formula>LEN(TRIM(W104))=0</formula>
    </cfRule>
    <cfRule type="containsBlanks" dxfId="6677" priority="2979">
      <formula>LEN(TRIM(W104))=0</formula>
    </cfRule>
    <cfRule type="containsBlanks" dxfId="6676" priority="2980">
      <formula>LEN(TRIM(W104))=0</formula>
    </cfRule>
    <cfRule type="containsBlanks" dxfId="6675" priority="2981">
      <formula>LEN(TRIM(W104))=0</formula>
    </cfRule>
    <cfRule type="containsBlanks" dxfId="6674" priority="2982">
      <formula>LEN(TRIM(W104))=0</formula>
    </cfRule>
    <cfRule type="containsBlanks" dxfId="6673" priority="2983">
      <formula>LEN(TRIM(W104))=0</formula>
    </cfRule>
    <cfRule type="containsBlanks" dxfId="6672" priority="2984">
      <formula>LEN(TRIM(W104))=0</formula>
    </cfRule>
    <cfRule type="containsBlanks" dxfId="6671" priority="2985">
      <formula>LEN(TRIM(W104))=0</formula>
    </cfRule>
    <cfRule type="containsBlanks" dxfId="6670" priority="2986">
      <formula>LEN(TRIM(W104))=0</formula>
    </cfRule>
    <cfRule type="containsBlanks" dxfId="6669" priority="2987">
      <formula>LEN(TRIM(W104))=0</formula>
    </cfRule>
    <cfRule type="containsBlanks" dxfId="6668" priority="2988">
      <formula>LEN(TRIM(W104))=0</formula>
    </cfRule>
    <cfRule type="containsBlanks" dxfId="6667" priority="2989">
      <formula>LEN(TRIM(W104))=0</formula>
    </cfRule>
    <cfRule type="containsBlanks" dxfId="6666" priority="2990">
      <formula>LEN(TRIM(W104))=0</formula>
    </cfRule>
    <cfRule type="containsBlanks" dxfId="6665" priority="2991">
      <formula>LEN(TRIM(W104))=0</formula>
    </cfRule>
    <cfRule type="containsBlanks" dxfId="6664" priority="2992">
      <formula>LEN(TRIM(W104))=0</formula>
    </cfRule>
    <cfRule type="containsBlanks" dxfId="6663" priority="2993">
      <formula>LEN(TRIM(W104))=0</formula>
    </cfRule>
    <cfRule type="containsBlanks" dxfId="6662" priority="2994">
      <formula>LEN(TRIM(W104))=0</formula>
    </cfRule>
    <cfRule type="containsBlanks" dxfId="6661" priority="2995">
      <formula>LEN(TRIM(W104))=0</formula>
    </cfRule>
    <cfRule type="containsBlanks" dxfId="6660" priority="2996">
      <formula>LEN(TRIM(W104))=0</formula>
    </cfRule>
    <cfRule type="containsBlanks" dxfId="6659" priority="2997">
      <formula>LEN(TRIM(W104))=0</formula>
    </cfRule>
    <cfRule type="containsBlanks" dxfId="6658" priority="2998">
      <formula>LEN(TRIM(W104))=0</formula>
    </cfRule>
    <cfRule type="containsBlanks" dxfId="6657" priority="2999">
      <formula>LEN(TRIM(W104))=0</formula>
    </cfRule>
    <cfRule type="containsBlanks" dxfId="6656" priority="3000">
      <formula>LEN(TRIM(W104))=0</formula>
    </cfRule>
    <cfRule type="containsBlanks" dxfId="6655" priority="3001">
      <formula>LEN(TRIM(W104))=0</formula>
    </cfRule>
    <cfRule type="containsBlanks" dxfId="6654" priority="3002">
      <formula>LEN(TRIM(W104))=0</formula>
    </cfRule>
    <cfRule type="containsBlanks" dxfId="6653" priority="3003">
      <formula>LEN(TRIM(W104))=0</formula>
    </cfRule>
    <cfRule type="containsBlanks" dxfId="6652" priority="3004">
      <formula>LEN(TRIM(W104))=0</formula>
    </cfRule>
    <cfRule type="containsBlanks" dxfId="6651" priority="3005">
      <formula>LEN(TRIM(W104))=0</formula>
    </cfRule>
    <cfRule type="containsBlanks" dxfId="6650" priority="3006">
      <formula>LEN(TRIM(W104))=0</formula>
    </cfRule>
    <cfRule type="containsBlanks" dxfId="6649" priority="3007">
      <formula>LEN(TRIM(W104))=0</formula>
    </cfRule>
    <cfRule type="containsBlanks" dxfId="6648" priority="3008">
      <formula>LEN(TRIM(W104))=0</formula>
    </cfRule>
    <cfRule type="containsBlanks" dxfId="6647" priority="3009">
      <formula>LEN(TRIM(W104))=0</formula>
    </cfRule>
    <cfRule type="containsBlanks" dxfId="6646" priority="3010">
      <formula>LEN(TRIM(W104))=0</formula>
    </cfRule>
    <cfRule type="containsBlanks" dxfId="6645" priority="3011">
      <formula>LEN(TRIM(W104))=0</formula>
    </cfRule>
    <cfRule type="containsBlanks" dxfId="6644" priority="3012">
      <formula>LEN(TRIM(W104))=0</formula>
    </cfRule>
    <cfRule type="containsBlanks" dxfId="6643" priority="3013">
      <formula>LEN(TRIM(W104))=0</formula>
    </cfRule>
    <cfRule type="containsBlanks" dxfId="6642" priority="3014">
      <formula>LEN(TRIM(W104))=0</formula>
    </cfRule>
    <cfRule type="containsBlanks" dxfId="6641" priority="3015">
      <formula>LEN(TRIM(W104))=0</formula>
    </cfRule>
    <cfRule type="containsBlanks" dxfId="6640" priority="3016">
      <formula>LEN(TRIM(W104))=0</formula>
    </cfRule>
    <cfRule type="containsBlanks" dxfId="6639" priority="3017">
      <formula>LEN(TRIM(W104))=0</formula>
    </cfRule>
    <cfRule type="containsBlanks" dxfId="6638" priority="3018">
      <formula>LEN(TRIM(W104))=0</formula>
    </cfRule>
    <cfRule type="containsBlanks" dxfId="6637" priority="3019">
      <formula>LEN(TRIM(W104))=0</formula>
    </cfRule>
    <cfRule type="containsBlanks" dxfId="6636" priority="3020">
      <formula>LEN(TRIM(W104))=0</formula>
    </cfRule>
    <cfRule type="containsBlanks" dxfId="6635" priority="3021">
      <formula>LEN(TRIM(W104))=0</formula>
    </cfRule>
    <cfRule type="containsBlanks" dxfId="6634" priority="3022">
      <formula>LEN(TRIM(W104))=0</formula>
    </cfRule>
    <cfRule type="containsBlanks" dxfId="6633" priority="3023">
      <formula>LEN(TRIM(W104))=0</formula>
    </cfRule>
    <cfRule type="containsBlanks" dxfId="6632" priority="3024">
      <formula>LEN(TRIM(W104))=0</formula>
    </cfRule>
    <cfRule type="containsBlanks" dxfId="6631" priority="3025">
      <formula>LEN(TRIM(W104))=0</formula>
    </cfRule>
    <cfRule type="containsBlanks" dxfId="6630" priority="3026">
      <formula>LEN(TRIM(W104))=0</formula>
    </cfRule>
    <cfRule type="containsBlanks" dxfId="6629" priority="3027">
      <formula>LEN(TRIM(W104))=0</formula>
    </cfRule>
    <cfRule type="containsBlanks" dxfId="6628" priority="3028">
      <formula>LEN(TRIM(W104))=0</formula>
    </cfRule>
    <cfRule type="containsBlanks" dxfId="6627" priority="3029">
      <formula>LEN(TRIM(W104))=0</formula>
    </cfRule>
    <cfRule type="containsBlanks" dxfId="6626" priority="3030">
      <formula>LEN(TRIM(W104))=0</formula>
    </cfRule>
    <cfRule type="containsBlanks" dxfId="6625" priority="3031">
      <formula>LEN(TRIM(W104))=0</formula>
    </cfRule>
    <cfRule type="containsBlanks" dxfId="6624" priority="3032">
      <formula>LEN(TRIM(W104))=0</formula>
    </cfRule>
    <cfRule type="containsBlanks" dxfId="6623" priority="3033">
      <formula>LEN(TRIM(W104))=0</formula>
    </cfRule>
    <cfRule type="containsBlanks" dxfId="6622" priority="3034">
      <formula>LEN(TRIM(W104))=0</formula>
    </cfRule>
    <cfRule type="containsBlanks" dxfId="6621" priority="3035">
      <formula>LEN(TRIM(W104))=0</formula>
    </cfRule>
    <cfRule type="containsBlanks" dxfId="6620" priority="3036">
      <formula>LEN(TRIM(W104))=0</formula>
    </cfRule>
    <cfRule type="containsBlanks" dxfId="6619" priority="3037">
      <formula>LEN(TRIM(W104))=0</formula>
    </cfRule>
    <cfRule type="containsBlanks" dxfId="6618" priority="3038">
      <formula>LEN(TRIM(W104))=0</formula>
    </cfRule>
    <cfRule type="containsBlanks" dxfId="6617" priority="3039">
      <formula>LEN(TRIM(W104))=0</formula>
    </cfRule>
    <cfRule type="containsBlanks" dxfId="6616" priority="3040">
      <formula>LEN(TRIM(W104))=0</formula>
    </cfRule>
    <cfRule type="containsBlanks" dxfId="6615" priority="3041">
      <formula>LEN(TRIM(W104))=0</formula>
    </cfRule>
    <cfRule type="containsBlanks" dxfId="6614" priority="3042">
      <formula>LEN(TRIM(W104))=0</formula>
    </cfRule>
    <cfRule type="containsBlanks" dxfId="6613" priority="3043">
      <formula>LEN(TRIM(W104))=0</formula>
    </cfRule>
    <cfRule type="containsBlanks" dxfId="6612" priority="3044">
      <formula>LEN(TRIM(W104))=0</formula>
    </cfRule>
    <cfRule type="containsBlanks" dxfId="6611" priority="3045">
      <formula>LEN(TRIM(W104))=0</formula>
    </cfRule>
    <cfRule type="containsBlanks" dxfId="6610" priority="3046">
      <formula>LEN(TRIM(W104))=0</formula>
    </cfRule>
    <cfRule type="containsBlanks" dxfId="6609" priority="3047">
      <formula>LEN(TRIM(W104))=0</formula>
    </cfRule>
    <cfRule type="containsBlanks" dxfId="6608" priority="3048">
      <formula>LEN(TRIM(W104))=0</formula>
    </cfRule>
    <cfRule type="containsBlanks" dxfId="6607" priority="3049">
      <formula>LEN(TRIM(W104))=0</formula>
    </cfRule>
    <cfRule type="containsBlanks" dxfId="6606" priority="3050">
      <formula>LEN(TRIM(W104))=0</formula>
    </cfRule>
    <cfRule type="containsBlanks" dxfId="6605" priority="3051">
      <formula>LEN(TRIM(W104))=0</formula>
    </cfRule>
    <cfRule type="containsBlanks" dxfId="6604" priority="3052">
      <formula>LEN(TRIM(W104))=0</formula>
    </cfRule>
    <cfRule type="containsBlanks" dxfId="6603" priority="3053">
      <formula>LEN(TRIM(W104))=0</formula>
    </cfRule>
    <cfRule type="containsBlanks" dxfId="6602" priority="3054">
      <formula>LEN(TRIM(W104))=0</formula>
    </cfRule>
    <cfRule type="containsBlanks" dxfId="6601" priority="3055">
      <formula>LEN(TRIM(W104))=0</formula>
    </cfRule>
    <cfRule type="containsBlanks" dxfId="6600" priority="3056">
      <formula>LEN(TRIM(W104))=0</formula>
    </cfRule>
    <cfRule type="containsBlanks" dxfId="6599" priority="3057">
      <formula>LEN(TRIM(W104))=0</formula>
    </cfRule>
    <cfRule type="containsBlanks" dxfId="6598" priority="3058">
      <formula>LEN(TRIM(W104))=0</formula>
    </cfRule>
    <cfRule type="containsBlanks" dxfId="6597" priority="3059">
      <formula>LEN(TRIM(W104))=0</formula>
    </cfRule>
    <cfRule type="containsBlanks" dxfId="6596" priority="3060">
      <formula>LEN(TRIM(W104))=0</formula>
    </cfRule>
    <cfRule type="containsBlanks" dxfId="6595" priority="3061">
      <formula>LEN(TRIM(W104))=0</formula>
    </cfRule>
    <cfRule type="containsBlanks" dxfId="6594" priority="3062">
      <formula>LEN(TRIM(W104))=0</formula>
    </cfRule>
    <cfRule type="containsBlanks" dxfId="6593" priority="3063">
      <formula>LEN(TRIM(W104))=0</formula>
    </cfRule>
    <cfRule type="containsBlanks" dxfId="6592" priority="3064">
      <formula>LEN(TRIM(W104))=0</formula>
    </cfRule>
    <cfRule type="containsBlanks" dxfId="6591" priority="3065">
      <formula>LEN(TRIM(W104))=0</formula>
    </cfRule>
    <cfRule type="containsBlanks" dxfId="6590" priority="3066">
      <formula>LEN(TRIM(W104))=0</formula>
    </cfRule>
    <cfRule type="containsBlanks" dxfId="6589" priority="3067">
      <formula>LEN(TRIM(W104))=0</formula>
    </cfRule>
    <cfRule type="containsBlanks" dxfId="6588" priority="3068">
      <formula>LEN(TRIM(W104))=0</formula>
    </cfRule>
    <cfRule type="containsBlanks" dxfId="6587" priority="3069">
      <formula>LEN(TRIM(W104))=0</formula>
    </cfRule>
    <cfRule type="containsBlanks" dxfId="6586" priority="3070">
      <formula>LEN(TRIM(W104))=0</formula>
    </cfRule>
    <cfRule type="containsBlanks" dxfId="6585" priority="3071">
      <formula>LEN(TRIM(W104))=0</formula>
    </cfRule>
    <cfRule type="containsBlanks" dxfId="6584" priority="3072">
      <formula>LEN(TRIM(W104))=0</formula>
    </cfRule>
    <cfRule type="containsBlanks" dxfId="6583" priority="3073">
      <formula>LEN(TRIM(W104))=0</formula>
    </cfRule>
    <cfRule type="containsBlanks" dxfId="6582" priority="3074">
      <formula>LEN(TRIM(W104))=0</formula>
    </cfRule>
    <cfRule type="containsBlanks" dxfId="6581" priority="3075">
      <formula>LEN(TRIM(W104))=0</formula>
    </cfRule>
    <cfRule type="containsBlanks" dxfId="6580" priority="3076">
      <formula>LEN(TRIM(W104))=0</formula>
    </cfRule>
    <cfRule type="containsBlanks" dxfId="6579" priority="3077">
      <formula>LEN(TRIM(W104))=0</formula>
    </cfRule>
    <cfRule type="containsBlanks" dxfId="6578" priority="3078">
      <formula>LEN(TRIM(W104))=0</formula>
    </cfRule>
    <cfRule type="containsBlanks" dxfId="6577" priority="3079">
      <formula>LEN(TRIM(W104))=0</formula>
    </cfRule>
    <cfRule type="containsBlanks" dxfId="6576" priority="3080">
      <formula>LEN(TRIM(W104))=0</formula>
    </cfRule>
    <cfRule type="containsBlanks" dxfId="6575" priority="3081">
      <formula>LEN(TRIM(W104))=0</formula>
    </cfRule>
    <cfRule type="containsBlanks" dxfId="6574" priority="3082">
      <formula>LEN(TRIM(W104))=0</formula>
    </cfRule>
    <cfRule type="containsBlanks" dxfId="6573" priority="3083">
      <formula>LEN(TRIM(W104))=0</formula>
    </cfRule>
    <cfRule type="containsBlanks" dxfId="6572" priority="3084">
      <formula>LEN(TRIM(W104))=0</formula>
    </cfRule>
    <cfRule type="containsBlanks" dxfId="6571" priority="3085">
      <formula>LEN(TRIM(W104))=0</formula>
    </cfRule>
    <cfRule type="containsBlanks" dxfId="6570" priority="3086">
      <formula>LEN(TRIM(W104))=0</formula>
    </cfRule>
    <cfRule type="containsBlanks" dxfId="6569" priority="3087">
      <formula>LEN(TRIM(W104))=0</formula>
    </cfRule>
    <cfRule type="containsBlanks" dxfId="6568" priority="3088">
      <formula>LEN(TRIM(W104))=0</formula>
    </cfRule>
    <cfRule type="containsBlanks" dxfId="6567" priority="3089">
      <formula>LEN(TRIM(W104))=0</formula>
    </cfRule>
    <cfRule type="containsBlanks" dxfId="6566" priority="3090">
      <formula>LEN(TRIM(W104))=0</formula>
    </cfRule>
    <cfRule type="containsBlanks" dxfId="6565" priority="3091">
      <formula>LEN(TRIM(W104))=0</formula>
    </cfRule>
    <cfRule type="containsBlanks" dxfId="6564" priority="3092">
      <formula>LEN(TRIM(W104))=0</formula>
    </cfRule>
    <cfRule type="containsBlanks" dxfId="6563" priority="3093">
      <formula>LEN(TRIM(W104))=0</formula>
    </cfRule>
    <cfRule type="containsBlanks" dxfId="6562" priority="3094">
      <formula>LEN(TRIM(W104))=0</formula>
    </cfRule>
    <cfRule type="containsBlanks" dxfId="6561" priority="3095">
      <formula>LEN(TRIM(W104))=0</formula>
    </cfRule>
    <cfRule type="containsBlanks" dxfId="6560" priority="3096">
      <formula>LEN(TRIM(W104))=0</formula>
    </cfRule>
    <cfRule type="containsBlanks" dxfId="6559" priority="3097">
      <formula>LEN(TRIM(W104))=0</formula>
    </cfRule>
    <cfRule type="containsBlanks" dxfId="6558" priority="3098">
      <formula>LEN(TRIM(W104))=0</formula>
    </cfRule>
    <cfRule type="containsBlanks" dxfId="6557" priority="3099">
      <formula>LEN(TRIM(W104))=0</formula>
    </cfRule>
    <cfRule type="containsBlanks" dxfId="6556" priority="3100">
      <formula>LEN(TRIM(W104))=0</formula>
    </cfRule>
    <cfRule type="containsBlanks" dxfId="6555" priority="3101">
      <formula>LEN(TRIM(W104))=0</formula>
    </cfRule>
    <cfRule type="containsBlanks" dxfId="6554" priority="3102">
      <formula>LEN(TRIM(W104))=0</formula>
    </cfRule>
    <cfRule type="containsBlanks" dxfId="6553" priority="3103">
      <formula>LEN(TRIM(W104))=0</formula>
    </cfRule>
    <cfRule type="containsBlanks" dxfId="6552" priority="3104">
      <formula>LEN(TRIM(W104))=0</formula>
    </cfRule>
    <cfRule type="containsBlanks" dxfId="6551" priority="3105">
      <formula>LEN(TRIM(W104))=0</formula>
    </cfRule>
    <cfRule type="containsBlanks" dxfId="6550" priority="3106">
      <formula>LEN(TRIM(W104))=0</formula>
    </cfRule>
    <cfRule type="containsBlanks" dxfId="6549" priority="3107">
      <formula>LEN(TRIM(W104))=0</formula>
    </cfRule>
    <cfRule type="containsBlanks" dxfId="6548" priority="3108">
      <formula>LEN(TRIM(W104))=0</formula>
    </cfRule>
    <cfRule type="containsBlanks" dxfId="6547" priority="3109">
      <formula>LEN(TRIM(W104))=0</formula>
    </cfRule>
    <cfRule type="containsBlanks" dxfId="6546" priority="3110">
      <formula>LEN(TRIM(W104))=0</formula>
    </cfRule>
    <cfRule type="containsBlanks" dxfId="6545" priority="3111">
      <formula>LEN(TRIM(W104))=0</formula>
    </cfRule>
    <cfRule type="containsBlanks" dxfId="6544" priority="3112">
      <formula>LEN(TRIM(W104))=0</formula>
    </cfRule>
    <cfRule type="containsBlanks" dxfId="6543" priority="3113">
      <formula>LEN(TRIM(W104))=0</formula>
    </cfRule>
    <cfRule type="containsBlanks" dxfId="6542" priority="3114">
      <formula>LEN(TRIM(W104))=0</formula>
    </cfRule>
    <cfRule type="containsBlanks" dxfId="6541" priority="3115">
      <formula>LEN(TRIM(W104))=0</formula>
    </cfRule>
    <cfRule type="containsBlanks" dxfId="6540" priority="3116">
      <formula>LEN(TRIM(W104))=0</formula>
    </cfRule>
    <cfRule type="containsBlanks" dxfId="6539" priority="3117">
      <formula>LEN(TRIM(W104))=0</formula>
    </cfRule>
    <cfRule type="containsBlanks" dxfId="6538" priority="3118">
      <formula>LEN(TRIM(W104))=0</formula>
    </cfRule>
    <cfRule type="containsBlanks" dxfId="6537" priority="3119">
      <formula>LEN(TRIM(W104))=0</formula>
    </cfRule>
    <cfRule type="containsBlanks" dxfId="6536" priority="3120">
      <formula>LEN(TRIM(W104))=0</formula>
    </cfRule>
    <cfRule type="containsBlanks" dxfId="6535" priority="3121">
      <formula>LEN(TRIM(W104))=0</formula>
    </cfRule>
    <cfRule type="containsBlanks" dxfId="6534" priority="3122">
      <formula>LEN(TRIM(W104))=0</formula>
    </cfRule>
    <cfRule type="containsBlanks" dxfId="6533" priority="3123">
      <formula>LEN(TRIM(W104))=0</formula>
    </cfRule>
    <cfRule type="containsBlanks" dxfId="6532" priority="3124">
      <formula>LEN(TRIM(W104))=0</formula>
    </cfRule>
    <cfRule type="containsBlanks" dxfId="6531" priority="3125">
      <formula>LEN(TRIM(W104))=0</formula>
    </cfRule>
    <cfRule type="containsBlanks" dxfId="6530" priority="3126">
      <formula>LEN(TRIM(W104))=0</formula>
    </cfRule>
    <cfRule type="containsBlanks" dxfId="6529" priority="3127">
      <formula>LEN(TRIM(W104))=0</formula>
    </cfRule>
    <cfRule type="containsBlanks" dxfId="6528" priority="3128">
      <formula>LEN(TRIM(W104))=0</formula>
    </cfRule>
    <cfRule type="containsBlanks" dxfId="6527" priority="3129">
      <formula>LEN(TRIM(W104))=0</formula>
    </cfRule>
    <cfRule type="containsBlanks" dxfId="6526" priority="3130">
      <formula>LEN(TRIM(W104))=0</formula>
    </cfRule>
    <cfRule type="containsBlanks" dxfId="6525" priority="3131">
      <formula>LEN(TRIM(W104))=0</formula>
    </cfRule>
    <cfRule type="containsBlanks" dxfId="6524" priority="3132">
      <formula>LEN(TRIM(W104))=0</formula>
    </cfRule>
    <cfRule type="containsBlanks" dxfId="6523" priority="3133">
      <formula>LEN(TRIM(W104))=0</formula>
    </cfRule>
    <cfRule type="containsBlanks" dxfId="6522" priority="3134">
      <formula>LEN(TRIM(W104))=0</formula>
    </cfRule>
    <cfRule type="containsBlanks" dxfId="6521" priority="3135">
      <formula>LEN(TRIM(W104))=0</formula>
    </cfRule>
    <cfRule type="containsBlanks" dxfId="6520" priority="3136">
      <formula>LEN(TRIM(W104))=0</formula>
    </cfRule>
    <cfRule type="containsBlanks" dxfId="6519" priority="3137">
      <formula>LEN(TRIM(W104))=0</formula>
    </cfRule>
    <cfRule type="containsBlanks" dxfId="6518" priority="3138">
      <formula>LEN(TRIM(W104))=0</formula>
    </cfRule>
    <cfRule type="containsBlanks" dxfId="6517" priority="3139">
      <formula>LEN(TRIM(W104))=0</formula>
    </cfRule>
    <cfRule type="containsBlanks" dxfId="6516" priority="3140">
      <formula>LEN(TRIM(W104))=0</formula>
    </cfRule>
    <cfRule type="containsBlanks" dxfId="6515" priority="3141">
      <formula>LEN(TRIM(W104))=0</formula>
    </cfRule>
    <cfRule type="containsBlanks" dxfId="6514" priority="3142">
      <formula>LEN(TRIM(W104))=0</formula>
    </cfRule>
    <cfRule type="containsBlanks" dxfId="6513" priority="3143">
      <formula>LEN(TRIM(W104))=0</formula>
    </cfRule>
    <cfRule type="containsBlanks" dxfId="6512" priority="3144">
      <formula>LEN(TRIM(W104))=0</formula>
    </cfRule>
    <cfRule type="containsBlanks" dxfId="6511" priority="3145">
      <formula>LEN(TRIM(W104))=0</formula>
    </cfRule>
    <cfRule type="containsBlanks" dxfId="6510" priority="3146">
      <formula>LEN(TRIM(W104))=0</formula>
    </cfRule>
    <cfRule type="containsBlanks" dxfId="6509" priority="3147">
      <formula>LEN(TRIM(W104))=0</formula>
    </cfRule>
    <cfRule type="containsBlanks" dxfId="6508" priority="3148">
      <formula>LEN(TRIM(W104))=0</formula>
    </cfRule>
    <cfRule type="containsBlanks" dxfId="6507" priority="3149">
      <formula>LEN(TRIM(W104))=0</formula>
    </cfRule>
    <cfRule type="containsBlanks" dxfId="6506" priority="3150">
      <formula>LEN(TRIM(W104))=0</formula>
    </cfRule>
    <cfRule type="containsBlanks" dxfId="6505" priority="3151">
      <formula>LEN(TRIM(W104))=0</formula>
    </cfRule>
    <cfRule type="containsBlanks" dxfId="6504" priority="3152">
      <formula>LEN(TRIM(W104))=0</formula>
    </cfRule>
    <cfRule type="containsBlanks" dxfId="6503" priority="3153">
      <formula>LEN(TRIM(W104))=0</formula>
    </cfRule>
    <cfRule type="containsBlanks" dxfId="6502" priority="3154">
      <formula>LEN(TRIM(W104))=0</formula>
    </cfRule>
    <cfRule type="containsBlanks" dxfId="6501" priority="3155">
      <formula>LEN(TRIM(W104))=0</formula>
    </cfRule>
    <cfRule type="containsBlanks" dxfId="6500" priority="3156">
      <formula>LEN(TRIM(W104))=0</formula>
    </cfRule>
    <cfRule type="containsBlanks" dxfId="6499" priority="3157">
      <formula>LEN(TRIM(W104))=0</formula>
    </cfRule>
    <cfRule type="containsBlanks" dxfId="6498" priority="3158">
      <formula>LEN(TRIM(W104))=0</formula>
    </cfRule>
    <cfRule type="containsBlanks" dxfId="6497" priority="3159">
      <formula>LEN(TRIM(W104))=0</formula>
    </cfRule>
    <cfRule type="containsBlanks" dxfId="6496" priority="3160">
      <formula>LEN(TRIM(W104))=0</formula>
    </cfRule>
    <cfRule type="containsBlanks" dxfId="6495" priority="3161">
      <formula>LEN(TRIM(W104))=0</formula>
    </cfRule>
    <cfRule type="containsBlanks" dxfId="6494" priority="3162">
      <formula>LEN(TRIM(W104))=0</formula>
    </cfRule>
    <cfRule type="containsBlanks" dxfId="6493" priority="3163">
      <formula>LEN(TRIM(W104))=0</formula>
    </cfRule>
    <cfRule type="containsBlanks" dxfId="6492" priority="3164">
      <formula>LEN(TRIM(W104))=0</formula>
    </cfRule>
    <cfRule type="containsBlanks" dxfId="6491" priority="3165">
      <formula>LEN(TRIM(W104))=0</formula>
    </cfRule>
    <cfRule type="containsBlanks" dxfId="6490" priority="3166">
      <formula>LEN(TRIM(W104))=0</formula>
    </cfRule>
    <cfRule type="containsBlanks" dxfId="6489" priority="3167">
      <formula>LEN(TRIM(W104))=0</formula>
    </cfRule>
    <cfRule type="containsBlanks" dxfId="6488" priority="3168">
      <formula>LEN(TRIM(W104))=0</formula>
    </cfRule>
    <cfRule type="containsBlanks" dxfId="6487" priority="3169">
      <formula>LEN(TRIM(W104))=0</formula>
    </cfRule>
    <cfRule type="containsBlanks" dxfId="6486" priority="3170">
      <formula>LEN(TRIM(W104))=0</formula>
    </cfRule>
    <cfRule type="containsBlanks" dxfId="6485" priority="3171">
      <formula>LEN(TRIM(W104))=0</formula>
    </cfRule>
    <cfRule type="containsBlanks" dxfId="6484" priority="3172">
      <formula>LEN(TRIM(W104))=0</formula>
    </cfRule>
    <cfRule type="containsBlanks" dxfId="6483" priority="3173">
      <formula>LEN(TRIM(W104))=0</formula>
    </cfRule>
    <cfRule type="containsBlanks" dxfId="6482" priority="3174">
      <formula>LEN(TRIM(W104))=0</formula>
    </cfRule>
    <cfRule type="containsBlanks" dxfId="6481" priority="3175">
      <formula>LEN(TRIM(W104))=0</formula>
    </cfRule>
    <cfRule type="containsBlanks" dxfId="6480" priority="3176">
      <formula>LEN(TRIM(W104))=0</formula>
    </cfRule>
    <cfRule type="containsBlanks" dxfId="6479" priority="3177">
      <formula>LEN(TRIM(W104))=0</formula>
    </cfRule>
    <cfRule type="containsBlanks" dxfId="6478" priority="3178">
      <formula>LEN(TRIM(W104))=0</formula>
    </cfRule>
    <cfRule type="containsBlanks" dxfId="6477" priority="3179">
      <formula>LEN(TRIM(W104))=0</formula>
    </cfRule>
    <cfRule type="containsBlanks" dxfId="6476" priority="3180">
      <formula>LEN(TRIM(W104))=0</formula>
    </cfRule>
    <cfRule type="containsBlanks" dxfId="6475" priority="3181">
      <formula>LEN(TRIM(W104))=0</formula>
    </cfRule>
    <cfRule type="containsBlanks" dxfId="6474" priority="3182">
      <formula>LEN(TRIM(W104))=0</formula>
    </cfRule>
    <cfRule type="containsBlanks" dxfId="6473" priority="3183">
      <formula>LEN(TRIM(W104))=0</formula>
    </cfRule>
    <cfRule type="containsBlanks" dxfId="6472" priority="3184">
      <formula>LEN(TRIM(W104))=0</formula>
    </cfRule>
    <cfRule type="containsBlanks" dxfId="6471" priority="3185">
      <formula>LEN(TRIM(W104))=0</formula>
    </cfRule>
    <cfRule type="containsBlanks" dxfId="6470" priority="3186">
      <formula>LEN(TRIM(W104))=0</formula>
    </cfRule>
    <cfRule type="containsBlanks" dxfId="6469" priority="3187">
      <formula>LEN(TRIM(W104))=0</formula>
    </cfRule>
    <cfRule type="containsBlanks" dxfId="6468" priority="3188">
      <formula>LEN(TRIM(W104))=0</formula>
    </cfRule>
    <cfRule type="containsBlanks" dxfId="6467" priority="3189">
      <formula>LEN(TRIM(W104))=0</formula>
    </cfRule>
    <cfRule type="containsBlanks" dxfId="6466" priority="3190">
      <formula>LEN(TRIM(W104))=0</formula>
    </cfRule>
    <cfRule type="containsBlanks" dxfId="6465" priority="3191">
      <formula>LEN(TRIM(W104))=0</formula>
    </cfRule>
    <cfRule type="containsBlanks" dxfId="6464" priority="3192">
      <formula>LEN(TRIM(W104))=0</formula>
    </cfRule>
    <cfRule type="containsBlanks" dxfId="6463" priority="3193">
      <formula>LEN(TRIM(W104))=0</formula>
    </cfRule>
    <cfRule type="containsBlanks" dxfId="6462" priority="3194">
      <formula>LEN(TRIM(W104))=0</formula>
    </cfRule>
    <cfRule type="containsBlanks" dxfId="6461" priority="3195">
      <formula>LEN(TRIM(W104))=0</formula>
    </cfRule>
    <cfRule type="containsBlanks" dxfId="6460" priority="3196">
      <formula>LEN(TRIM(W104))=0</formula>
    </cfRule>
    <cfRule type="containsBlanks" dxfId="6459" priority="3197">
      <formula>LEN(TRIM(W104))=0</formula>
    </cfRule>
    <cfRule type="containsBlanks" dxfId="6458" priority="3198">
      <formula>LEN(TRIM(W104))=0</formula>
    </cfRule>
    <cfRule type="containsBlanks" dxfId="6457" priority="3199">
      <formula>LEN(TRIM(W104))=0</formula>
    </cfRule>
    <cfRule type="containsBlanks" dxfId="6456" priority="3200">
      <formula>LEN(TRIM(W104))=0</formula>
    </cfRule>
    <cfRule type="containsBlanks" dxfId="6455" priority="3201">
      <formula>LEN(TRIM(W104))=0</formula>
    </cfRule>
    <cfRule type="containsBlanks" dxfId="6454" priority="3202">
      <formula>LEN(TRIM(W104))=0</formula>
    </cfRule>
    <cfRule type="containsBlanks" dxfId="6453" priority="3203">
      <formula>LEN(TRIM(W104))=0</formula>
    </cfRule>
    <cfRule type="containsBlanks" dxfId="6452" priority="3204">
      <formula>LEN(TRIM(W104))=0</formula>
    </cfRule>
    <cfRule type="containsBlanks" dxfId="6451" priority="3205">
      <formula>LEN(TRIM(W104))=0</formula>
    </cfRule>
    <cfRule type="containsBlanks" dxfId="6450" priority="3206">
      <formula>LEN(TRIM(W104))=0</formula>
    </cfRule>
    <cfRule type="containsBlanks" dxfId="6449" priority="3207">
      <formula>LEN(TRIM(W104))=0</formula>
    </cfRule>
    <cfRule type="containsBlanks" dxfId="6448" priority="3208">
      <formula>LEN(TRIM(W104))=0</formula>
    </cfRule>
    <cfRule type="containsBlanks" dxfId="6447" priority="3209">
      <formula>LEN(TRIM(W104))=0</formula>
    </cfRule>
    <cfRule type="containsBlanks" dxfId="6446" priority="3210">
      <formula>LEN(TRIM(W104))=0</formula>
    </cfRule>
    <cfRule type="containsBlanks" dxfId="6445" priority="3211">
      <formula>LEN(TRIM(W104))=0</formula>
    </cfRule>
    <cfRule type="containsBlanks" dxfId="6444" priority="3212">
      <formula>LEN(TRIM(W104))=0</formula>
    </cfRule>
    <cfRule type="containsBlanks" dxfId="6443" priority="3213">
      <formula>LEN(TRIM(W104))=0</formula>
    </cfRule>
    <cfRule type="containsBlanks" dxfId="6442" priority="3214">
      <formula>LEN(TRIM(W104))=0</formula>
    </cfRule>
    <cfRule type="containsBlanks" dxfId="6441" priority="3215">
      <formula>LEN(TRIM(W104))=0</formula>
    </cfRule>
    <cfRule type="containsBlanks" dxfId="6440" priority="3216">
      <formula>LEN(TRIM(W104))=0</formula>
    </cfRule>
    <cfRule type="containsBlanks" dxfId="6439" priority="3217">
      <formula>LEN(TRIM(W104))=0</formula>
    </cfRule>
    <cfRule type="containsBlanks" dxfId="6438" priority="3218">
      <formula>LEN(TRIM(W104))=0</formula>
    </cfRule>
    <cfRule type="containsBlanks" dxfId="6437" priority="3219">
      <formula>LEN(TRIM(W104))=0</formula>
    </cfRule>
    <cfRule type="containsBlanks" dxfId="6436" priority="3220">
      <formula>LEN(TRIM(W104))=0</formula>
    </cfRule>
    <cfRule type="containsBlanks" dxfId="6435" priority="3221">
      <formula>LEN(TRIM(W104))=0</formula>
    </cfRule>
    <cfRule type="containsBlanks" dxfId="6434" priority="3222">
      <formula>LEN(TRIM(W104))=0</formula>
    </cfRule>
    <cfRule type="containsBlanks" dxfId="6433" priority="3223">
      <formula>LEN(TRIM(W104))=0</formula>
    </cfRule>
    <cfRule type="containsBlanks" dxfId="6432" priority="3224">
      <formula>LEN(TRIM(W104))=0</formula>
    </cfRule>
    <cfRule type="containsBlanks" dxfId="6431" priority="3225">
      <formula>LEN(TRIM(W104))=0</formula>
    </cfRule>
    <cfRule type="containsBlanks" dxfId="6430" priority="3226">
      <formula>LEN(TRIM(W104))=0</formula>
    </cfRule>
    <cfRule type="containsBlanks" dxfId="6429" priority="3227">
      <formula>LEN(TRIM(W104))=0</formula>
    </cfRule>
    <cfRule type="containsBlanks" dxfId="6428" priority="3228">
      <formula>LEN(TRIM(W104))=0</formula>
    </cfRule>
    <cfRule type="containsBlanks" dxfId="6427" priority="3229">
      <formula>LEN(TRIM(W104))=0</formula>
    </cfRule>
    <cfRule type="containsBlanks" dxfId="6426" priority="3230">
      <formula>LEN(TRIM(W104))=0</formula>
    </cfRule>
    <cfRule type="containsBlanks" dxfId="6425" priority="3231">
      <formula>LEN(TRIM(W104))=0</formula>
    </cfRule>
    <cfRule type="containsBlanks" dxfId="6424" priority="3232">
      <formula>LEN(TRIM(W104))=0</formula>
    </cfRule>
    <cfRule type="containsBlanks" dxfId="6423" priority="3233">
      <formula>LEN(TRIM(W104))=0</formula>
    </cfRule>
    <cfRule type="containsBlanks" dxfId="6422" priority="3234">
      <formula>LEN(TRIM(W104))=0</formula>
    </cfRule>
    <cfRule type="containsBlanks" dxfId="6421" priority="3235">
      <formula>LEN(TRIM(W104))=0</formula>
    </cfRule>
    <cfRule type="containsBlanks" dxfId="6420" priority="3236">
      <formula>LEN(TRIM(W104))=0</formula>
    </cfRule>
    <cfRule type="containsBlanks" dxfId="6419" priority="3237">
      <formula>LEN(TRIM(W104))=0</formula>
    </cfRule>
    <cfRule type="containsBlanks" dxfId="6418" priority="3238">
      <formula>LEN(TRIM(W104))=0</formula>
    </cfRule>
    <cfRule type="containsBlanks" dxfId="6417" priority="3239">
      <formula>LEN(TRIM(W104))=0</formula>
    </cfRule>
    <cfRule type="containsBlanks" dxfId="6416" priority="3240">
      <formula>LEN(TRIM(W104))=0</formula>
    </cfRule>
    <cfRule type="containsBlanks" dxfId="6415" priority="3241">
      <formula>LEN(TRIM(W104))=0</formula>
    </cfRule>
    <cfRule type="containsBlanks" dxfId="6414" priority="3242">
      <formula>LEN(TRIM(W104))=0</formula>
    </cfRule>
    <cfRule type="containsBlanks" dxfId="6413" priority="3243">
      <formula>LEN(TRIM(W104))=0</formula>
    </cfRule>
    <cfRule type="containsBlanks" dxfId="6412" priority="3244">
      <formula>LEN(TRIM(W104))=0</formula>
    </cfRule>
    <cfRule type="containsBlanks" dxfId="6411" priority="3245">
      <formula>LEN(TRIM(W104))=0</formula>
    </cfRule>
    <cfRule type="containsBlanks" dxfId="6410" priority="3246">
      <formula>LEN(TRIM(W104))=0</formula>
    </cfRule>
    <cfRule type="containsBlanks" dxfId="6409" priority="3247">
      <formula>LEN(TRIM(W104))=0</formula>
    </cfRule>
    <cfRule type="containsBlanks" dxfId="6408" priority="3248">
      <formula>LEN(TRIM(W104))=0</formula>
    </cfRule>
    <cfRule type="containsBlanks" dxfId="6407" priority="3249">
      <formula>LEN(TRIM(W104))=0</formula>
    </cfRule>
    <cfRule type="containsBlanks" dxfId="6406" priority="3250">
      <formula>LEN(TRIM(W104))=0</formula>
    </cfRule>
    <cfRule type="containsBlanks" dxfId="6405" priority="3251">
      <formula>LEN(TRIM(W104))=0</formula>
    </cfRule>
    <cfRule type="containsBlanks" dxfId="6404" priority="3252">
      <formula>LEN(TRIM(W104))=0</formula>
    </cfRule>
    <cfRule type="containsBlanks" dxfId="6403" priority="3253">
      <formula>LEN(TRIM(W104))=0</formula>
    </cfRule>
    <cfRule type="containsBlanks" dxfId="6402" priority="3254">
      <formula>LEN(TRIM(W104))=0</formula>
    </cfRule>
    <cfRule type="containsBlanks" dxfId="6401" priority="3255">
      <formula>LEN(TRIM(W104))=0</formula>
    </cfRule>
    <cfRule type="containsBlanks" dxfId="6400" priority="3256">
      <formula>LEN(TRIM(W104))=0</formula>
    </cfRule>
    <cfRule type="containsBlanks" dxfId="6399" priority="3257">
      <formula>LEN(TRIM(W104))=0</formula>
    </cfRule>
    <cfRule type="containsBlanks" dxfId="6398" priority="3258">
      <formula>LEN(TRIM(W104))=0</formula>
    </cfRule>
    <cfRule type="containsBlanks" dxfId="6397" priority="3259">
      <formula>LEN(TRIM(W104))=0</formula>
    </cfRule>
    <cfRule type="containsBlanks" dxfId="6396" priority="3260">
      <formula>LEN(TRIM(W104))=0</formula>
    </cfRule>
    <cfRule type="containsBlanks" dxfId="6395" priority="3261">
      <formula>LEN(TRIM(W104))=0</formula>
    </cfRule>
    <cfRule type="containsBlanks" dxfId="6394" priority="3262">
      <formula>LEN(TRIM(W104))=0</formula>
    </cfRule>
    <cfRule type="containsBlanks" dxfId="6393" priority="3263">
      <formula>LEN(TRIM(W104))=0</formula>
    </cfRule>
    <cfRule type="containsBlanks" dxfId="6392" priority="3264">
      <formula>LEN(TRIM(W104))=0</formula>
    </cfRule>
    <cfRule type="containsBlanks" dxfId="6391" priority="3265">
      <formula>LEN(TRIM(W104))=0</formula>
    </cfRule>
    <cfRule type="containsBlanks" dxfId="6390" priority="3266">
      <formula>LEN(TRIM(W104))=0</formula>
    </cfRule>
    <cfRule type="containsBlanks" dxfId="6389" priority="3267">
      <formula>LEN(TRIM(W104))=0</formula>
    </cfRule>
    <cfRule type="containsBlanks" dxfId="6388" priority="3268">
      <formula>LEN(TRIM(W104))=0</formula>
    </cfRule>
    <cfRule type="containsBlanks" dxfId="6387" priority="3269">
      <formula>LEN(TRIM(W104))=0</formula>
    </cfRule>
    <cfRule type="containsBlanks" dxfId="6386" priority="3270">
      <formula>LEN(TRIM(W104))=0</formula>
    </cfRule>
    <cfRule type="containsBlanks" dxfId="6385" priority="3271">
      <formula>LEN(TRIM(W104))=0</formula>
    </cfRule>
    <cfRule type="containsBlanks" dxfId="6384" priority="3272">
      <formula>LEN(TRIM(W104))=0</formula>
    </cfRule>
    <cfRule type="containsBlanks" dxfId="6383" priority="3273">
      <formula>LEN(TRIM(W104))=0</formula>
    </cfRule>
    <cfRule type="containsBlanks" dxfId="6382" priority="3274">
      <formula>LEN(TRIM(W104))=0</formula>
    </cfRule>
    <cfRule type="containsBlanks" dxfId="6381" priority="3275">
      <formula>LEN(TRIM(W104))=0</formula>
    </cfRule>
    <cfRule type="containsBlanks" dxfId="6380" priority="3276">
      <formula>LEN(TRIM(W104))=0</formula>
    </cfRule>
    <cfRule type="containsBlanks" dxfId="6379" priority="3277">
      <formula>LEN(TRIM(W104))=0</formula>
    </cfRule>
    <cfRule type="containsBlanks" dxfId="6378" priority="3278">
      <formula>LEN(TRIM(W104))=0</formula>
    </cfRule>
    <cfRule type="containsBlanks" dxfId="6377" priority="3279">
      <formula>LEN(TRIM(W104))=0</formula>
    </cfRule>
    <cfRule type="containsBlanks" dxfId="6376" priority="3280">
      <formula>LEN(TRIM(W104))=0</formula>
    </cfRule>
    <cfRule type="containsBlanks" dxfId="6375" priority="3281">
      <formula>LEN(TRIM(W104))=0</formula>
    </cfRule>
    <cfRule type="containsBlanks" dxfId="6374" priority="3282">
      <formula>LEN(TRIM(W104))=0</formula>
    </cfRule>
    <cfRule type="containsBlanks" dxfId="6373" priority="3283">
      <formula>LEN(TRIM(W104))=0</formula>
    </cfRule>
    <cfRule type="containsBlanks" dxfId="6372" priority="3284">
      <formula>LEN(TRIM(W104))=0</formula>
    </cfRule>
    <cfRule type="containsBlanks" dxfId="6371" priority="3285">
      <formula>LEN(TRIM(W104))=0</formula>
    </cfRule>
    <cfRule type="containsBlanks" dxfId="6370" priority="3286">
      <formula>LEN(TRIM(W104))=0</formula>
    </cfRule>
    <cfRule type="containsBlanks" dxfId="6369" priority="3287">
      <formula>LEN(TRIM(W104))=0</formula>
    </cfRule>
    <cfRule type="containsBlanks" dxfId="6368" priority="3288">
      <formula>LEN(TRIM(W104))=0</formula>
    </cfRule>
    <cfRule type="containsBlanks" dxfId="6367" priority="3289">
      <formula>LEN(TRIM(W104))=0</formula>
    </cfRule>
    <cfRule type="containsBlanks" dxfId="6366" priority="3290">
      <formula>LEN(TRIM(W104))=0</formula>
    </cfRule>
    <cfRule type="containsBlanks" dxfId="6365" priority="3291">
      <formula>LEN(TRIM(W104))=0</formula>
    </cfRule>
    <cfRule type="containsBlanks" dxfId="6364" priority="3292">
      <formula>LEN(TRIM(W104))=0</formula>
    </cfRule>
    <cfRule type="containsBlanks" dxfId="6363" priority="3293">
      <formula>LEN(TRIM(W104))=0</formula>
    </cfRule>
    <cfRule type="containsBlanks" dxfId="6362" priority="3294">
      <formula>LEN(TRIM(W104))=0</formula>
    </cfRule>
    <cfRule type="containsBlanks" dxfId="6361" priority="3295">
      <formula>LEN(TRIM(W104))=0</formula>
    </cfRule>
    <cfRule type="containsBlanks" dxfId="6360" priority="3296">
      <formula>LEN(TRIM(W104))=0</formula>
    </cfRule>
    <cfRule type="containsBlanks" dxfId="6359" priority="3297">
      <formula>LEN(TRIM(W104))=0</formula>
    </cfRule>
    <cfRule type="containsBlanks" dxfId="6358" priority="3298">
      <formula>LEN(TRIM(W104))=0</formula>
    </cfRule>
    <cfRule type="containsBlanks" dxfId="6357" priority="3299">
      <formula>LEN(TRIM(W104))=0</formula>
    </cfRule>
    <cfRule type="containsBlanks" dxfId="6356" priority="3300">
      <formula>LEN(TRIM(W104))=0</formula>
    </cfRule>
    <cfRule type="containsBlanks" dxfId="6355" priority="3301">
      <formula>LEN(TRIM(W104))=0</formula>
    </cfRule>
    <cfRule type="containsBlanks" dxfId="6354" priority="3302">
      <formula>LEN(TRIM(W104))=0</formula>
    </cfRule>
    <cfRule type="containsBlanks" dxfId="6353" priority="3303">
      <formula>LEN(TRIM(W104))=0</formula>
    </cfRule>
    <cfRule type="containsBlanks" dxfId="6352" priority="3304">
      <formula>LEN(TRIM(W104))=0</formula>
    </cfRule>
    <cfRule type="containsBlanks" dxfId="6351" priority="3305">
      <formula>LEN(TRIM(W104))=0</formula>
    </cfRule>
    <cfRule type="containsBlanks" dxfId="6350" priority="3306">
      <formula>LEN(TRIM(W104))=0</formula>
    </cfRule>
    <cfRule type="containsBlanks" dxfId="6349" priority="3307">
      <formula>LEN(TRIM(W104))=0</formula>
    </cfRule>
    <cfRule type="containsBlanks" dxfId="6348" priority="3308">
      <formula>LEN(TRIM(W104))=0</formula>
    </cfRule>
    <cfRule type="containsBlanks" dxfId="6347" priority="3309">
      <formula>LEN(TRIM(W104))=0</formula>
    </cfRule>
    <cfRule type="containsBlanks" dxfId="6346" priority="3310">
      <formula>LEN(TRIM(W104))=0</formula>
    </cfRule>
    <cfRule type="containsBlanks" dxfId="6345" priority="3311">
      <formula>LEN(TRIM(W104))=0</formula>
    </cfRule>
    <cfRule type="containsBlanks" dxfId="6344" priority="3312">
      <formula>LEN(TRIM(W104))=0</formula>
    </cfRule>
    <cfRule type="containsBlanks" dxfId="6343" priority="3313">
      <formula>LEN(TRIM(W104))=0</formula>
    </cfRule>
    <cfRule type="containsBlanks" dxfId="6342" priority="3314">
      <formula>LEN(TRIM(W104))=0</formula>
    </cfRule>
    <cfRule type="containsBlanks" dxfId="6341" priority="3315">
      <formula>LEN(TRIM(W104))=0</formula>
    </cfRule>
    <cfRule type="containsBlanks" dxfId="6340" priority="3316">
      <formula>LEN(TRIM(W104))=0</formula>
    </cfRule>
    <cfRule type="containsBlanks" dxfId="6339" priority="3317">
      <formula>LEN(TRIM(W104))=0</formula>
    </cfRule>
    <cfRule type="containsBlanks" dxfId="6338" priority="3318">
      <formula>LEN(TRIM(W104))=0</formula>
    </cfRule>
    <cfRule type="containsBlanks" dxfId="6337" priority="3319">
      <formula>LEN(TRIM(W104))=0</formula>
    </cfRule>
    <cfRule type="containsBlanks" dxfId="6336" priority="3320">
      <formula>LEN(TRIM(W104))=0</formula>
    </cfRule>
    <cfRule type="containsBlanks" dxfId="6335" priority="3321">
      <formula>LEN(TRIM(W104))=0</formula>
    </cfRule>
    <cfRule type="containsBlanks" dxfId="6334" priority="3322">
      <formula>LEN(TRIM(W104))=0</formula>
    </cfRule>
    <cfRule type="containsBlanks" dxfId="6333" priority="3323">
      <formula>LEN(TRIM(W104))=0</formula>
    </cfRule>
    <cfRule type="containsBlanks" dxfId="6332" priority="3324">
      <formula>LEN(TRIM(W104))=0</formula>
    </cfRule>
    <cfRule type="containsBlanks" dxfId="6331" priority="3325">
      <formula>LEN(TRIM(W104))=0</formula>
    </cfRule>
    <cfRule type="containsBlanks" dxfId="6330" priority="3326">
      <formula>LEN(TRIM(W104))=0</formula>
    </cfRule>
    <cfRule type="containsBlanks" dxfId="6329" priority="3327">
      <formula>LEN(TRIM(W104))=0</formula>
    </cfRule>
    <cfRule type="containsBlanks" dxfId="6328" priority="3328">
      <formula>LEN(TRIM(W104))=0</formula>
    </cfRule>
    <cfRule type="containsBlanks" dxfId="6327" priority="3329">
      <formula>LEN(TRIM(W104))=0</formula>
    </cfRule>
    <cfRule type="containsBlanks" dxfId="6326" priority="3330">
      <formula>LEN(TRIM(W104))=0</formula>
    </cfRule>
    <cfRule type="containsBlanks" dxfId="6325" priority="3331">
      <formula>LEN(TRIM(W104))=0</formula>
    </cfRule>
    <cfRule type="containsBlanks" dxfId="6324" priority="3332">
      <formula>LEN(TRIM(W104))=0</formula>
    </cfRule>
    <cfRule type="containsBlanks" dxfId="6323" priority="3333">
      <formula>LEN(TRIM(W104))=0</formula>
    </cfRule>
    <cfRule type="containsBlanks" dxfId="6322" priority="3334">
      <formula>LEN(TRIM(W104))=0</formula>
    </cfRule>
    <cfRule type="containsBlanks" dxfId="6321" priority="3335">
      <formula>LEN(TRIM(W104))=0</formula>
    </cfRule>
    <cfRule type="containsBlanks" dxfId="6320" priority="3336">
      <formula>LEN(TRIM(W104))=0</formula>
    </cfRule>
    <cfRule type="containsBlanks" dxfId="6319" priority="3337">
      <formula>LEN(TRIM(W104))=0</formula>
    </cfRule>
    <cfRule type="containsBlanks" dxfId="6318" priority="3338">
      <formula>LEN(TRIM(W104))=0</formula>
    </cfRule>
    <cfRule type="containsBlanks" dxfId="6317" priority="3339">
      <formula>LEN(TRIM(W104))=0</formula>
    </cfRule>
    <cfRule type="containsBlanks" dxfId="6316" priority="3340">
      <formula>LEN(TRIM(W104))=0</formula>
    </cfRule>
    <cfRule type="containsBlanks" dxfId="6315" priority="3341">
      <formula>LEN(TRIM(W104))=0</formula>
    </cfRule>
    <cfRule type="containsBlanks" dxfId="6314" priority="3342">
      <formula>LEN(TRIM(W104))=0</formula>
    </cfRule>
    <cfRule type="containsBlanks" dxfId="6313" priority="3343">
      <formula>LEN(TRIM(W104))=0</formula>
    </cfRule>
    <cfRule type="containsBlanks" dxfId="6312" priority="3344">
      <formula>LEN(TRIM(W104))=0</formula>
    </cfRule>
    <cfRule type="containsBlanks" dxfId="6311" priority="3345">
      <formula>LEN(TRIM(W104))=0</formula>
    </cfRule>
    <cfRule type="containsBlanks" dxfId="6310" priority="3346">
      <formula>LEN(TRIM(W104))=0</formula>
    </cfRule>
    <cfRule type="containsBlanks" dxfId="6309" priority="3347">
      <formula>LEN(TRIM(W104))=0</formula>
    </cfRule>
    <cfRule type="containsBlanks" dxfId="6308" priority="3348">
      <formula>LEN(TRIM(W104))=0</formula>
    </cfRule>
    <cfRule type="containsBlanks" dxfId="6307" priority="3349">
      <formula>LEN(TRIM(W104))=0</formula>
    </cfRule>
    <cfRule type="containsBlanks" dxfId="6306" priority="3350">
      <formula>LEN(TRIM(W104))=0</formula>
    </cfRule>
    <cfRule type="containsBlanks" dxfId="6305" priority="3351">
      <formula>LEN(TRIM(W104))=0</formula>
    </cfRule>
    <cfRule type="containsBlanks" dxfId="6304" priority="3352">
      <formula>LEN(TRIM(W104))=0</formula>
    </cfRule>
    <cfRule type="containsBlanks" dxfId="6303" priority="3353">
      <formula>LEN(TRIM(W104))=0</formula>
    </cfRule>
    <cfRule type="containsBlanks" dxfId="6302" priority="3354">
      <formula>LEN(TRIM(W104))=0</formula>
    </cfRule>
    <cfRule type="containsBlanks" dxfId="6301" priority="3355">
      <formula>LEN(TRIM(W104))=0</formula>
    </cfRule>
    <cfRule type="containsBlanks" dxfId="6300" priority="3356">
      <formula>LEN(TRIM(W104))=0</formula>
    </cfRule>
    <cfRule type="containsBlanks" dxfId="6299" priority="3357">
      <formula>LEN(TRIM(W104))=0</formula>
    </cfRule>
    <cfRule type="containsBlanks" dxfId="6298" priority="3358">
      <formula>LEN(TRIM(W104))=0</formula>
    </cfRule>
    <cfRule type="containsBlanks" dxfId="6297" priority="3359">
      <formula>LEN(TRIM(W104))=0</formula>
    </cfRule>
    <cfRule type="containsBlanks" dxfId="6296" priority="3360">
      <formula>LEN(TRIM(W104))=0</formula>
    </cfRule>
    <cfRule type="containsBlanks" dxfId="6295" priority="3361">
      <formula>LEN(TRIM(W104))=0</formula>
    </cfRule>
    <cfRule type="containsBlanks" dxfId="6294" priority="3362">
      <formula>LEN(TRIM(W104))=0</formula>
    </cfRule>
    <cfRule type="containsBlanks" dxfId="6293" priority="3363">
      <formula>LEN(TRIM(W104))=0</formula>
    </cfRule>
    <cfRule type="containsBlanks" dxfId="6292" priority="3364">
      <formula>LEN(TRIM(W104))=0</formula>
    </cfRule>
    <cfRule type="containsBlanks" dxfId="6291" priority="3365">
      <formula>LEN(TRIM(W104))=0</formula>
    </cfRule>
    <cfRule type="containsBlanks" dxfId="6290" priority="3366">
      <formula>LEN(TRIM(W104))=0</formula>
    </cfRule>
    <cfRule type="containsBlanks" dxfId="6289" priority="3367">
      <formula>LEN(TRIM(W104))=0</formula>
    </cfRule>
    <cfRule type="containsBlanks" dxfId="6288" priority="3368">
      <formula>LEN(TRIM(W104))=0</formula>
    </cfRule>
    <cfRule type="containsBlanks" dxfId="6287" priority="3369">
      <formula>LEN(TRIM(W104))=0</formula>
    </cfRule>
    <cfRule type="containsBlanks" dxfId="6286" priority="3370">
      <formula>LEN(TRIM(W104))=0</formula>
    </cfRule>
    <cfRule type="containsBlanks" dxfId="6285" priority="3371">
      <formula>LEN(TRIM(W104))=0</formula>
    </cfRule>
    <cfRule type="containsBlanks" dxfId="6284" priority="3372">
      <formula>LEN(TRIM(W104))=0</formula>
    </cfRule>
    <cfRule type="containsBlanks" dxfId="6283" priority="3373">
      <formula>LEN(TRIM(W104))=0</formula>
    </cfRule>
    <cfRule type="containsBlanks" dxfId="6282" priority="3374">
      <formula>LEN(TRIM(W104))=0</formula>
    </cfRule>
    <cfRule type="containsBlanks" dxfId="6281" priority="3375">
      <formula>LEN(TRIM(W104))=0</formula>
    </cfRule>
    <cfRule type="containsBlanks" dxfId="6280" priority="3376">
      <formula>LEN(TRIM(W104))=0</formula>
    </cfRule>
    <cfRule type="containsBlanks" dxfId="6279" priority="3377">
      <formula>LEN(TRIM(W104))=0</formula>
    </cfRule>
    <cfRule type="containsBlanks" dxfId="6278" priority="3378">
      <formula>LEN(TRIM(W104))=0</formula>
    </cfRule>
    <cfRule type="containsBlanks" dxfId="6277" priority="3379">
      <formula>LEN(TRIM(W104))=0</formula>
    </cfRule>
    <cfRule type="containsBlanks" dxfId="6276" priority="3380">
      <formula>LEN(TRIM(W104))=0</formula>
    </cfRule>
    <cfRule type="containsBlanks" dxfId="6275" priority="3381">
      <formula>LEN(TRIM(W104))=0</formula>
    </cfRule>
    <cfRule type="containsBlanks" dxfId="6274" priority="3382">
      <formula>LEN(TRIM(W104))=0</formula>
    </cfRule>
    <cfRule type="containsBlanks" dxfId="6273" priority="3383">
      <formula>LEN(TRIM(W104))=0</formula>
    </cfRule>
    <cfRule type="containsBlanks" dxfId="6272" priority="3384">
      <formula>LEN(TRIM(W104))=0</formula>
    </cfRule>
    <cfRule type="containsBlanks" dxfId="6271" priority="3385">
      <formula>LEN(TRIM(W104))=0</formula>
    </cfRule>
    <cfRule type="containsBlanks" dxfId="6270" priority="3386">
      <formula>LEN(TRIM(W104))=0</formula>
    </cfRule>
    <cfRule type="containsBlanks" dxfId="6269" priority="3387">
      <formula>LEN(TRIM(W104))=0</formula>
    </cfRule>
    <cfRule type="containsBlanks" dxfId="6268" priority="3388">
      <formula>LEN(TRIM(W104))=0</formula>
    </cfRule>
    <cfRule type="containsBlanks" dxfId="6267" priority="3389">
      <formula>LEN(TRIM(W104))=0</formula>
    </cfRule>
    <cfRule type="containsBlanks" dxfId="6266" priority="3390">
      <formula>LEN(TRIM(W104))=0</formula>
    </cfRule>
    <cfRule type="containsBlanks" dxfId="6265" priority="3391">
      <formula>LEN(TRIM(W104))=0</formula>
    </cfRule>
    <cfRule type="containsBlanks" dxfId="6264" priority="3392">
      <formula>LEN(TRIM(W104))=0</formula>
    </cfRule>
    <cfRule type="containsBlanks" dxfId="6263" priority="3393">
      <formula>LEN(TRIM(W104))=0</formula>
    </cfRule>
    <cfRule type="containsBlanks" dxfId="6262" priority="3394">
      <formula>LEN(TRIM(W104))=0</formula>
    </cfRule>
    <cfRule type="containsBlanks" dxfId="6261" priority="3395">
      <formula>LEN(TRIM(W104))=0</formula>
    </cfRule>
    <cfRule type="containsBlanks" dxfId="6260" priority="3396">
      <formula>LEN(TRIM(W104))=0</formula>
    </cfRule>
    <cfRule type="containsBlanks" dxfId="6259" priority="3397">
      <formula>LEN(TRIM(W104))=0</formula>
    </cfRule>
    <cfRule type="containsBlanks" dxfId="6258" priority="3398">
      <formula>LEN(TRIM(W104))=0</formula>
    </cfRule>
    <cfRule type="containsBlanks" dxfId="6257" priority="3399">
      <formula>LEN(TRIM(W104))=0</formula>
    </cfRule>
    <cfRule type="containsBlanks" dxfId="6256" priority="3400">
      <formula>LEN(TRIM(W104))=0</formula>
    </cfRule>
    <cfRule type="containsBlanks" dxfId="6255" priority="3401">
      <formula>LEN(TRIM(W104))=0</formula>
    </cfRule>
    <cfRule type="containsBlanks" dxfId="6254" priority="3402">
      <formula>LEN(TRIM(W104))=0</formula>
    </cfRule>
    <cfRule type="containsBlanks" dxfId="6253" priority="3403">
      <formula>LEN(TRIM(W104))=0</formula>
    </cfRule>
    <cfRule type="containsBlanks" dxfId="6252" priority="3404">
      <formula>LEN(TRIM(W104))=0</formula>
    </cfRule>
    <cfRule type="containsBlanks" dxfId="6251" priority="3405">
      <formula>LEN(TRIM(W104))=0</formula>
    </cfRule>
    <cfRule type="containsBlanks" dxfId="6250" priority="3406">
      <formula>LEN(TRIM(W104))=0</formula>
    </cfRule>
    <cfRule type="containsBlanks" dxfId="6249" priority="3407">
      <formula>LEN(TRIM(W104))=0</formula>
    </cfRule>
    <cfRule type="containsBlanks" dxfId="6248" priority="3408">
      <formula>LEN(TRIM(W104))=0</formula>
    </cfRule>
    <cfRule type="containsBlanks" dxfId="6247" priority="3409">
      <formula>LEN(TRIM(W104))=0</formula>
    </cfRule>
    <cfRule type="containsBlanks" dxfId="6246" priority="3410">
      <formula>LEN(TRIM(W104))=0</formula>
    </cfRule>
    <cfRule type="containsBlanks" dxfId="6245" priority="3411">
      <formula>LEN(TRIM(W104))=0</formula>
    </cfRule>
    <cfRule type="containsBlanks" dxfId="6244" priority="3412">
      <formula>LEN(TRIM(W104))=0</formula>
    </cfRule>
    <cfRule type="containsBlanks" dxfId="6243" priority="3413">
      <formula>LEN(TRIM(W104))=0</formula>
    </cfRule>
    <cfRule type="containsBlanks" dxfId="6242" priority="3414">
      <formula>LEN(TRIM(W104))=0</formula>
    </cfRule>
    <cfRule type="containsBlanks" dxfId="6241" priority="3415">
      <formula>LEN(TRIM(W104))=0</formula>
    </cfRule>
    <cfRule type="containsBlanks" dxfId="6240" priority="3416">
      <formula>LEN(TRIM(W104))=0</formula>
    </cfRule>
    <cfRule type="containsBlanks" dxfId="6239" priority="3417">
      <formula>LEN(TRIM(W104))=0</formula>
    </cfRule>
    <cfRule type="containsBlanks" dxfId="6238" priority="3418">
      <formula>LEN(TRIM(W104))=0</formula>
    </cfRule>
    <cfRule type="containsBlanks" dxfId="6237" priority="3419">
      <formula>LEN(TRIM(W104))=0</formula>
    </cfRule>
    <cfRule type="containsBlanks" dxfId="6236" priority="3420">
      <formula>LEN(TRIM(W104))=0</formula>
    </cfRule>
    <cfRule type="containsBlanks" dxfId="6235" priority="3421">
      <formula>LEN(TRIM(W104))=0</formula>
    </cfRule>
    <cfRule type="containsBlanks" dxfId="6234" priority="3422">
      <formula>LEN(TRIM(W104))=0</formula>
    </cfRule>
    <cfRule type="containsBlanks" dxfId="6233" priority="3423">
      <formula>LEN(TRIM(W104))=0</formula>
    </cfRule>
    <cfRule type="containsBlanks" dxfId="6232" priority="3424">
      <formula>LEN(TRIM(W104))=0</formula>
    </cfRule>
    <cfRule type="containsBlanks" dxfId="6231" priority="3425">
      <formula>LEN(TRIM(W104))=0</formula>
    </cfRule>
    <cfRule type="containsBlanks" dxfId="6230" priority="3426">
      <formula>LEN(TRIM(W104))=0</formula>
    </cfRule>
    <cfRule type="containsBlanks" dxfId="6229" priority="3427">
      <formula>LEN(TRIM(W104))=0</formula>
    </cfRule>
    <cfRule type="containsBlanks" dxfId="6228" priority="3428">
      <formula>LEN(TRIM(W104))=0</formula>
    </cfRule>
    <cfRule type="containsBlanks" dxfId="6227" priority="3429">
      <formula>LEN(TRIM(W104))=0</formula>
    </cfRule>
    <cfRule type="containsBlanks" dxfId="6226" priority="3430">
      <formula>LEN(TRIM(W104))=0</formula>
    </cfRule>
    <cfRule type="containsBlanks" dxfId="6225" priority="3431">
      <formula>LEN(TRIM(W104))=0</formula>
    </cfRule>
    <cfRule type="containsBlanks" dxfId="6224" priority="3432">
      <formula>LEN(TRIM(W104))=0</formula>
    </cfRule>
    <cfRule type="containsBlanks" dxfId="6223" priority="3433">
      <formula>LEN(TRIM(W104))=0</formula>
    </cfRule>
    <cfRule type="containsBlanks" dxfId="6222" priority="3434">
      <formula>LEN(TRIM(W104))=0</formula>
    </cfRule>
    <cfRule type="containsBlanks" dxfId="6221" priority="3435">
      <formula>LEN(TRIM(W104))=0</formula>
    </cfRule>
    <cfRule type="containsBlanks" dxfId="6220" priority="3436">
      <formula>LEN(TRIM(W104))=0</formula>
    </cfRule>
    <cfRule type="containsBlanks" dxfId="6219" priority="3437">
      <formula>LEN(TRIM(W104))=0</formula>
    </cfRule>
    <cfRule type="containsBlanks" dxfId="6218" priority="3438">
      <formula>LEN(TRIM(W104))=0</formula>
    </cfRule>
    <cfRule type="containsBlanks" dxfId="6217" priority="3439">
      <formula>LEN(TRIM(W104))=0</formula>
    </cfRule>
    <cfRule type="containsBlanks" dxfId="6216" priority="3440">
      <formula>LEN(TRIM(W104))=0</formula>
    </cfRule>
    <cfRule type="containsBlanks" dxfId="6215" priority="3441">
      <formula>LEN(TRIM(W104))=0</formula>
    </cfRule>
    <cfRule type="containsBlanks" dxfId="6214" priority="3442">
      <formula>LEN(TRIM(W104))=0</formula>
    </cfRule>
    <cfRule type="containsBlanks" dxfId="6213" priority="3443">
      <formula>LEN(TRIM(W104))=0</formula>
    </cfRule>
    <cfRule type="containsBlanks" dxfId="6212" priority="3444">
      <formula>LEN(TRIM(W104))=0</formula>
    </cfRule>
    <cfRule type="containsBlanks" dxfId="6211" priority="3445">
      <formula>LEN(TRIM(W104))=0</formula>
    </cfRule>
    <cfRule type="containsBlanks" dxfId="6210" priority="3446">
      <formula>LEN(TRIM(W104))=0</formula>
    </cfRule>
    <cfRule type="containsBlanks" dxfId="6209" priority="3447">
      <formula>LEN(TRIM(W104))=0</formula>
    </cfRule>
    <cfRule type="containsBlanks" dxfId="6208" priority="3448">
      <formula>LEN(TRIM(W104))=0</formula>
    </cfRule>
  </conditionalFormatting>
  <conditionalFormatting sqref="X99 X101:X103 X105:X158">
    <cfRule type="containsBlanks" dxfId="6207" priority="2868">
      <formula>LEN(TRIM(X99))=0</formula>
    </cfRule>
    <cfRule type="containsBlanks" dxfId="6206" priority="2869">
      <formula>LEN(TRIM(X99))=0</formula>
    </cfRule>
    <cfRule type="containsBlanks" dxfId="6205" priority="2870">
      <formula>LEN(TRIM(X99))=0</formula>
    </cfRule>
    <cfRule type="containsBlanks" dxfId="6204" priority="2871">
      <formula>LEN(TRIM(X99))=0</formula>
    </cfRule>
    <cfRule type="containsBlanks" dxfId="6203" priority="2872">
      <formula>LEN(TRIM(X99))=0</formula>
    </cfRule>
    <cfRule type="containsBlanks" dxfId="6202" priority="2873">
      <formula>LEN(TRIM(X99))=0</formula>
    </cfRule>
    <cfRule type="containsBlanks" dxfId="6201" priority="2874">
      <formula>LEN(TRIM(X99))=0</formula>
    </cfRule>
    <cfRule type="containsBlanks" dxfId="6200" priority="2875">
      <formula>LEN(TRIM(X99))=0</formula>
    </cfRule>
    <cfRule type="containsBlanks" dxfId="6199" priority="2876">
      <formula>LEN(TRIM(X99))=0</formula>
    </cfRule>
    <cfRule type="containsBlanks" dxfId="6198" priority="2877">
      <formula>LEN(TRIM(X99))=0</formula>
    </cfRule>
    <cfRule type="containsBlanks" dxfId="6197" priority="2878">
      <formula>LEN(TRIM(X99))=0</formula>
    </cfRule>
    <cfRule type="containsBlanks" dxfId="6196" priority="2879">
      <formula>LEN(TRIM(X99))=0</formula>
    </cfRule>
    <cfRule type="containsBlanks" dxfId="6195" priority="2880">
      <formula>LEN(TRIM(X99))=0</formula>
    </cfRule>
    <cfRule type="containsBlanks" dxfId="6194" priority="2881">
      <formula>LEN(TRIM(X99))=0</formula>
    </cfRule>
    <cfRule type="containsBlanks" dxfId="6193" priority="2882">
      <formula>LEN(TRIM(X99))=0</formula>
    </cfRule>
    <cfRule type="containsBlanks" dxfId="6192" priority="2883">
      <formula>LEN(TRIM(X99))=0</formula>
    </cfRule>
    <cfRule type="containsBlanks" dxfId="6191" priority="2884">
      <formula>LEN(TRIM(X99))=0</formula>
    </cfRule>
    <cfRule type="containsBlanks" dxfId="6190" priority="2885">
      <formula>LEN(TRIM(X99))=0</formula>
    </cfRule>
    <cfRule type="containsBlanks" dxfId="6189" priority="2886">
      <formula>LEN(TRIM(X99))=0</formula>
    </cfRule>
    <cfRule type="containsBlanks" dxfId="6188" priority="2887">
      <formula>LEN(TRIM(X99))=0</formula>
    </cfRule>
    <cfRule type="containsBlanks" dxfId="6187" priority="2888">
      <formula>LEN(TRIM(X99))=0</formula>
    </cfRule>
    <cfRule type="containsBlanks" dxfId="6186" priority="2889">
      <formula>LEN(TRIM(X99))=0</formula>
    </cfRule>
    <cfRule type="containsBlanks" dxfId="6185" priority="2890">
      <formula>LEN(TRIM(X99))=0</formula>
    </cfRule>
    <cfRule type="containsBlanks" dxfId="6184" priority="2891">
      <formula>LEN(TRIM(X99))=0</formula>
    </cfRule>
    <cfRule type="containsBlanks" dxfId="6183" priority="2892">
      <formula>LEN(TRIM(X99))=0</formula>
    </cfRule>
    <cfRule type="containsBlanks" dxfId="6182" priority="2893">
      <formula>LEN(TRIM(X99))=0</formula>
    </cfRule>
    <cfRule type="containsBlanks" dxfId="6181" priority="2894">
      <formula>LEN(TRIM(X99))=0</formula>
    </cfRule>
    <cfRule type="containsBlanks" dxfId="6180" priority="2895">
      <formula>LEN(TRIM(X99))=0</formula>
    </cfRule>
    <cfRule type="containsBlanks" dxfId="6179" priority="2896">
      <formula>LEN(TRIM(X99))=0</formula>
    </cfRule>
    <cfRule type="containsBlanks" dxfId="6178" priority="2897">
      <formula>LEN(TRIM(X99))=0</formula>
    </cfRule>
    <cfRule type="containsBlanks" dxfId="6177" priority="2898">
      <formula>LEN(TRIM(X99))=0</formula>
    </cfRule>
    <cfRule type="containsBlanks" dxfId="6176" priority="2899">
      <formula>LEN(TRIM(X99))=0</formula>
    </cfRule>
    <cfRule type="containsBlanks" dxfId="6175" priority="2900">
      <formula>LEN(TRIM(X99))=0</formula>
    </cfRule>
    <cfRule type="containsBlanks" dxfId="6174" priority="2901">
      <formula>LEN(TRIM(X99))=0</formula>
    </cfRule>
    <cfRule type="containsBlanks" dxfId="6173" priority="2902">
      <formula>LEN(TRIM(X99))=0</formula>
    </cfRule>
    <cfRule type="containsBlanks" dxfId="6172" priority="2903">
      <formula>LEN(TRIM(X99))=0</formula>
    </cfRule>
    <cfRule type="containsBlanks" dxfId="6171" priority="2904">
      <formula>LEN(TRIM(X99))=0</formula>
    </cfRule>
    <cfRule type="containsBlanks" dxfId="6170" priority="2905">
      <formula>LEN(TRIM(X99))=0</formula>
    </cfRule>
    <cfRule type="containsBlanks" dxfId="6169" priority="2906">
      <formula>LEN(TRIM(X99))=0</formula>
    </cfRule>
    <cfRule type="containsBlanks" dxfId="6168" priority="2907">
      <formula>LEN(TRIM(X99))=0</formula>
    </cfRule>
    <cfRule type="containsBlanks" dxfId="6167" priority="2908">
      <formula>LEN(TRIM(X99))=0</formula>
    </cfRule>
    <cfRule type="containsBlanks" dxfId="6166" priority="2909">
      <formula>LEN(TRIM(X99))=0</formula>
    </cfRule>
    <cfRule type="containsBlanks" dxfId="6165" priority="2910">
      <formula>LEN(TRIM(X99))=0</formula>
    </cfRule>
    <cfRule type="containsBlanks" dxfId="6164" priority="2911">
      <formula>LEN(TRIM(X99))=0</formula>
    </cfRule>
    <cfRule type="containsBlanks" dxfId="6163" priority="2912">
      <formula>LEN(TRIM(X99))=0</formula>
    </cfRule>
    <cfRule type="containsBlanks" dxfId="6162" priority="2913">
      <formula>LEN(TRIM(X99))=0</formula>
    </cfRule>
    <cfRule type="containsBlanks" dxfId="6161" priority="2914">
      <formula>LEN(TRIM(X99))=0</formula>
    </cfRule>
    <cfRule type="containsBlanks" dxfId="6160" priority="2915">
      <formula>LEN(TRIM(X99))=0</formula>
    </cfRule>
    <cfRule type="containsBlanks" dxfId="6159" priority="2916">
      <formula>LEN(TRIM(X99))=0</formula>
    </cfRule>
    <cfRule type="containsBlanks" dxfId="6158" priority="2917">
      <formula>LEN(TRIM(X99))=0</formula>
    </cfRule>
    <cfRule type="containsBlanks" dxfId="6157" priority="2918">
      <formula>LEN(TRIM(X99))=0</formula>
    </cfRule>
    <cfRule type="containsBlanks" dxfId="6156" priority="2919">
      <formula>LEN(TRIM(X99))=0</formula>
    </cfRule>
    <cfRule type="containsBlanks" dxfId="6155" priority="2920">
      <formula>LEN(TRIM(X99))=0</formula>
    </cfRule>
    <cfRule type="containsBlanks" dxfId="6154" priority="2921">
      <formula>LEN(TRIM(X99))=0</formula>
    </cfRule>
    <cfRule type="containsBlanks" dxfId="6153" priority="2922">
      <formula>LEN(TRIM(X99))=0</formula>
    </cfRule>
    <cfRule type="containsBlanks" dxfId="6152" priority="2923">
      <formula>LEN(TRIM(X99))=0</formula>
    </cfRule>
    <cfRule type="containsBlanks" dxfId="6151" priority="2924">
      <formula>LEN(TRIM(X99))=0</formula>
    </cfRule>
    <cfRule type="containsBlanks" dxfId="6150" priority="2925">
      <formula>LEN(TRIM(X99))=0</formula>
    </cfRule>
    <cfRule type="containsBlanks" dxfId="6149" priority="2926">
      <formula>LEN(TRIM(X99))=0</formula>
    </cfRule>
    <cfRule type="containsBlanks" dxfId="6148" priority="2927">
      <formula>LEN(TRIM(X99))=0</formula>
    </cfRule>
    <cfRule type="containsBlanks" dxfId="6147" priority="2928">
      <formula>LEN(TRIM(X99))=0</formula>
    </cfRule>
    <cfRule type="containsBlanks" dxfId="6146" priority="2929">
      <formula>LEN(TRIM(X99))=0</formula>
    </cfRule>
    <cfRule type="containsBlanks" dxfId="6145" priority="2930">
      <formula>LEN(TRIM(X99))=0</formula>
    </cfRule>
    <cfRule type="containsBlanks" dxfId="6144" priority="2931">
      <formula>LEN(TRIM(X99))=0</formula>
    </cfRule>
    <cfRule type="containsBlanks" dxfId="6143" priority="2932">
      <formula>LEN(TRIM(X99))=0</formula>
    </cfRule>
    <cfRule type="containsBlanks" dxfId="6142" priority="2933">
      <formula>LEN(TRIM(X99))=0</formula>
    </cfRule>
  </conditionalFormatting>
  <conditionalFormatting sqref="X100">
    <cfRule type="containsBlanks" dxfId="6141" priority="2353">
      <formula>LEN(TRIM(X100))=0</formula>
    </cfRule>
    <cfRule type="containsBlanks" dxfId="6140" priority="2354">
      <formula>LEN(TRIM(X100))=0</formula>
    </cfRule>
    <cfRule type="containsBlanks" dxfId="6139" priority="2355">
      <formula>LEN(TRIM(X100))=0</formula>
    </cfRule>
    <cfRule type="containsBlanks" dxfId="6138" priority="2356">
      <formula>LEN(TRIM(X100))=0</formula>
    </cfRule>
    <cfRule type="containsBlanks" dxfId="6137" priority="2357">
      <formula>LEN(TRIM(X100))=0</formula>
    </cfRule>
    <cfRule type="containsBlanks" dxfId="6136" priority="2358">
      <formula>LEN(TRIM(X100))=0</formula>
    </cfRule>
    <cfRule type="containsBlanks" dxfId="6135" priority="2359">
      <formula>LEN(TRIM(X100))=0</formula>
    </cfRule>
    <cfRule type="containsBlanks" dxfId="6134" priority="2360">
      <formula>LEN(TRIM(X100))=0</formula>
    </cfRule>
    <cfRule type="containsBlanks" dxfId="6133" priority="2361">
      <formula>LEN(TRIM(X100))=0</formula>
    </cfRule>
    <cfRule type="containsBlanks" dxfId="6132" priority="2362">
      <formula>LEN(TRIM(X100))=0</formula>
    </cfRule>
    <cfRule type="containsBlanks" dxfId="6131" priority="2363">
      <formula>LEN(TRIM(X100))=0</formula>
    </cfRule>
    <cfRule type="containsBlanks" dxfId="6130" priority="2364">
      <formula>LEN(TRIM(X100))=0</formula>
    </cfRule>
    <cfRule type="containsBlanks" dxfId="6129" priority="2365">
      <formula>LEN(TRIM(X100))=0</formula>
    </cfRule>
    <cfRule type="containsBlanks" dxfId="6128" priority="2366">
      <formula>LEN(TRIM(X100))=0</formula>
    </cfRule>
    <cfRule type="containsBlanks" dxfId="6127" priority="2367">
      <formula>LEN(TRIM(X100))=0</formula>
    </cfRule>
    <cfRule type="containsBlanks" dxfId="6126" priority="2368">
      <formula>LEN(TRIM(X100))=0</formula>
    </cfRule>
    <cfRule type="containsBlanks" dxfId="6125" priority="2369">
      <formula>LEN(TRIM(X100))=0</formula>
    </cfRule>
    <cfRule type="containsBlanks" dxfId="6124" priority="2370">
      <formula>LEN(TRIM(X100))=0</formula>
    </cfRule>
    <cfRule type="containsBlanks" dxfId="6123" priority="2371">
      <formula>LEN(TRIM(X100))=0</formula>
    </cfRule>
    <cfRule type="containsBlanks" dxfId="6122" priority="2372">
      <formula>LEN(TRIM(X100))=0</formula>
    </cfRule>
    <cfRule type="containsBlanks" dxfId="6121" priority="2373">
      <formula>LEN(TRIM(X100))=0</formula>
    </cfRule>
    <cfRule type="containsBlanks" dxfId="6120" priority="2374">
      <formula>LEN(TRIM(X100))=0</formula>
    </cfRule>
    <cfRule type="containsBlanks" dxfId="6119" priority="2375">
      <formula>LEN(TRIM(X100))=0</formula>
    </cfRule>
    <cfRule type="containsBlanks" dxfId="6118" priority="2376">
      <formula>LEN(TRIM(X100))=0</formula>
    </cfRule>
    <cfRule type="containsBlanks" dxfId="6117" priority="2377">
      <formula>LEN(TRIM(X100))=0</formula>
    </cfRule>
    <cfRule type="containsBlanks" dxfId="6116" priority="2378">
      <formula>LEN(TRIM(X100))=0</formula>
    </cfRule>
    <cfRule type="containsBlanks" dxfId="6115" priority="2379">
      <formula>LEN(TRIM(X100))=0</formula>
    </cfRule>
    <cfRule type="containsBlanks" dxfId="6114" priority="2380">
      <formula>LEN(TRIM(X100))=0</formula>
    </cfRule>
    <cfRule type="containsBlanks" dxfId="6113" priority="2381">
      <formula>LEN(TRIM(X100))=0</formula>
    </cfRule>
    <cfRule type="containsBlanks" dxfId="6112" priority="2382">
      <formula>LEN(TRIM(X100))=0</formula>
    </cfRule>
    <cfRule type="containsBlanks" dxfId="6111" priority="2383">
      <formula>LEN(TRIM(X100))=0</formula>
    </cfRule>
    <cfRule type="containsBlanks" dxfId="6110" priority="2384">
      <formula>LEN(TRIM(X100))=0</formula>
    </cfRule>
    <cfRule type="containsBlanks" dxfId="6109" priority="2385">
      <formula>LEN(TRIM(X100))=0</formula>
    </cfRule>
    <cfRule type="containsBlanks" dxfId="6108" priority="2386">
      <formula>LEN(TRIM(X100))=0</formula>
    </cfRule>
    <cfRule type="containsBlanks" dxfId="6107" priority="2387">
      <formula>LEN(TRIM(X100))=0</formula>
    </cfRule>
    <cfRule type="containsBlanks" dxfId="6106" priority="2388">
      <formula>LEN(TRIM(X100))=0</formula>
    </cfRule>
    <cfRule type="containsBlanks" dxfId="6105" priority="2389">
      <formula>LEN(TRIM(X100))=0</formula>
    </cfRule>
    <cfRule type="containsBlanks" dxfId="6104" priority="2390">
      <formula>LEN(TRIM(X100))=0</formula>
    </cfRule>
    <cfRule type="containsBlanks" dxfId="6103" priority="2391">
      <formula>LEN(TRIM(X100))=0</formula>
    </cfRule>
    <cfRule type="containsBlanks" dxfId="6102" priority="2392">
      <formula>LEN(TRIM(X100))=0</formula>
    </cfRule>
    <cfRule type="containsBlanks" dxfId="6101" priority="2393">
      <formula>LEN(TRIM(X100))=0</formula>
    </cfRule>
    <cfRule type="containsBlanks" dxfId="6100" priority="2394">
      <formula>LEN(TRIM(X100))=0</formula>
    </cfRule>
    <cfRule type="containsBlanks" dxfId="6099" priority="2395">
      <formula>LEN(TRIM(X100))=0</formula>
    </cfRule>
    <cfRule type="containsBlanks" dxfId="6098" priority="2396">
      <formula>LEN(TRIM(X100))=0</formula>
    </cfRule>
    <cfRule type="containsBlanks" dxfId="6097" priority="2397">
      <formula>LEN(TRIM(X100))=0</formula>
    </cfRule>
    <cfRule type="containsBlanks" dxfId="6096" priority="2398">
      <formula>LEN(TRIM(X100))=0</formula>
    </cfRule>
    <cfRule type="containsBlanks" dxfId="6095" priority="2399">
      <formula>LEN(TRIM(X100))=0</formula>
    </cfRule>
    <cfRule type="containsBlanks" dxfId="6094" priority="2400">
      <formula>LEN(TRIM(X100))=0</formula>
    </cfRule>
    <cfRule type="containsBlanks" dxfId="6093" priority="2401">
      <formula>LEN(TRIM(X100))=0</formula>
    </cfRule>
    <cfRule type="containsBlanks" dxfId="6092" priority="2402">
      <formula>LEN(TRIM(X100))=0</formula>
    </cfRule>
    <cfRule type="containsBlanks" dxfId="6091" priority="2403">
      <formula>LEN(TRIM(X100))=0</formula>
    </cfRule>
    <cfRule type="containsBlanks" dxfId="6090" priority="2404">
      <formula>LEN(TRIM(X100))=0</formula>
    </cfRule>
    <cfRule type="containsBlanks" dxfId="6089" priority="2405">
      <formula>LEN(TRIM(X100))=0</formula>
    </cfRule>
    <cfRule type="containsBlanks" dxfId="6088" priority="2406">
      <formula>LEN(TRIM(X100))=0</formula>
    </cfRule>
    <cfRule type="containsBlanks" dxfId="6087" priority="2407">
      <formula>LEN(TRIM(X100))=0</formula>
    </cfRule>
    <cfRule type="containsBlanks" dxfId="6086" priority="2408">
      <formula>LEN(TRIM(X100))=0</formula>
    </cfRule>
    <cfRule type="containsBlanks" dxfId="6085" priority="2409">
      <formula>LEN(TRIM(X100))=0</formula>
    </cfRule>
    <cfRule type="containsBlanks" dxfId="6084" priority="2410">
      <formula>LEN(TRIM(X100))=0</formula>
    </cfRule>
    <cfRule type="containsBlanks" dxfId="6083" priority="2411">
      <formula>LEN(TRIM(X100))=0</formula>
    </cfRule>
    <cfRule type="containsBlanks" dxfId="6082" priority="2412">
      <formula>LEN(TRIM(X100))=0</formula>
    </cfRule>
    <cfRule type="containsBlanks" dxfId="6081" priority="2413">
      <formula>LEN(TRIM(X100))=0</formula>
    </cfRule>
    <cfRule type="containsBlanks" dxfId="6080" priority="2414">
      <formula>LEN(TRIM(X100))=0</formula>
    </cfRule>
    <cfRule type="containsBlanks" dxfId="6079" priority="2415">
      <formula>LEN(TRIM(X100))=0</formula>
    </cfRule>
    <cfRule type="containsBlanks" dxfId="6078" priority="2416">
      <formula>LEN(TRIM(X100))=0</formula>
    </cfRule>
    <cfRule type="containsBlanks" dxfId="6077" priority="2417">
      <formula>LEN(TRIM(X100))=0</formula>
    </cfRule>
    <cfRule type="containsBlanks" dxfId="6076" priority="2418">
      <formula>LEN(TRIM(X100))=0</formula>
    </cfRule>
    <cfRule type="containsBlanks" dxfId="6075" priority="2419">
      <formula>LEN(TRIM(X100))=0</formula>
    </cfRule>
    <cfRule type="containsBlanks" dxfId="6074" priority="2420">
      <formula>LEN(TRIM(X100))=0</formula>
    </cfRule>
    <cfRule type="containsBlanks" dxfId="6073" priority="2421">
      <formula>LEN(TRIM(X100))=0</formula>
    </cfRule>
    <cfRule type="containsBlanks" dxfId="6072" priority="2422">
      <formula>LEN(TRIM(X100))=0</formula>
    </cfRule>
    <cfRule type="containsBlanks" dxfId="6071" priority="2423">
      <formula>LEN(TRIM(X100))=0</formula>
    </cfRule>
    <cfRule type="containsBlanks" dxfId="6070" priority="2424">
      <formula>LEN(TRIM(X100))=0</formula>
    </cfRule>
    <cfRule type="containsBlanks" dxfId="6069" priority="2425">
      <formula>LEN(TRIM(X100))=0</formula>
    </cfRule>
    <cfRule type="containsBlanks" dxfId="6068" priority="2426">
      <formula>LEN(TRIM(X100))=0</formula>
    </cfRule>
    <cfRule type="containsBlanks" dxfId="6067" priority="2427">
      <formula>LEN(TRIM(X100))=0</formula>
    </cfRule>
    <cfRule type="containsBlanks" dxfId="6066" priority="2428">
      <formula>LEN(TRIM(X100))=0</formula>
    </cfRule>
    <cfRule type="containsBlanks" dxfId="6065" priority="2429">
      <formula>LEN(TRIM(X100))=0</formula>
    </cfRule>
    <cfRule type="containsBlanks" dxfId="6064" priority="2430">
      <formula>LEN(TRIM(X100))=0</formula>
    </cfRule>
    <cfRule type="containsBlanks" dxfId="6063" priority="2431">
      <formula>LEN(TRIM(X100))=0</formula>
    </cfRule>
    <cfRule type="containsBlanks" dxfId="6062" priority="2432">
      <formula>LEN(TRIM(X100))=0</formula>
    </cfRule>
    <cfRule type="containsBlanks" dxfId="6061" priority="2433">
      <formula>LEN(TRIM(X100))=0</formula>
    </cfRule>
    <cfRule type="containsBlanks" dxfId="6060" priority="2434">
      <formula>LEN(TRIM(X100))=0</formula>
    </cfRule>
    <cfRule type="containsBlanks" dxfId="6059" priority="2435">
      <formula>LEN(TRIM(X100))=0</formula>
    </cfRule>
    <cfRule type="containsBlanks" dxfId="6058" priority="2436">
      <formula>LEN(TRIM(X100))=0</formula>
    </cfRule>
    <cfRule type="containsBlanks" dxfId="6057" priority="2437">
      <formula>LEN(TRIM(X100))=0</formula>
    </cfRule>
    <cfRule type="containsBlanks" dxfId="6056" priority="2438">
      <formula>LEN(TRIM(X100))=0</formula>
    </cfRule>
    <cfRule type="containsBlanks" dxfId="6055" priority="2439">
      <formula>LEN(TRIM(X100))=0</formula>
    </cfRule>
    <cfRule type="containsBlanks" dxfId="6054" priority="2440">
      <formula>LEN(TRIM(X100))=0</formula>
    </cfRule>
    <cfRule type="containsBlanks" dxfId="6053" priority="2441">
      <formula>LEN(TRIM(X100))=0</formula>
    </cfRule>
    <cfRule type="containsBlanks" dxfId="6052" priority="2442">
      <formula>LEN(TRIM(X100))=0</formula>
    </cfRule>
    <cfRule type="containsBlanks" dxfId="6051" priority="2443">
      <formula>LEN(TRIM(X100))=0</formula>
    </cfRule>
    <cfRule type="containsBlanks" dxfId="6050" priority="2444">
      <formula>LEN(TRIM(X100))=0</formula>
    </cfRule>
    <cfRule type="containsBlanks" dxfId="6049" priority="2445">
      <formula>LEN(TRIM(X100))=0</formula>
    </cfRule>
    <cfRule type="containsBlanks" dxfId="6048" priority="2446">
      <formula>LEN(TRIM(X100))=0</formula>
    </cfRule>
    <cfRule type="containsBlanks" dxfId="6047" priority="2447">
      <formula>LEN(TRIM(X100))=0</formula>
    </cfRule>
    <cfRule type="containsBlanks" dxfId="6046" priority="2448">
      <formula>LEN(TRIM(X100))=0</formula>
    </cfRule>
    <cfRule type="containsBlanks" dxfId="6045" priority="2449">
      <formula>LEN(TRIM(X100))=0</formula>
    </cfRule>
    <cfRule type="containsBlanks" dxfId="6044" priority="2450">
      <formula>LEN(TRIM(X100))=0</formula>
    </cfRule>
    <cfRule type="containsBlanks" dxfId="6043" priority="2451">
      <formula>LEN(TRIM(X100))=0</formula>
    </cfRule>
    <cfRule type="containsBlanks" dxfId="6042" priority="2452">
      <formula>LEN(TRIM(X100))=0</formula>
    </cfRule>
    <cfRule type="containsBlanks" dxfId="6041" priority="2453">
      <formula>LEN(TRIM(X100))=0</formula>
    </cfRule>
    <cfRule type="containsBlanks" dxfId="6040" priority="2454">
      <formula>LEN(TRIM(X100))=0</formula>
    </cfRule>
    <cfRule type="containsBlanks" dxfId="6039" priority="2455">
      <formula>LEN(TRIM(X100))=0</formula>
    </cfRule>
    <cfRule type="containsBlanks" dxfId="6038" priority="2456">
      <formula>LEN(TRIM(X100))=0</formula>
    </cfRule>
    <cfRule type="containsBlanks" dxfId="6037" priority="2457">
      <formula>LEN(TRIM(X100))=0</formula>
    </cfRule>
    <cfRule type="containsBlanks" dxfId="6036" priority="2458">
      <formula>LEN(TRIM(X100))=0</formula>
    </cfRule>
    <cfRule type="containsBlanks" dxfId="6035" priority="2459">
      <formula>LEN(TRIM(X100))=0</formula>
    </cfRule>
    <cfRule type="containsBlanks" dxfId="6034" priority="2460">
      <formula>LEN(TRIM(X100))=0</formula>
    </cfRule>
    <cfRule type="containsBlanks" dxfId="6033" priority="2461">
      <formula>LEN(TRIM(X100))=0</formula>
    </cfRule>
    <cfRule type="containsBlanks" dxfId="6032" priority="2462">
      <formula>LEN(TRIM(X100))=0</formula>
    </cfRule>
    <cfRule type="containsBlanks" dxfId="6031" priority="2463">
      <formula>LEN(TRIM(X100))=0</formula>
    </cfRule>
    <cfRule type="containsBlanks" dxfId="6030" priority="2464">
      <formula>LEN(TRIM(X100))=0</formula>
    </cfRule>
    <cfRule type="containsBlanks" dxfId="6029" priority="2465">
      <formula>LEN(TRIM(X100))=0</formula>
    </cfRule>
    <cfRule type="containsBlanks" dxfId="6028" priority="2466">
      <formula>LEN(TRIM(X100))=0</formula>
    </cfRule>
    <cfRule type="containsBlanks" dxfId="6027" priority="2467">
      <formula>LEN(TRIM(X100))=0</formula>
    </cfRule>
    <cfRule type="containsBlanks" dxfId="6026" priority="2468">
      <formula>LEN(TRIM(X100))=0</formula>
    </cfRule>
    <cfRule type="containsBlanks" dxfId="6025" priority="2469">
      <formula>LEN(TRIM(X100))=0</formula>
    </cfRule>
    <cfRule type="containsBlanks" dxfId="6024" priority="2470">
      <formula>LEN(TRIM(X100))=0</formula>
    </cfRule>
    <cfRule type="containsBlanks" dxfId="6023" priority="2471">
      <formula>LEN(TRIM(X100))=0</formula>
    </cfRule>
    <cfRule type="containsBlanks" dxfId="6022" priority="2472">
      <formula>LEN(TRIM(X100))=0</formula>
    </cfRule>
    <cfRule type="containsBlanks" dxfId="6021" priority="2473">
      <formula>LEN(TRIM(X100))=0</formula>
    </cfRule>
    <cfRule type="containsBlanks" dxfId="6020" priority="2474">
      <formula>LEN(TRIM(X100))=0</formula>
    </cfRule>
    <cfRule type="containsBlanks" dxfId="6019" priority="2475">
      <formula>LEN(TRIM(X100))=0</formula>
    </cfRule>
    <cfRule type="containsBlanks" dxfId="6018" priority="2476">
      <formula>LEN(TRIM(X100))=0</formula>
    </cfRule>
    <cfRule type="containsBlanks" dxfId="6017" priority="2477">
      <formula>LEN(TRIM(X100))=0</formula>
    </cfRule>
    <cfRule type="containsBlanks" dxfId="6016" priority="2478">
      <formula>LEN(TRIM(X100))=0</formula>
    </cfRule>
    <cfRule type="containsBlanks" dxfId="6015" priority="2479">
      <formula>LEN(TRIM(X100))=0</formula>
    </cfRule>
    <cfRule type="containsBlanks" dxfId="6014" priority="2480">
      <formula>LEN(TRIM(X100))=0</formula>
    </cfRule>
    <cfRule type="containsBlanks" dxfId="6013" priority="2481">
      <formula>LEN(TRIM(X100))=0</formula>
    </cfRule>
    <cfRule type="containsBlanks" dxfId="6012" priority="2482">
      <formula>LEN(TRIM(X100))=0</formula>
    </cfRule>
    <cfRule type="containsBlanks" dxfId="6011" priority="2483">
      <formula>LEN(TRIM(X100))=0</formula>
    </cfRule>
    <cfRule type="containsBlanks" dxfId="6010" priority="2484">
      <formula>LEN(TRIM(X100))=0</formula>
    </cfRule>
    <cfRule type="containsBlanks" dxfId="6009" priority="2485">
      <formula>LEN(TRIM(X100))=0</formula>
    </cfRule>
    <cfRule type="containsBlanks" dxfId="6008" priority="2486">
      <formula>LEN(TRIM(X100))=0</formula>
    </cfRule>
    <cfRule type="containsBlanks" dxfId="6007" priority="2487">
      <formula>LEN(TRIM(X100))=0</formula>
    </cfRule>
    <cfRule type="containsBlanks" dxfId="6006" priority="2488">
      <formula>LEN(TRIM(X100))=0</formula>
    </cfRule>
    <cfRule type="containsBlanks" dxfId="6005" priority="2489">
      <formula>LEN(TRIM(X100))=0</formula>
    </cfRule>
    <cfRule type="containsBlanks" dxfId="6004" priority="2490">
      <formula>LEN(TRIM(X100))=0</formula>
    </cfRule>
    <cfRule type="containsBlanks" dxfId="6003" priority="2491">
      <formula>LEN(TRIM(X100))=0</formula>
    </cfRule>
    <cfRule type="containsBlanks" dxfId="6002" priority="2492">
      <formula>LEN(TRIM(X100))=0</formula>
    </cfRule>
    <cfRule type="containsBlanks" dxfId="6001" priority="2493">
      <formula>LEN(TRIM(X100))=0</formula>
    </cfRule>
    <cfRule type="containsBlanks" dxfId="6000" priority="2494">
      <formula>LEN(TRIM(X100))=0</formula>
    </cfRule>
    <cfRule type="containsBlanks" dxfId="5999" priority="2495">
      <formula>LEN(TRIM(X100))=0</formula>
    </cfRule>
    <cfRule type="containsBlanks" dxfId="5998" priority="2496">
      <formula>LEN(TRIM(X100))=0</formula>
    </cfRule>
    <cfRule type="containsBlanks" dxfId="5997" priority="2497">
      <formula>LEN(TRIM(X100))=0</formula>
    </cfRule>
    <cfRule type="containsBlanks" dxfId="5996" priority="2498">
      <formula>LEN(TRIM(X100))=0</formula>
    </cfRule>
    <cfRule type="containsBlanks" dxfId="5995" priority="2499">
      <formula>LEN(TRIM(X100))=0</formula>
    </cfRule>
    <cfRule type="containsBlanks" dxfId="5994" priority="2500">
      <formula>LEN(TRIM(X100))=0</formula>
    </cfRule>
    <cfRule type="containsBlanks" dxfId="5993" priority="2501">
      <formula>LEN(TRIM(X100))=0</formula>
    </cfRule>
    <cfRule type="containsBlanks" dxfId="5992" priority="2502">
      <formula>LEN(TRIM(X100))=0</formula>
    </cfRule>
    <cfRule type="containsBlanks" dxfId="5991" priority="2503">
      <formula>LEN(TRIM(X100))=0</formula>
    </cfRule>
    <cfRule type="containsBlanks" dxfId="5990" priority="2504">
      <formula>LEN(TRIM(X100))=0</formula>
    </cfRule>
    <cfRule type="containsBlanks" dxfId="5989" priority="2505">
      <formula>LEN(TRIM(X100))=0</formula>
    </cfRule>
    <cfRule type="containsBlanks" dxfId="5988" priority="2506">
      <formula>LEN(TRIM(X100))=0</formula>
    </cfRule>
    <cfRule type="containsBlanks" dxfId="5987" priority="2507">
      <formula>LEN(TRIM(X100))=0</formula>
    </cfRule>
    <cfRule type="containsBlanks" dxfId="5986" priority="2508">
      <formula>LEN(TRIM(X100))=0</formula>
    </cfRule>
    <cfRule type="containsBlanks" dxfId="5985" priority="2509">
      <formula>LEN(TRIM(X100))=0</formula>
    </cfRule>
    <cfRule type="containsBlanks" dxfId="5984" priority="2510">
      <formula>LEN(TRIM(X100))=0</formula>
    </cfRule>
    <cfRule type="containsBlanks" dxfId="5983" priority="2511">
      <formula>LEN(TRIM(X100))=0</formula>
    </cfRule>
    <cfRule type="containsBlanks" dxfId="5982" priority="2512">
      <formula>LEN(TRIM(X100))=0</formula>
    </cfRule>
    <cfRule type="containsBlanks" dxfId="5981" priority="2513">
      <formula>LEN(TRIM(X100))=0</formula>
    </cfRule>
    <cfRule type="containsBlanks" dxfId="5980" priority="2514">
      <formula>LEN(TRIM(X100))=0</formula>
    </cfRule>
    <cfRule type="containsBlanks" dxfId="5979" priority="2515">
      <formula>LEN(TRIM(X100))=0</formula>
    </cfRule>
    <cfRule type="containsBlanks" dxfId="5978" priority="2516">
      <formula>LEN(TRIM(X100))=0</formula>
    </cfRule>
    <cfRule type="containsBlanks" dxfId="5977" priority="2517">
      <formula>LEN(TRIM(X100))=0</formula>
    </cfRule>
    <cfRule type="containsBlanks" dxfId="5976" priority="2518">
      <formula>LEN(TRIM(X100))=0</formula>
    </cfRule>
    <cfRule type="containsBlanks" dxfId="5975" priority="2519">
      <formula>LEN(TRIM(X100))=0</formula>
    </cfRule>
    <cfRule type="containsBlanks" dxfId="5974" priority="2520">
      <formula>LEN(TRIM(X100))=0</formula>
    </cfRule>
    <cfRule type="containsBlanks" dxfId="5973" priority="2521">
      <formula>LEN(TRIM(X100))=0</formula>
    </cfRule>
    <cfRule type="containsBlanks" dxfId="5972" priority="2522">
      <formula>LEN(TRIM(X100))=0</formula>
    </cfRule>
    <cfRule type="containsBlanks" dxfId="5971" priority="2523">
      <formula>LEN(TRIM(X100))=0</formula>
    </cfRule>
    <cfRule type="containsBlanks" dxfId="5970" priority="2524">
      <formula>LEN(TRIM(X100))=0</formula>
    </cfRule>
    <cfRule type="containsBlanks" dxfId="5969" priority="2525">
      <formula>LEN(TRIM(X100))=0</formula>
    </cfRule>
    <cfRule type="containsBlanks" dxfId="5968" priority="2526">
      <formula>LEN(TRIM(X100))=0</formula>
    </cfRule>
    <cfRule type="containsBlanks" dxfId="5967" priority="2527">
      <formula>LEN(TRIM(X100))=0</formula>
    </cfRule>
    <cfRule type="containsBlanks" dxfId="5966" priority="2528">
      <formula>LEN(TRIM(X100))=0</formula>
    </cfRule>
    <cfRule type="containsBlanks" dxfId="5965" priority="2529">
      <formula>LEN(TRIM(X100))=0</formula>
    </cfRule>
    <cfRule type="containsBlanks" dxfId="5964" priority="2530">
      <formula>LEN(TRIM(X100))=0</formula>
    </cfRule>
    <cfRule type="containsBlanks" dxfId="5963" priority="2531">
      <formula>LEN(TRIM(X100))=0</formula>
    </cfRule>
    <cfRule type="containsBlanks" dxfId="5962" priority="2532">
      <formula>LEN(TRIM(X100))=0</formula>
    </cfRule>
    <cfRule type="containsBlanks" dxfId="5961" priority="2533">
      <formula>LEN(TRIM(X100))=0</formula>
    </cfRule>
    <cfRule type="containsBlanks" dxfId="5960" priority="2534">
      <formula>LEN(TRIM(X100))=0</formula>
    </cfRule>
    <cfRule type="containsBlanks" dxfId="5959" priority="2535">
      <formula>LEN(TRIM(X100))=0</formula>
    </cfRule>
    <cfRule type="containsBlanks" dxfId="5958" priority="2536">
      <formula>LEN(TRIM(X100))=0</formula>
    </cfRule>
    <cfRule type="containsBlanks" dxfId="5957" priority="2537">
      <formula>LEN(TRIM(X100))=0</formula>
    </cfRule>
    <cfRule type="containsBlanks" dxfId="5956" priority="2538">
      <formula>LEN(TRIM(X100))=0</formula>
    </cfRule>
    <cfRule type="containsBlanks" dxfId="5955" priority="2539">
      <formula>LEN(TRIM(X100))=0</formula>
    </cfRule>
    <cfRule type="containsBlanks" dxfId="5954" priority="2540">
      <formula>LEN(TRIM(X100))=0</formula>
    </cfRule>
    <cfRule type="containsBlanks" dxfId="5953" priority="2541">
      <formula>LEN(TRIM(X100))=0</formula>
    </cfRule>
    <cfRule type="containsBlanks" dxfId="5952" priority="2542">
      <formula>LEN(TRIM(X100))=0</formula>
    </cfRule>
    <cfRule type="containsBlanks" dxfId="5951" priority="2543">
      <formula>LEN(TRIM(X100))=0</formula>
    </cfRule>
    <cfRule type="containsBlanks" dxfId="5950" priority="2544">
      <formula>LEN(TRIM(X100))=0</formula>
    </cfRule>
    <cfRule type="containsBlanks" dxfId="5949" priority="2545">
      <formula>LEN(TRIM(X100))=0</formula>
    </cfRule>
    <cfRule type="containsBlanks" dxfId="5948" priority="2546">
      <formula>LEN(TRIM(X100))=0</formula>
    </cfRule>
    <cfRule type="containsBlanks" dxfId="5947" priority="2547">
      <formula>LEN(TRIM(X100))=0</formula>
    </cfRule>
    <cfRule type="containsBlanks" dxfId="5946" priority="2548">
      <formula>LEN(TRIM(X100))=0</formula>
    </cfRule>
    <cfRule type="containsBlanks" dxfId="5945" priority="2549">
      <formula>LEN(TRIM(X100))=0</formula>
    </cfRule>
    <cfRule type="containsBlanks" dxfId="5944" priority="2550">
      <formula>LEN(TRIM(X100))=0</formula>
    </cfRule>
    <cfRule type="containsBlanks" dxfId="5943" priority="2551">
      <formula>LEN(TRIM(X100))=0</formula>
    </cfRule>
    <cfRule type="containsBlanks" dxfId="5942" priority="2552">
      <formula>LEN(TRIM(X100))=0</formula>
    </cfRule>
    <cfRule type="containsBlanks" dxfId="5941" priority="2553">
      <formula>LEN(TRIM(X100))=0</formula>
    </cfRule>
    <cfRule type="containsBlanks" dxfId="5940" priority="2554">
      <formula>LEN(TRIM(X100))=0</formula>
    </cfRule>
    <cfRule type="containsBlanks" dxfId="5939" priority="2555">
      <formula>LEN(TRIM(X100))=0</formula>
    </cfRule>
    <cfRule type="containsBlanks" dxfId="5938" priority="2556">
      <formula>LEN(TRIM(X100))=0</formula>
    </cfRule>
    <cfRule type="containsBlanks" dxfId="5937" priority="2557">
      <formula>LEN(TRIM(X100))=0</formula>
    </cfRule>
    <cfRule type="containsBlanks" dxfId="5936" priority="2558">
      <formula>LEN(TRIM(X100))=0</formula>
    </cfRule>
    <cfRule type="containsBlanks" dxfId="5935" priority="2559">
      <formula>LEN(TRIM(X100))=0</formula>
    </cfRule>
    <cfRule type="containsBlanks" dxfId="5934" priority="2560">
      <formula>LEN(TRIM(X100))=0</formula>
    </cfRule>
    <cfRule type="containsBlanks" dxfId="5933" priority="2561">
      <formula>LEN(TRIM(X100))=0</formula>
    </cfRule>
    <cfRule type="containsBlanks" dxfId="5932" priority="2562">
      <formula>LEN(TRIM(X100))=0</formula>
    </cfRule>
    <cfRule type="containsBlanks" dxfId="5931" priority="2563">
      <formula>LEN(TRIM(X100))=0</formula>
    </cfRule>
    <cfRule type="containsBlanks" dxfId="5930" priority="2564">
      <formula>LEN(TRIM(X100))=0</formula>
    </cfRule>
    <cfRule type="containsBlanks" dxfId="5929" priority="2565">
      <formula>LEN(TRIM(X100))=0</formula>
    </cfRule>
    <cfRule type="containsBlanks" dxfId="5928" priority="2566">
      <formula>LEN(TRIM(X100))=0</formula>
    </cfRule>
    <cfRule type="containsBlanks" dxfId="5927" priority="2567">
      <formula>LEN(TRIM(X100))=0</formula>
    </cfRule>
    <cfRule type="containsBlanks" dxfId="5926" priority="2568">
      <formula>LEN(TRIM(X100))=0</formula>
    </cfRule>
    <cfRule type="containsBlanks" dxfId="5925" priority="2569">
      <formula>LEN(TRIM(X100))=0</formula>
    </cfRule>
    <cfRule type="containsBlanks" dxfId="5924" priority="2570">
      <formula>LEN(TRIM(X100))=0</formula>
    </cfRule>
    <cfRule type="containsBlanks" dxfId="5923" priority="2571">
      <formula>LEN(TRIM(X100))=0</formula>
    </cfRule>
    <cfRule type="containsBlanks" dxfId="5922" priority="2572">
      <formula>LEN(TRIM(X100))=0</formula>
    </cfRule>
    <cfRule type="containsBlanks" dxfId="5921" priority="2573">
      <formula>LEN(TRIM(X100))=0</formula>
    </cfRule>
    <cfRule type="containsBlanks" dxfId="5920" priority="2574">
      <formula>LEN(TRIM(X100))=0</formula>
    </cfRule>
    <cfRule type="containsBlanks" dxfId="5919" priority="2575">
      <formula>LEN(TRIM(X100))=0</formula>
    </cfRule>
    <cfRule type="containsBlanks" dxfId="5918" priority="2576">
      <formula>LEN(TRIM(X100))=0</formula>
    </cfRule>
    <cfRule type="containsBlanks" dxfId="5917" priority="2577">
      <formula>LEN(TRIM(X100))=0</formula>
    </cfRule>
    <cfRule type="containsBlanks" dxfId="5916" priority="2578">
      <formula>LEN(TRIM(X100))=0</formula>
    </cfRule>
    <cfRule type="containsBlanks" dxfId="5915" priority="2579">
      <formula>LEN(TRIM(X100))=0</formula>
    </cfRule>
    <cfRule type="containsBlanks" dxfId="5914" priority="2580">
      <formula>LEN(TRIM(X100))=0</formula>
    </cfRule>
    <cfRule type="containsBlanks" dxfId="5913" priority="2581">
      <formula>LEN(TRIM(X100))=0</formula>
    </cfRule>
    <cfRule type="containsBlanks" dxfId="5912" priority="2582">
      <formula>LEN(TRIM(X100))=0</formula>
    </cfRule>
    <cfRule type="containsBlanks" dxfId="5911" priority="2583">
      <formula>LEN(TRIM(X100))=0</formula>
    </cfRule>
    <cfRule type="containsBlanks" dxfId="5910" priority="2584">
      <formula>LEN(TRIM(X100))=0</formula>
    </cfRule>
    <cfRule type="containsBlanks" dxfId="5909" priority="2585">
      <formula>LEN(TRIM(X100))=0</formula>
    </cfRule>
    <cfRule type="containsBlanks" dxfId="5908" priority="2586">
      <formula>LEN(TRIM(X100))=0</formula>
    </cfRule>
    <cfRule type="containsBlanks" dxfId="5907" priority="2587">
      <formula>LEN(TRIM(X100))=0</formula>
    </cfRule>
    <cfRule type="containsBlanks" dxfId="5906" priority="2588">
      <formula>LEN(TRIM(X100))=0</formula>
    </cfRule>
    <cfRule type="containsBlanks" dxfId="5905" priority="2589">
      <formula>LEN(TRIM(X100))=0</formula>
    </cfRule>
    <cfRule type="containsBlanks" dxfId="5904" priority="2590">
      <formula>LEN(TRIM(X100))=0</formula>
    </cfRule>
    <cfRule type="containsBlanks" dxfId="5903" priority="2591">
      <formula>LEN(TRIM(X100))=0</formula>
    </cfRule>
    <cfRule type="containsBlanks" dxfId="5902" priority="2592">
      <formula>LEN(TRIM(X100))=0</formula>
    </cfRule>
    <cfRule type="containsBlanks" dxfId="5901" priority="2593">
      <formula>LEN(TRIM(X100))=0</formula>
    </cfRule>
    <cfRule type="containsBlanks" dxfId="5900" priority="2594">
      <formula>LEN(TRIM(X100))=0</formula>
    </cfRule>
    <cfRule type="containsBlanks" dxfId="5899" priority="2595">
      <formula>LEN(TRIM(X100))=0</formula>
    </cfRule>
    <cfRule type="containsBlanks" dxfId="5898" priority="2596">
      <formula>LEN(TRIM(X100))=0</formula>
    </cfRule>
    <cfRule type="containsBlanks" dxfId="5897" priority="2597">
      <formula>LEN(TRIM(X100))=0</formula>
    </cfRule>
    <cfRule type="containsBlanks" dxfId="5896" priority="2598">
      <formula>LEN(TRIM(X100))=0</formula>
    </cfRule>
    <cfRule type="containsBlanks" dxfId="5895" priority="2599">
      <formula>LEN(TRIM(X100))=0</formula>
    </cfRule>
    <cfRule type="containsBlanks" dxfId="5894" priority="2600">
      <formula>LEN(TRIM(X100))=0</formula>
    </cfRule>
    <cfRule type="containsBlanks" dxfId="5893" priority="2601">
      <formula>LEN(TRIM(X100))=0</formula>
    </cfRule>
    <cfRule type="containsBlanks" dxfId="5892" priority="2602">
      <formula>LEN(TRIM(X100))=0</formula>
    </cfRule>
    <cfRule type="containsBlanks" dxfId="5891" priority="2603">
      <formula>LEN(TRIM(X100))=0</formula>
    </cfRule>
    <cfRule type="containsBlanks" dxfId="5890" priority="2604">
      <formula>LEN(TRIM(X100))=0</formula>
    </cfRule>
    <cfRule type="containsBlanks" dxfId="5889" priority="2605">
      <formula>LEN(TRIM(X100))=0</formula>
    </cfRule>
    <cfRule type="containsBlanks" dxfId="5888" priority="2606">
      <formula>LEN(TRIM(X100))=0</formula>
    </cfRule>
    <cfRule type="containsBlanks" dxfId="5887" priority="2607">
      <formula>LEN(TRIM(X100))=0</formula>
    </cfRule>
    <cfRule type="containsBlanks" dxfId="5886" priority="2608">
      <formula>LEN(TRIM(X100))=0</formula>
    </cfRule>
    <cfRule type="containsBlanks" dxfId="5885" priority="2609">
      <formula>LEN(TRIM(X100))=0</formula>
    </cfRule>
    <cfRule type="containsBlanks" dxfId="5884" priority="2610">
      <formula>LEN(TRIM(X100))=0</formula>
    </cfRule>
    <cfRule type="containsBlanks" dxfId="5883" priority="2611">
      <formula>LEN(TRIM(X100))=0</formula>
    </cfRule>
    <cfRule type="containsBlanks" dxfId="5882" priority="2612">
      <formula>LEN(TRIM(X100))=0</formula>
    </cfRule>
    <cfRule type="containsBlanks" dxfId="5881" priority="2613">
      <formula>LEN(TRIM(X100))=0</formula>
    </cfRule>
    <cfRule type="containsBlanks" dxfId="5880" priority="2614">
      <formula>LEN(TRIM(X100))=0</formula>
    </cfRule>
    <cfRule type="containsBlanks" dxfId="5879" priority="2615">
      <formula>LEN(TRIM(X100))=0</formula>
    </cfRule>
    <cfRule type="containsBlanks" dxfId="5878" priority="2616">
      <formula>LEN(TRIM(X100))=0</formula>
    </cfRule>
    <cfRule type="containsBlanks" dxfId="5877" priority="2617">
      <formula>LEN(TRIM(X100))=0</formula>
    </cfRule>
    <cfRule type="containsBlanks" dxfId="5876" priority="2618">
      <formula>LEN(TRIM(X100))=0</formula>
    </cfRule>
    <cfRule type="containsBlanks" dxfId="5875" priority="2619">
      <formula>LEN(TRIM(X100))=0</formula>
    </cfRule>
    <cfRule type="containsBlanks" dxfId="5874" priority="2620">
      <formula>LEN(TRIM(X100))=0</formula>
    </cfRule>
    <cfRule type="containsBlanks" dxfId="5873" priority="2621">
      <formula>LEN(TRIM(X100))=0</formula>
    </cfRule>
    <cfRule type="containsBlanks" dxfId="5872" priority="2622">
      <formula>LEN(TRIM(X100))=0</formula>
    </cfRule>
    <cfRule type="containsBlanks" dxfId="5871" priority="2623">
      <formula>LEN(TRIM(X100))=0</formula>
    </cfRule>
    <cfRule type="containsBlanks" dxfId="5870" priority="2624">
      <formula>LEN(TRIM(X100))=0</formula>
    </cfRule>
    <cfRule type="containsBlanks" dxfId="5869" priority="2625">
      <formula>LEN(TRIM(X100))=0</formula>
    </cfRule>
    <cfRule type="containsBlanks" dxfId="5868" priority="2626">
      <formula>LEN(TRIM(X100))=0</formula>
    </cfRule>
    <cfRule type="containsBlanks" dxfId="5867" priority="2627">
      <formula>LEN(TRIM(X100))=0</formula>
    </cfRule>
    <cfRule type="containsBlanks" dxfId="5866" priority="2628">
      <formula>LEN(TRIM(X100))=0</formula>
    </cfRule>
    <cfRule type="containsBlanks" dxfId="5865" priority="2629">
      <formula>LEN(TRIM(X100))=0</formula>
    </cfRule>
    <cfRule type="containsBlanks" dxfId="5864" priority="2630">
      <formula>LEN(TRIM(X100))=0</formula>
    </cfRule>
    <cfRule type="containsBlanks" dxfId="5863" priority="2631">
      <formula>LEN(TRIM(X100))=0</formula>
    </cfRule>
    <cfRule type="containsBlanks" dxfId="5862" priority="2632">
      <formula>LEN(TRIM(X100))=0</formula>
    </cfRule>
    <cfRule type="containsBlanks" dxfId="5861" priority="2633">
      <formula>LEN(TRIM(X100))=0</formula>
    </cfRule>
    <cfRule type="containsBlanks" dxfId="5860" priority="2634">
      <formula>LEN(TRIM(X100))=0</formula>
    </cfRule>
    <cfRule type="containsBlanks" dxfId="5859" priority="2635">
      <formula>LEN(TRIM(X100))=0</formula>
    </cfRule>
    <cfRule type="containsBlanks" dxfId="5858" priority="2636">
      <formula>LEN(TRIM(X100))=0</formula>
    </cfRule>
    <cfRule type="containsBlanks" dxfId="5857" priority="2637">
      <formula>LEN(TRIM(X100))=0</formula>
    </cfRule>
    <cfRule type="containsBlanks" dxfId="5856" priority="2638">
      <formula>LEN(TRIM(X100))=0</formula>
    </cfRule>
    <cfRule type="containsBlanks" dxfId="5855" priority="2639">
      <formula>LEN(TRIM(X100))=0</formula>
    </cfRule>
    <cfRule type="containsBlanks" dxfId="5854" priority="2640">
      <formula>LEN(TRIM(X100))=0</formula>
    </cfRule>
    <cfRule type="containsBlanks" dxfId="5853" priority="2641">
      <formula>LEN(TRIM(X100))=0</formula>
    </cfRule>
    <cfRule type="containsBlanks" dxfId="5852" priority="2642">
      <formula>LEN(TRIM(X100))=0</formula>
    </cfRule>
    <cfRule type="containsBlanks" dxfId="5851" priority="2643">
      <formula>LEN(TRIM(X100))=0</formula>
    </cfRule>
    <cfRule type="containsBlanks" dxfId="5850" priority="2644">
      <formula>LEN(TRIM(X100))=0</formula>
    </cfRule>
    <cfRule type="containsBlanks" dxfId="5849" priority="2645">
      <formula>LEN(TRIM(X100))=0</formula>
    </cfRule>
    <cfRule type="containsBlanks" dxfId="5848" priority="2646">
      <formula>LEN(TRIM(X100))=0</formula>
    </cfRule>
    <cfRule type="containsBlanks" dxfId="5847" priority="2647">
      <formula>LEN(TRIM(X100))=0</formula>
    </cfRule>
    <cfRule type="containsBlanks" dxfId="5846" priority="2648">
      <formula>LEN(TRIM(X100))=0</formula>
    </cfRule>
    <cfRule type="containsBlanks" dxfId="5845" priority="2649">
      <formula>LEN(TRIM(X100))=0</formula>
    </cfRule>
    <cfRule type="containsBlanks" dxfId="5844" priority="2650">
      <formula>LEN(TRIM(X100))=0</formula>
    </cfRule>
    <cfRule type="containsBlanks" dxfId="5843" priority="2651">
      <formula>LEN(TRIM(X100))=0</formula>
    </cfRule>
    <cfRule type="containsBlanks" dxfId="5842" priority="2652">
      <formula>LEN(TRIM(X100))=0</formula>
    </cfRule>
    <cfRule type="containsBlanks" dxfId="5841" priority="2653">
      <formula>LEN(TRIM(X100))=0</formula>
    </cfRule>
    <cfRule type="containsBlanks" dxfId="5840" priority="2654">
      <formula>LEN(TRIM(X100))=0</formula>
    </cfRule>
    <cfRule type="containsBlanks" dxfId="5839" priority="2655">
      <formula>LEN(TRIM(X100))=0</formula>
    </cfRule>
    <cfRule type="containsBlanks" dxfId="5838" priority="2656">
      <formula>LEN(TRIM(X100))=0</formula>
    </cfRule>
    <cfRule type="containsBlanks" dxfId="5837" priority="2657">
      <formula>LEN(TRIM(X100))=0</formula>
    </cfRule>
    <cfRule type="containsBlanks" dxfId="5836" priority="2658">
      <formula>LEN(TRIM(X100))=0</formula>
    </cfRule>
    <cfRule type="containsBlanks" dxfId="5835" priority="2659">
      <formula>LEN(TRIM(X100))=0</formula>
    </cfRule>
    <cfRule type="containsBlanks" dxfId="5834" priority="2660">
      <formula>LEN(TRIM(X100))=0</formula>
    </cfRule>
    <cfRule type="containsBlanks" dxfId="5833" priority="2661">
      <formula>LEN(TRIM(X100))=0</formula>
    </cfRule>
    <cfRule type="containsBlanks" dxfId="5832" priority="2662">
      <formula>LEN(TRIM(X100))=0</formula>
    </cfRule>
    <cfRule type="containsBlanks" dxfId="5831" priority="2663">
      <formula>LEN(TRIM(X100))=0</formula>
    </cfRule>
    <cfRule type="containsBlanks" dxfId="5830" priority="2664">
      <formula>LEN(TRIM(X100))=0</formula>
    </cfRule>
    <cfRule type="containsBlanks" dxfId="5829" priority="2665">
      <formula>LEN(TRIM(X100))=0</formula>
    </cfRule>
    <cfRule type="containsBlanks" dxfId="5828" priority="2666">
      <formula>LEN(TRIM(X100))=0</formula>
    </cfRule>
    <cfRule type="containsBlanks" dxfId="5827" priority="2667">
      <formula>LEN(TRIM(X100))=0</formula>
    </cfRule>
    <cfRule type="containsBlanks" dxfId="5826" priority="2668">
      <formula>LEN(TRIM(X100))=0</formula>
    </cfRule>
    <cfRule type="containsBlanks" dxfId="5825" priority="2669">
      <formula>LEN(TRIM(X100))=0</formula>
    </cfRule>
    <cfRule type="containsBlanks" dxfId="5824" priority="2670">
      <formula>LEN(TRIM(X100))=0</formula>
    </cfRule>
    <cfRule type="containsBlanks" dxfId="5823" priority="2671">
      <formula>LEN(TRIM(X100))=0</formula>
    </cfRule>
    <cfRule type="containsBlanks" dxfId="5822" priority="2672">
      <formula>LEN(TRIM(X100))=0</formula>
    </cfRule>
    <cfRule type="containsBlanks" dxfId="5821" priority="2673">
      <formula>LEN(TRIM(X100))=0</formula>
    </cfRule>
    <cfRule type="containsBlanks" dxfId="5820" priority="2674">
      <formula>LEN(TRIM(X100))=0</formula>
    </cfRule>
    <cfRule type="containsBlanks" dxfId="5819" priority="2675">
      <formula>LEN(TRIM(X100))=0</formula>
    </cfRule>
    <cfRule type="containsBlanks" dxfId="5818" priority="2676">
      <formula>LEN(TRIM(X100))=0</formula>
    </cfRule>
    <cfRule type="containsBlanks" dxfId="5817" priority="2677">
      <formula>LEN(TRIM(X100))=0</formula>
    </cfRule>
    <cfRule type="containsBlanks" dxfId="5816" priority="2678">
      <formula>LEN(TRIM(X100))=0</formula>
    </cfRule>
    <cfRule type="containsBlanks" dxfId="5815" priority="2679">
      <formula>LEN(TRIM(X100))=0</formula>
    </cfRule>
    <cfRule type="containsBlanks" dxfId="5814" priority="2680">
      <formula>LEN(TRIM(X100))=0</formula>
    </cfRule>
    <cfRule type="containsBlanks" dxfId="5813" priority="2681">
      <formula>LEN(TRIM(X100))=0</formula>
    </cfRule>
    <cfRule type="containsBlanks" dxfId="5812" priority="2682">
      <formula>LEN(TRIM(X100))=0</formula>
    </cfRule>
    <cfRule type="containsBlanks" dxfId="5811" priority="2683">
      <formula>LEN(TRIM(X100))=0</formula>
    </cfRule>
    <cfRule type="containsBlanks" dxfId="5810" priority="2684">
      <formula>LEN(TRIM(X100))=0</formula>
    </cfRule>
    <cfRule type="containsBlanks" dxfId="5809" priority="2685">
      <formula>LEN(TRIM(X100))=0</formula>
    </cfRule>
    <cfRule type="containsBlanks" dxfId="5808" priority="2686">
      <formula>LEN(TRIM(X100))=0</formula>
    </cfRule>
    <cfRule type="containsBlanks" dxfId="5807" priority="2687">
      <formula>LEN(TRIM(X100))=0</formula>
    </cfRule>
    <cfRule type="containsBlanks" dxfId="5806" priority="2688">
      <formula>LEN(TRIM(X100))=0</formula>
    </cfRule>
    <cfRule type="containsBlanks" dxfId="5805" priority="2689">
      <formula>LEN(TRIM(X100))=0</formula>
    </cfRule>
    <cfRule type="containsBlanks" dxfId="5804" priority="2690">
      <formula>LEN(TRIM(X100))=0</formula>
    </cfRule>
    <cfRule type="containsBlanks" dxfId="5803" priority="2691">
      <formula>LEN(TRIM(X100))=0</formula>
    </cfRule>
    <cfRule type="containsBlanks" dxfId="5802" priority="2692">
      <formula>LEN(TRIM(X100))=0</formula>
    </cfRule>
    <cfRule type="containsBlanks" dxfId="5801" priority="2693">
      <formula>LEN(TRIM(X100))=0</formula>
    </cfRule>
    <cfRule type="containsBlanks" dxfId="5800" priority="2694">
      <formula>LEN(TRIM(X100))=0</formula>
    </cfRule>
    <cfRule type="containsBlanks" dxfId="5799" priority="2695">
      <formula>LEN(TRIM(X100))=0</formula>
    </cfRule>
    <cfRule type="containsBlanks" dxfId="5798" priority="2696">
      <formula>LEN(TRIM(X100))=0</formula>
    </cfRule>
    <cfRule type="containsBlanks" dxfId="5797" priority="2697">
      <formula>LEN(TRIM(X100))=0</formula>
    </cfRule>
    <cfRule type="containsBlanks" dxfId="5796" priority="2698">
      <formula>LEN(TRIM(X100))=0</formula>
    </cfRule>
    <cfRule type="containsBlanks" dxfId="5795" priority="2699">
      <formula>LEN(TRIM(X100))=0</formula>
    </cfRule>
    <cfRule type="containsBlanks" dxfId="5794" priority="2700">
      <formula>LEN(TRIM(X100))=0</formula>
    </cfRule>
    <cfRule type="containsBlanks" dxfId="5793" priority="2701">
      <formula>LEN(TRIM(X100))=0</formula>
    </cfRule>
    <cfRule type="containsBlanks" dxfId="5792" priority="2702">
      <formula>LEN(TRIM(X100))=0</formula>
    </cfRule>
    <cfRule type="containsBlanks" dxfId="5791" priority="2703">
      <formula>LEN(TRIM(X100))=0</formula>
    </cfRule>
    <cfRule type="containsBlanks" dxfId="5790" priority="2704">
      <formula>LEN(TRIM(X100))=0</formula>
    </cfRule>
    <cfRule type="containsBlanks" dxfId="5789" priority="2705">
      <formula>LEN(TRIM(X100))=0</formula>
    </cfRule>
    <cfRule type="containsBlanks" dxfId="5788" priority="2706">
      <formula>LEN(TRIM(X100))=0</formula>
    </cfRule>
    <cfRule type="containsBlanks" dxfId="5787" priority="2707">
      <formula>LEN(TRIM(X100))=0</formula>
    </cfRule>
    <cfRule type="containsBlanks" dxfId="5786" priority="2708">
      <formula>LEN(TRIM(X100))=0</formula>
    </cfRule>
    <cfRule type="containsBlanks" dxfId="5785" priority="2709">
      <formula>LEN(TRIM(X100))=0</formula>
    </cfRule>
    <cfRule type="containsBlanks" dxfId="5784" priority="2710">
      <formula>LEN(TRIM(X100))=0</formula>
    </cfRule>
    <cfRule type="containsBlanks" dxfId="5783" priority="2711">
      <formula>LEN(TRIM(X100))=0</formula>
    </cfRule>
    <cfRule type="containsBlanks" dxfId="5782" priority="2712">
      <formula>LEN(TRIM(X100))=0</formula>
    </cfRule>
    <cfRule type="containsBlanks" dxfId="5781" priority="2713">
      <formula>LEN(TRIM(X100))=0</formula>
    </cfRule>
    <cfRule type="containsBlanks" dxfId="5780" priority="2714">
      <formula>LEN(TRIM(X100))=0</formula>
    </cfRule>
    <cfRule type="containsBlanks" dxfId="5779" priority="2715">
      <formula>LEN(TRIM(X100))=0</formula>
    </cfRule>
    <cfRule type="containsBlanks" dxfId="5778" priority="2716">
      <formula>LEN(TRIM(X100))=0</formula>
    </cfRule>
    <cfRule type="containsBlanks" dxfId="5777" priority="2717">
      <formula>LEN(TRIM(X100))=0</formula>
    </cfRule>
    <cfRule type="containsBlanks" dxfId="5776" priority="2718">
      <formula>LEN(TRIM(X100))=0</formula>
    </cfRule>
    <cfRule type="containsBlanks" dxfId="5775" priority="2719">
      <formula>LEN(TRIM(X100))=0</formula>
    </cfRule>
    <cfRule type="containsBlanks" dxfId="5774" priority="2720">
      <formula>LEN(TRIM(X100))=0</formula>
    </cfRule>
    <cfRule type="containsBlanks" dxfId="5773" priority="2721">
      <formula>LEN(TRIM(X100))=0</formula>
    </cfRule>
    <cfRule type="containsBlanks" dxfId="5772" priority="2722">
      <formula>LEN(TRIM(X100))=0</formula>
    </cfRule>
    <cfRule type="containsBlanks" dxfId="5771" priority="2723">
      <formula>LEN(TRIM(X100))=0</formula>
    </cfRule>
    <cfRule type="containsBlanks" dxfId="5770" priority="2724">
      <formula>LEN(TRIM(X100))=0</formula>
    </cfRule>
    <cfRule type="containsBlanks" dxfId="5769" priority="2725">
      <formula>LEN(TRIM(X100))=0</formula>
    </cfRule>
    <cfRule type="containsBlanks" dxfId="5768" priority="2726">
      <formula>LEN(TRIM(X100))=0</formula>
    </cfRule>
    <cfRule type="containsBlanks" dxfId="5767" priority="2727">
      <formula>LEN(TRIM(X100))=0</formula>
    </cfRule>
    <cfRule type="containsBlanks" dxfId="5766" priority="2728">
      <formula>LEN(TRIM(X100))=0</formula>
    </cfRule>
    <cfRule type="containsBlanks" dxfId="5765" priority="2729">
      <formula>LEN(TRIM(X100))=0</formula>
    </cfRule>
    <cfRule type="containsBlanks" dxfId="5764" priority="2730">
      <formula>LEN(TRIM(X100))=0</formula>
    </cfRule>
    <cfRule type="containsBlanks" dxfId="5763" priority="2731">
      <formula>LEN(TRIM(X100))=0</formula>
    </cfRule>
    <cfRule type="containsBlanks" dxfId="5762" priority="2732">
      <formula>LEN(TRIM(X100))=0</formula>
    </cfRule>
    <cfRule type="containsBlanks" dxfId="5761" priority="2733">
      <formula>LEN(TRIM(X100))=0</formula>
    </cfRule>
    <cfRule type="containsBlanks" dxfId="5760" priority="2734">
      <formula>LEN(TRIM(X100))=0</formula>
    </cfRule>
    <cfRule type="containsBlanks" dxfId="5759" priority="2735">
      <formula>LEN(TRIM(X100))=0</formula>
    </cfRule>
    <cfRule type="containsBlanks" dxfId="5758" priority="2736">
      <formula>LEN(TRIM(X100))=0</formula>
    </cfRule>
    <cfRule type="containsBlanks" dxfId="5757" priority="2737">
      <formula>LEN(TRIM(X100))=0</formula>
    </cfRule>
    <cfRule type="containsBlanks" dxfId="5756" priority="2738">
      <formula>LEN(TRIM(X100))=0</formula>
    </cfRule>
    <cfRule type="containsBlanks" dxfId="5755" priority="2739">
      <formula>LEN(TRIM(X100))=0</formula>
    </cfRule>
    <cfRule type="containsBlanks" dxfId="5754" priority="2740">
      <formula>LEN(TRIM(X100))=0</formula>
    </cfRule>
    <cfRule type="containsBlanks" dxfId="5753" priority="2741">
      <formula>LEN(TRIM(X100))=0</formula>
    </cfRule>
    <cfRule type="containsBlanks" dxfId="5752" priority="2742">
      <formula>LEN(TRIM(X100))=0</formula>
    </cfRule>
    <cfRule type="containsBlanks" dxfId="5751" priority="2743">
      <formula>LEN(TRIM(X100))=0</formula>
    </cfRule>
    <cfRule type="containsBlanks" dxfId="5750" priority="2744">
      <formula>LEN(TRIM(X100))=0</formula>
    </cfRule>
    <cfRule type="containsBlanks" dxfId="5749" priority="2745">
      <formula>LEN(TRIM(X100))=0</formula>
    </cfRule>
    <cfRule type="containsBlanks" dxfId="5748" priority="2746">
      <formula>LEN(TRIM(X100))=0</formula>
    </cfRule>
    <cfRule type="containsBlanks" dxfId="5747" priority="2747">
      <formula>LEN(TRIM(X100))=0</formula>
    </cfRule>
    <cfRule type="containsBlanks" dxfId="5746" priority="2748">
      <formula>LEN(TRIM(X100))=0</formula>
    </cfRule>
    <cfRule type="containsBlanks" dxfId="5745" priority="2749">
      <formula>LEN(TRIM(X100))=0</formula>
    </cfRule>
    <cfRule type="containsBlanks" dxfId="5744" priority="2750">
      <formula>LEN(TRIM(X100))=0</formula>
    </cfRule>
    <cfRule type="containsBlanks" dxfId="5743" priority="2751">
      <formula>LEN(TRIM(X100))=0</formula>
    </cfRule>
    <cfRule type="containsBlanks" dxfId="5742" priority="2752">
      <formula>LEN(TRIM(X100))=0</formula>
    </cfRule>
    <cfRule type="containsBlanks" dxfId="5741" priority="2753">
      <formula>LEN(TRIM(X100))=0</formula>
    </cfRule>
    <cfRule type="containsBlanks" dxfId="5740" priority="2754">
      <formula>LEN(TRIM(X100))=0</formula>
    </cfRule>
    <cfRule type="containsBlanks" dxfId="5739" priority="2755">
      <formula>LEN(TRIM(X100))=0</formula>
    </cfRule>
    <cfRule type="containsBlanks" dxfId="5738" priority="2756">
      <formula>LEN(TRIM(X100))=0</formula>
    </cfRule>
    <cfRule type="containsBlanks" dxfId="5737" priority="2757">
      <formula>LEN(TRIM(X100))=0</formula>
    </cfRule>
    <cfRule type="containsBlanks" dxfId="5736" priority="2758">
      <formula>LEN(TRIM(X100))=0</formula>
    </cfRule>
    <cfRule type="containsBlanks" dxfId="5735" priority="2759">
      <formula>LEN(TRIM(X100))=0</formula>
    </cfRule>
    <cfRule type="containsBlanks" dxfId="5734" priority="2760">
      <formula>LEN(TRIM(X100))=0</formula>
    </cfRule>
    <cfRule type="containsBlanks" dxfId="5733" priority="2761">
      <formula>LEN(TRIM(X100))=0</formula>
    </cfRule>
    <cfRule type="containsBlanks" dxfId="5732" priority="2762">
      <formula>LEN(TRIM(X100))=0</formula>
    </cfRule>
    <cfRule type="containsBlanks" dxfId="5731" priority="2763">
      <formula>LEN(TRIM(X100))=0</formula>
    </cfRule>
    <cfRule type="containsBlanks" dxfId="5730" priority="2764">
      <formula>LEN(TRIM(X100))=0</formula>
    </cfRule>
    <cfRule type="containsBlanks" dxfId="5729" priority="2765">
      <formula>LEN(TRIM(X100))=0</formula>
    </cfRule>
    <cfRule type="containsBlanks" dxfId="5728" priority="2766">
      <formula>LEN(TRIM(X100))=0</formula>
    </cfRule>
    <cfRule type="containsBlanks" dxfId="5727" priority="2767">
      <formula>LEN(TRIM(X100))=0</formula>
    </cfRule>
    <cfRule type="containsBlanks" dxfId="5726" priority="2768">
      <formula>LEN(TRIM(X100))=0</formula>
    </cfRule>
    <cfRule type="containsBlanks" dxfId="5725" priority="2769">
      <formula>LEN(TRIM(X100))=0</formula>
    </cfRule>
    <cfRule type="containsBlanks" dxfId="5724" priority="2770">
      <formula>LEN(TRIM(X100))=0</formula>
    </cfRule>
    <cfRule type="containsBlanks" dxfId="5723" priority="2771">
      <formula>LEN(TRIM(X100))=0</formula>
    </cfRule>
    <cfRule type="containsBlanks" dxfId="5722" priority="2772">
      <formula>LEN(TRIM(X100))=0</formula>
    </cfRule>
    <cfRule type="containsBlanks" dxfId="5721" priority="2773">
      <formula>LEN(TRIM(X100))=0</formula>
    </cfRule>
    <cfRule type="containsBlanks" dxfId="5720" priority="2774">
      <formula>LEN(TRIM(X100))=0</formula>
    </cfRule>
    <cfRule type="containsBlanks" dxfId="5719" priority="2775">
      <formula>LEN(TRIM(X100))=0</formula>
    </cfRule>
    <cfRule type="containsBlanks" dxfId="5718" priority="2776">
      <formula>LEN(TRIM(X100))=0</formula>
    </cfRule>
    <cfRule type="containsBlanks" dxfId="5717" priority="2777">
      <formula>LEN(TRIM(X100))=0</formula>
    </cfRule>
    <cfRule type="containsBlanks" dxfId="5716" priority="2778">
      <formula>LEN(TRIM(X100))=0</formula>
    </cfRule>
    <cfRule type="containsBlanks" dxfId="5715" priority="2779">
      <formula>LEN(TRIM(X100))=0</formula>
    </cfRule>
    <cfRule type="containsBlanks" dxfId="5714" priority="2780">
      <formula>LEN(TRIM(X100))=0</formula>
    </cfRule>
    <cfRule type="containsBlanks" dxfId="5713" priority="2781">
      <formula>LEN(TRIM(X100))=0</formula>
    </cfRule>
    <cfRule type="containsBlanks" dxfId="5712" priority="2782">
      <formula>LEN(TRIM(X100))=0</formula>
    </cfRule>
    <cfRule type="containsBlanks" dxfId="5711" priority="2783">
      <formula>LEN(TRIM(X100))=0</formula>
    </cfRule>
    <cfRule type="containsBlanks" dxfId="5710" priority="2784">
      <formula>LEN(TRIM(X100))=0</formula>
    </cfRule>
    <cfRule type="containsBlanks" dxfId="5709" priority="2785">
      <formula>LEN(TRIM(X100))=0</formula>
    </cfRule>
    <cfRule type="containsBlanks" dxfId="5708" priority="2786">
      <formula>LEN(TRIM(X100))=0</formula>
    </cfRule>
    <cfRule type="containsBlanks" dxfId="5707" priority="2787">
      <formula>LEN(TRIM(X100))=0</formula>
    </cfRule>
    <cfRule type="containsBlanks" dxfId="5706" priority="2788">
      <formula>LEN(TRIM(X100))=0</formula>
    </cfRule>
    <cfRule type="containsBlanks" dxfId="5705" priority="2789">
      <formula>LEN(TRIM(X100))=0</formula>
    </cfRule>
    <cfRule type="containsBlanks" dxfId="5704" priority="2790">
      <formula>LEN(TRIM(X100))=0</formula>
    </cfRule>
    <cfRule type="containsBlanks" dxfId="5703" priority="2791">
      <formula>LEN(TRIM(X100))=0</formula>
    </cfRule>
    <cfRule type="containsBlanks" dxfId="5702" priority="2792">
      <formula>LEN(TRIM(X100))=0</formula>
    </cfRule>
    <cfRule type="containsBlanks" dxfId="5701" priority="2793">
      <formula>LEN(TRIM(X100))=0</formula>
    </cfRule>
    <cfRule type="containsBlanks" dxfId="5700" priority="2794">
      <formula>LEN(TRIM(X100))=0</formula>
    </cfRule>
    <cfRule type="containsBlanks" dxfId="5699" priority="2795">
      <formula>LEN(TRIM(X100))=0</formula>
    </cfRule>
    <cfRule type="containsBlanks" dxfId="5698" priority="2796">
      <formula>LEN(TRIM(X100))=0</formula>
    </cfRule>
    <cfRule type="containsBlanks" dxfId="5697" priority="2797">
      <formula>LEN(TRIM(X100))=0</formula>
    </cfRule>
    <cfRule type="containsBlanks" dxfId="5696" priority="2798">
      <formula>LEN(TRIM(X100))=0</formula>
    </cfRule>
    <cfRule type="containsBlanks" dxfId="5695" priority="2799">
      <formula>LEN(TRIM(X100))=0</formula>
    </cfRule>
    <cfRule type="containsBlanks" dxfId="5694" priority="2800">
      <formula>LEN(TRIM(X100))=0</formula>
    </cfRule>
    <cfRule type="containsBlanks" dxfId="5693" priority="2801">
      <formula>LEN(TRIM(X100))=0</formula>
    </cfRule>
    <cfRule type="containsBlanks" dxfId="5692" priority="2802">
      <formula>LEN(TRIM(X100))=0</formula>
    </cfRule>
    <cfRule type="containsBlanks" dxfId="5691" priority="2803">
      <formula>LEN(TRIM(X100))=0</formula>
    </cfRule>
    <cfRule type="containsBlanks" dxfId="5690" priority="2804">
      <formula>LEN(TRIM(X100))=0</formula>
    </cfRule>
    <cfRule type="containsBlanks" dxfId="5689" priority="2805">
      <formula>LEN(TRIM(X100))=0</formula>
    </cfRule>
    <cfRule type="containsBlanks" dxfId="5688" priority="2806">
      <formula>LEN(TRIM(X100))=0</formula>
    </cfRule>
    <cfRule type="containsBlanks" dxfId="5687" priority="2807">
      <formula>LEN(TRIM(X100))=0</formula>
    </cfRule>
    <cfRule type="containsBlanks" dxfId="5686" priority="2808">
      <formula>LEN(TRIM(X100))=0</formula>
    </cfRule>
    <cfRule type="containsBlanks" dxfId="5685" priority="2809">
      <formula>LEN(TRIM(X100))=0</formula>
    </cfRule>
    <cfRule type="containsBlanks" dxfId="5684" priority="2810">
      <formula>LEN(TRIM(X100))=0</formula>
    </cfRule>
    <cfRule type="containsBlanks" dxfId="5683" priority="2811">
      <formula>LEN(TRIM(X100))=0</formula>
    </cfRule>
    <cfRule type="containsBlanks" dxfId="5682" priority="2812">
      <formula>LEN(TRIM(X100))=0</formula>
    </cfRule>
    <cfRule type="containsBlanks" dxfId="5681" priority="2813">
      <formula>LEN(TRIM(X100))=0</formula>
    </cfRule>
    <cfRule type="containsBlanks" dxfId="5680" priority="2814">
      <formula>LEN(TRIM(X100))=0</formula>
    </cfRule>
    <cfRule type="containsBlanks" dxfId="5679" priority="2815">
      <formula>LEN(TRIM(X100))=0</formula>
    </cfRule>
    <cfRule type="containsBlanks" dxfId="5678" priority="2816">
      <formula>LEN(TRIM(X100))=0</formula>
    </cfRule>
    <cfRule type="containsBlanks" dxfId="5677" priority="2817">
      <formula>LEN(TRIM(X100))=0</formula>
    </cfRule>
    <cfRule type="containsBlanks" dxfId="5676" priority="2818">
      <formula>LEN(TRIM(X100))=0</formula>
    </cfRule>
    <cfRule type="containsBlanks" dxfId="5675" priority="2819">
      <formula>LEN(TRIM(X100))=0</formula>
    </cfRule>
    <cfRule type="containsBlanks" dxfId="5674" priority="2820">
      <formula>LEN(TRIM(X100))=0</formula>
    </cfRule>
    <cfRule type="containsBlanks" dxfId="5673" priority="2821">
      <formula>LEN(TRIM(X100))=0</formula>
    </cfRule>
    <cfRule type="containsBlanks" dxfId="5672" priority="2822">
      <formula>LEN(TRIM(X100))=0</formula>
    </cfRule>
    <cfRule type="containsBlanks" dxfId="5671" priority="2823">
      <formula>LEN(TRIM(X100))=0</formula>
    </cfRule>
    <cfRule type="containsBlanks" dxfId="5670" priority="2824">
      <formula>LEN(TRIM(X100))=0</formula>
    </cfRule>
    <cfRule type="containsBlanks" dxfId="5669" priority="2825">
      <formula>LEN(TRIM(X100))=0</formula>
    </cfRule>
    <cfRule type="containsBlanks" dxfId="5668" priority="2826">
      <formula>LEN(TRIM(X100))=0</formula>
    </cfRule>
    <cfRule type="containsBlanks" dxfId="5667" priority="2827">
      <formula>LEN(TRIM(X100))=0</formula>
    </cfRule>
    <cfRule type="containsBlanks" dxfId="5666" priority="2828">
      <formula>LEN(TRIM(X100))=0</formula>
    </cfRule>
    <cfRule type="containsBlanks" dxfId="5665" priority="2829">
      <formula>LEN(TRIM(X100))=0</formula>
    </cfRule>
    <cfRule type="containsBlanks" dxfId="5664" priority="2830">
      <formula>LEN(TRIM(X100))=0</formula>
    </cfRule>
    <cfRule type="containsBlanks" dxfId="5663" priority="2831">
      <formula>LEN(TRIM(X100))=0</formula>
    </cfRule>
    <cfRule type="containsBlanks" dxfId="5662" priority="2832">
      <formula>LEN(TRIM(X100))=0</formula>
    </cfRule>
    <cfRule type="containsBlanks" dxfId="5661" priority="2833">
      <formula>LEN(TRIM(X100))=0</formula>
    </cfRule>
    <cfRule type="containsBlanks" dxfId="5660" priority="2834">
      <formula>LEN(TRIM(X100))=0</formula>
    </cfRule>
    <cfRule type="containsBlanks" dxfId="5659" priority="2835">
      <formula>LEN(TRIM(X100))=0</formula>
    </cfRule>
    <cfRule type="containsBlanks" dxfId="5658" priority="2836">
      <formula>LEN(TRIM(X100))=0</formula>
    </cfRule>
    <cfRule type="containsBlanks" dxfId="5657" priority="2837">
      <formula>LEN(TRIM(X100))=0</formula>
    </cfRule>
    <cfRule type="containsBlanks" dxfId="5656" priority="2838">
      <formula>LEN(TRIM(X100))=0</formula>
    </cfRule>
    <cfRule type="containsBlanks" dxfId="5655" priority="2839">
      <formula>LEN(TRIM(X100))=0</formula>
    </cfRule>
    <cfRule type="containsBlanks" dxfId="5654" priority="2840">
      <formula>LEN(TRIM(X100))=0</formula>
    </cfRule>
    <cfRule type="containsBlanks" dxfId="5653" priority="2841">
      <formula>LEN(TRIM(X100))=0</formula>
    </cfRule>
    <cfRule type="containsBlanks" dxfId="5652" priority="2842">
      <formula>LEN(TRIM(X100))=0</formula>
    </cfRule>
    <cfRule type="containsBlanks" dxfId="5651" priority="2843">
      <formula>LEN(TRIM(X100))=0</formula>
    </cfRule>
    <cfRule type="containsBlanks" dxfId="5650" priority="2844">
      <formula>LEN(TRIM(X100))=0</formula>
    </cfRule>
    <cfRule type="containsBlanks" dxfId="5649" priority="2845">
      <formula>LEN(TRIM(X100))=0</formula>
    </cfRule>
    <cfRule type="containsBlanks" dxfId="5648" priority="2846">
      <formula>LEN(TRIM(X100))=0</formula>
    </cfRule>
    <cfRule type="containsBlanks" dxfId="5647" priority="2847">
      <formula>LEN(TRIM(X100))=0</formula>
    </cfRule>
    <cfRule type="containsBlanks" dxfId="5646" priority="2848">
      <formula>LEN(TRIM(X100))=0</formula>
    </cfRule>
    <cfRule type="containsBlanks" dxfId="5645" priority="2849">
      <formula>LEN(TRIM(X100))=0</formula>
    </cfRule>
    <cfRule type="containsBlanks" dxfId="5644" priority="2850">
      <formula>LEN(TRIM(X100))=0</formula>
    </cfRule>
    <cfRule type="containsBlanks" dxfId="5643" priority="2851">
      <formula>LEN(TRIM(X100))=0</formula>
    </cfRule>
    <cfRule type="containsBlanks" dxfId="5642" priority="2852">
      <formula>LEN(TRIM(X100))=0</formula>
    </cfRule>
    <cfRule type="containsBlanks" dxfId="5641" priority="2853">
      <formula>LEN(TRIM(X100))=0</formula>
    </cfRule>
    <cfRule type="containsBlanks" dxfId="5640" priority="2854">
      <formula>LEN(TRIM(X100))=0</formula>
    </cfRule>
    <cfRule type="containsBlanks" dxfId="5639" priority="2855">
      <formula>LEN(TRIM(X100))=0</formula>
    </cfRule>
    <cfRule type="containsBlanks" dxfId="5638" priority="2856">
      <formula>LEN(TRIM(X100))=0</formula>
    </cfRule>
    <cfRule type="containsBlanks" dxfId="5637" priority="2857">
      <formula>LEN(TRIM(X100))=0</formula>
    </cfRule>
    <cfRule type="containsBlanks" dxfId="5636" priority="2858">
      <formula>LEN(TRIM(X100))=0</formula>
    </cfRule>
    <cfRule type="containsBlanks" dxfId="5635" priority="2859">
      <formula>LEN(TRIM(X100))=0</formula>
    </cfRule>
    <cfRule type="containsBlanks" dxfId="5634" priority="2860">
      <formula>LEN(TRIM(X100))=0</formula>
    </cfRule>
    <cfRule type="containsBlanks" dxfId="5633" priority="2861">
      <formula>LEN(TRIM(X100))=0</formula>
    </cfRule>
    <cfRule type="containsBlanks" dxfId="5632" priority="2862">
      <formula>LEN(TRIM(X100))=0</formula>
    </cfRule>
    <cfRule type="containsBlanks" dxfId="5631" priority="2863">
      <formula>LEN(TRIM(X100))=0</formula>
    </cfRule>
    <cfRule type="containsBlanks" dxfId="5630" priority="2864">
      <formula>LEN(TRIM(X100))=0</formula>
    </cfRule>
    <cfRule type="containsBlanks" dxfId="5629" priority="2865">
      <formula>LEN(TRIM(X100))=0</formula>
    </cfRule>
    <cfRule type="containsBlanks" dxfId="5628" priority="2866">
      <formula>LEN(TRIM(X100))=0</formula>
    </cfRule>
    <cfRule type="containsBlanks" dxfId="5627" priority="2867">
      <formula>LEN(TRIM(X100))=0</formula>
    </cfRule>
  </conditionalFormatting>
  <conditionalFormatting sqref="Y99:Y103 Y105:Y157">
    <cfRule type="containsBlanks" dxfId="5626" priority="2287">
      <formula>LEN(TRIM(Y99))=0</formula>
    </cfRule>
    <cfRule type="containsBlanks" dxfId="5625" priority="2288">
      <formula>LEN(TRIM(Y99))=0</formula>
    </cfRule>
    <cfRule type="containsBlanks" dxfId="5624" priority="2289">
      <formula>LEN(TRIM(Y99))=0</formula>
    </cfRule>
    <cfRule type="containsBlanks" dxfId="5623" priority="2290">
      <formula>LEN(TRIM(Y99))=0</formula>
    </cfRule>
    <cfRule type="containsBlanks" dxfId="5622" priority="2291">
      <formula>LEN(TRIM(Y99))=0</formula>
    </cfRule>
    <cfRule type="containsBlanks" dxfId="5621" priority="2292">
      <formula>LEN(TRIM(Y99))=0</formula>
    </cfRule>
    <cfRule type="containsBlanks" dxfId="5620" priority="2293">
      <formula>LEN(TRIM(Y99))=0</formula>
    </cfRule>
    <cfRule type="containsBlanks" dxfId="5619" priority="2294">
      <formula>LEN(TRIM(Y99))=0</formula>
    </cfRule>
    <cfRule type="containsBlanks" dxfId="5618" priority="2295">
      <formula>LEN(TRIM(Y99))=0</formula>
    </cfRule>
    <cfRule type="containsBlanks" dxfId="5617" priority="2296">
      <formula>LEN(TRIM(Y99))=0</formula>
    </cfRule>
    <cfRule type="containsBlanks" dxfId="5616" priority="2297">
      <formula>LEN(TRIM(Y99))=0</formula>
    </cfRule>
    <cfRule type="containsBlanks" dxfId="5615" priority="2298">
      <formula>LEN(TRIM(Y99))=0</formula>
    </cfRule>
    <cfRule type="containsBlanks" dxfId="5614" priority="2299">
      <formula>LEN(TRIM(Y99))=0</formula>
    </cfRule>
    <cfRule type="containsBlanks" dxfId="5613" priority="2300">
      <formula>LEN(TRIM(Y99))=0</formula>
    </cfRule>
    <cfRule type="containsBlanks" dxfId="5612" priority="2301">
      <formula>LEN(TRIM(Y99))=0</formula>
    </cfRule>
    <cfRule type="containsBlanks" dxfId="5611" priority="2302">
      <formula>LEN(TRIM(Y99))=0</formula>
    </cfRule>
    <cfRule type="containsBlanks" dxfId="5610" priority="2303">
      <formula>LEN(TRIM(Y99))=0</formula>
    </cfRule>
    <cfRule type="containsBlanks" dxfId="5609" priority="2304">
      <formula>LEN(TRIM(Y99))=0</formula>
    </cfRule>
    <cfRule type="containsBlanks" dxfId="5608" priority="2305">
      <formula>LEN(TRIM(Y99))=0</formula>
    </cfRule>
    <cfRule type="containsBlanks" dxfId="5607" priority="2306">
      <formula>LEN(TRIM(Y99))=0</formula>
    </cfRule>
    <cfRule type="containsBlanks" dxfId="5606" priority="2307">
      <formula>LEN(TRIM(Y99))=0</formula>
    </cfRule>
    <cfRule type="containsBlanks" dxfId="5605" priority="2308">
      <formula>LEN(TRIM(Y99))=0</formula>
    </cfRule>
    <cfRule type="containsBlanks" dxfId="5604" priority="2309">
      <formula>LEN(TRIM(Y99))=0</formula>
    </cfRule>
    <cfRule type="containsBlanks" dxfId="5603" priority="2310">
      <formula>LEN(TRIM(Y99))=0</formula>
    </cfRule>
    <cfRule type="containsBlanks" dxfId="5602" priority="2311">
      <formula>LEN(TRIM(Y99))=0</formula>
    </cfRule>
    <cfRule type="containsBlanks" dxfId="5601" priority="2312">
      <formula>LEN(TRIM(Y99))=0</formula>
    </cfRule>
    <cfRule type="containsBlanks" dxfId="5600" priority="2313">
      <formula>LEN(TRIM(Y99))=0</formula>
    </cfRule>
    <cfRule type="containsBlanks" dxfId="5599" priority="2314">
      <formula>LEN(TRIM(Y99))=0</formula>
    </cfRule>
    <cfRule type="containsBlanks" dxfId="5598" priority="2315">
      <formula>LEN(TRIM(Y99))=0</formula>
    </cfRule>
    <cfRule type="containsBlanks" dxfId="5597" priority="2316">
      <formula>LEN(TRIM(Y99))=0</formula>
    </cfRule>
    <cfRule type="containsBlanks" dxfId="5596" priority="2317">
      <formula>LEN(TRIM(Y99))=0</formula>
    </cfRule>
    <cfRule type="containsBlanks" dxfId="5595" priority="2318">
      <formula>LEN(TRIM(Y99))=0</formula>
    </cfRule>
    <cfRule type="containsBlanks" dxfId="5594" priority="2319">
      <formula>LEN(TRIM(Y99))=0</formula>
    </cfRule>
    <cfRule type="containsBlanks" dxfId="5593" priority="2320">
      <formula>LEN(TRIM(Y99))=0</formula>
    </cfRule>
    <cfRule type="containsBlanks" dxfId="5592" priority="2321">
      <formula>LEN(TRIM(Y99))=0</formula>
    </cfRule>
    <cfRule type="containsBlanks" dxfId="5591" priority="2322">
      <formula>LEN(TRIM(Y99))=0</formula>
    </cfRule>
    <cfRule type="containsBlanks" dxfId="5590" priority="2323">
      <formula>LEN(TRIM(Y99))=0</formula>
    </cfRule>
    <cfRule type="containsBlanks" dxfId="5589" priority="2324">
      <formula>LEN(TRIM(Y99))=0</formula>
    </cfRule>
    <cfRule type="containsBlanks" dxfId="5588" priority="2325">
      <formula>LEN(TRIM(Y99))=0</formula>
    </cfRule>
    <cfRule type="containsBlanks" dxfId="5587" priority="2326">
      <formula>LEN(TRIM(Y99))=0</formula>
    </cfRule>
    <cfRule type="containsBlanks" dxfId="5586" priority="2327">
      <formula>LEN(TRIM(Y99))=0</formula>
    </cfRule>
    <cfRule type="containsBlanks" dxfId="5585" priority="2328">
      <formula>LEN(TRIM(Y99))=0</formula>
    </cfRule>
    <cfRule type="containsBlanks" dxfId="5584" priority="2329">
      <formula>LEN(TRIM(Y99))=0</formula>
    </cfRule>
    <cfRule type="containsBlanks" dxfId="5583" priority="2330">
      <formula>LEN(TRIM(Y99))=0</formula>
    </cfRule>
    <cfRule type="containsBlanks" dxfId="5582" priority="2331">
      <formula>LEN(TRIM(Y99))=0</formula>
    </cfRule>
    <cfRule type="containsBlanks" dxfId="5581" priority="2332">
      <formula>LEN(TRIM(Y99))=0</formula>
    </cfRule>
    <cfRule type="containsBlanks" dxfId="5580" priority="2333">
      <formula>LEN(TRIM(Y99))=0</formula>
    </cfRule>
    <cfRule type="containsBlanks" dxfId="5579" priority="2334">
      <formula>LEN(TRIM(Y99))=0</formula>
    </cfRule>
    <cfRule type="containsBlanks" dxfId="5578" priority="2335">
      <formula>LEN(TRIM(Y99))=0</formula>
    </cfRule>
    <cfRule type="containsBlanks" dxfId="5577" priority="2336">
      <formula>LEN(TRIM(Y99))=0</formula>
    </cfRule>
    <cfRule type="containsBlanks" dxfId="5576" priority="2337">
      <formula>LEN(TRIM(Y99))=0</formula>
    </cfRule>
    <cfRule type="containsBlanks" dxfId="5575" priority="2338">
      <formula>LEN(TRIM(Y99))=0</formula>
    </cfRule>
    <cfRule type="containsBlanks" dxfId="5574" priority="2339">
      <formula>LEN(TRIM(Y99))=0</formula>
    </cfRule>
    <cfRule type="containsBlanks" dxfId="5573" priority="2340">
      <formula>LEN(TRIM(Y99))=0</formula>
    </cfRule>
    <cfRule type="containsBlanks" dxfId="5572" priority="2341">
      <formula>LEN(TRIM(Y99))=0</formula>
    </cfRule>
    <cfRule type="containsBlanks" dxfId="5571" priority="2342">
      <formula>LEN(TRIM(Y99))=0</formula>
    </cfRule>
    <cfRule type="containsBlanks" dxfId="5570" priority="2343">
      <formula>LEN(TRIM(Y99))=0</formula>
    </cfRule>
    <cfRule type="containsBlanks" dxfId="5569" priority="2344">
      <formula>LEN(TRIM(Y99))=0</formula>
    </cfRule>
    <cfRule type="containsBlanks" dxfId="5568" priority="2345">
      <formula>LEN(TRIM(Y99))=0</formula>
    </cfRule>
    <cfRule type="containsBlanks" dxfId="5567" priority="2346">
      <formula>LEN(TRIM(Y99))=0</formula>
    </cfRule>
    <cfRule type="containsBlanks" dxfId="5566" priority="2347">
      <formula>LEN(TRIM(Y99))=0</formula>
    </cfRule>
    <cfRule type="containsBlanks" dxfId="5565" priority="2348">
      <formula>LEN(TRIM(Y99))=0</formula>
    </cfRule>
    <cfRule type="containsBlanks" dxfId="5564" priority="2349">
      <formula>LEN(TRIM(Y99))=0</formula>
    </cfRule>
    <cfRule type="containsBlanks" dxfId="5563" priority="2350">
      <formula>LEN(TRIM(Y99))=0</formula>
    </cfRule>
    <cfRule type="containsBlanks" dxfId="5562" priority="2351">
      <formula>LEN(TRIM(Y99))=0</formula>
    </cfRule>
    <cfRule type="containsBlanks" dxfId="5561" priority="2352">
      <formula>LEN(TRIM(Y99))=0</formula>
    </cfRule>
  </conditionalFormatting>
  <conditionalFormatting sqref="Y158">
    <cfRule type="containsBlanks" dxfId="5560" priority="15072">
      <formula>LEN(TRIM(Y158))=0</formula>
    </cfRule>
    <cfRule type="containsBlanks" dxfId="5559" priority="15073">
      <formula>LEN(TRIM(Y158))=0</formula>
    </cfRule>
    <cfRule type="containsBlanks" dxfId="5558" priority="15074">
      <formula>LEN(TRIM(Y158))=0</formula>
    </cfRule>
    <cfRule type="containsBlanks" dxfId="5557" priority="15075">
      <formula>LEN(TRIM(Y158))=0</formula>
    </cfRule>
    <cfRule type="containsBlanks" dxfId="5556" priority="15076">
      <formula>LEN(TRIM(Y158))=0</formula>
    </cfRule>
    <cfRule type="containsBlanks" dxfId="5555" priority="15077">
      <formula>LEN(TRIM(Y158))=0</formula>
    </cfRule>
    <cfRule type="containsBlanks" dxfId="5554" priority="15078">
      <formula>LEN(TRIM(Y158))=0</formula>
    </cfRule>
    <cfRule type="containsBlanks" dxfId="5553" priority="15079">
      <formula>LEN(TRIM(Y158))=0</formula>
    </cfRule>
    <cfRule type="containsBlanks" dxfId="5552" priority="15080">
      <formula>LEN(TRIM(Y158))=0</formula>
    </cfRule>
    <cfRule type="containsBlanks" dxfId="5551" priority="15081">
      <formula>LEN(TRIM(Y158))=0</formula>
    </cfRule>
    <cfRule type="containsBlanks" dxfId="5550" priority="15082">
      <formula>LEN(TRIM(Y158))=0</formula>
    </cfRule>
    <cfRule type="containsBlanks" dxfId="5549" priority="15083">
      <formula>LEN(TRIM(Y158))=0</formula>
    </cfRule>
    <cfRule type="containsBlanks" dxfId="5548" priority="15084">
      <formula>LEN(TRIM(Y158))=0</formula>
    </cfRule>
    <cfRule type="containsBlanks" dxfId="5547" priority="15085">
      <formula>LEN(TRIM(Y158))=0</formula>
    </cfRule>
    <cfRule type="containsBlanks" dxfId="5546" priority="15086">
      <formula>LEN(TRIM(Y158))=0</formula>
    </cfRule>
    <cfRule type="containsBlanks" dxfId="5545" priority="15087">
      <formula>LEN(TRIM(Y158))=0</formula>
    </cfRule>
    <cfRule type="containsBlanks" dxfId="5544" priority="15088">
      <formula>LEN(TRIM(Y158))=0</formula>
    </cfRule>
    <cfRule type="containsBlanks" dxfId="5543" priority="15089">
      <formula>LEN(TRIM(Y158))=0</formula>
    </cfRule>
    <cfRule type="containsBlanks" dxfId="5542" priority="15090">
      <formula>LEN(TRIM(Y158))=0</formula>
    </cfRule>
    <cfRule type="containsBlanks" dxfId="5541" priority="15091">
      <formula>LEN(TRIM(Y158))=0</formula>
    </cfRule>
    <cfRule type="containsBlanks" dxfId="5540" priority="15092">
      <formula>LEN(TRIM(Y158))=0</formula>
    </cfRule>
    <cfRule type="containsBlanks" dxfId="5539" priority="15093">
      <formula>LEN(TRIM(Y158))=0</formula>
    </cfRule>
    <cfRule type="containsBlanks" dxfId="5538" priority="15094">
      <formula>LEN(TRIM(Y158))=0</formula>
    </cfRule>
    <cfRule type="containsBlanks" dxfId="5537" priority="15095">
      <formula>LEN(TRIM(Y158))=0</formula>
    </cfRule>
    <cfRule type="containsBlanks" dxfId="5536" priority="15096">
      <formula>LEN(TRIM(Y158))=0</formula>
    </cfRule>
    <cfRule type="containsBlanks" dxfId="5535" priority="15097">
      <formula>LEN(TRIM(Y158))=0</formula>
    </cfRule>
    <cfRule type="containsBlanks" dxfId="5534" priority="15098">
      <formula>LEN(TRIM(Y158))=0</formula>
    </cfRule>
    <cfRule type="containsBlanks" dxfId="5533" priority="15099">
      <formula>LEN(TRIM(Y158))=0</formula>
    </cfRule>
    <cfRule type="containsBlanks" dxfId="5532" priority="15100">
      <formula>LEN(TRIM(Y158))=0</formula>
    </cfRule>
    <cfRule type="containsBlanks" dxfId="5531" priority="15101">
      <formula>LEN(TRIM(Y158))=0</formula>
    </cfRule>
    <cfRule type="containsBlanks" dxfId="5530" priority="15102">
      <formula>LEN(TRIM(Y158))=0</formula>
    </cfRule>
    <cfRule type="containsBlanks" dxfId="5529" priority="15103">
      <formula>LEN(TRIM(Y158))=0</formula>
    </cfRule>
    <cfRule type="containsBlanks" dxfId="5528" priority="15104">
      <formula>LEN(TRIM(Y158))=0</formula>
    </cfRule>
    <cfRule type="containsBlanks" dxfId="5527" priority="15105">
      <formula>LEN(TRIM(Y158))=0</formula>
    </cfRule>
    <cfRule type="containsBlanks" dxfId="5526" priority="15106">
      <formula>LEN(TRIM(Y158))=0</formula>
    </cfRule>
    <cfRule type="containsBlanks" dxfId="5525" priority="15107">
      <formula>LEN(TRIM(Y158))=0</formula>
    </cfRule>
    <cfRule type="containsBlanks" dxfId="5524" priority="15108">
      <formula>LEN(TRIM(Y158))=0</formula>
    </cfRule>
    <cfRule type="containsBlanks" dxfId="5523" priority="15109">
      <formula>LEN(TRIM(Y158))=0</formula>
    </cfRule>
    <cfRule type="containsBlanks" dxfId="5522" priority="15110">
      <formula>LEN(TRIM(Y158))=0</formula>
    </cfRule>
    <cfRule type="containsBlanks" dxfId="5521" priority="15111">
      <formula>LEN(TRIM(Y158))=0</formula>
    </cfRule>
    <cfRule type="containsBlanks" dxfId="5520" priority="15112">
      <formula>LEN(TRIM(Y158))=0</formula>
    </cfRule>
    <cfRule type="containsBlanks" dxfId="5519" priority="15113">
      <formula>LEN(TRIM(Y158))=0</formula>
    </cfRule>
    <cfRule type="containsBlanks" dxfId="5518" priority="15114">
      <formula>LEN(TRIM(Y158))=0</formula>
    </cfRule>
    <cfRule type="containsBlanks" dxfId="5517" priority="15115">
      <formula>LEN(TRIM(Y158))=0</formula>
    </cfRule>
    <cfRule type="containsBlanks" dxfId="5516" priority="15116">
      <formula>LEN(TRIM(Y158))=0</formula>
    </cfRule>
    <cfRule type="containsBlanks" dxfId="5515" priority="15117">
      <formula>LEN(TRIM(Y158))=0</formula>
    </cfRule>
    <cfRule type="containsBlanks" dxfId="5514" priority="15118">
      <formula>LEN(TRIM(Y158))=0</formula>
    </cfRule>
    <cfRule type="containsBlanks" dxfId="5513" priority="15119">
      <formula>LEN(TRIM(Y158))=0</formula>
    </cfRule>
    <cfRule type="containsBlanks" dxfId="5512" priority="15120">
      <formula>LEN(TRIM(Y158))=0</formula>
    </cfRule>
    <cfRule type="containsBlanks" dxfId="5511" priority="15121">
      <formula>LEN(TRIM(Y158))=0</formula>
    </cfRule>
    <cfRule type="containsBlanks" dxfId="5510" priority="15122">
      <formula>LEN(TRIM(Y158))=0</formula>
    </cfRule>
    <cfRule type="containsBlanks" dxfId="5509" priority="15123">
      <formula>LEN(TRIM(Y158))=0</formula>
    </cfRule>
    <cfRule type="containsBlanks" dxfId="5508" priority="15124">
      <formula>LEN(TRIM(Y158))=0</formula>
    </cfRule>
    <cfRule type="containsBlanks" dxfId="5507" priority="15125">
      <formula>LEN(TRIM(Y158))=0</formula>
    </cfRule>
    <cfRule type="containsBlanks" dxfId="5506" priority="15126">
      <formula>LEN(TRIM(Y158))=0</formula>
    </cfRule>
  </conditionalFormatting>
  <conditionalFormatting sqref="Z99:Z156">
    <cfRule type="containsBlanks" dxfId="5505" priority="2221">
      <formula>LEN(TRIM(Z99))=0</formula>
    </cfRule>
    <cfRule type="containsBlanks" dxfId="5504" priority="2222">
      <formula>LEN(TRIM(Z99))=0</formula>
    </cfRule>
    <cfRule type="containsBlanks" dxfId="5503" priority="2223">
      <formula>LEN(TRIM(Z99))=0</formula>
    </cfRule>
    <cfRule type="containsBlanks" dxfId="5502" priority="2224">
      <formula>LEN(TRIM(Z99))=0</formula>
    </cfRule>
    <cfRule type="containsBlanks" dxfId="5501" priority="2225">
      <formula>LEN(TRIM(Z99))=0</formula>
    </cfRule>
    <cfRule type="containsBlanks" dxfId="5500" priority="2226">
      <formula>LEN(TRIM(Z99))=0</formula>
    </cfRule>
    <cfRule type="containsBlanks" dxfId="5499" priority="2227">
      <formula>LEN(TRIM(Z99))=0</formula>
    </cfRule>
    <cfRule type="containsBlanks" dxfId="5498" priority="2228">
      <formula>LEN(TRIM(Z99))=0</formula>
    </cfRule>
    <cfRule type="containsBlanks" dxfId="5497" priority="2229">
      <formula>LEN(TRIM(Z99))=0</formula>
    </cfRule>
    <cfRule type="containsBlanks" dxfId="5496" priority="2230">
      <formula>LEN(TRIM(Z99))=0</formula>
    </cfRule>
    <cfRule type="containsBlanks" dxfId="5495" priority="2231">
      <formula>LEN(TRIM(Z99))=0</formula>
    </cfRule>
    <cfRule type="containsBlanks" dxfId="5494" priority="2232">
      <formula>LEN(TRIM(Z99))=0</formula>
    </cfRule>
    <cfRule type="containsBlanks" dxfId="5493" priority="2233">
      <formula>LEN(TRIM(Z99))=0</formula>
    </cfRule>
    <cfRule type="containsBlanks" dxfId="5492" priority="2234">
      <formula>LEN(TRIM(Z99))=0</formula>
    </cfRule>
    <cfRule type="containsBlanks" dxfId="5491" priority="2235">
      <formula>LEN(TRIM(Z99))=0</formula>
    </cfRule>
    <cfRule type="containsBlanks" dxfId="5490" priority="2236">
      <formula>LEN(TRIM(Z99))=0</formula>
    </cfRule>
    <cfRule type="containsBlanks" dxfId="5489" priority="2237">
      <formula>LEN(TRIM(Z99))=0</formula>
    </cfRule>
    <cfRule type="containsBlanks" dxfId="5488" priority="2238">
      <formula>LEN(TRIM(Z99))=0</formula>
    </cfRule>
    <cfRule type="containsBlanks" dxfId="5487" priority="2239">
      <formula>LEN(TRIM(Z99))=0</formula>
    </cfRule>
    <cfRule type="containsBlanks" dxfId="5486" priority="2240">
      <formula>LEN(TRIM(Z99))=0</formula>
    </cfRule>
    <cfRule type="containsBlanks" dxfId="5485" priority="2241">
      <formula>LEN(TRIM(Z99))=0</formula>
    </cfRule>
    <cfRule type="containsBlanks" dxfId="5484" priority="2242">
      <formula>LEN(TRIM(Z99))=0</formula>
    </cfRule>
    <cfRule type="containsBlanks" dxfId="5483" priority="2243">
      <formula>LEN(TRIM(Z99))=0</formula>
    </cfRule>
    <cfRule type="containsBlanks" dxfId="5482" priority="2244">
      <formula>LEN(TRIM(Z99))=0</formula>
    </cfRule>
    <cfRule type="containsBlanks" dxfId="5481" priority="2245">
      <formula>LEN(TRIM(Z99))=0</formula>
    </cfRule>
    <cfRule type="containsBlanks" dxfId="5480" priority="2246">
      <formula>LEN(TRIM(Z99))=0</formula>
    </cfRule>
    <cfRule type="containsBlanks" dxfId="5479" priority="2247">
      <formula>LEN(TRIM(Z99))=0</formula>
    </cfRule>
    <cfRule type="containsBlanks" dxfId="5478" priority="2248">
      <formula>LEN(TRIM(Z99))=0</formula>
    </cfRule>
    <cfRule type="containsBlanks" dxfId="5477" priority="2249">
      <formula>LEN(TRIM(Z99))=0</formula>
    </cfRule>
    <cfRule type="containsBlanks" dxfId="5476" priority="2250">
      <formula>LEN(TRIM(Z99))=0</formula>
    </cfRule>
    <cfRule type="containsBlanks" dxfId="5475" priority="2251">
      <formula>LEN(TRIM(Z99))=0</formula>
    </cfRule>
    <cfRule type="containsBlanks" dxfId="5474" priority="2252">
      <formula>LEN(TRIM(Z99))=0</formula>
    </cfRule>
    <cfRule type="containsBlanks" dxfId="5473" priority="2253">
      <formula>LEN(TRIM(Z99))=0</formula>
    </cfRule>
    <cfRule type="containsBlanks" dxfId="5472" priority="2254">
      <formula>LEN(TRIM(Z99))=0</formula>
    </cfRule>
    <cfRule type="containsBlanks" dxfId="5471" priority="2255">
      <formula>LEN(TRIM(Z99))=0</formula>
    </cfRule>
    <cfRule type="containsBlanks" dxfId="5470" priority="2256">
      <formula>LEN(TRIM(Z99))=0</formula>
    </cfRule>
    <cfRule type="containsBlanks" dxfId="5469" priority="2257">
      <formula>LEN(TRIM(Z99))=0</formula>
    </cfRule>
    <cfRule type="containsBlanks" dxfId="5468" priority="2258">
      <formula>LEN(TRIM(Z99))=0</formula>
    </cfRule>
    <cfRule type="containsBlanks" dxfId="5467" priority="2259">
      <formula>LEN(TRIM(Z99))=0</formula>
    </cfRule>
    <cfRule type="containsBlanks" dxfId="5466" priority="2260">
      <formula>LEN(TRIM(Z99))=0</formula>
    </cfRule>
    <cfRule type="containsBlanks" dxfId="5465" priority="2261">
      <formula>LEN(TRIM(Z99))=0</formula>
    </cfRule>
    <cfRule type="containsBlanks" dxfId="5464" priority="2262">
      <formula>LEN(TRIM(Z99))=0</formula>
    </cfRule>
    <cfRule type="containsBlanks" dxfId="5463" priority="2263">
      <formula>LEN(TRIM(Z99))=0</formula>
    </cfRule>
    <cfRule type="containsBlanks" dxfId="5462" priority="2264">
      <formula>LEN(TRIM(Z99))=0</formula>
    </cfRule>
    <cfRule type="containsBlanks" dxfId="5461" priority="2265">
      <formula>LEN(TRIM(Z99))=0</formula>
    </cfRule>
    <cfRule type="containsBlanks" dxfId="5460" priority="2266">
      <formula>LEN(TRIM(Z99))=0</formula>
    </cfRule>
    <cfRule type="containsBlanks" dxfId="5459" priority="2267">
      <formula>LEN(TRIM(Z99))=0</formula>
    </cfRule>
    <cfRule type="containsBlanks" dxfId="5458" priority="2268">
      <formula>LEN(TRIM(Z99))=0</formula>
    </cfRule>
    <cfRule type="containsBlanks" dxfId="5457" priority="2269">
      <formula>LEN(TRIM(Z99))=0</formula>
    </cfRule>
    <cfRule type="containsBlanks" dxfId="5456" priority="2270">
      <formula>LEN(TRIM(Z99))=0</formula>
    </cfRule>
    <cfRule type="containsBlanks" dxfId="5455" priority="2271">
      <formula>LEN(TRIM(Z99))=0</formula>
    </cfRule>
    <cfRule type="containsBlanks" dxfId="5454" priority="2272">
      <formula>LEN(TRIM(Z99))=0</formula>
    </cfRule>
    <cfRule type="containsBlanks" dxfId="5453" priority="2273">
      <formula>LEN(TRIM(Z99))=0</formula>
    </cfRule>
    <cfRule type="containsBlanks" dxfId="5452" priority="2274">
      <formula>LEN(TRIM(Z99))=0</formula>
    </cfRule>
    <cfRule type="containsBlanks" dxfId="5451" priority="2275">
      <formula>LEN(TRIM(Z99))=0</formula>
    </cfRule>
    <cfRule type="containsBlanks" dxfId="5450" priority="2276">
      <formula>LEN(TRIM(Z99))=0</formula>
    </cfRule>
    <cfRule type="containsBlanks" dxfId="5449" priority="2277">
      <formula>LEN(TRIM(Z99))=0</formula>
    </cfRule>
    <cfRule type="containsBlanks" dxfId="5448" priority="2278">
      <formula>LEN(TRIM(Z99))=0</formula>
    </cfRule>
    <cfRule type="containsBlanks" dxfId="5447" priority="2279">
      <formula>LEN(TRIM(Z99))=0</formula>
    </cfRule>
    <cfRule type="containsBlanks" dxfId="5446" priority="2280">
      <formula>LEN(TRIM(Z99))=0</formula>
    </cfRule>
    <cfRule type="containsBlanks" dxfId="5445" priority="2281">
      <formula>LEN(TRIM(Z99))=0</formula>
    </cfRule>
    <cfRule type="containsBlanks" dxfId="5444" priority="2282">
      <formula>LEN(TRIM(Z99))=0</formula>
    </cfRule>
    <cfRule type="containsBlanks" dxfId="5443" priority="2283">
      <formula>LEN(TRIM(Z99))=0</formula>
    </cfRule>
    <cfRule type="containsBlanks" dxfId="5442" priority="2284">
      <formula>LEN(TRIM(Z99))=0</formula>
    </cfRule>
    <cfRule type="containsBlanks" dxfId="5441" priority="2285">
      <formula>LEN(TRIM(Z99))=0</formula>
    </cfRule>
    <cfRule type="containsBlanks" dxfId="5440" priority="2286">
      <formula>LEN(TRIM(Z99))=0</formula>
    </cfRule>
  </conditionalFormatting>
  <conditionalFormatting sqref="Z157:Z158">
    <cfRule type="containsBlanks" dxfId="5439" priority="15056">
      <formula>LEN(TRIM(Z157))=0</formula>
    </cfRule>
    <cfRule type="containsBlanks" dxfId="5438" priority="15057">
      <formula>LEN(TRIM(Z157))=0</formula>
    </cfRule>
    <cfRule type="containsBlanks" dxfId="5437" priority="15058">
      <formula>LEN(TRIM(Z157))=0</formula>
    </cfRule>
    <cfRule type="containsBlanks" dxfId="5436" priority="15059">
      <formula>LEN(TRIM(Z157))=0</formula>
    </cfRule>
    <cfRule type="containsBlanks" dxfId="5435" priority="15060">
      <formula>LEN(TRIM(Z157))=0</formula>
    </cfRule>
    <cfRule type="containsBlanks" dxfId="5434" priority="15061">
      <formula>LEN(TRIM(Z157))=0</formula>
    </cfRule>
    <cfRule type="containsBlanks" dxfId="5433" priority="15062">
      <formula>LEN(TRIM(Z157))=0</formula>
    </cfRule>
    <cfRule type="containsBlanks" dxfId="5432" priority="15063">
      <formula>LEN(TRIM(Z157))=0</formula>
    </cfRule>
    <cfRule type="containsBlanks" dxfId="5431" priority="15064">
      <formula>LEN(TRIM(Z157))=0</formula>
    </cfRule>
    <cfRule type="containsBlanks" dxfId="5430" priority="15065">
      <formula>LEN(TRIM(Z157))=0</formula>
    </cfRule>
    <cfRule type="containsBlanks" dxfId="5429" priority="15066">
      <formula>LEN(TRIM(Z157))=0</formula>
    </cfRule>
    <cfRule type="containsBlanks" dxfId="5428" priority="15067">
      <formula>LEN(TRIM(Z157))=0</formula>
    </cfRule>
    <cfRule type="containsBlanks" dxfId="5427" priority="15068">
      <formula>LEN(TRIM(Z157))=0</formula>
    </cfRule>
    <cfRule type="containsBlanks" dxfId="5426" priority="15069">
      <formula>LEN(TRIM(Z157))=0</formula>
    </cfRule>
    <cfRule type="containsBlanks" dxfId="5425" priority="15070">
      <formula>LEN(TRIM(Z157))=0</formula>
    </cfRule>
    <cfRule type="containsBlanks" dxfId="5424" priority="15071">
      <formula>LEN(TRIM(Z157))=0</formula>
    </cfRule>
  </conditionalFormatting>
  <conditionalFormatting sqref="AA99:AA103 AA128:AA157 AA105:AA126">
    <cfRule type="containsBlanks" dxfId="5423" priority="2155">
      <formula>LEN(TRIM(AA99))=0</formula>
    </cfRule>
    <cfRule type="containsBlanks" dxfId="5422" priority="2156">
      <formula>LEN(TRIM(AA99))=0</formula>
    </cfRule>
    <cfRule type="containsBlanks" dxfId="5421" priority="2157">
      <formula>LEN(TRIM(AA99))=0</formula>
    </cfRule>
    <cfRule type="containsBlanks" dxfId="5420" priority="2158">
      <formula>LEN(TRIM(AA99))=0</formula>
    </cfRule>
    <cfRule type="containsBlanks" dxfId="5419" priority="2159">
      <formula>LEN(TRIM(AA99))=0</formula>
    </cfRule>
    <cfRule type="containsBlanks" dxfId="5418" priority="2160">
      <formula>LEN(TRIM(AA99))=0</formula>
    </cfRule>
    <cfRule type="containsBlanks" dxfId="5417" priority="2161">
      <formula>LEN(TRIM(AA99))=0</formula>
    </cfRule>
    <cfRule type="containsBlanks" dxfId="5416" priority="2162">
      <formula>LEN(TRIM(AA99))=0</formula>
    </cfRule>
    <cfRule type="containsBlanks" dxfId="5415" priority="2163">
      <formula>LEN(TRIM(AA99))=0</formula>
    </cfRule>
    <cfRule type="containsBlanks" dxfId="5414" priority="2164">
      <formula>LEN(TRIM(AA99))=0</formula>
    </cfRule>
    <cfRule type="containsBlanks" dxfId="5413" priority="2165">
      <formula>LEN(TRIM(AA99))=0</formula>
    </cfRule>
    <cfRule type="containsBlanks" dxfId="5412" priority="2166">
      <formula>LEN(TRIM(AA99))=0</formula>
    </cfRule>
    <cfRule type="containsBlanks" dxfId="5411" priority="2167">
      <formula>LEN(TRIM(AA99))=0</formula>
    </cfRule>
    <cfRule type="containsBlanks" dxfId="5410" priority="2168">
      <formula>LEN(TRIM(AA99))=0</formula>
    </cfRule>
    <cfRule type="containsBlanks" dxfId="5409" priority="2169">
      <formula>LEN(TRIM(AA99))=0</formula>
    </cfRule>
    <cfRule type="containsBlanks" dxfId="5408" priority="2170">
      <formula>LEN(TRIM(AA99))=0</formula>
    </cfRule>
    <cfRule type="containsBlanks" dxfId="5407" priority="2171">
      <formula>LEN(TRIM(AA99))=0</formula>
    </cfRule>
    <cfRule type="containsBlanks" dxfId="5406" priority="2172">
      <formula>LEN(TRIM(AA99))=0</formula>
    </cfRule>
    <cfRule type="containsBlanks" dxfId="5405" priority="2173">
      <formula>LEN(TRIM(AA99))=0</formula>
    </cfRule>
    <cfRule type="containsBlanks" dxfId="5404" priority="2174">
      <formula>LEN(TRIM(AA99))=0</formula>
    </cfRule>
    <cfRule type="containsBlanks" dxfId="5403" priority="2175">
      <formula>LEN(TRIM(AA99))=0</formula>
    </cfRule>
    <cfRule type="containsBlanks" dxfId="5402" priority="2176">
      <formula>LEN(TRIM(AA99))=0</formula>
    </cfRule>
    <cfRule type="containsBlanks" dxfId="5401" priority="2177">
      <formula>LEN(TRIM(AA99))=0</formula>
    </cfRule>
    <cfRule type="containsBlanks" dxfId="5400" priority="2178">
      <formula>LEN(TRIM(AA99))=0</formula>
    </cfRule>
    <cfRule type="containsBlanks" dxfId="5399" priority="2179">
      <formula>LEN(TRIM(AA99))=0</formula>
    </cfRule>
    <cfRule type="containsBlanks" dxfId="5398" priority="2180">
      <formula>LEN(TRIM(AA99))=0</formula>
    </cfRule>
    <cfRule type="containsBlanks" dxfId="5397" priority="2181">
      <formula>LEN(TRIM(AA99))=0</formula>
    </cfRule>
    <cfRule type="containsBlanks" dxfId="5396" priority="2182">
      <formula>LEN(TRIM(AA99))=0</formula>
    </cfRule>
    <cfRule type="containsBlanks" dxfId="5395" priority="2183">
      <formula>LEN(TRIM(AA99))=0</formula>
    </cfRule>
    <cfRule type="containsBlanks" dxfId="5394" priority="2184">
      <formula>LEN(TRIM(AA99))=0</formula>
    </cfRule>
    <cfRule type="containsBlanks" dxfId="5393" priority="2185">
      <formula>LEN(TRIM(AA99))=0</formula>
    </cfRule>
    <cfRule type="containsBlanks" dxfId="5392" priority="2186">
      <formula>LEN(TRIM(AA99))=0</formula>
    </cfRule>
    <cfRule type="containsBlanks" dxfId="5391" priority="2187">
      <formula>LEN(TRIM(AA99))=0</formula>
    </cfRule>
    <cfRule type="containsBlanks" dxfId="5390" priority="2188">
      <formula>LEN(TRIM(AA99))=0</formula>
    </cfRule>
    <cfRule type="containsBlanks" dxfId="5389" priority="2189">
      <formula>LEN(TRIM(AA99))=0</formula>
    </cfRule>
    <cfRule type="containsBlanks" dxfId="5388" priority="2190">
      <formula>LEN(TRIM(AA99))=0</formula>
    </cfRule>
    <cfRule type="containsBlanks" dxfId="5387" priority="2191">
      <formula>LEN(TRIM(AA99))=0</formula>
    </cfRule>
    <cfRule type="containsBlanks" dxfId="5386" priority="2192">
      <formula>LEN(TRIM(AA99))=0</formula>
    </cfRule>
    <cfRule type="containsBlanks" dxfId="5385" priority="2193">
      <formula>LEN(TRIM(AA99))=0</formula>
    </cfRule>
    <cfRule type="containsBlanks" dxfId="5384" priority="2194">
      <formula>LEN(TRIM(AA99))=0</formula>
    </cfRule>
    <cfRule type="containsBlanks" dxfId="5383" priority="2195">
      <formula>LEN(TRIM(AA99))=0</formula>
    </cfRule>
    <cfRule type="containsBlanks" dxfId="5382" priority="2196">
      <formula>LEN(TRIM(AA99))=0</formula>
    </cfRule>
    <cfRule type="containsBlanks" dxfId="5381" priority="2197">
      <formula>LEN(TRIM(AA99))=0</formula>
    </cfRule>
    <cfRule type="containsBlanks" dxfId="5380" priority="2198">
      <formula>LEN(TRIM(AA99))=0</formula>
    </cfRule>
    <cfRule type="containsBlanks" dxfId="5379" priority="2199">
      <formula>LEN(TRIM(AA99))=0</formula>
    </cfRule>
    <cfRule type="containsBlanks" dxfId="5378" priority="2200">
      <formula>LEN(TRIM(AA99))=0</formula>
    </cfRule>
    <cfRule type="containsBlanks" dxfId="5377" priority="2201">
      <formula>LEN(TRIM(AA99))=0</formula>
    </cfRule>
    <cfRule type="containsBlanks" dxfId="5376" priority="2202">
      <formula>LEN(TRIM(AA99))=0</formula>
    </cfRule>
    <cfRule type="containsBlanks" dxfId="5375" priority="2203">
      <formula>LEN(TRIM(AA99))=0</formula>
    </cfRule>
    <cfRule type="containsBlanks" dxfId="5374" priority="2204">
      <formula>LEN(TRIM(AA99))=0</formula>
    </cfRule>
    <cfRule type="containsBlanks" dxfId="5373" priority="2205">
      <formula>LEN(TRIM(AA99))=0</formula>
    </cfRule>
    <cfRule type="containsBlanks" dxfId="5372" priority="2206">
      <formula>LEN(TRIM(AA99))=0</formula>
    </cfRule>
    <cfRule type="containsBlanks" dxfId="5371" priority="2207">
      <formula>LEN(TRIM(AA99))=0</formula>
    </cfRule>
    <cfRule type="containsBlanks" dxfId="5370" priority="2208">
      <formula>LEN(TRIM(AA99))=0</formula>
    </cfRule>
    <cfRule type="containsBlanks" dxfId="5369" priority="2209">
      <formula>LEN(TRIM(AA99))=0</formula>
    </cfRule>
    <cfRule type="containsBlanks" dxfId="5368" priority="2210">
      <formula>LEN(TRIM(AA99))=0</formula>
    </cfRule>
    <cfRule type="containsBlanks" dxfId="5367" priority="2211">
      <formula>LEN(TRIM(AA99))=0</formula>
    </cfRule>
    <cfRule type="containsBlanks" dxfId="5366" priority="2212">
      <formula>LEN(TRIM(AA99))=0</formula>
    </cfRule>
    <cfRule type="containsBlanks" dxfId="5365" priority="2213">
      <formula>LEN(TRIM(AA99))=0</formula>
    </cfRule>
    <cfRule type="containsBlanks" dxfId="5364" priority="2214">
      <formula>LEN(TRIM(AA99))=0</formula>
    </cfRule>
    <cfRule type="containsBlanks" dxfId="5363" priority="2215">
      <formula>LEN(TRIM(AA99))=0</formula>
    </cfRule>
    <cfRule type="containsBlanks" dxfId="5362" priority="2216">
      <formula>LEN(TRIM(AA99))=0</formula>
    </cfRule>
    <cfRule type="containsBlanks" dxfId="5361" priority="2217">
      <formula>LEN(TRIM(AA99))=0</formula>
    </cfRule>
    <cfRule type="containsBlanks" dxfId="5360" priority="2218">
      <formula>LEN(TRIM(AA99))=0</formula>
    </cfRule>
    <cfRule type="containsBlanks" dxfId="5359" priority="2219">
      <formula>LEN(TRIM(AA99))=0</formula>
    </cfRule>
    <cfRule type="containsBlanks" dxfId="5358" priority="2220">
      <formula>LEN(TRIM(AA99))=0</formula>
    </cfRule>
  </conditionalFormatting>
  <conditionalFormatting sqref="AA127">
    <cfRule type="containsBlanks" dxfId="5357" priority="1640">
      <formula>LEN(TRIM(AA127))=0</formula>
    </cfRule>
    <cfRule type="containsBlanks" dxfId="5356" priority="1641">
      <formula>LEN(TRIM(AA127))=0</formula>
    </cfRule>
    <cfRule type="containsBlanks" dxfId="5355" priority="1642">
      <formula>LEN(TRIM(AA127))=0</formula>
    </cfRule>
    <cfRule type="containsBlanks" dxfId="5354" priority="1643">
      <formula>LEN(TRIM(AA127))=0</formula>
    </cfRule>
    <cfRule type="containsBlanks" dxfId="5353" priority="1644">
      <formula>LEN(TRIM(AA127))=0</formula>
    </cfRule>
    <cfRule type="containsBlanks" dxfId="5352" priority="1645">
      <formula>LEN(TRIM(AA127))=0</formula>
    </cfRule>
    <cfRule type="containsBlanks" dxfId="5351" priority="1646">
      <formula>LEN(TRIM(AA127))=0</formula>
    </cfRule>
    <cfRule type="containsBlanks" dxfId="5350" priority="1647">
      <formula>LEN(TRIM(AA127))=0</formula>
    </cfRule>
    <cfRule type="containsBlanks" dxfId="5349" priority="1648">
      <formula>LEN(TRIM(AA127))=0</formula>
    </cfRule>
    <cfRule type="containsBlanks" dxfId="5348" priority="1649">
      <formula>LEN(TRIM(AA127))=0</formula>
    </cfRule>
    <cfRule type="containsBlanks" dxfId="5347" priority="1650">
      <formula>LEN(TRIM(AA127))=0</formula>
    </cfRule>
    <cfRule type="containsBlanks" dxfId="5346" priority="1651">
      <formula>LEN(TRIM(AA127))=0</formula>
    </cfRule>
    <cfRule type="containsBlanks" dxfId="5345" priority="1652">
      <formula>LEN(TRIM(AA127))=0</formula>
    </cfRule>
    <cfRule type="containsBlanks" dxfId="5344" priority="1653">
      <formula>LEN(TRIM(AA127))=0</formula>
    </cfRule>
    <cfRule type="containsBlanks" dxfId="5343" priority="1654">
      <formula>LEN(TRIM(AA127))=0</formula>
    </cfRule>
    <cfRule type="containsBlanks" dxfId="5342" priority="1655">
      <formula>LEN(TRIM(AA127))=0</formula>
    </cfRule>
    <cfRule type="containsBlanks" dxfId="5341" priority="1656">
      <formula>LEN(TRIM(AA127))=0</formula>
    </cfRule>
    <cfRule type="containsBlanks" dxfId="5340" priority="1657">
      <formula>LEN(TRIM(AA127))=0</formula>
    </cfRule>
    <cfRule type="containsBlanks" dxfId="5339" priority="1658">
      <formula>LEN(TRIM(AA127))=0</formula>
    </cfRule>
    <cfRule type="containsBlanks" dxfId="5338" priority="1659">
      <formula>LEN(TRIM(AA127))=0</formula>
    </cfRule>
    <cfRule type="containsBlanks" dxfId="5337" priority="1660">
      <formula>LEN(TRIM(AA127))=0</formula>
    </cfRule>
    <cfRule type="containsBlanks" dxfId="5336" priority="1661">
      <formula>LEN(TRIM(AA127))=0</formula>
    </cfRule>
    <cfRule type="containsBlanks" dxfId="5335" priority="1662">
      <formula>LEN(TRIM(AA127))=0</formula>
    </cfRule>
    <cfRule type="containsBlanks" dxfId="5334" priority="1663">
      <formula>LEN(TRIM(AA127))=0</formula>
    </cfRule>
    <cfRule type="containsBlanks" dxfId="5333" priority="1664">
      <formula>LEN(TRIM(AA127))=0</formula>
    </cfRule>
    <cfRule type="containsBlanks" dxfId="5332" priority="1665">
      <formula>LEN(TRIM(AA127))=0</formula>
    </cfRule>
    <cfRule type="containsBlanks" dxfId="5331" priority="1666">
      <formula>LEN(TRIM(AA127))=0</formula>
    </cfRule>
    <cfRule type="containsBlanks" dxfId="5330" priority="1667">
      <formula>LEN(TRIM(AA127))=0</formula>
    </cfRule>
    <cfRule type="containsBlanks" dxfId="5329" priority="1668">
      <formula>LEN(TRIM(AA127))=0</formula>
    </cfRule>
    <cfRule type="containsBlanks" dxfId="5328" priority="1669">
      <formula>LEN(TRIM(AA127))=0</formula>
    </cfRule>
    <cfRule type="containsBlanks" dxfId="5327" priority="1670">
      <formula>LEN(TRIM(AA127))=0</formula>
    </cfRule>
    <cfRule type="containsBlanks" dxfId="5326" priority="1671">
      <formula>LEN(TRIM(AA127))=0</formula>
    </cfRule>
    <cfRule type="containsBlanks" dxfId="5325" priority="1672">
      <formula>LEN(TRIM(AA127))=0</formula>
    </cfRule>
    <cfRule type="containsBlanks" dxfId="5324" priority="1673">
      <formula>LEN(TRIM(AA127))=0</formula>
    </cfRule>
    <cfRule type="containsBlanks" dxfId="5323" priority="1674">
      <formula>LEN(TRIM(AA127))=0</formula>
    </cfRule>
    <cfRule type="containsBlanks" dxfId="5322" priority="1675">
      <formula>LEN(TRIM(AA127))=0</formula>
    </cfRule>
    <cfRule type="containsBlanks" dxfId="5321" priority="1676">
      <formula>LEN(TRIM(AA127))=0</formula>
    </cfRule>
    <cfRule type="containsBlanks" dxfId="5320" priority="1677">
      <formula>LEN(TRIM(AA127))=0</formula>
    </cfRule>
    <cfRule type="containsBlanks" dxfId="5319" priority="1678">
      <formula>LEN(TRIM(AA127))=0</formula>
    </cfRule>
    <cfRule type="containsBlanks" dxfId="5318" priority="1679">
      <formula>LEN(TRIM(AA127))=0</formula>
    </cfRule>
    <cfRule type="containsBlanks" dxfId="5317" priority="1680">
      <formula>LEN(TRIM(AA127))=0</formula>
    </cfRule>
    <cfRule type="containsBlanks" dxfId="5316" priority="1681">
      <formula>LEN(TRIM(AA127))=0</formula>
    </cfRule>
    <cfRule type="containsBlanks" dxfId="5315" priority="1682">
      <formula>LEN(TRIM(AA127))=0</formula>
    </cfRule>
    <cfRule type="containsBlanks" dxfId="5314" priority="1683">
      <formula>LEN(TRIM(AA127))=0</formula>
    </cfRule>
    <cfRule type="containsBlanks" dxfId="5313" priority="1684">
      <formula>LEN(TRIM(AA127))=0</formula>
    </cfRule>
    <cfRule type="containsBlanks" dxfId="5312" priority="1685">
      <formula>LEN(TRIM(AA127))=0</formula>
    </cfRule>
    <cfRule type="containsBlanks" dxfId="5311" priority="1686">
      <formula>LEN(TRIM(AA127))=0</formula>
    </cfRule>
    <cfRule type="containsBlanks" dxfId="5310" priority="1687">
      <formula>LEN(TRIM(AA127))=0</formula>
    </cfRule>
    <cfRule type="containsBlanks" dxfId="5309" priority="1688">
      <formula>LEN(TRIM(AA127))=0</formula>
    </cfRule>
    <cfRule type="containsBlanks" dxfId="5308" priority="1689">
      <formula>LEN(TRIM(AA127))=0</formula>
    </cfRule>
    <cfRule type="containsBlanks" dxfId="5307" priority="1690">
      <formula>LEN(TRIM(AA127))=0</formula>
    </cfRule>
    <cfRule type="containsBlanks" dxfId="5306" priority="1691">
      <formula>LEN(TRIM(AA127))=0</formula>
    </cfRule>
    <cfRule type="containsBlanks" dxfId="5305" priority="1692">
      <formula>LEN(TRIM(AA127))=0</formula>
    </cfRule>
    <cfRule type="containsBlanks" dxfId="5304" priority="1693">
      <formula>LEN(TRIM(AA127))=0</formula>
    </cfRule>
    <cfRule type="containsBlanks" dxfId="5303" priority="1694">
      <formula>LEN(TRIM(AA127))=0</formula>
    </cfRule>
    <cfRule type="containsBlanks" dxfId="5302" priority="1695">
      <formula>LEN(TRIM(AA127))=0</formula>
    </cfRule>
    <cfRule type="containsBlanks" dxfId="5301" priority="1696">
      <formula>LEN(TRIM(AA127))=0</formula>
    </cfRule>
    <cfRule type="containsBlanks" dxfId="5300" priority="1697">
      <formula>LEN(TRIM(AA127))=0</formula>
    </cfRule>
    <cfRule type="containsBlanks" dxfId="5299" priority="1698">
      <formula>LEN(TRIM(AA127))=0</formula>
    </cfRule>
    <cfRule type="containsBlanks" dxfId="5298" priority="1699">
      <formula>LEN(TRIM(AA127))=0</formula>
    </cfRule>
    <cfRule type="containsBlanks" dxfId="5297" priority="1700">
      <formula>LEN(TRIM(AA127))=0</formula>
    </cfRule>
    <cfRule type="containsBlanks" dxfId="5296" priority="1701">
      <formula>LEN(TRIM(AA127))=0</formula>
    </cfRule>
    <cfRule type="containsBlanks" dxfId="5295" priority="1702">
      <formula>LEN(TRIM(AA127))=0</formula>
    </cfRule>
    <cfRule type="containsBlanks" dxfId="5294" priority="1703">
      <formula>LEN(TRIM(AA127))=0</formula>
    </cfRule>
    <cfRule type="containsBlanks" dxfId="5293" priority="1704">
      <formula>LEN(TRIM(AA127))=0</formula>
    </cfRule>
    <cfRule type="containsBlanks" dxfId="5292" priority="1705">
      <formula>LEN(TRIM(AA127))=0</formula>
    </cfRule>
    <cfRule type="containsBlanks" dxfId="5291" priority="1706">
      <formula>LEN(TRIM(AA127))=0</formula>
    </cfRule>
    <cfRule type="containsBlanks" dxfId="5290" priority="1707">
      <formula>LEN(TRIM(AA127))=0</formula>
    </cfRule>
    <cfRule type="containsBlanks" dxfId="5289" priority="1708">
      <formula>LEN(TRIM(AA127))=0</formula>
    </cfRule>
    <cfRule type="containsBlanks" dxfId="5288" priority="1709">
      <formula>LEN(TRIM(AA127))=0</formula>
    </cfRule>
    <cfRule type="containsBlanks" dxfId="5287" priority="1710">
      <formula>LEN(TRIM(AA127))=0</formula>
    </cfRule>
    <cfRule type="containsBlanks" dxfId="5286" priority="1711">
      <formula>LEN(TRIM(AA127))=0</formula>
    </cfRule>
    <cfRule type="containsBlanks" dxfId="5285" priority="1712">
      <formula>LEN(TRIM(AA127))=0</formula>
    </cfRule>
    <cfRule type="containsBlanks" dxfId="5284" priority="1713">
      <formula>LEN(TRIM(AA127))=0</formula>
    </cfRule>
    <cfRule type="containsBlanks" dxfId="5283" priority="1714">
      <formula>LEN(TRIM(AA127))=0</formula>
    </cfRule>
    <cfRule type="containsBlanks" dxfId="5282" priority="1715">
      <formula>LEN(TRIM(AA127))=0</formula>
    </cfRule>
    <cfRule type="containsBlanks" dxfId="5281" priority="1716">
      <formula>LEN(TRIM(AA127))=0</formula>
    </cfRule>
    <cfRule type="containsBlanks" dxfId="5280" priority="1717">
      <formula>LEN(TRIM(AA127))=0</formula>
    </cfRule>
    <cfRule type="containsBlanks" dxfId="5279" priority="1718">
      <formula>LEN(TRIM(AA127))=0</formula>
    </cfRule>
    <cfRule type="containsBlanks" dxfId="5278" priority="1719">
      <formula>LEN(TRIM(AA127))=0</formula>
    </cfRule>
    <cfRule type="containsBlanks" dxfId="5277" priority="1720">
      <formula>LEN(TRIM(AA127))=0</formula>
    </cfRule>
    <cfRule type="containsBlanks" dxfId="5276" priority="1721">
      <formula>LEN(TRIM(AA127))=0</formula>
    </cfRule>
    <cfRule type="containsBlanks" dxfId="5275" priority="1722">
      <formula>LEN(TRIM(AA127))=0</formula>
    </cfRule>
    <cfRule type="containsBlanks" dxfId="5274" priority="1723">
      <formula>LEN(TRIM(AA127))=0</formula>
    </cfRule>
    <cfRule type="containsBlanks" dxfId="5273" priority="1724">
      <formula>LEN(TRIM(AA127))=0</formula>
    </cfRule>
    <cfRule type="containsBlanks" dxfId="5272" priority="1725">
      <formula>LEN(TRIM(AA127))=0</formula>
    </cfRule>
    <cfRule type="containsBlanks" dxfId="5271" priority="1726">
      <formula>LEN(TRIM(AA127))=0</formula>
    </cfRule>
    <cfRule type="containsBlanks" dxfId="5270" priority="1727">
      <formula>LEN(TRIM(AA127))=0</formula>
    </cfRule>
    <cfRule type="containsBlanks" dxfId="5269" priority="1728">
      <formula>LEN(TRIM(AA127))=0</formula>
    </cfRule>
    <cfRule type="containsBlanks" dxfId="5268" priority="1729">
      <formula>LEN(TRIM(AA127))=0</formula>
    </cfRule>
    <cfRule type="containsBlanks" dxfId="5267" priority="1730">
      <formula>LEN(TRIM(AA127))=0</formula>
    </cfRule>
    <cfRule type="containsBlanks" dxfId="5266" priority="1731">
      <formula>LEN(TRIM(AA127))=0</formula>
    </cfRule>
    <cfRule type="containsBlanks" dxfId="5265" priority="1732">
      <formula>LEN(TRIM(AA127))=0</formula>
    </cfRule>
    <cfRule type="containsBlanks" dxfId="5264" priority="1733">
      <formula>LEN(TRIM(AA127))=0</formula>
    </cfRule>
    <cfRule type="containsBlanks" dxfId="5263" priority="1734">
      <formula>LEN(TRIM(AA127))=0</formula>
    </cfRule>
    <cfRule type="containsBlanks" dxfId="5262" priority="1735">
      <formula>LEN(TRIM(AA127))=0</formula>
    </cfRule>
    <cfRule type="containsBlanks" dxfId="5261" priority="1736">
      <formula>LEN(TRIM(AA127))=0</formula>
    </cfRule>
    <cfRule type="containsBlanks" dxfId="5260" priority="1737">
      <formula>LEN(TRIM(AA127))=0</formula>
    </cfRule>
    <cfRule type="containsBlanks" dxfId="5259" priority="1738">
      <formula>LEN(TRIM(AA127))=0</formula>
    </cfRule>
    <cfRule type="containsBlanks" dxfId="5258" priority="1739">
      <formula>LEN(TRIM(AA127))=0</formula>
    </cfRule>
    <cfRule type="containsBlanks" dxfId="5257" priority="1740">
      <formula>LEN(TRIM(AA127))=0</formula>
    </cfRule>
    <cfRule type="containsBlanks" dxfId="5256" priority="1741">
      <formula>LEN(TRIM(AA127))=0</formula>
    </cfRule>
    <cfRule type="containsBlanks" dxfId="5255" priority="1742">
      <formula>LEN(TRIM(AA127))=0</formula>
    </cfRule>
    <cfRule type="containsBlanks" dxfId="5254" priority="1743">
      <formula>LEN(TRIM(AA127))=0</formula>
    </cfRule>
    <cfRule type="containsBlanks" dxfId="5253" priority="1744">
      <formula>LEN(TRIM(AA127))=0</formula>
    </cfRule>
    <cfRule type="containsBlanks" dxfId="5252" priority="1745">
      <formula>LEN(TRIM(AA127))=0</formula>
    </cfRule>
    <cfRule type="containsBlanks" dxfId="5251" priority="1746">
      <formula>LEN(TRIM(AA127))=0</formula>
    </cfRule>
    <cfRule type="containsBlanks" dxfId="5250" priority="1747">
      <formula>LEN(TRIM(AA127))=0</formula>
    </cfRule>
    <cfRule type="containsBlanks" dxfId="5249" priority="1748">
      <formula>LEN(TRIM(AA127))=0</formula>
    </cfRule>
    <cfRule type="containsBlanks" dxfId="5248" priority="1749">
      <formula>LEN(TRIM(AA127))=0</formula>
    </cfRule>
    <cfRule type="containsBlanks" dxfId="5247" priority="1750">
      <formula>LEN(TRIM(AA127))=0</formula>
    </cfRule>
    <cfRule type="containsBlanks" dxfId="5246" priority="1751">
      <formula>LEN(TRIM(AA127))=0</formula>
    </cfRule>
    <cfRule type="containsBlanks" dxfId="5245" priority="1752">
      <formula>LEN(TRIM(AA127))=0</formula>
    </cfRule>
    <cfRule type="containsBlanks" dxfId="5244" priority="1753">
      <formula>LEN(TRIM(AA127))=0</formula>
    </cfRule>
    <cfRule type="containsBlanks" dxfId="5243" priority="1754">
      <formula>LEN(TRIM(AA127))=0</formula>
    </cfRule>
    <cfRule type="containsBlanks" dxfId="5242" priority="1755">
      <formula>LEN(TRIM(AA127))=0</formula>
    </cfRule>
    <cfRule type="containsBlanks" dxfId="5241" priority="1756">
      <formula>LEN(TRIM(AA127))=0</formula>
    </cfRule>
    <cfRule type="containsBlanks" dxfId="5240" priority="1757">
      <formula>LEN(TRIM(AA127))=0</formula>
    </cfRule>
    <cfRule type="containsBlanks" dxfId="5239" priority="1758">
      <formula>LEN(TRIM(AA127))=0</formula>
    </cfRule>
    <cfRule type="containsBlanks" dxfId="5238" priority="1759">
      <formula>LEN(TRIM(AA127))=0</formula>
    </cfRule>
    <cfRule type="containsBlanks" dxfId="5237" priority="1760">
      <formula>LEN(TRIM(AA127))=0</formula>
    </cfRule>
    <cfRule type="containsBlanks" dxfId="5236" priority="1761">
      <formula>LEN(TRIM(AA127))=0</formula>
    </cfRule>
    <cfRule type="containsBlanks" dxfId="5235" priority="1762">
      <formula>LEN(TRIM(AA127))=0</formula>
    </cfRule>
    <cfRule type="containsBlanks" dxfId="5234" priority="1763">
      <formula>LEN(TRIM(AA127))=0</formula>
    </cfRule>
    <cfRule type="containsBlanks" dxfId="5233" priority="1764">
      <formula>LEN(TRIM(AA127))=0</formula>
    </cfRule>
    <cfRule type="containsBlanks" dxfId="5232" priority="1765">
      <formula>LEN(TRIM(AA127))=0</formula>
    </cfRule>
    <cfRule type="containsBlanks" dxfId="5231" priority="1766">
      <formula>LEN(TRIM(AA127))=0</formula>
    </cfRule>
    <cfRule type="containsBlanks" dxfId="5230" priority="1767">
      <formula>LEN(TRIM(AA127))=0</formula>
    </cfRule>
    <cfRule type="containsBlanks" dxfId="5229" priority="1768">
      <formula>LEN(TRIM(AA127))=0</formula>
    </cfRule>
    <cfRule type="containsBlanks" dxfId="5228" priority="1769">
      <formula>LEN(TRIM(AA127))=0</formula>
    </cfRule>
    <cfRule type="containsBlanks" dxfId="5227" priority="1770">
      <formula>LEN(TRIM(AA127))=0</formula>
    </cfRule>
    <cfRule type="containsBlanks" dxfId="5226" priority="1771">
      <formula>LEN(TRIM(AA127))=0</formula>
    </cfRule>
    <cfRule type="containsBlanks" dxfId="5225" priority="1772">
      <formula>LEN(TRIM(AA127))=0</formula>
    </cfRule>
    <cfRule type="containsBlanks" dxfId="5224" priority="1773">
      <formula>LEN(TRIM(AA127))=0</formula>
    </cfRule>
    <cfRule type="containsBlanks" dxfId="5223" priority="1774">
      <formula>LEN(TRIM(AA127))=0</formula>
    </cfRule>
    <cfRule type="containsBlanks" dxfId="5222" priority="1775">
      <formula>LEN(TRIM(AA127))=0</formula>
    </cfRule>
    <cfRule type="containsBlanks" dxfId="5221" priority="1776">
      <formula>LEN(TRIM(AA127))=0</formula>
    </cfRule>
    <cfRule type="containsBlanks" dxfId="5220" priority="1777">
      <formula>LEN(TRIM(AA127))=0</formula>
    </cfRule>
    <cfRule type="containsBlanks" dxfId="5219" priority="1778">
      <formula>LEN(TRIM(AA127))=0</formula>
    </cfRule>
    <cfRule type="containsBlanks" dxfId="5218" priority="1779">
      <formula>LEN(TRIM(AA127))=0</formula>
    </cfRule>
    <cfRule type="containsBlanks" dxfId="5217" priority="1780">
      <formula>LEN(TRIM(AA127))=0</formula>
    </cfRule>
    <cfRule type="containsBlanks" dxfId="5216" priority="1781">
      <formula>LEN(TRIM(AA127))=0</formula>
    </cfRule>
    <cfRule type="containsBlanks" dxfId="5215" priority="1782">
      <formula>LEN(TRIM(AA127))=0</formula>
    </cfRule>
    <cfRule type="containsBlanks" dxfId="5214" priority="1783">
      <formula>LEN(TRIM(AA127))=0</formula>
    </cfRule>
    <cfRule type="containsBlanks" dxfId="5213" priority="1784">
      <formula>LEN(TRIM(AA127))=0</formula>
    </cfRule>
    <cfRule type="containsBlanks" dxfId="5212" priority="1785">
      <formula>LEN(TRIM(AA127))=0</formula>
    </cfRule>
    <cfRule type="containsBlanks" dxfId="5211" priority="1786">
      <formula>LEN(TRIM(AA127))=0</formula>
    </cfRule>
    <cfRule type="containsBlanks" dxfId="5210" priority="1787">
      <formula>LEN(TRIM(AA127))=0</formula>
    </cfRule>
    <cfRule type="containsBlanks" dxfId="5209" priority="1788">
      <formula>LEN(TRIM(AA127))=0</formula>
    </cfRule>
    <cfRule type="containsBlanks" dxfId="5208" priority="1789">
      <formula>LEN(TRIM(AA127))=0</formula>
    </cfRule>
    <cfRule type="containsBlanks" dxfId="5207" priority="1790">
      <formula>LEN(TRIM(AA127))=0</formula>
    </cfRule>
    <cfRule type="containsBlanks" dxfId="5206" priority="1791">
      <formula>LEN(TRIM(AA127))=0</formula>
    </cfRule>
    <cfRule type="containsBlanks" dxfId="5205" priority="1792">
      <formula>LEN(TRIM(AA127))=0</formula>
    </cfRule>
    <cfRule type="containsBlanks" dxfId="5204" priority="1793">
      <formula>LEN(TRIM(AA127))=0</formula>
    </cfRule>
    <cfRule type="containsBlanks" dxfId="5203" priority="1794">
      <formula>LEN(TRIM(AA127))=0</formula>
    </cfRule>
    <cfRule type="containsBlanks" dxfId="5202" priority="1795">
      <formula>LEN(TRIM(AA127))=0</formula>
    </cfRule>
    <cfRule type="containsBlanks" dxfId="5201" priority="1796">
      <formula>LEN(TRIM(AA127))=0</formula>
    </cfRule>
    <cfRule type="containsBlanks" dxfId="5200" priority="1797">
      <formula>LEN(TRIM(AA127))=0</formula>
    </cfRule>
    <cfRule type="containsBlanks" dxfId="5199" priority="1798">
      <formula>LEN(TRIM(AA127))=0</formula>
    </cfRule>
    <cfRule type="containsBlanks" dxfId="5198" priority="1799">
      <formula>LEN(TRIM(AA127))=0</formula>
    </cfRule>
    <cfRule type="containsBlanks" dxfId="5197" priority="1800">
      <formula>LEN(TRIM(AA127))=0</formula>
    </cfRule>
    <cfRule type="containsBlanks" dxfId="5196" priority="1801">
      <formula>LEN(TRIM(AA127))=0</formula>
    </cfRule>
    <cfRule type="containsBlanks" dxfId="5195" priority="1802">
      <formula>LEN(TRIM(AA127))=0</formula>
    </cfRule>
    <cfRule type="containsBlanks" dxfId="5194" priority="1803">
      <formula>LEN(TRIM(AA127))=0</formula>
    </cfRule>
    <cfRule type="containsBlanks" dxfId="5193" priority="1804">
      <formula>LEN(TRIM(AA127))=0</formula>
    </cfRule>
    <cfRule type="containsBlanks" dxfId="5192" priority="1805">
      <formula>LEN(TRIM(AA127))=0</formula>
    </cfRule>
    <cfRule type="containsBlanks" dxfId="5191" priority="1806">
      <formula>LEN(TRIM(AA127))=0</formula>
    </cfRule>
    <cfRule type="containsBlanks" dxfId="5190" priority="1807">
      <formula>LEN(TRIM(AA127))=0</formula>
    </cfRule>
    <cfRule type="containsBlanks" dxfId="5189" priority="1808">
      <formula>LEN(TRIM(AA127))=0</formula>
    </cfRule>
    <cfRule type="containsBlanks" dxfId="5188" priority="1809">
      <formula>LEN(TRIM(AA127))=0</formula>
    </cfRule>
    <cfRule type="containsBlanks" dxfId="5187" priority="1810">
      <formula>LEN(TRIM(AA127))=0</formula>
    </cfRule>
    <cfRule type="containsBlanks" dxfId="5186" priority="1811">
      <formula>LEN(TRIM(AA127))=0</formula>
    </cfRule>
    <cfRule type="containsBlanks" dxfId="5185" priority="1812">
      <formula>LEN(TRIM(AA127))=0</formula>
    </cfRule>
    <cfRule type="containsBlanks" dxfId="5184" priority="1813">
      <formula>LEN(TRIM(AA127))=0</formula>
    </cfRule>
    <cfRule type="containsBlanks" dxfId="5183" priority="1814">
      <formula>LEN(TRIM(AA127))=0</formula>
    </cfRule>
    <cfRule type="containsBlanks" dxfId="5182" priority="1815">
      <formula>LEN(TRIM(AA127))=0</formula>
    </cfRule>
    <cfRule type="containsBlanks" dxfId="5181" priority="1816">
      <formula>LEN(TRIM(AA127))=0</formula>
    </cfRule>
    <cfRule type="containsBlanks" dxfId="5180" priority="1817">
      <formula>LEN(TRIM(AA127))=0</formula>
    </cfRule>
    <cfRule type="containsBlanks" dxfId="5179" priority="1818">
      <formula>LEN(TRIM(AA127))=0</formula>
    </cfRule>
    <cfRule type="containsBlanks" dxfId="5178" priority="1819">
      <formula>LEN(TRIM(AA127))=0</formula>
    </cfRule>
    <cfRule type="containsBlanks" dxfId="5177" priority="1820">
      <formula>LEN(TRIM(AA127))=0</formula>
    </cfRule>
    <cfRule type="containsBlanks" dxfId="5176" priority="1821">
      <formula>LEN(TRIM(AA127))=0</formula>
    </cfRule>
    <cfRule type="containsBlanks" dxfId="5175" priority="1822">
      <formula>LEN(TRIM(AA127))=0</formula>
    </cfRule>
    <cfRule type="containsBlanks" dxfId="5174" priority="1823">
      <formula>LEN(TRIM(AA127))=0</formula>
    </cfRule>
    <cfRule type="containsBlanks" dxfId="5173" priority="1824">
      <formula>LEN(TRIM(AA127))=0</formula>
    </cfRule>
    <cfRule type="containsBlanks" dxfId="5172" priority="1825">
      <formula>LEN(TRIM(AA127))=0</formula>
    </cfRule>
    <cfRule type="containsBlanks" dxfId="5171" priority="1826">
      <formula>LEN(TRIM(AA127))=0</formula>
    </cfRule>
    <cfRule type="containsBlanks" dxfId="5170" priority="1827">
      <formula>LEN(TRIM(AA127))=0</formula>
    </cfRule>
    <cfRule type="containsBlanks" dxfId="5169" priority="1828">
      <formula>LEN(TRIM(AA127))=0</formula>
    </cfRule>
    <cfRule type="containsBlanks" dxfId="5168" priority="1829">
      <formula>LEN(TRIM(AA127))=0</formula>
    </cfRule>
    <cfRule type="containsBlanks" dxfId="5167" priority="1830">
      <formula>LEN(TRIM(AA127))=0</formula>
    </cfRule>
    <cfRule type="containsBlanks" dxfId="5166" priority="1831">
      <formula>LEN(TRIM(AA127))=0</formula>
    </cfRule>
    <cfRule type="containsBlanks" dxfId="5165" priority="1832">
      <formula>LEN(TRIM(AA127))=0</formula>
    </cfRule>
    <cfRule type="containsBlanks" dxfId="5164" priority="1833">
      <formula>LEN(TRIM(AA127))=0</formula>
    </cfRule>
    <cfRule type="containsBlanks" dxfId="5163" priority="1834">
      <formula>LEN(TRIM(AA127))=0</formula>
    </cfRule>
    <cfRule type="containsBlanks" dxfId="5162" priority="1835">
      <formula>LEN(TRIM(AA127))=0</formula>
    </cfRule>
    <cfRule type="containsBlanks" dxfId="5161" priority="1836">
      <formula>LEN(TRIM(AA127))=0</formula>
    </cfRule>
    <cfRule type="containsBlanks" dxfId="5160" priority="1837">
      <formula>LEN(TRIM(AA127))=0</formula>
    </cfRule>
    <cfRule type="containsBlanks" dxfId="5159" priority="1838">
      <formula>LEN(TRIM(AA127))=0</formula>
    </cfRule>
    <cfRule type="containsBlanks" dxfId="5158" priority="1839">
      <formula>LEN(TRIM(AA127))=0</formula>
    </cfRule>
    <cfRule type="containsBlanks" dxfId="5157" priority="1840">
      <formula>LEN(TRIM(AA127))=0</formula>
    </cfRule>
    <cfRule type="containsBlanks" dxfId="5156" priority="1841">
      <formula>LEN(TRIM(AA127))=0</formula>
    </cfRule>
    <cfRule type="containsBlanks" dxfId="5155" priority="1842">
      <formula>LEN(TRIM(AA127))=0</formula>
    </cfRule>
    <cfRule type="containsBlanks" dxfId="5154" priority="1843">
      <formula>LEN(TRIM(AA127))=0</formula>
    </cfRule>
    <cfRule type="containsBlanks" dxfId="5153" priority="1844">
      <formula>LEN(TRIM(AA127))=0</formula>
    </cfRule>
    <cfRule type="containsBlanks" dxfId="5152" priority="1845">
      <formula>LEN(TRIM(AA127))=0</formula>
    </cfRule>
    <cfRule type="containsBlanks" dxfId="5151" priority="1846">
      <formula>LEN(TRIM(AA127))=0</formula>
    </cfRule>
    <cfRule type="containsBlanks" dxfId="5150" priority="1847">
      <formula>LEN(TRIM(AA127))=0</formula>
    </cfRule>
    <cfRule type="containsBlanks" dxfId="5149" priority="1848">
      <formula>LEN(TRIM(AA127))=0</formula>
    </cfRule>
    <cfRule type="containsBlanks" dxfId="5148" priority="1849">
      <formula>LEN(TRIM(AA127))=0</formula>
    </cfRule>
    <cfRule type="containsBlanks" dxfId="5147" priority="1850">
      <formula>LEN(TRIM(AA127))=0</formula>
    </cfRule>
    <cfRule type="containsBlanks" dxfId="5146" priority="1851">
      <formula>LEN(TRIM(AA127))=0</formula>
    </cfRule>
    <cfRule type="containsBlanks" dxfId="5145" priority="1852">
      <formula>LEN(TRIM(AA127))=0</formula>
    </cfRule>
    <cfRule type="containsBlanks" dxfId="5144" priority="1853">
      <formula>LEN(TRIM(AA127))=0</formula>
    </cfRule>
    <cfRule type="containsBlanks" dxfId="5143" priority="1854">
      <formula>LEN(TRIM(AA127))=0</formula>
    </cfRule>
    <cfRule type="containsBlanks" dxfId="5142" priority="1855">
      <formula>LEN(TRIM(AA127))=0</formula>
    </cfRule>
    <cfRule type="containsBlanks" dxfId="5141" priority="1856">
      <formula>LEN(TRIM(AA127))=0</formula>
    </cfRule>
    <cfRule type="containsBlanks" dxfId="5140" priority="1857">
      <formula>LEN(TRIM(AA127))=0</formula>
    </cfRule>
    <cfRule type="containsBlanks" dxfId="5139" priority="1858">
      <formula>LEN(TRIM(AA127))=0</formula>
    </cfRule>
    <cfRule type="containsBlanks" dxfId="5138" priority="1859">
      <formula>LEN(TRIM(AA127))=0</formula>
    </cfRule>
    <cfRule type="containsBlanks" dxfId="5137" priority="1860">
      <formula>LEN(TRIM(AA127))=0</formula>
    </cfRule>
    <cfRule type="containsBlanks" dxfId="5136" priority="1861">
      <formula>LEN(TRIM(AA127))=0</formula>
    </cfRule>
    <cfRule type="containsBlanks" dxfId="5135" priority="1862">
      <formula>LEN(TRIM(AA127))=0</formula>
    </cfRule>
    <cfRule type="containsBlanks" dxfId="5134" priority="1863">
      <formula>LEN(TRIM(AA127))=0</formula>
    </cfRule>
    <cfRule type="containsBlanks" dxfId="5133" priority="1864">
      <formula>LEN(TRIM(AA127))=0</formula>
    </cfRule>
    <cfRule type="containsBlanks" dxfId="5132" priority="1865">
      <formula>LEN(TRIM(AA127))=0</formula>
    </cfRule>
    <cfRule type="containsBlanks" dxfId="5131" priority="1866">
      <formula>LEN(TRIM(AA127))=0</formula>
    </cfRule>
    <cfRule type="containsBlanks" dxfId="5130" priority="1867">
      <formula>LEN(TRIM(AA127))=0</formula>
    </cfRule>
    <cfRule type="containsBlanks" dxfId="5129" priority="1868">
      <formula>LEN(TRIM(AA127))=0</formula>
    </cfRule>
    <cfRule type="containsBlanks" dxfId="5128" priority="1869">
      <formula>LEN(TRIM(AA127))=0</formula>
    </cfRule>
    <cfRule type="containsBlanks" dxfId="5127" priority="1870">
      <formula>LEN(TRIM(AA127))=0</formula>
    </cfRule>
    <cfRule type="containsBlanks" dxfId="5126" priority="1871">
      <formula>LEN(TRIM(AA127))=0</formula>
    </cfRule>
    <cfRule type="containsBlanks" dxfId="5125" priority="1872">
      <formula>LEN(TRIM(AA127))=0</formula>
    </cfRule>
    <cfRule type="containsBlanks" dxfId="5124" priority="1873">
      <formula>LEN(TRIM(AA127))=0</formula>
    </cfRule>
    <cfRule type="containsBlanks" dxfId="5123" priority="1874">
      <formula>LEN(TRIM(AA127))=0</formula>
    </cfRule>
    <cfRule type="containsBlanks" dxfId="5122" priority="1875">
      <formula>LEN(TRIM(AA127))=0</formula>
    </cfRule>
    <cfRule type="containsBlanks" dxfId="5121" priority="1876">
      <formula>LEN(TRIM(AA127))=0</formula>
    </cfRule>
    <cfRule type="containsBlanks" dxfId="5120" priority="1877">
      <formula>LEN(TRIM(AA127))=0</formula>
    </cfRule>
    <cfRule type="containsBlanks" dxfId="5119" priority="1878">
      <formula>LEN(TRIM(AA127))=0</formula>
    </cfRule>
    <cfRule type="containsBlanks" dxfId="5118" priority="1879">
      <formula>LEN(TRIM(AA127))=0</formula>
    </cfRule>
    <cfRule type="containsBlanks" dxfId="5117" priority="1880">
      <formula>LEN(TRIM(AA127))=0</formula>
    </cfRule>
    <cfRule type="containsBlanks" dxfId="5116" priority="1881">
      <formula>LEN(TRIM(AA127))=0</formula>
    </cfRule>
    <cfRule type="containsBlanks" dxfId="5115" priority="1882">
      <formula>LEN(TRIM(AA127))=0</formula>
    </cfRule>
    <cfRule type="containsBlanks" dxfId="5114" priority="1883">
      <formula>LEN(TRIM(AA127))=0</formula>
    </cfRule>
    <cfRule type="containsBlanks" dxfId="5113" priority="1884">
      <formula>LEN(TRIM(AA127))=0</formula>
    </cfRule>
    <cfRule type="containsBlanks" dxfId="5112" priority="1885">
      <formula>LEN(TRIM(AA127))=0</formula>
    </cfRule>
    <cfRule type="containsBlanks" dxfId="5111" priority="1886">
      <formula>LEN(TRIM(AA127))=0</formula>
    </cfRule>
    <cfRule type="containsBlanks" dxfId="5110" priority="1887">
      <formula>LEN(TRIM(AA127))=0</formula>
    </cfRule>
    <cfRule type="containsBlanks" dxfId="5109" priority="1888">
      <formula>LEN(TRIM(AA127))=0</formula>
    </cfRule>
    <cfRule type="containsBlanks" dxfId="5108" priority="1889">
      <formula>LEN(TRIM(AA127))=0</formula>
    </cfRule>
    <cfRule type="containsBlanks" dxfId="5107" priority="1890">
      <formula>LEN(TRIM(AA127))=0</formula>
    </cfRule>
    <cfRule type="containsBlanks" dxfId="5106" priority="1891">
      <formula>LEN(TRIM(AA127))=0</formula>
    </cfRule>
    <cfRule type="containsBlanks" dxfId="5105" priority="1892">
      <formula>LEN(TRIM(AA127))=0</formula>
    </cfRule>
    <cfRule type="containsBlanks" dxfId="5104" priority="1893">
      <formula>LEN(TRIM(AA127))=0</formula>
    </cfRule>
    <cfRule type="containsBlanks" dxfId="5103" priority="1894">
      <formula>LEN(TRIM(AA127))=0</formula>
    </cfRule>
    <cfRule type="containsBlanks" dxfId="5102" priority="1895">
      <formula>LEN(TRIM(AA127))=0</formula>
    </cfRule>
    <cfRule type="containsBlanks" dxfId="5101" priority="1896">
      <formula>LEN(TRIM(AA127))=0</formula>
    </cfRule>
    <cfRule type="containsBlanks" dxfId="5100" priority="1897">
      <formula>LEN(TRIM(AA127))=0</formula>
    </cfRule>
    <cfRule type="containsBlanks" dxfId="5099" priority="1898">
      <formula>LEN(TRIM(AA127))=0</formula>
    </cfRule>
    <cfRule type="containsBlanks" dxfId="5098" priority="1899">
      <formula>LEN(TRIM(AA127))=0</formula>
    </cfRule>
    <cfRule type="containsBlanks" dxfId="5097" priority="1900">
      <formula>LEN(TRIM(AA127))=0</formula>
    </cfRule>
    <cfRule type="containsBlanks" dxfId="5096" priority="1901">
      <formula>LEN(TRIM(AA127))=0</formula>
    </cfRule>
    <cfRule type="containsBlanks" dxfId="5095" priority="1902">
      <formula>LEN(TRIM(AA127))=0</formula>
    </cfRule>
    <cfRule type="containsBlanks" dxfId="5094" priority="1903">
      <formula>LEN(TRIM(AA127))=0</formula>
    </cfRule>
    <cfRule type="containsBlanks" dxfId="5093" priority="1904">
      <formula>LEN(TRIM(AA127))=0</formula>
    </cfRule>
    <cfRule type="containsBlanks" dxfId="5092" priority="1905">
      <formula>LEN(TRIM(AA127))=0</formula>
    </cfRule>
    <cfRule type="containsBlanks" dxfId="5091" priority="1906">
      <formula>LEN(TRIM(AA127))=0</formula>
    </cfRule>
    <cfRule type="containsBlanks" dxfId="5090" priority="1907">
      <formula>LEN(TRIM(AA127))=0</formula>
    </cfRule>
    <cfRule type="containsBlanks" dxfId="5089" priority="1908">
      <formula>LEN(TRIM(AA127))=0</formula>
    </cfRule>
    <cfRule type="containsBlanks" dxfId="5088" priority="1909">
      <formula>LEN(TRIM(AA127))=0</formula>
    </cfRule>
    <cfRule type="containsBlanks" dxfId="5087" priority="1910">
      <formula>LEN(TRIM(AA127))=0</formula>
    </cfRule>
    <cfRule type="containsBlanks" dxfId="5086" priority="1911">
      <formula>LEN(TRIM(AA127))=0</formula>
    </cfRule>
    <cfRule type="containsBlanks" dxfId="5085" priority="1912">
      <formula>LEN(TRIM(AA127))=0</formula>
    </cfRule>
    <cfRule type="containsBlanks" dxfId="5084" priority="1913">
      <formula>LEN(TRIM(AA127))=0</formula>
    </cfRule>
    <cfRule type="containsBlanks" dxfId="5083" priority="1914">
      <formula>LEN(TRIM(AA127))=0</formula>
    </cfRule>
    <cfRule type="containsBlanks" dxfId="5082" priority="1915">
      <formula>LEN(TRIM(AA127))=0</formula>
    </cfRule>
    <cfRule type="containsBlanks" dxfId="5081" priority="1916">
      <formula>LEN(TRIM(AA127))=0</formula>
    </cfRule>
    <cfRule type="containsBlanks" dxfId="5080" priority="1917">
      <formula>LEN(TRIM(AA127))=0</formula>
    </cfRule>
    <cfRule type="containsBlanks" dxfId="5079" priority="1918">
      <formula>LEN(TRIM(AA127))=0</formula>
    </cfRule>
    <cfRule type="containsBlanks" dxfId="5078" priority="1919">
      <formula>LEN(TRIM(AA127))=0</formula>
    </cfRule>
    <cfRule type="containsBlanks" dxfId="5077" priority="1920">
      <formula>LEN(TRIM(AA127))=0</formula>
    </cfRule>
    <cfRule type="containsBlanks" dxfId="5076" priority="1921">
      <formula>LEN(TRIM(AA127))=0</formula>
    </cfRule>
    <cfRule type="containsBlanks" dxfId="5075" priority="1922">
      <formula>LEN(TRIM(AA127))=0</formula>
    </cfRule>
    <cfRule type="containsBlanks" dxfId="5074" priority="1923">
      <formula>LEN(TRIM(AA127))=0</formula>
    </cfRule>
    <cfRule type="containsBlanks" dxfId="5073" priority="1924">
      <formula>LEN(TRIM(AA127))=0</formula>
    </cfRule>
    <cfRule type="containsBlanks" dxfId="5072" priority="1925">
      <formula>LEN(TRIM(AA127))=0</formula>
    </cfRule>
    <cfRule type="containsBlanks" dxfId="5071" priority="1926">
      <formula>LEN(TRIM(AA127))=0</formula>
    </cfRule>
    <cfRule type="containsBlanks" dxfId="5070" priority="1927">
      <formula>LEN(TRIM(AA127))=0</formula>
    </cfRule>
    <cfRule type="containsBlanks" dxfId="5069" priority="1928">
      <formula>LEN(TRIM(AA127))=0</formula>
    </cfRule>
    <cfRule type="containsBlanks" dxfId="5068" priority="1929">
      <formula>LEN(TRIM(AA127))=0</formula>
    </cfRule>
    <cfRule type="containsBlanks" dxfId="5067" priority="1930">
      <formula>LEN(TRIM(AA127))=0</formula>
    </cfRule>
    <cfRule type="containsBlanks" dxfId="5066" priority="1931">
      <formula>LEN(TRIM(AA127))=0</formula>
    </cfRule>
    <cfRule type="containsBlanks" dxfId="5065" priority="1932">
      <formula>LEN(TRIM(AA127))=0</formula>
    </cfRule>
    <cfRule type="containsBlanks" dxfId="5064" priority="1933">
      <formula>LEN(TRIM(AA127))=0</formula>
    </cfRule>
    <cfRule type="containsBlanks" dxfId="5063" priority="1934">
      <formula>LEN(TRIM(AA127))=0</formula>
    </cfRule>
    <cfRule type="containsBlanks" dxfId="5062" priority="1935">
      <formula>LEN(TRIM(AA127))=0</formula>
    </cfRule>
    <cfRule type="containsBlanks" dxfId="5061" priority="1936">
      <formula>LEN(TRIM(AA127))=0</formula>
    </cfRule>
    <cfRule type="containsBlanks" dxfId="5060" priority="1937">
      <formula>LEN(TRIM(AA127))=0</formula>
    </cfRule>
    <cfRule type="containsBlanks" dxfId="5059" priority="1938">
      <formula>LEN(TRIM(AA127))=0</formula>
    </cfRule>
    <cfRule type="containsBlanks" dxfId="5058" priority="1939">
      <formula>LEN(TRIM(AA127))=0</formula>
    </cfRule>
    <cfRule type="containsBlanks" dxfId="5057" priority="1940">
      <formula>LEN(TRIM(AA127))=0</formula>
    </cfRule>
    <cfRule type="containsBlanks" dxfId="5056" priority="1941">
      <formula>LEN(TRIM(AA127))=0</formula>
    </cfRule>
    <cfRule type="containsBlanks" dxfId="5055" priority="1942">
      <formula>LEN(TRIM(AA127))=0</formula>
    </cfRule>
    <cfRule type="containsBlanks" dxfId="5054" priority="1943">
      <formula>LEN(TRIM(AA127))=0</formula>
    </cfRule>
    <cfRule type="containsBlanks" dxfId="5053" priority="1944">
      <formula>LEN(TRIM(AA127))=0</formula>
    </cfRule>
    <cfRule type="containsBlanks" dxfId="5052" priority="1945">
      <formula>LEN(TRIM(AA127))=0</formula>
    </cfRule>
    <cfRule type="containsBlanks" dxfId="5051" priority="1946">
      <formula>LEN(TRIM(AA127))=0</formula>
    </cfRule>
    <cfRule type="containsBlanks" dxfId="5050" priority="1947">
      <formula>LEN(TRIM(AA127))=0</formula>
    </cfRule>
    <cfRule type="containsBlanks" dxfId="5049" priority="1948">
      <formula>LEN(TRIM(AA127))=0</formula>
    </cfRule>
    <cfRule type="containsBlanks" dxfId="5048" priority="1949">
      <formula>LEN(TRIM(AA127))=0</formula>
    </cfRule>
    <cfRule type="containsBlanks" dxfId="5047" priority="1950">
      <formula>LEN(TRIM(AA127))=0</formula>
    </cfRule>
    <cfRule type="containsBlanks" dxfId="5046" priority="1951">
      <formula>LEN(TRIM(AA127))=0</formula>
    </cfRule>
    <cfRule type="containsBlanks" dxfId="5045" priority="1952">
      <formula>LEN(TRIM(AA127))=0</formula>
    </cfRule>
    <cfRule type="containsBlanks" dxfId="5044" priority="1953">
      <formula>LEN(TRIM(AA127))=0</formula>
    </cfRule>
    <cfRule type="containsBlanks" dxfId="5043" priority="1954">
      <formula>LEN(TRIM(AA127))=0</formula>
    </cfRule>
    <cfRule type="containsBlanks" dxfId="5042" priority="1955">
      <formula>LEN(TRIM(AA127))=0</formula>
    </cfRule>
    <cfRule type="containsBlanks" dxfId="5041" priority="1956">
      <formula>LEN(TRIM(AA127))=0</formula>
    </cfRule>
    <cfRule type="containsBlanks" dxfId="5040" priority="1957">
      <formula>LEN(TRIM(AA127))=0</formula>
    </cfRule>
    <cfRule type="containsBlanks" dxfId="5039" priority="1958">
      <formula>LEN(TRIM(AA127))=0</formula>
    </cfRule>
    <cfRule type="containsBlanks" dxfId="5038" priority="1959">
      <formula>LEN(TRIM(AA127))=0</formula>
    </cfRule>
    <cfRule type="containsBlanks" dxfId="5037" priority="1960">
      <formula>LEN(TRIM(AA127))=0</formula>
    </cfRule>
    <cfRule type="containsBlanks" dxfId="5036" priority="1961">
      <formula>LEN(TRIM(AA127))=0</formula>
    </cfRule>
    <cfRule type="containsBlanks" dxfId="5035" priority="1962">
      <formula>LEN(TRIM(AA127))=0</formula>
    </cfRule>
    <cfRule type="containsBlanks" dxfId="5034" priority="1963">
      <formula>LEN(TRIM(AA127))=0</formula>
    </cfRule>
    <cfRule type="containsBlanks" dxfId="5033" priority="1964">
      <formula>LEN(TRIM(AA127))=0</formula>
    </cfRule>
    <cfRule type="containsBlanks" dxfId="5032" priority="1965">
      <formula>LEN(TRIM(AA127))=0</formula>
    </cfRule>
    <cfRule type="containsBlanks" dxfId="5031" priority="1966">
      <formula>LEN(TRIM(AA127))=0</formula>
    </cfRule>
    <cfRule type="containsBlanks" dxfId="5030" priority="1967">
      <formula>LEN(TRIM(AA127))=0</formula>
    </cfRule>
    <cfRule type="containsBlanks" dxfId="5029" priority="1968">
      <formula>LEN(TRIM(AA127))=0</formula>
    </cfRule>
    <cfRule type="containsBlanks" dxfId="5028" priority="1969">
      <formula>LEN(TRIM(AA127))=0</formula>
    </cfRule>
    <cfRule type="containsBlanks" dxfId="5027" priority="1970">
      <formula>LEN(TRIM(AA127))=0</formula>
    </cfRule>
    <cfRule type="containsBlanks" dxfId="5026" priority="1971">
      <formula>LEN(TRIM(AA127))=0</formula>
    </cfRule>
    <cfRule type="containsBlanks" dxfId="5025" priority="1972">
      <formula>LEN(TRIM(AA127))=0</formula>
    </cfRule>
    <cfRule type="containsBlanks" dxfId="5024" priority="1973">
      <formula>LEN(TRIM(AA127))=0</formula>
    </cfRule>
    <cfRule type="containsBlanks" dxfId="5023" priority="1974">
      <formula>LEN(TRIM(AA127))=0</formula>
    </cfRule>
    <cfRule type="containsBlanks" dxfId="5022" priority="1975">
      <formula>LEN(TRIM(AA127))=0</formula>
    </cfRule>
    <cfRule type="containsBlanks" dxfId="5021" priority="1976">
      <formula>LEN(TRIM(AA127))=0</formula>
    </cfRule>
    <cfRule type="containsBlanks" dxfId="5020" priority="1977">
      <formula>LEN(TRIM(AA127))=0</formula>
    </cfRule>
    <cfRule type="containsBlanks" dxfId="5019" priority="1978">
      <formula>LEN(TRIM(AA127))=0</formula>
    </cfRule>
    <cfRule type="containsBlanks" dxfId="5018" priority="1979">
      <formula>LEN(TRIM(AA127))=0</formula>
    </cfRule>
    <cfRule type="containsBlanks" dxfId="5017" priority="1980">
      <formula>LEN(TRIM(AA127))=0</formula>
    </cfRule>
    <cfRule type="containsBlanks" dxfId="5016" priority="1981">
      <formula>LEN(TRIM(AA127))=0</formula>
    </cfRule>
    <cfRule type="containsBlanks" dxfId="5015" priority="1982">
      <formula>LEN(TRIM(AA127))=0</formula>
    </cfRule>
    <cfRule type="containsBlanks" dxfId="5014" priority="1983">
      <formula>LEN(TRIM(AA127))=0</formula>
    </cfRule>
    <cfRule type="containsBlanks" dxfId="5013" priority="1984">
      <formula>LEN(TRIM(AA127))=0</formula>
    </cfRule>
    <cfRule type="containsBlanks" dxfId="5012" priority="1985">
      <formula>LEN(TRIM(AA127))=0</formula>
    </cfRule>
    <cfRule type="containsBlanks" dxfId="5011" priority="1986">
      <formula>LEN(TRIM(AA127))=0</formula>
    </cfRule>
    <cfRule type="containsBlanks" dxfId="5010" priority="1987">
      <formula>LEN(TRIM(AA127))=0</formula>
    </cfRule>
    <cfRule type="containsBlanks" dxfId="5009" priority="1988">
      <formula>LEN(TRIM(AA127))=0</formula>
    </cfRule>
    <cfRule type="containsBlanks" dxfId="5008" priority="1989">
      <formula>LEN(TRIM(AA127))=0</formula>
    </cfRule>
    <cfRule type="containsBlanks" dxfId="5007" priority="1990">
      <formula>LEN(TRIM(AA127))=0</formula>
    </cfRule>
    <cfRule type="containsBlanks" dxfId="5006" priority="1991">
      <formula>LEN(TRIM(AA127))=0</formula>
    </cfRule>
    <cfRule type="containsBlanks" dxfId="5005" priority="1992">
      <formula>LEN(TRIM(AA127))=0</formula>
    </cfRule>
    <cfRule type="containsBlanks" dxfId="5004" priority="1993">
      <formula>LEN(TRIM(AA127))=0</formula>
    </cfRule>
    <cfRule type="containsBlanks" dxfId="5003" priority="1994">
      <formula>LEN(TRIM(AA127))=0</formula>
    </cfRule>
    <cfRule type="containsBlanks" dxfId="5002" priority="1995">
      <formula>LEN(TRIM(AA127))=0</formula>
    </cfRule>
    <cfRule type="containsBlanks" dxfId="5001" priority="1996">
      <formula>LEN(TRIM(AA127))=0</formula>
    </cfRule>
    <cfRule type="containsBlanks" dxfId="5000" priority="1997">
      <formula>LEN(TRIM(AA127))=0</formula>
    </cfRule>
    <cfRule type="containsBlanks" dxfId="4999" priority="1998">
      <formula>LEN(TRIM(AA127))=0</formula>
    </cfRule>
    <cfRule type="containsBlanks" dxfId="4998" priority="1999">
      <formula>LEN(TRIM(AA127))=0</formula>
    </cfRule>
    <cfRule type="containsBlanks" dxfId="4997" priority="2000">
      <formula>LEN(TRIM(AA127))=0</formula>
    </cfRule>
    <cfRule type="containsBlanks" dxfId="4996" priority="2001">
      <formula>LEN(TRIM(AA127))=0</formula>
    </cfRule>
    <cfRule type="containsBlanks" dxfId="4995" priority="2002">
      <formula>LEN(TRIM(AA127))=0</formula>
    </cfRule>
    <cfRule type="containsBlanks" dxfId="4994" priority="2003">
      <formula>LEN(TRIM(AA127))=0</formula>
    </cfRule>
    <cfRule type="containsBlanks" dxfId="4993" priority="2004">
      <formula>LEN(TRIM(AA127))=0</formula>
    </cfRule>
    <cfRule type="containsBlanks" dxfId="4992" priority="2005">
      <formula>LEN(TRIM(AA127))=0</formula>
    </cfRule>
    <cfRule type="containsBlanks" dxfId="4991" priority="2006">
      <formula>LEN(TRIM(AA127))=0</formula>
    </cfRule>
    <cfRule type="containsBlanks" dxfId="4990" priority="2007">
      <formula>LEN(TRIM(AA127))=0</formula>
    </cfRule>
    <cfRule type="containsBlanks" dxfId="4989" priority="2008">
      <formula>LEN(TRIM(AA127))=0</formula>
    </cfRule>
    <cfRule type="containsBlanks" dxfId="4988" priority="2009">
      <formula>LEN(TRIM(AA127))=0</formula>
    </cfRule>
    <cfRule type="containsBlanks" dxfId="4987" priority="2010">
      <formula>LEN(TRIM(AA127))=0</formula>
    </cfRule>
    <cfRule type="containsBlanks" dxfId="4986" priority="2011">
      <formula>LEN(TRIM(AA127))=0</formula>
    </cfRule>
    <cfRule type="containsBlanks" dxfId="4985" priority="2012">
      <formula>LEN(TRIM(AA127))=0</formula>
    </cfRule>
    <cfRule type="containsBlanks" dxfId="4984" priority="2013">
      <formula>LEN(TRIM(AA127))=0</formula>
    </cfRule>
    <cfRule type="containsBlanks" dxfId="4983" priority="2014">
      <formula>LEN(TRIM(AA127))=0</formula>
    </cfRule>
    <cfRule type="containsBlanks" dxfId="4982" priority="2015">
      <formula>LEN(TRIM(AA127))=0</formula>
    </cfRule>
    <cfRule type="containsBlanks" dxfId="4981" priority="2016">
      <formula>LEN(TRIM(AA127))=0</formula>
    </cfRule>
    <cfRule type="containsBlanks" dxfId="4980" priority="2017">
      <formula>LEN(TRIM(AA127))=0</formula>
    </cfRule>
    <cfRule type="containsBlanks" dxfId="4979" priority="2018">
      <formula>LEN(TRIM(AA127))=0</formula>
    </cfRule>
    <cfRule type="containsBlanks" dxfId="4978" priority="2019">
      <formula>LEN(TRIM(AA127))=0</formula>
    </cfRule>
    <cfRule type="containsBlanks" dxfId="4977" priority="2020">
      <formula>LEN(TRIM(AA127))=0</formula>
    </cfRule>
    <cfRule type="containsBlanks" dxfId="4976" priority="2021">
      <formula>LEN(TRIM(AA127))=0</formula>
    </cfRule>
    <cfRule type="containsBlanks" dxfId="4975" priority="2022">
      <formula>LEN(TRIM(AA127))=0</formula>
    </cfRule>
    <cfRule type="containsBlanks" dxfId="4974" priority="2023">
      <formula>LEN(TRIM(AA127))=0</formula>
    </cfRule>
    <cfRule type="containsBlanks" dxfId="4973" priority="2024">
      <formula>LEN(TRIM(AA127))=0</formula>
    </cfRule>
    <cfRule type="containsBlanks" dxfId="4972" priority="2025">
      <formula>LEN(TRIM(AA127))=0</formula>
    </cfRule>
    <cfRule type="containsBlanks" dxfId="4971" priority="2026">
      <formula>LEN(TRIM(AA127))=0</formula>
    </cfRule>
    <cfRule type="containsBlanks" dxfId="4970" priority="2027">
      <formula>LEN(TRIM(AA127))=0</formula>
    </cfRule>
    <cfRule type="containsBlanks" dxfId="4969" priority="2028">
      <formula>LEN(TRIM(AA127))=0</formula>
    </cfRule>
    <cfRule type="containsBlanks" dxfId="4968" priority="2029">
      <formula>LEN(TRIM(AA127))=0</formula>
    </cfRule>
    <cfRule type="containsBlanks" dxfId="4967" priority="2030">
      <formula>LEN(TRIM(AA127))=0</formula>
    </cfRule>
    <cfRule type="containsBlanks" dxfId="4966" priority="2031">
      <formula>LEN(TRIM(AA127))=0</formula>
    </cfRule>
    <cfRule type="containsBlanks" dxfId="4965" priority="2032">
      <formula>LEN(TRIM(AA127))=0</formula>
    </cfRule>
    <cfRule type="containsBlanks" dxfId="4964" priority="2033">
      <formula>LEN(TRIM(AA127))=0</formula>
    </cfRule>
    <cfRule type="containsBlanks" dxfId="4963" priority="2034">
      <formula>LEN(TRIM(AA127))=0</formula>
    </cfRule>
    <cfRule type="containsBlanks" dxfId="4962" priority="2035">
      <formula>LEN(TRIM(AA127))=0</formula>
    </cfRule>
    <cfRule type="containsBlanks" dxfId="4961" priority="2036">
      <formula>LEN(TRIM(AA127))=0</formula>
    </cfRule>
    <cfRule type="containsBlanks" dxfId="4960" priority="2037">
      <formula>LEN(TRIM(AA127))=0</formula>
    </cfRule>
    <cfRule type="containsBlanks" dxfId="4959" priority="2038">
      <formula>LEN(TRIM(AA127))=0</formula>
    </cfRule>
    <cfRule type="containsBlanks" dxfId="4958" priority="2039">
      <formula>LEN(TRIM(AA127))=0</formula>
    </cfRule>
    <cfRule type="containsBlanks" dxfId="4957" priority="2040">
      <formula>LEN(TRIM(AA127))=0</formula>
    </cfRule>
    <cfRule type="containsBlanks" dxfId="4956" priority="2041">
      <formula>LEN(TRIM(AA127))=0</formula>
    </cfRule>
    <cfRule type="containsBlanks" dxfId="4955" priority="2042">
      <formula>LEN(TRIM(AA127))=0</formula>
    </cfRule>
    <cfRule type="containsBlanks" dxfId="4954" priority="2043">
      <formula>LEN(TRIM(AA127))=0</formula>
    </cfRule>
    <cfRule type="containsBlanks" dxfId="4953" priority="2044">
      <formula>LEN(TRIM(AA127))=0</formula>
    </cfRule>
    <cfRule type="containsBlanks" dxfId="4952" priority="2045">
      <formula>LEN(TRIM(AA127))=0</formula>
    </cfRule>
    <cfRule type="containsBlanks" dxfId="4951" priority="2046">
      <formula>LEN(TRIM(AA127))=0</formula>
    </cfRule>
    <cfRule type="containsBlanks" dxfId="4950" priority="2047">
      <formula>LEN(TRIM(AA127))=0</formula>
    </cfRule>
    <cfRule type="containsBlanks" dxfId="4949" priority="2048">
      <formula>LEN(TRIM(AA127))=0</formula>
    </cfRule>
    <cfRule type="containsBlanks" dxfId="4948" priority="2049">
      <formula>LEN(TRIM(AA127))=0</formula>
    </cfRule>
    <cfRule type="containsBlanks" dxfId="4947" priority="2050">
      <formula>LEN(TRIM(AA127))=0</formula>
    </cfRule>
    <cfRule type="containsBlanks" dxfId="4946" priority="2051">
      <formula>LEN(TRIM(AA127))=0</formula>
    </cfRule>
    <cfRule type="containsBlanks" dxfId="4945" priority="2052">
      <formula>LEN(TRIM(AA127))=0</formula>
    </cfRule>
    <cfRule type="containsBlanks" dxfId="4944" priority="2053">
      <formula>LEN(TRIM(AA127))=0</formula>
    </cfRule>
    <cfRule type="containsBlanks" dxfId="4943" priority="2054">
      <formula>LEN(TRIM(AA127))=0</formula>
    </cfRule>
    <cfRule type="containsBlanks" dxfId="4942" priority="2055">
      <formula>LEN(TRIM(AA127))=0</formula>
    </cfRule>
    <cfRule type="containsBlanks" dxfId="4941" priority="2056">
      <formula>LEN(TRIM(AA127))=0</formula>
    </cfRule>
    <cfRule type="containsBlanks" dxfId="4940" priority="2057">
      <formula>LEN(TRIM(AA127))=0</formula>
    </cfRule>
    <cfRule type="containsBlanks" dxfId="4939" priority="2058">
      <formula>LEN(TRIM(AA127))=0</formula>
    </cfRule>
    <cfRule type="containsBlanks" dxfId="4938" priority="2059">
      <formula>LEN(TRIM(AA127))=0</formula>
    </cfRule>
    <cfRule type="containsBlanks" dxfId="4937" priority="2060">
      <formula>LEN(TRIM(AA127))=0</formula>
    </cfRule>
    <cfRule type="containsBlanks" dxfId="4936" priority="2061">
      <formula>LEN(TRIM(AA127))=0</formula>
    </cfRule>
    <cfRule type="containsBlanks" dxfId="4935" priority="2062">
      <formula>LEN(TRIM(AA127))=0</formula>
    </cfRule>
    <cfRule type="containsBlanks" dxfId="4934" priority="2063">
      <formula>LEN(TRIM(AA127))=0</formula>
    </cfRule>
    <cfRule type="containsBlanks" dxfId="4933" priority="2064">
      <formula>LEN(TRIM(AA127))=0</formula>
    </cfRule>
    <cfRule type="containsBlanks" dxfId="4932" priority="2065">
      <formula>LEN(TRIM(AA127))=0</formula>
    </cfRule>
    <cfRule type="containsBlanks" dxfId="4931" priority="2066">
      <formula>LEN(TRIM(AA127))=0</formula>
    </cfRule>
    <cfRule type="containsBlanks" dxfId="4930" priority="2067">
      <formula>LEN(TRIM(AA127))=0</formula>
    </cfRule>
    <cfRule type="containsBlanks" dxfId="4929" priority="2068">
      <formula>LEN(TRIM(AA127))=0</formula>
    </cfRule>
    <cfRule type="containsBlanks" dxfId="4928" priority="2069">
      <formula>LEN(TRIM(AA127))=0</formula>
    </cfRule>
    <cfRule type="containsBlanks" dxfId="4927" priority="2070">
      <formula>LEN(TRIM(AA127))=0</formula>
    </cfRule>
    <cfRule type="containsBlanks" dxfId="4926" priority="2071">
      <formula>LEN(TRIM(AA127))=0</formula>
    </cfRule>
    <cfRule type="containsBlanks" dxfId="4925" priority="2072">
      <formula>LEN(TRIM(AA127))=0</formula>
    </cfRule>
    <cfRule type="containsBlanks" dxfId="4924" priority="2073">
      <formula>LEN(TRIM(AA127))=0</formula>
    </cfRule>
    <cfRule type="containsBlanks" dxfId="4923" priority="2074">
      <formula>LEN(TRIM(AA127))=0</formula>
    </cfRule>
    <cfRule type="containsBlanks" dxfId="4922" priority="2075">
      <formula>LEN(TRIM(AA127))=0</formula>
    </cfRule>
    <cfRule type="containsBlanks" dxfId="4921" priority="2076">
      <formula>LEN(TRIM(AA127))=0</formula>
    </cfRule>
    <cfRule type="containsBlanks" dxfId="4920" priority="2077">
      <formula>LEN(TRIM(AA127))=0</formula>
    </cfRule>
    <cfRule type="containsBlanks" dxfId="4919" priority="2078">
      <formula>LEN(TRIM(AA127))=0</formula>
    </cfRule>
    <cfRule type="containsBlanks" dxfId="4918" priority="2079">
      <formula>LEN(TRIM(AA127))=0</formula>
    </cfRule>
    <cfRule type="containsBlanks" dxfId="4917" priority="2080">
      <formula>LEN(TRIM(AA127))=0</formula>
    </cfRule>
    <cfRule type="containsBlanks" dxfId="4916" priority="2081">
      <formula>LEN(TRIM(AA127))=0</formula>
    </cfRule>
    <cfRule type="containsBlanks" dxfId="4915" priority="2082">
      <formula>LEN(TRIM(AA127))=0</formula>
    </cfRule>
    <cfRule type="containsBlanks" dxfId="4914" priority="2083">
      <formula>LEN(TRIM(AA127))=0</formula>
    </cfRule>
    <cfRule type="containsBlanks" dxfId="4913" priority="2084">
      <formula>LEN(TRIM(AA127))=0</formula>
    </cfRule>
    <cfRule type="containsBlanks" dxfId="4912" priority="2085">
      <formula>LEN(TRIM(AA127))=0</formula>
    </cfRule>
    <cfRule type="containsBlanks" dxfId="4911" priority="2086">
      <formula>LEN(TRIM(AA127))=0</formula>
    </cfRule>
    <cfRule type="containsBlanks" dxfId="4910" priority="2087">
      <formula>LEN(TRIM(AA127))=0</formula>
    </cfRule>
    <cfRule type="containsBlanks" dxfId="4909" priority="2088">
      <formula>LEN(TRIM(AA127))=0</formula>
    </cfRule>
    <cfRule type="containsBlanks" dxfId="4908" priority="2089">
      <formula>LEN(TRIM(AA127))=0</formula>
    </cfRule>
    <cfRule type="containsBlanks" dxfId="4907" priority="2090">
      <formula>LEN(TRIM(AA127))=0</formula>
    </cfRule>
    <cfRule type="containsBlanks" dxfId="4906" priority="2091">
      <formula>LEN(TRIM(AA127))=0</formula>
    </cfRule>
    <cfRule type="containsBlanks" dxfId="4905" priority="2092">
      <formula>LEN(TRIM(AA127))=0</formula>
    </cfRule>
    <cfRule type="containsBlanks" dxfId="4904" priority="2093">
      <formula>LEN(TRIM(AA127))=0</formula>
    </cfRule>
    <cfRule type="containsBlanks" dxfId="4903" priority="2094">
      <formula>LEN(TRIM(AA127))=0</formula>
    </cfRule>
    <cfRule type="containsBlanks" dxfId="4902" priority="2095">
      <formula>LEN(TRIM(AA127))=0</formula>
    </cfRule>
    <cfRule type="containsBlanks" dxfId="4901" priority="2096">
      <formula>LEN(TRIM(AA127))=0</formula>
    </cfRule>
    <cfRule type="containsBlanks" dxfId="4900" priority="2097">
      <formula>LEN(TRIM(AA127))=0</formula>
    </cfRule>
    <cfRule type="containsBlanks" dxfId="4899" priority="2098">
      <formula>LEN(TRIM(AA127))=0</formula>
    </cfRule>
    <cfRule type="containsBlanks" dxfId="4898" priority="2099">
      <formula>LEN(TRIM(AA127))=0</formula>
    </cfRule>
    <cfRule type="containsBlanks" dxfId="4897" priority="2100">
      <formula>LEN(TRIM(AA127))=0</formula>
    </cfRule>
    <cfRule type="containsBlanks" dxfId="4896" priority="2101">
      <formula>LEN(TRIM(AA127))=0</formula>
    </cfRule>
    <cfRule type="containsBlanks" dxfId="4895" priority="2102">
      <formula>LEN(TRIM(AA127))=0</formula>
    </cfRule>
    <cfRule type="containsBlanks" dxfId="4894" priority="2103">
      <formula>LEN(TRIM(AA127))=0</formula>
    </cfRule>
    <cfRule type="containsBlanks" dxfId="4893" priority="2104">
      <formula>LEN(TRIM(AA127))=0</formula>
    </cfRule>
    <cfRule type="containsBlanks" dxfId="4892" priority="2105">
      <formula>LEN(TRIM(AA127))=0</formula>
    </cfRule>
    <cfRule type="containsBlanks" dxfId="4891" priority="2106">
      <formula>LEN(TRIM(AA127))=0</formula>
    </cfRule>
    <cfRule type="containsBlanks" dxfId="4890" priority="2107">
      <formula>LEN(TRIM(AA127))=0</formula>
    </cfRule>
    <cfRule type="containsBlanks" dxfId="4889" priority="2108">
      <formula>LEN(TRIM(AA127))=0</formula>
    </cfRule>
    <cfRule type="containsBlanks" dxfId="4888" priority="2109">
      <formula>LEN(TRIM(AA127))=0</formula>
    </cfRule>
    <cfRule type="containsBlanks" dxfId="4887" priority="2110">
      <formula>LEN(TRIM(AA127))=0</formula>
    </cfRule>
    <cfRule type="containsBlanks" dxfId="4886" priority="2111">
      <formula>LEN(TRIM(AA127))=0</formula>
    </cfRule>
    <cfRule type="containsBlanks" dxfId="4885" priority="2112">
      <formula>LEN(TRIM(AA127))=0</formula>
    </cfRule>
    <cfRule type="containsBlanks" dxfId="4884" priority="2113">
      <formula>LEN(TRIM(AA127))=0</formula>
    </cfRule>
    <cfRule type="containsBlanks" dxfId="4883" priority="2114">
      <formula>LEN(TRIM(AA127))=0</formula>
    </cfRule>
    <cfRule type="containsBlanks" dxfId="4882" priority="2115">
      <formula>LEN(TRIM(AA127))=0</formula>
    </cfRule>
    <cfRule type="containsBlanks" dxfId="4881" priority="2116">
      <formula>LEN(TRIM(AA127))=0</formula>
    </cfRule>
    <cfRule type="containsBlanks" dxfId="4880" priority="2117">
      <formula>LEN(TRIM(AA127))=0</formula>
    </cfRule>
    <cfRule type="containsBlanks" dxfId="4879" priority="2118">
      <formula>LEN(TRIM(AA127))=0</formula>
    </cfRule>
    <cfRule type="containsBlanks" dxfId="4878" priority="2119">
      <formula>LEN(TRIM(AA127))=0</formula>
    </cfRule>
    <cfRule type="containsBlanks" dxfId="4877" priority="2120">
      <formula>LEN(TRIM(AA127))=0</formula>
    </cfRule>
    <cfRule type="containsBlanks" dxfId="4876" priority="2121">
      <formula>LEN(TRIM(AA127))=0</formula>
    </cfRule>
    <cfRule type="containsBlanks" dxfId="4875" priority="2122">
      <formula>LEN(TRIM(AA127))=0</formula>
    </cfRule>
    <cfRule type="containsBlanks" dxfId="4874" priority="2123">
      <formula>LEN(TRIM(AA127))=0</formula>
    </cfRule>
    <cfRule type="containsBlanks" dxfId="4873" priority="2124">
      <formula>LEN(TRIM(AA127))=0</formula>
    </cfRule>
    <cfRule type="containsBlanks" dxfId="4872" priority="2125">
      <formula>LEN(TRIM(AA127))=0</formula>
    </cfRule>
    <cfRule type="containsBlanks" dxfId="4871" priority="2126">
      <formula>LEN(TRIM(AA127))=0</formula>
    </cfRule>
    <cfRule type="containsBlanks" dxfId="4870" priority="2127">
      <formula>LEN(TRIM(AA127))=0</formula>
    </cfRule>
    <cfRule type="containsBlanks" dxfId="4869" priority="2128">
      <formula>LEN(TRIM(AA127))=0</formula>
    </cfRule>
    <cfRule type="containsBlanks" dxfId="4868" priority="2129">
      <formula>LEN(TRIM(AA127))=0</formula>
    </cfRule>
    <cfRule type="containsBlanks" dxfId="4867" priority="2130">
      <formula>LEN(TRIM(AA127))=0</formula>
    </cfRule>
    <cfRule type="containsBlanks" dxfId="4866" priority="2131">
      <formula>LEN(TRIM(AA127))=0</formula>
    </cfRule>
    <cfRule type="containsBlanks" dxfId="4865" priority="2132">
      <formula>LEN(TRIM(AA127))=0</formula>
    </cfRule>
    <cfRule type="containsBlanks" dxfId="4864" priority="2133">
      <formula>LEN(TRIM(AA127))=0</formula>
    </cfRule>
    <cfRule type="containsBlanks" dxfId="4863" priority="2134">
      <formula>LEN(TRIM(AA127))=0</formula>
    </cfRule>
    <cfRule type="containsBlanks" dxfId="4862" priority="2135">
      <formula>LEN(TRIM(AA127))=0</formula>
    </cfRule>
    <cfRule type="containsBlanks" dxfId="4861" priority="2136">
      <formula>LEN(TRIM(AA127))=0</formula>
    </cfRule>
    <cfRule type="containsBlanks" dxfId="4860" priority="2137">
      <formula>LEN(TRIM(AA127))=0</formula>
    </cfRule>
    <cfRule type="containsBlanks" dxfId="4859" priority="2138">
      <formula>LEN(TRIM(AA127))=0</formula>
    </cfRule>
    <cfRule type="containsBlanks" dxfId="4858" priority="2139">
      <formula>LEN(TRIM(AA127))=0</formula>
    </cfRule>
    <cfRule type="containsBlanks" dxfId="4857" priority="2140">
      <formula>LEN(TRIM(AA127))=0</formula>
    </cfRule>
    <cfRule type="containsBlanks" dxfId="4856" priority="2141">
      <formula>LEN(TRIM(AA127))=0</formula>
    </cfRule>
    <cfRule type="containsBlanks" dxfId="4855" priority="2142">
      <formula>LEN(TRIM(AA127))=0</formula>
    </cfRule>
    <cfRule type="containsBlanks" dxfId="4854" priority="2143">
      <formula>LEN(TRIM(AA127))=0</formula>
    </cfRule>
    <cfRule type="containsBlanks" dxfId="4853" priority="2144">
      <formula>LEN(TRIM(AA127))=0</formula>
    </cfRule>
    <cfRule type="containsBlanks" dxfId="4852" priority="2145">
      <formula>LEN(TRIM(AA127))=0</formula>
    </cfRule>
    <cfRule type="containsBlanks" dxfId="4851" priority="2146">
      <formula>LEN(TRIM(AA127))=0</formula>
    </cfRule>
    <cfRule type="containsBlanks" dxfId="4850" priority="2147">
      <formula>LEN(TRIM(AA127))=0</formula>
    </cfRule>
    <cfRule type="containsBlanks" dxfId="4849" priority="2148">
      <formula>LEN(TRIM(AA127))=0</formula>
    </cfRule>
    <cfRule type="containsBlanks" dxfId="4848" priority="2149">
      <formula>LEN(TRIM(AA127))=0</formula>
    </cfRule>
    <cfRule type="containsBlanks" dxfId="4847" priority="2150">
      <formula>LEN(TRIM(AA127))=0</formula>
    </cfRule>
    <cfRule type="containsBlanks" dxfId="4846" priority="2151">
      <formula>LEN(TRIM(AA127))=0</formula>
    </cfRule>
    <cfRule type="containsBlanks" dxfId="4845" priority="2152">
      <formula>LEN(TRIM(AA127))=0</formula>
    </cfRule>
    <cfRule type="containsBlanks" dxfId="4844" priority="2153">
      <formula>LEN(TRIM(AA127))=0</formula>
    </cfRule>
    <cfRule type="containsBlanks" dxfId="4843" priority="2154">
      <formula>LEN(TRIM(AA127))=0</formula>
    </cfRule>
  </conditionalFormatting>
  <conditionalFormatting sqref="AA158">
    <cfRule type="containsBlanks" dxfId="4842" priority="582">
      <formula>LEN(TRIM(AA158))=0</formula>
    </cfRule>
    <cfRule type="containsBlanks" dxfId="4841" priority="583">
      <formula>LEN(TRIM(AA158))=0</formula>
    </cfRule>
    <cfRule type="containsBlanks" dxfId="4840" priority="584">
      <formula>LEN(TRIM(AA158))=0</formula>
    </cfRule>
    <cfRule type="containsBlanks" dxfId="4839" priority="585">
      <formula>LEN(TRIM(AA158))=0</formula>
    </cfRule>
    <cfRule type="containsBlanks" dxfId="4838" priority="586">
      <formula>LEN(TRIM(AA158))=0</formula>
    </cfRule>
    <cfRule type="containsBlanks" dxfId="4837" priority="587">
      <formula>LEN(TRIM(AA158))=0</formula>
    </cfRule>
    <cfRule type="containsBlanks" dxfId="4836" priority="588">
      <formula>LEN(TRIM(AA158))=0</formula>
    </cfRule>
    <cfRule type="containsBlanks" dxfId="4835" priority="589">
      <formula>LEN(TRIM(AA158))=0</formula>
    </cfRule>
    <cfRule type="containsBlanks" dxfId="4834" priority="590">
      <formula>LEN(TRIM(AA158))=0</formula>
    </cfRule>
    <cfRule type="containsBlanks" dxfId="4833" priority="591">
      <formula>LEN(TRIM(AA158))=0</formula>
    </cfRule>
    <cfRule type="containsBlanks" dxfId="4832" priority="592">
      <formula>LEN(TRIM(AA158))=0</formula>
    </cfRule>
    <cfRule type="containsBlanks" dxfId="4831" priority="593">
      <formula>LEN(TRIM(AA158))=0</formula>
    </cfRule>
    <cfRule type="containsBlanks" dxfId="4830" priority="594">
      <formula>LEN(TRIM(AA158))=0</formula>
    </cfRule>
    <cfRule type="containsBlanks" dxfId="4829" priority="595">
      <formula>LEN(TRIM(AA158))=0</formula>
    </cfRule>
    <cfRule type="containsBlanks" dxfId="4828" priority="596">
      <formula>LEN(TRIM(AA158))=0</formula>
    </cfRule>
    <cfRule type="containsBlanks" dxfId="4827" priority="597">
      <formula>LEN(TRIM(AA158))=0</formula>
    </cfRule>
    <cfRule type="containsBlanks" dxfId="4826" priority="598">
      <formula>LEN(TRIM(AA158))=0</formula>
    </cfRule>
    <cfRule type="containsBlanks" dxfId="4825" priority="599">
      <formula>LEN(TRIM(AA158))=0</formula>
    </cfRule>
    <cfRule type="containsBlanks" dxfId="4824" priority="600">
      <formula>LEN(TRIM(AA158))=0</formula>
    </cfRule>
    <cfRule type="containsBlanks" dxfId="4823" priority="601">
      <formula>LEN(TRIM(AA158))=0</formula>
    </cfRule>
    <cfRule type="containsBlanks" dxfId="4822" priority="602">
      <formula>LEN(TRIM(AA158))=0</formula>
    </cfRule>
    <cfRule type="containsBlanks" dxfId="4821" priority="603">
      <formula>LEN(TRIM(AA158))=0</formula>
    </cfRule>
    <cfRule type="containsBlanks" dxfId="4820" priority="604">
      <formula>LEN(TRIM(AA158))=0</formula>
    </cfRule>
    <cfRule type="containsBlanks" dxfId="4819" priority="605">
      <formula>LEN(TRIM(AA158))=0</formula>
    </cfRule>
    <cfRule type="containsBlanks" dxfId="4818" priority="606">
      <formula>LEN(TRIM(AA158))=0</formula>
    </cfRule>
    <cfRule type="containsBlanks" dxfId="4817" priority="607">
      <formula>LEN(TRIM(AA158))=0</formula>
    </cfRule>
    <cfRule type="containsBlanks" dxfId="4816" priority="608">
      <formula>LEN(TRIM(AA158))=0</formula>
    </cfRule>
    <cfRule type="containsBlanks" dxfId="4815" priority="609">
      <formula>LEN(TRIM(AA158))=0</formula>
    </cfRule>
    <cfRule type="containsBlanks" dxfId="4814" priority="610">
      <formula>LEN(TRIM(AA158))=0</formula>
    </cfRule>
    <cfRule type="containsBlanks" dxfId="4813" priority="611">
      <formula>LEN(TRIM(AA158))=0</formula>
    </cfRule>
    <cfRule type="containsBlanks" dxfId="4812" priority="612">
      <formula>LEN(TRIM(AA158))=0</formula>
    </cfRule>
    <cfRule type="containsBlanks" dxfId="4811" priority="613">
      <formula>LEN(TRIM(AA158))=0</formula>
    </cfRule>
    <cfRule type="containsBlanks" dxfId="4810" priority="614">
      <formula>LEN(TRIM(AA158))=0</formula>
    </cfRule>
    <cfRule type="containsBlanks" dxfId="4809" priority="615">
      <formula>LEN(TRIM(AA158))=0</formula>
    </cfRule>
    <cfRule type="containsBlanks" dxfId="4808" priority="616">
      <formula>LEN(TRIM(AA158))=0</formula>
    </cfRule>
    <cfRule type="containsBlanks" dxfId="4807" priority="617">
      <formula>LEN(TRIM(AA158))=0</formula>
    </cfRule>
    <cfRule type="containsBlanks" dxfId="4806" priority="618">
      <formula>LEN(TRIM(AA158))=0</formula>
    </cfRule>
    <cfRule type="containsBlanks" dxfId="4805" priority="619">
      <formula>LEN(TRIM(AA158))=0</formula>
    </cfRule>
    <cfRule type="containsBlanks" dxfId="4804" priority="620">
      <formula>LEN(TRIM(AA158))=0</formula>
    </cfRule>
    <cfRule type="containsBlanks" dxfId="4803" priority="621">
      <formula>LEN(TRIM(AA158))=0</formula>
    </cfRule>
    <cfRule type="containsBlanks" dxfId="4802" priority="622">
      <formula>LEN(TRIM(AA158))=0</formula>
    </cfRule>
    <cfRule type="containsBlanks" dxfId="4801" priority="623">
      <formula>LEN(TRIM(AA158))=0</formula>
    </cfRule>
    <cfRule type="containsBlanks" dxfId="4800" priority="624">
      <formula>LEN(TRIM(AA158))=0</formula>
    </cfRule>
    <cfRule type="containsBlanks" dxfId="4799" priority="625">
      <formula>LEN(TRIM(AA158))=0</formula>
    </cfRule>
    <cfRule type="containsBlanks" dxfId="4798" priority="626">
      <formula>LEN(TRIM(AA158))=0</formula>
    </cfRule>
    <cfRule type="containsBlanks" dxfId="4797" priority="627">
      <formula>LEN(TRIM(AA158))=0</formula>
    </cfRule>
    <cfRule type="containsBlanks" dxfId="4796" priority="628">
      <formula>LEN(TRIM(AA158))=0</formula>
    </cfRule>
    <cfRule type="containsBlanks" dxfId="4795" priority="629">
      <formula>LEN(TRIM(AA158))=0</formula>
    </cfRule>
    <cfRule type="containsBlanks" dxfId="4794" priority="630">
      <formula>LEN(TRIM(AA158))=0</formula>
    </cfRule>
    <cfRule type="containsBlanks" dxfId="4793" priority="631">
      <formula>LEN(TRIM(AA158))=0</formula>
    </cfRule>
    <cfRule type="containsBlanks" dxfId="4792" priority="632">
      <formula>LEN(TRIM(AA158))=0</formula>
    </cfRule>
    <cfRule type="containsBlanks" dxfId="4791" priority="633">
      <formula>LEN(TRIM(AA158))=0</formula>
    </cfRule>
    <cfRule type="containsBlanks" dxfId="4790" priority="634">
      <formula>LEN(TRIM(AA158))=0</formula>
    </cfRule>
    <cfRule type="containsBlanks" dxfId="4789" priority="635">
      <formula>LEN(TRIM(AA158))=0</formula>
    </cfRule>
    <cfRule type="containsBlanks" dxfId="4788" priority="636">
      <formula>LEN(TRIM(AA158))=0</formula>
    </cfRule>
    <cfRule type="containsBlanks" dxfId="4787" priority="637">
      <formula>LEN(TRIM(AA158))=0</formula>
    </cfRule>
    <cfRule type="containsBlanks" dxfId="4786" priority="638">
      <formula>LEN(TRIM(AA158))=0</formula>
    </cfRule>
    <cfRule type="containsBlanks" dxfId="4785" priority="639">
      <formula>LEN(TRIM(AA158))=0</formula>
    </cfRule>
    <cfRule type="containsBlanks" dxfId="4784" priority="640">
      <formula>LEN(TRIM(AA158))=0</formula>
    </cfRule>
    <cfRule type="containsBlanks" dxfId="4783" priority="641">
      <formula>LEN(TRIM(AA158))=0</formula>
    </cfRule>
    <cfRule type="containsBlanks" dxfId="4782" priority="642">
      <formula>LEN(TRIM(AA158))=0</formula>
    </cfRule>
    <cfRule type="containsBlanks" dxfId="4781" priority="643">
      <formula>LEN(TRIM(AA158))=0</formula>
    </cfRule>
    <cfRule type="containsBlanks" dxfId="4780" priority="644">
      <formula>LEN(TRIM(AA158))=0</formula>
    </cfRule>
    <cfRule type="containsBlanks" dxfId="4779" priority="645">
      <formula>LEN(TRIM(AA158))=0</formula>
    </cfRule>
    <cfRule type="containsBlanks" dxfId="4778" priority="646">
      <formula>LEN(TRIM(AA158))=0</formula>
    </cfRule>
    <cfRule type="containsBlanks" dxfId="4777" priority="647">
      <formula>LEN(TRIM(AA158))=0</formula>
    </cfRule>
    <cfRule type="containsBlanks" dxfId="4776" priority="648">
      <formula>LEN(TRIM(AA158))=0</formula>
    </cfRule>
    <cfRule type="containsBlanks" dxfId="4775" priority="649">
      <formula>LEN(TRIM(AA158))=0</formula>
    </cfRule>
    <cfRule type="containsBlanks" dxfId="4774" priority="650">
      <formula>LEN(TRIM(AA158))=0</formula>
    </cfRule>
    <cfRule type="containsBlanks" dxfId="4773" priority="651">
      <formula>LEN(TRIM(AA158))=0</formula>
    </cfRule>
    <cfRule type="containsBlanks" dxfId="4772" priority="652">
      <formula>LEN(TRIM(AA158))=0</formula>
    </cfRule>
    <cfRule type="containsBlanks" dxfId="4771" priority="653">
      <formula>LEN(TRIM(AA158))=0</formula>
    </cfRule>
    <cfRule type="containsBlanks" dxfId="4770" priority="654">
      <formula>LEN(TRIM(AA158))=0</formula>
    </cfRule>
    <cfRule type="containsBlanks" dxfId="4769" priority="655">
      <formula>LEN(TRIM(AA158))=0</formula>
    </cfRule>
    <cfRule type="containsBlanks" dxfId="4768" priority="656">
      <formula>LEN(TRIM(AA158))=0</formula>
    </cfRule>
    <cfRule type="containsBlanks" dxfId="4767" priority="657">
      <formula>LEN(TRIM(AA158))=0</formula>
    </cfRule>
    <cfRule type="containsBlanks" dxfId="4766" priority="658">
      <formula>LEN(TRIM(AA158))=0</formula>
    </cfRule>
    <cfRule type="containsBlanks" dxfId="4765" priority="659">
      <formula>LEN(TRIM(AA158))=0</formula>
    </cfRule>
    <cfRule type="containsBlanks" dxfId="4764" priority="660">
      <formula>LEN(TRIM(AA158))=0</formula>
    </cfRule>
    <cfRule type="containsBlanks" dxfId="4763" priority="661">
      <formula>LEN(TRIM(AA158))=0</formula>
    </cfRule>
    <cfRule type="containsBlanks" dxfId="4762" priority="662">
      <formula>LEN(TRIM(AA158))=0</formula>
    </cfRule>
    <cfRule type="containsBlanks" dxfId="4761" priority="663">
      <formula>LEN(TRIM(AA158))=0</formula>
    </cfRule>
    <cfRule type="containsBlanks" dxfId="4760" priority="664">
      <formula>LEN(TRIM(AA158))=0</formula>
    </cfRule>
    <cfRule type="containsBlanks" dxfId="4759" priority="665">
      <formula>LEN(TRIM(AA158))=0</formula>
    </cfRule>
    <cfRule type="containsBlanks" dxfId="4758" priority="666">
      <formula>LEN(TRIM(AA158))=0</formula>
    </cfRule>
    <cfRule type="containsBlanks" dxfId="4757" priority="667">
      <formula>LEN(TRIM(AA158))=0</formula>
    </cfRule>
    <cfRule type="containsBlanks" dxfId="4756" priority="668">
      <formula>LEN(TRIM(AA158))=0</formula>
    </cfRule>
    <cfRule type="containsBlanks" dxfId="4755" priority="669">
      <formula>LEN(TRIM(AA158))=0</formula>
    </cfRule>
    <cfRule type="containsBlanks" dxfId="4754" priority="670">
      <formula>LEN(TRIM(AA158))=0</formula>
    </cfRule>
    <cfRule type="containsBlanks" dxfId="4753" priority="671">
      <formula>LEN(TRIM(AA158))=0</formula>
    </cfRule>
    <cfRule type="containsBlanks" dxfId="4752" priority="672">
      <formula>LEN(TRIM(AA158))=0</formula>
    </cfRule>
    <cfRule type="containsBlanks" dxfId="4751" priority="673">
      <formula>LEN(TRIM(AA158))=0</formula>
    </cfRule>
    <cfRule type="containsBlanks" dxfId="4750" priority="674">
      <formula>LEN(TRIM(AA158))=0</formula>
    </cfRule>
    <cfRule type="containsBlanks" dxfId="4749" priority="675">
      <formula>LEN(TRIM(AA158))=0</formula>
    </cfRule>
    <cfRule type="containsBlanks" dxfId="4748" priority="676">
      <formula>LEN(TRIM(AA158))=0</formula>
    </cfRule>
    <cfRule type="containsBlanks" dxfId="4747" priority="677">
      <formula>LEN(TRIM(AA158))=0</formula>
    </cfRule>
    <cfRule type="containsBlanks" dxfId="4746" priority="678">
      <formula>LEN(TRIM(AA158))=0</formula>
    </cfRule>
    <cfRule type="containsBlanks" dxfId="4745" priority="679">
      <formula>LEN(TRIM(AA158))=0</formula>
    </cfRule>
    <cfRule type="containsBlanks" dxfId="4744" priority="680">
      <formula>LEN(TRIM(AA158))=0</formula>
    </cfRule>
    <cfRule type="containsBlanks" dxfId="4743" priority="681">
      <formula>LEN(TRIM(AA158))=0</formula>
    </cfRule>
    <cfRule type="containsBlanks" dxfId="4742" priority="682">
      <formula>LEN(TRIM(AA158))=0</formula>
    </cfRule>
    <cfRule type="containsBlanks" dxfId="4741" priority="683">
      <formula>LEN(TRIM(AA158))=0</formula>
    </cfRule>
    <cfRule type="containsBlanks" dxfId="4740" priority="684">
      <formula>LEN(TRIM(AA158))=0</formula>
    </cfRule>
    <cfRule type="containsBlanks" dxfId="4739" priority="685">
      <formula>LEN(TRIM(AA158))=0</formula>
    </cfRule>
    <cfRule type="containsBlanks" dxfId="4738" priority="686">
      <formula>LEN(TRIM(AA158))=0</formula>
    </cfRule>
    <cfRule type="containsBlanks" dxfId="4737" priority="687">
      <formula>LEN(TRIM(AA158))=0</formula>
    </cfRule>
    <cfRule type="containsBlanks" dxfId="4736" priority="688">
      <formula>LEN(TRIM(AA158))=0</formula>
    </cfRule>
    <cfRule type="containsBlanks" dxfId="4735" priority="689">
      <formula>LEN(TRIM(AA158))=0</formula>
    </cfRule>
    <cfRule type="containsBlanks" dxfId="4734" priority="690">
      <formula>LEN(TRIM(AA158))=0</formula>
    </cfRule>
    <cfRule type="containsBlanks" dxfId="4733" priority="691">
      <formula>LEN(TRIM(AA158))=0</formula>
    </cfRule>
    <cfRule type="containsBlanks" dxfId="4732" priority="692">
      <formula>LEN(TRIM(AA158))=0</formula>
    </cfRule>
    <cfRule type="containsBlanks" dxfId="4731" priority="693">
      <formula>LEN(TRIM(AA158))=0</formula>
    </cfRule>
    <cfRule type="containsBlanks" dxfId="4730" priority="694">
      <formula>LEN(TRIM(AA158))=0</formula>
    </cfRule>
    <cfRule type="containsBlanks" dxfId="4729" priority="695">
      <formula>LEN(TRIM(AA158))=0</formula>
    </cfRule>
    <cfRule type="containsBlanks" dxfId="4728" priority="696">
      <formula>LEN(TRIM(AA158))=0</formula>
    </cfRule>
    <cfRule type="containsBlanks" dxfId="4727" priority="697">
      <formula>LEN(TRIM(AA158))=0</formula>
    </cfRule>
    <cfRule type="containsBlanks" dxfId="4726" priority="698">
      <formula>LEN(TRIM(AA158))=0</formula>
    </cfRule>
    <cfRule type="containsBlanks" dxfId="4725" priority="699">
      <formula>LEN(TRIM(AA158))=0</formula>
    </cfRule>
    <cfRule type="containsBlanks" dxfId="4724" priority="700">
      <formula>LEN(TRIM(AA158))=0</formula>
    </cfRule>
    <cfRule type="containsBlanks" dxfId="4723" priority="701">
      <formula>LEN(TRIM(AA158))=0</formula>
    </cfRule>
    <cfRule type="containsBlanks" dxfId="4722" priority="702">
      <formula>LEN(TRIM(AA158))=0</formula>
    </cfRule>
    <cfRule type="containsBlanks" dxfId="4721" priority="703">
      <formula>LEN(TRIM(AA158))=0</formula>
    </cfRule>
    <cfRule type="containsBlanks" dxfId="4720" priority="704">
      <formula>LEN(TRIM(AA158))=0</formula>
    </cfRule>
    <cfRule type="containsBlanks" dxfId="4719" priority="705">
      <formula>LEN(TRIM(AA158))=0</formula>
    </cfRule>
    <cfRule type="containsBlanks" dxfId="4718" priority="706">
      <formula>LEN(TRIM(AA158))=0</formula>
    </cfRule>
    <cfRule type="containsBlanks" dxfId="4717" priority="707">
      <formula>LEN(TRIM(AA158))=0</formula>
    </cfRule>
    <cfRule type="containsBlanks" dxfId="4716" priority="708">
      <formula>LEN(TRIM(AA158))=0</formula>
    </cfRule>
    <cfRule type="containsBlanks" dxfId="4715" priority="709">
      <formula>LEN(TRIM(AA158))=0</formula>
    </cfRule>
    <cfRule type="containsBlanks" dxfId="4714" priority="710">
      <formula>LEN(TRIM(AA158))=0</formula>
    </cfRule>
    <cfRule type="containsBlanks" dxfId="4713" priority="711">
      <formula>LEN(TRIM(AA158))=0</formula>
    </cfRule>
    <cfRule type="containsBlanks" dxfId="4712" priority="712">
      <formula>LEN(TRIM(AA158))=0</formula>
    </cfRule>
    <cfRule type="containsBlanks" dxfId="4711" priority="713">
      <formula>LEN(TRIM(AA158))=0</formula>
    </cfRule>
    <cfRule type="containsBlanks" dxfId="4710" priority="714">
      <formula>LEN(TRIM(AA158))=0</formula>
    </cfRule>
    <cfRule type="containsBlanks" dxfId="4709" priority="715">
      <formula>LEN(TRIM(AA158))=0</formula>
    </cfRule>
    <cfRule type="containsBlanks" dxfId="4708" priority="716">
      <formula>LEN(TRIM(AA158))=0</formula>
    </cfRule>
    <cfRule type="containsBlanks" dxfId="4707" priority="717">
      <formula>LEN(TRIM(AA158))=0</formula>
    </cfRule>
    <cfRule type="containsBlanks" dxfId="4706" priority="718">
      <formula>LEN(TRIM(AA158))=0</formula>
    </cfRule>
    <cfRule type="containsBlanks" dxfId="4705" priority="719">
      <formula>LEN(TRIM(AA158))=0</formula>
    </cfRule>
    <cfRule type="containsBlanks" dxfId="4704" priority="720">
      <formula>LEN(TRIM(AA158))=0</formula>
    </cfRule>
    <cfRule type="containsBlanks" dxfId="4703" priority="721">
      <formula>LEN(TRIM(AA158))=0</formula>
    </cfRule>
    <cfRule type="containsBlanks" dxfId="4702" priority="722">
      <formula>LEN(TRIM(AA158))=0</formula>
    </cfRule>
    <cfRule type="containsBlanks" dxfId="4701" priority="723">
      <formula>LEN(TRIM(AA158))=0</formula>
    </cfRule>
    <cfRule type="containsBlanks" dxfId="4700" priority="724">
      <formula>LEN(TRIM(AA158))=0</formula>
    </cfRule>
    <cfRule type="containsBlanks" dxfId="4699" priority="725">
      <formula>LEN(TRIM(AA158))=0</formula>
    </cfRule>
    <cfRule type="containsBlanks" dxfId="4698" priority="726">
      <formula>LEN(TRIM(AA158))=0</formula>
    </cfRule>
    <cfRule type="containsBlanks" dxfId="4697" priority="727">
      <formula>LEN(TRIM(AA158))=0</formula>
    </cfRule>
    <cfRule type="containsBlanks" dxfId="4696" priority="728">
      <formula>LEN(TRIM(AA158))=0</formula>
    </cfRule>
    <cfRule type="containsBlanks" dxfId="4695" priority="729">
      <formula>LEN(TRIM(AA158))=0</formula>
    </cfRule>
    <cfRule type="containsBlanks" dxfId="4694" priority="730">
      <formula>LEN(TRIM(AA158))=0</formula>
    </cfRule>
    <cfRule type="containsBlanks" dxfId="4693" priority="731">
      <formula>LEN(TRIM(AA158))=0</formula>
    </cfRule>
    <cfRule type="containsBlanks" dxfId="4692" priority="732">
      <formula>LEN(TRIM(AA158))=0</formula>
    </cfRule>
    <cfRule type="containsBlanks" dxfId="4691" priority="733">
      <formula>LEN(TRIM(AA158))=0</formula>
    </cfRule>
    <cfRule type="containsBlanks" dxfId="4690" priority="734">
      <formula>LEN(TRIM(AA158))=0</formula>
    </cfRule>
    <cfRule type="containsBlanks" dxfId="4689" priority="735">
      <formula>LEN(TRIM(AA158))=0</formula>
    </cfRule>
    <cfRule type="containsBlanks" dxfId="4688" priority="736">
      <formula>LEN(TRIM(AA158))=0</formula>
    </cfRule>
    <cfRule type="containsBlanks" dxfId="4687" priority="737">
      <formula>LEN(TRIM(AA158))=0</formula>
    </cfRule>
    <cfRule type="containsBlanks" dxfId="4686" priority="738">
      <formula>LEN(TRIM(AA158))=0</formula>
    </cfRule>
    <cfRule type="containsBlanks" dxfId="4685" priority="739">
      <formula>LEN(TRIM(AA158))=0</formula>
    </cfRule>
    <cfRule type="containsBlanks" dxfId="4684" priority="740">
      <formula>LEN(TRIM(AA158))=0</formula>
    </cfRule>
    <cfRule type="containsBlanks" dxfId="4683" priority="741">
      <formula>LEN(TRIM(AA158))=0</formula>
    </cfRule>
    <cfRule type="containsBlanks" dxfId="4682" priority="742">
      <formula>LEN(TRIM(AA158))=0</formula>
    </cfRule>
    <cfRule type="containsBlanks" dxfId="4681" priority="743">
      <formula>LEN(TRIM(AA158))=0</formula>
    </cfRule>
    <cfRule type="containsBlanks" dxfId="4680" priority="744">
      <formula>LEN(TRIM(AA158))=0</formula>
    </cfRule>
    <cfRule type="containsBlanks" dxfId="4679" priority="745">
      <formula>LEN(TRIM(AA158))=0</formula>
    </cfRule>
    <cfRule type="containsBlanks" dxfId="4678" priority="746">
      <formula>LEN(TRIM(AA158))=0</formula>
    </cfRule>
    <cfRule type="containsBlanks" dxfId="4677" priority="747">
      <formula>LEN(TRIM(AA158))=0</formula>
    </cfRule>
    <cfRule type="containsBlanks" dxfId="4676" priority="748">
      <formula>LEN(TRIM(AA158))=0</formula>
    </cfRule>
    <cfRule type="containsBlanks" dxfId="4675" priority="749">
      <formula>LEN(TRIM(AA158))=0</formula>
    </cfRule>
    <cfRule type="containsBlanks" dxfId="4674" priority="750">
      <formula>LEN(TRIM(AA158))=0</formula>
    </cfRule>
    <cfRule type="containsBlanks" dxfId="4673" priority="751">
      <formula>LEN(TRIM(AA158))=0</formula>
    </cfRule>
    <cfRule type="containsBlanks" dxfId="4672" priority="752">
      <formula>LEN(TRIM(AA158))=0</formula>
    </cfRule>
    <cfRule type="containsBlanks" dxfId="4671" priority="753">
      <formula>LEN(TRIM(AA158))=0</formula>
    </cfRule>
    <cfRule type="containsBlanks" dxfId="4670" priority="754">
      <formula>LEN(TRIM(AA158))=0</formula>
    </cfRule>
    <cfRule type="containsBlanks" dxfId="4669" priority="755">
      <formula>LEN(TRIM(AA158))=0</formula>
    </cfRule>
    <cfRule type="containsBlanks" dxfId="4668" priority="756">
      <formula>LEN(TRIM(AA158))=0</formula>
    </cfRule>
    <cfRule type="containsBlanks" dxfId="4667" priority="757">
      <formula>LEN(TRIM(AA158))=0</formula>
    </cfRule>
    <cfRule type="containsBlanks" dxfId="4666" priority="758">
      <formula>LEN(TRIM(AA158))=0</formula>
    </cfRule>
    <cfRule type="containsBlanks" dxfId="4665" priority="759">
      <formula>LEN(TRIM(AA158))=0</formula>
    </cfRule>
    <cfRule type="containsBlanks" dxfId="4664" priority="760">
      <formula>LEN(TRIM(AA158))=0</formula>
    </cfRule>
    <cfRule type="containsBlanks" dxfId="4663" priority="761">
      <formula>LEN(TRIM(AA158))=0</formula>
    </cfRule>
    <cfRule type="containsBlanks" dxfId="4662" priority="762">
      <formula>LEN(TRIM(AA158))=0</formula>
    </cfRule>
    <cfRule type="containsBlanks" dxfId="4661" priority="763">
      <formula>LEN(TRIM(AA158))=0</formula>
    </cfRule>
    <cfRule type="containsBlanks" dxfId="4660" priority="764">
      <formula>LEN(TRIM(AA158))=0</formula>
    </cfRule>
    <cfRule type="containsBlanks" dxfId="4659" priority="765">
      <formula>LEN(TRIM(AA158))=0</formula>
    </cfRule>
    <cfRule type="containsBlanks" dxfId="4658" priority="766">
      <formula>LEN(TRIM(AA158))=0</formula>
    </cfRule>
    <cfRule type="containsBlanks" dxfId="4657" priority="767">
      <formula>LEN(TRIM(AA158))=0</formula>
    </cfRule>
    <cfRule type="containsBlanks" dxfId="4656" priority="768">
      <formula>LEN(TRIM(AA158))=0</formula>
    </cfRule>
    <cfRule type="containsBlanks" dxfId="4655" priority="769">
      <formula>LEN(TRIM(AA158))=0</formula>
    </cfRule>
    <cfRule type="containsBlanks" dxfId="4654" priority="770">
      <formula>LEN(TRIM(AA158))=0</formula>
    </cfRule>
    <cfRule type="containsBlanks" dxfId="4653" priority="771">
      <formula>LEN(TRIM(AA158))=0</formula>
    </cfRule>
    <cfRule type="containsBlanks" dxfId="4652" priority="772">
      <formula>LEN(TRIM(AA158))=0</formula>
    </cfRule>
    <cfRule type="containsBlanks" dxfId="4651" priority="773">
      <formula>LEN(TRIM(AA158))=0</formula>
    </cfRule>
    <cfRule type="containsBlanks" dxfId="4650" priority="774">
      <formula>LEN(TRIM(AA158))=0</formula>
    </cfRule>
    <cfRule type="containsBlanks" dxfId="4649" priority="775">
      <formula>LEN(TRIM(AA158))=0</formula>
    </cfRule>
    <cfRule type="containsBlanks" dxfId="4648" priority="776">
      <formula>LEN(TRIM(AA158))=0</formula>
    </cfRule>
    <cfRule type="containsBlanks" dxfId="4647" priority="777">
      <formula>LEN(TRIM(AA158))=0</formula>
    </cfRule>
    <cfRule type="containsBlanks" dxfId="4646" priority="778">
      <formula>LEN(TRIM(AA158))=0</formula>
    </cfRule>
    <cfRule type="containsBlanks" dxfId="4645" priority="779">
      <formula>LEN(TRIM(AA158))=0</formula>
    </cfRule>
    <cfRule type="containsBlanks" dxfId="4644" priority="780">
      <formula>LEN(TRIM(AA158))=0</formula>
    </cfRule>
    <cfRule type="containsBlanks" dxfId="4643" priority="781">
      <formula>LEN(TRIM(AA158))=0</formula>
    </cfRule>
    <cfRule type="containsBlanks" dxfId="4642" priority="782">
      <formula>LEN(TRIM(AA158))=0</formula>
    </cfRule>
    <cfRule type="containsBlanks" dxfId="4641" priority="783">
      <formula>LEN(TRIM(AA158))=0</formula>
    </cfRule>
    <cfRule type="containsBlanks" dxfId="4640" priority="784">
      <formula>LEN(TRIM(AA158))=0</formula>
    </cfRule>
    <cfRule type="containsBlanks" dxfId="4639" priority="785">
      <formula>LEN(TRIM(AA158))=0</formula>
    </cfRule>
    <cfRule type="containsBlanks" dxfId="4638" priority="786">
      <formula>LEN(TRIM(AA158))=0</formula>
    </cfRule>
    <cfRule type="containsBlanks" dxfId="4637" priority="787">
      <formula>LEN(TRIM(AA158))=0</formula>
    </cfRule>
    <cfRule type="containsBlanks" dxfId="4636" priority="788">
      <formula>LEN(TRIM(AA158))=0</formula>
    </cfRule>
    <cfRule type="containsBlanks" dxfId="4635" priority="789">
      <formula>LEN(TRIM(AA158))=0</formula>
    </cfRule>
    <cfRule type="containsBlanks" dxfId="4634" priority="790">
      <formula>LEN(TRIM(AA158))=0</formula>
    </cfRule>
    <cfRule type="containsBlanks" dxfId="4633" priority="791">
      <formula>LEN(TRIM(AA158))=0</formula>
    </cfRule>
    <cfRule type="containsBlanks" dxfId="4632" priority="792">
      <formula>LEN(TRIM(AA158))=0</formula>
    </cfRule>
    <cfRule type="containsBlanks" dxfId="4631" priority="793">
      <formula>LEN(TRIM(AA158))=0</formula>
    </cfRule>
    <cfRule type="containsBlanks" dxfId="4630" priority="794">
      <formula>LEN(TRIM(AA158))=0</formula>
    </cfRule>
    <cfRule type="containsBlanks" dxfId="4629" priority="795">
      <formula>LEN(TRIM(AA158))=0</formula>
    </cfRule>
    <cfRule type="containsBlanks" dxfId="4628" priority="796">
      <formula>LEN(TRIM(AA158))=0</formula>
    </cfRule>
    <cfRule type="containsBlanks" dxfId="4627" priority="797">
      <formula>LEN(TRIM(AA158))=0</formula>
    </cfRule>
    <cfRule type="containsBlanks" dxfId="4626" priority="798">
      <formula>LEN(TRIM(AA158))=0</formula>
    </cfRule>
    <cfRule type="containsBlanks" dxfId="4625" priority="799">
      <formula>LEN(TRIM(AA158))=0</formula>
    </cfRule>
    <cfRule type="containsBlanks" dxfId="4624" priority="800">
      <formula>LEN(TRIM(AA158))=0</formula>
    </cfRule>
    <cfRule type="containsBlanks" dxfId="4623" priority="801">
      <formula>LEN(TRIM(AA158))=0</formula>
    </cfRule>
    <cfRule type="containsBlanks" dxfId="4622" priority="802">
      <formula>LEN(TRIM(AA158))=0</formula>
    </cfRule>
    <cfRule type="containsBlanks" dxfId="4621" priority="803">
      <formula>LEN(TRIM(AA158))=0</formula>
    </cfRule>
    <cfRule type="containsBlanks" dxfId="4620" priority="804">
      <formula>LEN(TRIM(AA158))=0</formula>
    </cfRule>
    <cfRule type="containsBlanks" dxfId="4619" priority="805">
      <formula>LEN(TRIM(AA158))=0</formula>
    </cfRule>
    <cfRule type="containsBlanks" dxfId="4618" priority="806">
      <formula>LEN(TRIM(AA158))=0</formula>
    </cfRule>
    <cfRule type="containsBlanks" dxfId="4617" priority="807">
      <formula>LEN(TRIM(AA158))=0</formula>
    </cfRule>
    <cfRule type="containsBlanks" dxfId="4616" priority="808">
      <formula>LEN(TRIM(AA158))=0</formula>
    </cfRule>
    <cfRule type="containsBlanks" dxfId="4615" priority="809">
      <formula>LEN(TRIM(AA158))=0</formula>
    </cfRule>
    <cfRule type="containsBlanks" dxfId="4614" priority="810">
      <formula>LEN(TRIM(AA158))=0</formula>
    </cfRule>
    <cfRule type="containsBlanks" dxfId="4613" priority="811">
      <formula>LEN(TRIM(AA158))=0</formula>
    </cfRule>
    <cfRule type="containsBlanks" dxfId="4612" priority="812">
      <formula>LEN(TRIM(AA158))=0</formula>
    </cfRule>
    <cfRule type="containsBlanks" dxfId="4611" priority="813">
      <formula>LEN(TRIM(AA158))=0</formula>
    </cfRule>
    <cfRule type="containsBlanks" dxfId="4610" priority="814">
      <formula>LEN(TRIM(AA158))=0</formula>
    </cfRule>
    <cfRule type="containsBlanks" dxfId="4609" priority="815">
      <formula>LEN(TRIM(AA158))=0</formula>
    </cfRule>
    <cfRule type="containsBlanks" dxfId="4608" priority="816">
      <formula>LEN(TRIM(AA158))=0</formula>
    </cfRule>
    <cfRule type="containsBlanks" dxfId="4607" priority="817">
      <formula>LEN(TRIM(AA158))=0</formula>
    </cfRule>
    <cfRule type="containsBlanks" dxfId="4606" priority="818">
      <formula>LEN(TRIM(AA158))=0</formula>
    </cfRule>
    <cfRule type="containsBlanks" dxfId="4605" priority="819">
      <formula>LEN(TRIM(AA158))=0</formula>
    </cfRule>
    <cfRule type="containsBlanks" dxfId="4604" priority="820">
      <formula>LEN(TRIM(AA158))=0</formula>
    </cfRule>
    <cfRule type="containsBlanks" dxfId="4603" priority="821">
      <formula>LEN(TRIM(AA158))=0</formula>
    </cfRule>
    <cfRule type="containsBlanks" dxfId="4602" priority="822">
      <formula>LEN(TRIM(AA158))=0</formula>
    </cfRule>
    <cfRule type="containsBlanks" dxfId="4601" priority="823">
      <formula>LEN(TRIM(AA158))=0</formula>
    </cfRule>
    <cfRule type="containsBlanks" dxfId="4600" priority="824">
      <formula>LEN(TRIM(AA158))=0</formula>
    </cfRule>
    <cfRule type="containsBlanks" dxfId="4599" priority="825">
      <formula>LEN(TRIM(AA158))=0</formula>
    </cfRule>
    <cfRule type="containsBlanks" dxfId="4598" priority="826">
      <formula>LEN(TRIM(AA158))=0</formula>
    </cfRule>
    <cfRule type="containsBlanks" dxfId="4597" priority="827">
      <formula>LEN(TRIM(AA158))=0</formula>
    </cfRule>
    <cfRule type="containsBlanks" dxfId="4596" priority="828">
      <formula>LEN(TRIM(AA158))=0</formula>
    </cfRule>
    <cfRule type="containsBlanks" dxfId="4595" priority="829">
      <formula>LEN(TRIM(AA158))=0</formula>
    </cfRule>
    <cfRule type="containsBlanks" dxfId="4594" priority="830">
      <formula>LEN(TRIM(AA158))=0</formula>
    </cfRule>
    <cfRule type="containsBlanks" dxfId="4593" priority="831">
      <formula>LEN(TRIM(AA158))=0</formula>
    </cfRule>
    <cfRule type="containsBlanks" dxfId="4592" priority="832">
      <formula>LEN(TRIM(AA158))=0</formula>
    </cfRule>
    <cfRule type="containsBlanks" dxfId="4591" priority="833">
      <formula>LEN(TRIM(AA158))=0</formula>
    </cfRule>
    <cfRule type="containsBlanks" dxfId="4590" priority="834">
      <formula>LEN(TRIM(AA158))=0</formula>
    </cfRule>
    <cfRule type="containsBlanks" dxfId="4589" priority="835">
      <formula>LEN(TRIM(AA158))=0</formula>
    </cfRule>
    <cfRule type="containsBlanks" dxfId="4588" priority="836">
      <formula>LEN(TRIM(AA158))=0</formula>
    </cfRule>
    <cfRule type="containsBlanks" dxfId="4587" priority="837">
      <formula>LEN(TRIM(AA158))=0</formula>
    </cfRule>
    <cfRule type="containsBlanks" dxfId="4586" priority="838">
      <formula>LEN(TRIM(AA158))=0</formula>
    </cfRule>
    <cfRule type="containsBlanks" dxfId="4585" priority="839">
      <formula>LEN(TRIM(AA158))=0</formula>
    </cfRule>
    <cfRule type="containsBlanks" dxfId="4584" priority="840">
      <formula>LEN(TRIM(AA158))=0</formula>
    </cfRule>
    <cfRule type="containsBlanks" dxfId="4583" priority="841">
      <formula>LEN(TRIM(AA158))=0</formula>
    </cfRule>
    <cfRule type="containsBlanks" dxfId="4582" priority="842">
      <formula>LEN(TRIM(AA158))=0</formula>
    </cfRule>
    <cfRule type="containsBlanks" dxfId="4581" priority="843">
      <formula>LEN(TRIM(AA158))=0</formula>
    </cfRule>
    <cfRule type="containsBlanks" dxfId="4580" priority="844">
      <formula>LEN(TRIM(AA158))=0</formula>
    </cfRule>
    <cfRule type="containsBlanks" dxfId="4579" priority="845">
      <formula>LEN(TRIM(AA158))=0</formula>
    </cfRule>
    <cfRule type="containsBlanks" dxfId="4578" priority="846">
      <formula>LEN(TRIM(AA158))=0</formula>
    </cfRule>
    <cfRule type="containsBlanks" dxfId="4577" priority="847">
      <formula>LEN(TRIM(AA158))=0</formula>
    </cfRule>
    <cfRule type="containsBlanks" dxfId="4576" priority="848">
      <formula>LEN(TRIM(AA158))=0</formula>
    </cfRule>
    <cfRule type="containsBlanks" dxfId="4575" priority="849">
      <formula>LEN(TRIM(AA158))=0</formula>
    </cfRule>
    <cfRule type="containsBlanks" dxfId="4574" priority="850">
      <formula>LEN(TRIM(AA158))=0</formula>
    </cfRule>
    <cfRule type="containsBlanks" dxfId="4573" priority="851">
      <formula>LEN(TRIM(AA158))=0</formula>
    </cfRule>
    <cfRule type="containsBlanks" dxfId="4572" priority="852">
      <formula>LEN(TRIM(AA158))=0</formula>
    </cfRule>
    <cfRule type="containsBlanks" dxfId="4571" priority="853">
      <formula>LEN(TRIM(AA158))=0</formula>
    </cfRule>
    <cfRule type="containsBlanks" dxfId="4570" priority="854">
      <formula>LEN(TRIM(AA158))=0</formula>
    </cfRule>
    <cfRule type="containsBlanks" dxfId="4569" priority="855">
      <formula>LEN(TRIM(AA158))=0</formula>
    </cfRule>
    <cfRule type="containsBlanks" dxfId="4568" priority="856">
      <formula>LEN(TRIM(AA158))=0</formula>
    </cfRule>
    <cfRule type="containsBlanks" dxfId="4567" priority="857">
      <formula>LEN(TRIM(AA158))=0</formula>
    </cfRule>
    <cfRule type="containsBlanks" dxfId="4566" priority="858">
      <formula>LEN(TRIM(AA158))=0</formula>
    </cfRule>
    <cfRule type="containsBlanks" dxfId="4565" priority="859">
      <formula>LEN(TRIM(AA158))=0</formula>
    </cfRule>
    <cfRule type="containsBlanks" dxfId="4564" priority="860">
      <formula>LEN(TRIM(AA158))=0</formula>
    </cfRule>
    <cfRule type="containsBlanks" dxfId="4563" priority="861">
      <formula>LEN(TRIM(AA158))=0</formula>
    </cfRule>
    <cfRule type="containsBlanks" dxfId="4562" priority="862">
      <formula>LEN(TRIM(AA158))=0</formula>
    </cfRule>
    <cfRule type="containsBlanks" dxfId="4561" priority="863">
      <formula>LEN(TRIM(AA158))=0</formula>
    </cfRule>
    <cfRule type="containsBlanks" dxfId="4560" priority="864">
      <formula>LEN(TRIM(AA158))=0</formula>
    </cfRule>
    <cfRule type="containsBlanks" dxfId="4559" priority="865">
      <formula>LEN(TRIM(AA158))=0</formula>
    </cfRule>
    <cfRule type="containsBlanks" dxfId="4558" priority="866">
      <formula>LEN(TRIM(AA158))=0</formula>
    </cfRule>
    <cfRule type="containsBlanks" dxfId="4557" priority="867">
      <formula>LEN(TRIM(AA158))=0</formula>
    </cfRule>
    <cfRule type="containsBlanks" dxfId="4556" priority="868">
      <formula>LEN(TRIM(AA158))=0</formula>
    </cfRule>
    <cfRule type="containsBlanks" dxfId="4555" priority="869">
      <formula>LEN(TRIM(AA158))=0</formula>
    </cfRule>
    <cfRule type="containsBlanks" dxfId="4554" priority="870">
      <formula>LEN(TRIM(AA158))=0</formula>
    </cfRule>
    <cfRule type="containsBlanks" dxfId="4553" priority="871">
      <formula>LEN(TRIM(AA158))=0</formula>
    </cfRule>
    <cfRule type="containsBlanks" dxfId="4552" priority="872">
      <formula>LEN(TRIM(AA158))=0</formula>
    </cfRule>
    <cfRule type="containsBlanks" dxfId="4551" priority="873">
      <formula>LEN(TRIM(AA158))=0</formula>
    </cfRule>
    <cfRule type="containsBlanks" dxfId="4550" priority="874">
      <formula>LEN(TRIM(AA158))=0</formula>
    </cfRule>
    <cfRule type="containsBlanks" dxfId="4549" priority="875">
      <formula>LEN(TRIM(AA158))=0</formula>
    </cfRule>
    <cfRule type="containsBlanks" dxfId="4548" priority="876">
      <formula>LEN(TRIM(AA158))=0</formula>
    </cfRule>
    <cfRule type="containsBlanks" dxfId="4547" priority="877">
      <formula>LEN(TRIM(AA158))=0</formula>
    </cfRule>
    <cfRule type="containsBlanks" dxfId="4546" priority="878">
      <formula>LEN(TRIM(AA158))=0</formula>
    </cfRule>
    <cfRule type="containsBlanks" dxfId="4545" priority="879">
      <formula>LEN(TRIM(AA158))=0</formula>
    </cfRule>
    <cfRule type="containsBlanks" dxfId="4544" priority="880">
      <formula>LEN(TRIM(AA158))=0</formula>
    </cfRule>
    <cfRule type="containsBlanks" dxfId="4543" priority="881">
      <formula>LEN(TRIM(AA158))=0</formula>
    </cfRule>
    <cfRule type="containsBlanks" dxfId="4542" priority="882">
      <formula>LEN(TRIM(AA158))=0</formula>
    </cfRule>
    <cfRule type="containsBlanks" dxfId="4541" priority="883">
      <formula>LEN(TRIM(AA158))=0</formula>
    </cfRule>
    <cfRule type="containsBlanks" dxfId="4540" priority="884">
      <formula>LEN(TRIM(AA158))=0</formula>
    </cfRule>
    <cfRule type="containsBlanks" dxfId="4539" priority="885">
      <formula>LEN(TRIM(AA158))=0</formula>
    </cfRule>
    <cfRule type="containsBlanks" dxfId="4538" priority="886">
      <formula>LEN(TRIM(AA158))=0</formula>
    </cfRule>
    <cfRule type="containsBlanks" dxfId="4537" priority="887">
      <formula>LEN(TRIM(AA158))=0</formula>
    </cfRule>
    <cfRule type="containsBlanks" dxfId="4536" priority="888">
      <formula>LEN(TRIM(AA158))=0</formula>
    </cfRule>
    <cfRule type="containsBlanks" dxfId="4535" priority="889">
      <formula>LEN(TRIM(AA158))=0</formula>
    </cfRule>
    <cfRule type="containsBlanks" dxfId="4534" priority="890">
      <formula>LEN(TRIM(AA158))=0</formula>
    </cfRule>
    <cfRule type="containsBlanks" dxfId="4533" priority="891">
      <formula>LEN(TRIM(AA158))=0</formula>
    </cfRule>
    <cfRule type="containsBlanks" dxfId="4532" priority="892">
      <formula>LEN(TRIM(AA158))=0</formula>
    </cfRule>
    <cfRule type="containsBlanks" dxfId="4531" priority="893">
      <formula>LEN(TRIM(AA158))=0</formula>
    </cfRule>
    <cfRule type="containsBlanks" dxfId="4530" priority="894">
      <formula>LEN(TRIM(AA158))=0</formula>
    </cfRule>
    <cfRule type="containsBlanks" dxfId="4529" priority="895">
      <formula>LEN(TRIM(AA158))=0</formula>
    </cfRule>
    <cfRule type="containsBlanks" dxfId="4528" priority="896">
      <formula>LEN(TRIM(AA158))=0</formula>
    </cfRule>
    <cfRule type="containsBlanks" dxfId="4527" priority="897">
      <formula>LEN(TRIM(AA158))=0</formula>
    </cfRule>
    <cfRule type="containsBlanks" dxfId="4526" priority="898">
      <formula>LEN(TRIM(AA158))=0</formula>
    </cfRule>
    <cfRule type="containsBlanks" dxfId="4525" priority="899">
      <formula>LEN(TRIM(AA158))=0</formula>
    </cfRule>
    <cfRule type="containsBlanks" dxfId="4524" priority="900">
      <formula>LEN(TRIM(AA158))=0</formula>
    </cfRule>
    <cfRule type="containsBlanks" dxfId="4523" priority="901">
      <formula>LEN(TRIM(AA158))=0</formula>
    </cfRule>
    <cfRule type="containsBlanks" dxfId="4522" priority="902">
      <formula>LEN(TRIM(AA158))=0</formula>
    </cfRule>
    <cfRule type="containsBlanks" dxfId="4521" priority="903">
      <formula>LEN(TRIM(AA158))=0</formula>
    </cfRule>
    <cfRule type="containsBlanks" dxfId="4520" priority="904">
      <formula>LEN(TRIM(AA158))=0</formula>
    </cfRule>
    <cfRule type="containsBlanks" dxfId="4519" priority="905">
      <formula>LEN(TRIM(AA158))=0</formula>
    </cfRule>
    <cfRule type="containsBlanks" dxfId="4518" priority="906">
      <formula>LEN(TRIM(AA158))=0</formula>
    </cfRule>
    <cfRule type="containsBlanks" dxfId="4517" priority="907">
      <formula>LEN(TRIM(AA158))=0</formula>
    </cfRule>
    <cfRule type="containsBlanks" dxfId="4516" priority="908">
      <formula>LEN(TRIM(AA158))=0</formula>
    </cfRule>
    <cfRule type="containsBlanks" dxfId="4515" priority="909">
      <formula>LEN(TRIM(AA158))=0</formula>
    </cfRule>
    <cfRule type="containsBlanks" dxfId="4514" priority="910">
      <formula>LEN(TRIM(AA158))=0</formula>
    </cfRule>
    <cfRule type="containsBlanks" dxfId="4513" priority="911">
      <formula>LEN(TRIM(AA158))=0</formula>
    </cfRule>
    <cfRule type="containsBlanks" dxfId="4512" priority="912">
      <formula>LEN(TRIM(AA158))=0</formula>
    </cfRule>
    <cfRule type="containsBlanks" dxfId="4511" priority="913">
      <formula>LEN(TRIM(AA158))=0</formula>
    </cfRule>
    <cfRule type="containsBlanks" dxfId="4510" priority="914">
      <formula>LEN(TRIM(AA158))=0</formula>
    </cfRule>
    <cfRule type="containsBlanks" dxfId="4509" priority="915">
      <formula>LEN(TRIM(AA158))=0</formula>
    </cfRule>
    <cfRule type="containsBlanks" dxfId="4508" priority="916">
      <formula>LEN(TRIM(AA158))=0</formula>
    </cfRule>
    <cfRule type="containsBlanks" dxfId="4507" priority="917">
      <formula>LEN(TRIM(AA158))=0</formula>
    </cfRule>
    <cfRule type="containsBlanks" dxfId="4506" priority="918">
      <formula>LEN(TRIM(AA158))=0</formula>
    </cfRule>
    <cfRule type="containsBlanks" dxfId="4505" priority="919">
      <formula>LEN(TRIM(AA158))=0</formula>
    </cfRule>
    <cfRule type="containsBlanks" dxfId="4504" priority="920">
      <formula>LEN(TRIM(AA158))=0</formula>
    </cfRule>
    <cfRule type="containsBlanks" dxfId="4503" priority="921">
      <formula>LEN(TRIM(AA158))=0</formula>
    </cfRule>
    <cfRule type="containsBlanks" dxfId="4502" priority="922">
      <formula>LEN(TRIM(AA158))=0</formula>
    </cfRule>
    <cfRule type="containsBlanks" dxfId="4501" priority="923">
      <formula>LEN(TRIM(AA158))=0</formula>
    </cfRule>
    <cfRule type="containsBlanks" dxfId="4500" priority="924">
      <formula>LEN(TRIM(AA158))=0</formula>
    </cfRule>
    <cfRule type="containsBlanks" dxfId="4499" priority="925">
      <formula>LEN(TRIM(AA158))=0</formula>
    </cfRule>
    <cfRule type="containsBlanks" dxfId="4498" priority="926">
      <formula>LEN(TRIM(AA158))=0</formula>
    </cfRule>
    <cfRule type="containsBlanks" dxfId="4497" priority="927">
      <formula>LEN(TRIM(AA158))=0</formula>
    </cfRule>
    <cfRule type="containsBlanks" dxfId="4496" priority="928">
      <formula>LEN(TRIM(AA158))=0</formula>
    </cfRule>
    <cfRule type="containsBlanks" dxfId="4495" priority="929">
      <formula>LEN(TRIM(AA158))=0</formula>
    </cfRule>
    <cfRule type="containsBlanks" dxfId="4494" priority="930">
      <formula>LEN(TRIM(AA158))=0</formula>
    </cfRule>
    <cfRule type="containsBlanks" dxfId="4493" priority="931">
      <formula>LEN(TRIM(AA158))=0</formula>
    </cfRule>
    <cfRule type="containsBlanks" dxfId="4492" priority="932">
      <formula>LEN(TRIM(AA158))=0</formula>
    </cfRule>
    <cfRule type="containsBlanks" dxfId="4491" priority="933">
      <formula>LEN(TRIM(AA158))=0</formula>
    </cfRule>
    <cfRule type="containsBlanks" dxfId="4490" priority="934">
      <formula>LEN(TRIM(AA158))=0</formula>
    </cfRule>
    <cfRule type="containsBlanks" dxfId="4489" priority="935">
      <formula>LEN(TRIM(AA158))=0</formula>
    </cfRule>
    <cfRule type="containsBlanks" dxfId="4488" priority="936">
      <formula>LEN(TRIM(AA158))=0</formula>
    </cfRule>
    <cfRule type="containsBlanks" dxfId="4487" priority="937">
      <formula>LEN(TRIM(AA158))=0</formula>
    </cfRule>
    <cfRule type="containsBlanks" dxfId="4486" priority="938">
      <formula>LEN(TRIM(AA158))=0</formula>
    </cfRule>
    <cfRule type="containsBlanks" dxfId="4485" priority="939">
      <formula>LEN(TRIM(AA158))=0</formula>
    </cfRule>
    <cfRule type="containsBlanks" dxfId="4484" priority="940">
      <formula>LEN(TRIM(AA158))=0</formula>
    </cfRule>
    <cfRule type="containsBlanks" dxfId="4483" priority="941">
      <formula>LEN(TRIM(AA158))=0</formula>
    </cfRule>
    <cfRule type="containsBlanks" dxfId="4482" priority="942">
      <formula>LEN(TRIM(AA158))=0</formula>
    </cfRule>
    <cfRule type="containsBlanks" dxfId="4481" priority="943">
      <formula>LEN(TRIM(AA158))=0</formula>
    </cfRule>
    <cfRule type="containsBlanks" dxfId="4480" priority="944">
      <formula>LEN(TRIM(AA158))=0</formula>
    </cfRule>
    <cfRule type="containsBlanks" dxfId="4479" priority="945">
      <formula>LEN(TRIM(AA158))=0</formula>
    </cfRule>
    <cfRule type="containsBlanks" dxfId="4478" priority="946">
      <formula>LEN(TRIM(AA158))=0</formula>
    </cfRule>
    <cfRule type="containsBlanks" dxfId="4477" priority="947">
      <formula>LEN(TRIM(AA158))=0</formula>
    </cfRule>
    <cfRule type="containsBlanks" dxfId="4476" priority="948">
      <formula>LEN(TRIM(AA158))=0</formula>
    </cfRule>
    <cfRule type="containsBlanks" dxfId="4475" priority="949">
      <formula>LEN(TRIM(AA158))=0</formula>
    </cfRule>
    <cfRule type="containsBlanks" dxfId="4474" priority="950">
      <formula>LEN(TRIM(AA158))=0</formula>
    </cfRule>
    <cfRule type="containsBlanks" dxfId="4473" priority="951">
      <formula>LEN(TRIM(AA158))=0</formula>
    </cfRule>
    <cfRule type="containsBlanks" dxfId="4472" priority="952">
      <formula>LEN(TRIM(AA158))=0</formula>
    </cfRule>
    <cfRule type="containsBlanks" dxfId="4471" priority="953">
      <formula>LEN(TRIM(AA158))=0</formula>
    </cfRule>
    <cfRule type="containsBlanks" dxfId="4470" priority="954">
      <formula>LEN(TRIM(AA158))=0</formula>
    </cfRule>
    <cfRule type="containsBlanks" dxfId="4469" priority="955">
      <formula>LEN(TRIM(AA158))=0</formula>
    </cfRule>
    <cfRule type="containsBlanks" dxfId="4468" priority="956">
      <formula>LEN(TRIM(AA158))=0</formula>
    </cfRule>
    <cfRule type="containsBlanks" dxfId="4467" priority="957">
      <formula>LEN(TRIM(AA158))=0</formula>
    </cfRule>
    <cfRule type="containsBlanks" dxfId="4466" priority="958">
      <formula>LEN(TRIM(AA158))=0</formula>
    </cfRule>
    <cfRule type="containsBlanks" dxfId="4465" priority="959">
      <formula>LEN(TRIM(AA158))=0</formula>
    </cfRule>
    <cfRule type="containsBlanks" dxfId="4464" priority="960">
      <formula>LEN(TRIM(AA158))=0</formula>
    </cfRule>
    <cfRule type="containsBlanks" dxfId="4463" priority="961">
      <formula>LEN(TRIM(AA158))=0</formula>
    </cfRule>
    <cfRule type="containsBlanks" dxfId="4462" priority="962">
      <formula>LEN(TRIM(AA158))=0</formula>
    </cfRule>
    <cfRule type="containsBlanks" dxfId="4461" priority="963">
      <formula>LEN(TRIM(AA158))=0</formula>
    </cfRule>
    <cfRule type="containsBlanks" dxfId="4460" priority="964">
      <formula>LEN(TRIM(AA158))=0</formula>
    </cfRule>
    <cfRule type="containsBlanks" dxfId="4459" priority="965">
      <formula>LEN(TRIM(AA158))=0</formula>
    </cfRule>
    <cfRule type="containsBlanks" dxfId="4458" priority="966">
      <formula>LEN(TRIM(AA158))=0</formula>
    </cfRule>
    <cfRule type="containsBlanks" dxfId="4457" priority="967">
      <formula>LEN(TRIM(AA158))=0</formula>
    </cfRule>
    <cfRule type="containsBlanks" dxfId="4456" priority="968">
      <formula>LEN(TRIM(AA158))=0</formula>
    </cfRule>
    <cfRule type="containsBlanks" dxfId="4455" priority="969">
      <formula>LEN(TRIM(AA158))=0</formula>
    </cfRule>
    <cfRule type="containsBlanks" dxfId="4454" priority="970">
      <formula>LEN(TRIM(AA158))=0</formula>
    </cfRule>
    <cfRule type="containsBlanks" dxfId="4453" priority="971">
      <formula>LEN(TRIM(AA158))=0</formula>
    </cfRule>
    <cfRule type="containsBlanks" dxfId="4452" priority="972">
      <formula>LEN(TRIM(AA158))=0</formula>
    </cfRule>
    <cfRule type="containsBlanks" dxfId="4451" priority="973">
      <formula>LEN(TRIM(AA158))=0</formula>
    </cfRule>
    <cfRule type="containsBlanks" dxfId="4450" priority="974">
      <formula>LEN(TRIM(AA158))=0</formula>
    </cfRule>
    <cfRule type="containsBlanks" dxfId="4449" priority="975">
      <formula>LEN(TRIM(AA158))=0</formula>
    </cfRule>
    <cfRule type="containsBlanks" dxfId="4448" priority="976">
      <formula>LEN(TRIM(AA158))=0</formula>
    </cfRule>
    <cfRule type="containsBlanks" dxfId="4447" priority="977">
      <formula>LEN(TRIM(AA158))=0</formula>
    </cfRule>
    <cfRule type="containsBlanks" dxfId="4446" priority="978">
      <formula>LEN(TRIM(AA158))=0</formula>
    </cfRule>
    <cfRule type="containsBlanks" dxfId="4445" priority="979">
      <formula>LEN(TRIM(AA158))=0</formula>
    </cfRule>
    <cfRule type="containsBlanks" dxfId="4444" priority="980">
      <formula>LEN(TRIM(AA158))=0</formula>
    </cfRule>
    <cfRule type="containsBlanks" dxfId="4443" priority="981">
      <formula>LEN(TRIM(AA158))=0</formula>
    </cfRule>
    <cfRule type="containsBlanks" dxfId="4442" priority="982">
      <formula>LEN(TRIM(AA158))=0</formula>
    </cfRule>
    <cfRule type="containsBlanks" dxfId="4441" priority="983">
      <formula>LEN(TRIM(AA158))=0</formula>
    </cfRule>
    <cfRule type="containsBlanks" dxfId="4440" priority="984">
      <formula>LEN(TRIM(AA158))=0</formula>
    </cfRule>
    <cfRule type="containsBlanks" dxfId="4439" priority="985">
      <formula>LEN(TRIM(AA158))=0</formula>
    </cfRule>
    <cfRule type="containsBlanks" dxfId="4438" priority="986">
      <formula>LEN(TRIM(AA158))=0</formula>
    </cfRule>
    <cfRule type="containsBlanks" dxfId="4437" priority="987">
      <formula>LEN(TRIM(AA158))=0</formula>
    </cfRule>
    <cfRule type="containsBlanks" dxfId="4436" priority="988">
      <formula>LEN(TRIM(AA158))=0</formula>
    </cfRule>
    <cfRule type="containsBlanks" dxfId="4435" priority="989">
      <formula>LEN(TRIM(AA158))=0</formula>
    </cfRule>
    <cfRule type="containsBlanks" dxfId="4434" priority="990">
      <formula>LEN(TRIM(AA158))=0</formula>
    </cfRule>
    <cfRule type="containsBlanks" dxfId="4433" priority="991">
      <formula>LEN(TRIM(AA158))=0</formula>
    </cfRule>
    <cfRule type="containsBlanks" dxfId="4432" priority="992">
      <formula>LEN(TRIM(AA158))=0</formula>
    </cfRule>
    <cfRule type="containsBlanks" dxfId="4431" priority="993">
      <formula>LEN(TRIM(AA158))=0</formula>
    </cfRule>
    <cfRule type="containsBlanks" dxfId="4430" priority="994">
      <formula>LEN(TRIM(AA158))=0</formula>
    </cfRule>
    <cfRule type="containsBlanks" dxfId="4429" priority="995">
      <formula>LEN(TRIM(AA158))=0</formula>
    </cfRule>
    <cfRule type="containsBlanks" dxfId="4428" priority="996">
      <formula>LEN(TRIM(AA158))=0</formula>
    </cfRule>
    <cfRule type="containsBlanks" dxfId="4427" priority="997">
      <formula>LEN(TRIM(AA158))=0</formula>
    </cfRule>
    <cfRule type="containsBlanks" dxfId="4426" priority="998">
      <formula>LEN(TRIM(AA158))=0</formula>
    </cfRule>
    <cfRule type="containsBlanks" dxfId="4425" priority="999">
      <formula>LEN(TRIM(AA158))=0</formula>
    </cfRule>
    <cfRule type="containsBlanks" dxfId="4424" priority="1000">
      <formula>LEN(TRIM(AA158))=0</formula>
    </cfRule>
    <cfRule type="containsBlanks" dxfId="4423" priority="1001">
      <formula>LEN(TRIM(AA158))=0</formula>
    </cfRule>
    <cfRule type="containsBlanks" dxfId="4422" priority="1002">
      <formula>LEN(TRIM(AA158))=0</formula>
    </cfRule>
    <cfRule type="containsBlanks" dxfId="4421" priority="1003">
      <formula>LEN(TRIM(AA158))=0</formula>
    </cfRule>
    <cfRule type="containsBlanks" dxfId="4420" priority="1004">
      <formula>LEN(TRIM(AA158))=0</formula>
    </cfRule>
    <cfRule type="containsBlanks" dxfId="4419" priority="1005">
      <formula>LEN(TRIM(AA158))=0</formula>
    </cfRule>
    <cfRule type="containsBlanks" dxfId="4418" priority="1006">
      <formula>LEN(TRIM(AA158))=0</formula>
    </cfRule>
    <cfRule type="containsBlanks" dxfId="4417" priority="1007">
      <formula>LEN(TRIM(AA158))=0</formula>
    </cfRule>
    <cfRule type="containsBlanks" dxfId="4416" priority="1008">
      <formula>LEN(TRIM(AA158))=0</formula>
    </cfRule>
    <cfRule type="containsBlanks" dxfId="4415" priority="1009">
      <formula>LEN(TRIM(AA158))=0</formula>
    </cfRule>
    <cfRule type="containsBlanks" dxfId="4414" priority="1010">
      <formula>LEN(TRIM(AA158))=0</formula>
    </cfRule>
    <cfRule type="containsBlanks" dxfId="4413" priority="1011">
      <formula>LEN(TRIM(AA158))=0</formula>
    </cfRule>
    <cfRule type="containsBlanks" dxfId="4412" priority="1012">
      <formula>LEN(TRIM(AA158))=0</formula>
    </cfRule>
    <cfRule type="containsBlanks" dxfId="4411" priority="1013">
      <formula>LEN(TRIM(AA158))=0</formula>
    </cfRule>
    <cfRule type="containsBlanks" dxfId="4410" priority="1014">
      <formula>LEN(TRIM(AA158))=0</formula>
    </cfRule>
    <cfRule type="containsBlanks" dxfId="4409" priority="1015">
      <formula>LEN(TRIM(AA158))=0</formula>
    </cfRule>
    <cfRule type="containsBlanks" dxfId="4408" priority="1016">
      <formula>LEN(TRIM(AA158))=0</formula>
    </cfRule>
    <cfRule type="containsBlanks" dxfId="4407" priority="1017">
      <formula>LEN(TRIM(AA158))=0</formula>
    </cfRule>
    <cfRule type="containsBlanks" dxfId="4406" priority="1018">
      <formula>LEN(TRIM(AA158))=0</formula>
    </cfRule>
    <cfRule type="containsBlanks" dxfId="4405" priority="1019">
      <formula>LEN(TRIM(AA158))=0</formula>
    </cfRule>
    <cfRule type="containsBlanks" dxfId="4404" priority="1020">
      <formula>LEN(TRIM(AA158))=0</formula>
    </cfRule>
    <cfRule type="containsBlanks" dxfId="4403" priority="1021">
      <formula>LEN(TRIM(AA158))=0</formula>
    </cfRule>
    <cfRule type="containsBlanks" dxfId="4402" priority="1022">
      <formula>LEN(TRIM(AA158))=0</formula>
    </cfRule>
    <cfRule type="containsBlanks" dxfId="4401" priority="1023">
      <formula>LEN(TRIM(AA158))=0</formula>
    </cfRule>
    <cfRule type="containsBlanks" dxfId="4400" priority="1024">
      <formula>LEN(TRIM(AA158))=0</formula>
    </cfRule>
    <cfRule type="containsBlanks" dxfId="4399" priority="1025">
      <formula>LEN(TRIM(AA158))=0</formula>
    </cfRule>
    <cfRule type="containsBlanks" dxfId="4398" priority="1026">
      <formula>LEN(TRIM(AA158))=0</formula>
    </cfRule>
    <cfRule type="containsBlanks" dxfId="4397" priority="1027">
      <formula>LEN(TRIM(AA158))=0</formula>
    </cfRule>
    <cfRule type="containsBlanks" dxfId="4396" priority="1028">
      <formula>LEN(TRIM(AA158))=0</formula>
    </cfRule>
    <cfRule type="containsBlanks" dxfId="4395" priority="1029">
      <formula>LEN(TRIM(AA158))=0</formula>
    </cfRule>
    <cfRule type="containsBlanks" dxfId="4394" priority="1030">
      <formula>LEN(TRIM(AA158))=0</formula>
    </cfRule>
    <cfRule type="containsBlanks" dxfId="4393" priority="1031">
      <formula>LEN(TRIM(AA158))=0</formula>
    </cfRule>
    <cfRule type="containsBlanks" dxfId="4392" priority="1032">
      <formula>LEN(TRIM(AA158))=0</formula>
    </cfRule>
    <cfRule type="containsBlanks" dxfId="4391" priority="1033">
      <formula>LEN(TRIM(AA158))=0</formula>
    </cfRule>
    <cfRule type="containsBlanks" dxfId="4390" priority="1034">
      <formula>LEN(TRIM(AA158))=0</formula>
    </cfRule>
    <cfRule type="containsBlanks" dxfId="4389" priority="1035">
      <formula>LEN(TRIM(AA158))=0</formula>
    </cfRule>
    <cfRule type="containsBlanks" dxfId="4388" priority="1036">
      <formula>LEN(TRIM(AA158))=0</formula>
    </cfRule>
    <cfRule type="containsBlanks" dxfId="4387" priority="1037">
      <formula>LEN(TRIM(AA158))=0</formula>
    </cfRule>
    <cfRule type="containsBlanks" dxfId="4386" priority="1038">
      <formula>LEN(TRIM(AA158))=0</formula>
    </cfRule>
    <cfRule type="containsBlanks" dxfId="4385" priority="1039">
      <formula>LEN(TRIM(AA158))=0</formula>
    </cfRule>
    <cfRule type="containsBlanks" dxfId="4384" priority="1040">
      <formula>LEN(TRIM(AA158))=0</formula>
    </cfRule>
    <cfRule type="containsBlanks" dxfId="4383" priority="1041">
      <formula>LEN(TRIM(AA158))=0</formula>
    </cfRule>
    <cfRule type="containsBlanks" dxfId="4382" priority="1042">
      <formula>LEN(TRIM(AA158))=0</formula>
    </cfRule>
    <cfRule type="containsBlanks" dxfId="4381" priority="1043">
      <formula>LEN(TRIM(AA158))=0</formula>
    </cfRule>
    <cfRule type="containsBlanks" dxfId="4380" priority="1044">
      <formula>LEN(TRIM(AA158))=0</formula>
    </cfRule>
    <cfRule type="containsBlanks" dxfId="4379" priority="1045">
      <formula>LEN(TRIM(AA158))=0</formula>
    </cfRule>
    <cfRule type="containsBlanks" dxfId="4378" priority="1046">
      <formula>LEN(TRIM(AA158))=0</formula>
    </cfRule>
    <cfRule type="containsBlanks" dxfId="4377" priority="1047">
      <formula>LEN(TRIM(AA158))=0</formula>
    </cfRule>
    <cfRule type="containsBlanks" dxfId="4376" priority="1048">
      <formula>LEN(TRIM(AA158))=0</formula>
    </cfRule>
    <cfRule type="containsBlanks" dxfId="4375" priority="1049">
      <formula>LEN(TRIM(AA158))=0</formula>
    </cfRule>
    <cfRule type="containsBlanks" dxfId="4374" priority="1050">
      <formula>LEN(TRIM(AA158))=0</formula>
    </cfRule>
    <cfRule type="containsBlanks" dxfId="4373" priority="1051">
      <formula>LEN(TRIM(AA158))=0</formula>
    </cfRule>
    <cfRule type="containsBlanks" dxfId="4372" priority="1052">
      <formula>LEN(TRIM(AA158))=0</formula>
    </cfRule>
    <cfRule type="containsBlanks" dxfId="4371" priority="1053">
      <formula>LEN(TRIM(AA158))=0</formula>
    </cfRule>
    <cfRule type="containsBlanks" dxfId="4370" priority="1054">
      <formula>LEN(TRIM(AA158))=0</formula>
    </cfRule>
    <cfRule type="containsBlanks" dxfId="4369" priority="1055">
      <formula>LEN(TRIM(AA158))=0</formula>
    </cfRule>
    <cfRule type="containsBlanks" dxfId="4368" priority="1056">
      <formula>LEN(TRIM(AA158))=0</formula>
    </cfRule>
    <cfRule type="containsBlanks" dxfId="4367" priority="1057">
      <formula>LEN(TRIM(AA158))=0</formula>
    </cfRule>
    <cfRule type="containsBlanks" dxfId="4366" priority="1058">
      <formula>LEN(TRIM(AA158))=0</formula>
    </cfRule>
    <cfRule type="containsBlanks" dxfId="4365" priority="1059">
      <formula>LEN(TRIM(AA158))=0</formula>
    </cfRule>
    <cfRule type="containsBlanks" dxfId="4364" priority="1060">
      <formula>LEN(TRIM(AA158))=0</formula>
    </cfRule>
    <cfRule type="containsBlanks" dxfId="4363" priority="1061">
      <formula>LEN(TRIM(AA158))=0</formula>
    </cfRule>
    <cfRule type="containsBlanks" dxfId="4362" priority="1062">
      <formula>LEN(TRIM(AA158))=0</formula>
    </cfRule>
    <cfRule type="containsBlanks" dxfId="4361" priority="1063">
      <formula>LEN(TRIM(AA158))=0</formula>
    </cfRule>
    <cfRule type="containsBlanks" dxfId="4360" priority="1064">
      <formula>LEN(TRIM(AA158))=0</formula>
    </cfRule>
    <cfRule type="containsBlanks" dxfId="4359" priority="1065">
      <formula>LEN(TRIM(AA158))=0</formula>
    </cfRule>
    <cfRule type="containsBlanks" dxfId="4358" priority="1066">
      <formula>LEN(TRIM(AA158))=0</formula>
    </cfRule>
    <cfRule type="containsBlanks" dxfId="4357" priority="1067">
      <formula>LEN(TRIM(AA158))=0</formula>
    </cfRule>
    <cfRule type="containsBlanks" dxfId="4356" priority="1068">
      <formula>LEN(TRIM(AA158))=0</formula>
    </cfRule>
    <cfRule type="containsBlanks" dxfId="4355" priority="1069">
      <formula>LEN(TRIM(AA158))=0</formula>
    </cfRule>
    <cfRule type="containsBlanks" dxfId="4354" priority="1070">
      <formula>LEN(TRIM(AA158))=0</formula>
    </cfRule>
    <cfRule type="containsBlanks" dxfId="4353" priority="1071">
      <formula>LEN(TRIM(AA158))=0</formula>
    </cfRule>
    <cfRule type="containsBlanks" dxfId="4352" priority="1072">
      <formula>LEN(TRIM(AA158))=0</formula>
    </cfRule>
    <cfRule type="containsBlanks" dxfId="4351" priority="1073">
      <formula>LEN(TRIM(AA158))=0</formula>
    </cfRule>
    <cfRule type="containsBlanks" dxfId="4350" priority="1074">
      <formula>LEN(TRIM(AA158))=0</formula>
    </cfRule>
    <cfRule type="containsBlanks" dxfId="4349" priority="1075">
      <formula>LEN(TRIM(AA158))=0</formula>
    </cfRule>
    <cfRule type="containsBlanks" dxfId="4348" priority="1076">
      <formula>LEN(TRIM(AA158))=0</formula>
    </cfRule>
    <cfRule type="containsBlanks" dxfId="4347" priority="1077">
      <formula>LEN(TRIM(AA158))=0</formula>
    </cfRule>
    <cfRule type="containsBlanks" dxfId="4346" priority="1078">
      <formula>LEN(TRIM(AA158))=0</formula>
    </cfRule>
    <cfRule type="containsBlanks" dxfId="4345" priority="1079">
      <formula>LEN(TRIM(AA158))=0</formula>
    </cfRule>
    <cfRule type="containsBlanks" dxfId="4344" priority="1080">
      <formula>LEN(TRIM(AA158))=0</formula>
    </cfRule>
    <cfRule type="containsBlanks" dxfId="4343" priority="1081">
      <formula>LEN(TRIM(AA158))=0</formula>
    </cfRule>
    <cfRule type="containsBlanks" dxfId="4342" priority="1082">
      <formula>LEN(TRIM(AA158))=0</formula>
    </cfRule>
    <cfRule type="containsBlanks" dxfId="4341" priority="1083">
      <formula>LEN(TRIM(AA158))=0</formula>
    </cfRule>
    <cfRule type="containsBlanks" dxfId="4340" priority="1084">
      <formula>LEN(TRIM(AA158))=0</formula>
    </cfRule>
    <cfRule type="containsBlanks" dxfId="4339" priority="1085">
      <formula>LEN(TRIM(AA158))=0</formula>
    </cfRule>
    <cfRule type="containsBlanks" dxfId="4338" priority="1086">
      <formula>LEN(TRIM(AA158))=0</formula>
    </cfRule>
    <cfRule type="containsBlanks" dxfId="4337" priority="1087">
      <formula>LEN(TRIM(AA158))=0</formula>
    </cfRule>
    <cfRule type="containsBlanks" dxfId="4336" priority="1088">
      <formula>LEN(TRIM(AA158))=0</formula>
    </cfRule>
    <cfRule type="containsBlanks" dxfId="4335" priority="1089">
      <formula>LEN(TRIM(AA158))=0</formula>
    </cfRule>
    <cfRule type="containsBlanks" dxfId="4334" priority="1090">
      <formula>LEN(TRIM(AA158))=0</formula>
    </cfRule>
    <cfRule type="containsBlanks" dxfId="4333" priority="1091">
      <formula>LEN(TRIM(AA158))=0</formula>
    </cfRule>
    <cfRule type="containsBlanks" dxfId="4332" priority="1092">
      <formula>LEN(TRIM(AA158))=0</formula>
    </cfRule>
    <cfRule type="containsBlanks" dxfId="4331" priority="1093">
      <formula>LEN(TRIM(AA158))=0</formula>
    </cfRule>
    <cfRule type="containsBlanks" dxfId="4330" priority="1094">
      <formula>LEN(TRIM(AA158))=0</formula>
    </cfRule>
    <cfRule type="containsBlanks" dxfId="4329" priority="1095">
      <formula>LEN(TRIM(AA158))=0</formula>
    </cfRule>
    <cfRule type="containsBlanks" dxfId="4328" priority="1096">
      <formula>LEN(TRIM(AA158))=0</formula>
    </cfRule>
  </conditionalFormatting>
  <conditionalFormatting sqref="AA104:AB104">
    <cfRule type="containsBlanks" dxfId="4327" priority="1097">
      <formula>LEN(TRIM(AA104))=0</formula>
    </cfRule>
    <cfRule type="containsBlanks" dxfId="4326" priority="1098">
      <formula>LEN(TRIM(AA104))=0</formula>
    </cfRule>
    <cfRule type="containsBlanks" dxfId="4325" priority="1099">
      <formula>LEN(TRIM(AA104))=0</formula>
    </cfRule>
    <cfRule type="containsBlanks" dxfId="4324" priority="1100">
      <formula>LEN(TRIM(AA104))=0</formula>
    </cfRule>
    <cfRule type="containsBlanks" dxfId="4323" priority="1101">
      <formula>LEN(TRIM(AA104))=0</formula>
    </cfRule>
    <cfRule type="containsBlanks" dxfId="4322" priority="1102">
      <formula>LEN(TRIM(AA104))=0</formula>
    </cfRule>
    <cfRule type="containsBlanks" dxfId="4321" priority="1103">
      <formula>LEN(TRIM(AA104))=0</formula>
    </cfRule>
    <cfRule type="containsBlanks" dxfId="4320" priority="1104">
      <formula>LEN(TRIM(AA104))=0</formula>
    </cfRule>
    <cfRule type="containsBlanks" dxfId="4319" priority="1105">
      <formula>LEN(TRIM(AA104))=0</formula>
    </cfRule>
    <cfRule type="containsBlanks" dxfId="4318" priority="1106">
      <formula>LEN(TRIM(AA104))=0</formula>
    </cfRule>
    <cfRule type="containsBlanks" dxfId="4317" priority="1107">
      <formula>LEN(TRIM(AA104))=0</formula>
    </cfRule>
    <cfRule type="containsBlanks" dxfId="4316" priority="1108">
      <formula>LEN(TRIM(AA104))=0</formula>
    </cfRule>
    <cfRule type="containsBlanks" dxfId="4315" priority="1109">
      <formula>LEN(TRIM(AA104))=0</formula>
    </cfRule>
    <cfRule type="containsBlanks" dxfId="4314" priority="1110">
      <formula>LEN(TRIM(AA104))=0</formula>
    </cfRule>
    <cfRule type="containsBlanks" dxfId="4313" priority="1111">
      <formula>LEN(TRIM(AA104))=0</formula>
    </cfRule>
    <cfRule type="containsBlanks" dxfId="4312" priority="1112">
      <formula>LEN(TRIM(AA104))=0</formula>
    </cfRule>
    <cfRule type="containsBlanks" dxfId="4311" priority="1113">
      <formula>LEN(TRIM(AA104))=0</formula>
    </cfRule>
    <cfRule type="containsBlanks" dxfId="4310" priority="1114">
      <formula>LEN(TRIM(AA104))=0</formula>
    </cfRule>
    <cfRule type="containsBlanks" dxfId="4309" priority="1115">
      <formula>LEN(TRIM(AA104))=0</formula>
    </cfRule>
    <cfRule type="containsBlanks" dxfId="4308" priority="1116">
      <formula>LEN(TRIM(AA104))=0</formula>
    </cfRule>
    <cfRule type="containsBlanks" dxfId="4307" priority="1117">
      <formula>LEN(TRIM(AA104))=0</formula>
    </cfRule>
    <cfRule type="containsBlanks" dxfId="4306" priority="1118">
      <formula>LEN(TRIM(AA104))=0</formula>
    </cfRule>
    <cfRule type="containsBlanks" dxfId="4305" priority="1119">
      <formula>LEN(TRIM(AA104))=0</formula>
    </cfRule>
    <cfRule type="containsBlanks" dxfId="4304" priority="1120">
      <formula>LEN(TRIM(AA104))=0</formula>
    </cfRule>
    <cfRule type="containsBlanks" dxfId="4303" priority="1121">
      <formula>LEN(TRIM(AA104))=0</formula>
    </cfRule>
    <cfRule type="containsBlanks" dxfId="4302" priority="1122">
      <formula>LEN(TRIM(AA104))=0</formula>
    </cfRule>
    <cfRule type="containsBlanks" dxfId="4301" priority="1123">
      <formula>LEN(TRIM(AA104))=0</formula>
    </cfRule>
    <cfRule type="containsBlanks" dxfId="4300" priority="1124">
      <formula>LEN(TRIM(AA104))=0</formula>
    </cfRule>
    <cfRule type="containsBlanks" dxfId="4299" priority="1125">
      <formula>LEN(TRIM(AA104))=0</formula>
    </cfRule>
    <cfRule type="containsBlanks" dxfId="4298" priority="1126">
      <formula>LEN(TRIM(AA104))=0</formula>
    </cfRule>
    <cfRule type="containsBlanks" dxfId="4297" priority="1127">
      <formula>LEN(TRIM(AA104))=0</formula>
    </cfRule>
    <cfRule type="containsBlanks" dxfId="4296" priority="1128">
      <formula>LEN(TRIM(AA104))=0</formula>
    </cfRule>
    <cfRule type="containsBlanks" dxfId="4295" priority="1129">
      <formula>LEN(TRIM(AA104))=0</formula>
    </cfRule>
    <cfRule type="containsBlanks" dxfId="4294" priority="1130">
      <formula>LEN(TRIM(AA104))=0</formula>
    </cfRule>
    <cfRule type="containsBlanks" dxfId="4293" priority="1131">
      <formula>LEN(TRIM(AA104))=0</formula>
    </cfRule>
    <cfRule type="containsBlanks" dxfId="4292" priority="1132">
      <formula>LEN(TRIM(AA104))=0</formula>
    </cfRule>
    <cfRule type="containsBlanks" dxfId="4291" priority="1133">
      <formula>LEN(TRIM(AA104))=0</formula>
    </cfRule>
    <cfRule type="containsBlanks" dxfId="4290" priority="1134">
      <formula>LEN(TRIM(AA104))=0</formula>
    </cfRule>
    <cfRule type="containsBlanks" dxfId="4289" priority="1135">
      <formula>LEN(TRIM(AA104))=0</formula>
    </cfRule>
    <cfRule type="containsBlanks" dxfId="4288" priority="1136">
      <formula>LEN(TRIM(AA104))=0</formula>
    </cfRule>
    <cfRule type="containsBlanks" dxfId="4287" priority="1137">
      <formula>LEN(TRIM(AA104))=0</formula>
    </cfRule>
    <cfRule type="containsBlanks" dxfId="4286" priority="1138">
      <formula>LEN(TRIM(AA104))=0</formula>
    </cfRule>
    <cfRule type="containsBlanks" dxfId="4285" priority="1139">
      <formula>LEN(TRIM(AA104))=0</formula>
    </cfRule>
    <cfRule type="containsBlanks" dxfId="4284" priority="1140">
      <formula>LEN(TRIM(AA104))=0</formula>
    </cfRule>
    <cfRule type="containsBlanks" dxfId="4283" priority="1141">
      <formula>LEN(TRIM(AA104))=0</formula>
    </cfRule>
    <cfRule type="containsBlanks" dxfId="4282" priority="1142">
      <formula>LEN(TRIM(AA104))=0</formula>
    </cfRule>
    <cfRule type="containsBlanks" dxfId="4281" priority="1143">
      <formula>LEN(TRIM(AA104))=0</formula>
    </cfRule>
    <cfRule type="containsBlanks" dxfId="4280" priority="1144">
      <formula>LEN(TRIM(AA104))=0</formula>
    </cfRule>
    <cfRule type="containsBlanks" dxfId="4279" priority="1145">
      <formula>LEN(TRIM(AA104))=0</formula>
    </cfRule>
    <cfRule type="containsBlanks" dxfId="4278" priority="1146">
      <formula>LEN(TRIM(AA104))=0</formula>
    </cfRule>
    <cfRule type="containsBlanks" dxfId="4277" priority="1147">
      <formula>LEN(TRIM(AA104))=0</formula>
    </cfRule>
    <cfRule type="containsBlanks" dxfId="4276" priority="1148">
      <formula>LEN(TRIM(AA104))=0</formula>
    </cfRule>
    <cfRule type="containsBlanks" dxfId="4275" priority="1149">
      <formula>LEN(TRIM(AA104))=0</formula>
    </cfRule>
    <cfRule type="containsBlanks" dxfId="4274" priority="1150">
      <formula>LEN(TRIM(AA104))=0</formula>
    </cfRule>
    <cfRule type="containsBlanks" dxfId="4273" priority="1151">
      <formula>LEN(TRIM(AA104))=0</formula>
    </cfRule>
    <cfRule type="containsBlanks" dxfId="4272" priority="1152">
      <formula>LEN(TRIM(AA104))=0</formula>
    </cfRule>
    <cfRule type="containsBlanks" dxfId="4271" priority="1153">
      <formula>LEN(TRIM(AA104))=0</formula>
    </cfRule>
    <cfRule type="containsBlanks" dxfId="4270" priority="1154">
      <formula>LEN(TRIM(AA104))=0</formula>
    </cfRule>
    <cfRule type="containsBlanks" dxfId="4269" priority="1155">
      <formula>LEN(TRIM(AA104))=0</formula>
    </cfRule>
    <cfRule type="containsBlanks" dxfId="4268" priority="1156">
      <formula>LEN(TRIM(AA104))=0</formula>
    </cfRule>
    <cfRule type="containsBlanks" dxfId="4267" priority="1157">
      <formula>LEN(TRIM(AA104))=0</formula>
    </cfRule>
    <cfRule type="containsBlanks" dxfId="4266" priority="1158">
      <formula>LEN(TRIM(AA104))=0</formula>
    </cfRule>
    <cfRule type="containsBlanks" dxfId="4265" priority="1159">
      <formula>LEN(TRIM(AA104))=0</formula>
    </cfRule>
    <cfRule type="containsBlanks" dxfId="4264" priority="1160">
      <formula>LEN(TRIM(AA104))=0</formula>
    </cfRule>
    <cfRule type="containsBlanks" dxfId="4263" priority="1161">
      <formula>LEN(TRIM(AA104))=0</formula>
    </cfRule>
    <cfRule type="containsBlanks" dxfId="4262" priority="1162">
      <formula>LEN(TRIM(AA104))=0</formula>
    </cfRule>
    <cfRule type="containsBlanks" dxfId="4261" priority="1163">
      <formula>LEN(TRIM(AA104))=0</formula>
    </cfRule>
    <cfRule type="containsBlanks" dxfId="4260" priority="1164">
      <formula>LEN(TRIM(AA104))=0</formula>
    </cfRule>
    <cfRule type="containsBlanks" dxfId="4259" priority="1165">
      <formula>LEN(TRIM(AA104))=0</formula>
    </cfRule>
    <cfRule type="containsBlanks" dxfId="4258" priority="1166">
      <formula>LEN(TRIM(AA104))=0</formula>
    </cfRule>
    <cfRule type="containsBlanks" dxfId="4257" priority="1167">
      <formula>LEN(TRIM(AA104))=0</formula>
    </cfRule>
    <cfRule type="containsBlanks" dxfId="4256" priority="1168">
      <formula>LEN(TRIM(AA104))=0</formula>
    </cfRule>
    <cfRule type="containsBlanks" dxfId="4255" priority="1169">
      <formula>LEN(TRIM(AA104))=0</formula>
    </cfRule>
    <cfRule type="containsBlanks" dxfId="4254" priority="1170">
      <formula>LEN(TRIM(AA104))=0</formula>
    </cfRule>
    <cfRule type="containsBlanks" dxfId="4253" priority="1171">
      <formula>LEN(TRIM(AA104))=0</formula>
    </cfRule>
    <cfRule type="containsBlanks" dxfId="4252" priority="1172">
      <formula>LEN(TRIM(AA104))=0</formula>
    </cfRule>
    <cfRule type="containsBlanks" dxfId="4251" priority="1173">
      <formula>LEN(TRIM(AA104))=0</formula>
    </cfRule>
    <cfRule type="containsBlanks" dxfId="4250" priority="1174">
      <formula>LEN(TRIM(AA104))=0</formula>
    </cfRule>
    <cfRule type="containsBlanks" dxfId="4249" priority="1175">
      <formula>LEN(TRIM(AA104))=0</formula>
    </cfRule>
    <cfRule type="containsBlanks" dxfId="4248" priority="1176">
      <formula>LEN(TRIM(AA104))=0</formula>
    </cfRule>
    <cfRule type="containsBlanks" dxfId="4247" priority="1177">
      <formula>LEN(TRIM(AA104))=0</formula>
    </cfRule>
    <cfRule type="containsBlanks" dxfId="4246" priority="1178">
      <formula>LEN(TRIM(AA104))=0</formula>
    </cfRule>
    <cfRule type="containsBlanks" dxfId="4245" priority="1179">
      <formula>LEN(TRIM(AA104))=0</formula>
    </cfRule>
    <cfRule type="containsBlanks" dxfId="4244" priority="1180">
      <formula>LEN(TRIM(AA104))=0</formula>
    </cfRule>
    <cfRule type="containsBlanks" dxfId="4243" priority="1181">
      <formula>LEN(TRIM(AA104))=0</formula>
    </cfRule>
    <cfRule type="containsBlanks" dxfId="4242" priority="1182">
      <formula>LEN(TRIM(AA104))=0</formula>
    </cfRule>
    <cfRule type="containsBlanks" dxfId="4241" priority="1183">
      <formula>LEN(TRIM(AA104))=0</formula>
    </cfRule>
    <cfRule type="containsBlanks" dxfId="4240" priority="1184">
      <formula>LEN(TRIM(AA104))=0</formula>
    </cfRule>
    <cfRule type="containsBlanks" dxfId="4239" priority="1185">
      <formula>LEN(TRIM(AA104))=0</formula>
    </cfRule>
    <cfRule type="containsBlanks" dxfId="4238" priority="1186">
      <formula>LEN(TRIM(AA104))=0</formula>
    </cfRule>
    <cfRule type="containsBlanks" dxfId="4237" priority="1187">
      <formula>LEN(TRIM(AA104))=0</formula>
    </cfRule>
    <cfRule type="containsBlanks" dxfId="4236" priority="1188">
      <formula>LEN(TRIM(AA104))=0</formula>
    </cfRule>
    <cfRule type="containsBlanks" dxfId="4235" priority="1189">
      <formula>LEN(TRIM(AA104))=0</formula>
    </cfRule>
    <cfRule type="containsBlanks" dxfId="4234" priority="1190">
      <formula>LEN(TRIM(AA104))=0</formula>
    </cfRule>
    <cfRule type="containsBlanks" dxfId="4233" priority="1191">
      <formula>LEN(TRIM(AA104))=0</formula>
    </cfRule>
    <cfRule type="containsBlanks" dxfId="4232" priority="1192">
      <formula>LEN(TRIM(AA104))=0</formula>
    </cfRule>
    <cfRule type="containsBlanks" dxfId="4231" priority="1193">
      <formula>LEN(TRIM(AA104))=0</formula>
    </cfRule>
    <cfRule type="containsBlanks" dxfId="4230" priority="1194">
      <formula>LEN(TRIM(AA104))=0</formula>
    </cfRule>
    <cfRule type="containsBlanks" dxfId="4229" priority="1195">
      <formula>LEN(TRIM(AA104))=0</formula>
    </cfRule>
    <cfRule type="containsBlanks" dxfId="4228" priority="1196">
      <formula>LEN(TRIM(AA104))=0</formula>
    </cfRule>
    <cfRule type="containsBlanks" dxfId="4227" priority="1197">
      <formula>LEN(TRIM(AA104))=0</formula>
    </cfRule>
    <cfRule type="containsBlanks" dxfId="4226" priority="1198">
      <formula>LEN(TRIM(AA104))=0</formula>
    </cfRule>
    <cfRule type="containsBlanks" dxfId="4225" priority="1199">
      <formula>LEN(TRIM(AA104))=0</formula>
    </cfRule>
    <cfRule type="containsBlanks" dxfId="4224" priority="1200">
      <formula>LEN(TRIM(AA104))=0</formula>
    </cfRule>
    <cfRule type="containsBlanks" dxfId="4223" priority="1201">
      <formula>LEN(TRIM(AA104))=0</formula>
    </cfRule>
    <cfRule type="containsBlanks" dxfId="4222" priority="1202">
      <formula>LEN(TRIM(AA104))=0</formula>
    </cfRule>
    <cfRule type="containsBlanks" dxfId="4221" priority="1203">
      <formula>LEN(TRIM(AA104))=0</formula>
    </cfRule>
    <cfRule type="containsBlanks" dxfId="4220" priority="1204">
      <formula>LEN(TRIM(AA104))=0</formula>
    </cfRule>
    <cfRule type="containsBlanks" dxfId="4219" priority="1205">
      <formula>LEN(TRIM(AA104))=0</formula>
    </cfRule>
    <cfRule type="containsBlanks" dxfId="4218" priority="1206">
      <formula>LEN(TRIM(AA104))=0</formula>
    </cfRule>
    <cfRule type="containsBlanks" dxfId="4217" priority="1207">
      <formula>LEN(TRIM(AA104))=0</formula>
    </cfRule>
    <cfRule type="containsBlanks" dxfId="4216" priority="1208">
      <formula>LEN(TRIM(AA104))=0</formula>
    </cfRule>
    <cfRule type="containsBlanks" dxfId="4215" priority="1209">
      <formula>LEN(TRIM(AA104))=0</formula>
    </cfRule>
    <cfRule type="containsBlanks" dxfId="4214" priority="1210">
      <formula>LEN(TRIM(AA104))=0</formula>
    </cfRule>
    <cfRule type="containsBlanks" dxfId="4213" priority="1211">
      <formula>LEN(TRIM(AA104))=0</formula>
    </cfRule>
    <cfRule type="containsBlanks" dxfId="4212" priority="1212">
      <formula>LEN(TRIM(AA104))=0</formula>
    </cfRule>
    <cfRule type="containsBlanks" dxfId="4211" priority="1213">
      <formula>LEN(TRIM(AA104))=0</formula>
    </cfRule>
    <cfRule type="containsBlanks" dxfId="4210" priority="1214">
      <formula>LEN(TRIM(AA104))=0</formula>
    </cfRule>
    <cfRule type="containsBlanks" dxfId="4209" priority="1215">
      <formula>LEN(TRIM(AA104))=0</formula>
    </cfRule>
    <cfRule type="containsBlanks" dxfId="4208" priority="1216">
      <formula>LEN(TRIM(AA104))=0</formula>
    </cfRule>
    <cfRule type="containsBlanks" dxfId="4207" priority="1217">
      <formula>LEN(TRIM(AA104))=0</formula>
    </cfRule>
    <cfRule type="containsBlanks" dxfId="4206" priority="1218">
      <formula>LEN(TRIM(AA104))=0</formula>
    </cfRule>
    <cfRule type="containsBlanks" dxfId="4205" priority="1219">
      <formula>LEN(TRIM(AA104))=0</formula>
    </cfRule>
    <cfRule type="containsBlanks" dxfId="4204" priority="1220">
      <formula>LEN(TRIM(AA104))=0</formula>
    </cfRule>
    <cfRule type="containsBlanks" dxfId="4203" priority="1221">
      <formula>LEN(TRIM(AA104))=0</formula>
    </cfRule>
    <cfRule type="containsBlanks" dxfId="4202" priority="1222">
      <formula>LEN(TRIM(AA104))=0</formula>
    </cfRule>
    <cfRule type="containsBlanks" dxfId="4201" priority="1223">
      <formula>LEN(TRIM(AA104))=0</formula>
    </cfRule>
    <cfRule type="containsBlanks" dxfId="4200" priority="1224">
      <formula>LEN(TRIM(AA104))=0</formula>
    </cfRule>
    <cfRule type="containsBlanks" dxfId="4199" priority="1225">
      <formula>LEN(TRIM(AA104))=0</formula>
    </cfRule>
    <cfRule type="containsBlanks" dxfId="4198" priority="1226">
      <formula>LEN(TRIM(AA104))=0</formula>
    </cfRule>
    <cfRule type="containsBlanks" dxfId="4197" priority="1227">
      <formula>LEN(TRIM(AA104))=0</formula>
    </cfRule>
    <cfRule type="containsBlanks" dxfId="4196" priority="1228">
      <formula>LEN(TRIM(AA104))=0</formula>
    </cfRule>
    <cfRule type="containsBlanks" dxfId="4195" priority="1229">
      <formula>LEN(TRIM(AA104))=0</formula>
    </cfRule>
    <cfRule type="containsBlanks" dxfId="4194" priority="1230">
      <formula>LEN(TRIM(AA104))=0</formula>
    </cfRule>
    <cfRule type="containsBlanks" dxfId="4193" priority="1231">
      <formula>LEN(TRIM(AA104))=0</formula>
    </cfRule>
    <cfRule type="containsBlanks" dxfId="4192" priority="1232">
      <formula>LEN(TRIM(AA104))=0</formula>
    </cfRule>
    <cfRule type="containsBlanks" dxfId="4191" priority="1233">
      <formula>LEN(TRIM(AA104))=0</formula>
    </cfRule>
    <cfRule type="containsBlanks" dxfId="4190" priority="1234">
      <formula>LEN(TRIM(AA104))=0</formula>
    </cfRule>
    <cfRule type="containsBlanks" dxfId="4189" priority="1235">
      <formula>LEN(TRIM(AA104))=0</formula>
    </cfRule>
    <cfRule type="containsBlanks" dxfId="4188" priority="1236">
      <formula>LEN(TRIM(AA104))=0</formula>
    </cfRule>
    <cfRule type="containsBlanks" dxfId="4187" priority="1237">
      <formula>LEN(TRIM(AA104))=0</formula>
    </cfRule>
    <cfRule type="containsBlanks" dxfId="4186" priority="1238">
      <formula>LEN(TRIM(AA104))=0</formula>
    </cfRule>
    <cfRule type="containsBlanks" dxfId="4185" priority="1239">
      <formula>LEN(TRIM(AA104))=0</formula>
    </cfRule>
    <cfRule type="containsBlanks" dxfId="4184" priority="1240">
      <formula>LEN(TRIM(AA104))=0</formula>
    </cfRule>
    <cfRule type="containsBlanks" dxfId="4183" priority="1241">
      <formula>LEN(TRIM(AA104))=0</formula>
    </cfRule>
    <cfRule type="containsBlanks" dxfId="4182" priority="1242">
      <formula>LEN(TRIM(AA104))=0</formula>
    </cfRule>
    <cfRule type="containsBlanks" dxfId="4181" priority="1243">
      <formula>LEN(TRIM(AA104))=0</formula>
    </cfRule>
    <cfRule type="containsBlanks" dxfId="4180" priority="1244">
      <formula>LEN(TRIM(AA104))=0</formula>
    </cfRule>
    <cfRule type="containsBlanks" dxfId="4179" priority="1245">
      <formula>LEN(TRIM(AA104))=0</formula>
    </cfRule>
    <cfRule type="containsBlanks" dxfId="4178" priority="1246">
      <formula>LEN(TRIM(AA104))=0</formula>
    </cfRule>
    <cfRule type="containsBlanks" dxfId="4177" priority="1247">
      <formula>LEN(TRIM(AA104))=0</formula>
    </cfRule>
    <cfRule type="containsBlanks" dxfId="4176" priority="1248">
      <formula>LEN(TRIM(AA104))=0</formula>
    </cfRule>
    <cfRule type="containsBlanks" dxfId="4175" priority="1249">
      <formula>LEN(TRIM(AA104))=0</formula>
    </cfRule>
    <cfRule type="containsBlanks" dxfId="4174" priority="1250">
      <formula>LEN(TRIM(AA104))=0</formula>
    </cfRule>
    <cfRule type="containsBlanks" dxfId="4173" priority="1251">
      <formula>LEN(TRIM(AA104))=0</formula>
    </cfRule>
    <cfRule type="containsBlanks" dxfId="4172" priority="1252">
      <formula>LEN(TRIM(AA104))=0</formula>
    </cfRule>
    <cfRule type="containsBlanks" dxfId="4171" priority="1253">
      <formula>LEN(TRIM(AA104))=0</formula>
    </cfRule>
    <cfRule type="containsBlanks" dxfId="4170" priority="1254">
      <formula>LEN(TRIM(AA104))=0</formula>
    </cfRule>
    <cfRule type="containsBlanks" dxfId="4169" priority="1255">
      <formula>LEN(TRIM(AA104))=0</formula>
    </cfRule>
    <cfRule type="containsBlanks" dxfId="4168" priority="1256">
      <formula>LEN(TRIM(AA104))=0</formula>
    </cfRule>
    <cfRule type="containsBlanks" dxfId="4167" priority="1257">
      <formula>LEN(TRIM(AA104))=0</formula>
    </cfRule>
    <cfRule type="containsBlanks" dxfId="4166" priority="1258">
      <formula>LEN(TRIM(AA104))=0</formula>
    </cfRule>
    <cfRule type="containsBlanks" dxfId="4165" priority="1259">
      <formula>LEN(TRIM(AA104))=0</formula>
    </cfRule>
    <cfRule type="containsBlanks" dxfId="4164" priority="1260">
      <formula>LEN(TRIM(AA104))=0</formula>
    </cfRule>
    <cfRule type="containsBlanks" dxfId="4163" priority="1261">
      <formula>LEN(TRIM(AA104))=0</formula>
    </cfRule>
    <cfRule type="containsBlanks" dxfId="4162" priority="1262">
      <formula>LEN(TRIM(AA104))=0</formula>
    </cfRule>
    <cfRule type="containsBlanks" dxfId="4161" priority="1263">
      <formula>LEN(TRIM(AA104))=0</formula>
    </cfRule>
    <cfRule type="containsBlanks" dxfId="4160" priority="1264">
      <formula>LEN(TRIM(AA104))=0</formula>
    </cfRule>
    <cfRule type="containsBlanks" dxfId="4159" priority="1265">
      <formula>LEN(TRIM(AA104))=0</formula>
    </cfRule>
    <cfRule type="containsBlanks" dxfId="4158" priority="1266">
      <formula>LEN(TRIM(AA104))=0</formula>
    </cfRule>
    <cfRule type="containsBlanks" dxfId="4157" priority="1267">
      <formula>LEN(TRIM(AA104))=0</formula>
    </cfRule>
    <cfRule type="containsBlanks" dxfId="4156" priority="1268">
      <formula>LEN(TRIM(AA104))=0</formula>
    </cfRule>
    <cfRule type="containsBlanks" dxfId="4155" priority="1269">
      <formula>LEN(TRIM(AA104))=0</formula>
    </cfRule>
    <cfRule type="containsBlanks" dxfId="4154" priority="1270">
      <formula>LEN(TRIM(AA104))=0</formula>
    </cfRule>
    <cfRule type="containsBlanks" dxfId="4153" priority="1271">
      <formula>LEN(TRIM(AA104))=0</formula>
    </cfRule>
    <cfRule type="containsBlanks" dxfId="4152" priority="1272">
      <formula>LEN(TRIM(AA104))=0</formula>
    </cfRule>
    <cfRule type="containsBlanks" dxfId="4151" priority="1273">
      <formula>LEN(TRIM(AA104))=0</formula>
    </cfRule>
    <cfRule type="containsBlanks" dxfId="4150" priority="1274">
      <formula>LEN(TRIM(AA104))=0</formula>
    </cfRule>
    <cfRule type="containsBlanks" dxfId="4149" priority="1275">
      <formula>LEN(TRIM(AA104))=0</formula>
    </cfRule>
    <cfRule type="containsBlanks" dxfId="4148" priority="1276">
      <formula>LEN(TRIM(AA104))=0</formula>
    </cfRule>
    <cfRule type="containsBlanks" dxfId="4147" priority="1277">
      <formula>LEN(TRIM(AA104))=0</formula>
    </cfRule>
    <cfRule type="containsBlanks" dxfId="4146" priority="1278">
      <formula>LEN(TRIM(AA104))=0</formula>
    </cfRule>
    <cfRule type="containsBlanks" dxfId="4145" priority="1279">
      <formula>LEN(TRIM(AA104))=0</formula>
    </cfRule>
    <cfRule type="containsBlanks" dxfId="4144" priority="1280">
      <formula>LEN(TRIM(AA104))=0</formula>
    </cfRule>
    <cfRule type="containsBlanks" dxfId="4143" priority="1281">
      <formula>LEN(TRIM(AA104))=0</formula>
    </cfRule>
    <cfRule type="containsBlanks" dxfId="4142" priority="1282">
      <formula>LEN(TRIM(AA104))=0</formula>
    </cfRule>
    <cfRule type="containsBlanks" dxfId="4141" priority="1283">
      <formula>LEN(TRIM(AA104))=0</formula>
    </cfRule>
    <cfRule type="containsBlanks" dxfId="4140" priority="1284">
      <formula>LEN(TRIM(AA104))=0</formula>
    </cfRule>
    <cfRule type="containsBlanks" dxfId="4139" priority="1285">
      <formula>LEN(TRIM(AA104))=0</formula>
    </cfRule>
    <cfRule type="containsBlanks" dxfId="4138" priority="1286">
      <formula>LEN(TRIM(AA104))=0</formula>
    </cfRule>
    <cfRule type="containsBlanks" dxfId="4137" priority="1287">
      <formula>LEN(TRIM(AA104))=0</formula>
    </cfRule>
    <cfRule type="containsBlanks" dxfId="4136" priority="1288">
      <formula>LEN(TRIM(AA104))=0</formula>
    </cfRule>
    <cfRule type="containsBlanks" dxfId="4135" priority="1289">
      <formula>LEN(TRIM(AA104))=0</formula>
    </cfRule>
    <cfRule type="containsBlanks" dxfId="4134" priority="1290">
      <formula>LEN(TRIM(AA104))=0</formula>
    </cfRule>
    <cfRule type="containsBlanks" dxfId="4133" priority="1291">
      <formula>LEN(TRIM(AA104))=0</formula>
    </cfRule>
    <cfRule type="containsBlanks" dxfId="4132" priority="1292">
      <formula>LEN(TRIM(AA104))=0</formula>
    </cfRule>
    <cfRule type="containsBlanks" dxfId="4131" priority="1293">
      <formula>LEN(TRIM(AA104))=0</formula>
    </cfRule>
    <cfRule type="containsBlanks" dxfId="4130" priority="1294">
      <formula>LEN(TRIM(AA104))=0</formula>
    </cfRule>
    <cfRule type="containsBlanks" dxfId="4129" priority="1295">
      <formula>LEN(TRIM(AA104))=0</formula>
    </cfRule>
    <cfRule type="containsBlanks" dxfId="4128" priority="1296">
      <formula>LEN(TRIM(AA104))=0</formula>
    </cfRule>
    <cfRule type="containsBlanks" dxfId="4127" priority="1297">
      <formula>LEN(TRIM(AA104))=0</formula>
    </cfRule>
    <cfRule type="containsBlanks" dxfId="4126" priority="1298">
      <formula>LEN(TRIM(AA104))=0</formula>
    </cfRule>
    <cfRule type="containsBlanks" dxfId="4125" priority="1299">
      <formula>LEN(TRIM(AA104))=0</formula>
    </cfRule>
    <cfRule type="containsBlanks" dxfId="4124" priority="1300">
      <formula>LEN(TRIM(AA104))=0</formula>
    </cfRule>
    <cfRule type="containsBlanks" dxfId="4123" priority="1301">
      <formula>LEN(TRIM(AA104))=0</formula>
    </cfRule>
    <cfRule type="containsBlanks" dxfId="4122" priority="1302">
      <formula>LEN(TRIM(AA104))=0</formula>
    </cfRule>
    <cfRule type="containsBlanks" dxfId="4121" priority="1303">
      <formula>LEN(TRIM(AA104))=0</formula>
    </cfRule>
    <cfRule type="containsBlanks" dxfId="4120" priority="1304">
      <formula>LEN(TRIM(AA104))=0</formula>
    </cfRule>
    <cfRule type="containsBlanks" dxfId="4119" priority="1305">
      <formula>LEN(TRIM(AA104))=0</formula>
    </cfRule>
    <cfRule type="containsBlanks" dxfId="4118" priority="1306">
      <formula>LEN(TRIM(AA104))=0</formula>
    </cfRule>
    <cfRule type="containsBlanks" dxfId="4117" priority="1307">
      <formula>LEN(TRIM(AA104))=0</formula>
    </cfRule>
    <cfRule type="containsBlanks" dxfId="4116" priority="1308">
      <formula>LEN(TRIM(AA104))=0</formula>
    </cfRule>
    <cfRule type="containsBlanks" dxfId="4115" priority="1309">
      <formula>LEN(TRIM(AA104))=0</formula>
    </cfRule>
    <cfRule type="containsBlanks" dxfId="4114" priority="1310">
      <formula>LEN(TRIM(AA104))=0</formula>
    </cfRule>
    <cfRule type="containsBlanks" dxfId="4113" priority="1311">
      <formula>LEN(TRIM(AA104))=0</formula>
    </cfRule>
    <cfRule type="containsBlanks" dxfId="4112" priority="1312">
      <formula>LEN(TRIM(AA104))=0</formula>
    </cfRule>
    <cfRule type="containsBlanks" dxfId="4111" priority="1313">
      <formula>LEN(TRIM(AA104))=0</formula>
    </cfRule>
    <cfRule type="containsBlanks" dxfId="4110" priority="1314">
      <formula>LEN(TRIM(AA104))=0</formula>
    </cfRule>
    <cfRule type="containsBlanks" dxfId="4109" priority="1315">
      <formula>LEN(TRIM(AA104))=0</formula>
    </cfRule>
    <cfRule type="containsBlanks" dxfId="4108" priority="1316">
      <formula>LEN(TRIM(AA104))=0</formula>
    </cfRule>
    <cfRule type="containsBlanks" dxfId="4107" priority="1317">
      <formula>LEN(TRIM(AA104))=0</formula>
    </cfRule>
    <cfRule type="containsBlanks" dxfId="4106" priority="1318">
      <formula>LEN(TRIM(AA104))=0</formula>
    </cfRule>
    <cfRule type="containsBlanks" dxfId="4105" priority="1319">
      <formula>LEN(TRIM(AA104))=0</formula>
    </cfRule>
    <cfRule type="containsBlanks" dxfId="4104" priority="1320">
      <formula>LEN(TRIM(AA104))=0</formula>
    </cfRule>
    <cfRule type="containsBlanks" dxfId="4103" priority="1321">
      <formula>LEN(TRIM(AA104))=0</formula>
    </cfRule>
    <cfRule type="containsBlanks" dxfId="4102" priority="1322">
      <formula>LEN(TRIM(AA104))=0</formula>
    </cfRule>
    <cfRule type="containsBlanks" dxfId="4101" priority="1323">
      <formula>LEN(TRIM(AA104))=0</formula>
    </cfRule>
    <cfRule type="containsBlanks" dxfId="4100" priority="1324">
      <formula>LEN(TRIM(AA104))=0</formula>
    </cfRule>
    <cfRule type="containsBlanks" dxfId="4099" priority="1325">
      <formula>LEN(TRIM(AA104))=0</formula>
    </cfRule>
    <cfRule type="containsBlanks" dxfId="4098" priority="1326">
      <formula>LEN(TRIM(AA104))=0</formula>
    </cfRule>
    <cfRule type="containsBlanks" dxfId="4097" priority="1327">
      <formula>LEN(TRIM(AA104))=0</formula>
    </cfRule>
    <cfRule type="containsBlanks" dxfId="4096" priority="1328">
      <formula>LEN(TRIM(AA104))=0</formula>
    </cfRule>
    <cfRule type="containsBlanks" dxfId="4095" priority="1329">
      <formula>LEN(TRIM(AA104))=0</formula>
    </cfRule>
    <cfRule type="containsBlanks" dxfId="4094" priority="1330">
      <formula>LEN(TRIM(AA104))=0</formula>
    </cfRule>
    <cfRule type="containsBlanks" dxfId="4093" priority="1331">
      <formula>LEN(TRIM(AA104))=0</formula>
    </cfRule>
    <cfRule type="containsBlanks" dxfId="4092" priority="1332">
      <formula>LEN(TRIM(AA104))=0</formula>
    </cfRule>
    <cfRule type="containsBlanks" dxfId="4091" priority="1333">
      <formula>LEN(TRIM(AA104))=0</formula>
    </cfRule>
    <cfRule type="containsBlanks" dxfId="4090" priority="1334">
      <formula>LEN(TRIM(AA104))=0</formula>
    </cfRule>
    <cfRule type="containsBlanks" dxfId="4089" priority="1335">
      <formula>LEN(TRIM(AA104))=0</formula>
    </cfRule>
    <cfRule type="containsBlanks" dxfId="4088" priority="1336">
      <formula>LEN(TRIM(AA104))=0</formula>
    </cfRule>
    <cfRule type="containsBlanks" dxfId="4087" priority="1337">
      <formula>LEN(TRIM(AA104))=0</formula>
    </cfRule>
    <cfRule type="containsBlanks" dxfId="4086" priority="1338">
      <formula>LEN(TRIM(AA104))=0</formula>
    </cfRule>
    <cfRule type="containsBlanks" dxfId="4085" priority="1339">
      <formula>LEN(TRIM(AA104))=0</formula>
    </cfRule>
    <cfRule type="containsBlanks" dxfId="4084" priority="1340">
      <formula>LEN(TRIM(AA104))=0</formula>
    </cfRule>
    <cfRule type="containsBlanks" dxfId="4083" priority="1341">
      <formula>LEN(TRIM(AA104))=0</formula>
    </cfRule>
    <cfRule type="containsBlanks" dxfId="4082" priority="1342">
      <formula>LEN(TRIM(AA104))=0</formula>
    </cfRule>
    <cfRule type="containsBlanks" dxfId="4081" priority="1343">
      <formula>LEN(TRIM(AA104))=0</formula>
    </cfRule>
    <cfRule type="containsBlanks" dxfId="4080" priority="1344">
      <formula>LEN(TRIM(AA104))=0</formula>
    </cfRule>
    <cfRule type="containsBlanks" dxfId="4079" priority="1345">
      <formula>LEN(TRIM(AA104))=0</formula>
    </cfRule>
    <cfRule type="containsBlanks" dxfId="4078" priority="1346">
      <formula>LEN(TRIM(AA104))=0</formula>
    </cfRule>
    <cfRule type="containsBlanks" dxfId="4077" priority="1347">
      <formula>LEN(TRIM(AA104))=0</formula>
    </cfRule>
    <cfRule type="containsBlanks" dxfId="4076" priority="1348">
      <formula>LEN(TRIM(AA104))=0</formula>
    </cfRule>
    <cfRule type="containsBlanks" dxfId="4075" priority="1349">
      <formula>LEN(TRIM(AA104))=0</formula>
    </cfRule>
    <cfRule type="containsBlanks" dxfId="4074" priority="1350">
      <formula>LEN(TRIM(AA104))=0</formula>
    </cfRule>
    <cfRule type="containsBlanks" dxfId="4073" priority="1351">
      <formula>LEN(TRIM(AA104))=0</formula>
    </cfRule>
    <cfRule type="containsBlanks" dxfId="4072" priority="1352">
      <formula>LEN(TRIM(AA104))=0</formula>
    </cfRule>
    <cfRule type="containsBlanks" dxfId="4071" priority="1353">
      <formula>LEN(TRIM(AA104))=0</formula>
    </cfRule>
    <cfRule type="containsBlanks" dxfId="4070" priority="1354">
      <formula>LEN(TRIM(AA104))=0</formula>
    </cfRule>
    <cfRule type="containsBlanks" dxfId="4069" priority="1355">
      <formula>LEN(TRIM(AA104))=0</formula>
    </cfRule>
    <cfRule type="containsBlanks" dxfId="4068" priority="1356">
      <formula>LEN(TRIM(AA104))=0</formula>
    </cfRule>
    <cfRule type="containsBlanks" dxfId="4067" priority="1357">
      <formula>LEN(TRIM(AA104))=0</formula>
    </cfRule>
    <cfRule type="containsBlanks" dxfId="4066" priority="1358">
      <formula>LEN(TRIM(AA104))=0</formula>
    </cfRule>
    <cfRule type="containsBlanks" dxfId="4065" priority="1359">
      <formula>LEN(TRIM(AA104))=0</formula>
    </cfRule>
    <cfRule type="containsBlanks" dxfId="4064" priority="1360">
      <formula>LEN(TRIM(AA104))=0</formula>
    </cfRule>
    <cfRule type="containsBlanks" dxfId="4063" priority="1361">
      <formula>LEN(TRIM(AA104))=0</formula>
    </cfRule>
    <cfRule type="containsBlanks" dxfId="4062" priority="1362">
      <formula>LEN(TRIM(AA104))=0</formula>
    </cfRule>
    <cfRule type="containsBlanks" dxfId="4061" priority="1363">
      <formula>LEN(TRIM(AA104))=0</formula>
    </cfRule>
    <cfRule type="containsBlanks" dxfId="4060" priority="1364">
      <formula>LEN(TRIM(AA104))=0</formula>
    </cfRule>
    <cfRule type="containsBlanks" dxfId="4059" priority="1365">
      <formula>LEN(TRIM(AA104))=0</formula>
    </cfRule>
    <cfRule type="containsBlanks" dxfId="4058" priority="1366">
      <formula>LEN(TRIM(AA104))=0</formula>
    </cfRule>
    <cfRule type="containsBlanks" dxfId="4057" priority="1367">
      <formula>LEN(TRIM(AA104))=0</formula>
    </cfRule>
    <cfRule type="containsBlanks" dxfId="4056" priority="1368">
      <formula>LEN(TRIM(AA104))=0</formula>
    </cfRule>
    <cfRule type="containsBlanks" dxfId="4055" priority="1369">
      <formula>LEN(TRIM(AA104))=0</formula>
    </cfRule>
    <cfRule type="containsBlanks" dxfId="4054" priority="1370">
      <formula>LEN(TRIM(AA104))=0</formula>
    </cfRule>
    <cfRule type="containsBlanks" dxfId="4053" priority="1371">
      <formula>LEN(TRIM(AA104))=0</formula>
    </cfRule>
    <cfRule type="containsBlanks" dxfId="4052" priority="1372">
      <formula>LEN(TRIM(AA104))=0</formula>
    </cfRule>
    <cfRule type="containsBlanks" dxfId="4051" priority="1373">
      <formula>LEN(TRIM(AA104))=0</formula>
    </cfRule>
    <cfRule type="containsBlanks" dxfId="4050" priority="1374">
      <formula>LEN(TRIM(AA104))=0</formula>
    </cfRule>
    <cfRule type="containsBlanks" dxfId="4049" priority="1375">
      <formula>LEN(TRIM(AA104))=0</formula>
    </cfRule>
    <cfRule type="containsBlanks" dxfId="4048" priority="1376">
      <formula>LEN(TRIM(AA104))=0</formula>
    </cfRule>
    <cfRule type="containsBlanks" dxfId="4047" priority="1377">
      <formula>LEN(TRIM(AA104))=0</formula>
    </cfRule>
    <cfRule type="containsBlanks" dxfId="4046" priority="1378">
      <formula>LEN(TRIM(AA104))=0</formula>
    </cfRule>
    <cfRule type="containsBlanks" dxfId="4045" priority="1379">
      <formula>LEN(TRIM(AA104))=0</formula>
    </cfRule>
    <cfRule type="containsBlanks" dxfId="4044" priority="1380">
      <formula>LEN(TRIM(AA104))=0</formula>
    </cfRule>
    <cfRule type="containsBlanks" dxfId="4043" priority="1381">
      <formula>LEN(TRIM(AA104))=0</formula>
    </cfRule>
    <cfRule type="containsBlanks" dxfId="4042" priority="1382">
      <formula>LEN(TRIM(AA104))=0</formula>
    </cfRule>
    <cfRule type="containsBlanks" dxfId="4041" priority="1383">
      <formula>LEN(TRIM(AA104))=0</formula>
    </cfRule>
    <cfRule type="containsBlanks" dxfId="4040" priority="1384">
      <formula>LEN(TRIM(AA104))=0</formula>
    </cfRule>
    <cfRule type="containsBlanks" dxfId="4039" priority="1385">
      <formula>LEN(TRIM(AA104))=0</formula>
    </cfRule>
    <cfRule type="containsBlanks" dxfId="4038" priority="1386">
      <formula>LEN(TRIM(AA104))=0</formula>
    </cfRule>
    <cfRule type="containsBlanks" dxfId="4037" priority="1387">
      <formula>LEN(TRIM(AA104))=0</formula>
    </cfRule>
    <cfRule type="containsBlanks" dxfId="4036" priority="1388">
      <formula>LEN(TRIM(AA104))=0</formula>
    </cfRule>
    <cfRule type="containsBlanks" dxfId="4035" priority="1389">
      <formula>LEN(TRIM(AA104))=0</formula>
    </cfRule>
    <cfRule type="containsBlanks" dxfId="4034" priority="1390">
      <formula>LEN(TRIM(AA104))=0</formula>
    </cfRule>
    <cfRule type="containsBlanks" dxfId="4033" priority="1391">
      <formula>LEN(TRIM(AA104))=0</formula>
    </cfRule>
    <cfRule type="containsBlanks" dxfId="4032" priority="1392">
      <formula>LEN(TRIM(AA104))=0</formula>
    </cfRule>
    <cfRule type="containsBlanks" dxfId="4031" priority="1393">
      <formula>LEN(TRIM(AA104))=0</formula>
    </cfRule>
    <cfRule type="containsBlanks" dxfId="4030" priority="1394">
      <formula>LEN(TRIM(AA104))=0</formula>
    </cfRule>
    <cfRule type="containsBlanks" dxfId="4029" priority="1395">
      <formula>LEN(TRIM(AA104))=0</formula>
    </cfRule>
    <cfRule type="containsBlanks" dxfId="4028" priority="1396">
      <formula>LEN(TRIM(AA104))=0</formula>
    </cfRule>
    <cfRule type="containsBlanks" dxfId="4027" priority="1397">
      <formula>LEN(TRIM(AA104))=0</formula>
    </cfRule>
    <cfRule type="containsBlanks" dxfId="4026" priority="1398">
      <formula>LEN(TRIM(AA104))=0</formula>
    </cfRule>
    <cfRule type="containsBlanks" dxfId="4025" priority="1399">
      <formula>LEN(TRIM(AA104))=0</formula>
    </cfRule>
    <cfRule type="containsBlanks" dxfId="4024" priority="1400">
      <formula>LEN(TRIM(AA104))=0</formula>
    </cfRule>
    <cfRule type="containsBlanks" dxfId="4023" priority="1401">
      <formula>LEN(TRIM(AA104))=0</formula>
    </cfRule>
    <cfRule type="containsBlanks" dxfId="4022" priority="1402">
      <formula>LEN(TRIM(AA104))=0</formula>
    </cfRule>
    <cfRule type="containsBlanks" dxfId="4021" priority="1403">
      <formula>LEN(TRIM(AA104))=0</formula>
    </cfRule>
    <cfRule type="containsBlanks" dxfId="4020" priority="1404">
      <formula>LEN(TRIM(AA104))=0</formula>
    </cfRule>
    <cfRule type="containsBlanks" dxfId="4019" priority="1405">
      <formula>LEN(TRIM(AA104))=0</formula>
    </cfRule>
    <cfRule type="containsBlanks" dxfId="4018" priority="1406">
      <formula>LEN(TRIM(AA104))=0</formula>
    </cfRule>
    <cfRule type="containsBlanks" dxfId="4017" priority="1407">
      <formula>LEN(TRIM(AA104))=0</formula>
    </cfRule>
    <cfRule type="containsBlanks" dxfId="4016" priority="1408">
      <formula>LEN(TRIM(AA104))=0</formula>
    </cfRule>
    <cfRule type="containsBlanks" dxfId="4015" priority="1409">
      <formula>LEN(TRIM(AA104))=0</formula>
    </cfRule>
    <cfRule type="containsBlanks" dxfId="4014" priority="1410">
      <formula>LEN(TRIM(AA104))=0</formula>
    </cfRule>
    <cfRule type="containsBlanks" dxfId="4013" priority="1411">
      <formula>LEN(TRIM(AA104))=0</formula>
    </cfRule>
    <cfRule type="containsBlanks" dxfId="4012" priority="1412">
      <formula>LEN(TRIM(AA104))=0</formula>
    </cfRule>
    <cfRule type="containsBlanks" dxfId="4011" priority="1413">
      <formula>LEN(TRIM(AA104))=0</formula>
    </cfRule>
    <cfRule type="containsBlanks" dxfId="4010" priority="1414">
      <formula>LEN(TRIM(AA104))=0</formula>
    </cfRule>
    <cfRule type="containsBlanks" dxfId="4009" priority="1415">
      <formula>LEN(TRIM(AA104))=0</formula>
    </cfRule>
    <cfRule type="containsBlanks" dxfId="4008" priority="1416">
      <formula>LEN(TRIM(AA104))=0</formula>
    </cfRule>
    <cfRule type="containsBlanks" dxfId="4007" priority="1417">
      <formula>LEN(TRIM(AA104))=0</formula>
    </cfRule>
    <cfRule type="containsBlanks" dxfId="4006" priority="1418">
      <formula>LEN(TRIM(AA104))=0</formula>
    </cfRule>
    <cfRule type="containsBlanks" dxfId="4005" priority="1419">
      <formula>LEN(TRIM(AA104))=0</formula>
    </cfRule>
    <cfRule type="containsBlanks" dxfId="4004" priority="1420">
      <formula>LEN(TRIM(AA104))=0</formula>
    </cfRule>
    <cfRule type="containsBlanks" dxfId="4003" priority="1421">
      <formula>LEN(TRIM(AA104))=0</formula>
    </cfRule>
    <cfRule type="containsBlanks" dxfId="4002" priority="1422">
      <formula>LEN(TRIM(AA104))=0</formula>
    </cfRule>
    <cfRule type="containsBlanks" dxfId="4001" priority="1423">
      <formula>LEN(TRIM(AA104))=0</formula>
    </cfRule>
    <cfRule type="containsBlanks" dxfId="4000" priority="1424">
      <formula>LEN(TRIM(AA104))=0</formula>
    </cfRule>
    <cfRule type="containsBlanks" dxfId="3999" priority="1425">
      <formula>LEN(TRIM(AA104))=0</formula>
    </cfRule>
    <cfRule type="containsBlanks" dxfId="3998" priority="1426">
      <formula>LEN(TRIM(AA104))=0</formula>
    </cfRule>
    <cfRule type="containsBlanks" dxfId="3997" priority="1427">
      <formula>LEN(TRIM(AA104))=0</formula>
    </cfRule>
    <cfRule type="containsBlanks" dxfId="3996" priority="1428">
      <formula>LEN(TRIM(AA104))=0</formula>
    </cfRule>
    <cfRule type="containsBlanks" dxfId="3995" priority="1429">
      <formula>LEN(TRIM(AA104))=0</formula>
    </cfRule>
    <cfRule type="containsBlanks" dxfId="3994" priority="1430">
      <formula>LEN(TRIM(AA104))=0</formula>
    </cfRule>
    <cfRule type="containsBlanks" dxfId="3993" priority="1431">
      <formula>LEN(TRIM(AA104))=0</formula>
    </cfRule>
    <cfRule type="containsBlanks" dxfId="3992" priority="1432">
      <formula>LEN(TRIM(AA104))=0</formula>
    </cfRule>
    <cfRule type="containsBlanks" dxfId="3991" priority="1433">
      <formula>LEN(TRIM(AA104))=0</formula>
    </cfRule>
    <cfRule type="containsBlanks" dxfId="3990" priority="1434">
      <formula>LEN(TRIM(AA104))=0</formula>
    </cfRule>
    <cfRule type="containsBlanks" dxfId="3989" priority="1435">
      <formula>LEN(TRIM(AA104))=0</formula>
    </cfRule>
    <cfRule type="containsBlanks" dxfId="3988" priority="1436">
      <formula>LEN(TRIM(AA104))=0</formula>
    </cfRule>
    <cfRule type="containsBlanks" dxfId="3987" priority="1437">
      <formula>LEN(TRIM(AA104))=0</formula>
    </cfRule>
    <cfRule type="containsBlanks" dxfId="3986" priority="1438">
      <formula>LEN(TRIM(AA104))=0</formula>
    </cfRule>
    <cfRule type="containsBlanks" dxfId="3985" priority="1439">
      <formula>LEN(TRIM(AA104))=0</formula>
    </cfRule>
    <cfRule type="containsBlanks" dxfId="3984" priority="1440">
      <formula>LEN(TRIM(AA104))=0</formula>
    </cfRule>
    <cfRule type="containsBlanks" dxfId="3983" priority="1441">
      <formula>LEN(TRIM(AA104))=0</formula>
    </cfRule>
    <cfRule type="containsBlanks" dxfId="3982" priority="1442">
      <formula>LEN(TRIM(AA104))=0</formula>
    </cfRule>
    <cfRule type="containsBlanks" dxfId="3981" priority="1443">
      <formula>LEN(TRIM(AA104))=0</formula>
    </cfRule>
    <cfRule type="containsBlanks" dxfId="3980" priority="1444">
      <formula>LEN(TRIM(AA104))=0</formula>
    </cfRule>
    <cfRule type="containsBlanks" dxfId="3979" priority="1445">
      <formula>LEN(TRIM(AA104))=0</formula>
    </cfRule>
    <cfRule type="containsBlanks" dxfId="3978" priority="1446">
      <formula>LEN(TRIM(AA104))=0</formula>
    </cfRule>
    <cfRule type="containsBlanks" dxfId="3977" priority="1447">
      <formula>LEN(TRIM(AA104))=0</formula>
    </cfRule>
    <cfRule type="containsBlanks" dxfId="3976" priority="1448">
      <formula>LEN(TRIM(AA104))=0</formula>
    </cfRule>
    <cfRule type="containsBlanks" dxfId="3975" priority="1449">
      <formula>LEN(TRIM(AA104))=0</formula>
    </cfRule>
    <cfRule type="containsBlanks" dxfId="3974" priority="1450">
      <formula>LEN(TRIM(AA104))=0</formula>
    </cfRule>
    <cfRule type="containsBlanks" dxfId="3973" priority="1451">
      <formula>LEN(TRIM(AA104))=0</formula>
    </cfRule>
    <cfRule type="containsBlanks" dxfId="3972" priority="1452">
      <formula>LEN(TRIM(AA104))=0</formula>
    </cfRule>
    <cfRule type="containsBlanks" dxfId="3971" priority="1453">
      <formula>LEN(TRIM(AA104))=0</formula>
    </cfRule>
    <cfRule type="containsBlanks" dxfId="3970" priority="1454">
      <formula>LEN(TRIM(AA104))=0</formula>
    </cfRule>
    <cfRule type="containsBlanks" dxfId="3969" priority="1455">
      <formula>LEN(TRIM(AA104))=0</formula>
    </cfRule>
    <cfRule type="containsBlanks" dxfId="3968" priority="1456">
      <formula>LEN(TRIM(AA104))=0</formula>
    </cfRule>
    <cfRule type="containsBlanks" dxfId="3967" priority="1457">
      <formula>LEN(TRIM(AA104))=0</formula>
    </cfRule>
    <cfRule type="containsBlanks" dxfId="3966" priority="1458">
      <formula>LEN(TRIM(AA104))=0</formula>
    </cfRule>
    <cfRule type="containsBlanks" dxfId="3965" priority="1459">
      <formula>LEN(TRIM(AA104))=0</formula>
    </cfRule>
    <cfRule type="containsBlanks" dxfId="3964" priority="1460">
      <formula>LEN(TRIM(AA104))=0</formula>
    </cfRule>
    <cfRule type="containsBlanks" dxfId="3963" priority="1461">
      <formula>LEN(TRIM(AA104))=0</formula>
    </cfRule>
    <cfRule type="containsBlanks" dxfId="3962" priority="1462">
      <formula>LEN(TRIM(AA104))=0</formula>
    </cfRule>
    <cfRule type="containsBlanks" dxfId="3961" priority="1463">
      <formula>LEN(TRIM(AA104))=0</formula>
    </cfRule>
    <cfRule type="containsBlanks" dxfId="3960" priority="1464">
      <formula>LEN(TRIM(AA104))=0</formula>
    </cfRule>
    <cfRule type="containsBlanks" dxfId="3959" priority="1465">
      <formula>LEN(TRIM(AA104))=0</formula>
    </cfRule>
    <cfRule type="containsBlanks" dxfId="3958" priority="1466">
      <formula>LEN(TRIM(AA104))=0</formula>
    </cfRule>
    <cfRule type="containsBlanks" dxfId="3957" priority="1467">
      <formula>LEN(TRIM(AA104))=0</formula>
    </cfRule>
    <cfRule type="containsBlanks" dxfId="3956" priority="1468">
      <formula>LEN(TRIM(AA104))=0</formula>
    </cfRule>
    <cfRule type="containsBlanks" dxfId="3955" priority="1469">
      <formula>LEN(TRIM(AA104))=0</formula>
    </cfRule>
    <cfRule type="containsBlanks" dxfId="3954" priority="1470">
      <formula>LEN(TRIM(AA104))=0</formula>
    </cfRule>
    <cfRule type="containsBlanks" dxfId="3953" priority="1471">
      <formula>LEN(TRIM(AA104))=0</formula>
    </cfRule>
    <cfRule type="containsBlanks" dxfId="3952" priority="1472">
      <formula>LEN(TRIM(AA104))=0</formula>
    </cfRule>
    <cfRule type="containsBlanks" dxfId="3951" priority="1473">
      <formula>LEN(TRIM(AA104))=0</formula>
    </cfRule>
    <cfRule type="containsBlanks" dxfId="3950" priority="1474">
      <formula>LEN(TRIM(AA104))=0</formula>
    </cfRule>
    <cfRule type="containsBlanks" dxfId="3949" priority="1475">
      <formula>LEN(TRIM(AA104))=0</formula>
    </cfRule>
    <cfRule type="containsBlanks" dxfId="3948" priority="1476">
      <formula>LEN(TRIM(AA104))=0</formula>
    </cfRule>
    <cfRule type="containsBlanks" dxfId="3947" priority="1477">
      <formula>LEN(TRIM(AA104))=0</formula>
    </cfRule>
    <cfRule type="containsBlanks" dxfId="3946" priority="1478">
      <formula>LEN(TRIM(AA104))=0</formula>
    </cfRule>
    <cfRule type="containsBlanks" dxfId="3945" priority="1479">
      <formula>LEN(TRIM(AA104))=0</formula>
    </cfRule>
    <cfRule type="containsBlanks" dxfId="3944" priority="1480">
      <formula>LEN(TRIM(AA104))=0</formula>
    </cfRule>
    <cfRule type="containsBlanks" dxfId="3943" priority="1481">
      <formula>LEN(TRIM(AA104))=0</formula>
    </cfRule>
    <cfRule type="containsBlanks" dxfId="3942" priority="1482">
      <formula>LEN(TRIM(AA104))=0</formula>
    </cfRule>
    <cfRule type="containsBlanks" dxfId="3941" priority="1483">
      <formula>LEN(TRIM(AA104))=0</formula>
    </cfRule>
    <cfRule type="containsBlanks" dxfId="3940" priority="1484">
      <formula>LEN(TRIM(AA104))=0</formula>
    </cfRule>
    <cfRule type="containsBlanks" dxfId="3939" priority="1485">
      <formula>LEN(TRIM(AA104))=0</formula>
    </cfRule>
    <cfRule type="containsBlanks" dxfId="3938" priority="1486">
      <formula>LEN(TRIM(AA104))=0</formula>
    </cfRule>
    <cfRule type="containsBlanks" dxfId="3937" priority="1487">
      <formula>LEN(TRIM(AA104))=0</formula>
    </cfRule>
    <cfRule type="containsBlanks" dxfId="3936" priority="1488">
      <formula>LEN(TRIM(AA104))=0</formula>
    </cfRule>
    <cfRule type="containsBlanks" dxfId="3935" priority="1489">
      <formula>LEN(TRIM(AA104))=0</formula>
    </cfRule>
    <cfRule type="containsBlanks" dxfId="3934" priority="1490">
      <formula>LEN(TRIM(AA104))=0</formula>
    </cfRule>
    <cfRule type="containsBlanks" dxfId="3933" priority="1491">
      <formula>LEN(TRIM(AA104))=0</formula>
    </cfRule>
    <cfRule type="containsBlanks" dxfId="3932" priority="1492">
      <formula>LEN(TRIM(AA104))=0</formula>
    </cfRule>
    <cfRule type="containsBlanks" dxfId="3931" priority="1493">
      <formula>LEN(TRIM(AA104))=0</formula>
    </cfRule>
    <cfRule type="containsBlanks" dxfId="3930" priority="1494">
      <formula>LEN(TRIM(AA104))=0</formula>
    </cfRule>
    <cfRule type="containsBlanks" dxfId="3929" priority="1495">
      <formula>LEN(TRIM(AA104))=0</formula>
    </cfRule>
    <cfRule type="containsBlanks" dxfId="3928" priority="1496">
      <formula>LEN(TRIM(AA104))=0</formula>
    </cfRule>
    <cfRule type="containsBlanks" dxfId="3927" priority="1497">
      <formula>LEN(TRIM(AA104))=0</formula>
    </cfRule>
    <cfRule type="containsBlanks" dxfId="3926" priority="1498">
      <formula>LEN(TRIM(AA104))=0</formula>
    </cfRule>
    <cfRule type="containsBlanks" dxfId="3925" priority="1499">
      <formula>LEN(TRIM(AA104))=0</formula>
    </cfRule>
    <cfRule type="containsBlanks" dxfId="3924" priority="1500">
      <formula>LEN(TRIM(AA104))=0</formula>
    </cfRule>
    <cfRule type="containsBlanks" dxfId="3923" priority="1501">
      <formula>LEN(TRIM(AA104))=0</formula>
    </cfRule>
    <cfRule type="containsBlanks" dxfId="3922" priority="1502">
      <formula>LEN(TRIM(AA104))=0</formula>
    </cfRule>
    <cfRule type="containsBlanks" dxfId="3921" priority="1503">
      <formula>LEN(TRIM(AA104))=0</formula>
    </cfRule>
    <cfRule type="containsBlanks" dxfId="3920" priority="1504">
      <formula>LEN(TRIM(AA104))=0</formula>
    </cfRule>
    <cfRule type="containsBlanks" dxfId="3919" priority="1505">
      <formula>LEN(TRIM(AA104))=0</formula>
    </cfRule>
    <cfRule type="containsBlanks" dxfId="3918" priority="1506">
      <formula>LEN(TRIM(AA104))=0</formula>
    </cfRule>
    <cfRule type="containsBlanks" dxfId="3917" priority="1507">
      <formula>LEN(TRIM(AA104))=0</formula>
    </cfRule>
    <cfRule type="containsBlanks" dxfId="3916" priority="1508">
      <formula>LEN(TRIM(AA104))=0</formula>
    </cfRule>
    <cfRule type="containsBlanks" dxfId="3915" priority="1509">
      <formula>LEN(TRIM(AA104))=0</formula>
    </cfRule>
    <cfRule type="containsBlanks" dxfId="3914" priority="1510">
      <formula>LEN(TRIM(AA104))=0</formula>
    </cfRule>
    <cfRule type="containsBlanks" dxfId="3913" priority="1511">
      <formula>LEN(TRIM(AA104))=0</formula>
    </cfRule>
    <cfRule type="containsBlanks" dxfId="3912" priority="1512">
      <formula>LEN(TRIM(AA104))=0</formula>
    </cfRule>
    <cfRule type="containsBlanks" dxfId="3911" priority="1513">
      <formula>LEN(TRIM(AA104))=0</formula>
    </cfRule>
    <cfRule type="containsBlanks" dxfId="3910" priority="1514">
      <formula>LEN(TRIM(AA104))=0</formula>
    </cfRule>
    <cfRule type="containsBlanks" dxfId="3909" priority="1515">
      <formula>LEN(TRIM(AA104))=0</formula>
    </cfRule>
    <cfRule type="containsBlanks" dxfId="3908" priority="1516">
      <formula>LEN(TRIM(AA104))=0</formula>
    </cfRule>
    <cfRule type="containsBlanks" dxfId="3907" priority="1517">
      <formula>LEN(TRIM(AA104))=0</formula>
    </cfRule>
    <cfRule type="containsBlanks" dxfId="3906" priority="1518">
      <formula>LEN(TRIM(AA104))=0</formula>
    </cfRule>
    <cfRule type="containsBlanks" dxfId="3905" priority="1519">
      <formula>LEN(TRIM(AA104))=0</formula>
    </cfRule>
    <cfRule type="containsBlanks" dxfId="3904" priority="1520">
      <formula>LEN(TRIM(AA104))=0</formula>
    </cfRule>
    <cfRule type="containsBlanks" dxfId="3903" priority="1521">
      <formula>LEN(TRIM(AA104))=0</formula>
    </cfRule>
    <cfRule type="containsBlanks" dxfId="3902" priority="1522">
      <formula>LEN(TRIM(AA104))=0</formula>
    </cfRule>
    <cfRule type="containsBlanks" dxfId="3901" priority="1523">
      <formula>LEN(TRIM(AA104))=0</formula>
    </cfRule>
    <cfRule type="containsBlanks" dxfId="3900" priority="1524">
      <formula>LEN(TRIM(AA104))=0</formula>
    </cfRule>
    <cfRule type="containsBlanks" dxfId="3899" priority="1525">
      <formula>LEN(TRIM(AA104))=0</formula>
    </cfRule>
    <cfRule type="containsBlanks" dxfId="3898" priority="1526">
      <formula>LEN(TRIM(AA104))=0</formula>
    </cfRule>
    <cfRule type="containsBlanks" dxfId="3897" priority="1527">
      <formula>LEN(TRIM(AA104))=0</formula>
    </cfRule>
    <cfRule type="containsBlanks" dxfId="3896" priority="1528">
      <formula>LEN(TRIM(AA104))=0</formula>
    </cfRule>
    <cfRule type="containsBlanks" dxfId="3895" priority="1529">
      <formula>LEN(TRIM(AA104))=0</formula>
    </cfRule>
    <cfRule type="containsBlanks" dxfId="3894" priority="1530">
      <formula>LEN(TRIM(AA104))=0</formula>
    </cfRule>
    <cfRule type="containsBlanks" dxfId="3893" priority="1531">
      <formula>LEN(TRIM(AA104))=0</formula>
    </cfRule>
    <cfRule type="containsBlanks" dxfId="3892" priority="1532">
      <formula>LEN(TRIM(AA104))=0</formula>
    </cfRule>
    <cfRule type="containsBlanks" dxfId="3891" priority="1533">
      <formula>LEN(TRIM(AA104))=0</formula>
    </cfRule>
    <cfRule type="containsBlanks" dxfId="3890" priority="1534">
      <formula>LEN(TRIM(AA104))=0</formula>
    </cfRule>
    <cfRule type="containsBlanks" dxfId="3889" priority="1535">
      <formula>LEN(TRIM(AA104))=0</formula>
    </cfRule>
    <cfRule type="containsBlanks" dxfId="3888" priority="1536">
      <formula>LEN(TRIM(AA104))=0</formula>
    </cfRule>
    <cfRule type="containsBlanks" dxfId="3887" priority="1537">
      <formula>LEN(TRIM(AA104))=0</formula>
    </cfRule>
    <cfRule type="containsBlanks" dxfId="3886" priority="1538">
      <formula>LEN(TRIM(AA104))=0</formula>
    </cfRule>
    <cfRule type="containsBlanks" dxfId="3885" priority="1539">
      <formula>LEN(TRIM(AA104))=0</formula>
    </cfRule>
    <cfRule type="containsBlanks" dxfId="3884" priority="1540">
      <formula>LEN(TRIM(AA104))=0</formula>
    </cfRule>
    <cfRule type="containsBlanks" dxfId="3883" priority="1541">
      <formula>LEN(TRIM(AA104))=0</formula>
    </cfRule>
    <cfRule type="containsBlanks" dxfId="3882" priority="1542">
      <formula>LEN(TRIM(AA104))=0</formula>
    </cfRule>
    <cfRule type="containsBlanks" dxfId="3881" priority="1543">
      <formula>LEN(TRIM(AA104))=0</formula>
    </cfRule>
    <cfRule type="containsBlanks" dxfId="3880" priority="1544">
      <formula>LEN(TRIM(AA104))=0</formula>
    </cfRule>
    <cfRule type="containsBlanks" dxfId="3879" priority="1545">
      <formula>LEN(TRIM(AA104))=0</formula>
    </cfRule>
    <cfRule type="containsBlanks" dxfId="3878" priority="1546">
      <formula>LEN(TRIM(AA104))=0</formula>
    </cfRule>
    <cfRule type="containsBlanks" dxfId="3877" priority="1547">
      <formula>LEN(TRIM(AA104))=0</formula>
    </cfRule>
    <cfRule type="containsBlanks" dxfId="3876" priority="1548">
      <formula>LEN(TRIM(AA104))=0</formula>
    </cfRule>
    <cfRule type="containsBlanks" dxfId="3875" priority="1549">
      <formula>LEN(TRIM(AA104))=0</formula>
    </cfRule>
    <cfRule type="containsBlanks" dxfId="3874" priority="1550">
      <formula>LEN(TRIM(AA104))=0</formula>
    </cfRule>
    <cfRule type="containsBlanks" dxfId="3873" priority="1551">
      <formula>LEN(TRIM(AA104))=0</formula>
    </cfRule>
    <cfRule type="containsBlanks" dxfId="3872" priority="1552">
      <formula>LEN(TRIM(AA104))=0</formula>
    </cfRule>
    <cfRule type="containsBlanks" dxfId="3871" priority="1553">
      <formula>LEN(TRIM(AA104))=0</formula>
    </cfRule>
    <cfRule type="containsBlanks" dxfId="3870" priority="1554">
      <formula>LEN(TRIM(AA104))=0</formula>
    </cfRule>
    <cfRule type="containsBlanks" dxfId="3869" priority="1555">
      <formula>LEN(TRIM(AA104))=0</formula>
    </cfRule>
    <cfRule type="containsBlanks" dxfId="3868" priority="1556">
      <formula>LEN(TRIM(AA104))=0</formula>
    </cfRule>
    <cfRule type="containsBlanks" dxfId="3867" priority="1557">
      <formula>LEN(TRIM(AA104))=0</formula>
    </cfRule>
    <cfRule type="containsBlanks" dxfId="3866" priority="1558">
      <formula>LEN(TRIM(AA104))=0</formula>
    </cfRule>
    <cfRule type="containsBlanks" dxfId="3865" priority="1559">
      <formula>LEN(TRIM(AA104))=0</formula>
    </cfRule>
    <cfRule type="containsBlanks" dxfId="3864" priority="1560">
      <formula>LEN(TRIM(AA104))=0</formula>
    </cfRule>
    <cfRule type="containsBlanks" dxfId="3863" priority="1561">
      <formula>LEN(TRIM(AA104))=0</formula>
    </cfRule>
    <cfRule type="containsBlanks" dxfId="3862" priority="1562">
      <formula>LEN(TRIM(AA104))=0</formula>
    </cfRule>
    <cfRule type="containsBlanks" dxfId="3861" priority="1563">
      <formula>LEN(TRIM(AA104))=0</formula>
    </cfRule>
    <cfRule type="containsBlanks" dxfId="3860" priority="1564">
      <formula>LEN(TRIM(AA104))=0</formula>
    </cfRule>
    <cfRule type="containsBlanks" dxfId="3859" priority="1565">
      <formula>LEN(TRIM(AA104))=0</formula>
    </cfRule>
    <cfRule type="containsBlanks" dxfId="3858" priority="1566">
      <formula>LEN(TRIM(AA104))=0</formula>
    </cfRule>
    <cfRule type="containsBlanks" dxfId="3857" priority="1567">
      <formula>LEN(TRIM(AA104))=0</formula>
    </cfRule>
    <cfRule type="containsBlanks" dxfId="3856" priority="1568">
      <formula>LEN(TRIM(AA104))=0</formula>
    </cfRule>
    <cfRule type="containsBlanks" dxfId="3855" priority="1569">
      <formula>LEN(TRIM(AA104))=0</formula>
    </cfRule>
    <cfRule type="containsBlanks" dxfId="3854" priority="1570">
      <formula>LEN(TRIM(AA104))=0</formula>
    </cfRule>
    <cfRule type="containsBlanks" dxfId="3853" priority="1571">
      <formula>LEN(TRIM(AA104))=0</formula>
    </cfRule>
    <cfRule type="containsBlanks" dxfId="3852" priority="1572">
      <formula>LEN(TRIM(AA104))=0</formula>
    </cfRule>
    <cfRule type="containsBlanks" dxfId="3851" priority="1573">
      <formula>LEN(TRIM(AA104))=0</formula>
    </cfRule>
    <cfRule type="containsBlanks" dxfId="3850" priority="1574">
      <formula>LEN(TRIM(AA104))=0</formula>
    </cfRule>
    <cfRule type="containsBlanks" dxfId="3849" priority="1575">
      <formula>LEN(TRIM(AA104))=0</formula>
    </cfRule>
    <cfRule type="containsBlanks" dxfId="3848" priority="1576">
      <formula>LEN(TRIM(AA104))=0</formula>
    </cfRule>
    <cfRule type="containsBlanks" dxfId="3847" priority="1577">
      <formula>LEN(TRIM(AA104))=0</formula>
    </cfRule>
    <cfRule type="containsBlanks" dxfId="3846" priority="1578">
      <formula>LEN(TRIM(AA104))=0</formula>
    </cfRule>
    <cfRule type="containsBlanks" dxfId="3845" priority="1579">
      <formula>LEN(TRIM(AA104))=0</formula>
    </cfRule>
    <cfRule type="containsBlanks" dxfId="3844" priority="1580">
      <formula>LEN(TRIM(AA104))=0</formula>
    </cfRule>
    <cfRule type="containsBlanks" dxfId="3843" priority="1581">
      <formula>LEN(TRIM(AA104))=0</formula>
    </cfRule>
    <cfRule type="containsBlanks" dxfId="3842" priority="1582">
      <formula>LEN(TRIM(AA104))=0</formula>
    </cfRule>
    <cfRule type="containsBlanks" dxfId="3841" priority="1583">
      <formula>LEN(TRIM(AA104))=0</formula>
    </cfRule>
    <cfRule type="containsBlanks" dxfId="3840" priority="1584">
      <formula>LEN(TRIM(AA104))=0</formula>
    </cfRule>
    <cfRule type="containsBlanks" dxfId="3839" priority="1585">
      <formula>LEN(TRIM(AA104))=0</formula>
    </cfRule>
    <cfRule type="containsBlanks" dxfId="3838" priority="1586">
      <formula>LEN(TRIM(AA104))=0</formula>
    </cfRule>
    <cfRule type="containsBlanks" dxfId="3837" priority="1587">
      <formula>LEN(TRIM(AA104))=0</formula>
    </cfRule>
    <cfRule type="containsBlanks" dxfId="3836" priority="1588">
      <formula>LEN(TRIM(AA104))=0</formula>
    </cfRule>
    <cfRule type="containsBlanks" dxfId="3835" priority="1589">
      <formula>LEN(TRIM(AA104))=0</formula>
    </cfRule>
    <cfRule type="containsBlanks" dxfId="3834" priority="1590">
      <formula>LEN(TRIM(AA104))=0</formula>
    </cfRule>
    <cfRule type="containsBlanks" dxfId="3833" priority="1591">
      <formula>LEN(TRIM(AA104))=0</formula>
    </cfRule>
    <cfRule type="containsBlanks" dxfId="3832" priority="1592">
      <formula>LEN(TRIM(AA104))=0</formula>
    </cfRule>
    <cfRule type="containsBlanks" dxfId="3831" priority="1593">
      <formula>LEN(TRIM(AA104))=0</formula>
    </cfRule>
    <cfRule type="containsBlanks" dxfId="3830" priority="1594">
      <formula>LEN(TRIM(AA104))=0</formula>
    </cfRule>
    <cfRule type="containsBlanks" dxfId="3829" priority="1595">
      <formula>LEN(TRIM(AA104))=0</formula>
    </cfRule>
    <cfRule type="containsBlanks" dxfId="3828" priority="1596">
      <formula>LEN(TRIM(AA104))=0</formula>
    </cfRule>
    <cfRule type="containsBlanks" dxfId="3827" priority="1597">
      <formula>LEN(TRIM(AA104))=0</formula>
    </cfRule>
    <cfRule type="containsBlanks" dxfId="3826" priority="1598">
      <formula>LEN(TRIM(AA104))=0</formula>
    </cfRule>
    <cfRule type="containsBlanks" dxfId="3825" priority="1599">
      <formula>LEN(TRIM(AA104))=0</formula>
    </cfRule>
    <cfRule type="containsBlanks" dxfId="3824" priority="1600">
      <formula>LEN(TRIM(AA104))=0</formula>
    </cfRule>
    <cfRule type="containsBlanks" dxfId="3823" priority="1601">
      <formula>LEN(TRIM(AA104))=0</formula>
    </cfRule>
    <cfRule type="containsBlanks" dxfId="3822" priority="1602">
      <formula>LEN(TRIM(AA104))=0</formula>
    </cfRule>
    <cfRule type="containsBlanks" dxfId="3821" priority="1603">
      <formula>LEN(TRIM(AA104))=0</formula>
    </cfRule>
    <cfRule type="containsBlanks" dxfId="3820" priority="1604">
      <formula>LEN(TRIM(AA104))=0</formula>
    </cfRule>
    <cfRule type="containsBlanks" dxfId="3819" priority="1605">
      <formula>LEN(TRIM(AA104))=0</formula>
    </cfRule>
    <cfRule type="containsBlanks" dxfId="3818" priority="1606">
      <formula>LEN(TRIM(AA104))=0</formula>
    </cfRule>
    <cfRule type="containsBlanks" dxfId="3817" priority="1607">
      <formula>LEN(TRIM(AA104))=0</formula>
    </cfRule>
    <cfRule type="containsBlanks" dxfId="3816" priority="1608">
      <formula>LEN(TRIM(AA104))=0</formula>
    </cfRule>
    <cfRule type="containsBlanks" dxfId="3815" priority="1609">
      <formula>LEN(TRIM(AA104))=0</formula>
    </cfRule>
    <cfRule type="containsBlanks" dxfId="3814" priority="1610">
      <formula>LEN(TRIM(AA104))=0</formula>
    </cfRule>
    <cfRule type="containsBlanks" dxfId="3813" priority="1611">
      <formula>LEN(TRIM(AA104))=0</formula>
    </cfRule>
  </conditionalFormatting>
  <conditionalFormatting sqref="AB99:AB103 AB105:AB157">
    <cfRule type="containsBlanks" dxfId="3812" priority="1612">
      <formula>LEN(TRIM(AB99))=0</formula>
    </cfRule>
    <cfRule type="containsBlanks" dxfId="3811" priority="1613">
      <formula>LEN(TRIM(AB99))=0</formula>
    </cfRule>
    <cfRule type="containsBlanks" dxfId="3810" priority="1614">
      <formula>LEN(TRIM(AB99))=0</formula>
    </cfRule>
    <cfRule type="containsBlanks" dxfId="3809" priority="1615">
      <formula>LEN(TRIM(AB99))=0</formula>
    </cfRule>
    <cfRule type="containsBlanks" dxfId="3808" priority="1616">
      <formula>LEN(TRIM(AB99))=0</formula>
    </cfRule>
    <cfRule type="containsBlanks" dxfId="3807" priority="1617">
      <formula>LEN(TRIM(AB99))=0</formula>
    </cfRule>
    <cfRule type="containsBlanks" dxfId="3806" priority="1618">
      <formula>LEN(TRIM(AB99))=0</formula>
    </cfRule>
    <cfRule type="containsBlanks" dxfId="3805" priority="1619">
      <formula>LEN(TRIM(AB99))=0</formula>
    </cfRule>
    <cfRule type="containsBlanks" dxfId="3804" priority="1620">
      <formula>LEN(TRIM(AB99))=0</formula>
    </cfRule>
    <cfRule type="containsBlanks" dxfId="3803" priority="1621">
      <formula>LEN(TRIM(AB99))=0</formula>
    </cfRule>
    <cfRule type="containsBlanks" dxfId="3802" priority="1622">
      <formula>LEN(TRIM(AB99))=0</formula>
    </cfRule>
    <cfRule type="containsBlanks" dxfId="3801" priority="1623">
      <formula>LEN(TRIM(AB99))=0</formula>
    </cfRule>
    <cfRule type="containsBlanks" dxfId="3800" priority="1624">
      <formula>LEN(TRIM(AB99))=0</formula>
    </cfRule>
    <cfRule type="containsBlanks" dxfId="3799" priority="1625">
      <formula>LEN(TRIM(AB99))=0</formula>
    </cfRule>
    <cfRule type="containsBlanks" dxfId="3798" priority="1626">
      <formula>LEN(TRIM(AB99))=0</formula>
    </cfRule>
    <cfRule type="containsBlanks" dxfId="3797" priority="1627">
      <formula>LEN(TRIM(AB99))=0</formula>
    </cfRule>
    <cfRule type="containsBlanks" dxfId="3796" priority="1628">
      <formula>LEN(TRIM(AB99))=0</formula>
    </cfRule>
    <cfRule type="containsBlanks" dxfId="3795" priority="1629">
      <formula>LEN(TRIM(AB99))=0</formula>
    </cfRule>
    <cfRule type="containsBlanks" dxfId="3794" priority="1630">
      <formula>LEN(TRIM(AB99))=0</formula>
    </cfRule>
    <cfRule type="containsBlanks" dxfId="3793" priority="1631">
      <formula>LEN(TRIM(AB99))=0</formula>
    </cfRule>
    <cfRule type="containsBlanks" dxfId="3792" priority="1632">
      <formula>LEN(TRIM(AB99))=0</formula>
    </cfRule>
    <cfRule type="containsBlanks" dxfId="3791" priority="1633">
      <formula>LEN(TRIM(AB99))=0</formula>
    </cfRule>
    <cfRule type="containsBlanks" dxfId="3790" priority="1634">
      <formula>LEN(TRIM(AB99))=0</formula>
    </cfRule>
    <cfRule type="containsBlanks" dxfId="3789" priority="1635">
      <formula>LEN(TRIM(AB99))=0</formula>
    </cfRule>
    <cfRule type="containsBlanks" dxfId="3788" priority="1636">
      <formula>LEN(TRIM(AB99))=0</formula>
    </cfRule>
    <cfRule type="containsBlanks" dxfId="3787" priority="1637">
      <formula>LEN(TRIM(AB99))=0</formula>
    </cfRule>
    <cfRule type="containsBlanks" dxfId="3786" priority="1638">
      <formula>LEN(TRIM(AB99))=0</formula>
    </cfRule>
    <cfRule type="containsBlanks" dxfId="3785" priority="1639">
      <formula>LEN(TRIM(AB99))=0</formula>
    </cfRule>
  </conditionalFormatting>
  <conditionalFormatting sqref="AB158">
    <cfRule type="containsBlanks" dxfId="3784" priority="19705">
      <formula>LEN(TRIM(AB158))=0</formula>
    </cfRule>
  </conditionalFormatting>
  <conditionalFormatting sqref="AB158">
    <cfRule type="containsBlanks" dxfId="3783" priority="19003">
      <formula>LEN(TRIM(AB158))=0</formula>
    </cfRule>
    <cfRule type="containsBlanks" dxfId="3782" priority="19557">
      <formula>LEN(TRIM(AB158))=0</formula>
    </cfRule>
    <cfRule type="containsBlanks" dxfId="3781" priority="19659">
      <formula>LEN(TRIM(AB158))=0</formula>
    </cfRule>
    <cfRule type="containsBlanks" dxfId="3780" priority="19703">
      <formula>LEN(TRIM(AB158))=0</formula>
    </cfRule>
    <cfRule type="containsBlanks" dxfId="3779" priority="19704">
      <formula>LEN(TRIM(AB158))=0</formula>
    </cfRule>
    <cfRule type="containsBlanks" dxfId="3778" priority="19706">
      <formula>LEN(TRIM(AB158))=0</formula>
    </cfRule>
  </conditionalFormatting>
  <conditionalFormatting sqref="AB158:AC158">
    <cfRule type="containsBlanks" dxfId="3777" priority="19421">
      <formula>LEN(TRIM(AB158))=0</formula>
    </cfRule>
  </conditionalFormatting>
  <conditionalFormatting sqref="AB158:AC158">
    <cfRule type="containsBlanks" dxfId="3776" priority="19002">
      <formula>LEN(TRIM(AB158))=0</formula>
    </cfRule>
    <cfRule type="containsBlanks" dxfId="3775" priority="19555">
      <formula>LEN(TRIM(AB158))=0</formula>
    </cfRule>
    <cfRule type="containsBlanks" dxfId="3774" priority="19658">
      <formula>LEN(TRIM(AB158))=0</formula>
    </cfRule>
    <cfRule type="containsBlanks" dxfId="3773" priority="19670">
      <formula>LEN(TRIM(AB158))=0</formula>
    </cfRule>
    <cfRule type="containsBlanks" dxfId="3772" priority="19698">
      <formula>LEN(TRIM(AB158))=0</formula>
    </cfRule>
  </conditionalFormatting>
  <conditionalFormatting sqref="AB158:AD158 AF157:AH158">
    <cfRule type="containsBlanks" dxfId="3771" priority="19697">
      <formula>LEN(TRIM(AB157))=0</formula>
    </cfRule>
  </conditionalFormatting>
  <conditionalFormatting sqref="AB158:AD158 AH99:AH156">
    <cfRule type="containsBlanks" dxfId="3770" priority="19707">
      <formula>LEN(TRIM(AB99))=0</formula>
    </cfRule>
  </conditionalFormatting>
  <conditionalFormatting sqref="AB158:AD158">
    <cfRule type="containsBlanks" dxfId="3769" priority="19422">
      <formula>LEN(TRIM(AB158))=0</formula>
    </cfRule>
  </conditionalFormatting>
  <conditionalFormatting sqref="AC99:AC126 AC128:AC157">
    <cfRule type="containsBlanks" dxfId="3768" priority="516">
      <formula>LEN(TRIM(AC99))=0</formula>
    </cfRule>
    <cfRule type="containsBlanks" dxfId="3767" priority="517">
      <formula>LEN(TRIM(AC99))=0</formula>
    </cfRule>
    <cfRule type="containsBlanks" dxfId="3766" priority="518">
      <formula>LEN(TRIM(AC99))=0</formula>
    </cfRule>
    <cfRule type="containsBlanks" dxfId="3765" priority="519">
      <formula>LEN(TRIM(AC99))=0</formula>
    </cfRule>
    <cfRule type="containsBlanks" dxfId="3764" priority="520">
      <formula>LEN(TRIM(AC99))=0</formula>
    </cfRule>
    <cfRule type="containsBlanks" dxfId="3763" priority="521">
      <formula>LEN(TRIM(AC99))=0</formula>
    </cfRule>
    <cfRule type="containsBlanks" dxfId="3762" priority="522">
      <formula>LEN(TRIM(AC99))=0</formula>
    </cfRule>
    <cfRule type="containsBlanks" dxfId="3761" priority="523">
      <formula>LEN(TRIM(AC99))=0</formula>
    </cfRule>
    <cfRule type="containsBlanks" dxfId="3760" priority="524">
      <formula>LEN(TRIM(AC99))=0</formula>
    </cfRule>
    <cfRule type="containsBlanks" dxfId="3759" priority="525">
      <formula>LEN(TRIM(AC99))=0</formula>
    </cfRule>
    <cfRule type="containsBlanks" dxfId="3758" priority="526">
      <formula>LEN(TRIM(AC99))=0</formula>
    </cfRule>
    <cfRule type="containsBlanks" dxfId="3757" priority="527">
      <formula>LEN(TRIM(AC99))=0</formula>
    </cfRule>
    <cfRule type="containsBlanks" dxfId="3756" priority="528">
      <formula>LEN(TRIM(AC99))=0</formula>
    </cfRule>
    <cfRule type="containsBlanks" dxfId="3755" priority="529">
      <formula>LEN(TRIM(AC99))=0</formula>
    </cfRule>
    <cfRule type="containsBlanks" dxfId="3754" priority="530">
      <formula>LEN(TRIM(AC99))=0</formula>
    </cfRule>
    <cfRule type="containsBlanks" dxfId="3753" priority="531">
      <formula>LEN(TRIM(AC99))=0</formula>
    </cfRule>
    <cfRule type="containsBlanks" dxfId="3752" priority="532">
      <formula>LEN(TRIM(AC99))=0</formula>
    </cfRule>
    <cfRule type="containsBlanks" dxfId="3751" priority="533">
      <formula>LEN(TRIM(AC99))=0</formula>
    </cfRule>
    <cfRule type="containsBlanks" dxfId="3750" priority="534">
      <formula>LEN(TRIM(AC99))=0</formula>
    </cfRule>
    <cfRule type="containsBlanks" dxfId="3749" priority="535">
      <formula>LEN(TRIM(AC99))=0</formula>
    </cfRule>
    <cfRule type="containsBlanks" dxfId="3748" priority="536">
      <formula>LEN(TRIM(AC99))=0</formula>
    </cfRule>
    <cfRule type="containsBlanks" dxfId="3747" priority="537">
      <formula>LEN(TRIM(AC99))=0</formula>
    </cfRule>
    <cfRule type="containsBlanks" dxfId="3746" priority="538">
      <formula>LEN(TRIM(AC99))=0</formula>
    </cfRule>
    <cfRule type="containsBlanks" dxfId="3745" priority="539">
      <formula>LEN(TRIM(AC99))=0</formula>
    </cfRule>
    <cfRule type="containsBlanks" dxfId="3744" priority="540">
      <formula>LEN(TRIM(AC99))=0</formula>
    </cfRule>
    <cfRule type="containsBlanks" dxfId="3743" priority="541">
      <formula>LEN(TRIM(AC99))=0</formula>
    </cfRule>
    <cfRule type="containsBlanks" dxfId="3742" priority="542">
      <formula>LEN(TRIM(AC99))=0</formula>
    </cfRule>
    <cfRule type="containsBlanks" dxfId="3741" priority="543">
      <formula>LEN(TRIM(AC99))=0</formula>
    </cfRule>
    <cfRule type="containsBlanks" dxfId="3740" priority="544">
      <formula>LEN(TRIM(AC99))=0</formula>
    </cfRule>
    <cfRule type="containsBlanks" dxfId="3739" priority="545">
      <formula>LEN(TRIM(AC99))=0</formula>
    </cfRule>
    <cfRule type="containsBlanks" dxfId="3738" priority="546">
      <formula>LEN(TRIM(AC99))=0</formula>
    </cfRule>
    <cfRule type="containsBlanks" dxfId="3737" priority="547">
      <formula>LEN(TRIM(AC99))=0</formula>
    </cfRule>
    <cfRule type="containsBlanks" dxfId="3736" priority="548">
      <formula>LEN(TRIM(AC99))=0</formula>
    </cfRule>
    <cfRule type="containsBlanks" dxfId="3735" priority="549">
      <formula>LEN(TRIM(AC99))=0</formula>
    </cfRule>
    <cfRule type="containsBlanks" dxfId="3734" priority="550">
      <formula>LEN(TRIM(AC99))=0</formula>
    </cfRule>
    <cfRule type="containsBlanks" dxfId="3733" priority="551">
      <formula>LEN(TRIM(AC99))=0</formula>
    </cfRule>
    <cfRule type="containsBlanks" dxfId="3732" priority="552">
      <formula>LEN(TRIM(AC99))=0</formula>
    </cfRule>
    <cfRule type="containsBlanks" dxfId="3731" priority="553">
      <formula>LEN(TRIM(AC99))=0</formula>
    </cfRule>
    <cfRule type="containsBlanks" dxfId="3730" priority="554">
      <formula>LEN(TRIM(AC99))=0</formula>
    </cfRule>
    <cfRule type="containsBlanks" dxfId="3729" priority="555">
      <formula>LEN(TRIM(AC99))=0</formula>
    </cfRule>
    <cfRule type="containsBlanks" dxfId="3728" priority="556">
      <formula>LEN(TRIM(AC99))=0</formula>
    </cfRule>
    <cfRule type="containsBlanks" dxfId="3727" priority="557">
      <formula>LEN(TRIM(AC99))=0</formula>
    </cfRule>
    <cfRule type="containsBlanks" dxfId="3726" priority="558">
      <formula>LEN(TRIM(AC99))=0</formula>
    </cfRule>
    <cfRule type="containsBlanks" dxfId="3725" priority="559">
      <formula>LEN(TRIM(AC99))=0</formula>
    </cfRule>
    <cfRule type="containsBlanks" dxfId="3724" priority="560">
      <formula>LEN(TRIM(AC99))=0</formula>
    </cfRule>
    <cfRule type="containsBlanks" dxfId="3723" priority="561">
      <formula>LEN(TRIM(AC99))=0</formula>
    </cfRule>
    <cfRule type="containsBlanks" dxfId="3722" priority="562">
      <formula>LEN(TRIM(AC99))=0</formula>
    </cfRule>
    <cfRule type="containsBlanks" dxfId="3721" priority="563">
      <formula>LEN(TRIM(AC99))=0</formula>
    </cfRule>
    <cfRule type="containsBlanks" dxfId="3720" priority="564">
      <formula>LEN(TRIM(AC99))=0</formula>
    </cfRule>
    <cfRule type="containsBlanks" dxfId="3719" priority="565">
      <formula>LEN(TRIM(AC99))=0</formula>
    </cfRule>
    <cfRule type="containsBlanks" dxfId="3718" priority="566">
      <formula>LEN(TRIM(AC99))=0</formula>
    </cfRule>
    <cfRule type="containsBlanks" dxfId="3717" priority="567">
      <formula>LEN(TRIM(AC99))=0</formula>
    </cfRule>
    <cfRule type="containsBlanks" dxfId="3716" priority="568">
      <formula>LEN(TRIM(AC99))=0</formula>
    </cfRule>
    <cfRule type="containsBlanks" dxfId="3715" priority="569">
      <formula>LEN(TRIM(AC99))=0</formula>
    </cfRule>
    <cfRule type="containsBlanks" dxfId="3714" priority="570">
      <formula>LEN(TRIM(AC99))=0</formula>
    </cfRule>
    <cfRule type="containsBlanks" dxfId="3713" priority="571">
      <formula>LEN(TRIM(AC99))=0</formula>
    </cfRule>
    <cfRule type="containsBlanks" dxfId="3712" priority="572">
      <formula>LEN(TRIM(AC99))=0</formula>
    </cfRule>
    <cfRule type="containsBlanks" dxfId="3711" priority="573">
      <formula>LEN(TRIM(AC99))=0</formula>
    </cfRule>
    <cfRule type="containsBlanks" dxfId="3710" priority="574">
      <formula>LEN(TRIM(AC99))=0</formula>
    </cfRule>
    <cfRule type="containsBlanks" dxfId="3709" priority="575">
      <formula>LEN(TRIM(AC99))=0</formula>
    </cfRule>
    <cfRule type="containsBlanks" dxfId="3708" priority="576">
      <formula>LEN(TRIM(AC99))=0</formula>
    </cfRule>
    <cfRule type="containsBlanks" dxfId="3707" priority="577">
      <formula>LEN(TRIM(AC99))=0</formula>
    </cfRule>
    <cfRule type="containsBlanks" dxfId="3706" priority="578">
      <formula>LEN(TRIM(AC99))=0</formula>
    </cfRule>
    <cfRule type="containsBlanks" dxfId="3705" priority="579">
      <formula>LEN(TRIM(AC99))=0</formula>
    </cfRule>
    <cfRule type="containsBlanks" dxfId="3704" priority="580">
      <formula>LEN(TRIM(AC99))=0</formula>
    </cfRule>
    <cfRule type="containsBlanks" dxfId="3703" priority="581">
      <formula>LEN(TRIM(AC99))=0</formula>
    </cfRule>
  </conditionalFormatting>
  <conditionalFormatting sqref="AC127">
    <cfRule type="containsBlanks" dxfId="3702" priority="1">
      <formula>LEN(TRIM(AC127))=0</formula>
    </cfRule>
    <cfRule type="containsBlanks" dxfId="3701" priority="2">
      <formula>LEN(TRIM(AC127))=0</formula>
    </cfRule>
    <cfRule type="containsBlanks" dxfId="3700" priority="3">
      <formula>LEN(TRIM(AC127))=0</formula>
    </cfRule>
    <cfRule type="containsBlanks" dxfId="3699" priority="4">
      <formula>LEN(TRIM(AC127))=0</formula>
    </cfRule>
    <cfRule type="containsBlanks" dxfId="3698" priority="5">
      <formula>LEN(TRIM(AC127))=0</formula>
    </cfRule>
    <cfRule type="containsBlanks" dxfId="3697" priority="6">
      <formula>LEN(TRIM(AC127))=0</formula>
    </cfRule>
    <cfRule type="containsBlanks" dxfId="3696" priority="7">
      <formula>LEN(TRIM(AC127))=0</formula>
    </cfRule>
    <cfRule type="containsBlanks" dxfId="3695" priority="8">
      <formula>LEN(TRIM(AC127))=0</formula>
    </cfRule>
    <cfRule type="containsBlanks" dxfId="3694" priority="9">
      <formula>LEN(TRIM(AC127))=0</formula>
    </cfRule>
    <cfRule type="containsBlanks" dxfId="3693" priority="10">
      <formula>LEN(TRIM(AC127))=0</formula>
    </cfRule>
    <cfRule type="containsBlanks" dxfId="3692" priority="11">
      <formula>LEN(TRIM(AC127))=0</formula>
    </cfRule>
    <cfRule type="containsBlanks" dxfId="3691" priority="12">
      <formula>LEN(TRIM(AC127))=0</formula>
    </cfRule>
    <cfRule type="containsBlanks" dxfId="3690" priority="13">
      <formula>LEN(TRIM(AC127))=0</formula>
    </cfRule>
    <cfRule type="containsBlanks" dxfId="3689" priority="14">
      <formula>LEN(TRIM(AC127))=0</formula>
    </cfRule>
    <cfRule type="containsBlanks" dxfId="3688" priority="15">
      <formula>LEN(TRIM(AC127))=0</formula>
    </cfRule>
    <cfRule type="containsBlanks" dxfId="3687" priority="16">
      <formula>LEN(TRIM(AC127))=0</formula>
    </cfRule>
    <cfRule type="containsBlanks" dxfId="3686" priority="17">
      <formula>LEN(TRIM(AC127))=0</formula>
    </cfRule>
    <cfRule type="containsBlanks" dxfId="3685" priority="18">
      <formula>LEN(TRIM(AC127))=0</formula>
    </cfRule>
    <cfRule type="containsBlanks" dxfId="3684" priority="19">
      <formula>LEN(TRIM(AC127))=0</formula>
    </cfRule>
    <cfRule type="containsBlanks" dxfId="3683" priority="20">
      <formula>LEN(TRIM(AC127))=0</formula>
    </cfRule>
    <cfRule type="containsBlanks" dxfId="3682" priority="21">
      <formula>LEN(TRIM(AC127))=0</formula>
    </cfRule>
    <cfRule type="containsBlanks" dxfId="3681" priority="22">
      <formula>LEN(TRIM(AC127))=0</formula>
    </cfRule>
    <cfRule type="containsBlanks" dxfId="3680" priority="23">
      <formula>LEN(TRIM(AC127))=0</formula>
    </cfRule>
    <cfRule type="containsBlanks" dxfId="3679" priority="24">
      <formula>LEN(TRIM(AC127))=0</formula>
    </cfRule>
    <cfRule type="containsBlanks" dxfId="3678" priority="25">
      <formula>LEN(TRIM(AC127))=0</formula>
    </cfRule>
    <cfRule type="containsBlanks" dxfId="3677" priority="26">
      <formula>LEN(TRIM(AC127))=0</formula>
    </cfRule>
    <cfRule type="containsBlanks" dxfId="3676" priority="27">
      <formula>LEN(TRIM(AC127))=0</formula>
    </cfRule>
    <cfRule type="containsBlanks" dxfId="3675" priority="28">
      <formula>LEN(TRIM(AC127))=0</formula>
    </cfRule>
    <cfRule type="containsBlanks" dxfId="3674" priority="29">
      <formula>LEN(TRIM(AC127))=0</formula>
    </cfRule>
    <cfRule type="containsBlanks" dxfId="3673" priority="30">
      <formula>LEN(TRIM(AC127))=0</formula>
    </cfRule>
    <cfRule type="containsBlanks" dxfId="3672" priority="31">
      <formula>LEN(TRIM(AC127))=0</formula>
    </cfRule>
    <cfRule type="containsBlanks" dxfId="3671" priority="32">
      <formula>LEN(TRIM(AC127))=0</formula>
    </cfRule>
    <cfRule type="containsBlanks" dxfId="3670" priority="33">
      <formula>LEN(TRIM(AC127))=0</formula>
    </cfRule>
    <cfRule type="containsBlanks" dxfId="3669" priority="34">
      <formula>LEN(TRIM(AC127))=0</formula>
    </cfRule>
    <cfRule type="containsBlanks" dxfId="3668" priority="35">
      <formula>LEN(TRIM(AC127))=0</formula>
    </cfRule>
    <cfRule type="containsBlanks" dxfId="3667" priority="36">
      <formula>LEN(TRIM(AC127))=0</formula>
    </cfRule>
    <cfRule type="containsBlanks" dxfId="3666" priority="37">
      <formula>LEN(TRIM(AC127))=0</formula>
    </cfRule>
    <cfRule type="containsBlanks" dxfId="3665" priority="38">
      <formula>LEN(TRIM(AC127))=0</formula>
    </cfRule>
    <cfRule type="containsBlanks" dxfId="3664" priority="39">
      <formula>LEN(TRIM(AC127))=0</formula>
    </cfRule>
    <cfRule type="containsBlanks" dxfId="3663" priority="40">
      <formula>LEN(TRIM(AC127))=0</formula>
    </cfRule>
    <cfRule type="containsBlanks" dxfId="3662" priority="41">
      <formula>LEN(TRIM(AC127))=0</formula>
    </cfRule>
    <cfRule type="containsBlanks" dxfId="3661" priority="42">
      <formula>LEN(TRIM(AC127))=0</formula>
    </cfRule>
    <cfRule type="containsBlanks" dxfId="3660" priority="43">
      <formula>LEN(TRIM(AC127))=0</formula>
    </cfRule>
    <cfRule type="containsBlanks" dxfId="3659" priority="44">
      <formula>LEN(TRIM(AC127))=0</formula>
    </cfRule>
    <cfRule type="containsBlanks" dxfId="3658" priority="45">
      <formula>LEN(TRIM(AC127))=0</formula>
    </cfRule>
    <cfRule type="containsBlanks" dxfId="3657" priority="46">
      <formula>LEN(TRIM(AC127))=0</formula>
    </cfRule>
    <cfRule type="containsBlanks" dxfId="3656" priority="47">
      <formula>LEN(TRIM(AC127))=0</formula>
    </cfRule>
    <cfRule type="containsBlanks" dxfId="3655" priority="48">
      <formula>LEN(TRIM(AC127))=0</formula>
    </cfRule>
    <cfRule type="containsBlanks" dxfId="3654" priority="49">
      <formula>LEN(TRIM(AC127))=0</formula>
    </cfRule>
    <cfRule type="containsBlanks" dxfId="3653" priority="50">
      <formula>LEN(TRIM(AC127))=0</formula>
    </cfRule>
    <cfRule type="containsBlanks" dxfId="3652" priority="51">
      <formula>LEN(TRIM(AC127))=0</formula>
    </cfRule>
    <cfRule type="containsBlanks" dxfId="3651" priority="52">
      <formula>LEN(TRIM(AC127))=0</formula>
    </cfRule>
    <cfRule type="containsBlanks" dxfId="3650" priority="53">
      <formula>LEN(TRIM(AC127))=0</formula>
    </cfRule>
    <cfRule type="containsBlanks" dxfId="3649" priority="54">
      <formula>LEN(TRIM(AC127))=0</formula>
    </cfRule>
    <cfRule type="containsBlanks" dxfId="3648" priority="55">
      <formula>LEN(TRIM(AC127))=0</formula>
    </cfRule>
    <cfRule type="containsBlanks" dxfId="3647" priority="56">
      <formula>LEN(TRIM(AC127))=0</formula>
    </cfRule>
    <cfRule type="containsBlanks" dxfId="3646" priority="57">
      <formula>LEN(TRIM(AC127))=0</formula>
    </cfRule>
    <cfRule type="containsBlanks" dxfId="3645" priority="58">
      <formula>LEN(TRIM(AC127))=0</formula>
    </cfRule>
    <cfRule type="containsBlanks" dxfId="3644" priority="59">
      <formula>LEN(TRIM(AC127))=0</formula>
    </cfRule>
    <cfRule type="containsBlanks" dxfId="3643" priority="60">
      <formula>LEN(TRIM(AC127))=0</formula>
    </cfRule>
    <cfRule type="containsBlanks" dxfId="3642" priority="61">
      <formula>LEN(TRIM(AC127))=0</formula>
    </cfRule>
    <cfRule type="containsBlanks" dxfId="3641" priority="62">
      <formula>LEN(TRIM(AC127))=0</formula>
    </cfRule>
    <cfRule type="containsBlanks" dxfId="3640" priority="63">
      <formula>LEN(TRIM(AC127))=0</formula>
    </cfRule>
    <cfRule type="containsBlanks" dxfId="3639" priority="64">
      <formula>LEN(TRIM(AC127))=0</formula>
    </cfRule>
    <cfRule type="containsBlanks" dxfId="3638" priority="65">
      <formula>LEN(TRIM(AC127))=0</formula>
    </cfRule>
    <cfRule type="containsBlanks" dxfId="3637" priority="66">
      <formula>LEN(TRIM(AC127))=0</formula>
    </cfRule>
    <cfRule type="containsBlanks" dxfId="3636" priority="67">
      <formula>LEN(TRIM(AC127))=0</formula>
    </cfRule>
    <cfRule type="containsBlanks" dxfId="3635" priority="68">
      <formula>LEN(TRIM(AC127))=0</formula>
    </cfRule>
    <cfRule type="containsBlanks" dxfId="3634" priority="69">
      <formula>LEN(TRIM(AC127))=0</formula>
    </cfRule>
    <cfRule type="containsBlanks" dxfId="3633" priority="70">
      <formula>LEN(TRIM(AC127))=0</formula>
    </cfRule>
    <cfRule type="containsBlanks" dxfId="3632" priority="71">
      <formula>LEN(TRIM(AC127))=0</formula>
    </cfRule>
    <cfRule type="containsBlanks" dxfId="3631" priority="72">
      <formula>LEN(TRIM(AC127))=0</formula>
    </cfRule>
    <cfRule type="containsBlanks" dxfId="3630" priority="73">
      <formula>LEN(TRIM(AC127))=0</formula>
    </cfRule>
    <cfRule type="containsBlanks" dxfId="3629" priority="74">
      <formula>LEN(TRIM(AC127))=0</formula>
    </cfRule>
    <cfRule type="containsBlanks" dxfId="3628" priority="75">
      <formula>LEN(TRIM(AC127))=0</formula>
    </cfRule>
    <cfRule type="containsBlanks" dxfId="3627" priority="76">
      <formula>LEN(TRIM(AC127))=0</formula>
    </cfRule>
    <cfRule type="containsBlanks" dxfId="3626" priority="77">
      <formula>LEN(TRIM(AC127))=0</formula>
    </cfRule>
    <cfRule type="containsBlanks" dxfId="3625" priority="78">
      <formula>LEN(TRIM(AC127))=0</formula>
    </cfRule>
    <cfRule type="containsBlanks" dxfId="3624" priority="79">
      <formula>LEN(TRIM(AC127))=0</formula>
    </cfRule>
    <cfRule type="containsBlanks" dxfId="3623" priority="80">
      <formula>LEN(TRIM(AC127))=0</formula>
    </cfRule>
    <cfRule type="containsBlanks" dxfId="3622" priority="81">
      <formula>LEN(TRIM(AC127))=0</formula>
    </cfRule>
    <cfRule type="containsBlanks" dxfId="3621" priority="82">
      <formula>LEN(TRIM(AC127))=0</formula>
    </cfRule>
    <cfRule type="containsBlanks" dxfId="3620" priority="83">
      <formula>LEN(TRIM(AC127))=0</formula>
    </cfRule>
    <cfRule type="containsBlanks" dxfId="3619" priority="84">
      <formula>LEN(TRIM(AC127))=0</formula>
    </cfRule>
    <cfRule type="containsBlanks" dxfId="3618" priority="85">
      <formula>LEN(TRIM(AC127))=0</formula>
    </cfRule>
    <cfRule type="containsBlanks" dxfId="3617" priority="86">
      <formula>LEN(TRIM(AC127))=0</formula>
    </cfRule>
    <cfRule type="containsBlanks" dxfId="3616" priority="87">
      <formula>LEN(TRIM(AC127))=0</formula>
    </cfRule>
    <cfRule type="containsBlanks" dxfId="3615" priority="88">
      <formula>LEN(TRIM(AC127))=0</formula>
    </cfRule>
    <cfRule type="containsBlanks" dxfId="3614" priority="89">
      <formula>LEN(TRIM(AC127))=0</formula>
    </cfRule>
    <cfRule type="containsBlanks" dxfId="3613" priority="90">
      <formula>LEN(TRIM(AC127))=0</formula>
    </cfRule>
    <cfRule type="containsBlanks" dxfId="3612" priority="91">
      <formula>LEN(TRIM(AC127))=0</formula>
    </cfRule>
    <cfRule type="containsBlanks" dxfId="3611" priority="92">
      <formula>LEN(TRIM(AC127))=0</formula>
    </cfRule>
    <cfRule type="containsBlanks" dxfId="3610" priority="93">
      <formula>LEN(TRIM(AC127))=0</formula>
    </cfRule>
    <cfRule type="containsBlanks" dxfId="3609" priority="94">
      <formula>LEN(TRIM(AC127))=0</formula>
    </cfRule>
    <cfRule type="containsBlanks" dxfId="3608" priority="95">
      <formula>LEN(TRIM(AC127))=0</formula>
    </cfRule>
    <cfRule type="containsBlanks" dxfId="3607" priority="96">
      <formula>LEN(TRIM(AC127))=0</formula>
    </cfRule>
    <cfRule type="containsBlanks" dxfId="3606" priority="97">
      <formula>LEN(TRIM(AC127))=0</formula>
    </cfRule>
    <cfRule type="containsBlanks" dxfId="3605" priority="98">
      <formula>LEN(TRIM(AC127))=0</formula>
    </cfRule>
    <cfRule type="containsBlanks" dxfId="3604" priority="99">
      <formula>LEN(TRIM(AC127))=0</formula>
    </cfRule>
    <cfRule type="containsBlanks" dxfId="3603" priority="100">
      <formula>LEN(TRIM(AC127))=0</formula>
    </cfRule>
    <cfRule type="containsBlanks" dxfId="3602" priority="101">
      <formula>LEN(TRIM(AC127))=0</formula>
    </cfRule>
    <cfRule type="containsBlanks" dxfId="3601" priority="102">
      <formula>LEN(TRIM(AC127))=0</formula>
    </cfRule>
    <cfRule type="containsBlanks" dxfId="3600" priority="103">
      <formula>LEN(TRIM(AC127))=0</formula>
    </cfRule>
    <cfRule type="containsBlanks" dxfId="3599" priority="104">
      <formula>LEN(TRIM(AC127))=0</formula>
    </cfRule>
    <cfRule type="containsBlanks" dxfId="3598" priority="105">
      <formula>LEN(TRIM(AC127))=0</formula>
    </cfRule>
    <cfRule type="containsBlanks" dxfId="3597" priority="106">
      <formula>LEN(TRIM(AC127))=0</formula>
    </cfRule>
    <cfRule type="containsBlanks" dxfId="3596" priority="107">
      <formula>LEN(TRIM(AC127))=0</formula>
    </cfRule>
    <cfRule type="containsBlanks" dxfId="3595" priority="108">
      <formula>LEN(TRIM(AC127))=0</formula>
    </cfRule>
    <cfRule type="containsBlanks" dxfId="3594" priority="109">
      <formula>LEN(TRIM(AC127))=0</formula>
    </cfRule>
    <cfRule type="containsBlanks" dxfId="3593" priority="110">
      <formula>LEN(TRIM(AC127))=0</formula>
    </cfRule>
    <cfRule type="containsBlanks" dxfId="3592" priority="111">
      <formula>LEN(TRIM(AC127))=0</formula>
    </cfRule>
    <cfRule type="containsBlanks" dxfId="3591" priority="112">
      <formula>LEN(TRIM(AC127))=0</formula>
    </cfRule>
    <cfRule type="containsBlanks" dxfId="3590" priority="113">
      <formula>LEN(TRIM(AC127))=0</formula>
    </cfRule>
    <cfRule type="containsBlanks" dxfId="3589" priority="114">
      <formula>LEN(TRIM(AC127))=0</formula>
    </cfRule>
    <cfRule type="containsBlanks" dxfId="3588" priority="115">
      <formula>LEN(TRIM(AC127))=0</formula>
    </cfRule>
    <cfRule type="containsBlanks" dxfId="3587" priority="116">
      <formula>LEN(TRIM(AC127))=0</formula>
    </cfRule>
    <cfRule type="containsBlanks" dxfId="3586" priority="117">
      <formula>LEN(TRIM(AC127))=0</formula>
    </cfRule>
    <cfRule type="containsBlanks" dxfId="3585" priority="118">
      <formula>LEN(TRIM(AC127))=0</formula>
    </cfRule>
    <cfRule type="containsBlanks" dxfId="3584" priority="119">
      <formula>LEN(TRIM(AC127))=0</formula>
    </cfRule>
    <cfRule type="containsBlanks" dxfId="3583" priority="120">
      <formula>LEN(TRIM(AC127))=0</formula>
    </cfRule>
    <cfRule type="containsBlanks" dxfId="3582" priority="121">
      <formula>LEN(TRIM(AC127))=0</formula>
    </cfRule>
    <cfRule type="containsBlanks" dxfId="3581" priority="122">
      <formula>LEN(TRIM(AC127))=0</formula>
    </cfRule>
    <cfRule type="containsBlanks" dxfId="3580" priority="123">
      <formula>LEN(TRIM(AC127))=0</formula>
    </cfRule>
    <cfRule type="containsBlanks" dxfId="3579" priority="124">
      <formula>LEN(TRIM(AC127))=0</formula>
    </cfRule>
    <cfRule type="containsBlanks" dxfId="3578" priority="125">
      <formula>LEN(TRIM(AC127))=0</formula>
    </cfRule>
    <cfRule type="containsBlanks" dxfId="3577" priority="126">
      <formula>LEN(TRIM(AC127))=0</formula>
    </cfRule>
    <cfRule type="containsBlanks" dxfId="3576" priority="127">
      <formula>LEN(TRIM(AC127))=0</formula>
    </cfRule>
    <cfRule type="containsBlanks" dxfId="3575" priority="128">
      <formula>LEN(TRIM(AC127))=0</formula>
    </cfRule>
    <cfRule type="containsBlanks" dxfId="3574" priority="129">
      <formula>LEN(TRIM(AC127))=0</formula>
    </cfRule>
    <cfRule type="containsBlanks" dxfId="3573" priority="130">
      <formula>LEN(TRIM(AC127))=0</formula>
    </cfRule>
    <cfRule type="containsBlanks" dxfId="3572" priority="131">
      <formula>LEN(TRIM(AC127))=0</formula>
    </cfRule>
    <cfRule type="containsBlanks" dxfId="3571" priority="132">
      <formula>LEN(TRIM(AC127))=0</formula>
    </cfRule>
    <cfRule type="containsBlanks" dxfId="3570" priority="133">
      <formula>LEN(TRIM(AC127))=0</formula>
    </cfRule>
    <cfRule type="containsBlanks" dxfId="3569" priority="134">
      <formula>LEN(TRIM(AC127))=0</formula>
    </cfRule>
    <cfRule type="containsBlanks" dxfId="3568" priority="135">
      <formula>LEN(TRIM(AC127))=0</formula>
    </cfRule>
    <cfRule type="containsBlanks" dxfId="3567" priority="136">
      <formula>LEN(TRIM(AC127))=0</formula>
    </cfRule>
    <cfRule type="containsBlanks" dxfId="3566" priority="137">
      <formula>LEN(TRIM(AC127))=0</formula>
    </cfRule>
    <cfRule type="containsBlanks" dxfId="3565" priority="138">
      <formula>LEN(TRIM(AC127))=0</formula>
    </cfRule>
    <cfRule type="containsBlanks" dxfId="3564" priority="139">
      <formula>LEN(TRIM(AC127))=0</formula>
    </cfRule>
    <cfRule type="containsBlanks" dxfId="3563" priority="140">
      <formula>LEN(TRIM(AC127))=0</formula>
    </cfRule>
    <cfRule type="containsBlanks" dxfId="3562" priority="141">
      <formula>LEN(TRIM(AC127))=0</formula>
    </cfRule>
    <cfRule type="containsBlanks" dxfId="3561" priority="142">
      <formula>LEN(TRIM(AC127))=0</formula>
    </cfRule>
    <cfRule type="containsBlanks" dxfId="3560" priority="143">
      <formula>LEN(TRIM(AC127))=0</formula>
    </cfRule>
    <cfRule type="containsBlanks" dxfId="3559" priority="144">
      <formula>LEN(TRIM(AC127))=0</formula>
    </cfRule>
    <cfRule type="containsBlanks" dxfId="3558" priority="145">
      <formula>LEN(TRIM(AC127))=0</formula>
    </cfRule>
    <cfRule type="containsBlanks" dxfId="3557" priority="146">
      <formula>LEN(TRIM(AC127))=0</formula>
    </cfRule>
    <cfRule type="containsBlanks" dxfId="3556" priority="147">
      <formula>LEN(TRIM(AC127))=0</formula>
    </cfRule>
    <cfRule type="containsBlanks" dxfId="3555" priority="148">
      <formula>LEN(TRIM(AC127))=0</formula>
    </cfRule>
    <cfRule type="containsBlanks" dxfId="3554" priority="149">
      <formula>LEN(TRIM(AC127))=0</formula>
    </cfRule>
    <cfRule type="containsBlanks" dxfId="3553" priority="150">
      <formula>LEN(TRIM(AC127))=0</formula>
    </cfRule>
    <cfRule type="containsBlanks" dxfId="3552" priority="151">
      <formula>LEN(TRIM(AC127))=0</formula>
    </cfRule>
    <cfRule type="containsBlanks" dxfId="3551" priority="152">
      <formula>LEN(TRIM(AC127))=0</formula>
    </cfRule>
    <cfRule type="containsBlanks" dxfId="3550" priority="153">
      <formula>LEN(TRIM(AC127))=0</formula>
    </cfRule>
    <cfRule type="containsBlanks" dxfId="3549" priority="154">
      <formula>LEN(TRIM(AC127))=0</formula>
    </cfRule>
    <cfRule type="containsBlanks" dxfId="3548" priority="155">
      <formula>LEN(TRIM(AC127))=0</formula>
    </cfRule>
    <cfRule type="containsBlanks" dxfId="3547" priority="156">
      <formula>LEN(TRIM(AC127))=0</formula>
    </cfRule>
    <cfRule type="containsBlanks" dxfId="3546" priority="157">
      <formula>LEN(TRIM(AC127))=0</formula>
    </cfRule>
    <cfRule type="containsBlanks" dxfId="3545" priority="158">
      <formula>LEN(TRIM(AC127))=0</formula>
    </cfRule>
    <cfRule type="containsBlanks" dxfId="3544" priority="159">
      <formula>LEN(TRIM(AC127))=0</formula>
    </cfRule>
    <cfRule type="containsBlanks" dxfId="3543" priority="160">
      <formula>LEN(TRIM(AC127))=0</formula>
    </cfRule>
    <cfRule type="containsBlanks" dxfId="3542" priority="161">
      <formula>LEN(TRIM(AC127))=0</formula>
    </cfRule>
    <cfRule type="containsBlanks" dxfId="3541" priority="162">
      <formula>LEN(TRIM(AC127))=0</formula>
    </cfRule>
    <cfRule type="containsBlanks" dxfId="3540" priority="163">
      <formula>LEN(TRIM(AC127))=0</formula>
    </cfRule>
    <cfRule type="containsBlanks" dxfId="3539" priority="164">
      <formula>LEN(TRIM(AC127))=0</formula>
    </cfRule>
    <cfRule type="containsBlanks" dxfId="3538" priority="165">
      <formula>LEN(TRIM(AC127))=0</formula>
    </cfRule>
    <cfRule type="containsBlanks" dxfId="3537" priority="166">
      <formula>LEN(TRIM(AC127))=0</formula>
    </cfRule>
    <cfRule type="containsBlanks" dxfId="3536" priority="167">
      <formula>LEN(TRIM(AC127))=0</formula>
    </cfRule>
    <cfRule type="containsBlanks" dxfId="3535" priority="168">
      <formula>LEN(TRIM(AC127))=0</formula>
    </cfRule>
    <cfRule type="containsBlanks" dxfId="3534" priority="169">
      <formula>LEN(TRIM(AC127))=0</formula>
    </cfRule>
    <cfRule type="containsBlanks" dxfId="3533" priority="170">
      <formula>LEN(TRIM(AC127))=0</formula>
    </cfRule>
    <cfRule type="containsBlanks" dxfId="3532" priority="171">
      <formula>LEN(TRIM(AC127))=0</formula>
    </cfRule>
    <cfRule type="containsBlanks" dxfId="3531" priority="172">
      <formula>LEN(TRIM(AC127))=0</formula>
    </cfRule>
    <cfRule type="containsBlanks" dxfId="3530" priority="173">
      <formula>LEN(TRIM(AC127))=0</formula>
    </cfRule>
    <cfRule type="containsBlanks" dxfId="3529" priority="174">
      <formula>LEN(TRIM(AC127))=0</formula>
    </cfRule>
    <cfRule type="containsBlanks" dxfId="3528" priority="175">
      <formula>LEN(TRIM(AC127))=0</formula>
    </cfRule>
    <cfRule type="containsBlanks" dxfId="3527" priority="176">
      <formula>LEN(TRIM(AC127))=0</formula>
    </cfRule>
    <cfRule type="containsBlanks" dxfId="3526" priority="177">
      <formula>LEN(TRIM(AC127))=0</formula>
    </cfRule>
    <cfRule type="containsBlanks" dxfId="3525" priority="178">
      <formula>LEN(TRIM(AC127))=0</formula>
    </cfRule>
    <cfRule type="containsBlanks" dxfId="3524" priority="179">
      <formula>LEN(TRIM(AC127))=0</formula>
    </cfRule>
    <cfRule type="containsBlanks" dxfId="3523" priority="180">
      <formula>LEN(TRIM(AC127))=0</formula>
    </cfRule>
    <cfRule type="containsBlanks" dxfId="3522" priority="181">
      <formula>LEN(TRIM(AC127))=0</formula>
    </cfRule>
    <cfRule type="containsBlanks" dxfId="3521" priority="182">
      <formula>LEN(TRIM(AC127))=0</formula>
    </cfRule>
    <cfRule type="containsBlanks" dxfId="3520" priority="183">
      <formula>LEN(TRIM(AC127))=0</formula>
    </cfRule>
    <cfRule type="containsBlanks" dxfId="3519" priority="184">
      <formula>LEN(TRIM(AC127))=0</formula>
    </cfRule>
    <cfRule type="containsBlanks" dxfId="3518" priority="185">
      <formula>LEN(TRIM(AC127))=0</formula>
    </cfRule>
    <cfRule type="containsBlanks" dxfId="3517" priority="186">
      <formula>LEN(TRIM(AC127))=0</formula>
    </cfRule>
    <cfRule type="containsBlanks" dxfId="3516" priority="187">
      <formula>LEN(TRIM(AC127))=0</formula>
    </cfRule>
    <cfRule type="containsBlanks" dxfId="3515" priority="188">
      <formula>LEN(TRIM(AC127))=0</formula>
    </cfRule>
    <cfRule type="containsBlanks" dxfId="3514" priority="189">
      <formula>LEN(TRIM(AC127))=0</formula>
    </cfRule>
    <cfRule type="containsBlanks" dxfId="3513" priority="190">
      <formula>LEN(TRIM(AC127))=0</formula>
    </cfRule>
    <cfRule type="containsBlanks" dxfId="3512" priority="191">
      <formula>LEN(TRIM(AC127))=0</formula>
    </cfRule>
    <cfRule type="containsBlanks" dxfId="3511" priority="192">
      <formula>LEN(TRIM(AC127))=0</formula>
    </cfRule>
    <cfRule type="containsBlanks" dxfId="3510" priority="193">
      <formula>LEN(TRIM(AC127))=0</formula>
    </cfRule>
    <cfRule type="containsBlanks" dxfId="3509" priority="194">
      <formula>LEN(TRIM(AC127))=0</formula>
    </cfRule>
    <cfRule type="containsBlanks" dxfId="3508" priority="195">
      <formula>LEN(TRIM(AC127))=0</formula>
    </cfRule>
    <cfRule type="containsBlanks" dxfId="3507" priority="196">
      <formula>LEN(TRIM(AC127))=0</formula>
    </cfRule>
    <cfRule type="containsBlanks" dxfId="3506" priority="197">
      <formula>LEN(TRIM(AC127))=0</formula>
    </cfRule>
    <cfRule type="containsBlanks" dxfId="3505" priority="198">
      <formula>LEN(TRIM(AC127))=0</formula>
    </cfRule>
    <cfRule type="containsBlanks" dxfId="3504" priority="199">
      <formula>LEN(TRIM(AC127))=0</formula>
    </cfRule>
    <cfRule type="containsBlanks" dxfId="3503" priority="200">
      <formula>LEN(TRIM(AC127))=0</formula>
    </cfRule>
    <cfRule type="containsBlanks" dxfId="3502" priority="201">
      <formula>LEN(TRIM(AC127))=0</formula>
    </cfRule>
    <cfRule type="containsBlanks" dxfId="3501" priority="202">
      <formula>LEN(TRIM(AC127))=0</formula>
    </cfRule>
    <cfRule type="containsBlanks" dxfId="3500" priority="203">
      <formula>LEN(TRIM(AC127))=0</formula>
    </cfRule>
    <cfRule type="containsBlanks" dxfId="3499" priority="204">
      <formula>LEN(TRIM(AC127))=0</formula>
    </cfRule>
    <cfRule type="containsBlanks" dxfId="3498" priority="205">
      <formula>LEN(TRIM(AC127))=0</formula>
    </cfRule>
    <cfRule type="containsBlanks" dxfId="3497" priority="206">
      <formula>LEN(TRIM(AC127))=0</formula>
    </cfRule>
    <cfRule type="containsBlanks" dxfId="3496" priority="207">
      <formula>LEN(TRIM(AC127))=0</formula>
    </cfRule>
    <cfRule type="containsBlanks" dxfId="3495" priority="208">
      <formula>LEN(TRIM(AC127))=0</formula>
    </cfRule>
    <cfRule type="containsBlanks" dxfId="3494" priority="209">
      <formula>LEN(TRIM(AC127))=0</formula>
    </cfRule>
    <cfRule type="containsBlanks" dxfId="3493" priority="210">
      <formula>LEN(TRIM(AC127))=0</formula>
    </cfRule>
    <cfRule type="containsBlanks" dxfId="3492" priority="211">
      <formula>LEN(TRIM(AC127))=0</formula>
    </cfRule>
    <cfRule type="containsBlanks" dxfId="3491" priority="212">
      <formula>LEN(TRIM(AC127))=0</formula>
    </cfRule>
    <cfRule type="containsBlanks" dxfId="3490" priority="213">
      <formula>LEN(TRIM(AC127))=0</formula>
    </cfRule>
    <cfRule type="containsBlanks" dxfId="3489" priority="214">
      <formula>LEN(TRIM(AC127))=0</formula>
    </cfRule>
    <cfRule type="containsBlanks" dxfId="3488" priority="215">
      <formula>LEN(TRIM(AC127))=0</formula>
    </cfRule>
    <cfRule type="containsBlanks" dxfId="3487" priority="216">
      <formula>LEN(TRIM(AC127))=0</formula>
    </cfRule>
    <cfRule type="containsBlanks" dxfId="3486" priority="217">
      <formula>LEN(TRIM(AC127))=0</formula>
    </cfRule>
    <cfRule type="containsBlanks" dxfId="3485" priority="218">
      <formula>LEN(TRIM(AC127))=0</formula>
    </cfRule>
    <cfRule type="containsBlanks" dxfId="3484" priority="219">
      <formula>LEN(TRIM(AC127))=0</formula>
    </cfRule>
    <cfRule type="containsBlanks" dxfId="3483" priority="220">
      <formula>LEN(TRIM(AC127))=0</formula>
    </cfRule>
    <cfRule type="containsBlanks" dxfId="3482" priority="221">
      <formula>LEN(TRIM(AC127))=0</formula>
    </cfRule>
    <cfRule type="containsBlanks" dxfId="3481" priority="222">
      <formula>LEN(TRIM(AC127))=0</formula>
    </cfRule>
    <cfRule type="containsBlanks" dxfId="3480" priority="223">
      <formula>LEN(TRIM(AC127))=0</formula>
    </cfRule>
    <cfRule type="containsBlanks" dxfId="3479" priority="224">
      <formula>LEN(TRIM(AC127))=0</formula>
    </cfRule>
    <cfRule type="containsBlanks" dxfId="3478" priority="225">
      <formula>LEN(TRIM(AC127))=0</formula>
    </cfRule>
    <cfRule type="containsBlanks" dxfId="3477" priority="226">
      <formula>LEN(TRIM(AC127))=0</formula>
    </cfRule>
    <cfRule type="containsBlanks" dxfId="3476" priority="227">
      <formula>LEN(TRIM(AC127))=0</formula>
    </cfRule>
    <cfRule type="containsBlanks" dxfId="3475" priority="228">
      <formula>LEN(TRIM(AC127))=0</formula>
    </cfRule>
    <cfRule type="containsBlanks" dxfId="3474" priority="229">
      <formula>LEN(TRIM(AC127))=0</formula>
    </cfRule>
    <cfRule type="containsBlanks" dxfId="3473" priority="230">
      <formula>LEN(TRIM(AC127))=0</formula>
    </cfRule>
    <cfRule type="containsBlanks" dxfId="3472" priority="231">
      <formula>LEN(TRIM(AC127))=0</formula>
    </cfRule>
    <cfRule type="containsBlanks" dxfId="3471" priority="232">
      <formula>LEN(TRIM(AC127))=0</formula>
    </cfRule>
    <cfRule type="containsBlanks" dxfId="3470" priority="233">
      <formula>LEN(TRIM(AC127))=0</formula>
    </cfRule>
    <cfRule type="containsBlanks" dxfId="3469" priority="234">
      <formula>LEN(TRIM(AC127))=0</formula>
    </cfRule>
    <cfRule type="containsBlanks" dxfId="3468" priority="235">
      <formula>LEN(TRIM(AC127))=0</formula>
    </cfRule>
    <cfRule type="containsBlanks" dxfId="3467" priority="236">
      <formula>LEN(TRIM(AC127))=0</formula>
    </cfRule>
    <cfRule type="containsBlanks" dxfId="3466" priority="237">
      <formula>LEN(TRIM(AC127))=0</formula>
    </cfRule>
    <cfRule type="containsBlanks" dxfId="3465" priority="238">
      <formula>LEN(TRIM(AC127))=0</formula>
    </cfRule>
    <cfRule type="containsBlanks" dxfId="3464" priority="239">
      <formula>LEN(TRIM(AC127))=0</formula>
    </cfRule>
    <cfRule type="containsBlanks" dxfId="3463" priority="240">
      <formula>LEN(TRIM(AC127))=0</formula>
    </cfRule>
    <cfRule type="containsBlanks" dxfId="3462" priority="241">
      <formula>LEN(TRIM(AC127))=0</formula>
    </cfRule>
    <cfRule type="containsBlanks" dxfId="3461" priority="242">
      <formula>LEN(TRIM(AC127))=0</formula>
    </cfRule>
    <cfRule type="containsBlanks" dxfId="3460" priority="243">
      <formula>LEN(TRIM(AC127))=0</formula>
    </cfRule>
    <cfRule type="containsBlanks" dxfId="3459" priority="244">
      <formula>LEN(TRIM(AC127))=0</formula>
    </cfRule>
    <cfRule type="containsBlanks" dxfId="3458" priority="245">
      <formula>LEN(TRIM(AC127))=0</formula>
    </cfRule>
    <cfRule type="containsBlanks" dxfId="3457" priority="246">
      <formula>LEN(TRIM(AC127))=0</formula>
    </cfRule>
    <cfRule type="containsBlanks" dxfId="3456" priority="247">
      <formula>LEN(TRIM(AC127))=0</formula>
    </cfRule>
    <cfRule type="containsBlanks" dxfId="3455" priority="248">
      <formula>LEN(TRIM(AC127))=0</formula>
    </cfRule>
    <cfRule type="containsBlanks" dxfId="3454" priority="249">
      <formula>LEN(TRIM(AC127))=0</formula>
    </cfRule>
    <cfRule type="containsBlanks" dxfId="3453" priority="250">
      <formula>LEN(TRIM(AC127))=0</formula>
    </cfRule>
    <cfRule type="containsBlanks" dxfId="3452" priority="251">
      <formula>LEN(TRIM(AC127))=0</formula>
    </cfRule>
    <cfRule type="containsBlanks" dxfId="3451" priority="252">
      <formula>LEN(TRIM(AC127))=0</formula>
    </cfRule>
    <cfRule type="containsBlanks" dxfId="3450" priority="253">
      <formula>LEN(TRIM(AC127))=0</formula>
    </cfRule>
    <cfRule type="containsBlanks" dxfId="3449" priority="254">
      <formula>LEN(TRIM(AC127))=0</formula>
    </cfRule>
    <cfRule type="containsBlanks" dxfId="3448" priority="255">
      <formula>LEN(TRIM(AC127))=0</formula>
    </cfRule>
    <cfRule type="containsBlanks" dxfId="3447" priority="256">
      <formula>LEN(TRIM(AC127))=0</formula>
    </cfRule>
    <cfRule type="containsBlanks" dxfId="3446" priority="257">
      <formula>LEN(TRIM(AC127))=0</formula>
    </cfRule>
    <cfRule type="containsBlanks" dxfId="3445" priority="258">
      <formula>LEN(TRIM(AC127))=0</formula>
    </cfRule>
    <cfRule type="containsBlanks" dxfId="3444" priority="259">
      <formula>LEN(TRIM(AC127))=0</formula>
    </cfRule>
    <cfRule type="containsBlanks" dxfId="3443" priority="260">
      <formula>LEN(TRIM(AC127))=0</formula>
    </cfRule>
    <cfRule type="containsBlanks" dxfId="3442" priority="261">
      <formula>LEN(TRIM(AC127))=0</formula>
    </cfRule>
    <cfRule type="containsBlanks" dxfId="3441" priority="262">
      <formula>LEN(TRIM(AC127))=0</formula>
    </cfRule>
    <cfRule type="containsBlanks" dxfId="3440" priority="263">
      <formula>LEN(TRIM(AC127))=0</formula>
    </cfRule>
    <cfRule type="containsBlanks" dxfId="3439" priority="264">
      <formula>LEN(TRIM(AC127))=0</formula>
    </cfRule>
    <cfRule type="containsBlanks" dxfId="3438" priority="265">
      <formula>LEN(TRIM(AC127))=0</formula>
    </cfRule>
    <cfRule type="containsBlanks" dxfId="3437" priority="266">
      <formula>LEN(TRIM(AC127))=0</formula>
    </cfRule>
    <cfRule type="containsBlanks" dxfId="3436" priority="267">
      <formula>LEN(TRIM(AC127))=0</formula>
    </cfRule>
    <cfRule type="containsBlanks" dxfId="3435" priority="268">
      <formula>LEN(TRIM(AC127))=0</formula>
    </cfRule>
    <cfRule type="containsBlanks" dxfId="3434" priority="269">
      <formula>LEN(TRIM(AC127))=0</formula>
    </cfRule>
    <cfRule type="containsBlanks" dxfId="3433" priority="270">
      <formula>LEN(TRIM(AC127))=0</formula>
    </cfRule>
    <cfRule type="containsBlanks" dxfId="3432" priority="271">
      <formula>LEN(TRIM(AC127))=0</formula>
    </cfRule>
    <cfRule type="containsBlanks" dxfId="3431" priority="272">
      <formula>LEN(TRIM(AC127))=0</formula>
    </cfRule>
    <cfRule type="containsBlanks" dxfId="3430" priority="273">
      <formula>LEN(TRIM(AC127))=0</formula>
    </cfRule>
    <cfRule type="containsBlanks" dxfId="3429" priority="274">
      <formula>LEN(TRIM(AC127))=0</formula>
    </cfRule>
    <cfRule type="containsBlanks" dxfId="3428" priority="275">
      <formula>LEN(TRIM(AC127))=0</formula>
    </cfRule>
    <cfRule type="containsBlanks" dxfId="3427" priority="276">
      <formula>LEN(TRIM(AC127))=0</formula>
    </cfRule>
    <cfRule type="containsBlanks" dxfId="3426" priority="277">
      <formula>LEN(TRIM(AC127))=0</formula>
    </cfRule>
    <cfRule type="containsBlanks" dxfId="3425" priority="278">
      <formula>LEN(TRIM(AC127))=0</formula>
    </cfRule>
    <cfRule type="containsBlanks" dxfId="3424" priority="279">
      <formula>LEN(TRIM(AC127))=0</formula>
    </cfRule>
    <cfRule type="containsBlanks" dxfId="3423" priority="280">
      <formula>LEN(TRIM(AC127))=0</formula>
    </cfRule>
    <cfRule type="containsBlanks" dxfId="3422" priority="281">
      <formula>LEN(TRIM(AC127))=0</formula>
    </cfRule>
    <cfRule type="containsBlanks" dxfId="3421" priority="282">
      <formula>LEN(TRIM(AC127))=0</formula>
    </cfRule>
    <cfRule type="containsBlanks" dxfId="3420" priority="283">
      <formula>LEN(TRIM(AC127))=0</formula>
    </cfRule>
    <cfRule type="containsBlanks" dxfId="3419" priority="284">
      <formula>LEN(TRIM(AC127))=0</formula>
    </cfRule>
    <cfRule type="containsBlanks" dxfId="3418" priority="285">
      <formula>LEN(TRIM(AC127))=0</formula>
    </cfRule>
    <cfRule type="containsBlanks" dxfId="3417" priority="286">
      <formula>LEN(TRIM(AC127))=0</formula>
    </cfRule>
    <cfRule type="containsBlanks" dxfId="3416" priority="287">
      <formula>LEN(TRIM(AC127))=0</formula>
    </cfRule>
    <cfRule type="containsBlanks" dxfId="3415" priority="288">
      <formula>LEN(TRIM(AC127))=0</formula>
    </cfRule>
    <cfRule type="containsBlanks" dxfId="3414" priority="289">
      <formula>LEN(TRIM(AC127))=0</formula>
    </cfRule>
    <cfRule type="containsBlanks" dxfId="3413" priority="290">
      <formula>LEN(TRIM(AC127))=0</formula>
    </cfRule>
    <cfRule type="containsBlanks" dxfId="3412" priority="291">
      <formula>LEN(TRIM(AC127))=0</formula>
    </cfRule>
    <cfRule type="containsBlanks" dxfId="3411" priority="292">
      <formula>LEN(TRIM(AC127))=0</formula>
    </cfRule>
    <cfRule type="containsBlanks" dxfId="3410" priority="293">
      <formula>LEN(TRIM(AC127))=0</formula>
    </cfRule>
    <cfRule type="containsBlanks" dxfId="3409" priority="294">
      <formula>LEN(TRIM(AC127))=0</formula>
    </cfRule>
    <cfRule type="containsBlanks" dxfId="3408" priority="295">
      <formula>LEN(TRIM(AC127))=0</formula>
    </cfRule>
    <cfRule type="containsBlanks" dxfId="3407" priority="296">
      <formula>LEN(TRIM(AC127))=0</formula>
    </cfRule>
    <cfRule type="containsBlanks" dxfId="3406" priority="297">
      <formula>LEN(TRIM(AC127))=0</formula>
    </cfRule>
    <cfRule type="containsBlanks" dxfId="3405" priority="298">
      <formula>LEN(TRIM(AC127))=0</formula>
    </cfRule>
    <cfRule type="containsBlanks" dxfId="3404" priority="299">
      <formula>LEN(TRIM(AC127))=0</formula>
    </cfRule>
    <cfRule type="containsBlanks" dxfId="3403" priority="300">
      <formula>LEN(TRIM(AC127))=0</formula>
    </cfRule>
    <cfRule type="containsBlanks" dxfId="3402" priority="301">
      <formula>LEN(TRIM(AC127))=0</formula>
    </cfRule>
    <cfRule type="containsBlanks" dxfId="3401" priority="302">
      <formula>LEN(TRIM(AC127))=0</formula>
    </cfRule>
    <cfRule type="containsBlanks" dxfId="3400" priority="303">
      <formula>LEN(TRIM(AC127))=0</formula>
    </cfRule>
    <cfRule type="containsBlanks" dxfId="3399" priority="304">
      <formula>LEN(TRIM(AC127))=0</formula>
    </cfRule>
    <cfRule type="containsBlanks" dxfId="3398" priority="305">
      <formula>LEN(TRIM(AC127))=0</formula>
    </cfRule>
    <cfRule type="containsBlanks" dxfId="3397" priority="306">
      <formula>LEN(TRIM(AC127))=0</formula>
    </cfRule>
    <cfRule type="containsBlanks" dxfId="3396" priority="307">
      <formula>LEN(TRIM(AC127))=0</formula>
    </cfRule>
    <cfRule type="containsBlanks" dxfId="3395" priority="308">
      <formula>LEN(TRIM(AC127))=0</formula>
    </cfRule>
    <cfRule type="containsBlanks" dxfId="3394" priority="309">
      <formula>LEN(TRIM(AC127))=0</formula>
    </cfRule>
    <cfRule type="containsBlanks" dxfId="3393" priority="310">
      <formula>LEN(TRIM(AC127))=0</formula>
    </cfRule>
    <cfRule type="containsBlanks" dxfId="3392" priority="311">
      <formula>LEN(TRIM(AC127))=0</formula>
    </cfRule>
    <cfRule type="containsBlanks" dxfId="3391" priority="312">
      <formula>LEN(TRIM(AC127))=0</formula>
    </cfRule>
    <cfRule type="containsBlanks" dxfId="3390" priority="313">
      <formula>LEN(TRIM(AC127))=0</formula>
    </cfRule>
    <cfRule type="containsBlanks" dxfId="3389" priority="314">
      <formula>LEN(TRIM(AC127))=0</formula>
    </cfRule>
    <cfRule type="containsBlanks" dxfId="3388" priority="315">
      <formula>LEN(TRIM(AC127))=0</formula>
    </cfRule>
    <cfRule type="containsBlanks" dxfId="3387" priority="316">
      <formula>LEN(TRIM(AC127))=0</formula>
    </cfRule>
    <cfRule type="containsBlanks" dxfId="3386" priority="317">
      <formula>LEN(TRIM(AC127))=0</formula>
    </cfRule>
    <cfRule type="containsBlanks" dxfId="3385" priority="318">
      <formula>LEN(TRIM(AC127))=0</formula>
    </cfRule>
    <cfRule type="containsBlanks" dxfId="3384" priority="319">
      <formula>LEN(TRIM(AC127))=0</formula>
    </cfRule>
    <cfRule type="containsBlanks" dxfId="3383" priority="320">
      <formula>LEN(TRIM(AC127))=0</formula>
    </cfRule>
    <cfRule type="containsBlanks" dxfId="3382" priority="321">
      <formula>LEN(TRIM(AC127))=0</formula>
    </cfRule>
    <cfRule type="containsBlanks" dxfId="3381" priority="322">
      <formula>LEN(TRIM(AC127))=0</formula>
    </cfRule>
    <cfRule type="containsBlanks" dxfId="3380" priority="323">
      <formula>LEN(TRIM(AC127))=0</formula>
    </cfRule>
    <cfRule type="containsBlanks" dxfId="3379" priority="324">
      <formula>LEN(TRIM(AC127))=0</formula>
    </cfRule>
    <cfRule type="containsBlanks" dxfId="3378" priority="325">
      <formula>LEN(TRIM(AC127))=0</formula>
    </cfRule>
    <cfRule type="containsBlanks" dxfId="3377" priority="326">
      <formula>LEN(TRIM(AC127))=0</formula>
    </cfRule>
    <cfRule type="containsBlanks" dxfId="3376" priority="327">
      <formula>LEN(TRIM(AC127))=0</formula>
    </cfRule>
    <cfRule type="containsBlanks" dxfId="3375" priority="328">
      <formula>LEN(TRIM(AC127))=0</formula>
    </cfRule>
    <cfRule type="containsBlanks" dxfId="3374" priority="329">
      <formula>LEN(TRIM(AC127))=0</formula>
    </cfRule>
    <cfRule type="containsBlanks" dxfId="3373" priority="330">
      <formula>LEN(TRIM(AC127))=0</formula>
    </cfRule>
    <cfRule type="containsBlanks" dxfId="3372" priority="331">
      <formula>LEN(TRIM(AC127))=0</formula>
    </cfRule>
    <cfRule type="containsBlanks" dxfId="3371" priority="332">
      <formula>LEN(TRIM(AC127))=0</formula>
    </cfRule>
    <cfRule type="containsBlanks" dxfId="3370" priority="333">
      <formula>LEN(TRIM(AC127))=0</formula>
    </cfRule>
    <cfRule type="containsBlanks" dxfId="3369" priority="334">
      <formula>LEN(TRIM(AC127))=0</formula>
    </cfRule>
    <cfRule type="containsBlanks" dxfId="3368" priority="335">
      <formula>LEN(TRIM(AC127))=0</formula>
    </cfRule>
    <cfRule type="containsBlanks" dxfId="3367" priority="336">
      <formula>LEN(TRIM(AC127))=0</formula>
    </cfRule>
    <cfRule type="containsBlanks" dxfId="3366" priority="337">
      <formula>LEN(TRIM(AC127))=0</formula>
    </cfRule>
    <cfRule type="containsBlanks" dxfId="3365" priority="338">
      <formula>LEN(TRIM(AC127))=0</formula>
    </cfRule>
    <cfRule type="containsBlanks" dxfId="3364" priority="339">
      <formula>LEN(TRIM(AC127))=0</formula>
    </cfRule>
    <cfRule type="containsBlanks" dxfId="3363" priority="340">
      <formula>LEN(TRIM(AC127))=0</formula>
    </cfRule>
    <cfRule type="containsBlanks" dxfId="3362" priority="341">
      <formula>LEN(TRIM(AC127))=0</formula>
    </cfRule>
    <cfRule type="containsBlanks" dxfId="3361" priority="342">
      <formula>LEN(TRIM(AC127))=0</formula>
    </cfRule>
    <cfRule type="containsBlanks" dxfId="3360" priority="343">
      <formula>LEN(TRIM(AC127))=0</formula>
    </cfRule>
    <cfRule type="containsBlanks" dxfId="3359" priority="344">
      <formula>LEN(TRIM(AC127))=0</formula>
    </cfRule>
    <cfRule type="containsBlanks" dxfId="3358" priority="345">
      <formula>LEN(TRIM(AC127))=0</formula>
    </cfRule>
    <cfRule type="containsBlanks" dxfId="3357" priority="346">
      <formula>LEN(TRIM(AC127))=0</formula>
    </cfRule>
    <cfRule type="containsBlanks" dxfId="3356" priority="347">
      <formula>LEN(TRIM(AC127))=0</formula>
    </cfRule>
    <cfRule type="containsBlanks" dxfId="3355" priority="348">
      <formula>LEN(TRIM(AC127))=0</formula>
    </cfRule>
    <cfRule type="containsBlanks" dxfId="3354" priority="349">
      <formula>LEN(TRIM(AC127))=0</formula>
    </cfRule>
    <cfRule type="containsBlanks" dxfId="3353" priority="350">
      <formula>LEN(TRIM(AC127))=0</formula>
    </cfRule>
    <cfRule type="containsBlanks" dxfId="3352" priority="351">
      <formula>LEN(TRIM(AC127))=0</formula>
    </cfRule>
    <cfRule type="containsBlanks" dxfId="3351" priority="352">
      <formula>LEN(TRIM(AC127))=0</formula>
    </cfRule>
    <cfRule type="containsBlanks" dxfId="3350" priority="353">
      <formula>LEN(TRIM(AC127))=0</formula>
    </cfRule>
    <cfRule type="containsBlanks" dxfId="3349" priority="354">
      <formula>LEN(TRIM(AC127))=0</formula>
    </cfRule>
    <cfRule type="containsBlanks" dxfId="3348" priority="355">
      <formula>LEN(TRIM(AC127))=0</formula>
    </cfRule>
    <cfRule type="containsBlanks" dxfId="3347" priority="356">
      <formula>LEN(TRIM(AC127))=0</formula>
    </cfRule>
    <cfRule type="containsBlanks" dxfId="3346" priority="357">
      <formula>LEN(TRIM(AC127))=0</formula>
    </cfRule>
    <cfRule type="containsBlanks" dxfId="3345" priority="358">
      <formula>LEN(TRIM(AC127))=0</formula>
    </cfRule>
    <cfRule type="containsBlanks" dxfId="3344" priority="359">
      <formula>LEN(TRIM(AC127))=0</formula>
    </cfRule>
    <cfRule type="containsBlanks" dxfId="3343" priority="360">
      <formula>LEN(TRIM(AC127))=0</formula>
    </cfRule>
    <cfRule type="containsBlanks" dxfId="3342" priority="361">
      <formula>LEN(TRIM(AC127))=0</formula>
    </cfRule>
    <cfRule type="containsBlanks" dxfId="3341" priority="362">
      <formula>LEN(TRIM(AC127))=0</formula>
    </cfRule>
    <cfRule type="containsBlanks" dxfId="3340" priority="363">
      <formula>LEN(TRIM(AC127))=0</formula>
    </cfRule>
    <cfRule type="containsBlanks" dxfId="3339" priority="364">
      <formula>LEN(TRIM(AC127))=0</formula>
    </cfRule>
    <cfRule type="containsBlanks" dxfId="3338" priority="365">
      <formula>LEN(TRIM(AC127))=0</formula>
    </cfRule>
    <cfRule type="containsBlanks" dxfId="3337" priority="366">
      <formula>LEN(TRIM(AC127))=0</formula>
    </cfRule>
    <cfRule type="containsBlanks" dxfId="3336" priority="367">
      <formula>LEN(TRIM(AC127))=0</formula>
    </cfRule>
    <cfRule type="containsBlanks" dxfId="3335" priority="368">
      <formula>LEN(TRIM(AC127))=0</formula>
    </cfRule>
    <cfRule type="containsBlanks" dxfId="3334" priority="369">
      <formula>LEN(TRIM(AC127))=0</formula>
    </cfRule>
    <cfRule type="containsBlanks" dxfId="3333" priority="370">
      <formula>LEN(TRIM(AC127))=0</formula>
    </cfRule>
    <cfRule type="containsBlanks" dxfId="3332" priority="371">
      <formula>LEN(TRIM(AC127))=0</formula>
    </cfRule>
    <cfRule type="containsBlanks" dxfId="3331" priority="372">
      <formula>LEN(TRIM(AC127))=0</formula>
    </cfRule>
    <cfRule type="containsBlanks" dxfId="3330" priority="373">
      <formula>LEN(TRIM(AC127))=0</formula>
    </cfRule>
    <cfRule type="containsBlanks" dxfId="3329" priority="374">
      <formula>LEN(TRIM(AC127))=0</formula>
    </cfRule>
    <cfRule type="containsBlanks" dxfId="3328" priority="375">
      <formula>LEN(TRIM(AC127))=0</formula>
    </cfRule>
    <cfRule type="containsBlanks" dxfId="3327" priority="376">
      <formula>LEN(TRIM(AC127))=0</formula>
    </cfRule>
    <cfRule type="containsBlanks" dxfId="3326" priority="377">
      <formula>LEN(TRIM(AC127))=0</formula>
    </cfRule>
    <cfRule type="containsBlanks" dxfId="3325" priority="378">
      <formula>LEN(TRIM(AC127))=0</formula>
    </cfRule>
    <cfRule type="containsBlanks" dxfId="3324" priority="379">
      <formula>LEN(TRIM(AC127))=0</formula>
    </cfRule>
    <cfRule type="containsBlanks" dxfId="3323" priority="380">
      <formula>LEN(TRIM(AC127))=0</formula>
    </cfRule>
    <cfRule type="containsBlanks" dxfId="3322" priority="381">
      <formula>LEN(TRIM(AC127))=0</formula>
    </cfRule>
    <cfRule type="containsBlanks" dxfId="3321" priority="382">
      <formula>LEN(TRIM(AC127))=0</formula>
    </cfRule>
    <cfRule type="containsBlanks" dxfId="3320" priority="383">
      <formula>LEN(TRIM(AC127))=0</formula>
    </cfRule>
    <cfRule type="containsBlanks" dxfId="3319" priority="384">
      <formula>LEN(TRIM(AC127))=0</formula>
    </cfRule>
    <cfRule type="containsBlanks" dxfId="3318" priority="385">
      <formula>LEN(TRIM(AC127))=0</formula>
    </cfRule>
    <cfRule type="containsBlanks" dxfId="3317" priority="386">
      <formula>LEN(TRIM(AC127))=0</formula>
    </cfRule>
    <cfRule type="containsBlanks" dxfId="3316" priority="387">
      <formula>LEN(TRIM(AC127))=0</formula>
    </cfRule>
    <cfRule type="containsBlanks" dxfId="3315" priority="388">
      <formula>LEN(TRIM(AC127))=0</formula>
    </cfRule>
    <cfRule type="containsBlanks" dxfId="3314" priority="389">
      <formula>LEN(TRIM(AC127))=0</formula>
    </cfRule>
    <cfRule type="containsBlanks" dxfId="3313" priority="390">
      <formula>LEN(TRIM(AC127))=0</formula>
    </cfRule>
    <cfRule type="containsBlanks" dxfId="3312" priority="391">
      <formula>LEN(TRIM(AC127))=0</formula>
    </cfRule>
    <cfRule type="containsBlanks" dxfId="3311" priority="392">
      <formula>LEN(TRIM(AC127))=0</formula>
    </cfRule>
    <cfRule type="containsBlanks" dxfId="3310" priority="393">
      <formula>LEN(TRIM(AC127))=0</formula>
    </cfRule>
    <cfRule type="containsBlanks" dxfId="3309" priority="394">
      <formula>LEN(TRIM(AC127))=0</formula>
    </cfRule>
    <cfRule type="containsBlanks" dxfId="3308" priority="395">
      <formula>LEN(TRIM(AC127))=0</formula>
    </cfRule>
    <cfRule type="containsBlanks" dxfId="3307" priority="396">
      <formula>LEN(TRIM(AC127))=0</formula>
    </cfRule>
    <cfRule type="containsBlanks" dxfId="3306" priority="397">
      <formula>LEN(TRIM(AC127))=0</formula>
    </cfRule>
    <cfRule type="containsBlanks" dxfId="3305" priority="398">
      <formula>LEN(TRIM(AC127))=0</formula>
    </cfRule>
    <cfRule type="containsBlanks" dxfId="3304" priority="399">
      <formula>LEN(TRIM(AC127))=0</formula>
    </cfRule>
    <cfRule type="containsBlanks" dxfId="3303" priority="400">
      <formula>LEN(TRIM(AC127))=0</formula>
    </cfRule>
    <cfRule type="containsBlanks" dxfId="3302" priority="401">
      <formula>LEN(TRIM(AC127))=0</formula>
    </cfRule>
    <cfRule type="containsBlanks" dxfId="3301" priority="402">
      <formula>LEN(TRIM(AC127))=0</formula>
    </cfRule>
    <cfRule type="containsBlanks" dxfId="3300" priority="403">
      <formula>LEN(TRIM(AC127))=0</formula>
    </cfRule>
    <cfRule type="containsBlanks" dxfId="3299" priority="404">
      <formula>LEN(TRIM(AC127))=0</formula>
    </cfRule>
    <cfRule type="containsBlanks" dxfId="3298" priority="405">
      <formula>LEN(TRIM(AC127))=0</formula>
    </cfRule>
    <cfRule type="containsBlanks" dxfId="3297" priority="406">
      <formula>LEN(TRIM(AC127))=0</formula>
    </cfRule>
    <cfRule type="containsBlanks" dxfId="3296" priority="407">
      <formula>LEN(TRIM(AC127))=0</formula>
    </cfRule>
    <cfRule type="containsBlanks" dxfId="3295" priority="408">
      <formula>LEN(TRIM(AC127))=0</formula>
    </cfRule>
    <cfRule type="containsBlanks" dxfId="3294" priority="409">
      <formula>LEN(TRIM(AC127))=0</formula>
    </cfRule>
    <cfRule type="containsBlanks" dxfId="3293" priority="410">
      <formula>LEN(TRIM(AC127))=0</formula>
    </cfRule>
    <cfRule type="containsBlanks" dxfId="3292" priority="411">
      <formula>LEN(TRIM(AC127))=0</formula>
    </cfRule>
    <cfRule type="containsBlanks" dxfId="3291" priority="412">
      <formula>LEN(TRIM(AC127))=0</formula>
    </cfRule>
    <cfRule type="containsBlanks" dxfId="3290" priority="413">
      <formula>LEN(TRIM(AC127))=0</formula>
    </cfRule>
    <cfRule type="containsBlanks" dxfId="3289" priority="414">
      <formula>LEN(TRIM(AC127))=0</formula>
    </cfRule>
    <cfRule type="containsBlanks" dxfId="3288" priority="415">
      <formula>LEN(TRIM(AC127))=0</formula>
    </cfRule>
    <cfRule type="containsBlanks" dxfId="3287" priority="416">
      <formula>LEN(TRIM(AC127))=0</formula>
    </cfRule>
    <cfRule type="containsBlanks" dxfId="3286" priority="417">
      <formula>LEN(TRIM(AC127))=0</formula>
    </cfRule>
    <cfRule type="containsBlanks" dxfId="3285" priority="418">
      <formula>LEN(TRIM(AC127))=0</formula>
    </cfRule>
    <cfRule type="containsBlanks" dxfId="3284" priority="419">
      <formula>LEN(TRIM(AC127))=0</formula>
    </cfRule>
    <cfRule type="containsBlanks" dxfId="3283" priority="420">
      <formula>LEN(TRIM(AC127))=0</formula>
    </cfRule>
    <cfRule type="containsBlanks" dxfId="3282" priority="421">
      <formula>LEN(TRIM(AC127))=0</formula>
    </cfRule>
    <cfRule type="containsBlanks" dxfId="3281" priority="422">
      <formula>LEN(TRIM(AC127))=0</formula>
    </cfRule>
    <cfRule type="containsBlanks" dxfId="3280" priority="423">
      <formula>LEN(TRIM(AC127))=0</formula>
    </cfRule>
    <cfRule type="containsBlanks" dxfId="3279" priority="424">
      <formula>LEN(TRIM(AC127))=0</formula>
    </cfRule>
    <cfRule type="containsBlanks" dxfId="3278" priority="425">
      <formula>LEN(TRIM(AC127))=0</formula>
    </cfRule>
    <cfRule type="containsBlanks" dxfId="3277" priority="426">
      <formula>LEN(TRIM(AC127))=0</formula>
    </cfRule>
    <cfRule type="containsBlanks" dxfId="3276" priority="427">
      <formula>LEN(TRIM(AC127))=0</formula>
    </cfRule>
    <cfRule type="containsBlanks" dxfId="3275" priority="428">
      <formula>LEN(TRIM(AC127))=0</formula>
    </cfRule>
    <cfRule type="containsBlanks" dxfId="3274" priority="429">
      <formula>LEN(TRIM(AC127))=0</formula>
    </cfRule>
    <cfRule type="containsBlanks" dxfId="3273" priority="430">
      <formula>LEN(TRIM(AC127))=0</formula>
    </cfRule>
    <cfRule type="containsBlanks" dxfId="3272" priority="431">
      <formula>LEN(TRIM(AC127))=0</formula>
    </cfRule>
    <cfRule type="containsBlanks" dxfId="3271" priority="432">
      <formula>LEN(TRIM(AC127))=0</formula>
    </cfRule>
    <cfRule type="containsBlanks" dxfId="3270" priority="433">
      <formula>LEN(TRIM(AC127))=0</formula>
    </cfRule>
    <cfRule type="containsBlanks" dxfId="3269" priority="434">
      <formula>LEN(TRIM(AC127))=0</formula>
    </cfRule>
    <cfRule type="containsBlanks" dxfId="3268" priority="435">
      <formula>LEN(TRIM(AC127))=0</formula>
    </cfRule>
    <cfRule type="containsBlanks" dxfId="3267" priority="436">
      <formula>LEN(TRIM(AC127))=0</formula>
    </cfRule>
    <cfRule type="containsBlanks" dxfId="3266" priority="437">
      <formula>LEN(TRIM(AC127))=0</formula>
    </cfRule>
    <cfRule type="containsBlanks" dxfId="3265" priority="438">
      <formula>LEN(TRIM(AC127))=0</formula>
    </cfRule>
    <cfRule type="containsBlanks" dxfId="3264" priority="439">
      <formula>LEN(TRIM(AC127))=0</formula>
    </cfRule>
    <cfRule type="containsBlanks" dxfId="3263" priority="440">
      <formula>LEN(TRIM(AC127))=0</formula>
    </cfRule>
    <cfRule type="containsBlanks" dxfId="3262" priority="441">
      <formula>LEN(TRIM(AC127))=0</formula>
    </cfRule>
    <cfRule type="containsBlanks" dxfId="3261" priority="442">
      <formula>LEN(TRIM(AC127))=0</formula>
    </cfRule>
    <cfRule type="containsBlanks" dxfId="3260" priority="443">
      <formula>LEN(TRIM(AC127))=0</formula>
    </cfRule>
    <cfRule type="containsBlanks" dxfId="3259" priority="444">
      <formula>LEN(TRIM(AC127))=0</formula>
    </cfRule>
    <cfRule type="containsBlanks" dxfId="3258" priority="445">
      <formula>LEN(TRIM(AC127))=0</formula>
    </cfRule>
    <cfRule type="containsBlanks" dxfId="3257" priority="446">
      <formula>LEN(TRIM(AC127))=0</formula>
    </cfRule>
    <cfRule type="containsBlanks" dxfId="3256" priority="447">
      <formula>LEN(TRIM(AC127))=0</formula>
    </cfRule>
    <cfRule type="containsBlanks" dxfId="3255" priority="448">
      <formula>LEN(TRIM(AC127))=0</formula>
    </cfRule>
    <cfRule type="containsBlanks" dxfId="3254" priority="449">
      <formula>LEN(TRIM(AC127))=0</formula>
    </cfRule>
    <cfRule type="containsBlanks" dxfId="3253" priority="450">
      <formula>LEN(TRIM(AC127))=0</formula>
    </cfRule>
    <cfRule type="containsBlanks" dxfId="3252" priority="451">
      <formula>LEN(TRIM(AC127))=0</formula>
    </cfRule>
    <cfRule type="containsBlanks" dxfId="3251" priority="452">
      <formula>LEN(TRIM(AC127))=0</formula>
    </cfRule>
    <cfRule type="containsBlanks" dxfId="3250" priority="453">
      <formula>LEN(TRIM(AC127))=0</formula>
    </cfRule>
    <cfRule type="containsBlanks" dxfId="3249" priority="454">
      <formula>LEN(TRIM(AC127))=0</formula>
    </cfRule>
    <cfRule type="containsBlanks" dxfId="3248" priority="455">
      <formula>LEN(TRIM(AC127))=0</formula>
    </cfRule>
    <cfRule type="containsBlanks" dxfId="3247" priority="456">
      <formula>LEN(TRIM(AC127))=0</formula>
    </cfRule>
    <cfRule type="containsBlanks" dxfId="3246" priority="457">
      <formula>LEN(TRIM(AC127))=0</formula>
    </cfRule>
    <cfRule type="containsBlanks" dxfId="3245" priority="458">
      <formula>LEN(TRIM(AC127))=0</formula>
    </cfRule>
    <cfRule type="containsBlanks" dxfId="3244" priority="459">
      <formula>LEN(TRIM(AC127))=0</formula>
    </cfRule>
    <cfRule type="containsBlanks" dxfId="3243" priority="460">
      <formula>LEN(TRIM(AC127))=0</formula>
    </cfRule>
    <cfRule type="containsBlanks" dxfId="3242" priority="461">
      <formula>LEN(TRIM(AC127))=0</formula>
    </cfRule>
    <cfRule type="containsBlanks" dxfId="3241" priority="462">
      <formula>LEN(TRIM(AC127))=0</formula>
    </cfRule>
    <cfRule type="containsBlanks" dxfId="3240" priority="463">
      <formula>LEN(TRIM(AC127))=0</formula>
    </cfRule>
    <cfRule type="containsBlanks" dxfId="3239" priority="464">
      <formula>LEN(TRIM(AC127))=0</formula>
    </cfRule>
    <cfRule type="containsBlanks" dxfId="3238" priority="465">
      <formula>LEN(TRIM(AC127))=0</formula>
    </cfRule>
    <cfRule type="containsBlanks" dxfId="3237" priority="466">
      <formula>LEN(TRIM(AC127))=0</formula>
    </cfRule>
    <cfRule type="containsBlanks" dxfId="3236" priority="467">
      <formula>LEN(TRIM(AC127))=0</formula>
    </cfRule>
    <cfRule type="containsBlanks" dxfId="3235" priority="468">
      <formula>LEN(TRIM(AC127))=0</formula>
    </cfRule>
    <cfRule type="containsBlanks" dxfId="3234" priority="469">
      <formula>LEN(TRIM(AC127))=0</formula>
    </cfRule>
    <cfRule type="containsBlanks" dxfId="3233" priority="470">
      <formula>LEN(TRIM(AC127))=0</formula>
    </cfRule>
    <cfRule type="containsBlanks" dxfId="3232" priority="471">
      <formula>LEN(TRIM(AC127))=0</formula>
    </cfRule>
    <cfRule type="containsBlanks" dxfId="3231" priority="472">
      <formula>LEN(TRIM(AC127))=0</formula>
    </cfRule>
    <cfRule type="containsBlanks" dxfId="3230" priority="473">
      <formula>LEN(TRIM(AC127))=0</formula>
    </cfRule>
    <cfRule type="containsBlanks" dxfId="3229" priority="474">
      <formula>LEN(TRIM(AC127))=0</formula>
    </cfRule>
    <cfRule type="containsBlanks" dxfId="3228" priority="475">
      <formula>LEN(TRIM(AC127))=0</formula>
    </cfRule>
    <cfRule type="containsBlanks" dxfId="3227" priority="476">
      <formula>LEN(TRIM(AC127))=0</formula>
    </cfRule>
    <cfRule type="containsBlanks" dxfId="3226" priority="477">
      <formula>LEN(TRIM(AC127))=0</formula>
    </cfRule>
    <cfRule type="containsBlanks" dxfId="3225" priority="478">
      <formula>LEN(TRIM(AC127))=0</formula>
    </cfRule>
    <cfRule type="containsBlanks" dxfId="3224" priority="479">
      <formula>LEN(TRIM(AC127))=0</formula>
    </cfRule>
    <cfRule type="containsBlanks" dxfId="3223" priority="480">
      <formula>LEN(TRIM(AC127))=0</formula>
    </cfRule>
    <cfRule type="containsBlanks" dxfId="3222" priority="481">
      <formula>LEN(TRIM(AC127))=0</formula>
    </cfRule>
    <cfRule type="containsBlanks" dxfId="3221" priority="482">
      <formula>LEN(TRIM(AC127))=0</formula>
    </cfRule>
    <cfRule type="containsBlanks" dxfId="3220" priority="483">
      <formula>LEN(TRIM(AC127))=0</formula>
    </cfRule>
    <cfRule type="containsBlanks" dxfId="3219" priority="484">
      <formula>LEN(TRIM(AC127))=0</formula>
    </cfRule>
    <cfRule type="containsBlanks" dxfId="3218" priority="485">
      <formula>LEN(TRIM(AC127))=0</formula>
    </cfRule>
    <cfRule type="containsBlanks" dxfId="3217" priority="486">
      <formula>LEN(TRIM(AC127))=0</formula>
    </cfRule>
    <cfRule type="containsBlanks" dxfId="3216" priority="487">
      <formula>LEN(TRIM(AC127))=0</formula>
    </cfRule>
    <cfRule type="containsBlanks" dxfId="3215" priority="488">
      <formula>LEN(TRIM(AC127))=0</formula>
    </cfRule>
    <cfRule type="containsBlanks" dxfId="3214" priority="489">
      <formula>LEN(TRIM(AC127))=0</formula>
    </cfRule>
    <cfRule type="containsBlanks" dxfId="3213" priority="490">
      <formula>LEN(TRIM(AC127))=0</formula>
    </cfRule>
    <cfRule type="containsBlanks" dxfId="3212" priority="491">
      <formula>LEN(TRIM(AC127))=0</formula>
    </cfRule>
    <cfRule type="containsBlanks" dxfId="3211" priority="492">
      <formula>LEN(TRIM(AC127))=0</formula>
    </cfRule>
    <cfRule type="containsBlanks" dxfId="3210" priority="493">
      <formula>LEN(TRIM(AC127))=0</formula>
    </cfRule>
    <cfRule type="containsBlanks" dxfId="3209" priority="494">
      <formula>LEN(TRIM(AC127))=0</formula>
    </cfRule>
    <cfRule type="containsBlanks" dxfId="3208" priority="495">
      <formula>LEN(TRIM(AC127))=0</formula>
    </cfRule>
    <cfRule type="containsBlanks" dxfId="3207" priority="496">
      <formula>LEN(TRIM(AC127))=0</formula>
    </cfRule>
    <cfRule type="containsBlanks" dxfId="3206" priority="497">
      <formula>LEN(TRIM(AC127))=0</formula>
    </cfRule>
    <cfRule type="containsBlanks" dxfId="3205" priority="498">
      <formula>LEN(TRIM(AC127))=0</formula>
    </cfRule>
    <cfRule type="containsBlanks" dxfId="3204" priority="499">
      <formula>LEN(TRIM(AC127))=0</formula>
    </cfRule>
    <cfRule type="containsBlanks" dxfId="3203" priority="500">
      <formula>LEN(TRIM(AC127))=0</formula>
    </cfRule>
    <cfRule type="containsBlanks" dxfId="3202" priority="501">
      <formula>LEN(TRIM(AC127))=0</formula>
    </cfRule>
    <cfRule type="containsBlanks" dxfId="3201" priority="502">
      <formula>LEN(TRIM(AC127))=0</formula>
    </cfRule>
    <cfRule type="containsBlanks" dxfId="3200" priority="503">
      <formula>LEN(TRIM(AC127))=0</formula>
    </cfRule>
    <cfRule type="containsBlanks" dxfId="3199" priority="504">
      <formula>LEN(TRIM(AC127))=0</formula>
    </cfRule>
    <cfRule type="containsBlanks" dxfId="3198" priority="505">
      <formula>LEN(TRIM(AC127))=0</formula>
    </cfRule>
    <cfRule type="containsBlanks" dxfId="3197" priority="506">
      <formula>LEN(TRIM(AC127))=0</formula>
    </cfRule>
    <cfRule type="containsBlanks" dxfId="3196" priority="507">
      <formula>LEN(TRIM(AC127))=0</formula>
    </cfRule>
    <cfRule type="containsBlanks" dxfId="3195" priority="508">
      <formula>LEN(TRIM(AC127))=0</formula>
    </cfRule>
    <cfRule type="containsBlanks" dxfId="3194" priority="509">
      <formula>LEN(TRIM(AC127))=0</formula>
    </cfRule>
    <cfRule type="containsBlanks" dxfId="3193" priority="510">
      <formula>LEN(TRIM(AC127))=0</formula>
    </cfRule>
    <cfRule type="containsBlanks" dxfId="3192" priority="511">
      <formula>LEN(TRIM(AC127))=0</formula>
    </cfRule>
    <cfRule type="containsBlanks" dxfId="3191" priority="512">
      <formula>LEN(TRIM(AC127))=0</formula>
    </cfRule>
    <cfRule type="containsBlanks" dxfId="3190" priority="513">
      <formula>LEN(TRIM(AC127))=0</formula>
    </cfRule>
    <cfRule type="containsBlanks" dxfId="3189" priority="514">
      <formula>LEN(TRIM(AC127))=0</formula>
    </cfRule>
    <cfRule type="containsBlanks" dxfId="3188" priority="515">
      <formula>LEN(TRIM(AC127))=0</formula>
    </cfRule>
  </conditionalFormatting>
  <conditionalFormatting sqref="AC158">
    <cfRule type="containsBlanks" dxfId="3187" priority="19651">
      <formula>LEN(TRIM(AC158))=0</formula>
    </cfRule>
    <cfRule type="containsBlanks" dxfId="3186" priority="19699">
      <formula>LEN(TRIM(AC158))=0</formula>
    </cfRule>
    <cfRule type="containsBlanks" dxfId="3185" priority="19700">
      <formula>LEN(TRIM(AC158))=0</formula>
    </cfRule>
    <cfRule type="containsBlanks" dxfId="3184" priority="19701">
      <formula>LEN(TRIM(AC158))=0</formula>
    </cfRule>
    <cfRule type="containsBlanks" dxfId="3183" priority="19702">
      <formula>LEN(TRIM(AC158))=0</formula>
    </cfRule>
  </conditionalFormatting>
  <conditionalFormatting sqref="AC158">
    <cfRule type="containsBlanks" dxfId="3182" priority="18998">
      <formula>LEN(TRIM(AC158))=0</formula>
    </cfRule>
    <cfRule type="containsBlanks" dxfId="3181" priority="18999">
      <formula>LEN(TRIM(AC158))=0</formula>
    </cfRule>
    <cfRule type="containsBlanks" dxfId="3180" priority="19000">
      <formula>LEN(TRIM(AC158))=0</formula>
    </cfRule>
    <cfRule type="containsBlanks" dxfId="3179" priority="19415">
      <formula>LEN(TRIM(AC158))=0</formula>
    </cfRule>
    <cfRule type="containsBlanks" dxfId="3178" priority="19416">
      <formula>LEN(TRIM(AC158))=0</formula>
    </cfRule>
    <cfRule type="containsBlanks" dxfId="3177" priority="19417">
      <formula>LEN(TRIM(AC158))=0</formula>
    </cfRule>
    <cfRule type="containsBlanks" dxfId="3176" priority="19418">
      <formula>LEN(TRIM(AC158))=0</formula>
    </cfRule>
    <cfRule type="containsBlanks" dxfId="3175" priority="19420">
      <formula>LEN(TRIM(AC158))=0</formula>
    </cfRule>
    <cfRule type="containsBlanks" dxfId="3174" priority="19551">
      <formula>LEN(TRIM(AC158))=0</formula>
    </cfRule>
    <cfRule type="containsBlanks" dxfId="3173" priority="19552">
      <formula>LEN(TRIM(AC158))=0</formula>
    </cfRule>
    <cfRule type="containsBlanks" dxfId="3172" priority="19553">
      <formula>LEN(TRIM(AC158))=0</formula>
    </cfRule>
    <cfRule type="containsBlanks" dxfId="3171" priority="19554">
      <formula>LEN(TRIM(AC158))=0</formula>
    </cfRule>
    <cfRule type="containsBlanks" dxfId="3170" priority="19556">
      <formula>LEN(TRIM(AC158))=0</formula>
    </cfRule>
    <cfRule type="containsBlanks" dxfId="3169" priority="19652">
      <formula>LEN(TRIM(AC158))=0</formula>
    </cfRule>
    <cfRule type="containsBlanks" dxfId="3168" priority="19653">
      <formula>LEN(TRIM(AC158))=0</formula>
    </cfRule>
    <cfRule type="containsBlanks" dxfId="3167" priority="19654">
      <formula>LEN(TRIM(AC158))=0</formula>
    </cfRule>
    <cfRule type="containsBlanks" dxfId="3166" priority="19655">
      <formula>LEN(TRIM(AC158))=0</formula>
    </cfRule>
    <cfRule type="containsBlanks" dxfId="3165" priority="19656">
      <formula>LEN(TRIM(AC158))=0</formula>
    </cfRule>
    <cfRule type="containsBlanks" dxfId="3164" priority="19657">
      <formula>LEN(TRIM(AC158))=0</formula>
    </cfRule>
    <cfRule type="containsBlanks" dxfId="3163" priority="19671">
      <formula>LEN(TRIM(AC158))=0</formula>
    </cfRule>
    <cfRule type="containsBlanks" dxfId="3162" priority="19695">
      <formula>LEN(TRIM(AC158))=0</formula>
    </cfRule>
    <cfRule type="containsBlanks" dxfId="3161" priority="19696">
      <formula>LEN(TRIM(AC158))=0</formula>
    </cfRule>
  </conditionalFormatting>
  <conditionalFormatting sqref="AB158:AD158">
    <cfRule type="containsBlanks" dxfId="3160" priority="19673">
      <formula>LEN(TRIM(AB158))=0</formula>
    </cfRule>
  </conditionalFormatting>
  <conditionalFormatting sqref="AC158:AD158">
    <cfRule type="containsBlanks" dxfId="3159" priority="19672">
      <formula>LEN(TRIM(AC158))=0</formula>
    </cfRule>
  </conditionalFormatting>
  <conditionalFormatting sqref="AC158:AD158">
    <cfRule type="containsBlanks" dxfId="3158" priority="19650">
      <formula>LEN(TRIM(AC158))=0</formula>
    </cfRule>
  </conditionalFormatting>
  <conditionalFormatting sqref="AC158:AD158 AG158:AH158">
    <cfRule type="containsBlanks" dxfId="3157" priority="19709">
      <formula>LEN(TRIM(AC158))=0</formula>
    </cfRule>
    <cfRule type="containsBlanks" dxfId="3156" priority="19710">
      <formula>LEN(TRIM(AC158))=0</formula>
    </cfRule>
  </conditionalFormatting>
  <conditionalFormatting sqref="AC158:AD158">
    <cfRule type="containsBlanks" dxfId="3155" priority="18996">
      <formula>LEN(TRIM(AC158))=0</formula>
    </cfRule>
    <cfRule type="containsBlanks" dxfId="3154" priority="19001">
      <formula>LEN(TRIM(AC158))=0</formula>
    </cfRule>
    <cfRule type="containsBlanks" dxfId="3153" priority="19414">
      <formula>LEN(TRIM(AC158))=0</formula>
    </cfRule>
    <cfRule type="containsBlanks" dxfId="3152" priority="19419">
      <formula>LEN(TRIM(AC158))=0</formula>
    </cfRule>
    <cfRule type="containsBlanks" dxfId="3151" priority="19549">
      <formula>LEN(TRIM(AC158))=0</formula>
    </cfRule>
    <cfRule type="containsBlanks" dxfId="3150" priority="19550">
      <formula>LEN(TRIM(AC158))=0</formula>
    </cfRule>
    <cfRule type="containsBlanks" dxfId="3149" priority="19668">
      <formula>LEN(TRIM(AC158))=0</formula>
    </cfRule>
    <cfRule type="containsBlanks" dxfId="3148" priority="19669">
      <formula>LEN(TRIM(AC158))=0</formula>
    </cfRule>
    <cfRule type="containsBlanks" dxfId="3147" priority="19693">
      <formula>LEN(TRIM(AC158))=0</formula>
    </cfRule>
    <cfRule type="containsBlanks" dxfId="3146" priority="19694">
      <formula>LEN(TRIM(AC158))=0</formula>
    </cfRule>
  </conditionalFormatting>
  <conditionalFormatting sqref="AD99:AD157">
    <cfRule type="containsBlanks" dxfId="3145" priority="14529">
      <formula>LEN(TRIM(AD99))=0</formula>
    </cfRule>
    <cfRule type="containsBlanks" dxfId="3144" priority="14530">
      <formula>LEN(TRIM(AD99))=0</formula>
    </cfRule>
    <cfRule type="containsBlanks" dxfId="3143" priority="14531">
      <formula>LEN(TRIM(AD99))=0</formula>
    </cfRule>
    <cfRule type="containsBlanks" dxfId="3142" priority="14532">
      <formula>LEN(TRIM(AD99))=0</formula>
    </cfRule>
    <cfRule type="containsBlanks" dxfId="3141" priority="14533">
      <formula>LEN(TRIM(AD99))=0</formula>
    </cfRule>
    <cfRule type="containsBlanks" dxfId="3140" priority="14534">
      <formula>LEN(TRIM(AD99))=0</formula>
    </cfRule>
    <cfRule type="containsBlanks" dxfId="3139" priority="14535">
      <formula>LEN(TRIM(AD99))=0</formula>
    </cfRule>
    <cfRule type="containsBlanks" dxfId="3138" priority="14536">
      <formula>LEN(TRIM(AD99))=0</formula>
    </cfRule>
    <cfRule type="containsBlanks" dxfId="3137" priority="14537">
      <formula>LEN(TRIM(AD99))=0</formula>
    </cfRule>
    <cfRule type="containsBlanks" dxfId="3136" priority="14538">
      <formula>LEN(TRIM(AD99))=0</formula>
    </cfRule>
    <cfRule type="containsBlanks" dxfId="3135" priority="14539">
      <formula>LEN(TRIM(AD99))=0</formula>
    </cfRule>
    <cfRule type="containsBlanks" dxfId="3134" priority="14540">
      <formula>LEN(TRIM(AD99))=0</formula>
    </cfRule>
    <cfRule type="containsBlanks" dxfId="3133" priority="14541">
      <formula>LEN(TRIM(AD99))=0</formula>
    </cfRule>
    <cfRule type="containsBlanks" dxfId="3132" priority="14542">
      <formula>LEN(TRIM(AD99))=0</formula>
    </cfRule>
    <cfRule type="containsBlanks" dxfId="3131" priority="14543">
      <formula>LEN(TRIM(AD99))=0</formula>
    </cfRule>
    <cfRule type="containsBlanks" dxfId="3130" priority="14544">
      <formula>LEN(TRIM(AD99))=0</formula>
    </cfRule>
    <cfRule type="containsBlanks" dxfId="3129" priority="14545">
      <formula>LEN(TRIM(AD99))=0</formula>
    </cfRule>
    <cfRule type="containsBlanks" dxfId="3128" priority="14546">
      <formula>LEN(TRIM(AD99))=0</formula>
    </cfRule>
    <cfRule type="containsBlanks" dxfId="3127" priority="14547">
      <formula>LEN(TRIM(AD99))=0</formula>
    </cfRule>
    <cfRule type="containsBlanks" dxfId="3126" priority="14548">
      <formula>LEN(TRIM(AD99))=0</formula>
    </cfRule>
    <cfRule type="containsBlanks" dxfId="3125" priority="14549">
      <formula>LEN(TRIM(AD99))=0</formula>
    </cfRule>
    <cfRule type="containsBlanks" dxfId="3124" priority="14550">
      <formula>LEN(TRIM(AD99))=0</formula>
    </cfRule>
    <cfRule type="containsBlanks" dxfId="3123" priority="14551">
      <formula>LEN(TRIM(AD99))=0</formula>
    </cfRule>
    <cfRule type="containsBlanks" dxfId="3122" priority="14552">
      <formula>LEN(TRIM(AD99))=0</formula>
    </cfRule>
    <cfRule type="containsBlanks" dxfId="3121" priority="14553">
      <formula>LEN(TRIM(AD99))=0</formula>
    </cfRule>
    <cfRule type="containsBlanks" dxfId="3120" priority="14554">
      <formula>LEN(TRIM(AD99))=0</formula>
    </cfRule>
    <cfRule type="containsBlanks" dxfId="3119" priority="14555">
      <formula>LEN(TRIM(AD99))=0</formula>
    </cfRule>
    <cfRule type="containsBlanks" dxfId="3118" priority="14556">
      <formula>LEN(TRIM(AD99))=0</formula>
    </cfRule>
    <cfRule type="containsBlanks" dxfId="3117" priority="14557">
      <formula>LEN(TRIM(AD99))=0</formula>
    </cfRule>
    <cfRule type="containsBlanks" dxfId="3116" priority="14558">
      <formula>LEN(TRIM(AD99))=0</formula>
    </cfRule>
    <cfRule type="containsBlanks" dxfId="3115" priority="14559">
      <formula>LEN(TRIM(AD99))=0</formula>
    </cfRule>
    <cfRule type="containsBlanks" dxfId="3114" priority="14560">
      <formula>LEN(TRIM(AD99))=0</formula>
    </cfRule>
    <cfRule type="containsBlanks" dxfId="3113" priority="14561">
      <formula>LEN(TRIM(AD99))=0</formula>
    </cfRule>
    <cfRule type="containsBlanks" dxfId="3112" priority="14562">
      <formula>LEN(TRIM(AD99))=0</formula>
    </cfRule>
    <cfRule type="containsBlanks" dxfId="3111" priority="14563">
      <formula>LEN(TRIM(AD99))=0</formula>
    </cfRule>
    <cfRule type="containsBlanks" dxfId="3110" priority="14564">
      <formula>LEN(TRIM(AD99))=0</formula>
    </cfRule>
    <cfRule type="containsBlanks" dxfId="3109" priority="14565">
      <formula>LEN(TRIM(AD99))=0</formula>
    </cfRule>
    <cfRule type="containsBlanks" dxfId="3108" priority="14566">
      <formula>LEN(TRIM(AD99))=0</formula>
    </cfRule>
    <cfRule type="containsBlanks" dxfId="3107" priority="14567">
      <formula>LEN(TRIM(AD99))=0</formula>
    </cfRule>
    <cfRule type="containsBlanks" dxfId="3106" priority="14568">
      <formula>LEN(TRIM(AD99))=0</formula>
    </cfRule>
    <cfRule type="containsBlanks" dxfId="3105" priority="14569">
      <formula>LEN(TRIM(AD99))=0</formula>
    </cfRule>
    <cfRule type="containsBlanks" dxfId="3104" priority="14570">
      <formula>LEN(TRIM(AD99))=0</formula>
    </cfRule>
    <cfRule type="containsBlanks" dxfId="3103" priority="14571">
      <formula>LEN(TRIM(AD99))=0</formula>
    </cfRule>
    <cfRule type="containsBlanks" dxfId="3102" priority="14572">
      <formula>LEN(TRIM(AD99))=0</formula>
    </cfRule>
    <cfRule type="containsBlanks" dxfId="3101" priority="14573">
      <formula>LEN(TRIM(AD99))=0</formula>
    </cfRule>
    <cfRule type="containsBlanks" dxfId="3100" priority="14574">
      <formula>LEN(TRIM(AD99))=0</formula>
    </cfRule>
    <cfRule type="containsBlanks" dxfId="3099" priority="14575">
      <formula>LEN(TRIM(AD99))=0</formula>
    </cfRule>
    <cfRule type="containsBlanks" dxfId="3098" priority="14576">
      <formula>LEN(TRIM(AD99))=0</formula>
    </cfRule>
    <cfRule type="containsBlanks" dxfId="3097" priority="14577">
      <formula>LEN(TRIM(AD99))=0</formula>
    </cfRule>
    <cfRule type="containsBlanks" dxfId="3096" priority="14578">
      <formula>LEN(TRIM(AD99))=0</formula>
    </cfRule>
    <cfRule type="containsBlanks" dxfId="3095" priority="14579">
      <formula>LEN(TRIM(AD99))=0</formula>
    </cfRule>
    <cfRule type="containsBlanks" dxfId="3094" priority="14580">
      <formula>LEN(TRIM(AD99))=0</formula>
    </cfRule>
    <cfRule type="containsBlanks" dxfId="3093" priority="14581">
      <formula>LEN(TRIM(AD99))=0</formula>
    </cfRule>
    <cfRule type="containsBlanks" dxfId="3092" priority="14582">
      <formula>LEN(TRIM(AD99))=0</formula>
    </cfRule>
    <cfRule type="containsBlanks" dxfId="3091" priority="14583">
      <formula>LEN(TRIM(AD99))=0</formula>
    </cfRule>
    <cfRule type="containsBlanks" dxfId="3090" priority="14584">
      <formula>LEN(TRIM(AD99))=0</formula>
    </cfRule>
    <cfRule type="containsBlanks" dxfId="3089" priority="14585">
      <formula>LEN(TRIM(AD99))=0</formula>
    </cfRule>
    <cfRule type="containsBlanks" dxfId="3088" priority="14586">
      <formula>LEN(TRIM(AD99))=0</formula>
    </cfRule>
    <cfRule type="containsBlanks" dxfId="3087" priority="14587">
      <formula>LEN(TRIM(AD99))=0</formula>
    </cfRule>
    <cfRule type="containsBlanks" dxfId="3086" priority="14588">
      <formula>LEN(TRIM(AD99))=0</formula>
    </cfRule>
    <cfRule type="containsBlanks" dxfId="3085" priority="14589">
      <formula>LEN(TRIM(AD99))=0</formula>
    </cfRule>
    <cfRule type="containsBlanks" dxfId="3084" priority="14590">
      <formula>LEN(TRIM(AD99))=0</formula>
    </cfRule>
    <cfRule type="containsBlanks" dxfId="3083" priority="14591">
      <formula>LEN(TRIM(AD99))=0</formula>
    </cfRule>
    <cfRule type="containsBlanks" dxfId="3082" priority="14592">
      <formula>LEN(TRIM(AD99))=0</formula>
    </cfRule>
    <cfRule type="containsBlanks" dxfId="3081" priority="14593">
      <formula>LEN(TRIM(AD99))=0</formula>
    </cfRule>
    <cfRule type="containsBlanks" dxfId="3080" priority="14594">
      <formula>LEN(TRIM(AD99))=0</formula>
    </cfRule>
    <cfRule type="containsBlanks" dxfId="3079" priority="14595">
      <formula>LEN(TRIM(AD99))=0</formula>
    </cfRule>
    <cfRule type="containsBlanks" dxfId="3078" priority="14596">
      <formula>LEN(TRIM(AD99))=0</formula>
    </cfRule>
    <cfRule type="containsBlanks" dxfId="3077" priority="14597">
      <formula>LEN(TRIM(AD99))=0</formula>
    </cfRule>
    <cfRule type="containsBlanks" dxfId="3076" priority="14598">
      <formula>LEN(TRIM(AD99))=0</formula>
    </cfRule>
    <cfRule type="containsBlanks" dxfId="3075" priority="14599">
      <formula>LEN(TRIM(AD99))=0</formula>
    </cfRule>
    <cfRule type="containsBlanks" dxfId="3074" priority="14600">
      <formula>LEN(TRIM(AD99))=0</formula>
    </cfRule>
    <cfRule type="containsBlanks" dxfId="3073" priority="14601">
      <formula>LEN(TRIM(AD99))=0</formula>
    </cfRule>
    <cfRule type="containsBlanks" dxfId="3072" priority="14602">
      <formula>LEN(TRIM(AD99))=0</formula>
    </cfRule>
    <cfRule type="containsBlanks" dxfId="3071" priority="14603">
      <formula>LEN(TRIM(AD99))=0</formula>
    </cfRule>
    <cfRule type="containsBlanks" dxfId="3070" priority="14604">
      <formula>LEN(TRIM(AD99))=0</formula>
    </cfRule>
    <cfRule type="containsBlanks" dxfId="3069" priority="14605">
      <formula>LEN(TRIM(AD99))=0</formula>
    </cfRule>
    <cfRule type="containsBlanks" dxfId="3068" priority="14606">
      <formula>LEN(TRIM(AD99))=0</formula>
    </cfRule>
    <cfRule type="containsBlanks" dxfId="3067" priority="14607">
      <formula>LEN(TRIM(AD99))=0</formula>
    </cfRule>
    <cfRule type="containsBlanks" dxfId="3066" priority="14608">
      <formula>LEN(TRIM(AD99))=0</formula>
    </cfRule>
    <cfRule type="containsBlanks" dxfId="3065" priority="14609">
      <formula>LEN(TRIM(AD99))=0</formula>
    </cfRule>
    <cfRule type="containsBlanks" dxfId="3064" priority="14610">
      <formula>LEN(TRIM(AD99))=0</formula>
    </cfRule>
    <cfRule type="containsBlanks" dxfId="3063" priority="14611">
      <formula>LEN(TRIM(AD99))=0</formula>
    </cfRule>
    <cfRule type="containsBlanks" dxfId="3062" priority="14612">
      <formula>LEN(TRIM(AD99))=0</formula>
    </cfRule>
    <cfRule type="containsBlanks" dxfId="3061" priority="14613">
      <formula>LEN(TRIM(AD99))=0</formula>
    </cfRule>
    <cfRule type="containsBlanks" dxfId="3060" priority="14614">
      <formula>LEN(TRIM(AD99))=0</formula>
    </cfRule>
    <cfRule type="containsBlanks" dxfId="3059" priority="14615">
      <formula>LEN(TRIM(AD99))=0</formula>
    </cfRule>
    <cfRule type="containsBlanks" dxfId="3058" priority="14616">
      <formula>LEN(TRIM(AD99))=0</formula>
    </cfRule>
    <cfRule type="containsBlanks" dxfId="3057" priority="14617">
      <formula>LEN(TRIM(AD99))=0</formula>
    </cfRule>
    <cfRule type="containsBlanks" dxfId="3056" priority="14618">
      <formula>LEN(TRIM(AD99))=0</formula>
    </cfRule>
    <cfRule type="containsBlanks" dxfId="3055" priority="14619">
      <formula>LEN(TRIM(AD99))=0</formula>
    </cfRule>
    <cfRule type="containsBlanks" dxfId="3054" priority="14620">
      <formula>LEN(TRIM(AD99))=0</formula>
    </cfRule>
    <cfRule type="containsBlanks" dxfId="3053" priority="14621">
      <formula>LEN(TRIM(AD99))=0</formula>
    </cfRule>
    <cfRule type="containsBlanks" dxfId="3052" priority="14622">
      <formula>LEN(TRIM(AD99))=0</formula>
    </cfRule>
    <cfRule type="containsBlanks" dxfId="3051" priority="14623">
      <formula>LEN(TRIM(AD99))=0</formula>
    </cfRule>
    <cfRule type="containsBlanks" dxfId="3050" priority="14624">
      <formula>LEN(TRIM(AD99))=0</formula>
    </cfRule>
    <cfRule type="containsBlanks" dxfId="3049" priority="14625">
      <formula>LEN(TRIM(AD99))=0</formula>
    </cfRule>
    <cfRule type="containsBlanks" dxfId="3048" priority="14626">
      <formula>LEN(TRIM(AD99))=0</formula>
    </cfRule>
    <cfRule type="containsBlanks" dxfId="3047" priority="14627">
      <formula>LEN(TRIM(AD99))=0</formula>
    </cfRule>
    <cfRule type="containsBlanks" dxfId="3046" priority="14628">
      <formula>LEN(TRIM(AD99))=0</formula>
    </cfRule>
    <cfRule type="containsBlanks" dxfId="3045" priority="14629">
      <formula>LEN(TRIM(AD99))=0</formula>
    </cfRule>
    <cfRule type="containsBlanks" dxfId="3044" priority="14630">
      <formula>LEN(TRIM(AD99))=0</formula>
    </cfRule>
    <cfRule type="containsBlanks" dxfId="3043" priority="14631">
      <formula>LEN(TRIM(AD99))=0</formula>
    </cfRule>
    <cfRule type="containsBlanks" dxfId="3042" priority="14632">
      <formula>LEN(TRIM(AD99))=0</formula>
    </cfRule>
    <cfRule type="containsBlanks" dxfId="3041" priority="14634">
      <formula>LEN(TRIM(AD99))=0</formula>
    </cfRule>
  </conditionalFormatting>
  <conditionalFormatting sqref="AD99:AD158">
    <cfRule type="containsBlanks" dxfId="3040" priority="14633">
      <formula>LEN(TRIM(AD99))=0</formula>
    </cfRule>
  </conditionalFormatting>
  <conditionalFormatting sqref="AD158">
    <cfRule type="containsBlanks" dxfId="3039" priority="18985">
      <formula>LEN(TRIM(AD158))=0</formula>
    </cfRule>
    <cfRule type="containsBlanks" dxfId="3038" priority="19664">
      <formula>LEN(TRIM(AD158))=0</formula>
    </cfRule>
  </conditionalFormatting>
  <conditionalFormatting sqref="AD158 AF157:AG158">
    <cfRule type="containsBlanks" dxfId="3037" priority="19666">
      <formula>LEN(TRIM(AD157))=0</formula>
    </cfRule>
  </conditionalFormatting>
  <conditionalFormatting sqref="AD158">
    <cfRule type="containsBlanks" dxfId="3036" priority="18986">
      <formula>LEN(TRIM(AD158))=0</formula>
    </cfRule>
    <cfRule type="containsBlanks" dxfId="3035" priority="18987">
      <formula>LEN(TRIM(AD158))=0</formula>
    </cfRule>
    <cfRule type="containsBlanks" dxfId="3034" priority="18988">
      <formula>LEN(TRIM(AD158))=0</formula>
    </cfRule>
    <cfRule type="containsBlanks" dxfId="3033" priority="18989">
      <formula>LEN(TRIM(AD158))=0</formula>
    </cfRule>
    <cfRule type="containsBlanks" dxfId="3032" priority="18990">
      <formula>LEN(TRIM(AD158))=0</formula>
    </cfRule>
    <cfRule type="containsBlanks" dxfId="3031" priority="18991">
      <formula>LEN(TRIM(AD158))=0</formula>
    </cfRule>
    <cfRule type="containsBlanks" dxfId="3030" priority="18992">
      <formula>LEN(TRIM(AD158))=0</formula>
    </cfRule>
    <cfRule type="containsBlanks" dxfId="3029" priority="18993">
      <formula>LEN(TRIM(AD158))=0</formula>
    </cfRule>
    <cfRule type="containsBlanks" dxfId="3028" priority="18994">
      <formula>LEN(TRIM(AD158))=0</formula>
    </cfRule>
    <cfRule type="containsBlanks" dxfId="3027" priority="18995">
      <formula>LEN(TRIM(AD158))=0</formula>
    </cfRule>
    <cfRule type="containsBlanks" dxfId="3026" priority="18997">
      <formula>LEN(TRIM(AD158))=0</formula>
    </cfRule>
    <cfRule type="containsBlanks" dxfId="3025" priority="19368">
      <formula>LEN(TRIM(AD158))=0</formula>
    </cfRule>
    <cfRule type="containsBlanks" dxfId="3024" priority="19369">
      <formula>LEN(TRIM(AD158))=0</formula>
    </cfRule>
    <cfRule type="containsBlanks" dxfId="3023" priority="19370">
      <formula>LEN(TRIM(AD158))=0</formula>
    </cfRule>
    <cfRule type="containsBlanks" dxfId="3022" priority="19371">
      <formula>LEN(TRIM(AD158))=0</formula>
    </cfRule>
    <cfRule type="containsBlanks" dxfId="3021" priority="19372">
      <formula>LEN(TRIM(AD158))=0</formula>
    </cfRule>
    <cfRule type="containsBlanks" dxfId="3020" priority="19373">
      <formula>LEN(TRIM(AD158))=0</formula>
    </cfRule>
    <cfRule type="containsBlanks" dxfId="3019" priority="19374">
      <formula>LEN(TRIM(AD158))=0</formula>
    </cfRule>
    <cfRule type="containsBlanks" dxfId="3018" priority="19375">
      <formula>LEN(TRIM(AD158))=0</formula>
    </cfRule>
    <cfRule type="containsBlanks" dxfId="3017" priority="19376">
      <formula>LEN(TRIM(AD158))=0</formula>
    </cfRule>
    <cfRule type="containsBlanks" dxfId="3016" priority="19377">
      <formula>LEN(TRIM(AD158))=0</formula>
    </cfRule>
    <cfRule type="containsBlanks" dxfId="3015" priority="19378">
      <formula>LEN(TRIM(AD158))=0</formula>
    </cfRule>
    <cfRule type="containsBlanks" dxfId="3014" priority="19379">
      <formula>LEN(TRIM(AD158))=0</formula>
    </cfRule>
    <cfRule type="containsBlanks" dxfId="3013" priority="19380">
      <formula>LEN(TRIM(AD158))=0</formula>
    </cfRule>
    <cfRule type="containsBlanks" dxfId="3012" priority="19381">
      <formula>LEN(TRIM(AD158))=0</formula>
    </cfRule>
    <cfRule type="containsBlanks" dxfId="3011" priority="19382">
      <formula>LEN(TRIM(AD158))=0</formula>
    </cfRule>
    <cfRule type="containsBlanks" dxfId="3010" priority="19383">
      <formula>LEN(TRIM(AD158))=0</formula>
    </cfRule>
    <cfRule type="containsBlanks" dxfId="3009" priority="19384">
      <formula>LEN(TRIM(AD158))=0</formula>
    </cfRule>
    <cfRule type="containsBlanks" dxfId="3008" priority="19385">
      <formula>LEN(TRIM(AD158))=0</formula>
    </cfRule>
    <cfRule type="containsBlanks" dxfId="3007" priority="19386">
      <formula>LEN(TRIM(AD158))=0</formula>
    </cfRule>
    <cfRule type="containsBlanks" dxfId="3006" priority="19387">
      <formula>LEN(TRIM(AD158))=0</formula>
    </cfRule>
    <cfRule type="containsBlanks" dxfId="3005" priority="19388">
      <formula>LEN(TRIM(AD158))=0</formula>
    </cfRule>
    <cfRule type="containsBlanks" dxfId="3004" priority="19389">
      <formula>LEN(TRIM(AD158))=0</formula>
    </cfRule>
    <cfRule type="containsBlanks" dxfId="3003" priority="19390">
      <formula>LEN(TRIM(AD158))=0</formula>
    </cfRule>
    <cfRule type="containsBlanks" dxfId="3002" priority="19391">
      <formula>LEN(TRIM(AD158))=0</formula>
    </cfRule>
    <cfRule type="containsBlanks" dxfId="3001" priority="19392">
      <formula>LEN(TRIM(AD158))=0</formula>
    </cfRule>
    <cfRule type="containsBlanks" dxfId="3000" priority="19393">
      <formula>LEN(TRIM(AD158))=0</formula>
    </cfRule>
    <cfRule type="containsBlanks" dxfId="2999" priority="19394">
      <formula>LEN(TRIM(AD158))=0</formula>
    </cfRule>
    <cfRule type="containsBlanks" dxfId="2998" priority="19395">
      <formula>LEN(TRIM(AD158))=0</formula>
    </cfRule>
    <cfRule type="containsBlanks" dxfId="2997" priority="19396">
      <formula>LEN(TRIM(AD158))=0</formula>
    </cfRule>
    <cfRule type="containsBlanks" dxfId="2996" priority="19397">
      <formula>LEN(TRIM(AD158))=0</formula>
    </cfRule>
    <cfRule type="containsBlanks" dxfId="2995" priority="19398">
      <formula>LEN(TRIM(AD158))=0</formula>
    </cfRule>
    <cfRule type="containsBlanks" dxfId="2994" priority="19399">
      <formula>LEN(TRIM(AD158))=0</formula>
    </cfRule>
    <cfRule type="containsBlanks" dxfId="2993" priority="19400">
      <formula>LEN(TRIM(AD158))=0</formula>
    </cfRule>
    <cfRule type="containsBlanks" dxfId="2992" priority="19401">
      <formula>LEN(TRIM(AD158))=0</formula>
    </cfRule>
    <cfRule type="containsBlanks" dxfId="2991" priority="19402">
      <formula>LEN(TRIM(AD158))=0</formula>
    </cfRule>
    <cfRule type="containsBlanks" dxfId="2990" priority="19403">
      <formula>LEN(TRIM(AD158))=0</formula>
    </cfRule>
    <cfRule type="containsBlanks" dxfId="2989" priority="19404">
      <formula>LEN(TRIM(AD158))=0</formula>
    </cfRule>
    <cfRule type="containsBlanks" dxfId="2988" priority="19405">
      <formula>LEN(TRIM(AD158))=0</formula>
    </cfRule>
    <cfRule type="containsBlanks" dxfId="2987" priority="19406">
      <formula>LEN(TRIM(AD158))=0</formula>
    </cfRule>
    <cfRule type="containsBlanks" dxfId="2986" priority="19407">
      <formula>LEN(TRIM(AD158))=0</formula>
    </cfRule>
    <cfRule type="containsBlanks" dxfId="2985" priority="19408">
      <formula>LEN(TRIM(AD158))=0</formula>
    </cfRule>
    <cfRule type="containsBlanks" dxfId="2984" priority="19409">
      <formula>LEN(TRIM(AD158))=0</formula>
    </cfRule>
    <cfRule type="containsBlanks" dxfId="2983" priority="19410">
      <formula>LEN(TRIM(AD158))=0</formula>
    </cfRule>
    <cfRule type="containsBlanks" dxfId="2982" priority="19411">
      <formula>LEN(TRIM(AD158))=0</formula>
    </cfRule>
    <cfRule type="containsBlanks" dxfId="2981" priority="19412">
      <formula>LEN(TRIM(AD158))=0</formula>
    </cfRule>
    <cfRule type="containsBlanks" dxfId="2980" priority="19413">
      <formula>LEN(TRIM(AD158))=0</formula>
    </cfRule>
    <cfRule type="containsBlanks" dxfId="2979" priority="19543">
      <formula>LEN(TRIM(AD158))=0</formula>
    </cfRule>
    <cfRule type="containsBlanks" dxfId="2978" priority="19544">
      <formula>LEN(TRIM(AD158))=0</formula>
    </cfRule>
    <cfRule type="containsBlanks" dxfId="2977" priority="19545">
      <formula>LEN(TRIM(AD158))=0</formula>
    </cfRule>
    <cfRule type="containsBlanks" dxfId="2976" priority="19546">
      <formula>LEN(TRIM(AD158))=0</formula>
    </cfRule>
    <cfRule type="containsBlanks" dxfId="2975" priority="19547">
      <formula>LEN(TRIM(AD158))=0</formula>
    </cfRule>
    <cfRule type="containsBlanks" dxfId="2974" priority="19548">
      <formula>LEN(TRIM(AD158))=0</formula>
    </cfRule>
    <cfRule type="containsBlanks" dxfId="2973" priority="19662">
      <formula>LEN(TRIM(AD158))=0</formula>
    </cfRule>
    <cfRule type="containsBlanks" dxfId="2972" priority="19663">
      <formula>LEN(TRIM(AD158))=0</formula>
    </cfRule>
    <cfRule type="containsBlanks" dxfId="2971" priority="19665">
      <formula>LEN(TRIM(AD158))=0</formula>
    </cfRule>
    <cfRule type="containsBlanks" dxfId="2970" priority="19687">
      <formula>LEN(TRIM(AD158))=0</formula>
    </cfRule>
    <cfRule type="containsBlanks" dxfId="2969" priority="19688">
      <formula>LEN(TRIM(AD158))=0</formula>
    </cfRule>
    <cfRule type="containsBlanks" dxfId="2968" priority="19689">
      <formula>LEN(TRIM(AD158))=0</formula>
    </cfRule>
    <cfRule type="containsBlanks" dxfId="2967" priority="19690">
      <formula>LEN(TRIM(AD158))=0</formula>
    </cfRule>
    <cfRule type="containsBlanks" dxfId="2966" priority="19691">
      <formula>LEN(TRIM(AD158))=0</formula>
    </cfRule>
    <cfRule type="containsBlanks" dxfId="2965" priority="19692">
      <formula>LEN(TRIM(AD158))=0</formula>
    </cfRule>
  </conditionalFormatting>
  <conditionalFormatting sqref="AE99:AE158">
    <cfRule type="containsBlanks" dxfId="2964" priority="14371">
      <formula>LEN(TRIM(AE99))=0</formula>
    </cfRule>
    <cfRule type="containsBlanks" dxfId="2963" priority="14372">
      <formula>LEN(TRIM(AE99))=0</formula>
    </cfRule>
    <cfRule type="containsBlanks" dxfId="2962" priority="14373">
      <formula>LEN(TRIM(AE99))=0</formula>
    </cfRule>
    <cfRule type="containsBlanks" dxfId="2961" priority="14374">
      <formula>LEN(TRIM(AE99))=0</formula>
    </cfRule>
    <cfRule type="containsBlanks" dxfId="2960" priority="14375">
      <formula>LEN(TRIM(AE99))=0</formula>
    </cfRule>
    <cfRule type="containsBlanks" dxfId="2959" priority="14376">
      <formula>LEN(TRIM(AE99))=0</formula>
    </cfRule>
    <cfRule type="containsBlanks" dxfId="2958" priority="14377">
      <formula>LEN(TRIM(AE99))=0</formula>
    </cfRule>
    <cfRule type="containsBlanks" dxfId="2957" priority="14378">
      <formula>LEN(TRIM(AE99))=0</formula>
    </cfRule>
    <cfRule type="containsBlanks" dxfId="2956" priority="14379">
      <formula>LEN(TRIM(AE99))=0</formula>
    </cfRule>
    <cfRule type="containsBlanks" dxfId="2955" priority="14380">
      <formula>LEN(TRIM(AE99))=0</formula>
    </cfRule>
    <cfRule type="containsBlanks" dxfId="2954" priority="14381">
      <formula>LEN(TRIM(AE99))=0</formula>
    </cfRule>
    <cfRule type="containsBlanks" dxfId="2953" priority="14382">
      <formula>LEN(TRIM(AE99))=0</formula>
    </cfRule>
    <cfRule type="containsBlanks" dxfId="2952" priority="14383">
      <formula>LEN(TRIM(AE99))=0</formula>
    </cfRule>
    <cfRule type="containsBlanks" dxfId="2951" priority="14384">
      <formula>LEN(TRIM(AE99))=0</formula>
    </cfRule>
    <cfRule type="containsBlanks" dxfId="2950" priority="14385">
      <formula>LEN(TRIM(AE99))=0</formula>
    </cfRule>
    <cfRule type="containsBlanks" dxfId="2949" priority="14386">
      <formula>LEN(TRIM(AE99))=0</formula>
    </cfRule>
    <cfRule type="containsBlanks" dxfId="2948" priority="14387">
      <formula>LEN(TRIM(AE99))=0</formula>
    </cfRule>
    <cfRule type="containsBlanks" dxfId="2947" priority="14388">
      <formula>LEN(TRIM(AE99))=0</formula>
    </cfRule>
    <cfRule type="containsBlanks" dxfId="2946" priority="14389">
      <formula>LEN(TRIM(AE99))=0</formula>
    </cfRule>
    <cfRule type="containsBlanks" dxfId="2945" priority="14390">
      <formula>LEN(TRIM(AE99))=0</formula>
    </cfRule>
    <cfRule type="containsBlanks" dxfId="2944" priority="14391">
      <formula>LEN(TRIM(AE99))=0</formula>
    </cfRule>
    <cfRule type="containsBlanks" dxfId="2943" priority="14392">
      <formula>LEN(TRIM(AE99))=0</formula>
    </cfRule>
    <cfRule type="containsBlanks" dxfId="2942" priority="14393">
      <formula>LEN(TRIM(AE99))=0</formula>
    </cfRule>
    <cfRule type="containsBlanks" dxfId="2941" priority="14394">
      <formula>LEN(TRIM(AE99))=0</formula>
    </cfRule>
    <cfRule type="containsBlanks" dxfId="2940" priority="14395">
      <formula>LEN(TRIM(AE99))=0</formula>
    </cfRule>
    <cfRule type="containsBlanks" dxfId="2939" priority="14396">
      <formula>LEN(TRIM(AE99))=0</formula>
    </cfRule>
    <cfRule type="containsBlanks" dxfId="2938" priority="14397">
      <formula>LEN(TRIM(AE99))=0</formula>
    </cfRule>
    <cfRule type="containsBlanks" dxfId="2937" priority="14398">
      <formula>LEN(TRIM(AE99))=0</formula>
    </cfRule>
    <cfRule type="containsBlanks" dxfId="2936" priority="14399">
      <formula>LEN(TRIM(AE99))=0</formula>
    </cfRule>
    <cfRule type="containsBlanks" dxfId="2935" priority="14400">
      <formula>LEN(TRIM(AE99))=0</formula>
    </cfRule>
    <cfRule type="containsBlanks" dxfId="2934" priority="14401">
      <formula>LEN(TRIM(AE99))=0</formula>
    </cfRule>
    <cfRule type="containsBlanks" dxfId="2933" priority="14402">
      <formula>LEN(TRIM(AE99))=0</formula>
    </cfRule>
    <cfRule type="containsBlanks" dxfId="2932" priority="14403">
      <formula>LEN(TRIM(AE99))=0</formula>
    </cfRule>
    <cfRule type="containsBlanks" dxfId="2931" priority="14404">
      <formula>LEN(TRIM(AE99))=0</formula>
    </cfRule>
    <cfRule type="containsBlanks" dxfId="2930" priority="14405">
      <formula>LEN(TRIM(AE99))=0</formula>
    </cfRule>
    <cfRule type="containsBlanks" dxfId="2929" priority="14406">
      <formula>LEN(TRIM(AE99))=0</formula>
    </cfRule>
    <cfRule type="containsBlanks" dxfId="2928" priority="14407">
      <formula>LEN(TRIM(AE99))=0</formula>
    </cfRule>
    <cfRule type="containsBlanks" dxfId="2927" priority="14408">
      <formula>LEN(TRIM(AE99))=0</formula>
    </cfRule>
    <cfRule type="containsBlanks" dxfId="2926" priority="14409">
      <formula>LEN(TRIM(AE99))=0</formula>
    </cfRule>
    <cfRule type="containsBlanks" dxfId="2925" priority="14410">
      <formula>LEN(TRIM(AE99))=0</formula>
    </cfRule>
    <cfRule type="containsBlanks" dxfId="2924" priority="14411">
      <formula>LEN(TRIM(AE99))=0</formula>
    </cfRule>
    <cfRule type="containsBlanks" dxfId="2923" priority="14412">
      <formula>LEN(TRIM(AE99))=0</formula>
    </cfRule>
    <cfRule type="containsBlanks" dxfId="2922" priority="14413">
      <formula>LEN(TRIM(AE99))=0</formula>
    </cfRule>
    <cfRule type="containsBlanks" dxfId="2921" priority="14414">
      <formula>LEN(TRIM(AE99))=0</formula>
    </cfRule>
    <cfRule type="containsBlanks" dxfId="2920" priority="14415">
      <formula>LEN(TRIM(AE99))=0</formula>
    </cfRule>
    <cfRule type="containsBlanks" dxfId="2919" priority="14416">
      <formula>LEN(TRIM(AE99))=0</formula>
    </cfRule>
    <cfRule type="containsBlanks" dxfId="2918" priority="14417">
      <formula>LEN(TRIM(AE99))=0</formula>
    </cfRule>
    <cfRule type="containsBlanks" dxfId="2917" priority="14418">
      <formula>LEN(TRIM(AE99))=0</formula>
    </cfRule>
    <cfRule type="containsBlanks" dxfId="2916" priority="14419">
      <formula>LEN(TRIM(AE99))=0</formula>
    </cfRule>
    <cfRule type="containsBlanks" dxfId="2915" priority="14420">
      <formula>LEN(TRIM(AE99))=0</formula>
    </cfRule>
    <cfRule type="containsBlanks" dxfId="2914" priority="14421">
      <formula>LEN(TRIM(AE99))=0</formula>
    </cfRule>
    <cfRule type="containsBlanks" dxfId="2913" priority="14422">
      <formula>LEN(TRIM(AE99))=0</formula>
    </cfRule>
    <cfRule type="containsBlanks" dxfId="2912" priority="14423">
      <formula>LEN(TRIM(AE99))=0</formula>
    </cfRule>
    <cfRule type="containsBlanks" dxfId="2911" priority="14424">
      <formula>LEN(TRIM(AE99))=0</formula>
    </cfRule>
    <cfRule type="containsBlanks" dxfId="2910" priority="14425">
      <formula>LEN(TRIM(AE99))=0</formula>
    </cfRule>
    <cfRule type="containsBlanks" dxfId="2909" priority="14426">
      <formula>LEN(TRIM(AE99))=0</formula>
    </cfRule>
    <cfRule type="containsBlanks" dxfId="2908" priority="14427">
      <formula>LEN(TRIM(AE99))=0</formula>
    </cfRule>
    <cfRule type="containsBlanks" dxfId="2907" priority="14428">
      <formula>LEN(TRIM(AE99))=0</formula>
    </cfRule>
    <cfRule type="containsBlanks" dxfId="2906" priority="14429">
      <formula>LEN(TRIM(AE99))=0</formula>
    </cfRule>
    <cfRule type="containsBlanks" dxfId="2905" priority="14430">
      <formula>LEN(TRIM(AE99))=0</formula>
    </cfRule>
    <cfRule type="containsBlanks" dxfId="2904" priority="14431">
      <formula>LEN(TRIM(AE99))=0</formula>
    </cfRule>
    <cfRule type="containsBlanks" dxfId="2903" priority="14432">
      <formula>LEN(TRIM(AE99))=0</formula>
    </cfRule>
    <cfRule type="containsBlanks" dxfId="2902" priority="14433">
      <formula>LEN(TRIM(AE99))=0</formula>
    </cfRule>
    <cfRule type="containsBlanks" dxfId="2901" priority="14434">
      <formula>LEN(TRIM(AE99))=0</formula>
    </cfRule>
    <cfRule type="containsBlanks" dxfId="2900" priority="14435">
      <formula>LEN(TRIM(AE99))=0</formula>
    </cfRule>
    <cfRule type="containsBlanks" dxfId="2899" priority="14436">
      <formula>LEN(TRIM(AE99))=0</formula>
    </cfRule>
    <cfRule type="containsBlanks" dxfId="2898" priority="14437">
      <formula>LEN(TRIM(AE99))=0</formula>
    </cfRule>
    <cfRule type="containsBlanks" dxfId="2897" priority="14438">
      <formula>LEN(TRIM(AE99))=0</formula>
    </cfRule>
    <cfRule type="containsBlanks" dxfId="2896" priority="14439">
      <formula>LEN(TRIM(AE99))=0</formula>
    </cfRule>
    <cfRule type="containsBlanks" dxfId="2895" priority="14440">
      <formula>LEN(TRIM(AE99))=0</formula>
    </cfRule>
    <cfRule type="containsBlanks" dxfId="2894" priority="14441">
      <formula>LEN(TRIM(AE99))=0</formula>
    </cfRule>
    <cfRule type="containsBlanks" dxfId="2893" priority="14442">
      <formula>LEN(TRIM(AE99))=0</formula>
    </cfRule>
    <cfRule type="containsBlanks" dxfId="2892" priority="14443">
      <formula>LEN(TRIM(AE99))=0</formula>
    </cfRule>
    <cfRule type="containsBlanks" dxfId="2891" priority="14444">
      <formula>LEN(TRIM(AE99))=0</formula>
    </cfRule>
    <cfRule type="containsBlanks" dxfId="2890" priority="14445">
      <formula>LEN(TRIM(AE99))=0</formula>
    </cfRule>
    <cfRule type="containsBlanks" dxfId="2889" priority="14446">
      <formula>LEN(TRIM(AE99))=0</formula>
    </cfRule>
    <cfRule type="containsBlanks" dxfId="2888" priority="14447">
      <formula>LEN(TRIM(AE99))=0</formula>
    </cfRule>
    <cfRule type="containsBlanks" dxfId="2887" priority="14448">
      <formula>LEN(TRIM(AE99))=0</formula>
    </cfRule>
    <cfRule type="containsBlanks" dxfId="2886" priority="14449">
      <formula>LEN(TRIM(AE99))=0</formula>
    </cfRule>
    <cfRule type="containsBlanks" dxfId="2885" priority="14450">
      <formula>LEN(TRIM(AE99))=0</formula>
    </cfRule>
    <cfRule type="containsBlanks" dxfId="2884" priority="14451">
      <formula>LEN(TRIM(AE99))=0</formula>
    </cfRule>
    <cfRule type="containsBlanks" dxfId="2883" priority="14452">
      <formula>LEN(TRIM(AE99))=0</formula>
    </cfRule>
    <cfRule type="containsBlanks" dxfId="2882" priority="14453">
      <formula>LEN(TRIM(AE99))=0</formula>
    </cfRule>
    <cfRule type="containsBlanks" dxfId="2881" priority="14454">
      <formula>LEN(TRIM(AE99))=0</formula>
    </cfRule>
    <cfRule type="containsBlanks" dxfId="2880" priority="14455">
      <formula>LEN(TRIM(AE99))=0</formula>
    </cfRule>
    <cfRule type="containsBlanks" dxfId="2879" priority="14456">
      <formula>LEN(TRIM(AE99))=0</formula>
    </cfRule>
    <cfRule type="containsBlanks" dxfId="2878" priority="14457">
      <formula>LEN(TRIM(AE99))=0</formula>
    </cfRule>
    <cfRule type="containsBlanks" dxfId="2877" priority="14458">
      <formula>LEN(TRIM(AE99))=0</formula>
    </cfRule>
    <cfRule type="containsBlanks" dxfId="2876" priority="14459">
      <formula>LEN(TRIM(AE99))=0</formula>
    </cfRule>
    <cfRule type="containsBlanks" dxfId="2875" priority="14460">
      <formula>LEN(TRIM(AE99))=0</formula>
    </cfRule>
    <cfRule type="containsBlanks" dxfId="2874" priority="14461">
      <formula>LEN(TRIM(AE99))=0</formula>
    </cfRule>
    <cfRule type="containsBlanks" dxfId="2873" priority="14462">
      <formula>LEN(TRIM(AE99))=0</formula>
    </cfRule>
    <cfRule type="containsBlanks" dxfId="2872" priority="14463">
      <formula>LEN(TRIM(AE99))=0</formula>
    </cfRule>
    <cfRule type="containsBlanks" dxfId="2871" priority="14464">
      <formula>LEN(TRIM(AE99))=0</formula>
    </cfRule>
    <cfRule type="containsBlanks" dxfId="2870" priority="14465">
      <formula>LEN(TRIM(AE99))=0</formula>
    </cfRule>
    <cfRule type="containsBlanks" dxfId="2869" priority="14466">
      <formula>LEN(TRIM(AE99))=0</formula>
    </cfRule>
    <cfRule type="containsBlanks" dxfId="2868" priority="14467">
      <formula>LEN(TRIM(AE99))=0</formula>
    </cfRule>
    <cfRule type="containsBlanks" dxfId="2867" priority="14468">
      <formula>LEN(TRIM(AE99))=0</formula>
    </cfRule>
    <cfRule type="containsBlanks" dxfId="2866" priority="14469">
      <formula>LEN(TRIM(AE99))=0</formula>
    </cfRule>
    <cfRule type="containsBlanks" dxfId="2865" priority="14470">
      <formula>LEN(TRIM(AE99))=0</formula>
    </cfRule>
    <cfRule type="containsBlanks" dxfId="2864" priority="14471">
      <formula>LEN(TRIM(AE99))=0</formula>
    </cfRule>
    <cfRule type="containsBlanks" dxfId="2863" priority="14472">
      <formula>LEN(TRIM(AE99))=0</formula>
    </cfRule>
    <cfRule type="containsBlanks" dxfId="2862" priority="14473">
      <formula>LEN(TRIM(AE99))=0</formula>
    </cfRule>
    <cfRule type="containsBlanks" dxfId="2861" priority="14474">
      <formula>LEN(TRIM(AE99))=0</formula>
    </cfRule>
    <cfRule type="containsBlanks" dxfId="2860" priority="14475">
      <formula>LEN(TRIM(AE99))=0</formula>
    </cfRule>
    <cfRule type="containsBlanks" dxfId="2859" priority="14476">
      <formula>LEN(TRIM(AE99))=0</formula>
    </cfRule>
    <cfRule type="containsBlanks" dxfId="2858" priority="14477">
      <formula>LEN(TRIM(AE99))=0</formula>
    </cfRule>
    <cfRule type="containsBlanks" dxfId="2857" priority="14478">
      <formula>LEN(TRIM(AE99))=0</formula>
    </cfRule>
    <cfRule type="containsBlanks" dxfId="2856" priority="14479">
      <formula>LEN(TRIM(AE99))=0</formula>
    </cfRule>
    <cfRule type="containsBlanks" dxfId="2855" priority="14480">
      <formula>LEN(TRIM(AE99))=0</formula>
    </cfRule>
    <cfRule type="containsBlanks" dxfId="2854" priority="14481">
      <formula>LEN(TRIM(AE99))=0</formula>
    </cfRule>
    <cfRule type="containsBlanks" dxfId="2853" priority="14482">
      <formula>LEN(TRIM(AE99))=0</formula>
    </cfRule>
    <cfRule type="containsBlanks" dxfId="2852" priority="14483">
      <formula>LEN(TRIM(AE99))=0</formula>
    </cfRule>
    <cfRule type="containsBlanks" dxfId="2851" priority="14484">
      <formula>LEN(TRIM(AE99))=0</formula>
    </cfRule>
    <cfRule type="containsBlanks" dxfId="2850" priority="14485">
      <formula>LEN(TRIM(AE99))=0</formula>
    </cfRule>
    <cfRule type="containsBlanks" dxfId="2849" priority="14486">
      <formula>LEN(TRIM(AE99))=0</formula>
    </cfRule>
    <cfRule type="containsBlanks" dxfId="2848" priority="14487">
      <formula>LEN(TRIM(AE99))=0</formula>
    </cfRule>
    <cfRule type="containsBlanks" dxfId="2847" priority="14488">
      <formula>LEN(TRIM(AE99))=0</formula>
    </cfRule>
    <cfRule type="containsBlanks" dxfId="2846" priority="14489">
      <formula>LEN(TRIM(AE99))=0</formula>
    </cfRule>
    <cfRule type="containsBlanks" dxfId="2845" priority="14490">
      <formula>LEN(TRIM(AE99))=0</formula>
    </cfRule>
    <cfRule type="containsBlanks" dxfId="2844" priority="14491">
      <formula>LEN(TRIM(AE99))=0</formula>
    </cfRule>
    <cfRule type="containsBlanks" dxfId="2843" priority="14492">
      <formula>LEN(TRIM(AE99))=0</formula>
    </cfRule>
    <cfRule type="containsBlanks" dxfId="2842" priority="14493">
      <formula>LEN(TRIM(AE99))=0</formula>
    </cfRule>
    <cfRule type="containsBlanks" dxfId="2841" priority="14494">
      <formula>LEN(TRIM(AE99))=0</formula>
    </cfRule>
    <cfRule type="containsBlanks" dxfId="2840" priority="14495">
      <formula>LEN(TRIM(AE99))=0</formula>
    </cfRule>
    <cfRule type="containsBlanks" dxfId="2839" priority="14496">
      <formula>LEN(TRIM(AE99))=0</formula>
    </cfRule>
    <cfRule type="containsBlanks" dxfId="2838" priority="14497">
      <formula>LEN(TRIM(AE99))=0</formula>
    </cfRule>
    <cfRule type="containsBlanks" dxfId="2837" priority="14498">
      <formula>LEN(TRIM(AE99))=0</formula>
    </cfRule>
    <cfRule type="containsBlanks" dxfId="2836" priority="14499">
      <formula>LEN(TRIM(AE99))=0</formula>
    </cfRule>
    <cfRule type="containsBlanks" dxfId="2835" priority="14500">
      <formula>LEN(TRIM(AE99))=0</formula>
    </cfRule>
    <cfRule type="containsBlanks" dxfId="2834" priority="14501">
      <formula>LEN(TRIM(AE99))=0</formula>
    </cfRule>
    <cfRule type="containsBlanks" dxfId="2833" priority="14502">
      <formula>LEN(TRIM(AE99))=0</formula>
    </cfRule>
    <cfRule type="containsBlanks" dxfId="2832" priority="14503">
      <formula>LEN(TRIM(AE99))=0</formula>
    </cfRule>
    <cfRule type="containsBlanks" dxfId="2831" priority="14504">
      <formula>LEN(TRIM(AE99))=0</formula>
    </cfRule>
    <cfRule type="containsBlanks" dxfId="2830" priority="14505">
      <formula>LEN(TRIM(AE99))=0</formula>
    </cfRule>
    <cfRule type="containsBlanks" dxfId="2829" priority="14506">
      <formula>LEN(TRIM(AE99))=0</formula>
    </cfRule>
    <cfRule type="containsBlanks" dxfId="2828" priority="14507">
      <formula>LEN(TRIM(AE99))=0</formula>
    </cfRule>
    <cfRule type="containsBlanks" dxfId="2827" priority="14508">
      <formula>LEN(TRIM(AE99))=0</formula>
    </cfRule>
    <cfRule type="containsBlanks" dxfId="2826" priority="14509">
      <formula>LEN(TRIM(AE99))=0</formula>
    </cfRule>
    <cfRule type="containsBlanks" dxfId="2825" priority="14510">
      <formula>LEN(TRIM(AE99))=0</formula>
    </cfRule>
    <cfRule type="containsBlanks" dxfId="2824" priority="14511">
      <formula>LEN(TRIM(AE99))=0</formula>
    </cfRule>
    <cfRule type="containsBlanks" dxfId="2823" priority="14512">
      <formula>LEN(TRIM(AE99))=0</formula>
    </cfRule>
    <cfRule type="containsBlanks" dxfId="2822" priority="14513">
      <formula>LEN(TRIM(AE99))=0</formula>
    </cfRule>
    <cfRule type="containsBlanks" dxfId="2821" priority="14514">
      <formula>LEN(TRIM(AE99))=0</formula>
    </cfRule>
    <cfRule type="containsBlanks" dxfId="2820" priority="14515">
      <formula>LEN(TRIM(AE99))=0</formula>
    </cfRule>
    <cfRule type="containsBlanks" dxfId="2819" priority="14516">
      <formula>LEN(TRIM(AE99))=0</formula>
    </cfRule>
    <cfRule type="containsBlanks" dxfId="2818" priority="14517">
      <formula>LEN(TRIM(AE99))=0</formula>
    </cfRule>
    <cfRule type="containsBlanks" dxfId="2817" priority="14518">
      <formula>LEN(TRIM(AE99))=0</formula>
    </cfRule>
    <cfRule type="containsBlanks" dxfId="2816" priority="14519">
      <formula>LEN(TRIM(AE99))=0</formula>
    </cfRule>
    <cfRule type="containsBlanks" dxfId="2815" priority="14520">
      <formula>LEN(TRIM(AE99))=0</formula>
    </cfRule>
    <cfRule type="containsBlanks" dxfId="2814" priority="14521">
      <formula>LEN(TRIM(AE99))=0</formula>
    </cfRule>
    <cfRule type="containsBlanks" dxfId="2813" priority="14522">
      <formula>LEN(TRIM(AE99))=0</formula>
    </cfRule>
    <cfRule type="containsBlanks" dxfId="2812" priority="14523">
      <formula>LEN(TRIM(AE99))=0</formula>
    </cfRule>
    <cfRule type="containsBlanks" dxfId="2811" priority="14524">
      <formula>LEN(TRIM(AE99))=0</formula>
    </cfRule>
    <cfRule type="containsBlanks" dxfId="2810" priority="14525">
      <formula>LEN(TRIM(AE99))=0</formula>
    </cfRule>
    <cfRule type="containsBlanks" dxfId="2809" priority="14526">
      <formula>LEN(TRIM(AE99))=0</formula>
    </cfRule>
    <cfRule type="containsBlanks" dxfId="2808" priority="14527">
      <formula>LEN(TRIM(AE99))=0</formula>
    </cfRule>
    <cfRule type="containsBlanks" dxfId="2807" priority="14528">
      <formula>LEN(TRIM(AE99))=0</formula>
    </cfRule>
  </conditionalFormatting>
  <conditionalFormatting sqref="AF99:AF156">
    <cfRule type="containsBlanks" dxfId="2806" priority="14198">
      <formula>LEN(TRIM(AF99))=0</formula>
    </cfRule>
    <cfRule type="containsBlanks" dxfId="2805" priority="14199">
      <formula>LEN(TRIM(AF99))=0</formula>
    </cfRule>
    <cfRule type="containsBlanks" dxfId="2804" priority="14200">
      <formula>LEN(TRIM(AF99))=0</formula>
    </cfRule>
    <cfRule type="containsBlanks" dxfId="2803" priority="14201">
      <formula>LEN(TRIM(AF99))=0</formula>
    </cfRule>
    <cfRule type="containsBlanks" dxfId="2802" priority="14202">
      <formula>LEN(TRIM(AF99))=0</formula>
    </cfRule>
    <cfRule type="containsBlanks" dxfId="2801" priority="14203">
      <formula>LEN(TRIM(AF99))=0</formula>
    </cfRule>
    <cfRule type="containsBlanks" dxfId="2800" priority="14204">
      <formula>LEN(TRIM(AF99))=0</formula>
    </cfRule>
    <cfRule type="containsBlanks" dxfId="2799" priority="14205">
      <formula>LEN(TRIM(AF99))=0</formula>
    </cfRule>
    <cfRule type="containsBlanks" dxfId="2798" priority="14206">
      <formula>LEN(TRIM(AF99))=0</formula>
    </cfRule>
    <cfRule type="containsBlanks" dxfId="2797" priority="14207">
      <formula>LEN(TRIM(AF99))=0</formula>
    </cfRule>
    <cfRule type="containsBlanks" dxfId="2796" priority="14208">
      <formula>LEN(TRIM(AF99))=0</formula>
    </cfRule>
    <cfRule type="containsBlanks" dxfId="2795" priority="14209">
      <formula>LEN(TRIM(AF99))=0</formula>
    </cfRule>
    <cfRule type="containsBlanks" dxfId="2794" priority="14210">
      <formula>LEN(TRIM(AF99))=0</formula>
    </cfRule>
    <cfRule type="containsBlanks" dxfId="2793" priority="14211">
      <formula>LEN(TRIM(AF99))=0</formula>
    </cfRule>
    <cfRule type="containsBlanks" dxfId="2792" priority="14212">
      <formula>LEN(TRIM(AF99))=0</formula>
    </cfRule>
    <cfRule type="containsBlanks" dxfId="2791" priority="14213">
      <formula>LEN(TRIM(AF99))=0</formula>
    </cfRule>
    <cfRule type="containsBlanks" dxfId="2790" priority="14214">
      <formula>LEN(TRIM(AF99))=0</formula>
    </cfRule>
    <cfRule type="containsBlanks" dxfId="2789" priority="14215">
      <formula>LEN(TRIM(AF99))=0</formula>
    </cfRule>
    <cfRule type="containsBlanks" dxfId="2788" priority="14216">
      <formula>LEN(TRIM(AF99))=0</formula>
    </cfRule>
    <cfRule type="containsBlanks" dxfId="2787" priority="14217">
      <formula>LEN(TRIM(AF99))=0</formula>
    </cfRule>
    <cfRule type="containsBlanks" dxfId="2786" priority="14218">
      <formula>LEN(TRIM(AF99))=0</formula>
    </cfRule>
    <cfRule type="containsBlanks" dxfId="2785" priority="14219">
      <formula>LEN(TRIM(AF99))=0</formula>
    </cfRule>
    <cfRule type="containsBlanks" dxfId="2784" priority="14220">
      <formula>LEN(TRIM(AF99))=0</formula>
    </cfRule>
    <cfRule type="containsBlanks" dxfId="2783" priority="14221">
      <formula>LEN(TRIM(AF99))=0</formula>
    </cfRule>
    <cfRule type="containsBlanks" dxfId="2782" priority="14222">
      <formula>LEN(TRIM(AF99))=0</formula>
    </cfRule>
    <cfRule type="containsBlanks" dxfId="2781" priority="14223">
      <formula>LEN(TRIM(AF99))=0</formula>
    </cfRule>
    <cfRule type="containsBlanks" dxfId="2780" priority="14224">
      <formula>LEN(TRIM(AF99))=0</formula>
    </cfRule>
    <cfRule type="containsBlanks" dxfId="2779" priority="14225">
      <formula>LEN(TRIM(AF99))=0</formula>
    </cfRule>
    <cfRule type="containsBlanks" dxfId="2778" priority="14226">
      <formula>LEN(TRIM(AF99))=0</formula>
    </cfRule>
    <cfRule type="containsBlanks" dxfId="2777" priority="14227">
      <formula>LEN(TRIM(AF99))=0</formula>
    </cfRule>
    <cfRule type="containsBlanks" dxfId="2776" priority="14228">
      <formula>LEN(TRIM(AF99))=0</formula>
    </cfRule>
    <cfRule type="containsBlanks" dxfId="2775" priority="14229">
      <formula>LEN(TRIM(AF99))=0</formula>
    </cfRule>
    <cfRule type="containsBlanks" dxfId="2774" priority="14230">
      <formula>LEN(TRIM(AF99))=0</formula>
    </cfRule>
    <cfRule type="containsBlanks" dxfId="2773" priority="14231">
      <formula>LEN(TRIM(AF99))=0</formula>
    </cfRule>
    <cfRule type="containsBlanks" dxfId="2772" priority="14232">
      <formula>LEN(TRIM(AF99))=0</formula>
    </cfRule>
    <cfRule type="containsBlanks" dxfId="2771" priority="14233">
      <formula>LEN(TRIM(AF99))=0</formula>
    </cfRule>
    <cfRule type="containsBlanks" dxfId="2770" priority="14234">
      <formula>LEN(TRIM(AF99))=0</formula>
    </cfRule>
    <cfRule type="containsBlanks" dxfId="2769" priority="14235">
      <formula>LEN(TRIM(AF99))=0</formula>
    </cfRule>
    <cfRule type="containsBlanks" dxfId="2768" priority="14236">
      <formula>LEN(TRIM(AF99))=0</formula>
    </cfRule>
    <cfRule type="containsBlanks" dxfId="2767" priority="14237">
      <formula>LEN(TRIM(AF99))=0</formula>
    </cfRule>
    <cfRule type="containsBlanks" dxfId="2766" priority="14238">
      <formula>LEN(TRIM(AF99))=0</formula>
    </cfRule>
    <cfRule type="containsBlanks" dxfId="2765" priority="14239">
      <formula>LEN(TRIM(AF99))=0</formula>
    </cfRule>
    <cfRule type="containsBlanks" dxfId="2764" priority="14240">
      <formula>LEN(TRIM(AF99))=0</formula>
    </cfRule>
    <cfRule type="containsBlanks" dxfId="2763" priority="14241">
      <formula>LEN(TRIM(AF99))=0</formula>
    </cfRule>
    <cfRule type="containsBlanks" dxfId="2762" priority="14242">
      <formula>LEN(TRIM(AF99))=0</formula>
    </cfRule>
    <cfRule type="containsBlanks" dxfId="2761" priority="14243">
      <formula>LEN(TRIM(AF99))=0</formula>
    </cfRule>
    <cfRule type="containsBlanks" dxfId="2760" priority="14244">
      <formula>LEN(TRIM(AF99))=0</formula>
    </cfRule>
    <cfRule type="containsBlanks" dxfId="2759" priority="14245">
      <formula>LEN(TRIM(AF99))=0</formula>
    </cfRule>
    <cfRule type="containsBlanks" dxfId="2758" priority="14246">
      <formula>LEN(TRIM(AF99))=0</formula>
    </cfRule>
    <cfRule type="containsBlanks" dxfId="2757" priority="14247">
      <formula>LEN(TRIM(AF99))=0</formula>
    </cfRule>
    <cfRule type="containsBlanks" dxfId="2756" priority="14248">
      <formula>LEN(TRIM(AF99))=0</formula>
    </cfRule>
    <cfRule type="containsBlanks" dxfId="2755" priority="14249">
      <formula>LEN(TRIM(AF99))=0</formula>
    </cfRule>
    <cfRule type="containsBlanks" dxfId="2754" priority="14250">
      <formula>LEN(TRIM(AF99))=0</formula>
    </cfRule>
    <cfRule type="containsBlanks" dxfId="2753" priority="14251">
      <formula>LEN(TRIM(AF99))=0</formula>
    </cfRule>
    <cfRule type="containsBlanks" dxfId="2752" priority="14252">
      <formula>LEN(TRIM(AF99))=0</formula>
    </cfRule>
    <cfRule type="containsBlanks" dxfId="2751" priority="14253">
      <formula>LEN(TRIM(AF99))=0</formula>
    </cfRule>
    <cfRule type="containsBlanks" dxfId="2750" priority="14254">
      <formula>LEN(TRIM(AF99))=0</formula>
    </cfRule>
    <cfRule type="containsBlanks" dxfId="2749" priority="14255">
      <formula>LEN(TRIM(AF99))=0</formula>
    </cfRule>
    <cfRule type="containsBlanks" dxfId="2748" priority="14256">
      <formula>LEN(TRIM(AF99))=0</formula>
    </cfRule>
    <cfRule type="containsBlanks" dxfId="2747" priority="14257">
      <formula>LEN(TRIM(AF99))=0</formula>
    </cfRule>
    <cfRule type="containsBlanks" dxfId="2746" priority="14258">
      <formula>LEN(TRIM(AF99))=0</formula>
    </cfRule>
    <cfRule type="containsBlanks" dxfId="2745" priority="14259">
      <formula>LEN(TRIM(AF99))=0</formula>
    </cfRule>
    <cfRule type="containsBlanks" dxfId="2744" priority="14260">
      <formula>LEN(TRIM(AF99))=0</formula>
    </cfRule>
    <cfRule type="containsBlanks" dxfId="2743" priority="14261">
      <formula>LEN(TRIM(AF99))=0</formula>
    </cfRule>
    <cfRule type="containsBlanks" dxfId="2742" priority="14262">
      <formula>LEN(TRIM(AF99))=0</formula>
    </cfRule>
    <cfRule type="containsBlanks" dxfId="2741" priority="14263">
      <formula>LEN(TRIM(AF99))=0</formula>
    </cfRule>
    <cfRule type="containsBlanks" dxfId="2740" priority="14264">
      <formula>LEN(TRIM(AF99))=0</formula>
    </cfRule>
    <cfRule type="containsBlanks" dxfId="2739" priority="14265">
      <formula>LEN(TRIM(AF99))=0</formula>
    </cfRule>
    <cfRule type="containsBlanks" dxfId="2738" priority="14266">
      <formula>LEN(TRIM(AF99))=0</formula>
    </cfRule>
    <cfRule type="containsBlanks" dxfId="2737" priority="14267">
      <formula>LEN(TRIM(AF99))=0</formula>
    </cfRule>
    <cfRule type="containsBlanks" dxfId="2736" priority="14268">
      <formula>LEN(TRIM(AF99))=0</formula>
    </cfRule>
    <cfRule type="containsBlanks" dxfId="2735" priority="14269">
      <formula>LEN(TRIM(AF99))=0</formula>
    </cfRule>
    <cfRule type="containsBlanks" dxfId="2734" priority="14270">
      <formula>LEN(TRIM(AF99))=0</formula>
    </cfRule>
    <cfRule type="containsBlanks" dxfId="2733" priority="14271">
      <formula>LEN(TRIM(AF99))=0</formula>
    </cfRule>
    <cfRule type="containsBlanks" dxfId="2732" priority="14272">
      <formula>LEN(TRIM(AF99))=0</formula>
    </cfRule>
    <cfRule type="containsBlanks" dxfId="2731" priority="14273">
      <formula>LEN(TRIM(AF99))=0</formula>
    </cfRule>
    <cfRule type="containsBlanks" dxfId="2730" priority="14274">
      <formula>LEN(TRIM(AF99))=0</formula>
    </cfRule>
    <cfRule type="containsBlanks" dxfId="2729" priority="14275">
      <formula>LEN(TRIM(AF99))=0</formula>
    </cfRule>
    <cfRule type="containsBlanks" dxfId="2728" priority="14276">
      <formula>LEN(TRIM(AF99))=0</formula>
    </cfRule>
    <cfRule type="containsBlanks" dxfId="2727" priority="14277">
      <formula>LEN(TRIM(AF99))=0</formula>
    </cfRule>
    <cfRule type="containsBlanks" dxfId="2726" priority="14278">
      <formula>LEN(TRIM(AF99))=0</formula>
    </cfRule>
    <cfRule type="containsBlanks" dxfId="2725" priority="14279">
      <formula>LEN(TRIM(AF99))=0</formula>
    </cfRule>
    <cfRule type="containsBlanks" dxfId="2724" priority="14280">
      <formula>LEN(TRIM(AF99))=0</formula>
    </cfRule>
    <cfRule type="containsBlanks" dxfId="2723" priority="14281">
      <formula>LEN(TRIM(AF99))=0</formula>
    </cfRule>
    <cfRule type="containsBlanks" dxfId="2722" priority="14282">
      <formula>LEN(TRIM(AF99))=0</formula>
    </cfRule>
    <cfRule type="containsBlanks" dxfId="2721" priority="14283">
      <formula>LEN(TRIM(AF99))=0</formula>
    </cfRule>
    <cfRule type="containsBlanks" dxfId="2720" priority="14284">
      <formula>LEN(TRIM(AF99))=0</formula>
    </cfRule>
    <cfRule type="containsBlanks" dxfId="2719" priority="14285">
      <formula>LEN(TRIM(AF99))=0</formula>
    </cfRule>
    <cfRule type="containsBlanks" dxfId="2718" priority="14286">
      <formula>LEN(TRIM(AF99))=0</formula>
    </cfRule>
    <cfRule type="containsBlanks" dxfId="2717" priority="14287">
      <formula>LEN(TRIM(AF99))=0</formula>
    </cfRule>
    <cfRule type="containsBlanks" dxfId="2716" priority="14288">
      <formula>LEN(TRIM(AF99))=0</formula>
    </cfRule>
    <cfRule type="containsBlanks" dxfId="2715" priority="14289">
      <formula>LEN(TRIM(AF99))=0</formula>
    </cfRule>
    <cfRule type="containsBlanks" dxfId="2714" priority="14290">
      <formula>LEN(TRIM(AF99))=0</formula>
    </cfRule>
    <cfRule type="containsBlanks" dxfId="2713" priority="14291">
      <formula>LEN(TRIM(AF99))=0</formula>
    </cfRule>
    <cfRule type="containsBlanks" dxfId="2712" priority="14292">
      <formula>LEN(TRIM(AF99))=0</formula>
    </cfRule>
    <cfRule type="containsBlanks" dxfId="2711" priority="14293">
      <formula>LEN(TRIM(AF99))=0</formula>
    </cfRule>
    <cfRule type="containsBlanks" dxfId="2710" priority="14294">
      <formula>LEN(TRIM(AF99))=0</formula>
    </cfRule>
    <cfRule type="containsBlanks" dxfId="2709" priority="14295">
      <formula>LEN(TRIM(AF99))=0</formula>
    </cfRule>
    <cfRule type="containsBlanks" dxfId="2708" priority="14296">
      <formula>LEN(TRIM(AF99))=0</formula>
    </cfRule>
    <cfRule type="containsBlanks" dxfId="2707" priority="14297">
      <formula>LEN(TRIM(AF99))=0</formula>
    </cfRule>
    <cfRule type="containsBlanks" dxfId="2706" priority="14298">
      <formula>LEN(TRIM(AF99))=0</formula>
    </cfRule>
    <cfRule type="containsBlanks" dxfId="2705" priority="14299">
      <formula>LEN(TRIM(AF99))=0</formula>
    </cfRule>
    <cfRule type="containsBlanks" dxfId="2704" priority="14300">
      <formula>LEN(TRIM(AF99))=0</formula>
    </cfRule>
    <cfRule type="containsBlanks" dxfId="2703" priority="14301">
      <formula>LEN(TRIM(AF99))=0</formula>
    </cfRule>
    <cfRule type="containsBlanks" dxfId="2702" priority="14302">
      <formula>LEN(TRIM(AF99))=0</formula>
    </cfRule>
    <cfRule type="containsBlanks" dxfId="2701" priority="14303">
      <formula>LEN(TRIM(AF99))=0</formula>
    </cfRule>
    <cfRule type="containsBlanks" dxfId="2700" priority="14304">
      <formula>LEN(TRIM(AF99))=0</formula>
    </cfRule>
    <cfRule type="containsBlanks" dxfId="2699" priority="14305">
      <formula>LEN(TRIM(AF99))=0</formula>
    </cfRule>
    <cfRule type="containsBlanks" dxfId="2698" priority="14306">
      <formula>LEN(TRIM(AF99))=0</formula>
    </cfRule>
    <cfRule type="containsBlanks" dxfId="2697" priority="14307">
      <formula>LEN(TRIM(AF99))=0</formula>
    </cfRule>
    <cfRule type="containsBlanks" dxfId="2696" priority="14308">
      <formula>LEN(TRIM(AF99))=0</formula>
    </cfRule>
    <cfRule type="containsBlanks" dxfId="2695" priority="14309">
      <formula>LEN(TRIM(AF99))=0</formula>
    </cfRule>
    <cfRule type="containsBlanks" dxfId="2694" priority="14310">
      <formula>LEN(TRIM(AF99))=0</formula>
    </cfRule>
    <cfRule type="containsBlanks" dxfId="2693" priority="14311">
      <formula>LEN(TRIM(AF99))=0</formula>
    </cfRule>
    <cfRule type="containsBlanks" dxfId="2692" priority="14312">
      <formula>LEN(TRIM(AF99))=0</formula>
    </cfRule>
    <cfRule type="containsBlanks" dxfId="2691" priority="14313">
      <formula>LEN(TRIM(AF99))=0</formula>
    </cfRule>
    <cfRule type="containsBlanks" dxfId="2690" priority="14314">
      <formula>LEN(TRIM(AF99))=0</formula>
    </cfRule>
    <cfRule type="containsBlanks" dxfId="2689" priority="14315">
      <formula>LEN(TRIM(AF99))=0</formula>
    </cfRule>
    <cfRule type="containsBlanks" dxfId="2688" priority="14316">
      <formula>LEN(TRIM(AF99))=0</formula>
    </cfRule>
    <cfRule type="containsBlanks" dxfId="2687" priority="14317">
      <formula>LEN(TRIM(AF99))=0</formula>
    </cfRule>
    <cfRule type="containsBlanks" dxfId="2686" priority="14318">
      <formula>LEN(TRIM(AF99))=0</formula>
    </cfRule>
    <cfRule type="containsBlanks" dxfId="2685" priority="14319">
      <formula>LEN(TRIM(AF99))=0</formula>
    </cfRule>
    <cfRule type="containsBlanks" dxfId="2684" priority="14320">
      <formula>LEN(TRIM(AF99))=0</formula>
    </cfRule>
    <cfRule type="containsBlanks" dxfId="2683" priority="14321">
      <formula>LEN(TRIM(AF99))=0</formula>
    </cfRule>
    <cfRule type="containsBlanks" dxfId="2682" priority="14322">
      <formula>LEN(TRIM(AF99))=0</formula>
    </cfRule>
    <cfRule type="containsBlanks" dxfId="2681" priority="14323">
      <formula>LEN(TRIM(AF99))=0</formula>
    </cfRule>
    <cfRule type="containsBlanks" dxfId="2680" priority="14324">
      <formula>LEN(TRIM(AF99))=0</formula>
    </cfRule>
    <cfRule type="containsBlanks" dxfId="2679" priority="14325">
      <formula>LEN(TRIM(AF99))=0</formula>
    </cfRule>
    <cfRule type="containsBlanks" dxfId="2678" priority="14326">
      <formula>LEN(TRIM(AF99))=0</formula>
    </cfRule>
    <cfRule type="containsBlanks" dxfId="2677" priority="14327">
      <formula>LEN(TRIM(AF99))=0</formula>
    </cfRule>
    <cfRule type="containsBlanks" dxfId="2676" priority="14328">
      <formula>LEN(TRIM(AF99))=0</formula>
    </cfRule>
    <cfRule type="containsBlanks" dxfId="2675" priority="14329">
      <formula>LEN(TRIM(AF99))=0</formula>
    </cfRule>
    <cfRule type="containsBlanks" dxfId="2674" priority="14330">
      <formula>LEN(TRIM(AF99))=0</formula>
    </cfRule>
    <cfRule type="containsBlanks" dxfId="2673" priority="14331">
      <formula>LEN(TRIM(AF99))=0</formula>
    </cfRule>
    <cfRule type="containsBlanks" dxfId="2672" priority="14332">
      <formula>LEN(TRIM(AF99))=0</formula>
    </cfRule>
    <cfRule type="containsBlanks" dxfId="2671" priority="14333">
      <formula>LEN(TRIM(AF99))=0</formula>
    </cfRule>
    <cfRule type="containsBlanks" dxfId="2670" priority="14334">
      <formula>LEN(TRIM(AF99))=0</formula>
    </cfRule>
    <cfRule type="containsBlanks" dxfId="2669" priority="14335">
      <formula>LEN(TRIM(AF99))=0</formula>
    </cfRule>
    <cfRule type="containsBlanks" dxfId="2668" priority="14336">
      <formula>LEN(TRIM(AF99))=0</formula>
    </cfRule>
    <cfRule type="containsBlanks" dxfId="2667" priority="14337">
      <formula>LEN(TRIM(AF99))=0</formula>
    </cfRule>
    <cfRule type="containsBlanks" dxfId="2666" priority="14338">
      <formula>LEN(TRIM(AF99))=0</formula>
    </cfRule>
    <cfRule type="containsBlanks" dxfId="2665" priority="14339">
      <formula>LEN(TRIM(AF99))=0</formula>
    </cfRule>
    <cfRule type="containsBlanks" dxfId="2664" priority="14340">
      <formula>LEN(TRIM(AF99))=0</formula>
    </cfRule>
    <cfRule type="containsBlanks" dxfId="2663" priority="14341">
      <formula>LEN(TRIM(AF99))=0</formula>
    </cfRule>
    <cfRule type="containsBlanks" dxfId="2662" priority="14342">
      <formula>LEN(TRIM(AF99))=0</formula>
    </cfRule>
    <cfRule type="containsBlanks" dxfId="2661" priority="14343">
      <formula>LEN(TRIM(AF99))=0</formula>
    </cfRule>
    <cfRule type="containsBlanks" dxfId="2660" priority="14344">
      <formula>LEN(TRIM(AF99))=0</formula>
    </cfRule>
    <cfRule type="containsBlanks" dxfId="2659" priority="14345">
      <formula>LEN(TRIM(AF99))=0</formula>
    </cfRule>
    <cfRule type="containsBlanks" dxfId="2658" priority="14346">
      <formula>LEN(TRIM(AF99))=0</formula>
    </cfRule>
    <cfRule type="containsBlanks" dxfId="2657" priority="14347">
      <formula>LEN(TRIM(AF99))=0</formula>
    </cfRule>
    <cfRule type="containsBlanks" dxfId="2656" priority="14348">
      <formula>LEN(TRIM(AF99))=0</formula>
    </cfRule>
    <cfRule type="containsBlanks" dxfId="2655" priority="14349">
      <formula>LEN(TRIM(AF99))=0</formula>
    </cfRule>
    <cfRule type="containsBlanks" dxfId="2654" priority="14350">
      <formula>LEN(TRIM(AF99))=0</formula>
    </cfRule>
    <cfRule type="containsBlanks" dxfId="2653" priority="14351">
      <formula>LEN(TRIM(AF99))=0</formula>
    </cfRule>
    <cfRule type="containsBlanks" dxfId="2652" priority="14352">
      <formula>LEN(TRIM(AF99))=0</formula>
    </cfRule>
    <cfRule type="containsBlanks" dxfId="2651" priority="14353">
      <formula>LEN(TRIM(AF99))=0</formula>
    </cfRule>
    <cfRule type="containsBlanks" dxfId="2650" priority="14354">
      <formula>LEN(TRIM(AF99))=0</formula>
    </cfRule>
    <cfRule type="containsBlanks" dxfId="2649" priority="14355">
      <formula>LEN(TRIM(AF99))=0</formula>
    </cfRule>
    <cfRule type="containsBlanks" dxfId="2648" priority="14356">
      <formula>LEN(TRIM(AF99))=0</formula>
    </cfRule>
    <cfRule type="containsBlanks" dxfId="2647" priority="14357">
      <formula>LEN(TRIM(AF99))=0</formula>
    </cfRule>
    <cfRule type="containsBlanks" dxfId="2646" priority="14358">
      <formula>LEN(TRIM(AF99))=0</formula>
    </cfRule>
    <cfRule type="containsBlanks" dxfId="2645" priority="14359">
      <formula>LEN(TRIM(AF99))=0</formula>
    </cfRule>
    <cfRule type="containsBlanks" dxfId="2644" priority="14360">
      <formula>LEN(TRIM(AF99))=0</formula>
    </cfRule>
    <cfRule type="containsBlanks" dxfId="2643" priority="14361">
      <formula>LEN(TRIM(AF99))=0</formula>
    </cfRule>
    <cfRule type="containsBlanks" dxfId="2642" priority="14362">
      <formula>LEN(TRIM(AF99))=0</formula>
    </cfRule>
    <cfRule type="containsBlanks" dxfId="2641" priority="14363">
      <formula>LEN(TRIM(AF99))=0</formula>
    </cfRule>
    <cfRule type="containsBlanks" dxfId="2640" priority="14364">
      <formula>LEN(TRIM(AF99))=0</formula>
    </cfRule>
    <cfRule type="containsBlanks" dxfId="2639" priority="14365">
      <formula>LEN(TRIM(AF99))=0</formula>
    </cfRule>
    <cfRule type="containsBlanks" dxfId="2638" priority="14366">
      <formula>LEN(TRIM(AF99))=0</formula>
    </cfRule>
    <cfRule type="containsBlanks" dxfId="2637" priority="14367">
      <formula>LEN(TRIM(AF99))=0</formula>
    </cfRule>
    <cfRule type="containsBlanks" dxfId="2636" priority="14368">
      <formula>LEN(TRIM(AF99))=0</formula>
    </cfRule>
    <cfRule type="containsBlanks" dxfId="2635" priority="14369">
      <formula>LEN(TRIM(AF99))=0</formula>
    </cfRule>
    <cfRule type="containsBlanks" dxfId="2634" priority="14370">
      <formula>LEN(TRIM(AF99))=0</formula>
    </cfRule>
  </conditionalFormatting>
  <conditionalFormatting sqref="AF157:AF158 AD158">
    <cfRule type="containsBlanks" dxfId="2633" priority="19661">
      <formula>LEN(TRIM(AD157))=0</formula>
    </cfRule>
    <cfRule type="containsBlanks" dxfId="2632" priority="19667">
      <formula>LEN(TRIM(AD157))=0</formula>
    </cfRule>
  </conditionalFormatting>
  <conditionalFormatting sqref="AF157:AF158">
    <cfRule type="containsBlanks" dxfId="2631" priority="18984">
      <formula>LEN(TRIM(AF157))=0</formula>
    </cfRule>
  </conditionalFormatting>
  <conditionalFormatting sqref="AF157:AF158">
    <cfRule type="containsBlanks" dxfId="2630" priority="18908">
      <formula>LEN(TRIM(AF157))=0</formula>
    </cfRule>
    <cfRule type="containsBlanks" dxfId="2629" priority="18909">
      <formula>LEN(TRIM(AF157))=0</formula>
    </cfRule>
    <cfRule type="containsBlanks" dxfId="2628" priority="18910">
      <formula>LEN(TRIM(AF157))=0</formula>
    </cfRule>
    <cfRule type="containsBlanks" dxfId="2627" priority="18911">
      <formula>LEN(TRIM(AF157))=0</formula>
    </cfRule>
    <cfRule type="containsBlanks" dxfId="2626" priority="18912">
      <formula>LEN(TRIM(AF157))=0</formula>
    </cfRule>
    <cfRule type="containsBlanks" dxfId="2625" priority="18913">
      <formula>LEN(TRIM(AF157))=0</formula>
    </cfRule>
    <cfRule type="containsBlanks" dxfId="2624" priority="18914">
      <formula>LEN(TRIM(AF157))=0</formula>
    </cfRule>
    <cfRule type="containsBlanks" dxfId="2623" priority="18915">
      <formula>LEN(TRIM(AF157))=0</formula>
    </cfRule>
    <cfRule type="containsBlanks" dxfId="2622" priority="18916">
      <formula>LEN(TRIM(AF157))=0</formula>
    </cfRule>
    <cfRule type="containsBlanks" dxfId="2621" priority="18917">
      <formula>LEN(TRIM(AF157))=0</formula>
    </cfRule>
    <cfRule type="containsBlanks" dxfId="2620" priority="18918">
      <formula>LEN(TRIM(AF157))=0</formula>
    </cfRule>
    <cfRule type="containsBlanks" dxfId="2619" priority="18919">
      <formula>LEN(TRIM(AF157))=0</formula>
    </cfRule>
    <cfRule type="containsBlanks" dxfId="2618" priority="18920">
      <formula>LEN(TRIM(AF157))=0</formula>
    </cfRule>
    <cfRule type="containsBlanks" dxfId="2617" priority="18921">
      <formula>LEN(TRIM(AF157))=0</formula>
    </cfRule>
    <cfRule type="containsBlanks" dxfId="2616" priority="18922">
      <formula>LEN(TRIM(AF157))=0</formula>
    </cfRule>
    <cfRule type="containsBlanks" dxfId="2615" priority="18923">
      <formula>LEN(TRIM(AF157))=0</formula>
    </cfRule>
    <cfRule type="containsBlanks" dxfId="2614" priority="18924">
      <formula>LEN(TRIM(AF157))=0</formula>
    </cfRule>
    <cfRule type="containsBlanks" dxfId="2613" priority="18925">
      <formula>LEN(TRIM(AF157))=0</formula>
    </cfRule>
    <cfRule type="containsBlanks" dxfId="2612" priority="18926">
      <formula>LEN(TRIM(AF157))=0</formula>
    </cfRule>
    <cfRule type="containsBlanks" dxfId="2611" priority="18927">
      <formula>LEN(TRIM(AF157))=0</formula>
    </cfRule>
    <cfRule type="containsBlanks" dxfId="2610" priority="18928">
      <formula>LEN(TRIM(AF157))=0</formula>
    </cfRule>
    <cfRule type="containsBlanks" dxfId="2609" priority="18929">
      <formula>LEN(TRIM(AF157))=0</formula>
    </cfRule>
    <cfRule type="containsBlanks" dxfId="2608" priority="18930">
      <formula>LEN(TRIM(AF157))=0</formula>
    </cfRule>
    <cfRule type="containsBlanks" dxfId="2607" priority="18931">
      <formula>LEN(TRIM(AF157))=0</formula>
    </cfRule>
    <cfRule type="containsBlanks" dxfId="2606" priority="18932">
      <formula>LEN(TRIM(AF157))=0</formula>
    </cfRule>
    <cfRule type="containsBlanks" dxfId="2605" priority="18933">
      <formula>LEN(TRIM(AF157))=0</formula>
    </cfRule>
    <cfRule type="containsBlanks" dxfId="2604" priority="18934">
      <formula>LEN(TRIM(AF157))=0</formula>
    </cfRule>
    <cfRule type="containsBlanks" dxfId="2603" priority="18935">
      <formula>LEN(TRIM(AF157))=0</formula>
    </cfRule>
    <cfRule type="containsBlanks" dxfId="2602" priority="18936">
      <formula>LEN(TRIM(AF157))=0</formula>
    </cfRule>
    <cfRule type="containsBlanks" dxfId="2601" priority="18937">
      <formula>LEN(TRIM(AF157))=0</formula>
    </cfRule>
    <cfRule type="containsBlanks" dxfId="2600" priority="18938">
      <formula>LEN(TRIM(AF157))=0</formula>
    </cfRule>
    <cfRule type="containsBlanks" dxfId="2599" priority="18939">
      <formula>LEN(TRIM(AF157))=0</formula>
    </cfRule>
    <cfRule type="containsBlanks" dxfId="2598" priority="18940">
      <formula>LEN(TRIM(AF157))=0</formula>
    </cfRule>
    <cfRule type="containsBlanks" dxfId="2597" priority="18941">
      <formula>LEN(TRIM(AF157))=0</formula>
    </cfRule>
    <cfRule type="containsBlanks" dxfId="2596" priority="18942">
      <formula>LEN(TRIM(AF157))=0</formula>
    </cfRule>
    <cfRule type="containsBlanks" dxfId="2595" priority="18943">
      <formula>LEN(TRIM(AF157))=0</formula>
    </cfRule>
    <cfRule type="containsBlanks" dxfId="2594" priority="18944">
      <formula>LEN(TRIM(AF157))=0</formula>
    </cfRule>
    <cfRule type="containsBlanks" dxfId="2593" priority="18945">
      <formula>LEN(TRIM(AF157))=0</formula>
    </cfRule>
    <cfRule type="containsBlanks" dxfId="2592" priority="18946">
      <formula>LEN(TRIM(AF157))=0</formula>
    </cfRule>
    <cfRule type="containsBlanks" dxfId="2591" priority="18947">
      <formula>LEN(TRIM(AF157))=0</formula>
    </cfRule>
    <cfRule type="containsBlanks" dxfId="2590" priority="18948">
      <formula>LEN(TRIM(AF157))=0</formula>
    </cfRule>
    <cfRule type="containsBlanks" dxfId="2589" priority="18949">
      <formula>LEN(TRIM(AF157))=0</formula>
    </cfRule>
    <cfRule type="containsBlanks" dxfId="2588" priority="18950">
      <formula>LEN(TRIM(AF157))=0</formula>
    </cfRule>
    <cfRule type="containsBlanks" dxfId="2587" priority="18951">
      <formula>LEN(TRIM(AF157))=0</formula>
    </cfRule>
    <cfRule type="containsBlanks" dxfId="2586" priority="18952">
      <formula>LEN(TRIM(AF157))=0</formula>
    </cfRule>
    <cfRule type="containsBlanks" dxfId="2585" priority="18953">
      <formula>LEN(TRIM(AF157))=0</formula>
    </cfRule>
    <cfRule type="containsBlanks" dxfId="2584" priority="18954">
      <formula>LEN(TRIM(AF157))=0</formula>
    </cfRule>
    <cfRule type="containsBlanks" dxfId="2583" priority="18955">
      <formula>LEN(TRIM(AF157))=0</formula>
    </cfRule>
    <cfRule type="containsBlanks" dxfId="2582" priority="18956">
      <formula>LEN(TRIM(AF157))=0</formula>
    </cfRule>
    <cfRule type="containsBlanks" dxfId="2581" priority="18957">
      <formula>LEN(TRIM(AF157))=0</formula>
    </cfRule>
    <cfRule type="containsBlanks" dxfId="2580" priority="18958">
      <formula>LEN(TRIM(AF157))=0</formula>
    </cfRule>
    <cfRule type="containsBlanks" dxfId="2579" priority="18959">
      <formula>LEN(TRIM(AF157))=0</formula>
    </cfRule>
    <cfRule type="containsBlanks" dxfId="2578" priority="18960">
      <formula>LEN(TRIM(AF157))=0</formula>
    </cfRule>
    <cfRule type="containsBlanks" dxfId="2577" priority="18961">
      <formula>LEN(TRIM(AF157))=0</formula>
    </cfRule>
    <cfRule type="containsBlanks" dxfId="2576" priority="18962">
      <formula>LEN(TRIM(AF157))=0</formula>
    </cfRule>
    <cfRule type="containsBlanks" dxfId="2575" priority="18963">
      <formula>LEN(TRIM(AF157))=0</formula>
    </cfRule>
    <cfRule type="containsBlanks" dxfId="2574" priority="18964">
      <formula>LEN(TRIM(AF157))=0</formula>
    </cfRule>
    <cfRule type="containsBlanks" dxfId="2573" priority="18965">
      <formula>LEN(TRIM(AF157))=0</formula>
    </cfRule>
    <cfRule type="containsBlanks" dxfId="2572" priority="18966">
      <formula>LEN(TRIM(AF157))=0</formula>
    </cfRule>
    <cfRule type="containsBlanks" dxfId="2571" priority="18967">
      <formula>LEN(TRIM(AF157))=0</formula>
    </cfRule>
    <cfRule type="containsBlanks" dxfId="2570" priority="18968">
      <formula>LEN(TRIM(AF157))=0</formula>
    </cfRule>
    <cfRule type="containsBlanks" dxfId="2569" priority="18969">
      <formula>LEN(TRIM(AF157))=0</formula>
    </cfRule>
    <cfRule type="containsBlanks" dxfId="2568" priority="18970">
      <formula>LEN(TRIM(AF157))=0</formula>
    </cfRule>
    <cfRule type="containsBlanks" dxfId="2567" priority="18971">
      <formula>LEN(TRIM(AF157))=0</formula>
    </cfRule>
    <cfRule type="containsBlanks" dxfId="2566" priority="18972">
      <formula>LEN(TRIM(AF157))=0</formula>
    </cfRule>
    <cfRule type="containsBlanks" dxfId="2565" priority="18973">
      <formula>LEN(TRIM(AF157))=0</formula>
    </cfRule>
    <cfRule type="containsBlanks" dxfId="2564" priority="18974">
      <formula>LEN(TRIM(AF157))=0</formula>
    </cfRule>
    <cfRule type="containsBlanks" dxfId="2563" priority="18975">
      <formula>LEN(TRIM(AF157))=0</formula>
    </cfRule>
    <cfRule type="containsBlanks" dxfId="2562" priority="18976">
      <formula>LEN(TRIM(AF157))=0</formula>
    </cfRule>
    <cfRule type="containsBlanks" dxfId="2561" priority="18977">
      <formula>LEN(TRIM(AF157))=0</formula>
    </cfRule>
    <cfRule type="containsBlanks" dxfId="2560" priority="18978">
      <formula>LEN(TRIM(AF157))=0</formula>
    </cfRule>
    <cfRule type="containsBlanks" dxfId="2559" priority="18979">
      <formula>LEN(TRIM(AF157))=0</formula>
    </cfRule>
    <cfRule type="containsBlanks" dxfId="2558" priority="18980">
      <formula>LEN(TRIM(AF157))=0</formula>
    </cfRule>
    <cfRule type="containsBlanks" dxfId="2557" priority="18981">
      <formula>LEN(TRIM(AF157))=0</formula>
    </cfRule>
    <cfRule type="containsBlanks" dxfId="2556" priority="18982">
      <formula>LEN(TRIM(AF157))=0</formula>
    </cfRule>
    <cfRule type="containsBlanks" dxfId="2555" priority="18983">
      <formula>LEN(TRIM(AF157))=0</formula>
    </cfRule>
    <cfRule type="containsBlanks" dxfId="2554" priority="19500">
      <formula>LEN(TRIM(AF157))=0</formula>
    </cfRule>
    <cfRule type="containsBlanks" dxfId="2553" priority="19501">
      <formula>LEN(TRIM(AF157))=0</formula>
    </cfRule>
    <cfRule type="containsBlanks" dxfId="2552" priority="19502">
      <formula>LEN(TRIM(AF157))=0</formula>
    </cfRule>
    <cfRule type="containsBlanks" dxfId="2551" priority="19503">
      <formula>LEN(TRIM(AF157))=0</formula>
    </cfRule>
    <cfRule type="containsBlanks" dxfId="2550" priority="19504">
      <formula>LEN(TRIM(AF157))=0</formula>
    </cfRule>
    <cfRule type="containsBlanks" dxfId="2549" priority="19505">
      <formula>LEN(TRIM(AF157))=0</formula>
    </cfRule>
    <cfRule type="containsBlanks" dxfId="2548" priority="19506">
      <formula>LEN(TRIM(AF157))=0</formula>
    </cfRule>
    <cfRule type="containsBlanks" dxfId="2547" priority="19507">
      <formula>LEN(TRIM(AF157))=0</formula>
    </cfRule>
    <cfRule type="containsBlanks" dxfId="2546" priority="19508">
      <formula>LEN(TRIM(AF157))=0</formula>
    </cfRule>
    <cfRule type="containsBlanks" dxfId="2545" priority="19509">
      <formula>LEN(TRIM(AF157))=0</formula>
    </cfRule>
    <cfRule type="containsBlanks" dxfId="2544" priority="19510">
      <formula>LEN(TRIM(AF157))=0</formula>
    </cfRule>
    <cfRule type="containsBlanks" dxfId="2543" priority="19511">
      <formula>LEN(TRIM(AF157))=0</formula>
    </cfRule>
    <cfRule type="containsBlanks" dxfId="2542" priority="19512">
      <formula>LEN(TRIM(AF157))=0</formula>
    </cfRule>
    <cfRule type="containsBlanks" dxfId="2541" priority="19513">
      <formula>LEN(TRIM(AF157))=0</formula>
    </cfRule>
    <cfRule type="containsBlanks" dxfId="2540" priority="19514">
      <formula>LEN(TRIM(AF157))=0</formula>
    </cfRule>
    <cfRule type="containsBlanks" dxfId="2539" priority="19515">
      <formula>LEN(TRIM(AF157))=0</formula>
    </cfRule>
    <cfRule type="containsBlanks" dxfId="2538" priority="19516">
      <formula>LEN(TRIM(AF157))=0</formula>
    </cfRule>
    <cfRule type="containsBlanks" dxfId="2537" priority="19517">
      <formula>LEN(TRIM(AF157))=0</formula>
    </cfRule>
    <cfRule type="containsBlanks" dxfId="2536" priority="19518">
      <formula>LEN(TRIM(AF157))=0</formula>
    </cfRule>
    <cfRule type="containsBlanks" dxfId="2535" priority="19519">
      <formula>LEN(TRIM(AF157))=0</formula>
    </cfRule>
    <cfRule type="containsBlanks" dxfId="2534" priority="19520">
      <formula>LEN(TRIM(AF157))=0</formula>
    </cfRule>
    <cfRule type="containsBlanks" dxfId="2533" priority="19521">
      <formula>LEN(TRIM(AF157))=0</formula>
    </cfRule>
    <cfRule type="containsBlanks" dxfId="2532" priority="19522">
      <formula>LEN(TRIM(AF157))=0</formula>
    </cfRule>
    <cfRule type="containsBlanks" dxfId="2531" priority="19523">
      <formula>LEN(TRIM(AF157))=0</formula>
    </cfRule>
    <cfRule type="containsBlanks" dxfId="2530" priority="19524">
      <formula>LEN(TRIM(AF157))=0</formula>
    </cfRule>
    <cfRule type="containsBlanks" dxfId="2529" priority="19525">
      <formula>LEN(TRIM(AF157))=0</formula>
    </cfRule>
    <cfRule type="containsBlanks" dxfId="2528" priority="19526">
      <formula>LEN(TRIM(AF157))=0</formula>
    </cfRule>
    <cfRule type="containsBlanks" dxfId="2527" priority="19527">
      <formula>LEN(TRIM(AF157))=0</formula>
    </cfRule>
    <cfRule type="containsBlanks" dxfId="2526" priority="19528">
      <formula>LEN(TRIM(AF157))=0</formula>
    </cfRule>
    <cfRule type="containsBlanks" dxfId="2525" priority="19529">
      <formula>LEN(TRIM(AF157))=0</formula>
    </cfRule>
    <cfRule type="containsBlanks" dxfId="2524" priority="19530">
      <formula>LEN(TRIM(AF157))=0</formula>
    </cfRule>
    <cfRule type="containsBlanks" dxfId="2523" priority="19531">
      <formula>LEN(TRIM(AF157))=0</formula>
    </cfRule>
    <cfRule type="containsBlanks" dxfId="2522" priority="19532">
      <formula>LEN(TRIM(AF157))=0</formula>
    </cfRule>
    <cfRule type="containsBlanks" dxfId="2521" priority="19533">
      <formula>LEN(TRIM(AF157))=0</formula>
    </cfRule>
    <cfRule type="containsBlanks" dxfId="2520" priority="19534">
      <formula>LEN(TRIM(AF157))=0</formula>
    </cfRule>
    <cfRule type="containsBlanks" dxfId="2519" priority="19535">
      <formula>LEN(TRIM(AF157))=0</formula>
    </cfRule>
    <cfRule type="containsBlanks" dxfId="2518" priority="19536">
      <formula>LEN(TRIM(AF157))=0</formula>
    </cfRule>
    <cfRule type="containsBlanks" dxfId="2517" priority="19537">
      <formula>LEN(TRIM(AF157))=0</formula>
    </cfRule>
    <cfRule type="containsBlanks" dxfId="2516" priority="19538">
      <formula>LEN(TRIM(AF157))=0</formula>
    </cfRule>
    <cfRule type="containsBlanks" dxfId="2515" priority="19539">
      <formula>LEN(TRIM(AF157))=0</formula>
    </cfRule>
    <cfRule type="containsBlanks" dxfId="2514" priority="19540">
      <formula>LEN(TRIM(AF157))=0</formula>
    </cfRule>
    <cfRule type="containsBlanks" dxfId="2513" priority="19541">
      <formula>LEN(TRIM(AF157))=0</formula>
    </cfRule>
    <cfRule type="containsBlanks" dxfId="2512" priority="19542">
      <formula>LEN(TRIM(AF157))=0</formula>
    </cfRule>
    <cfRule type="containsBlanks" dxfId="2511" priority="19621">
      <formula>LEN(TRIM(AF157))=0</formula>
    </cfRule>
    <cfRule type="containsBlanks" dxfId="2510" priority="19622">
      <formula>LEN(TRIM(AF157))=0</formula>
    </cfRule>
    <cfRule type="containsBlanks" dxfId="2509" priority="19623">
      <formula>LEN(TRIM(AF157))=0</formula>
    </cfRule>
    <cfRule type="containsBlanks" dxfId="2508" priority="19624">
      <formula>LEN(TRIM(AF157))=0</formula>
    </cfRule>
    <cfRule type="containsBlanks" dxfId="2507" priority="19625">
      <formula>LEN(TRIM(AF157))=0</formula>
    </cfRule>
    <cfRule type="containsBlanks" dxfId="2506" priority="19626">
      <formula>LEN(TRIM(AF157))=0</formula>
    </cfRule>
    <cfRule type="containsBlanks" dxfId="2505" priority="19627">
      <formula>LEN(TRIM(AF157))=0</formula>
    </cfRule>
    <cfRule type="containsBlanks" dxfId="2504" priority="19628">
      <formula>LEN(TRIM(AF157))=0</formula>
    </cfRule>
    <cfRule type="containsBlanks" dxfId="2503" priority="19629">
      <formula>LEN(TRIM(AF157))=0</formula>
    </cfRule>
    <cfRule type="containsBlanks" dxfId="2502" priority="19630">
      <formula>LEN(TRIM(AF157))=0</formula>
    </cfRule>
    <cfRule type="containsBlanks" dxfId="2501" priority="19631">
      <formula>LEN(TRIM(AF157))=0</formula>
    </cfRule>
    <cfRule type="containsBlanks" dxfId="2500" priority="19632">
      <formula>LEN(TRIM(AF157))=0</formula>
    </cfRule>
    <cfRule type="containsBlanks" dxfId="2499" priority="19633">
      <formula>LEN(TRIM(AF157))=0</formula>
    </cfRule>
    <cfRule type="containsBlanks" dxfId="2498" priority="19634">
      <formula>LEN(TRIM(AF157))=0</formula>
    </cfRule>
    <cfRule type="containsBlanks" dxfId="2497" priority="19635">
      <formula>LEN(TRIM(AF157))=0</formula>
    </cfRule>
    <cfRule type="containsBlanks" dxfId="2496" priority="19636">
      <formula>LEN(TRIM(AF157))=0</formula>
    </cfRule>
    <cfRule type="containsBlanks" dxfId="2495" priority="19637">
      <formula>LEN(TRIM(AF157))=0</formula>
    </cfRule>
    <cfRule type="containsBlanks" dxfId="2494" priority="19638">
      <formula>LEN(TRIM(AF157))=0</formula>
    </cfRule>
    <cfRule type="containsBlanks" dxfId="2493" priority="19639">
      <formula>LEN(TRIM(AF157))=0</formula>
    </cfRule>
    <cfRule type="containsBlanks" dxfId="2492" priority="19640">
      <formula>LEN(TRIM(AF157))=0</formula>
    </cfRule>
    <cfRule type="containsBlanks" dxfId="2491" priority="19641">
      <formula>LEN(TRIM(AF157))=0</formula>
    </cfRule>
    <cfRule type="containsBlanks" dxfId="2490" priority="19642">
      <formula>LEN(TRIM(AF157))=0</formula>
    </cfRule>
    <cfRule type="containsBlanks" dxfId="2489" priority="19643">
      <formula>LEN(TRIM(AF157))=0</formula>
    </cfRule>
    <cfRule type="containsBlanks" dxfId="2488" priority="19644">
      <formula>LEN(TRIM(AF157))=0</formula>
    </cfRule>
    <cfRule type="containsBlanks" dxfId="2487" priority="19645">
      <formula>LEN(TRIM(AF157))=0</formula>
    </cfRule>
    <cfRule type="containsBlanks" dxfId="2486" priority="19646">
      <formula>LEN(TRIM(AF157))=0</formula>
    </cfRule>
    <cfRule type="containsBlanks" dxfId="2485" priority="19647">
      <formula>LEN(TRIM(AF157))=0</formula>
    </cfRule>
    <cfRule type="containsBlanks" dxfId="2484" priority="19648">
      <formula>LEN(TRIM(AF157))=0</formula>
    </cfRule>
    <cfRule type="containsBlanks" dxfId="2483" priority="19649">
      <formula>LEN(TRIM(AF157))=0</formula>
    </cfRule>
    <cfRule type="containsBlanks" dxfId="2482" priority="19660">
      <formula>LEN(TRIM(AF157))=0</formula>
    </cfRule>
  </conditionalFormatting>
  <conditionalFormatting sqref="AF158">
    <cfRule type="containsBlanks" dxfId="2481" priority="19319">
      <formula>LEN(TRIM(AF158))=0</formula>
    </cfRule>
    <cfRule type="containsBlanks" dxfId="2480" priority="19320">
      <formula>LEN(TRIM(AF158))=0</formula>
    </cfRule>
  </conditionalFormatting>
  <conditionalFormatting sqref="AF157:AG157 AG158">
    <cfRule type="containsBlanks" dxfId="2479" priority="19366">
      <formula>LEN(TRIM(AF157))=0</formula>
    </cfRule>
    <cfRule type="containsBlanks" dxfId="2478" priority="19367">
      <formula>LEN(TRIM(AF157))=0</formula>
    </cfRule>
  </conditionalFormatting>
  <conditionalFormatting sqref="AF157:AG158">
    <cfRule type="containsBlanks" dxfId="2477" priority="18906">
      <formula>LEN(TRIM(AF157))=0</formula>
    </cfRule>
    <cfRule type="containsBlanks" dxfId="2476" priority="18907">
      <formula>LEN(TRIM(AF157))=0</formula>
    </cfRule>
    <cfRule type="containsBlanks" dxfId="2475" priority="19498">
      <formula>LEN(TRIM(AF157))=0</formula>
    </cfRule>
    <cfRule type="containsBlanks" dxfId="2474" priority="19499">
      <formula>LEN(TRIM(AF157))=0</formula>
    </cfRule>
  </conditionalFormatting>
  <conditionalFormatting sqref="AG99:AG156">
    <cfRule type="containsBlanks" dxfId="2473" priority="14010">
      <formula>LEN(TRIM(AG99))=0</formula>
    </cfRule>
    <cfRule type="containsBlanks" dxfId="2472" priority="14011">
      <formula>LEN(TRIM(AG99))=0</formula>
    </cfRule>
    <cfRule type="containsBlanks" dxfId="2471" priority="14012">
      <formula>LEN(TRIM(AG99))=0</formula>
    </cfRule>
    <cfRule type="containsBlanks" dxfId="2470" priority="14013">
      <formula>LEN(TRIM(AG99))=0</formula>
    </cfRule>
    <cfRule type="containsBlanks" dxfId="2469" priority="14014">
      <formula>LEN(TRIM(AG99))=0</formula>
    </cfRule>
    <cfRule type="containsBlanks" dxfId="2468" priority="14015">
      <formula>LEN(TRIM(AG99))=0</formula>
    </cfRule>
    <cfRule type="containsBlanks" dxfId="2467" priority="14016">
      <formula>LEN(TRIM(AG99))=0</formula>
    </cfRule>
    <cfRule type="containsBlanks" dxfId="2466" priority="14017">
      <formula>LEN(TRIM(AG99))=0</formula>
    </cfRule>
    <cfRule type="containsBlanks" dxfId="2465" priority="14018">
      <formula>LEN(TRIM(AG99))=0</formula>
    </cfRule>
    <cfRule type="containsBlanks" dxfId="2464" priority="14019">
      <formula>LEN(TRIM(AG99))=0</formula>
    </cfRule>
    <cfRule type="containsBlanks" dxfId="2463" priority="14020">
      <formula>LEN(TRIM(AG99))=0</formula>
    </cfRule>
    <cfRule type="containsBlanks" dxfId="2462" priority="14021">
      <formula>LEN(TRIM(AG99))=0</formula>
    </cfRule>
    <cfRule type="containsBlanks" dxfId="2461" priority="14022">
      <formula>LEN(TRIM(AG99))=0</formula>
    </cfRule>
    <cfRule type="containsBlanks" dxfId="2460" priority="14023">
      <formula>LEN(TRIM(AG99))=0</formula>
    </cfRule>
    <cfRule type="containsBlanks" dxfId="2459" priority="14024">
      <formula>LEN(TRIM(AG99))=0</formula>
    </cfRule>
    <cfRule type="containsBlanks" dxfId="2458" priority="14025">
      <formula>LEN(TRIM(AG99))=0</formula>
    </cfRule>
    <cfRule type="containsBlanks" dxfId="2457" priority="14026">
      <formula>LEN(TRIM(AG99))=0</formula>
    </cfRule>
    <cfRule type="containsBlanks" dxfId="2456" priority="14027">
      <formula>LEN(TRIM(AG99))=0</formula>
    </cfRule>
    <cfRule type="containsBlanks" dxfId="2455" priority="14028">
      <formula>LEN(TRIM(AG99))=0</formula>
    </cfRule>
    <cfRule type="containsBlanks" dxfId="2454" priority="14029">
      <formula>LEN(TRIM(AG99))=0</formula>
    </cfRule>
    <cfRule type="containsBlanks" dxfId="2453" priority="14030">
      <formula>LEN(TRIM(AG99))=0</formula>
    </cfRule>
    <cfRule type="containsBlanks" dxfId="2452" priority="14031">
      <formula>LEN(TRIM(AG99))=0</formula>
    </cfRule>
    <cfRule type="containsBlanks" dxfId="2451" priority="14032">
      <formula>LEN(TRIM(AG99))=0</formula>
    </cfRule>
    <cfRule type="containsBlanks" dxfId="2450" priority="14033">
      <formula>LEN(TRIM(AG99))=0</formula>
    </cfRule>
    <cfRule type="containsBlanks" dxfId="2449" priority="14034">
      <formula>LEN(TRIM(AG99))=0</formula>
    </cfRule>
    <cfRule type="containsBlanks" dxfId="2448" priority="14035">
      <formula>LEN(TRIM(AG99))=0</formula>
    </cfRule>
    <cfRule type="containsBlanks" dxfId="2447" priority="14036">
      <formula>LEN(TRIM(AG99))=0</formula>
    </cfRule>
    <cfRule type="containsBlanks" dxfId="2446" priority="14037">
      <formula>LEN(TRIM(AG99))=0</formula>
    </cfRule>
    <cfRule type="containsBlanks" dxfId="2445" priority="14038">
      <formula>LEN(TRIM(AG99))=0</formula>
    </cfRule>
    <cfRule type="containsBlanks" dxfId="2444" priority="14039">
      <formula>LEN(TRIM(AG99))=0</formula>
    </cfRule>
    <cfRule type="containsBlanks" dxfId="2443" priority="14040">
      <formula>LEN(TRIM(AG99))=0</formula>
    </cfRule>
    <cfRule type="containsBlanks" dxfId="2442" priority="14041">
      <formula>LEN(TRIM(AG99))=0</formula>
    </cfRule>
    <cfRule type="containsBlanks" dxfId="2441" priority="14042">
      <formula>LEN(TRIM(AG99))=0</formula>
    </cfRule>
    <cfRule type="containsBlanks" dxfId="2440" priority="14043">
      <formula>LEN(TRIM(AG99))=0</formula>
    </cfRule>
    <cfRule type="containsBlanks" dxfId="2439" priority="14044">
      <formula>LEN(TRIM(AG99))=0</formula>
    </cfRule>
    <cfRule type="containsBlanks" dxfId="2438" priority="14045">
      <formula>LEN(TRIM(AG99))=0</formula>
    </cfRule>
    <cfRule type="containsBlanks" dxfId="2437" priority="14046">
      <formula>LEN(TRIM(AG99))=0</formula>
    </cfRule>
    <cfRule type="containsBlanks" dxfId="2436" priority="14047">
      <formula>LEN(TRIM(AG99))=0</formula>
    </cfRule>
    <cfRule type="containsBlanks" dxfId="2435" priority="14048">
      <formula>LEN(TRIM(AG99))=0</formula>
    </cfRule>
    <cfRule type="containsBlanks" dxfId="2434" priority="14049">
      <formula>LEN(TRIM(AG99))=0</formula>
    </cfRule>
    <cfRule type="containsBlanks" dxfId="2433" priority="14050">
      <formula>LEN(TRIM(AG99))=0</formula>
    </cfRule>
    <cfRule type="containsBlanks" dxfId="2432" priority="14051">
      <formula>LEN(TRIM(AG99))=0</formula>
    </cfRule>
    <cfRule type="containsBlanks" dxfId="2431" priority="14052">
      <formula>LEN(TRIM(AG99))=0</formula>
    </cfRule>
    <cfRule type="containsBlanks" dxfId="2430" priority="14053">
      <formula>LEN(TRIM(AG99))=0</formula>
    </cfRule>
    <cfRule type="containsBlanks" dxfId="2429" priority="14054">
      <formula>LEN(TRIM(AG99))=0</formula>
    </cfRule>
    <cfRule type="containsBlanks" dxfId="2428" priority="14055">
      <formula>LEN(TRIM(AG99))=0</formula>
    </cfRule>
    <cfRule type="containsBlanks" dxfId="2427" priority="14056">
      <formula>LEN(TRIM(AG99))=0</formula>
    </cfRule>
    <cfRule type="containsBlanks" dxfId="2426" priority="14057">
      <formula>LEN(TRIM(AG99))=0</formula>
    </cfRule>
    <cfRule type="containsBlanks" dxfId="2425" priority="14058">
      <formula>LEN(TRIM(AG99))=0</formula>
    </cfRule>
    <cfRule type="containsBlanks" dxfId="2424" priority="14059">
      <formula>LEN(TRIM(AG99))=0</formula>
    </cfRule>
    <cfRule type="containsBlanks" dxfId="2423" priority="14060">
      <formula>LEN(TRIM(AG99))=0</formula>
    </cfRule>
    <cfRule type="containsBlanks" dxfId="2422" priority="14061">
      <formula>LEN(TRIM(AG99))=0</formula>
    </cfRule>
    <cfRule type="containsBlanks" dxfId="2421" priority="14062">
      <formula>LEN(TRIM(AG99))=0</formula>
    </cfRule>
    <cfRule type="containsBlanks" dxfId="2420" priority="14063">
      <formula>LEN(TRIM(AG99))=0</formula>
    </cfRule>
    <cfRule type="containsBlanks" dxfId="2419" priority="14064">
      <formula>LEN(TRIM(AG99))=0</formula>
    </cfRule>
    <cfRule type="containsBlanks" dxfId="2418" priority="14065">
      <formula>LEN(TRIM(AG99))=0</formula>
    </cfRule>
    <cfRule type="containsBlanks" dxfId="2417" priority="14066">
      <formula>LEN(TRIM(AG99))=0</formula>
    </cfRule>
    <cfRule type="containsBlanks" dxfId="2416" priority="14067">
      <formula>LEN(TRIM(AG99))=0</formula>
    </cfRule>
    <cfRule type="containsBlanks" dxfId="2415" priority="14068">
      <formula>LEN(TRIM(AG99))=0</formula>
    </cfRule>
    <cfRule type="containsBlanks" dxfId="2414" priority="14069">
      <formula>LEN(TRIM(AG99))=0</formula>
    </cfRule>
    <cfRule type="containsBlanks" dxfId="2413" priority="14070">
      <formula>LEN(TRIM(AG99))=0</formula>
    </cfRule>
    <cfRule type="containsBlanks" dxfId="2412" priority="14071">
      <formula>LEN(TRIM(AG99))=0</formula>
    </cfRule>
    <cfRule type="containsBlanks" dxfId="2411" priority="14072">
      <formula>LEN(TRIM(AG99))=0</formula>
    </cfRule>
    <cfRule type="containsBlanks" dxfId="2410" priority="14073">
      <formula>LEN(TRIM(AG99))=0</formula>
    </cfRule>
    <cfRule type="containsBlanks" dxfId="2409" priority="14074">
      <formula>LEN(TRIM(AG99))=0</formula>
    </cfRule>
    <cfRule type="containsBlanks" dxfId="2408" priority="14075">
      <formula>LEN(TRIM(AG99))=0</formula>
    </cfRule>
    <cfRule type="containsBlanks" dxfId="2407" priority="14076">
      <formula>LEN(TRIM(AG99))=0</formula>
    </cfRule>
    <cfRule type="containsBlanks" dxfId="2406" priority="14077">
      <formula>LEN(TRIM(AG99))=0</formula>
    </cfRule>
    <cfRule type="containsBlanks" dxfId="2405" priority="14078">
      <formula>LEN(TRIM(AG99))=0</formula>
    </cfRule>
    <cfRule type="containsBlanks" dxfId="2404" priority="14079">
      <formula>LEN(TRIM(AG99))=0</formula>
    </cfRule>
    <cfRule type="containsBlanks" dxfId="2403" priority="14080">
      <formula>LEN(TRIM(AG99))=0</formula>
    </cfRule>
    <cfRule type="containsBlanks" dxfId="2402" priority="14081">
      <formula>LEN(TRIM(AG99))=0</formula>
    </cfRule>
    <cfRule type="containsBlanks" dxfId="2401" priority="14082">
      <formula>LEN(TRIM(AG99))=0</formula>
    </cfRule>
    <cfRule type="containsBlanks" dxfId="2400" priority="14083">
      <formula>LEN(TRIM(AG99))=0</formula>
    </cfRule>
    <cfRule type="containsBlanks" dxfId="2399" priority="14084">
      <formula>LEN(TRIM(AG99))=0</formula>
    </cfRule>
    <cfRule type="containsBlanks" dxfId="2398" priority="14085">
      <formula>LEN(TRIM(AG99))=0</formula>
    </cfRule>
    <cfRule type="containsBlanks" dxfId="2397" priority="14086">
      <formula>LEN(TRIM(AG99))=0</formula>
    </cfRule>
    <cfRule type="containsBlanks" dxfId="2396" priority="14087">
      <formula>LEN(TRIM(AG99))=0</formula>
    </cfRule>
    <cfRule type="containsBlanks" dxfId="2395" priority="14088">
      <formula>LEN(TRIM(AG99))=0</formula>
    </cfRule>
    <cfRule type="containsBlanks" dxfId="2394" priority="14089">
      <formula>LEN(TRIM(AG99))=0</formula>
    </cfRule>
    <cfRule type="containsBlanks" dxfId="2393" priority="14090">
      <formula>LEN(TRIM(AG99))=0</formula>
    </cfRule>
    <cfRule type="containsBlanks" dxfId="2392" priority="14091">
      <formula>LEN(TRIM(AG99))=0</formula>
    </cfRule>
    <cfRule type="containsBlanks" dxfId="2391" priority="14092">
      <formula>LEN(TRIM(AG99))=0</formula>
    </cfRule>
    <cfRule type="containsBlanks" dxfId="2390" priority="14093">
      <formula>LEN(TRIM(AG99))=0</formula>
    </cfRule>
    <cfRule type="containsBlanks" dxfId="2389" priority="14094">
      <formula>LEN(TRIM(AG99))=0</formula>
    </cfRule>
    <cfRule type="containsBlanks" dxfId="2388" priority="14095">
      <formula>LEN(TRIM(AG99))=0</formula>
    </cfRule>
    <cfRule type="containsBlanks" dxfId="2387" priority="14096">
      <formula>LEN(TRIM(AG99))=0</formula>
    </cfRule>
    <cfRule type="containsBlanks" dxfId="2386" priority="14097">
      <formula>LEN(TRIM(AG99))=0</formula>
    </cfRule>
    <cfRule type="containsBlanks" dxfId="2385" priority="14098">
      <formula>LEN(TRIM(AG99))=0</formula>
    </cfRule>
    <cfRule type="containsBlanks" dxfId="2384" priority="14099">
      <formula>LEN(TRIM(AG99))=0</formula>
    </cfRule>
    <cfRule type="containsBlanks" dxfId="2383" priority="14100">
      <formula>LEN(TRIM(AG99))=0</formula>
    </cfRule>
    <cfRule type="containsBlanks" dxfId="2382" priority="14101">
      <formula>LEN(TRIM(AG99))=0</formula>
    </cfRule>
    <cfRule type="containsBlanks" dxfId="2381" priority="14102">
      <formula>LEN(TRIM(AG99))=0</formula>
    </cfRule>
    <cfRule type="containsBlanks" dxfId="2380" priority="14103">
      <formula>LEN(TRIM(AG99))=0</formula>
    </cfRule>
    <cfRule type="containsBlanks" dxfId="2379" priority="14104">
      <formula>LEN(TRIM(AG99))=0</formula>
    </cfRule>
    <cfRule type="containsBlanks" dxfId="2378" priority="14105">
      <formula>LEN(TRIM(AG99))=0</formula>
    </cfRule>
    <cfRule type="containsBlanks" dxfId="2377" priority="14106">
      <formula>LEN(TRIM(AG99))=0</formula>
    </cfRule>
    <cfRule type="containsBlanks" dxfId="2376" priority="14107">
      <formula>LEN(TRIM(AG99))=0</formula>
    </cfRule>
    <cfRule type="containsBlanks" dxfId="2375" priority="14108">
      <formula>LEN(TRIM(AG99))=0</formula>
    </cfRule>
    <cfRule type="containsBlanks" dxfId="2374" priority="14109">
      <formula>LEN(TRIM(AG99))=0</formula>
    </cfRule>
    <cfRule type="containsBlanks" dxfId="2373" priority="14110">
      <formula>LEN(TRIM(AG99))=0</formula>
    </cfRule>
    <cfRule type="containsBlanks" dxfId="2372" priority="14111">
      <formula>LEN(TRIM(AG99))=0</formula>
    </cfRule>
    <cfRule type="containsBlanks" dxfId="2371" priority="14112">
      <formula>LEN(TRIM(AG99))=0</formula>
    </cfRule>
    <cfRule type="containsBlanks" dxfId="2370" priority="14113">
      <formula>LEN(TRIM(AG99))=0</formula>
    </cfRule>
    <cfRule type="containsBlanks" dxfId="2369" priority="14114">
      <formula>LEN(TRIM(AG99))=0</formula>
    </cfRule>
    <cfRule type="containsBlanks" dxfId="2368" priority="14115">
      <formula>LEN(TRIM(AG99))=0</formula>
    </cfRule>
    <cfRule type="containsBlanks" dxfId="2367" priority="14116">
      <formula>LEN(TRIM(AG99))=0</formula>
    </cfRule>
    <cfRule type="containsBlanks" dxfId="2366" priority="14117">
      <formula>LEN(TRIM(AG99))=0</formula>
    </cfRule>
    <cfRule type="containsBlanks" dxfId="2365" priority="14118">
      <formula>LEN(TRIM(AG99))=0</formula>
    </cfRule>
    <cfRule type="containsBlanks" dxfId="2364" priority="14119">
      <formula>LEN(TRIM(AG99))=0</formula>
    </cfRule>
    <cfRule type="containsBlanks" dxfId="2363" priority="14120">
      <formula>LEN(TRIM(AG99))=0</formula>
    </cfRule>
    <cfRule type="containsBlanks" dxfId="2362" priority="14121">
      <formula>LEN(TRIM(AG99))=0</formula>
    </cfRule>
    <cfRule type="containsBlanks" dxfId="2361" priority="14122">
      <formula>LEN(TRIM(AG99))=0</formula>
    </cfRule>
    <cfRule type="containsBlanks" dxfId="2360" priority="14123">
      <formula>LEN(TRIM(AG99))=0</formula>
    </cfRule>
    <cfRule type="containsBlanks" dxfId="2359" priority="14124">
      <formula>LEN(TRIM(AG99))=0</formula>
    </cfRule>
    <cfRule type="containsBlanks" dxfId="2358" priority="14125">
      <formula>LEN(TRIM(AG99))=0</formula>
    </cfRule>
    <cfRule type="containsBlanks" dxfId="2357" priority="14126">
      <formula>LEN(TRIM(AG99))=0</formula>
    </cfRule>
    <cfRule type="containsBlanks" dxfId="2356" priority="14127">
      <formula>LEN(TRIM(AG99))=0</formula>
    </cfRule>
    <cfRule type="containsBlanks" dxfId="2355" priority="14128">
      <formula>LEN(TRIM(AG99))=0</formula>
    </cfRule>
    <cfRule type="containsBlanks" dxfId="2354" priority="14129">
      <formula>LEN(TRIM(AG99))=0</formula>
    </cfRule>
    <cfRule type="containsBlanks" dxfId="2353" priority="14130">
      <formula>LEN(TRIM(AG99))=0</formula>
    </cfRule>
    <cfRule type="containsBlanks" dxfId="2352" priority="14131">
      <formula>LEN(TRIM(AG99))=0</formula>
    </cfRule>
    <cfRule type="containsBlanks" dxfId="2351" priority="14132">
      <formula>LEN(TRIM(AG99))=0</formula>
    </cfRule>
    <cfRule type="containsBlanks" dxfId="2350" priority="14133">
      <formula>LEN(TRIM(AG99))=0</formula>
    </cfRule>
    <cfRule type="containsBlanks" dxfId="2349" priority="14134">
      <formula>LEN(TRIM(AG99))=0</formula>
    </cfRule>
    <cfRule type="containsBlanks" dxfId="2348" priority="14135">
      <formula>LEN(TRIM(AG99))=0</formula>
    </cfRule>
    <cfRule type="containsBlanks" dxfId="2347" priority="14136">
      <formula>LEN(TRIM(AG99))=0</formula>
    </cfRule>
    <cfRule type="containsBlanks" dxfId="2346" priority="14137">
      <formula>LEN(TRIM(AG99))=0</formula>
    </cfRule>
    <cfRule type="containsBlanks" dxfId="2345" priority="14138">
      <formula>LEN(TRIM(AG99))=0</formula>
    </cfRule>
    <cfRule type="containsBlanks" dxfId="2344" priority="14139">
      <formula>LEN(TRIM(AG99))=0</formula>
    </cfRule>
    <cfRule type="containsBlanks" dxfId="2343" priority="14140">
      <formula>LEN(TRIM(AG99))=0</formula>
    </cfRule>
    <cfRule type="containsBlanks" dxfId="2342" priority="14141">
      <formula>LEN(TRIM(AG99))=0</formula>
    </cfRule>
    <cfRule type="containsBlanks" dxfId="2341" priority="14142">
      <formula>LEN(TRIM(AG99))=0</formula>
    </cfRule>
    <cfRule type="containsBlanks" dxfId="2340" priority="14143">
      <formula>LEN(TRIM(AG99))=0</formula>
    </cfRule>
    <cfRule type="containsBlanks" dxfId="2339" priority="14144">
      <formula>LEN(TRIM(AG99))=0</formula>
    </cfRule>
    <cfRule type="containsBlanks" dxfId="2338" priority="14145">
      <formula>LEN(TRIM(AG99))=0</formula>
    </cfRule>
    <cfRule type="containsBlanks" dxfId="2337" priority="14146">
      <formula>LEN(TRIM(AG99))=0</formula>
    </cfRule>
    <cfRule type="containsBlanks" dxfId="2336" priority="14147">
      <formula>LEN(TRIM(AG99))=0</formula>
    </cfRule>
    <cfRule type="containsBlanks" dxfId="2335" priority="14148">
      <formula>LEN(TRIM(AG99))=0</formula>
    </cfRule>
    <cfRule type="containsBlanks" dxfId="2334" priority="14149">
      <formula>LEN(TRIM(AG99))=0</formula>
    </cfRule>
    <cfRule type="containsBlanks" dxfId="2333" priority="14150">
      <formula>LEN(TRIM(AG99))=0</formula>
    </cfRule>
    <cfRule type="containsBlanks" dxfId="2332" priority="14151">
      <formula>LEN(TRIM(AG99))=0</formula>
    </cfRule>
    <cfRule type="containsBlanks" dxfId="2331" priority="14152">
      <formula>LEN(TRIM(AG99))=0</formula>
    </cfRule>
    <cfRule type="containsBlanks" dxfId="2330" priority="14153">
      <formula>LEN(TRIM(AG99))=0</formula>
    </cfRule>
    <cfRule type="containsBlanks" dxfId="2329" priority="14154">
      <formula>LEN(TRIM(AG99))=0</formula>
    </cfRule>
    <cfRule type="containsBlanks" dxfId="2328" priority="14155">
      <formula>LEN(TRIM(AG99))=0</formula>
    </cfRule>
    <cfRule type="containsBlanks" dxfId="2327" priority="14156">
      <formula>LEN(TRIM(AG99))=0</formula>
    </cfRule>
    <cfRule type="containsBlanks" dxfId="2326" priority="14157">
      <formula>LEN(TRIM(AG99))=0</formula>
    </cfRule>
    <cfRule type="containsBlanks" dxfId="2325" priority="14158">
      <formula>LEN(TRIM(AG99))=0</formula>
    </cfRule>
    <cfRule type="containsBlanks" dxfId="2324" priority="14159">
      <formula>LEN(TRIM(AG99))=0</formula>
    </cfRule>
    <cfRule type="containsBlanks" dxfId="2323" priority="14160">
      <formula>LEN(TRIM(AG99))=0</formula>
    </cfRule>
    <cfRule type="containsBlanks" dxfId="2322" priority="14161">
      <formula>LEN(TRIM(AG99))=0</formula>
    </cfRule>
    <cfRule type="containsBlanks" dxfId="2321" priority="14162">
      <formula>LEN(TRIM(AG99))=0</formula>
    </cfRule>
    <cfRule type="containsBlanks" dxfId="2320" priority="14163">
      <formula>LEN(TRIM(AG99))=0</formula>
    </cfRule>
    <cfRule type="containsBlanks" dxfId="2319" priority="14164">
      <formula>LEN(TRIM(AG99))=0</formula>
    </cfRule>
    <cfRule type="containsBlanks" dxfId="2318" priority="14165">
      <formula>LEN(TRIM(AG99))=0</formula>
    </cfRule>
    <cfRule type="containsBlanks" dxfId="2317" priority="14166">
      <formula>LEN(TRIM(AG99))=0</formula>
    </cfRule>
    <cfRule type="containsBlanks" dxfId="2316" priority="14167">
      <formula>LEN(TRIM(AG99))=0</formula>
    </cfRule>
    <cfRule type="containsBlanks" dxfId="2315" priority="14168">
      <formula>LEN(TRIM(AG99))=0</formula>
    </cfRule>
    <cfRule type="containsBlanks" dxfId="2314" priority="14169">
      <formula>LEN(TRIM(AG99))=0</formula>
    </cfRule>
    <cfRule type="containsBlanks" dxfId="2313" priority="14170">
      <formula>LEN(TRIM(AG99))=0</formula>
    </cfRule>
    <cfRule type="containsBlanks" dxfId="2312" priority="14171">
      <formula>LEN(TRIM(AG99))=0</formula>
    </cfRule>
    <cfRule type="containsBlanks" dxfId="2311" priority="14172">
      <formula>LEN(TRIM(AG99))=0</formula>
    </cfRule>
    <cfRule type="containsBlanks" dxfId="2310" priority="14173">
      <formula>LEN(TRIM(AG99))=0</formula>
    </cfRule>
    <cfRule type="containsBlanks" dxfId="2309" priority="14174">
      <formula>LEN(TRIM(AG99))=0</formula>
    </cfRule>
    <cfRule type="containsBlanks" dxfId="2308" priority="14175">
      <formula>LEN(TRIM(AG99))=0</formula>
    </cfRule>
    <cfRule type="containsBlanks" dxfId="2307" priority="14176">
      <formula>LEN(TRIM(AG99))=0</formula>
    </cfRule>
    <cfRule type="containsBlanks" dxfId="2306" priority="14177">
      <formula>LEN(TRIM(AG99))=0</formula>
    </cfRule>
    <cfRule type="containsBlanks" dxfId="2305" priority="14178">
      <formula>LEN(TRIM(AG99))=0</formula>
    </cfRule>
    <cfRule type="containsBlanks" dxfId="2304" priority="14179">
      <formula>LEN(TRIM(AG99))=0</formula>
    </cfRule>
    <cfRule type="containsBlanks" dxfId="2303" priority="14180">
      <formula>LEN(TRIM(AG99))=0</formula>
    </cfRule>
    <cfRule type="containsBlanks" dxfId="2302" priority="14181">
      <formula>LEN(TRIM(AG99))=0</formula>
    </cfRule>
    <cfRule type="containsBlanks" dxfId="2301" priority="14182">
      <formula>LEN(TRIM(AG99))=0</formula>
    </cfRule>
    <cfRule type="containsBlanks" dxfId="2300" priority="14183">
      <formula>LEN(TRIM(AG99))=0</formula>
    </cfRule>
    <cfRule type="containsBlanks" dxfId="2299" priority="14184">
      <formula>LEN(TRIM(AG99))=0</formula>
    </cfRule>
    <cfRule type="containsBlanks" dxfId="2298" priority="14185">
      <formula>LEN(TRIM(AG99))=0</formula>
    </cfRule>
    <cfRule type="containsBlanks" dxfId="2297" priority="14186">
      <formula>LEN(TRIM(AG99))=0</formula>
    </cfRule>
    <cfRule type="containsBlanks" dxfId="2296" priority="14187">
      <formula>LEN(TRIM(AG99))=0</formula>
    </cfRule>
    <cfRule type="containsBlanks" dxfId="2295" priority="14188">
      <formula>LEN(TRIM(AG99))=0</formula>
    </cfRule>
    <cfRule type="containsBlanks" dxfId="2294" priority="14189">
      <formula>LEN(TRIM(AG99))=0</formula>
    </cfRule>
    <cfRule type="containsBlanks" dxfId="2293" priority="14190">
      <formula>LEN(TRIM(AG99))=0</formula>
    </cfRule>
    <cfRule type="containsBlanks" dxfId="2292" priority="14191">
      <formula>LEN(TRIM(AG99))=0</formula>
    </cfRule>
    <cfRule type="containsBlanks" dxfId="2291" priority="14192">
      <formula>LEN(TRIM(AG99))=0</formula>
    </cfRule>
    <cfRule type="containsBlanks" dxfId="2290" priority="14193">
      <formula>LEN(TRIM(AG99))=0</formula>
    </cfRule>
    <cfRule type="containsBlanks" dxfId="2289" priority="14194">
      <formula>LEN(TRIM(AG99))=0</formula>
    </cfRule>
    <cfRule type="containsBlanks" dxfId="2288" priority="14195">
      <formula>LEN(TRIM(AG99))=0</formula>
    </cfRule>
    <cfRule type="containsBlanks" dxfId="2287" priority="14196">
      <formula>LEN(TRIM(AG99))=0</formula>
    </cfRule>
    <cfRule type="containsBlanks" dxfId="2286" priority="14197">
      <formula>LEN(TRIM(AG99))=0</formula>
    </cfRule>
  </conditionalFormatting>
  <conditionalFormatting sqref="AG157">
    <cfRule type="containsBlanks" dxfId="2285" priority="19318">
      <formula>LEN(TRIM(AG157))=0</formula>
    </cfRule>
    <cfRule type="containsBlanks" dxfId="2284" priority="19321">
      <formula>LEN(TRIM(AG157))=0</formula>
    </cfRule>
    <cfRule type="containsBlanks" dxfId="2283" priority="19322">
      <formula>LEN(TRIM(AG157))=0</formula>
    </cfRule>
    <cfRule type="containsBlanks" dxfId="2282" priority="19323">
      <formula>LEN(TRIM(AG157))=0</formula>
    </cfRule>
    <cfRule type="containsBlanks" dxfId="2281" priority="19324">
      <formula>LEN(TRIM(AG157))=0</formula>
    </cfRule>
    <cfRule type="containsBlanks" dxfId="2280" priority="19325">
      <formula>LEN(TRIM(AG157))=0</formula>
    </cfRule>
    <cfRule type="containsBlanks" dxfId="2279" priority="19326">
      <formula>LEN(TRIM(AG157))=0</formula>
    </cfRule>
    <cfRule type="containsBlanks" dxfId="2278" priority="19327">
      <formula>LEN(TRIM(AG157))=0</formula>
    </cfRule>
    <cfRule type="containsBlanks" dxfId="2277" priority="19328">
      <formula>LEN(TRIM(AG157))=0</formula>
    </cfRule>
    <cfRule type="containsBlanks" dxfId="2276" priority="19329">
      <formula>LEN(TRIM(AG157))=0</formula>
    </cfRule>
    <cfRule type="containsBlanks" dxfId="2275" priority="19330">
      <formula>LEN(TRIM(AG157))=0</formula>
    </cfRule>
    <cfRule type="containsBlanks" dxfId="2274" priority="19331">
      <formula>LEN(TRIM(AG157))=0</formula>
    </cfRule>
    <cfRule type="containsBlanks" dxfId="2273" priority="19332">
      <formula>LEN(TRIM(AG157))=0</formula>
    </cfRule>
    <cfRule type="containsBlanks" dxfId="2272" priority="19333">
      <formula>LEN(TRIM(AG157))=0</formula>
    </cfRule>
    <cfRule type="containsBlanks" dxfId="2271" priority="19334">
      <formula>LEN(TRIM(AG157))=0</formula>
    </cfRule>
    <cfRule type="containsBlanks" dxfId="2270" priority="19335">
      <formula>LEN(TRIM(AG157))=0</formula>
    </cfRule>
    <cfRule type="containsBlanks" dxfId="2269" priority="19336">
      <formula>LEN(TRIM(AG157))=0</formula>
    </cfRule>
    <cfRule type="containsBlanks" dxfId="2268" priority="19337">
      <formula>LEN(TRIM(AG157))=0</formula>
    </cfRule>
    <cfRule type="containsBlanks" dxfId="2267" priority="19338">
      <formula>LEN(TRIM(AG157))=0</formula>
    </cfRule>
    <cfRule type="containsBlanks" dxfId="2266" priority="19339">
      <formula>LEN(TRIM(AG157))=0</formula>
    </cfRule>
    <cfRule type="containsBlanks" dxfId="2265" priority="19340">
      <formula>LEN(TRIM(AG157))=0</formula>
    </cfRule>
    <cfRule type="containsBlanks" dxfId="2264" priority="19341">
      <formula>LEN(TRIM(AG157))=0</formula>
    </cfRule>
    <cfRule type="containsBlanks" dxfId="2263" priority="19342">
      <formula>LEN(TRIM(AG157))=0</formula>
    </cfRule>
    <cfRule type="containsBlanks" dxfId="2262" priority="19343">
      <formula>LEN(TRIM(AG157))=0</formula>
    </cfRule>
    <cfRule type="containsBlanks" dxfId="2261" priority="19344">
      <formula>LEN(TRIM(AG157))=0</formula>
    </cfRule>
    <cfRule type="containsBlanks" dxfId="2260" priority="19345">
      <formula>LEN(TRIM(AG157))=0</formula>
    </cfRule>
    <cfRule type="containsBlanks" dxfId="2259" priority="19346">
      <formula>LEN(TRIM(AG157))=0</formula>
    </cfRule>
    <cfRule type="containsBlanks" dxfId="2258" priority="19347">
      <formula>LEN(TRIM(AG157))=0</formula>
    </cfRule>
    <cfRule type="containsBlanks" dxfId="2257" priority="19348">
      <formula>LEN(TRIM(AG157))=0</formula>
    </cfRule>
    <cfRule type="containsBlanks" dxfId="2256" priority="19349">
      <formula>LEN(TRIM(AG157))=0</formula>
    </cfRule>
    <cfRule type="containsBlanks" dxfId="2255" priority="19350">
      <formula>LEN(TRIM(AG157))=0</formula>
    </cfRule>
    <cfRule type="containsBlanks" dxfId="2254" priority="19351">
      <formula>LEN(TRIM(AG157))=0</formula>
    </cfRule>
    <cfRule type="containsBlanks" dxfId="2253" priority="19352">
      <formula>LEN(TRIM(AG157))=0</formula>
    </cfRule>
    <cfRule type="containsBlanks" dxfId="2252" priority="19353">
      <formula>LEN(TRIM(AG157))=0</formula>
    </cfRule>
    <cfRule type="containsBlanks" dxfId="2251" priority="19354">
      <formula>LEN(TRIM(AG157))=0</formula>
    </cfRule>
    <cfRule type="containsBlanks" dxfId="2250" priority="19355">
      <formula>LEN(TRIM(AG157))=0</formula>
    </cfRule>
    <cfRule type="containsBlanks" dxfId="2249" priority="19356">
      <formula>LEN(TRIM(AG157))=0</formula>
    </cfRule>
    <cfRule type="containsBlanks" dxfId="2248" priority="19357">
      <formula>LEN(TRIM(AG157))=0</formula>
    </cfRule>
    <cfRule type="containsBlanks" dxfId="2247" priority="19358">
      <formula>LEN(TRIM(AG157))=0</formula>
    </cfRule>
    <cfRule type="containsBlanks" dxfId="2246" priority="19359">
      <formula>LEN(TRIM(AG157))=0</formula>
    </cfRule>
    <cfRule type="containsBlanks" dxfId="2245" priority="19360">
      <formula>LEN(TRIM(AG157))=0</formula>
    </cfRule>
    <cfRule type="containsBlanks" dxfId="2244" priority="19361">
      <formula>LEN(TRIM(AG157))=0</formula>
    </cfRule>
    <cfRule type="containsBlanks" dxfId="2243" priority="19362">
      <formula>LEN(TRIM(AG157))=0</formula>
    </cfRule>
    <cfRule type="containsBlanks" dxfId="2242" priority="19363">
      <formula>LEN(TRIM(AG157))=0</formula>
    </cfRule>
    <cfRule type="containsBlanks" dxfId="2241" priority="19364">
      <formula>LEN(TRIM(AG157))=0</formula>
    </cfRule>
    <cfRule type="containsBlanks" dxfId="2240" priority="19365">
      <formula>LEN(TRIM(AG157))=0</formula>
    </cfRule>
  </conditionalFormatting>
  <conditionalFormatting sqref="AG157:AG158">
    <cfRule type="containsBlanks" dxfId="2239" priority="19591">
      <formula>LEN(TRIM(AG157))=0</formula>
    </cfRule>
    <cfRule type="containsBlanks" dxfId="2238" priority="19592">
      <formula>LEN(TRIM(AG157))=0</formula>
    </cfRule>
    <cfRule type="containsBlanks" dxfId="2237" priority="19593">
      <formula>LEN(TRIM(AG157))=0</formula>
    </cfRule>
    <cfRule type="containsBlanks" dxfId="2236" priority="19594">
      <formula>LEN(TRIM(AG157))=0</formula>
    </cfRule>
    <cfRule type="containsBlanks" dxfId="2235" priority="19595">
      <formula>LEN(TRIM(AG157))=0</formula>
    </cfRule>
    <cfRule type="containsBlanks" dxfId="2234" priority="19596">
      <formula>LEN(TRIM(AG157))=0</formula>
    </cfRule>
    <cfRule type="containsBlanks" dxfId="2233" priority="19597">
      <formula>LEN(TRIM(AG157))=0</formula>
    </cfRule>
    <cfRule type="containsBlanks" dxfId="2232" priority="19598">
      <formula>LEN(TRIM(AG157))=0</formula>
    </cfRule>
    <cfRule type="containsBlanks" dxfId="2231" priority="19599">
      <formula>LEN(TRIM(AG157))=0</formula>
    </cfRule>
    <cfRule type="containsBlanks" dxfId="2230" priority="19600">
      <formula>LEN(TRIM(AG157))=0</formula>
    </cfRule>
    <cfRule type="containsBlanks" dxfId="2229" priority="19601">
      <formula>LEN(TRIM(AG157))=0</formula>
    </cfRule>
    <cfRule type="containsBlanks" dxfId="2228" priority="19602">
      <formula>LEN(TRIM(AG157))=0</formula>
    </cfRule>
    <cfRule type="containsBlanks" dxfId="2227" priority="19603">
      <formula>LEN(TRIM(AG157))=0</formula>
    </cfRule>
    <cfRule type="containsBlanks" dxfId="2226" priority="19604">
      <formula>LEN(TRIM(AG157))=0</formula>
    </cfRule>
    <cfRule type="containsBlanks" dxfId="2225" priority="19605">
      <formula>LEN(TRIM(AG157))=0</formula>
    </cfRule>
    <cfRule type="containsBlanks" dxfId="2224" priority="19606">
      <formula>LEN(TRIM(AG157))=0</formula>
    </cfRule>
    <cfRule type="containsBlanks" dxfId="2223" priority="19607">
      <formula>LEN(TRIM(AG157))=0</formula>
    </cfRule>
    <cfRule type="containsBlanks" dxfId="2222" priority="19608">
      <formula>LEN(TRIM(AG157))=0</formula>
    </cfRule>
    <cfRule type="containsBlanks" dxfId="2221" priority="19609">
      <formula>LEN(TRIM(AG157))=0</formula>
    </cfRule>
    <cfRule type="containsBlanks" dxfId="2220" priority="19610">
      <formula>LEN(TRIM(AG157))=0</formula>
    </cfRule>
    <cfRule type="containsBlanks" dxfId="2219" priority="19611">
      <formula>LEN(TRIM(AG157))=0</formula>
    </cfRule>
    <cfRule type="containsBlanks" dxfId="2218" priority="19612">
      <formula>LEN(TRIM(AG157))=0</formula>
    </cfRule>
    <cfRule type="containsBlanks" dxfId="2217" priority="19613">
      <formula>LEN(TRIM(AG157))=0</formula>
    </cfRule>
    <cfRule type="containsBlanks" dxfId="2216" priority="19614">
      <formula>LEN(TRIM(AG157))=0</formula>
    </cfRule>
    <cfRule type="containsBlanks" dxfId="2215" priority="19615">
      <formula>LEN(TRIM(AG157))=0</formula>
    </cfRule>
    <cfRule type="containsBlanks" dxfId="2214" priority="19616">
      <formula>LEN(TRIM(AG157))=0</formula>
    </cfRule>
    <cfRule type="containsBlanks" dxfId="2213" priority="19617">
      <formula>LEN(TRIM(AG157))=0</formula>
    </cfRule>
    <cfRule type="containsBlanks" dxfId="2212" priority="19618">
      <formula>LEN(TRIM(AG157))=0</formula>
    </cfRule>
    <cfRule type="containsBlanks" dxfId="2211" priority="19619">
      <formula>LEN(TRIM(AG157))=0</formula>
    </cfRule>
    <cfRule type="containsBlanks" dxfId="2210" priority="19620">
      <formula>LEN(TRIM(AG157))=0</formula>
    </cfRule>
    <cfRule type="containsBlanks" dxfId="2209" priority="19676">
      <formula>LEN(TRIM(AG157))=0</formula>
    </cfRule>
  </conditionalFormatting>
  <conditionalFormatting sqref="AG157:AG158">
    <cfRule type="containsBlanks" dxfId="2208" priority="18752">
      <formula>LEN(TRIM(AG157))=0</formula>
    </cfRule>
    <cfRule type="containsBlanks" dxfId="2207" priority="18753">
      <formula>LEN(TRIM(AG157))=0</formula>
    </cfRule>
    <cfRule type="containsBlanks" dxfId="2206" priority="18754">
      <formula>LEN(TRIM(AG157))=0</formula>
    </cfRule>
    <cfRule type="containsBlanks" dxfId="2205" priority="18755">
      <formula>LEN(TRIM(AG157))=0</formula>
    </cfRule>
    <cfRule type="containsBlanks" dxfId="2204" priority="18756">
      <formula>LEN(TRIM(AG157))=0</formula>
    </cfRule>
    <cfRule type="containsBlanks" dxfId="2203" priority="18757">
      <formula>LEN(TRIM(AG157))=0</formula>
    </cfRule>
    <cfRule type="containsBlanks" dxfId="2202" priority="18758">
      <formula>LEN(TRIM(AG157))=0</formula>
    </cfRule>
    <cfRule type="containsBlanks" dxfId="2201" priority="18759">
      <formula>LEN(TRIM(AG157))=0</formula>
    </cfRule>
    <cfRule type="containsBlanks" dxfId="2200" priority="18760">
      <formula>LEN(TRIM(AG157))=0</formula>
    </cfRule>
    <cfRule type="containsBlanks" dxfId="2199" priority="18761">
      <formula>LEN(TRIM(AG157))=0</formula>
    </cfRule>
    <cfRule type="containsBlanks" dxfId="2198" priority="18762">
      <formula>LEN(TRIM(AG157))=0</formula>
    </cfRule>
    <cfRule type="containsBlanks" dxfId="2197" priority="18763">
      <formula>LEN(TRIM(AG157))=0</formula>
    </cfRule>
    <cfRule type="containsBlanks" dxfId="2196" priority="18764">
      <formula>LEN(TRIM(AG157))=0</formula>
    </cfRule>
    <cfRule type="containsBlanks" dxfId="2195" priority="18765">
      <formula>LEN(TRIM(AG157))=0</formula>
    </cfRule>
    <cfRule type="containsBlanks" dxfId="2194" priority="18766">
      <formula>LEN(TRIM(AG157))=0</formula>
    </cfRule>
    <cfRule type="containsBlanks" dxfId="2193" priority="18767">
      <formula>LEN(TRIM(AG157))=0</formula>
    </cfRule>
    <cfRule type="containsBlanks" dxfId="2192" priority="18768">
      <formula>LEN(TRIM(AG157))=0</formula>
    </cfRule>
    <cfRule type="containsBlanks" dxfId="2191" priority="18769">
      <formula>LEN(TRIM(AG157))=0</formula>
    </cfRule>
    <cfRule type="containsBlanks" dxfId="2190" priority="18770">
      <formula>LEN(TRIM(AG157))=0</formula>
    </cfRule>
    <cfRule type="containsBlanks" dxfId="2189" priority="18771">
      <formula>LEN(TRIM(AG157))=0</formula>
    </cfRule>
    <cfRule type="containsBlanks" dxfId="2188" priority="18772">
      <formula>LEN(TRIM(AG157))=0</formula>
    </cfRule>
    <cfRule type="containsBlanks" dxfId="2187" priority="18773">
      <formula>LEN(TRIM(AG157))=0</formula>
    </cfRule>
    <cfRule type="containsBlanks" dxfId="2186" priority="18774">
      <formula>LEN(TRIM(AG157))=0</formula>
    </cfRule>
    <cfRule type="containsBlanks" dxfId="2185" priority="18775">
      <formula>LEN(TRIM(AG157))=0</formula>
    </cfRule>
    <cfRule type="containsBlanks" dxfId="2184" priority="18776">
      <formula>LEN(TRIM(AG157))=0</formula>
    </cfRule>
    <cfRule type="containsBlanks" dxfId="2183" priority="18777">
      <formula>LEN(TRIM(AG157))=0</formula>
    </cfRule>
    <cfRule type="containsBlanks" dxfId="2182" priority="18778">
      <formula>LEN(TRIM(AG157))=0</formula>
    </cfRule>
    <cfRule type="containsBlanks" dxfId="2181" priority="18779">
      <formula>LEN(TRIM(AG157))=0</formula>
    </cfRule>
    <cfRule type="containsBlanks" dxfId="2180" priority="18780">
      <formula>LEN(TRIM(AG157))=0</formula>
    </cfRule>
    <cfRule type="containsBlanks" dxfId="2179" priority="18781">
      <formula>LEN(TRIM(AG157))=0</formula>
    </cfRule>
    <cfRule type="containsBlanks" dxfId="2178" priority="18782">
      <formula>LEN(TRIM(AG157))=0</formula>
    </cfRule>
    <cfRule type="containsBlanks" dxfId="2177" priority="18783">
      <formula>LEN(TRIM(AG157))=0</formula>
    </cfRule>
    <cfRule type="containsBlanks" dxfId="2176" priority="18784">
      <formula>LEN(TRIM(AG157))=0</formula>
    </cfRule>
    <cfRule type="containsBlanks" dxfId="2175" priority="18785">
      <formula>LEN(TRIM(AG157))=0</formula>
    </cfRule>
    <cfRule type="containsBlanks" dxfId="2174" priority="18786">
      <formula>LEN(TRIM(AG157))=0</formula>
    </cfRule>
    <cfRule type="containsBlanks" dxfId="2173" priority="18787">
      <formula>LEN(TRIM(AG157))=0</formula>
    </cfRule>
    <cfRule type="containsBlanks" dxfId="2172" priority="18788">
      <formula>LEN(TRIM(AG157))=0</formula>
    </cfRule>
    <cfRule type="containsBlanks" dxfId="2171" priority="18789">
      <formula>LEN(TRIM(AG157))=0</formula>
    </cfRule>
    <cfRule type="containsBlanks" dxfId="2170" priority="18790">
      <formula>LEN(TRIM(AG157))=0</formula>
    </cfRule>
    <cfRule type="containsBlanks" dxfId="2169" priority="18791">
      <formula>LEN(TRIM(AG157))=0</formula>
    </cfRule>
    <cfRule type="containsBlanks" dxfId="2168" priority="18792">
      <formula>LEN(TRIM(AG157))=0</formula>
    </cfRule>
    <cfRule type="containsBlanks" dxfId="2167" priority="18793">
      <formula>LEN(TRIM(AG157))=0</formula>
    </cfRule>
    <cfRule type="containsBlanks" dxfId="2166" priority="18794">
      <formula>LEN(TRIM(AG157))=0</formula>
    </cfRule>
    <cfRule type="containsBlanks" dxfId="2165" priority="18795">
      <formula>LEN(TRIM(AG157))=0</formula>
    </cfRule>
    <cfRule type="containsBlanks" dxfId="2164" priority="18796">
      <formula>LEN(TRIM(AG157))=0</formula>
    </cfRule>
    <cfRule type="containsBlanks" dxfId="2163" priority="18797">
      <formula>LEN(TRIM(AG157))=0</formula>
    </cfRule>
    <cfRule type="containsBlanks" dxfId="2162" priority="18798">
      <formula>LEN(TRIM(AG157))=0</formula>
    </cfRule>
    <cfRule type="containsBlanks" dxfId="2161" priority="18799">
      <formula>LEN(TRIM(AG157))=0</formula>
    </cfRule>
    <cfRule type="containsBlanks" dxfId="2160" priority="18800">
      <formula>LEN(TRIM(AG157))=0</formula>
    </cfRule>
    <cfRule type="containsBlanks" dxfId="2159" priority="18801">
      <formula>LEN(TRIM(AG157))=0</formula>
    </cfRule>
    <cfRule type="containsBlanks" dxfId="2158" priority="18802">
      <formula>LEN(TRIM(AG157))=0</formula>
    </cfRule>
    <cfRule type="containsBlanks" dxfId="2157" priority="18803">
      <formula>LEN(TRIM(AG157))=0</formula>
    </cfRule>
    <cfRule type="containsBlanks" dxfId="2156" priority="18804">
      <formula>LEN(TRIM(AG157))=0</formula>
    </cfRule>
    <cfRule type="containsBlanks" dxfId="2155" priority="18805">
      <formula>LEN(TRIM(AG157))=0</formula>
    </cfRule>
    <cfRule type="containsBlanks" dxfId="2154" priority="18806">
      <formula>LEN(TRIM(AG157))=0</formula>
    </cfRule>
    <cfRule type="containsBlanks" dxfId="2153" priority="18807">
      <formula>LEN(TRIM(AG157))=0</formula>
    </cfRule>
    <cfRule type="containsBlanks" dxfId="2152" priority="18808">
      <formula>LEN(TRIM(AG157))=0</formula>
    </cfRule>
    <cfRule type="containsBlanks" dxfId="2151" priority="18809">
      <formula>LEN(TRIM(AG157))=0</formula>
    </cfRule>
    <cfRule type="containsBlanks" dxfId="2150" priority="18810">
      <formula>LEN(TRIM(AG157))=0</formula>
    </cfRule>
    <cfRule type="containsBlanks" dxfId="2149" priority="18811">
      <formula>LEN(TRIM(AG157))=0</formula>
    </cfRule>
    <cfRule type="containsBlanks" dxfId="2148" priority="18812">
      <formula>LEN(TRIM(AG157))=0</formula>
    </cfRule>
    <cfRule type="containsBlanks" dxfId="2147" priority="18813">
      <formula>LEN(TRIM(AG157))=0</formula>
    </cfRule>
    <cfRule type="containsBlanks" dxfId="2146" priority="18814">
      <formula>LEN(TRIM(AG157))=0</formula>
    </cfRule>
    <cfRule type="containsBlanks" dxfId="2145" priority="18815">
      <formula>LEN(TRIM(AG157))=0</formula>
    </cfRule>
    <cfRule type="containsBlanks" dxfId="2144" priority="18816">
      <formula>LEN(TRIM(AG157))=0</formula>
    </cfRule>
    <cfRule type="containsBlanks" dxfId="2143" priority="18817">
      <formula>LEN(TRIM(AG157))=0</formula>
    </cfRule>
    <cfRule type="containsBlanks" dxfId="2142" priority="18818">
      <formula>LEN(TRIM(AG157))=0</formula>
    </cfRule>
    <cfRule type="containsBlanks" dxfId="2141" priority="18819">
      <formula>LEN(TRIM(AG157))=0</formula>
    </cfRule>
    <cfRule type="containsBlanks" dxfId="2140" priority="18820">
      <formula>LEN(TRIM(AG157))=0</formula>
    </cfRule>
    <cfRule type="containsBlanks" dxfId="2139" priority="18821">
      <formula>LEN(TRIM(AG157))=0</formula>
    </cfRule>
    <cfRule type="containsBlanks" dxfId="2138" priority="18822">
      <formula>LEN(TRIM(AG157))=0</formula>
    </cfRule>
    <cfRule type="containsBlanks" dxfId="2137" priority="18823">
      <formula>LEN(TRIM(AG157))=0</formula>
    </cfRule>
    <cfRule type="containsBlanks" dxfId="2136" priority="18824">
      <formula>LEN(TRIM(AG157))=0</formula>
    </cfRule>
    <cfRule type="containsBlanks" dxfId="2135" priority="18825">
      <formula>LEN(TRIM(AG157))=0</formula>
    </cfRule>
    <cfRule type="containsBlanks" dxfId="2134" priority="18826">
      <formula>LEN(TRIM(AG157))=0</formula>
    </cfRule>
    <cfRule type="containsBlanks" dxfId="2133" priority="18827">
      <formula>LEN(TRIM(AG157))=0</formula>
    </cfRule>
    <cfRule type="containsBlanks" dxfId="2132" priority="18828">
      <formula>LEN(TRIM(AG157))=0</formula>
    </cfRule>
    <cfRule type="containsBlanks" dxfId="2131" priority="18829">
      <formula>LEN(TRIM(AG157))=0</formula>
    </cfRule>
    <cfRule type="containsBlanks" dxfId="2130" priority="18830">
      <formula>LEN(TRIM(AG157))=0</formula>
    </cfRule>
    <cfRule type="containsBlanks" dxfId="2129" priority="18831">
      <formula>LEN(TRIM(AG157))=0</formula>
    </cfRule>
    <cfRule type="containsBlanks" dxfId="2128" priority="18832">
      <formula>LEN(TRIM(AG157))=0</formula>
    </cfRule>
    <cfRule type="containsBlanks" dxfId="2127" priority="18833">
      <formula>LEN(TRIM(AG157))=0</formula>
    </cfRule>
    <cfRule type="containsBlanks" dxfId="2126" priority="18834">
      <formula>LEN(TRIM(AG157))=0</formula>
    </cfRule>
    <cfRule type="containsBlanks" dxfId="2125" priority="18835">
      <formula>LEN(TRIM(AG157))=0</formula>
    </cfRule>
    <cfRule type="containsBlanks" dxfId="2124" priority="18836">
      <formula>LEN(TRIM(AG157))=0</formula>
    </cfRule>
    <cfRule type="containsBlanks" dxfId="2123" priority="18837">
      <formula>LEN(TRIM(AG157))=0</formula>
    </cfRule>
    <cfRule type="containsBlanks" dxfId="2122" priority="18838">
      <formula>LEN(TRIM(AG157))=0</formula>
    </cfRule>
    <cfRule type="containsBlanks" dxfId="2121" priority="18839">
      <formula>LEN(TRIM(AG157))=0</formula>
    </cfRule>
    <cfRule type="containsBlanks" dxfId="2120" priority="18840">
      <formula>LEN(TRIM(AG157))=0</formula>
    </cfRule>
    <cfRule type="containsBlanks" dxfId="2119" priority="18841">
      <formula>LEN(TRIM(AG157))=0</formula>
    </cfRule>
    <cfRule type="containsBlanks" dxfId="2118" priority="18842">
      <formula>LEN(TRIM(AG157))=0</formula>
    </cfRule>
    <cfRule type="containsBlanks" dxfId="2117" priority="18843">
      <formula>LEN(TRIM(AG157))=0</formula>
    </cfRule>
    <cfRule type="containsBlanks" dxfId="2116" priority="18844">
      <formula>LEN(TRIM(AG157))=0</formula>
    </cfRule>
    <cfRule type="containsBlanks" dxfId="2115" priority="18845">
      <formula>LEN(TRIM(AG157))=0</formula>
    </cfRule>
    <cfRule type="containsBlanks" dxfId="2114" priority="18846">
      <formula>LEN(TRIM(AG157))=0</formula>
    </cfRule>
    <cfRule type="containsBlanks" dxfId="2113" priority="18847">
      <formula>LEN(TRIM(AG157))=0</formula>
    </cfRule>
    <cfRule type="containsBlanks" dxfId="2112" priority="18848">
      <formula>LEN(TRIM(AG157))=0</formula>
    </cfRule>
    <cfRule type="containsBlanks" dxfId="2111" priority="18849">
      <formula>LEN(TRIM(AG157))=0</formula>
    </cfRule>
    <cfRule type="containsBlanks" dxfId="2110" priority="18850">
      <formula>LEN(TRIM(AG157))=0</formula>
    </cfRule>
    <cfRule type="containsBlanks" dxfId="2109" priority="18851">
      <formula>LEN(TRIM(AG157))=0</formula>
    </cfRule>
    <cfRule type="containsBlanks" dxfId="2108" priority="18852">
      <formula>LEN(TRIM(AG157))=0</formula>
    </cfRule>
    <cfRule type="containsBlanks" dxfId="2107" priority="18853">
      <formula>LEN(TRIM(AG157))=0</formula>
    </cfRule>
    <cfRule type="containsBlanks" dxfId="2106" priority="18854">
      <formula>LEN(TRIM(AG157))=0</formula>
    </cfRule>
    <cfRule type="containsBlanks" dxfId="2105" priority="18855">
      <formula>LEN(TRIM(AG157))=0</formula>
    </cfRule>
    <cfRule type="containsBlanks" dxfId="2104" priority="18856">
      <formula>LEN(TRIM(AG157))=0</formula>
    </cfRule>
    <cfRule type="containsBlanks" dxfId="2103" priority="18857">
      <formula>LEN(TRIM(AG157))=0</formula>
    </cfRule>
    <cfRule type="containsBlanks" dxfId="2102" priority="18858">
      <formula>LEN(TRIM(AG157))=0</formula>
    </cfRule>
    <cfRule type="containsBlanks" dxfId="2101" priority="18859">
      <formula>LEN(TRIM(AG157))=0</formula>
    </cfRule>
    <cfRule type="containsBlanks" dxfId="2100" priority="18860">
      <formula>LEN(TRIM(AG157))=0</formula>
    </cfRule>
    <cfRule type="containsBlanks" dxfId="2099" priority="18861">
      <formula>LEN(TRIM(AG157))=0</formula>
    </cfRule>
    <cfRule type="containsBlanks" dxfId="2098" priority="18862">
      <formula>LEN(TRIM(AG157))=0</formula>
    </cfRule>
    <cfRule type="containsBlanks" dxfId="2097" priority="18863">
      <formula>LEN(TRIM(AG157))=0</formula>
    </cfRule>
    <cfRule type="containsBlanks" dxfId="2096" priority="18864">
      <formula>LEN(TRIM(AG157))=0</formula>
    </cfRule>
    <cfRule type="containsBlanks" dxfId="2095" priority="18865">
      <formula>LEN(TRIM(AG157))=0</formula>
    </cfRule>
    <cfRule type="containsBlanks" dxfId="2094" priority="18866">
      <formula>LEN(TRIM(AG157))=0</formula>
    </cfRule>
    <cfRule type="containsBlanks" dxfId="2093" priority="18867">
      <formula>LEN(TRIM(AG157))=0</formula>
    </cfRule>
    <cfRule type="containsBlanks" dxfId="2092" priority="18868">
      <formula>LEN(TRIM(AG157))=0</formula>
    </cfRule>
    <cfRule type="containsBlanks" dxfId="2091" priority="18869">
      <formula>LEN(TRIM(AG157))=0</formula>
    </cfRule>
    <cfRule type="containsBlanks" dxfId="2090" priority="18870">
      <formula>LEN(TRIM(AG157))=0</formula>
    </cfRule>
    <cfRule type="containsBlanks" dxfId="2089" priority="18871">
      <formula>LEN(TRIM(AG157))=0</formula>
    </cfRule>
    <cfRule type="containsBlanks" dxfId="2088" priority="18872">
      <formula>LEN(TRIM(AG157))=0</formula>
    </cfRule>
    <cfRule type="containsBlanks" dxfId="2087" priority="18873">
      <formula>LEN(TRIM(AG157))=0</formula>
    </cfRule>
    <cfRule type="containsBlanks" dxfId="2086" priority="18874">
      <formula>LEN(TRIM(AG157))=0</formula>
    </cfRule>
    <cfRule type="containsBlanks" dxfId="2085" priority="18875">
      <formula>LEN(TRIM(AG157))=0</formula>
    </cfRule>
    <cfRule type="containsBlanks" dxfId="2084" priority="18876">
      <formula>LEN(TRIM(AG157))=0</formula>
    </cfRule>
    <cfRule type="containsBlanks" dxfId="2083" priority="18877">
      <formula>LEN(TRIM(AG157))=0</formula>
    </cfRule>
    <cfRule type="containsBlanks" dxfId="2082" priority="18878">
      <formula>LEN(TRIM(AG157))=0</formula>
    </cfRule>
    <cfRule type="containsBlanks" dxfId="2081" priority="18879">
      <formula>LEN(TRIM(AG157))=0</formula>
    </cfRule>
    <cfRule type="containsBlanks" dxfId="2080" priority="18880">
      <formula>LEN(TRIM(AG157))=0</formula>
    </cfRule>
    <cfRule type="containsBlanks" dxfId="2079" priority="18881">
      <formula>LEN(TRIM(AG157))=0</formula>
    </cfRule>
    <cfRule type="containsBlanks" dxfId="2078" priority="18882">
      <formula>LEN(TRIM(AG157))=0</formula>
    </cfRule>
    <cfRule type="containsBlanks" dxfId="2077" priority="18883">
      <formula>LEN(TRIM(AG157))=0</formula>
    </cfRule>
    <cfRule type="containsBlanks" dxfId="2076" priority="18884">
      <formula>LEN(TRIM(AG157))=0</formula>
    </cfRule>
    <cfRule type="containsBlanks" dxfId="2075" priority="18885">
      <formula>LEN(TRIM(AG157))=0</formula>
    </cfRule>
    <cfRule type="containsBlanks" dxfId="2074" priority="18886">
      <formula>LEN(TRIM(AG157))=0</formula>
    </cfRule>
    <cfRule type="containsBlanks" dxfId="2073" priority="18887">
      <formula>LEN(TRIM(AG157))=0</formula>
    </cfRule>
    <cfRule type="containsBlanks" dxfId="2072" priority="18888">
      <formula>LEN(TRIM(AG157))=0</formula>
    </cfRule>
    <cfRule type="containsBlanks" dxfId="2071" priority="18889">
      <formula>LEN(TRIM(AG157))=0</formula>
    </cfRule>
    <cfRule type="containsBlanks" dxfId="2070" priority="18890">
      <formula>LEN(TRIM(AG157))=0</formula>
    </cfRule>
    <cfRule type="containsBlanks" dxfId="2069" priority="18891">
      <formula>LEN(TRIM(AG157))=0</formula>
    </cfRule>
    <cfRule type="containsBlanks" dxfId="2068" priority="18892">
      <formula>LEN(TRIM(AG157))=0</formula>
    </cfRule>
    <cfRule type="containsBlanks" dxfId="2067" priority="18893">
      <formula>LEN(TRIM(AG157))=0</formula>
    </cfRule>
    <cfRule type="containsBlanks" dxfId="2066" priority="18894">
      <formula>LEN(TRIM(AG157))=0</formula>
    </cfRule>
    <cfRule type="containsBlanks" dxfId="2065" priority="18895">
      <formula>LEN(TRIM(AG157))=0</formula>
    </cfRule>
    <cfRule type="containsBlanks" dxfId="2064" priority="18896">
      <formula>LEN(TRIM(AG157))=0</formula>
    </cfRule>
    <cfRule type="containsBlanks" dxfId="2063" priority="18897">
      <formula>LEN(TRIM(AG157))=0</formula>
    </cfRule>
    <cfRule type="containsBlanks" dxfId="2062" priority="18898">
      <formula>LEN(TRIM(AG157))=0</formula>
    </cfRule>
    <cfRule type="containsBlanks" dxfId="2061" priority="18899">
      <formula>LEN(TRIM(AG157))=0</formula>
    </cfRule>
    <cfRule type="containsBlanks" dxfId="2060" priority="18900">
      <formula>LEN(TRIM(AG157))=0</formula>
    </cfRule>
    <cfRule type="containsBlanks" dxfId="2059" priority="18901">
      <formula>LEN(TRIM(AG157))=0</formula>
    </cfRule>
    <cfRule type="containsBlanks" dxfId="2058" priority="18902">
      <formula>LEN(TRIM(AG157))=0</formula>
    </cfRule>
    <cfRule type="containsBlanks" dxfId="2057" priority="18903">
      <formula>LEN(TRIM(AG157))=0</formula>
    </cfRule>
    <cfRule type="containsBlanks" dxfId="2056" priority="18904">
      <formula>LEN(TRIM(AG157))=0</formula>
    </cfRule>
    <cfRule type="containsBlanks" dxfId="2055" priority="18905">
      <formula>LEN(TRIM(AG157))=0</formula>
    </cfRule>
    <cfRule type="containsBlanks" dxfId="2054" priority="19424">
      <formula>LEN(TRIM(AG157))=0</formula>
    </cfRule>
    <cfRule type="containsBlanks" dxfId="2053" priority="19425">
      <formula>LEN(TRIM(AG157))=0</formula>
    </cfRule>
    <cfRule type="containsBlanks" dxfId="2052" priority="19426">
      <formula>LEN(TRIM(AG157))=0</formula>
    </cfRule>
    <cfRule type="containsBlanks" dxfId="2051" priority="19427">
      <formula>LEN(TRIM(AG157))=0</formula>
    </cfRule>
    <cfRule type="containsBlanks" dxfId="2050" priority="19428">
      <formula>LEN(TRIM(AG157))=0</formula>
    </cfRule>
    <cfRule type="containsBlanks" dxfId="2049" priority="19429">
      <formula>LEN(TRIM(AG157))=0</formula>
    </cfRule>
    <cfRule type="containsBlanks" dxfId="2048" priority="19430">
      <formula>LEN(TRIM(AG157))=0</formula>
    </cfRule>
    <cfRule type="containsBlanks" dxfId="2047" priority="19431">
      <formula>LEN(TRIM(AG157))=0</formula>
    </cfRule>
    <cfRule type="containsBlanks" dxfId="2046" priority="19432">
      <formula>LEN(TRIM(AG157))=0</formula>
    </cfRule>
    <cfRule type="containsBlanks" dxfId="2045" priority="19433">
      <formula>LEN(TRIM(AG157))=0</formula>
    </cfRule>
    <cfRule type="containsBlanks" dxfId="2044" priority="19434">
      <formula>LEN(TRIM(AG157))=0</formula>
    </cfRule>
    <cfRule type="containsBlanks" dxfId="2043" priority="19435">
      <formula>LEN(TRIM(AG157))=0</formula>
    </cfRule>
    <cfRule type="containsBlanks" dxfId="2042" priority="19436">
      <formula>LEN(TRIM(AG157))=0</formula>
    </cfRule>
    <cfRule type="containsBlanks" dxfId="2041" priority="19437">
      <formula>LEN(TRIM(AG157))=0</formula>
    </cfRule>
    <cfRule type="containsBlanks" dxfId="2040" priority="19438">
      <formula>LEN(TRIM(AG157))=0</formula>
    </cfRule>
    <cfRule type="containsBlanks" dxfId="2039" priority="19439">
      <formula>LEN(TRIM(AG157))=0</formula>
    </cfRule>
    <cfRule type="containsBlanks" dxfId="2038" priority="19440">
      <formula>LEN(TRIM(AG157))=0</formula>
    </cfRule>
    <cfRule type="containsBlanks" dxfId="2037" priority="19441">
      <formula>LEN(TRIM(AG157))=0</formula>
    </cfRule>
    <cfRule type="containsBlanks" dxfId="2036" priority="19442">
      <formula>LEN(TRIM(AG157))=0</formula>
    </cfRule>
    <cfRule type="containsBlanks" dxfId="2035" priority="19443">
      <formula>LEN(TRIM(AG157))=0</formula>
    </cfRule>
    <cfRule type="containsBlanks" dxfId="2034" priority="19444">
      <formula>LEN(TRIM(AG157))=0</formula>
    </cfRule>
    <cfRule type="containsBlanks" dxfId="2033" priority="19445">
      <formula>LEN(TRIM(AG157))=0</formula>
    </cfRule>
    <cfRule type="containsBlanks" dxfId="2032" priority="19446">
      <formula>LEN(TRIM(AG157))=0</formula>
    </cfRule>
    <cfRule type="containsBlanks" dxfId="2031" priority="19447">
      <formula>LEN(TRIM(AG157))=0</formula>
    </cfRule>
    <cfRule type="containsBlanks" dxfId="2030" priority="19448">
      <formula>LEN(TRIM(AG157))=0</formula>
    </cfRule>
    <cfRule type="containsBlanks" dxfId="2029" priority="19449">
      <formula>LEN(TRIM(AG157))=0</formula>
    </cfRule>
    <cfRule type="containsBlanks" dxfId="2028" priority="19450">
      <formula>LEN(TRIM(AG157))=0</formula>
    </cfRule>
    <cfRule type="containsBlanks" dxfId="2027" priority="19451">
      <formula>LEN(TRIM(AG157))=0</formula>
    </cfRule>
    <cfRule type="containsBlanks" dxfId="2026" priority="19452">
      <formula>LEN(TRIM(AG157))=0</formula>
    </cfRule>
    <cfRule type="containsBlanks" dxfId="2025" priority="19453">
      <formula>LEN(TRIM(AG157))=0</formula>
    </cfRule>
    <cfRule type="containsBlanks" dxfId="2024" priority="19454">
      <formula>LEN(TRIM(AG157))=0</formula>
    </cfRule>
    <cfRule type="containsBlanks" dxfId="2023" priority="19455">
      <formula>LEN(TRIM(AG157))=0</formula>
    </cfRule>
    <cfRule type="containsBlanks" dxfId="2022" priority="19456">
      <formula>LEN(TRIM(AG157))=0</formula>
    </cfRule>
    <cfRule type="containsBlanks" dxfId="2021" priority="19457">
      <formula>LEN(TRIM(AG157))=0</formula>
    </cfRule>
    <cfRule type="containsBlanks" dxfId="2020" priority="19458">
      <formula>LEN(TRIM(AG157))=0</formula>
    </cfRule>
    <cfRule type="containsBlanks" dxfId="2019" priority="19459">
      <formula>LEN(TRIM(AG157))=0</formula>
    </cfRule>
    <cfRule type="containsBlanks" dxfId="2018" priority="19460">
      <formula>LEN(TRIM(AG157))=0</formula>
    </cfRule>
    <cfRule type="containsBlanks" dxfId="2017" priority="19461">
      <formula>LEN(TRIM(AG157))=0</formula>
    </cfRule>
    <cfRule type="containsBlanks" dxfId="2016" priority="19462">
      <formula>LEN(TRIM(AG157))=0</formula>
    </cfRule>
    <cfRule type="containsBlanks" dxfId="2015" priority="19463">
      <formula>LEN(TRIM(AG157))=0</formula>
    </cfRule>
    <cfRule type="containsBlanks" dxfId="2014" priority="19464">
      <formula>LEN(TRIM(AG157))=0</formula>
    </cfRule>
    <cfRule type="containsBlanks" dxfId="2013" priority="19465">
      <formula>LEN(TRIM(AG157))=0</formula>
    </cfRule>
    <cfRule type="containsBlanks" dxfId="2012" priority="19466">
      <formula>LEN(TRIM(AG157))=0</formula>
    </cfRule>
    <cfRule type="containsBlanks" dxfId="2011" priority="19467">
      <formula>LEN(TRIM(AG157))=0</formula>
    </cfRule>
    <cfRule type="containsBlanks" dxfId="2010" priority="19468">
      <formula>LEN(TRIM(AG157))=0</formula>
    </cfRule>
    <cfRule type="containsBlanks" dxfId="2009" priority="19469">
      <formula>LEN(TRIM(AG157))=0</formula>
    </cfRule>
    <cfRule type="containsBlanks" dxfId="2008" priority="19470">
      <formula>LEN(TRIM(AG157))=0</formula>
    </cfRule>
    <cfRule type="containsBlanks" dxfId="2007" priority="19471">
      <formula>LEN(TRIM(AG157))=0</formula>
    </cfRule>
    <cfRule type="containsBlanks" dxfId="2006" priority="19472">
      <formula>LEN(TRIM(AG157))=0</formula>
    </cfRule>
    <cfRule type="containsBlanks" dxfId="2005" priority="19473">
      <formula>LEN(TRIM(AG157))=0</formula>
    </cfRule>
    <cfRule type="containsBlanks" dxfId="2004" priority="19474">
      <formula>LEN(TRIM(AG157))=0</formula>
    </cfRule>
    <cfRule type="containsBlanks" dxfId="2003" priority="19475">
      <formula>LEN(TRIM(AG157))=0</formula>
    </cfRule>
    <cfRule type="containsBlanks" dxfId="2002" priority="19476">
      <formula>LEN(TRIM(AG157))=0</formula>
    </cfRule>
    <cfRule type="containsBlanks" dxfId="2001" priority="19477">
      <formula>LEN(TRIM(AG157))=0</formula>
    </cfRule>
    <cfRule type="containsBlanks" dxfId="2000" priority="19478">
      <formula>LEN(TRIM(AG157))=0</formula>
    </cfRule>
    <cfRule type="containsBlanks" dxfId="1999" priority="19479">
      <formula>LEN(TRIM(AG157))=0</formula>
    </cfRule>
    <cfRule type="containsBlanks" dxfId="1998" priority="19480">
      <formula>LEN(TRIM(AG157))=0</formula>
    </cfRule>
    <cfRule type="containsBlanks" dxfId="1997" priority="19481">
      <formula>LEN(TRIM(AG157))=0</formula>
    </cfRule>
    <cfRule type="containsBlanks" dxfId="1996" priority="19482">
      <formula>LEN(TRIM(AG157))=0</formula>
    </cfRule>
    <cfRule type="containsBlanks" dxfId="1995" priority="19483">
      <formula>LEN(TRIM(AG157))=0</formula>
    </cfRule>
    <cfRule type="containsBlanks" dxfId="1994" priority="19484">
      <formula>LEN(TRIM(AG157))=0</formula>
    </cfRule>
    <cfRule type="containsBlanks" dxfId="1993" priority="19485">
      <formula>LEN(TRIM(AG157))=0</formula>
    </cfRule>
    <cfRule type="containsBlanks" dxfId="1992" priority="19486">
      <formula>LEN(TRIM(AG157))=0</formula>
    </cfRule>
    <cfRule type="containsBlanks" dxfId="1991" priority="19487">
      <formula>LEN(TRIM(AG157))=0</formula>
    </cfRule>
    <cfRule type="containsBlanks" dxfId="1990" priority="19488">
      <formula>LEN(TRIM(AG157))=0</formula>
    </cfRule>
    <cfRule type="containsBlanks" dxfId="1989" priority="19489">
      <formula>LEN(TRIM(AG157))=0</formula>
    </cfRule>
    <cfRule type="containsBlanks" dxfId="1988" priority="19490">
      <formula>LEN(TRIM(AG157))=0</formula>
    </cfRule>
    <cfRule type="containsBlanks" dxfId="1987" priority="19491">
      <formula>LEN(TRIM(AG157))=0</formula>
    </cfRule>
    <cfRule type="containsBlanks" dxfId="1986" priority="19492">
      <formula>LEN(TRIM(AG157))=0</formula>
    </cfRule>
    <cfRule type="containsBlanks" dxfId="1985" priority="19493">
      <formula>LEN(TRIM(AG157))=0</formula>
    </cfRule>
    <cfRule type="containsBlanks" dxfId="1984" priority="19494">
      <formula>LEN(TRIM(AG157))=0</formula>
    </cfRule>
    <cfRule type="containsBlanks" dxfId="1983" priority="19495">
      <formula>LEN(TRIM(AG157))=0</formula>
    </cfRule>
    <cfRule type="containsBlanks" dxfId="1982" priority="19496">
      <formula>LEN(TRIM(AG157))=0</formula>
    </cfRule>
    <cfRule type="containsBlanks" dxfId="1981" priority="19497">
      <formula>LEN(TRIM(AG157))=0</formula>
    </cfRule>
    <cfRule type="containsBlanks" dxfId="1980" priority="19683">
      <formula>LEN(TRIM(AG157))=0</formula>
    </cfRule>
  </conditionalFormatting>
  <conditionalFormatting sqref="AG158">
    <cfRule type="containsBlanks" dxfId="1979" priority="19685">
      <formula>LEN(TRIM(AG158))=0</formula>
    </cfRule>
    <cfRule type="containsBlanks" dxfId="1978" priority="19686">
      <formula>LEN(TRIM(AG158))=0</formula>
    </cfRule>
  </conditionalFormatting>
  <conditionalFormatting sqref="AG158">
    <cfRule type="containsBlanks" dxfId="1977" priority="19677">
      <formula>LEN(TRIM(AG158))=0</formula>
    </cfRule>
    <cfRule type="containsBlanks" dxfId="1976" priority="19678">
      <formula>LEN(TRIM(AG158))=0</formula>
    </cfRule>
    <cfRule type="containsBlanks" dxfId="1975" priority="19679">
      <formula>LEN(TRIM(AG158))=0</formula>
    </cfRule>
    <cfRule type="containsBlanks" dxfId="1974" priority="19680">
      <formula>LEN(TRIM(AG158))=0</formula>
    </cfRule>
    <cfRule type="containsBlanks" dxfId="1973" priority="19681">
      <formula>LEN(TRIM(AG158))=0</formula>
    </cfRule>
    <cfRule type="containsBlanks" dxfId="1972" priority="19682">
      <formula>LEN(TRIM(AG158))=0</formula>
    </cfRule>
    <cfRule type="containsBlanks" dxfId="1971" priority="19684">
      <formula>LEN(TRIM(AG158))=0</formula>
    </cfRule>
  </conditionalFormatting>
  <conditionalFormatting sqref="AH99:AH157">
    <cfRule type="containsBlanks" dxfId="1970" priority="19161">
      <formula>LEN(TRIM(AH99))=0</formula>
    </cfRule>
    <cfRule type="containsBlanks" dxfId="1969" priority="19162">
      <formula>LEN(TRIM(AH99))=0</formula>
    </cfRule>
    <cfRule type="containsBlanks" dxfId="1968" priority="19163">
      <formula>LEN(TRIM(AH99))=0</formula>
    </cfRule>
    <cfRule type="containsBlanks" dxfId="1967" priority="19164">
      <formula>LEN(TRIM(AH99))=0</formula>
    </cfRule>
    <cfRule type="containsBlanks" dxfId="1966" priority="19165">
      <formula>LEN(TRIM(AH99))=0</formula>
    </cfRule>
    <cfRule type="containsBlanks" dxfId="1965" priority="19166">
      <formula>LEN(TRIM(AH99))=0</formula>
    </cfRule>
    <cfRule type="containsBlanks" dxfId="1964" priority="19167">
      <formula>LEN(TRIM(AH99))=0</formula>
    </cfRule>
    <cfRule type="containsBlanks" dxfId="1963" priority="19168">
      <formula>LEN(TRIM(AH99))=0</formula>
    </cfRule>
    <cfRule type="containsBlanks" dxfId="1962" priority="19169">
      <formula>LEN(TRIM(AH99))=0</formula>
    </cfRule>
    <cfRule type="containsBlanks" dxfId="1961" priority="19170">
      <formula>LEN(TRIM(AH99))=0</formula>
    </cfRule>
    <cfRule type="containsBlanks" dxfId="1960" priority="19171">
      <formula>LEN(TRIM(AH99))=0</formula>
    </cfRule>
    <cfRule type="containsBlanks" dxfId="1959" priority="19172">
      <formula>LEN(TRIM(AH99))=0</formula>
    </cfRule>
    <cfRule type="containsBlanks" dxfId="1958" priority="19173">
      <formula>LEN(TRIM(AH99))=0</formula>
    </cfRule>
    <cfRule type="containsBlanks" dxfId="1957" priority="19174">
      <formula>LEN(TRIM(AH99))=0</formula>
    </cfRule>
    <cfRule type="containsBlanks" dxfId="1956" priority="19175">
      <formula>LEN(TRIM(AH99))=0</formula>
    </cfRule>
    <cfRule type="containsBlanks" dxfId="1955" priority="19176">
      <formula>LEN(TRIM(AH99))=0</formula>
    </cfRule>
    <cfRule type="containsBlanks" dxfId="1954" priority="19177">
      <formula>LEN(TRIM(AH99))=0</formula>
    </cfRule>
    <cfRule type="containsBlanks" dxfId="1953" priority="19178">
      <formula>LEN(TRIM(AH99))=0</formula>
    </cfRule>
    <cfRule type="containsBlanks" dxfId="1952" priority="19179">
      <formula>LEN(TRIM(AH99))=0</formula>
    </cfRule>
    <cfRule type="containsBlanks" dxfId="1951" priority="19180">
      <formula>LEN(TRIM(AH99))=0</formula>
    </cfRule>
    <cfRule type="containsBlanks" dxfId="1950" priority="19181">
      <formula>LEN(TRIM(AH99))=0</formula>
    </cfRule>
    <cfRule type="containsBlanks" dxfId="1949" priority="19182">
      <formula>LEN(TRIM(AH99))=0</formula>
    </cfRule>
    <cfRule type="containsBlanks" dxfId="1948" priority="19183">
      <formula>LEN(TRIM(AH99))=0</formula>
    </cfRule>
    <cfRule type="containsBlanks" dxfId="1947" priority="19184">
      <formula>LEN(TRIM(AH99))=0</formula>
    </cfRule>
    <cfRule type="containsBlanks" dxfId="1946" priority="19185">
      <formula>LEN(TRIM(AH99))=0</formula>
    </cfRule>
    <cfRule type="containsBlanks" dxfId="1945" priority="19186">
      <formula>LEN(TRIM(AH99))=0</formula>
    </cfRule>
    <cfRule type="containsBlanks" dxfId="1944" priority="19187">
      <formula>LEN(TRIM(AH99))=0</formula>
    </cfRule>
    <cfRule type="containsBlanks" dxfId="1943" priority="19188">
      <formula>LEN(TRIM(AH99))=0</formula>
    </cfRule>
    <cfRule type="containsBlanks" dxfId="1942" priority="19189">
      <formula>LEN(TRIM(AH99))=0</formula>
    </cfRule>
    <cfRule type="containsBlanks" dxfId="1941" priority="19190">
      <formula>LEN(TRIM(AH99))=0</formula>
    </cfRule>
    <cfRule type="containsBlanks" dxfId="1940" priority="19191">
      <formula>LEN(TRIM(AH99))=0</formula>
    </cfRule>
    <cfRule type="containsBlanks" dxfId="1939" priority="19192">
      <formula>LEN(TRIM(AH99))=0</formula>
    </cfRule>
    <cfRule type="containsBlanks" dxfId="1938" priority="19193">
      <formula>LEN(TRIM(AH99))=0</formula>
    </cfRule>
    <cfRule type="containsBlanks" dxfId="1937" priority="19194">
      <formula>LEN(TRIM(AH99))=0</formula>
    </cfRule>
    <cfRule type="containsBlanks" dxfId="1936" priority="19195">
      <formula>LEN(TRIM(AH99))=0</formula>
    </cfRule>
    <cfRule type="containsBlanks" dxfId="1935" priority="19196">
      <formula>LEN(TRIM(AH99))=0</formula>
    </cfRule>
    <cfRule type="containsBlanks" dxfId="1934" priority="19197">
      <formula>LEN(TRIM(AH99))=0</formula>
    </cfRule>
    <cfRule type="containsBlanks" dxfId="1933" priority="19198">
      <formula>LEN(TRIM(AH99))=0</formula>
    </cfRule>
    <cfRule type="containsBlanks" dxfId="1932" priority="19199">
      <formula>LEN(TRIM(AH99))=0</formula>
    </cfRule>
    <cfRule type="containsBlanks" dxfId="1931" priority="19200">
      <formula>LEN(TRIM(AH99))=0</formula>
    </cfRule>
    <cfRule type="containsBlanks" dxfId="1930" priority="19201">
      <formula>LEN(TRIM(AH99))=0</formula>
    </cfRule>
    <cfRule type="containsBlanks" dxfId="1929" priority="19202">
      <formula>LEN(TRIM(AH99))=0</formula>
    </cfRule>
    <cfRule type="containsBlanks" dxfId="1928" priority="19203">
      <formula>LEN(TRIM(AH99))=0</formula>
    </cfRule>
    <cfRule type="containsBlanks" dxfId="1927" priority="19204">
      <formula>LEN(TRIM(AH99))=0</formula>
    </cfRule>
    <cfRule type="containsBlanks" dxfId="1926" priority="19205">
      <formula>LEN(TRIM(AH99))=0</formula>
    </cfRule>
    <cfRule type="containsBlanks" dxfId="1925" priority="19206">
      <formula>LEN(TRIM(AH99))=0</formula>
    </cfRule>
    <cfRule type="containsBlanks" dxfId="1924" priority="19207">
      <formula>LEN(TRIM(AH99))=0</formula>
    </cfRule>
    <cfRule type="containsBlanks" dxfId="1923" priority="19208">
      <formula>LEN(TRIM(AH99))=0</formula>
    </cfRule>
    <cfRule type="containsBlanks" dxfId="1922" priority="19209">
      <formula>LEN(TRIM(AH99))=0</formula>
    </cfRule>
    <cfRule type="containsBlanks" dxfId="1921" priority="19210">
      <formula>LEN(TRIM(AH99))=0</formula>
    </cfRule>
    <cfRule type="containsBlanks" dxfId="1920" priority="19211">
      <formula>LEN(TRIM(AH99))=0</formula>
    </cfRule>
    <cfRule type="containsBlanks" dxfId="1919" priority="19212">
      <formula>LEN(TRIM(AH99))=0</formula>
    </cfRule>
    <cfRule type="containsBlanks" dxfId="1918" priority="19213">
      <formula>LEN(TRIM(AH99))=0</formula>
    </cfRule>
    <cfRule type="containsBlanks" dxfId="1917" priority="19214">
      <formula>LEN(TRIM(AH99))=0</formula>
    </cfRule>
    <cfRule type="containsBlanks" dxfId="1916" priority="19215">
      <formula>LEN(TRIM(AH99))=0</formula>
    </cfRule>
    <cfRule type="containsBlanks" dxfId="1915" priority="19216">
      <formula>LEN(TRIM(AH99))=0</formula>
    </cfRule>
    <cfRule type="containsBlanks" dxfId="1914" priority="19217">
      <formula>LEN(TRIM(AH99))=0</formula>
    </cfRule>
    <cfRule type="containsBlanks" dxfId="1913" priority="19218">
      <formula>LEN(TRIM(AH99))=0</formula>
    </cfRule>
    <cfRule type="containsBlanks" dxfId="1912" priority="19219">
      <formula>LEN(TRIM(AH99))=0</formula>
    </cfRule>
    <cfRule type="containsBlanks" dxfId="1911" priority="19220">
      <formula>LEN(TRIM(AH99))=0</formula>
    </cfRule>
    <cfRule type="containsBlanks" dxfId="1910" priority="19221">
      <formula>LEN(TRIM(AH99))=0</formula>
    </cfRule>
    <cfRule type="containsBlanks" dxfId="1909" priority="19222">
      <formula>LEN(TRIM(AH99))=0</formula>
    </cfRule>
    <cfRule type="containsBlanks" dxfId="1908" priority="19223">
      <formula>LEN(TRIM(AH99))=0</formula>
    </cfRule>
    <cfRule type="containsBlanks" dxfId="1907" priority="19224">
      <formula>LEN(TRIM(AH99))=0</formula>
    </cfRule>
    <cfRule type="containsBlanks" dxfId="1906" priority="19225">
      <formula>LEN(TRIM(AH99))=0</formula>
    </cfRule>
    <cfRule type="containsBlanks" dxfId="1905" priority="19226">
      <formula>LEN(TRIM(AH99))=0</formula>
    </cfRule>
    <cfRule type="containsBlanks" dxfId="1904" priority="19227">
      <formula>LEN(TRIM(AH99))=0</formula>
    </cfRule>
    <cfRule type="containsBlanks" dxfId="1903" priority="19228">
      <formula>LEN(TRIM(AH99))=0</formula>
    </cfRule>
    <cfRule type="containsBlanks" dxfId="1902" priority="19229">
      <formula>LEN(TRIM(AH99))=0</formula>
    </cfRule>
    <cfRule type="containsBlanks" dxfId="1901" priority="19230">
      <formula>LEN(TRIM(AH99))=0</formula>
    </cfRule>
    <cfRule type="containsBlanks" dxfId="1900" priority="19231">
      <formula>LEN(TRIM(AH99))=0</formula>
    </cfRule>
    <cfRule type="containsBlanks" dxfId="1899" priority="19232">
      <formula>LEN(TRIM(AH99))=0</formula>
    </cfRule>
    <cfRule type="containsBlanks" dxfId="1898" priority="19233">
      <formula>LEN(TRIM(AH99))=0</formula>
    </cfRule>
    <cfRule type="containsBlanks" dxfId="1897" priority="19234">
      <formula>LEN(TRIM(AH99))=0</formula>
    </cfRule>
    <cfRule type="containsBlanks" dxfId="1896" priority="19235">
      <formula>LEN(TRIM(AH99))=0</formula>
    </cfRule>
    <cfRule type="containsBlanks" dxfId="1895" priority="19236">
      <formula>LEN(TRIM(AH99))=0</formula>
    </cfRule>
    <cfRule type="containsBlanks" dxfId="1894" priority="19237">
      <formula>LEN(TRIM(AH99))=0</formula>
    </cfRule>
    <cfRule type="containsBlanks" dxfId="1893" priority="19238">
      <formula>LEN(TRIM(AH99))=0</formula>
    </cfRule>
    <cfRule type="containsBlanks" dxfId="1892" priority="19239">
      <formula>LEN(TRIM(AH99))=0</formula>
    </cfRule>
    <cfRule type="containsBlanks" dxfId="1891" priority="19240">
      <formula>LEN(TRIM(AH99))=0</formula>
    </cfRule>
    <cfRule type="containsBlanks" dxfId="1890" priority="19241">
      <formula>LEN(TRIM(AH99))=0</formula>
    </cfRule>
    <cfRule type="containsBlanks" dxfId="1889" priority="19242">
      <formula>LEN(TRIM(AH99))=0</formula>
    </cfRule>
    <cfRule type="containsBlanks" dxfId="1888" priority="19243">
      <formula>LEN(TRIM(AH99))=0</formula>
    </cfRule>
    <cfRule type="containsBlanks" dxfId="1887" priority="19244">
      <formula>LEN(TRIM(AH99))=0</formula>
    </cfRule>
    <cfRule type="containsBlanks" dxfId="1886" priority="19245">
      <formula>LEN(TRIM(AH99))=0</formula>
    </cfRule>
    <cfRule type="containsBlanks" dxfId="1885" priority="19246">
      <formula>LEN(TRIM(AH99))=0</formula>
    </cfRule>
    <cfRule type="containsBlanks" dxfId="1884" priority="19247">
      <formula>LEN(TRIM(AH99))=0</formula>
    </cfRule>
    <cfRule type="containsBlanks" dxfId="1883" priority="19248">
      <formula>LEN(TRIM(AH99))=0</formula>
    </cfRule>
    <cfRule type="containsBlanks" dxfId="1882" priority="19249">
      <formula>LEN(TRIM(AH99))=0</formula>
    </cfRule>
    <cfRule type="containsBlanks" dxfId="1881" priority="19250">
      <formula>LEN(TRIM(AH99))=0</formula>
    </cfRule>
    <cfRule type="containsBlanks" dxfId="1880" priority="19251">
      <formula>LEN(TRIM(AH99))=0</formula>
    </cfRule>
    <cfRule type="containsBlanks" dxfId="1879" priority="19252">
      <formula>LEN(TRIM(AH99))=0</formula>
    </cfRule>
    <cfRule type="containsBlanks" dxfId="1878" priority="19253">
      <formula>LEN(TRIM(AH99))=0</formula>
    </cfRule>
    <cfRule type="containsBlanks" dxfId="1877" priority="19254">
      <formula>LEN(TRIM(AH99))=0</formula>
    </cfRule>
    <cfRule type="containsBlanks" dxfId="1876" priority="19255">
      <formula>LEN(TRIM(AH99))=0</formula>
    </cfRule>
    <cfRule type="containsBlanks" dxfId="1875" priority="19256">
      <formula>LEN(TRIM(AH99))=0</formula>
    </cfRule>
    <cfRule type="containsBlanks" dxfId="1874" priority="19257">
      <formula>LEN(TRIM(AH99))=0</formula>
    </cfRule>
    <cfRule type="containsBlanks" dxfId="1873" priority="19258">
      <formula>LEN(TRIM(AH99))=0</formula>
    </cfRule>
    <cfRule type="containsBlanks" dxfId="1872" priority="19259">
      <formula>LEN(TRIM(AH99))=0</formula>
    </cfRule>
    <cfRule type="containsBlanks" dxfId="1871" priority="19260">
      <formula>LEN(TRIM(AH99))=0</formula>
    </cfRule>
    <cfRule type="containsBlanks" dxfId="1870" priority="19261">
      <formula>LEN(TRIM(AH99))=0</formula>
    </cfRule>
    <cfRule type="containsBlanks" dxfId="1869" priority="19262">
      <formula>LEN(TRIM(AH99))=0</formula>
    </cfRule>
    <cfRule type="containsBlanks" dxfId="1868" priority="19263">
      <formula>LEN(TRIM(AH99))=0</formula>
    </cfRule>
    <cfRule type="containsBlanks" dxfId="1867" priority="19264">
      <formula>LEN(TRIM(AH99))=0</formula>
    </cfRule>
    <cfRule type="containsBlanks" dxfId="1866" priority="19265">
      <formula>LEN(TRIM(AH99))=0</formula>
    </cfRule>
    <cfRule type="containsBlanks" dxfId="1865" priority="19266">
      <formula>LEN(TRIM(AH99))=0</formula>
    </cfRule>
    <cfRule type="containsBlanks" dxfId="1864" priority="19267">
      <formula>LEN(TRIM(AH99))=0</formula>
    </cfRule>
    <cfRule type="containsBlanks" dxfId="1863" priority="19268">
      <formula>LEN(TRIM(AH99))=0</formula>
    </cfRule>
    <cfRule type="containsBlanks" dxfId="1862" priority="19269">
      <formula>LEN(TRIM(AH99))=0</formula>
    </cfRule>
    <cfRule type="containsBlanks" dxfId="1861" priority="19270">
      <formula>LEN(TRIM(AH99))=0</formula>
    </cfRule>
    <cfRule type="containsBlanks" dxfId="1860" priority="19271">
      <formula>LEN(TRIM(AH99))=0</formula>
    </cfRule>
    <cfRule type="containsBlanks" dxfId="1859" priority="19272">
      <formula>LEN(TRIM(AH99))=0</formula>
    </cfRule>
    <cfRule type="containsBlanks" dxfId="1858" priority="19273">
      <formula>LEN(TRIM(AH99))=0</formula>
    </cfRule>
    <cfRule type="containsBlanks" dxfId="1857" priority="19274">
      <formula>LEN(TRIM(AH99))=0</formula>
    </cfRule>
    <cfRule type="containsBlanks" dxfId="1856" priority="19275">
      <formula>LEN(TRIM(AH99))=0</formula>
    </cfRule>
    <cfRule type="containsBlanks" dxfId="1855" priority="19276">
      <formula>LEN(TRIM(AH99))=0</formula>
    </cfRule>
    <cfRule type="containsBlanks" dxfId="1854" priority="19277">
      <formula>LEN(TRIM(AH99))=0</formula>
    </cfRule>
    <cfRule type="containsBlanks" dxfId="1853" priority="19278">
      <formula>LEN(TRIM(AH99))=0</formula>
    </cfRule>
    <cfRule type="containsBlanks" dxfId="1852" priority="19279">
      <formula>LEN(TRIM(AH99))=0</formula>
    </cfRule>
    <cfRule type="containsBlanks" dxfId="1851" priority="19280">
      <formula>LEN(TRIM(AH99))=0</formula>
    </cfRule>
    <cfRule type="containsBlanks" dxfId="1850" priority="19281">
      <formula>LEN(TRIM(AH99))=0</formula>
    </cfRule>
    <cfRule type="containsBlanks" dxfId="1849" priority="19282">
      <formula>LEN(TRIM(AH99))=0</formula>
    </cfRule>
    <cfRule type="containsBlanks" dxfId="1848" priority="19283">
      <formula>LEN(TRIM(AH99))=0</formula>
    </cfRule>
    <cfRule type="containsBlanks" dxfId="1847" priority="19284">
      <formula>LEN(TRIM(AH99))=0</formula>
    </cfRule>
    <cfRule type="containsBlanks" dxfId="1846" priority="19285">
      <formula>LEN(TRIM(AH99))=0</formula>
    </cfRule>
    <cfRule type="containsBlanks" dxfId="1845" priority="19286">
      <formula>LEN(TRIM(AH99))=0</formula>
    </cfRule>
    <cfRule type="containsBlanks" dxfId="1844" priority="19287">
      <formula>LEN(TRIM(AH99))=0</formula>
    </cfRule>
    <cfRule type="containsBlanks" dxfId="1843" priority="19288">
      <formula>LEN(TRIM(AH99))=0</formula>
    </cfRule>
    <cfRule type="containsBlanks" dxfId="1842" priority="19289">
      <formula>LEN(TRIM(AH99))=0</formula>
    </cfRule>
    <cfRule type="containsBlanks" dxfId="1841" priority="19290">
      <formula>LEN(TRIM(AH99))=0</formula>
    </cfRule>
    <cfRule type="containsBlanks" dxfId="1840" priority="19291">
      <formula>LEN(TRIM(AH99))=0</formula>
    </cfRule>
    <cfRule type="containsBlanks" dxfId="1839" priority="19292">
      <formula>LEN(TRIM(AH99))=0</formula>
    </cfRule>
    <cfRule type="containsBlanks" dxfId="1838" priority="19293">
      <formula>LEN(TRIM(AH99))=0</formula>
    </cfRule>
    <cfRule type="containsBlanks" dxfId="1837" priority="19294">
      <formula>LEN(TRIM(AH99))=0</formula>
    </cfRule>
    <cfRule type="containsBlanks" dxfId="1836" priority="19295">
      <formula>LEN(TRIM(AH99))=0</formula>
    </cfRule>
    <cfRule type="containsBlanks" dxfId="1835" priority="19296">
      <formula>LEN(TRIM(AH99))=0</formula>
    </cfRule>
    <cfRule type="containsBlanks" dxfId="1834" priority="19297">
      <formula>LEN(TRIM(AH99))=0</formula>
    </cfRule>
    <cfRule type="containsBlanks" dxfId="1833" priority="19298">
      <formula>LEN(TRIM(AH99))=0</formula>
    </cfRule>
    <cfRule type="containsBlanks" dxfId="1832" priority="19299">
      <formula>LEN(TRIM(AH99))=0</formula>
    </cfRule>
    <cfRule type="containsBlanks" dxfId="1831" priority="19300">
      <formula>LEN(TRIM(AH99))=0</formula>
    </cfRule>
    <cfRule type="containsBlanks" dxfId="1830" priority="19301">
      <formula>LEN(TRIM(AH99))=0</formula>
    </cfRule>
    <cfRule type="containsBlanks" dxfId="1829" priority="19302">
      <formula>LEN(TRIM(AH99))=0</formula>
    </cfRule>
    <cfRule type="containsBlanks" dxfId="1828" priority="19303">
      <formula>LEN(TRIM(AH99))=0</formula>
    </cfRule>
    <cfRule type="containsBlanks" dxfId="1827" priority="19304">
      <formula>LEN(TRIM(AH99))=0</formula>
    </cfRule>
    <cfRule type="containsBlanks" dxfId="1826" priority="19305">
      <formula>LEN(TRIM(AH99))=0</formula>
    </cfRule>
    <cfRule type="containsBlanks" dxfId="1825" priority="19306">
      <formula>LEN(TRIM(AH99))=0</formula>
    </cfRule>
    <cfRule type="containsBlanks" dxfId="1824" priority="19307">
      <formula>LEN(TRIM(AH99))=0</formula>
    </cfRule>
    <cfRule type="containsBlanks" dxfId="1823" priority="19308">
      <formula>LEN(TRIM(AH99))=0</formula>
    </cfRule>
    <cfRule type="containsBlanks" dxfId="1822" priority="19309">
      <formula>LEN(TRIM(AH99))=0</formula>
    </cfRule>
    <cfRule type="containsBlanks" dxfId="1821" priority="19310">
      <formula>LEN(TRIM(AH99))=0</formula>
    </cfRule>
    <cfRule type="containsBlanks" dxfId="1820" priority="19311">
      <formula>LEN(TRIM(AH99))=0</formula>
    </cfRule>
    <cfRule type="containsBlanks" dxfId="1819" priority="19312">
      <formula>LEN(TRIM(AH99))=0</formula>
    </cfRule>
    <cfRule type="containsBlanks" dxfId="1818" priority="19313">
      <formula>LEN(TRIM(AH99))=0</formula>
    </cfRule>
    <cfRule type="containsBlanks" dxfId="1817" priority="19314">
      <formula>LEN(TRIM(AH99))=0</formula>
    </cfRule>
    <cfRule type="containsBlanks" dxfId="1816" priority="19315">
      <formula>LEN(TRIM(AH99))=0</formula>
    </cfRule>
    <cfRule type="containsBlanks" dxfId="1815" priority="19316">
      <formula>LEN(TRIM(AH99))=0</formula>
    </cfRule>
    <cfRule type="containsBlanks" dxfId="1814" priority="19675">
      <formula>LEN(TRIM(AH99))=0</formula>
    </cfRule>
  </conditionalFormatting>
  <conditionalFormatting sqref="AH99:AH158">
    <cfRule type="containsBlanks" dxfId="1813" priority="19317">
      <formula>LEN(TRIM(AH99))=0</formula>
    </cfRule>
    <cfRule type="containsBlanks" dxfId="1812" priority="19558">
      <formula>LEN(TRIM(AH99))=0</formula>
    </cfRule>
    <cfRule type="containsBlanks" dxfId="1811" priority="19559">
      <formula>LEN(TRIM(AH99))=0</formula>
    </cfRule>
    <cfRule type="containsBlanks" dxfId="1810" priority="19560">
      <formula>LEN(TRIM(AH99))=0</formula>
    </cfRule>
    <cfRule type="containsBlanks" dxfId="1809" priority="19561">
      <formula>LEN(TRIM(AH99))=0</formula>
    </cfRule>
    <cfRule type="containsBlanks" dxfId="1808" priority="19562">
      <formula>LEN(TRIM(AH99))=0</formula>
    </cfRule>
    <cfRule type="containsBlanks" dxfId="1807" priority="19563">
      <formula>LEN(TRIM(AH99))=0</formula>
    </cfRule>
    <cfRule type="containsBlanks" dxfId="1806" priority="19564">
      <formula>LEN(TRIM(AH99))=0</formula>
    </cfRule>
    <cfRule type="containsBlanks" dxfId="1805" priority="19565">
      <formula>LEN(TRIM(AH99))=0</formula>
    </cfRule>
    <cfRule type="containsBlanks" dxfId="1804" priority="19566">
      <formula>LEN(TRIM(AH99))=0</formula>
    </cfRule>
    <cfRule type="containsBlanks" dxfId="1803" priority="19567">
      <formula>LEN(TRIM(AH99))=0</formula>
    </cfRule>
    <cfRule type="containsBlanks" dxfId="1802" priority="19568">
      <formula>LEN(TRIM(AH99))=0</formula>
    </cfRule>
    <cfRule type="containsBlanks" dxfId="1801" priority="19569">
      <formula>LEN(TRIM(AH99))=0</formula>
    </cfRule>
    <cfRule type="containsBlanks" dxfId="1800" priority="19570">
      <formula>LEN(TRIM(AH99))=0</formula>
    </cfRule>
    <cfRule type="containsBlanks" dxfId="1799" priority="19571">
      <formula>LEN(TRIM(AH99))=0</formula>
    </cfRule>
    <cfRule type="containsBlanks" dxfId="1798" priority="19572">
      <formula>LEN(TRIM(AH99))=0</formula>
    </cfRule>
    <cfRule type="containsBlanks" dxfId="1797" priority="19573">
      <formula>LEN(TRIM(AH99))=0</formula>
    </cfRule>
    <cfRule type="containsBlanks" dxfId="1796" priority="19574">
      <formula>LEN(TRIM(AH99))=0</formula>
    </cfRule>
    <cfRule type="containsBlanks" dxfId="1795" priority="19575">
      <formula>LEN(TRIM(AH99))=0</formula>
    </cfRule>
    <cfRule type="containsBlanks" dxfId="1794" priority="19576">
      <formula>LEN(TRIM(AH99))=0</formula>
    </cfRule>
    <cfRule type="containsBlanks" dxfId="1793" priority="19577">
      <formula>LEN(TRIM(AH99))=0</formula>
    </cfRule>
    <cfRule type="containsBlanks" dxfId="1792" priority="19578">
      <formula>LEN(TRIM(AH99))=0</formula>
    </cfRule>
    <cfRule type="containsBlanks" dxfId="1791" priority="19579">
      <formula>LEN(TRIM(AH99))=0</formula>
    </cfRule>
    <cfRule type="containsBlanks" dxfId="1790" priority="19580">
      <formula>LEN(TRIM(AH99))=0</formula>
    </cfRule>
    <cfRule type="containsBlanks" dxfId="1789" priority="19581">
      <formula>LEN(TRIM(AH99))=0</formula>
    </cfRule>
    <cfRule type="containsBlanks" dxfId="1788" priority="19582">
      <formula>LEN(TRIM(AH99))=0</formula>
    </cfRule>
    <cfRule type="containsBlanks" dxfId="1787" priority="19583">
      <formula>LEN(TRIM(AH99))=0</formula>
    </cfRule>
    <cfRule type="containsBlanks" dxfId="1786" priority="19584">
      <formula>LEN(TRIM(AH99))=0</formula>
    </cfRule>
    <cfRule type="containsBlanks" dxfId="1785" priority="19585">
      <formula>LEN(TRIM(AH99))=0</formula>
    </cfRule>
    <cfRule type="containsBlanks" dxfId="1784" priority="19586">
      <formula>LEN(TRIM(AH99))=0</formula>
    </cfRule>
    <cfRule type="containsBlanks" dxfId="1783" priority="19587">
      <formula>LEN(TRIM(AH99))=0</formula>
    </cfRule>
    <cfRule type="containsBlanks" dxfId="1782" priority="19588">
      <formula>LEN(TRIM(AH99))=0</formula>
    </cfRule>
  </conditionalFormatting>
  <conditionalFormatting sqref="AG157:AH158 AH99:AH156">
    <cfRule type="containsBlanks" dxfId="1781" priority="19589">
      <formula>LEN(TRIM(AG99))=0</formula>
    </cfRule>
    <cfRule type="containsBlanks" dxfId="1780" priority="19590">
      <formula>LEN(TRIM(AG99))=0</formula>
    </cfRule>
  </conditionalFormatting>
  <conditionalFormatting sqref="AH99:AH158">
    <cfRule type="containsBlanks" dxfId="1779" priority="18426">
      <formula>LEN(TRIM(AH99))=0</formula>
    </cfRule>
    <cfRule type="containsBlanks" dxfId="1778" priority="18427">
      <formula>LEN(TRIM(AH99))=0</formula>
    </cfRule>
    <cfRule type="containsBlanks" dxfId="1777" priority="18428">
      <formula>LEN(TRIM(AH99))=0</formula>
    </cfRule>
    <cfRule type="containsBlanks" dxfId="1776" priority="18429">
      <formula>LEN(TRIM(AH99))=0</formula>
    </cfRule>
    <cfRule type="containsBlanks" dxfId="1775" priority="18430">
      <formula>LEN(TRIM(AH99))=0</formula>
    </cfRule>
    <cfRule type="containsBlanks" dxfId="1774" priority="18431">
      <formula>LEN(TRIM(AH99))=0</formula>
    </cfRule>
    <cfRule type="containsBlanks" dxfId="1773" priority="18432">
      <formula>LEN(TRIM(AH99))=0</formula>
    </cfRule>
    <cfRule type="containsBlanks" dxfId="1772" priority="18433">
      <formula>LEN(TRIM(AH99))=0</formula>
    </cfRule>
    <cfRule type="containsBlanks" dxfId="1771" priority="18434">
      <formula>LEN(TRIM(AH99))=0</formula>
    </cfRule>
    <cfRule type="containsBlanks" dxfId="1770" priority="18435">
      <formula>LEN(TRIM(AH99))=0</formula>
    </cfRule>
    <cfRule type="containsBlanks" dxfId="1769" priority="18436">
      <formula>LEN(TRIM(AH99))=0</formula>
    </cfRule>
    <cfRule type="containsBlanks" dxfId="1768" priority="18437">
      <formula>LEN(TRIM(AH99))=0</formula>
    </cfRule>
    <cfRule type="containsBlanks" dxfId="1767" priority="18438">
      <formula>LEN(TRIM(AH99))=0</formula>
    </cfRule>
    <cfRule type="containsBlanks" dxfId="1766" priority="18439">
      <formula>LEN(TRIM(AH99))=0</formula>
    </cfRule>
    <cfRule type="containsBlanks" dxfId="1765" priority="18440">
      <formula>LEN(TRIM(AH99))=0</formula>
    </cfRule>
    <cfRule type="containsBlanks" dxfId="1764" priority="18441">
      <formula>LEN(TRIM(AH99))=0</formula>
    </cfRule>
    <cfRule type="containsBlanks" dxfId="1763" priority="18442">
      <formula>LEN(TRIM(AH99))=0</formula>
    </cfRule>
    <cfRule type="containsBlanks" dxfId="1762" priority="18443">
      <formula>LEN(TRIM(AH99))=0</formula>
    </cfRule>
    <cfRule type="containsBlanks" dxfId="1761" priority="18444">
      <formula>LEN(TRIM(AH99))=0</formula>
    </cfRule>
    <cfRule type="containsBlanks" dxfId="1760" priority="18445">
      <formula>LEN(TRIM(AH99))=0</formula>
    </cfRule>
    <cfRule type="containsBlanks" dxfId="1759" priority="18446">
      <formula>LEN(TRIM(AH99))=0</formula>
    </cfRule>
    <cfRule type="containsBlanks" dxfId="1758" priority="18447">
      <formula>LEN(TRIM(AH99))=0</formula>
    </cfRule>
    <cfRule type="containsBlanks" dxfId="1757" priority="18448">
      <formula>LEN(TRIM(AH99))=0</formula>
    </cfRule>
    <cfRule type="containsBlanks" dxfId="1756" priority="18449">
      <formula>LEN(TRIM(AH99))=0</formula>
    </cfRule>
    <cfRule type="containsBlanks" dxfId="1755" priority="18450">
      <formula>LEN(TRIM(AH99))=0</formula>
    </cfRule>
    <cfRule type="containsBlanks" dxfId="1754" priority="18451">
      <formula>LEN(TRIM(AH99))=0</formula>
    </cfRule>
    <cfRule type="containsBlanks" dxfId="1753" priority="18452">
      <formula>LEN(TRIM(AH99))=0</formula>
    </cfRule>
    <cfRule type="containsBlanks" dxfId="1752" priority="18453">
      <formula>LEN(TRIM(AH99))=0</formula>
    </cfRule>
    <cfRule type="containsBlanks" dxfId="1751" priority="18454">
      <formula>LEN(TRIM(AH99))=0</formula>
    </cfRule>
    <cfRule type="containsBlanks" dxfId="1750" priority="18455">
      <formula>LEN(TRIM(AH99))=0</formula>
    </cfRule>
    <cfRule type="containsBlanks" dxfId="1749" priority="18456">
      <formula>LEN(TRIM(AH99))=0</formula>
    </cfRule>
    <cfRule type="containsBlanks" dxfId="1748" priority="18457">
      <formula>LEN(TRIM(AH99))=0</formula>
    </cfRule>
    <cfRule type="containsBlanks" dxfId="1747" priority="18458">
      <formula>LEN(TRIM(AH99))=0</formula>
    </cfRule>
    <cfRule type="containsBlanks" dxfId="1746" priority="18459">
      <formula>LEN(TRIM(AH99))=0</formula>
    </cfRule>
    <cfRule type="containsBlanks" dxfId="1745" priority="18460">
      <formula>LEN(TRIM(AH99))=0</formula>
    </cfRule>
    <cfRule type="containsBlanks" dxfId="1744" priority="18461">
      <formula>LEN(TRIM(AH99))=0</formula>
    </cfRule>
    <cfRule type="containsBlanks" dxfId="1743" priority="18462">
      <formula>LEN(TRIM(AH99))=0</formula>
    </cfRule>
    <cfRule type="containsBlanks" dxfId="1742" priority="18463">
      <formula>LEN(TRIM(AH99))=0</formula>
    </cfRule>
    <cfRule type="containsBlanks" dxfId="1741" priority="18464">
      <formula>LEN(TRIM(AH99))=0</formula>
    </cfRule>
    <cfRule type="containsBlanks" dxfId="1740" priority="18465">
      <formula>LEN(TRIM(AH99))=0</formula>
    </cfRule>
    <cfRule type="containsBlanks" dxfId="1739" priority="18466">
      <formula>LEN(TRIM(AH99))=0</formula>
    </cfRule>
    <cfRule type="containsBlanks" dxfId="1738" priority="18467">
      <formula>LEN(TRIM(AH99))=0</formula>
    </cfRule>
    <cfRule type="containsBlanks" dxfId="1737" priority="18468">
      <formula>LEN(TRIM(AH99))=0</formula>
    </cfRule>
    <cfRule type="containsBlanks" dxfId="1736" priority="18469">
      <formula>LEN(TRIM(AH99))=0</formula>
    </cfRule>
    <cfRule type="containsBlanks" dxfId="1735" priority="18470">
      <formula>LEN(TRIM(AH99))=0</formula>
    </cfRule>
    <cfRule type="containsBlanks" dxfId="1734" priority="18471">
      <formula>LEN(TRIM(AH99))=0</formula>
    </cfRule>
    <cfRule type="containsBlanks" dxfId="1733" priority="18472">
      <formula>LEN(TRIM(AH99))=0</formula>
    </cfRule>
    <cfRule type="containsBlanks" dxfId="1732" priority="18473">
      <formula>LEN(TRIM(AH99))=0</formula>
    </cfRule>
    <cfRule type="containsBlanks" dxfId="1731" priority="18474">
      <formula>LEN(TRIM(AH99))=0</formula>
    </cfRule>
    <cfRule type="containsBlanks" dxfId="1730" priority="18475">
      <formula>LEN(TRIM(AH99))=0</formula>
    </cfRule>
    <cfRule type="containsBlanks" dxfId="1729" priority="18476">
      <formula>LEN(TRIM(AH99))=0</formula>
    </cfRule>
    <cfRule type="containsBlanks" dxfId="1728" priority="18477">
      <formula>LEN(TRIM(AH99))=0</formula>
    </cfRule>
    <cfRule type="containsBlanks" dxfId="1727" priority="18478">
      <formula>LEN(TRIM(AH99))=0</formula>
    </cfRule>
    <cfRule type="containsBlanks" dxfId="1726" priority="18479">
      <formula>LEN(TRIM(AH99))=0</formula>
    </cfRule>
    <cfRule type="containsBlanks" dxfId="1725" priority="18480">
      <formula>LEN(TRIM(AH99))=0</formula>
    </cfRule>
    <cfRule type="containsBlanks" dxfId="1724" priority="18481">
      <formula>LEN(TRIM(AH99))=0</formula>
    </cfRule>
    <cfRule type="containsBlanks" dxfId="1723" priority="18482">
      <formula>LEN(TRIM(AH99))=0</formula>
    </cfRule>
    <cfRule type="containsBlanks" dxfId="1722" priority="18483">
      <formula>LEN(TRIM(AH99))=0</formula>
    </cfRule>
    <cfRule type="containsBlanks" dxfId="1721" priority="18484">
      <formula>LEN(TRIM(AH99))=0</formula>
    </cfRule>
    <cfRule type="containsBlanks" dxfId="1720" priority="18485">
      <formula>LEN(TRIM(AH99))=0</formula>
    </cfRule>
    <cfRule type="containsBlanks" dxfId="1719" priority="18486">
      <formula>LEN(TRIM(AH99))=0</formula>
    </cfRule>
    <cfRule type="containsBlanks" dxfId="1718" priority="18487">
      <formula>LEN(TRIM(AH99))=0</formula>
    </cfRule>
    <cfRule type="containsBlanks" dxfId="1717" priority="18488">
      <formula>LEN(TRIM(AH99))=0</formula>
    </cfRule>
    <cfRule type="containsBlanks" dxfId="1716" priority="18489">
      <formula>LEN(TRIM(AH99))=0</formula>
    </cfRule>
    <cfRule type="containsBlanks" dxfId="1715" priority="18490">
      <formula>LEN(TRIM(AH99))=0</formula>
    </cfRule>
    <cfRule type="containsBlanks" dxfId="1714" priority="18491">
      <formula>LEN(TRIM(AH99))=0</formula>
    </cfRule>
    <cfRule type="containsBlanks" dxfId="1713" priority="18492">
      <formula>LEN(TRIM(AH99))=0</formula>
    </cfRule>
    <cfRule type="containsBlanks" dxfId="1712" priority="18493">
      <formula>LEN(TRIM(AH99))=0</formula>
    </cfRule>
    <cfRule type="containsBlanks" dxfId="1711" priority="18494">
      <formula>LEN(TRIM(AH99))=0</formula>
    </cfRule>
    <cfRule type="containsBlanks" dxfId="1710" priority="18495">
      <formula>LEN(TRIM(AH99))=0</formula>
    </cfRule>
    <cfRule type="containsBlanks" dxfId="1709" priority="18496">
      <formula>LEN(TRIM(AH99))=0</formula>
    </cfRule>
    <cfRule type="containsBlanks" dxfId="1708" priority="18497">
      <formula>LEN(TRIM(AH99))=0</formula>
    </cfRule>
    <cfRule type="containsBlanks" dxfId="1707" priority="18498">
      <formula>LEN(TRIM(AH99))=0</formula>
    </cfRule>
    <cfRule type="containsBlanks" dxfId="1706" priority="18499">
      <formula>LEN(TRIM(AH99))=0</formula>
    </cfRule>
    <cfRule type="containsBlanks" dxfId="1705" priority="18500">
      <formula>LEN(TRIM(AH99))=0</formula>
    </cfRule>
    <cfRule type="containsBlanks" dxfId="1704" priority="18501">
      <formula>LEN(TRIM(AH99))=0</formula>
    </cfRule>
    <cfRule type="containsBlanks" dxfId="1703" priority="18502">
      <formula>LEN(TRIM(AH99))=0</formula>
    </cfRule>
    <cfRule type="containsBlanks" dxfId="1702" priority="18503">
      <formula>LEN(TRIM(AH99))=0</formula>
    </cfRule>
    <cfRule type="containsBlanks" dxfId="1701" priority="18504">
      <formula>LEN(TRIM(AH99))=0</formula>
    </cfRule>
    <cfRule type="containsBlanks" dxfId="1700" priority="18505">
      <formula>LEN(TRIM(AH99))=0</formula>
    </cfRule>
    <cfRule type="containsBlanks" dxfId="1699" priority="18506">
      <formula>LEN(TRIM(AH99))=0</formula>
    </cfRule>
    <cfRule type="containsBlanks" dxfId="1698" priority="18507">
      <formula>LEN(TRIM(AH99))=0</formula>
    </cfRule>
    <cfRule type="containsBlanks" dxfId="1697" priority="18508">
      <formula>LEN(TRIM(AH99))=0</formula>
    </cfRule>
    <cfRule type="containsBlanks" dxfId="1696" priority="18509">
      <formula>LEN(TRIM(AH99))=0</formula>
    </cfRule>
    <cfRule type="containsBlanks" dxfId="1695" priority="18510">
      <formula>LEN(TRIM(AH99))=0</formula>
    </cfRule>
    <cfRule type="containsBlanks" dxfId="1694" priority="18511">
      <formula>LEN(TRIM(AH99))=0</formula>
    </cfRule>
    <cfRule type="containsBlanks" dxfId="1693" priority="18512">
      <formula>LEN(TRIM(AH99))=0</formula>
    </cfRule>
    <cfRule type="containsBlanks" dxfId="1692" priority="18513">
      <formula>LEN(TRIM(AH99))=0</formula>
    </cfRule>
    <cfRule type="containsBlanks" dxfId="1691" priority="18514">
      <formula>LEN(TRIM(AH99))=0</formula>
    </cfRule>
    <cfRule type="containsBlanks" dxfId="1690" priority="18515">
      <formula>LEN(TRIM(AH99))=0</formula>
    </cfRule>
    <cfRule type="containsBlanks" dxfId="1689" priority="18516">
      <formula>LEN(TRIM(AH99))=0</formula>
    </cfRule>
    <cfRule type="containsBlanks" dxfId="1688" priority="18517">
      <formula>LEN(TRIM(AH99))=0</formula>
    </cfRule>
    <cfRule type="containsBlanks" dxfId="1687" priority="18518">
      <formula>LEN(TRIM(AH99))=0</formula>
    </cfRule>
    <cfRule type="containsBlanks" dxfId="1686" priority="18519">
      <formula>LEN(TRIM(AH99))=0</formula>
    </cfRule>
    <cfRule type="containsBlanks" dxfId="1685" priority="18520">
      <formula>LEN(TRIM(AH99))=0</formula>
    </cfRule>
    <cfRule type="containsBlanks" dxfId="1684" priority="18521">
      <formula>LEN(TRIM(AH99))=0</formula>
    </cfRule>
    <cfRule type="containsBlanks" dxfId="1683" priority="18522">
      <formula>LEN(TRIM(AH99))=0</formula>
    </cfRule>
    <cfRule type="containsBlanks" dxfId="1682" priority="18523">
      <formula>LEN(TRIM(AH99))=0</formula>
    </cfRule>
    <cfRule type="containsBlanks" dxfId="1681" priority="18524">
      <formula>LEN(TRIM(AH99))=0</formula>
    </cfRule>
    <cfRule type="containsBlanks" dxfId="1680" priority="18525">
      <formula>LEN(TRIM(AH99))=0</formula>
    </cfRule>
    <cfRule type="containsBlanks" dxfId="1679" priority="18526">
      <formula>LEN(TRIM(AH99))=0</formula>
    </cfRule>
    <cfRule type="containsBlanks" dxfId="1678" priority="18527">
      <formula>LEN(TRIM(AH99))=0</formula>
    </cfRule>
    <cfRule type="containsBlanks" dxfId="1677" priority="18528">
      <formula>LEN(TRIM(AH99))=0</formula>
    </cfRule>
    <cfRule type="containsBlanks" dxfId="1676" priority="18529">
      <formula>LEN(TRIM(AH99))=0</formula>
    </cfRule>
    <cfRule type="containsBlanks" dxfId="1675" priority="18530">
      <formula>LEN(TRIM(AH99))=0</formula>
    </cfRule>
    <cfRule type="containsBlanks" dxfId="1674" priority="18531">
      <formula>LEN(TRIM(AH99))=0</formula>
    </cfRule>
    <cfRule type="containsBlanks" dxfId="1673" priority="18532">
      <formula>LEN(TRIM(AH99))=0</formula>
    </cfRule>
    <cfRule type="containsBlanks" dxfId="1672" priority="18533">
      <formula>LEN(TRIM(AH99))=0</formula>
    </cfRule>
    <cfRule type="containsBlanks" dxfId="1671" priority="18534">
      <formula>LEN(TRIM(AH99))=0</formula>
    </cfRule>
    <cfRule type="containsBlanks" dxfId="1670" priority="18535">
      <formula>LEN(TRIM(AH99))=0</formula>
    </cfRule>
    <cfRule type="containsBlanks" dxfId="1669" priority="18536">
      <formula>LEN(TRIM(AH99))=0</formula>
    </cfRule>
    <cfRule type="containsBlanks" dxfId="1668" priority="18537">
      <formula>LEN(TRIM(AH99))=0</formula>
    </cfRule>
    <cfRule type="containsBlanks" dxfId="1667" priority="18538">
      <formula>LEN(TRIM(AH99))=0</formula>
    </cfRule>
    <cfRule type="containsBlanks" dxfId="1666" priority="18539">
      <formula>LEN(TRIM(AH99))=0</formula>
    </cfRule>
    <cfRule type="containsBlanks" dxfId="1665" priority="18540">
      <formula>LEN(TRIM(AH99))=0</formula>
    </cfRule>
    <cfRule type="containsBlanks" dxfId="1664" priority="18541">
      <formula>LEN(TRIM(AH99))=0</formula>
    </cfRule>
    <cfRule type="containsBlanks" dxfId="1663" priority="18542">
      <formula>LEN(TRIM(AH99))=0</formula>
    </cfRule>
    <cfRule type="containsBlanks" dxfId="1662" priority="18543">
      <formula>LEN(TRIM(AH99))=0</formula>
    </cfRule>
    <cfRule type="containsBlanks" dxfId="1661" priority="18544">
      <formula>LEN(TRIM(AH99))=0</formula>
    </cfRule>
    <cfRule type="containsBlanks" dxfId="1660" priority="18545">
      <formula>LEN(TRIM(AH99))=0</formula>
    </cfRule>
    <cfRule type="containsBlanks" dxfId="1659" priority="18546">
      <formula>LEN(TRIM(AH99))=0</formula>
    </cfRule>
    <cfRule type="containsBlanks" dxfId="1658" priority="18547">
      <formula>LEN(TRIM(AH99))=0</formula>
    </cfRule>
    <cfRule type="containsBlanks" dxfId="1657" priority="18548">
      <formula>LEN(TRIM(AH99))=0</formula>
    </cfRule>
    <cfRule type="containsBlanks" dxfId="1656" priority="18549">
      <formula>LEN(TRIM(AH99))=0</formula>
    </cfRule>
    <cfRule type="containsBlanks" dxfId="1655" priority="18550">
      <formula>LEN(TRIM(AH99))=0</formula>
    </cfRule>
    <cfRule type="containsBlanks" dxfId="1654" priority="18551">
      <formula>LEN(TRIM(AH99))=0</formula>
    </cfRule>
    <cfRule type="containsBlanks" dxfId="1653" priority="18552">
      <formula>LEN(TRIM(AH99))=0</formula>
    </cfRule>
    <cfRule type="containsBlanks" dxfId="1652" priority="18553">
      <formula>LEN(TRIM(AH99))=0</formula>
    </cfRule>
    <cfRule type="containsBlanks" dxfId="1651" priority="18554">
      <formula>LEN(TRIM(AH99))=0</formula>
    </cfRule>
    <cfRule type="containsBlanks" dxfId="1650" priority="18555">
      <formula>LEN(TRIM(AH99))=0</formula>
    </cfRule>
    <cfRule type="containsBlanks" dxfId="1649" priority="18556">
      <formula>LEN(TRIM(AH99))=0</formula>
    </cfRule>
    <cfRule type="containsBlanks" dxfId="1648" priority="18557">
      <formula>LEN(TRIM(AH99))=0</formula>
    </cfRule>
    <cfRule type="containsBlanks" dxfId="1647" priority="18558">
      <formula>LEN(TRIM(AH99))=0</formula>
    </cfRule>
    <cfRule type="containsBlanks" dxfId="1646" priority="18559">
      <formula>LEN(TRIM(AH99))=0</formula>
    </cfRule>
    <cfRule type="containsBlanks" dxfId="1645" priority="18560">
      <formula>LEN(TRIM(AH99))=0</formula>
    </cfRule>
    <cfRule type="containsBlanks" dxfId="1644" priority="18561">
      <formula>LEN(TRIM(AH99))=0</formula>
    </cfRule>
    <cfRule type="containsBlanks" dxfId="1643" priority="18562">
      <formula>LEN(TRIM(AH99))=0</formula>
    </cfRule>
    <cfRule type="containsBlanks" dxfId="1642" priority="18563">
      <formula>LEN(TRIM(AH99))=0</formula>
    </cfRule>
    <cfRule type="containsBlanks" dxfId="1641" priority="18564">
      <formula>LEN(TRIM(AH99))=0</formula>
    </cfRule>
    <cfRule type="containsBlanks" dxfId="1640" priority="18565">
      <formula>LEN(TRIM(AH99))=0</formula>
    </cfRule>
    <cfRule type="containsBlanks" dxfId="1639" priority="18566">
      <formula>LEN(TRIM(AH99))=0</formula>
    </cfRule>
    <cfRule type="containsBlanks" dxfId="1638" priority="18567">
      <formula>LEN(TRIM(AH99))=0</formula>
    </cfRule>
    <cfRule type="containsBlanks" dxfId="1637" priority="18568">
      <formula>LEN(TRIM(AH99))=0</formula>
    </cfRule>
    <cfRule type="containsBlanks" dxfId="1636" priority="18569">
      <formula>LEN(TRIM(AH99))=0</formula>
    </cfRule>
    <cfRule type="containsBlanks" dxfId="1635" priority="18570">
      <formula>LEN(TRIM(AH99))=0</formula>
    </cfRule>
    <cfRule type="containsBlanks" dxfId="1634" priority="18571">
      <formula>LEN(TRIM(AH99))=0</formula>
    </cfRule>
    <cfRule type="containsBlanks" dxfId="1633" priority="18572">
      <formula>LEN(TRIM(AH99))=0</formula>
    </cfRule>
    <cfRule type="containsBlanks" dxfId="1632" priority="18573">
      <formula>LEN(TRIM(AH99))=0</formula>
    </cfRule>
    <cfRule type="containsBlanks" dxfId="1631" priority="18574">
      <formula>LEN(TRIM(AH99))=0</formula>
    </cfRule>
    <cfRule type="containsBlanks" dxfId="1630" priority="18575">
      <formula>LEN(TRIM(AH99))=0</formula>
    </cfRule>
    <cfRule type="containsBlanks" dxfId="1629" priority="18576">
      <formula>LEN(TRIM(AH99))=0</formula>
    </cfRule>
    <cfRule type="containsBlanks" dxfId="1628" priority="18577">
      <formula>LEN(TRIM(AH99))=0</formula>
    </cfRule>
    <cfRule type="containsBlanks" dxfId="1627" priority="18578">
      <formula>LEN(TRIM(AH99))=0</formula>
    </cfRule>
    <cfRule type="containsBlanks" dxfId="1626" priority="18579">
      <formula>LEN(TRIM(AH99))=0</formula>
    </cfRule>
    <cfRule type="containsBlanks" dxfId="1625" priority="18580">
      <formula>LEN(TRIM(AH99))=0</formula>
    </cfRule>
    <cfRule type="containsBlanks" dxfId="1624" priority="18581">
      <formula>LEN(TRIM(AH99))=0</formula>
    </cfRule>
    <cfRule type="containsBlanks" dxfId="1623" priority="18582">
      <formula>LEN(TRIM(AH99))=0</formula>
    </cfRule>
    <cfRule type="containsBlanks" dxfId="1622" priority="18583">
      <formula>LEN(TRIM(AH99))=0</formula>
    </cfRule>
    <cfRule type="containsBlanks" dxfId="1621" priority="18584">
      <formula>LEN(TRIM(AH99))=0</formula>
    </cfRule>
    <cfRule type="containsBlanks" dxfId="1620" priority="18585">
      <formula>LEN(TRIM(AH99))=0</formula>
    </cfRule>
    <cfRule type="containsBlanks" dxfId="1619" priority="18586">
      <formula>LEN(TRIM(AH99))=0</formula>
    </cfRule>
    <cfRule type="containsBlanks" dxfId="1618" priority="18587">
      <formula>LEN(TRIM(AH99))=0</formula>
    </cfRule>
    <cfRule type="containsBlanks" dxfId="1617" priority="18588">
      <formula>LEN(TRIM(AH99))=0</formula>
    </cfRule>
    <cfRule type="containsBlanks" dxfId="1616" priority="18589">
      <formula>LEN(TRIM(AH99))=0</formula>
    </cfRule>
    <cfRule type="containsBlanks" dxfId="1615" priority="18590">
      <formula>LEN(TRIM(AH99))=0</formula>
    </cfRule>
    <cfRule type="containsBlanks" dxfId="1614" priority="18591">
      <formula>LEN(TRIM(AH99))=0</formula>
    </cfRule>
    <cfRule type="containsBlanks" dxfId="1613" priority="18592">
      <formula>LEN(TRIM(AH99))=0</formula>
    </cfRule>
    <cfRule type="containsBlanks" dxfId="1612" priority="18593">
      <formula>LEN(TRIM(AH99))=0</formula>
    </cfRule>
    <cfRule type="containsBlanks" dxfId="1611" priority="18594">
      <formula>LEN(TRIM(AH99))=0</formula>
    </cfRule>
    <cfRule type="containsBlanks" dxfId="1610" priority="18595">
      <formula>LEN(TRIM(AH99))=0</formula>
    </cfRule>
    <cfRule type="containsBlanks" dxfId="1609" priority="18596">
      <formula>LEN(TRIM(AH99))=0</formula>
    </cfRule>
    <cfRule type="containsBlanks" dxfId="1608" priority="18597">
      <formula>LEN(TRIM(AH99))=0</formula>
    </cfRule>
    <cfRule type="containsBlanks" dxfId="1607" priority="18598">
      <formula>LEN(TRIM(AH99))=0</formula>
    </cfRule>
    <cfRule type="containsBlanks" dxfId="1606" priority="18599">
      <formula>LEN(TRIM(AH99))=0</formula>
    </cfRule>
    <cfRule type="containsBlanks" dxfId="1605" priority="18600">
      <formula>LEN(TRIM(AH99))=0</formula>
    </cfRule>
    <cfRule type="containsBlanks" dxfId="1604" priority="18601">
      <formula>LEN(TRIM(AH99))=0</formula>
    </cfRule>
    <cfRule type="containsBlanks" dxfId="1603" priority="18602">
      <formula>LEN(TRIM(AH99))=0</formula>
    </cfRule>
    <cfRule type="containsBlanks" dxfId="1602" priority="18603">
      <formula>LEN(TRIM(AH99))=0</formula>
    </cfRule>
    <cfRule type="containsBlanks" dxfId="1601" priority="18604">
      <formula>LEN(TRIM(AH99))=0</formula>
    </cfRule>
    <cfRule type="containsBlanks" dxfId="1600" priority="18605">
      <formula>LEN(TRIM(AH99))=0</formula>
    </cfRule>
    <cfRule type="containsBlanks" dxfId="1599" priority="18606">
      <formula>LEN(TRIM(AH99))=0</formula>
    </cfRule>
    <cfRule type="containsBlanks" dxfId="1598" priority="18607">
      <formula>LEN(TRIM(AH99))=0</formula>
    </cfRule>
    <cfRule type="containsBlanks" dxfId="1597" priority="18608">
      <formula>LEN(TRIM(AH99))=0</formula>
    </cfRule>
    <cfRule type="containsBlanks" dxfId="1596" priority="18609">
      <formula>LEN(TRIM(AH99))=0</formula>
    </cfRule>
    <cfRule type="containsBlanks" dxfId="1595" priority="18610">
      <formula>LEN(TRIM(AH99))=0</formula>
    </cfRule>
    <cfRule type="containsBlanks" dxfId="1594" priority="18611">
      <formula>LEN(TRIM(AH99))=0</formula>
    </cfRule>
    <cfRule type="containsBlanks" dxfId="1593" priority="18612">
      <formula>LEN(TRIM(AH99))=0</formula>
    </cfRule>
    <cfRule type="containsBlanks" dxfId="1592" priority="18613">
      <formula>LEN(TRIM(AH99))=0</formula>
    </cfRule>
    <cfRule type="containsBlanks" dxfId="1591" priority="18614">
      <formula>LEN(TRIM(AH99))=0</formula>
    </cfRule>
    <cfRule type="containsBlanks" dxfId="1590" priority="18615">
      <formula>LEN(TRIM(AH99))=0</formula>
    </cfRule>
    <cfRule type="containsBlanks" dxfId="1589" priority="18616">
      <formula>LEN(TRIM(AH99))=0</formula>
    </cfRule>
    <cfRule type="containsBlanks" dxfId="1588" priority="18617">
      <formula>LEN(TRIM(AH99))=0</formula>
    </cfRule>
    <cfRule type="containsBlanks" dxfId="1587" priority="18618">
      <formula>LEN(TRIM(AH99))=0</formula>
    </cfRule>
    <cfRule type="containsBlanks" dxfId="1586" priority="18619">
      <formula>LEN(TRIM(AH99))=0</formula>
    </cfRule>
    <cfRule type="containsBlanks" dxfId="1585" priority="18620">
      <formula>LEN(TRIM(AH99))=0</formula>
    </cfRule>
    <cfRule type="containsBlanks" dxfId="1584" priority="18621">
      <formula>LEN(TRIM(AH99))=0</formula>
    </cfRule>
    <cfRule type="containsBlanks" dxfId="1583" priority="18622">
      <formula>LEN(TRIM(AH99))=0</formula>
    </cfRule>
    <cfRule type="containsBlanks" dxfId="1582" priority="18623">
      <formula>LEN(TRIM(AH99))=0</formula>
    </cfRule>
    <cfRule type="containsBlanks" dxfId="1581" priority="18624">
      <formula>LEN(TRIM(AH99))=0</formula>
    </cfRule>
    <cfRule type="containsBlanks" dxfId="1580" priority="18625">
      <formula>LEN(TRIM(AH99))=0</formula>
    </cfRule>
    <cfRule type="containsBlanks" dxfId="1579" priority="18626">
      <formula>LEN(TRIM(AH99))=0</formula>
    </cfRule>
    <cfRule type="containsBlanks" dxfId="1578" priority="18627">
      <formula>LEN(TRIM(AH99))=0</formula>
    </cfRule>
    <cfRule type="containsBlanks" dxfId="1577" priority="18628">
      <formula>LEN(TRIM(AH99))=0</formula>
    </cfRule>
    <cfRule type="containsBlanks" dxfId="1576" priority="18629">
      <formula>LEN(TRIM(AH99))=0</formula>
    </cfRule>
    <cfRule type="containsBlanks" dxfId="1575" priority="18630">
      <formula>LEN(TRIM(AH99))=0</formula>
    </cfRule>
    <cfRule type="containsBlanks" dxfId="1574" priority="18631">
      <formula>LEN(TRIM(AH99))=0</formula>
    </cfRule>
    <cfRule type="containsBlanks" dxfId="1573" priority="18632">
      <formula>LEN(TRIM(AH99))=0</formula>
    </cfRule>
    <cfRule type="containsBlanks" dxfId="1572" priority="18633">
      <formula>LEN(TRIM(AH99))=0</formula>
    </cfRule>
    <cfRule type="containsBlanks" dxfId="1571" priority="18634">
      <formula>LEN(TRIM(AH99))=0</formula>
    </cfRule>
    <cfRule type="containsBlanks" dxfId="1570" priority="18635">
      <formula>LEN(TRIM(AH99))=0</formula>
    </cfRule>
    <cfRule type="containsBlanks" dxfId="1569" priority="18636">
      <formula>LEN(TRIM(AH99))=0</formula>
    </cfRule>
    <cfRule type="containsBlanks" dxfId="1568" priority="18637">
      <formula>LEN(TRIM(AH99))=0</formula>
    </cfRule>
    <cfRule type="containsBlanks" dxfId="1567" priority="18638">
      <formula>LEN(TRIM(AH99))=0</formula>
    </cfRule>
    <cfRule type="containsBlanks" dxfId="1566" priority="18639">
      <formula>LEN(TRIM(AH99))=0</formula>
    </cfRule>
    <cfRule type="containsBlanks" dxfId="1565" priority="18640">
      <formula>LEN(TRIM(AH99))=0</formula>
    </cfRule>
    <cfRule type="containsBlanks" dxfId="1564" priority="18641">
      <formula>LEN(TRIM(AH99))=0</formula>
    </cfRule>
    <cfRule type="containsBlanks" dxfId="1563" priority="18642">
      <formula>LEN(TRIM(AH99))=0</formula>
    </cfRule>
    <cfRule type="containsBlanks" dxfId="1562" priority="18643">
      <formula>LEN(TRIM(AH99))=0</formula>
    </cfRule>
    <cfRule type="containsBlanks" dxfId="1561" priority="18644">
      <formula>LEN(TRIM(AH99))=0</formula>
    </cfRule>
    <cfRule type="containsBlanks" dxfId="1560" priority="18645">
      <formula>LEN(TRIM(AH99))=0</formula>
    </cfRule>
    <cfRule type="containsBlanks" dxfId="1559" priority="18646">
      <formula>LEN(TRIM(AH99))=0</formula>
    </cfRule>
    <cfRule type="containsBlanks" dxfId="1558" priority="18647">
      <formula>LEN(TRIM(AH99))=0</formula>
    </cfRule>
    <cfRule type="containsBlanks" dxfId="1557" priority="18648">
      <formula>LEN(TRIM(AH99))=0</formula>
    </cfRule>
    <cfRule type="containsBlanks" dxfId="1556" priority="18649">
      <formula>LEN(TRIM(AH99))=0</formula>
    </cfRule>
    <cfRule type="containsBlanks" dxfId="1555" priority="18650">
      <formula>LEN(TRIM(AH99))=0</formula>
    </cfRule>
    <cfRule type="containsBlanks" dxfId="1554" priority="18651">
      <formula>LEN(TRIM(AH99))=0</formula>
    </cfRule>
    <cfRule type="containsBlanks" dxfId="1553" priority="18652">
      <formula>LEN(TRIM(AH99))=0</formula>
    </cfRule>
    <cfRule type="containsBlanks" dxfId="1552" priority="18653">
      <formula>LEN(TRIM(AH99))=0</formula>
    </cfRule>
    <cfRule type="containsBlanks" dxfId="1551" priority="18654">
      <formula>LEN(TRIM(AH99))=0</formula>
    </cfRule>
    <cfRule type="containsBlanks" dxfId="1550" priority="18655">
      <formula>LEN(TRIM(AH99))=0</formula>
    </cfRule>
    <cfRule type="containsBlanks" dxfId="1549" priority="18656">
      <formula>LEN(TRIM(AH99))=0</formula>
    </cfRule>
    <cfRule type="containsBlanks" dxfId="1548" priority="18657">
      <formula>LEN(TRIM(AH99))=0</formula>
    </cfRule>
    <cfRule type="containsBlanks" dxfId="1547" priority="18658">
      <formula>LEN(TRIM(AH99))=0</formula>
    </cfRule>
    <cfRule type="containsBlanks" dxfId="1546" priority="18659">
      <formula>LEN(TRIM(AH99))=0</formula>
    </cfRule>
    <cfRule type="containsBlanks" dxfId="1545" priority="18660">
      <formula>LEN(TRIM(AH99))=0</formula>
    </cfRule>
    <cfRule type="containsBlanks" dxfId="1544" priority="18661">
      <formula>LEN(TRIM(AH99))=0</formula>
    </cfRule>
    <cfRule type="containsBlanks" dxfId="1543" priority="18662">
      <formula>LEN(TRIM(AH99))=0</formula>
    </cfRule>
    <cfRule type="containsBlanks" dxfId="1542" priority="18663">
      <formula>LEN(TRIM(AH99))=0</formula>
    </cfRule>
    <cfRule type="containsBlanks" dxfId="1541" priority="18664">
      <formula>LEN(TRIM(AH99))=0</formula>
    </cfRule>
    <cfRule type="containsBlanks" dxfId="1540" priority="18665">
      <formula>LEN(TRIM(AH99))=0</formula>
    </cfRule>
    <cfRule type="containsBlanks" dxfId="1539" priority="18666">
      <formula>LEN(TRIM(AH99))=0</formula>
    </cfRule>
    <cfRule type="containsBlanks" dxfId="1538" priority="18667">
      <formula>LEN(TRIM(AH99))=0</formula>
    </cfRule>
    <cfRule type="containsBlanks" dxfId="1537" priority="18668">
      <formula>LEN(TRIM(AH99))=0</formula>
    </cfRule>
    <cfRule type="containsBlanks" dxfId="1536" priority="18669">
      <formula>LEN(TRIM(AH99))=0</formula>
    </cfRule>
    <cfRule type="containsBlanks" dxfId="1535" priority="18670">
      <formula>LEN(TRIM(AH99))=0</formula>
    </cfRule>
    <cfRule type="containsBlanks" dxfId="1534" priority="18671">
      <formula>LEN(TRIM(AH99))=0</formula>
    </cfRule>
    <cfRule type="containsBlanks" dxfId="1533" priority="18672">
      <formula>LEN(TRIM(AH99))=0</formula>
    </cfRule>
    <cfRule type="containsBlanks" dxfId="1532" priority="18673">
      <formula>LEN(TRIM(AH99))=0</formula>
    </cfRule>
    <cfRule type="containsBlanks" dxfId="1531" priority="18674">
      <formula>LEN(TRIM(AH99))=0</formula>
    </cfRule>
    <cfRule type="containsBlanks" dxfId="1530" priority="18675">
      <formula>LEN(TRIM(AH99))=0</formula>
    </cfRule>
    <cfRule type="containsBlanks" dxfId="1529" priority="18676">
      <formula>LEN(TRIM(AH99))=0</formula>
    </cfRule>
    <cfRule type="containsBlanks" dxfId="1528" priority="18677">
      <formula>LEN(TRIM(AH99))=0</formula>
    </cfRule>
    <cfRule type="containsBlanks" dxfId="1527" priority="18678">
      <formula>LEN(TRIM(AH99))=0</formula>
    </cfRule>
    <cfRule type="containsBlanks" dxfId="1526" priority="18679">
      <formula>LEN(TRIM(AH99))=0</formula>
    </cfRule>
    <cfRule type="containsBlanks" dxfId="1525" priority="18680">
      <formula>LEN(TRIM(AH99))=0</formula>
    </cfRule>
    <cfRule type="containsBlanks" dxfId="1524" priority="18681">
      <formula>LEN(TRIM(AH99))=0</formula>
    </cfRule>
    <cfRule type="containsBlanks" dxfId="1523" priority="18682">
      <formula>LEN(TRIM(AH99))=0</formula>
    </cfRule>
    <cfRule type="containsBlanks" dxfId="1522" priority="18683">
      <formula>LEN(TRIM(AH99))=0</formula>
    </cfRule>
    <cfRule type="containsBlanks" dxfId="1521" priority="18684">
      <formula>LEN(TRIM(AH99))=0</formula>
    </cfRule>
    <cfRule type="containsBlanks" dxfId="1520" priority="18685">
      <formula>LEN(TRIM(AH99))=0</formula>
    </cfRule>
    <cfRule type="containsBlanks" dxfId="1519" priority="18686">
      <formula>LEN(TRIM(AH99))=0</formula>
    </cfRule>
    <cfRule type="containsBlanks" dxfId="1518" priority="18687">
      <formula>LEN(TRIM(AH99))=0</formula>
    </cfRule>
    <cfRule type="containsBlanks" dxfId="1517" priority="18688">
      <formula>LEN(TRIM(AH99))=0</formula>
    </cfRule>
    <cfRule type="containsBlanks" dxfId="1516" priority="18689">
      <formula>LEN(TRIM(AH99))=0</formula>
    </cfRule>
    <cfRule type="containsBlanks" dxfId="1515" priority="18690">
      <formula>LEN(TRIM(AH99))=0</formula>
    </cfRule>
    <cfRule type="containsBlanks" dxfId="1514" priority="18691">
      <formula>LEN(TRIM(AH99))=0</formula>
    </cfRule>
    <cfRule type="containsBlanks" dxfId="1513" priority="18692">
      <formula>LEN(TRIM(AH99))=0</formula>
    </cfRule>
    <cfRule type="containsBlanks" dxfId="1512" priority="18693">
      <formula>LEN(TRIM(AH99))=0</formula>
    </cfRule>
    <cfRule type="containsBlanks" dxfId="1511" priority="18694">
      <formula>LEN(TRIM(AH99))=0</formula>
    </cfRule>
    <cfRule type="containsBlanks" dxfId="1510" priority="18695">
      <formula>LEN(TRIM(AH99))=0</formula>
    </cfRule>
    <cfRule type="containsBlanks" dxfId="1509" priority="18696">
      <formula>LEN(TRIM(AH99))=0</formula>
    </cfRule>
    <cfRule type="containsBlanks" dxfId="1508" priority="18697">
      <formula>LEN(TRIM(AH99))=0</formula>
    </cfRule>
    <cfRule type="containsBlanks" dxfId="1507" priority="18698">
      <formula>LEN(TRIM(AH99))=0</formula>
    </cfRule>
    <cfRule type="containsBlanks" dxfId="1506" priority="18699">
      <formula>LEN(TRIM(AH99))=0</formula>
    </cfRule>
    <cfRule type="containsBlanks" dxfId="1505" priority="18700">
      <formula>LEN(TRIM(AH99))=0</formula>
    </cfRule>
    <cfRule type="containsBlanks" dxfId="1504" priority="18701">
      <formula>LEN(TRIM(AH99))=0</formula>
    </cfRule>
    <cfRule type="containsBlanks" dxfId="1503" priority="18702">
      <formula>LEN(TRIM(AH99))=0</formula>
    </cfRule>
    <cfRule type="containsBlanks" dxfId="1502" priority="18703">
      <formula>LEN(TRIM(AH99))=0</formula>
    </cfRule>
    <cfRule type="containsBlanks" dxfId="1501" priority="18704">
      <formula>LEN(TRIM(AH99))=0</formula>
    </cfRule>
    <cfRule type="containsBlanks" dxfId="1500" priority="18705">
      <formula>LEN(TRIM(AH99))=0</formula>
    </cfRule>
    <cfRule type="containsBlanks" dxfId="1499" priority="18706">
      <formula>LEN(TRIM(AH99))=0</formula>
    </cfRule>
    <cfRule type="containsBlanks" dxfId="1498" priority="18707">
      <formula>LEN(TRIM(AH99))=0</formula>
    </cfRule>
    <cfRule type="containsBlanks" dxfId="1497" priority="18708">
      <formula>LEN(TRIM(AH99))=0</formula>
    </cfRule>
    <cfRule type="containsBlanks" dxfId="1496" priority="18709">
      <formula>LEN(TRIM(AH99))=0</formula>
    </cfRule>
    <cfRule type="containsBlanks" dxfId="1495" priority="18710">
      <formula>LEN(TRIM(AH99))=0</formula>
    </cfRule>
    <cfRule type="containsBlanks" dxfId="1494" priority="18711">
      <formula>LEN(TRIM(AH99))=0</formula>
    </cfRule>
    <cfRule type="containsBlanks" dxfId="1493" priority="18712">
      <formula>LEN(TRIM(AH99))=0</formula>
    </cfRule>
    <cfRule type="containsBlanks" dxfId="1492" priority="18713">
      <formula>LEN(TRIM(AH99))=0</formula>
    </cfRule>
    <cfRule type="containsBlanks" dxfId="1491" priority="18714">
      <formula>LEN(TRIM(AH99))=0</formula>
    </cfRule>
    <cfRule type="containsBlanks" dxfId="1490" priority="18715">
      <formula>LEN(TRIM(AH99))=0</formula>
    </cfRule>
    <cfRule type="containsBlanks" dxfId="1489" priority="18716">
      <formula>LEN(TRIM(AH99))=0</formula>
    </cfRule>
    <cfRule type="containsBlanks" dxfId="1488" priority="18717">
      <formula>LEN(TRIM(AH99))=0</formula>
    </cfRule>
    <cfRule type="containsBlanks" dxfId="1487" priority="18718">
      <formula>LEN(TRIM(AH99))=0</formula>
    </cfRule>
    <cfRule type="containsBlanks" dxfId="1486" priority="18719">
      <formula>LEN(TRIM(AH99))=0</formula>
    </cfRule>
    <cfRule type="containsBlanks" dxfId="1485" priority="18720">
      <formula>LEN(TRIM(AH99))=0</formula>
    </cfRule>
    <cfRule type="containsBlanks" dxfId="1484" priority="18721">
      <formula>LEN(TRIM(AH99))=0</formula>
    </cfRule>
    <cfRule type="containsBlanks" dxfId="1483" priority="18722">
      <formula>LEN(TRIM(AH99))=0</formula>
    </cfRule>
    <cfRule type="containsBlanks" dxfId="1482" priority="18723">
      <formula>LEN(TRIM(AH99))=0</formula>
    </cfRule>
    <cfRule type="containsBlanks" dxfId="1481" priority="18724">
      <formula>LEN(TRIM(AH99))=0</formula>
    </cfRule>
    <cfRule type="containsBlanks" dxfId="1480" priority="18725">
      <formula>LEN(TRIM(AH99))=0</formula>
    </cfRule>
    <cfRule type="containsBlanks" dxfId="1479" priority="18726">
      <formula>LEN(TRIM(AH99))=0</formula>
    </cfRule>
    <cfRule type="containsBlanks" dxfId="1478" priority="18727">
      <formula>LEN(TRIM(AH99))=0</formula>
    </cfRule>
    <cfRule type="containsBlanks" dxfId="1477" priority="18728">
      <formula>LEN(TRIM(AH99))=0</formula>
    </cfRule>
    <cfRule type="containsBlanks" dxfId="1476" priority="18729">
      <formula>LEN(TRIM(AH99))=0</formula>
    </cfRule>
    <cfRule type="containsBlanks" dxfId="1475" priority="18730">
      <formula>LEN(TRIM(AH99))=0</formula>
    </cfRule>
    <cfRule type="containsBlanks" dxfId="1474" priority="18731">
      <formula>LEN(TRIM(AH99))=0</formula>
    </cfRule>
    <cfRule type="containsBlanks" dxfId="1473" priority="18732">
      <formula>LEN(TRIM(AH99))=0</formula>
    </cfRule>
    <cfRule type="containsBlanks" dxfId="1472" priority="18733">
      <formula>LEN(TRIM(AH99))=0</formula>
    </cfRule>
    <cfRule type="containsBlanks" dxfId="1471" priority="18734">
      <formula>LEN(TRIM(AH99))=0</formula>
    </cfRule>
    <cfRule type="containsBlanks" dxfId="1470" priority="18735">
      <formula>LEN(TRIM(AH99))=0</formula>
    </cfRule>
    <cfRule type="containsBlanks" dxfId="1469" priority="18736">
      <formula>LEN(TRIM(AH99))=0</formula>
    </cfRule>
    <cfRule type="containsBlanks" dxfId="1468" priority="18737">
      <formula>LEN(TRIM(AH99))=0</formula>
    </cfRule>
    <cfRule type="containsBlanks" dxfId="1467" priority="18738">
      <formula>LEN(TRIM(AH99))=0</formula>
    </cfRule>
  </conditionalFormatting>
  <conditionalFormatting sqref="AH101">
    <cfRule type="containsBlanks" dxfId="1466" priority="18114">
      <formula>LEN(TRIM(AH101))=0</formula>
    </cfRule>
    <cfRule type="containsBlanks" dxfId="1465" priority="18115">
      <formula>LEN(TRIM(AH101))=0</formula>
    </cfRule>
    <cfRule type="containsBlanks" dxfId="1464" priority="18116">
      <formula>LEN(TRIM(AH101))=0</formula>
    </cfRule>
    <cfRule type="containsBlanks" dxfId="1463" priority="18117">
      <formula>LEN(TRIM(AH101))=0</formula>
    </cfRule>
    <cfRule type="containsBlanks" dxfId="1462" priority="18118">
      <formula>LEN(TRIM(AH101))=0</formula>
    </cfRule>
    <cfRule type="containsBlanks" dxfId="1461" priority="18119">
      <formula>LEN(TRIM(AH101))=0</formula>
    </cfRule>
    <cfRule type="containsBlanks" dxfId="1460" priority="18120">
      <formula>LEN(TRIM(AH101))=0</formula>
    </cfRule>
    <cfRule type="containsBlanks" dxfId="1459" priority="18121">
      <formula>LEN(TRIM(AH101))=0</formula>
    </cfRule>
    <cfRule type="containsBlanks" dxfId="1458" priority="18122">
      <formula>LEN(TRIM(AH101))=0</formula>
    </cfRule>
    <cfRule type="containsBlanks" dxfId="1457" priority="18123">
      <formula>LEN(TRIM(AH101))=0</formula>
    </cfRule>
    <cfRule type="containsBlanks" dxfId="1456" priority="18124">
      <formula>LEN(TRIM(AH101))=0</formula>
    </cfRule>
    <cfRule type="containsBlanks" dxfId="1455" priority="18125">
      <formula>LEN(TRIM(AH101))=0</formula>
    </cfRule>
    <cfRule type="containsBlanks" dxfId="1454" priority="18126">
      <formula>LEN(TRIM(AH101))=0</formula>
    </cfRule>
    <cfRule type="containsBlanks" dxfId="1453" priority="18127">
      <formula>LEN(TRIM(AH101))=0</formula>
    </cfRule>
    <cfRule type="containsBlanks" dxfId="1452" priority="18128">
      <formula>LEN(TRIM(AH101))=0</formula>
    </cfRule>
    <cfRule type="containsBlanks" dxfId="1451" priority="18129">
      <formula>LEN(TRIM(AH101))=0</formula>
    </cfRule>
    <cfRule type="containsBlanks" dxfId="1450" priority="18130">
      <formula>LEN(TRIM(AH101))=0</formula>
    </cfRule>
    <cfRule type="containsBlanks" dxfId="1449" priority="18131">
      <formula>LEN(TRIM(AH101))=0</formula>
    </cfRule>
    <cfRule type="containsBlanks" dxfId="1448" priority="18132">
      <formula>LEN(TRIM(AH101))=0</formula>
    </cfRule>
    <cfRule type="containsBlanks" dxfId="1447" priority="18133">
      <formula>LEN(TRIM(AH101))=0</formula>
    </cfRule>
    <cfRule type="containsBlanks" dxfId="1446" priority="18134">
      <formula>LEN(TRIM(AH101))=0</formula>
    </cfRule>
    <cfRule type="containsBlanks" dxfId="1445" priority="18135">
      <formula>LEN(TRIM(AH101))=0</formula>
    </cfRule>
    <cfRule type="containsBlanks" dxfId="1444" priority="18136">
      <formula>LEN(TRIM(AH101))=0</formula>
    </cfRule>
    <cfRule type="containsBlanks" dxfId="1443" priority="18137">
      <formula>LEN(TRIM(AH101))=0</formula>
    </cfRule>
    <cfRule type="containsBlanks" dxfId="1442" priority="18138">
      <formula>LEN(TRIM(AH101))=0</formula>
    </cfRule>
    <cfRule type="containsBlanks" dxfId="1441" priority="18139">
      <formula>LEN(TRIM(AH101))=0</formula>
    </cfRule>
    <cfRule type="containsBlanks" dxfId="1440" priority="18140">
      <formula>LEN(TRIM(AH101))=0</formula>
    </cfRule>
    <cfRule type="containsBlanks" dxfId="1439" priority="18141">
      <formula>LEN(TRIM(AH101))=0</formula>
    </cfRule>
    <cfRule type="containsBlanks" dxfId="1438" priority="18142">
      <formula>LEN(TRIM(AH101))=0</formula>
    </cfRule>
    <cfRule type="containsBlanks" dxfId="1437" priority="18143">
      <formula>LEN(TRIM(AH101))=0</formula>
    </cfRule>
    <cfRule type="containsBlanks" dxfId="1436" priority="18144">
      <formula>LEN(TRIM(AH101))=0</formula>
    </cfRule>
    <cfRule type="containsBlanks" dxfId="1435" priority="18145">
      <formula>LEN(TRIM(AH101))=0</formula>
    </cfRule>
    <cfRule type="containsBlanks" dxfId="1434" priority="18146">
      <formula>LEN(TRIM(AH101))=0</formula>
    </cfRule>
    <cfRule type="containsBlanks" dxfId="1433" priority="18147">
      <formula>LEN(TRIM(AH101))=0</formula>
    </cfRule>
    <cfRule type="containsBlanks" dxfId="1432" priority="18148">
      <formula>LEN(TRIM(AH101))=0</formula>
    </cfRule>
    <cfRule type="containsBlanks" dxfId="1431" priority="18149">
      <formula>LEN(TRIM(AH101))=0</formula>
    </cfRule>
    <cfRule type="containsBlanks" dxfId="1430" priority="18150">
      <formula>LEN(TRIM(AH101))=0</formula>
    </cfRule>
    <cfRule type="containsBlanks" dxfId="1429" priority="18151">
      <formula>LEN(TRIM(AH101))=0</formula>
    </cfRule>
    <cfRule type="containsBlanks" dxfId="1428" priority="18152">
      <formula>LEN(TRIM(AH101))=0</formula>
    </cfRule>
    <cfRule type="containsBlanks" dxfId="1427" priority="18153">
      <formula>LEN(TRIM(AH101))=0</formula>
    </cfRule>
    <cfRule type="containsBlanks" dxfId="1426" priority="18154">
      <formula>LEN(TRIM(AH101))=0</formula>
    </cfRule>
    <cfRule type="containsBlanks" dxfId="1425" priority="18155">
      <formula>LEN(TRIM(AH101))=0</formula>
    </cfRule>
    <cfRule type="containsBlanks" dxfId="1424" priority="18156">
      <formula>LEN(TRIM(AH101))=0</formula>
    </cfRule>
    <cfRule type="containsBlanks" dxfId="1423" priority="18157">
      <formula>LEN(TRIM(AH101))=0</formula>
    </cfRule>
    <cfRule type="containsBlanks" dxfId="1422" priority="18158">
      <formula>LEN(TRIM(AH101))=0</formula>
    </cfRule>
    <cfRule type="containsBlanks" dxfId="1421" priority="18159">
      <formula>LEN(TRIM(AH101))=0</formula>
    </cfRule>
    <cfRule type="containsBlanks" dxfId="1420" priority="18160">
      <formula>LEN(TRIM(AH101))=0</formula>
    </cfRule>
    <cfRule type="containsBlanks" dxfId="1419" priority="18161">
      <formula>LEN(TRIM(AH101))=0</formula>
    </cfRule>
    <cfRule type="containsBlanks" dxfId="1418" priority="18162">
      <formula>LEN(TRIM(AH101))=0</formula>
    </cfRule>
    <cfRule type="containsBlanks" dxfId="1417" priority="18163">
      <formula>LEN(TRIM(AH101))=0</formula>
    </cfRule>
    <cfRule type="containsBlanks" dxfId="1416" priority="18164">
      <formula>LEN(TRIM(AH101))=0</formula>
    </cfRule>
    <cfRule type="containsBlanks" dxfId="1415" priority="18165">
      <formula>LEN(TRIM(AH101))=0</formula>
    </cfRule>
    <cfRule type="containsBlanks" dxfId="1414" priority="18166">
      <formula>LEN(TRIM(AH101))=0</formula>
    </cfRule>
    <cfRule type="containsBlanks" dxfId="1413" priority="18167">
      <formula>LEN(TRIM(AH101))=0</formula>
    </cfRule>
    <cfRule type="containsBlanks" dxfId="1412" priority="18168">
      <formula>LEN(TRIM(AH101))=0</formula>
    </cfRule>
    <cfRule type="containsBlanks" dxfId="1411" priority="18169">
      <formula>LEN(TRIM(AH101))=0</formula>
    </cfRule>
    <cfRule type="containsBlanks" dxfId="1410" priority="18170">
      <formula>LEN(TRIM(AH101))=0</formula>
    </cfRule>
    <cfRule type="containsBlanks" dxfId="1409" priority="18171">
      <formula>LEN(TRIM(AH101))=0</formula>
    </cfRule>
    <cfRule type="containsBlanks" dxfId="1408" priority="18172">
      <formula>LEN(TRIM(AH101))=0</formula>
    </cfRule>
    <cfRule type="containsBlanks" dxfId="1407" priority="18173">
      <formula>LEN(TRIM(AH101))=0</formula>
    </cfRule>
    <cfRule type="containsBlanks" dxfId="1406" priority="18174">
      <formula>LEN(TRIM(AH101))=0</formula>
    </cfRule>
    <cfRule type="containsBlanks" dxfId="1405" priority="18175">
      <formula>LEN(TRIM(AH101))=0</formula>
    </cfRule>
    <cfRule type="containsBlanks" dxfId="1404" priority="18176">
      <formula>LEN(TRIM(AH101))=0</formula>
    </cfRule>
    <cfRule type="containsBlanks" dxfId="1403" priority="18177">
      <formula>LEN(TRIM(AH101))=0</formula>
    </cfRule>
    <cfRule type="containsBlanks" dxfId="1402" priority="18178">
      <formula>LEN(TRIM(AH101))=0</formula>
    </cfRule>
    <cfRule type="containsBlanks" dxfId="1401" priority="18179">
      <formula>LEN(TRIM(AH101))=0</formula>
    </cfRule>
    <cfRule type="containsBlanks" dxfId="1400" priority="18180">
      <formula>LEN(TRIM(AH101))=0</formula>
    </cfRule>
    <cfRule type="containsBlanks" dxfId="1399" priority="18181">
      <formula>LEN(TRIM(AH101))=0</formula>
    </cfRule>
    <cfRule type="containsBlanks" dxfId="1398" priority="18182">
      <formula>LEN(TRIM(AH101))=0</formula>
    </cfRule>
    <cfRule type="containsBlanks" dxfId="1397" priority="18183">
      <formula>LEN(TRIM(AH101))=0</formula>
    </cfRule>
    <cfRule type="containsBlanks" dxfId="1396" priority="18184">
      <formula>LEN(TRIM(AH101))=0</formula>
    </cfRule>
    <cfRule type="containsBlanks" dxfId="1395" priority="18185">
      <formula>LEN(TRIM(AH101))=0</formula>
    </cfRule>
    <cfRule type="containsBlanks" dxfId="1394" priority="18186">
      <formula>LEN(TRIM(AH101))=0</formula>
    </cfRule>
    <cfRule type="containsBlanks" dxfId="1393" priority="18187">
      <formula>LEN(TRIM(AH101))=0</formula>
    </cfRule>
    <cfRule type="containsBlanks" dxfId="1392" priority="18188">
      <formula>LEN(TRIM(AH101))=0</formula>
    </cfRule>
    <cfRule type="containsBlanks" dxfId="1391" priority="18189">
      <formula>LEN(TRIM(AH101))=0</formula>
    </cfRule>
    <cfRule type="containsBlanks" dxfId="1390" priority="18190">
      <formula>LEN(TRIM(AH101))=0</formula>
    </cfRule>
    <cfRule type="containsBlanks" dxfId="1389" priority="18191">
      <formula>LEN(TRIM(AH101))=0</formula>
    </cfRule>
    <cfRule type="containsBlanks" dxfId="1388" priority="18192">
      <formula>LEN(TRIM(AH101))=0</formula>
    </cfRule>
    <cfRule type="containsBlanks" dxfId="1387" priority="18193">
      <formula>LEN(TRIM(AH101))=0</formula>
    </cfRule>
    <cfRule type="containsBlanks" dxfId="1386" priority="18194">
      <formula>LEN(TRIM(AH101))=0</formula>
    </cfRule>
    <cfRule type="containsBlanks" dxfId="1385" priority="18195">
      <formula>LEN(TRIM(AH101))=0</formula>
    </cfRule>
    <cfRule type="containsBlanks" dxfId="1384" priority="18196">
      <formula>LEN(TRIM(AH101))=0</formula>
    </cfRule>
    <cfRule type="containsBlanks" dxfId="1383" priority="18197">
      <formula>LEN(TRIM(AH101))=0</formula>
    </cfRule>
    <cfRule type="containsBlanks" dxfId="1382" priority="18198">
      <formula>LEN(TRIM(AH101))=0</formula>
    </cfRule>
    <cfRule type="containsBlanks" dxfId="1381" priority="18199">
      <formula>LEN(TRIM(AH101))=0</formula>
    </cfRule>
    <cfRule type="containsBlanks" dxfId="1380" priority="18200">
      <formula>LEN(TRIM(AH101))=0</formula>
    </cfRule>
    <cfRule type="containsBlanks" dxfId="1379" priority="18201">
      <formula>LEN(TRIM(AH101))=0</formula>
    </cfRule>
    <cfRule type="containsBlanks" dxfId="1378" priority="18202">
      <formula>LEN(TRIM(AH101))=0</formula>
    </cfRule>
    <cfRule type="containsBlanks" dxfId="1377" priority="18203">
      <formula>LEN(TRIM(AH101))=0</formula>
    </cfRule>
    <cfRule type="containsBlanks" dxfId="1376" priority="18204">
      <formula>LEN(TRIM(AH101))=0</formula>
    </cfRule>
    <cfRule type="containsBlanks" dxfId="1375" priority="18205">
      <formula>LEN(TRIM(AH101))=0</formula>
    </cfRule>
    <cfRule type="containsBlanks" dxfId="1374" priority="18206">
      <formula>LEN(TRIM(AH101))=0</formula>
    </cfRule>
    <cfRule type="containsBlanks" dxfId="1373" priority="18207">
      <formula>LEN(TRIM(AH101))=0</formula>
    </cfRule>
    <cfRule type="containsBlanks" dxfId="1372" priority="18208">
      <formula>LEN(TRIM(AH101))=0</formula>
    </cfRule>
    <cfRule type="containsBlanks" dxfId="1371" priority="18209">
      <formula>LEN(TRIM(AH101))=0</formula>
    </cfRule>
    <cfRule type="containsBlanks" dxfId="1370" priority="18210">
      <formula>LEN(TRIM(AH101))=0</formula>
    </cfRule>
    <cfRule type="containsBlanks" dxfId="1369" priority="18211">
      <formula>LEN(TRIM(AH101))=0</formula>
    </cfRule>
    <cfRule type="containsBlanks" dxfId="1368" priority="18212">
      <formula>LEN(TRIM(AH101))=0</formula>
    </cfRule>
    <cfRule type="containsBlanks" dxfId="1367" priority="18213">
      <formula>LEN(TRIM(AH101))=0</formula>
    </cfRule>
    <cfRule type="containsBlanks" dxfId="1366" priority="18214">
      <formula>LEN(TRIM(AH101))=0</formula>
    </cfRule>
    <cfRule type="containsBlanks" dxfId="1365" priority="18215">
      <formula>LEN(TRIM(AH101))=0</formula>
    </cfRule>
    <cfRule type="containsBlanks" dxfId="1364" priority="18216">
      <formula>LEN(TRIM(AH101))=0</formula>
    </cfRule>
    <cfRule type="containsBlanks" dxfId="1363" priority="18217">
      <formula>LEN(TRIM(AH101))=0</formula>
    </cfRule>
    <cfRule type="containsBlanks" dxfId="1362" priority="18218">
      <formula>LEN(TRIM(AH101))=0</formula>
    </cfRule>
    <cfRule type="containsBlanks" dxfId="1361" priority="18219">
      <formula>LEN(TRIM(AH101))=0</formula>
    </cfRule>
    <cfRule type="containsBlanks" dxfId="1360" priority="18220">
      <formula>LEN(TRIM(AH101))=0</formula>
    </cfRule>
    <cfRule type="containsBlanks" dxfId="1359" priority="18221">
      <formula>LEN(TRIM(AH101))=0</formula>
    </cfRule>
    <cfRule type="containsBlanks" dxfId="1358" priority="18222">
      <formula>LEN(TRIM(AH101))=0</formula>
    </cfRule>
    <cfRule type="containsBlanks" dxfId="1357" priority="18223">
      <formula>LEN(TRIM(AH101))=0</formula>
    </cfRule>
    <cfRule type="containsBlanks" dxfId="1356" priority="18224">
      <formula>LEN(TRIM(AH101))=0</formula>
    </cfRule>
    <cfRule type="containsBlanks" dxfId="1355" priority="18225">
      <formula>LEN(TRIM(AH101))=0</formula>
    </cfRule>
    <cfRule type="containsBlanks" dxfId="1354" priority="18226">
      <formula>LEN(TRIM(AH101))=0</formula>
    </cfRule>
    <cfRule type="containsBlanks" dxfId="1353" priority="18227">
      <formula>LEN(TRIM(AH101))=0</formula>
    </cfRule>
    <cfRule type="containsBlanks" dxfId="1352" priority="18228">
      <formula>LEN(TRIM(AH101))=0</formula>
    </cfRule>
    <cfRule type="containsBlanks" dxfId="1351" priority="18229">
      <formula>LEN(TRIM(AH101))=0</formula>
    </cfRule>
    <cfRule type="containsBlanks" dxfId="1350" priority="18230">
      <formula>LEN(TRIM(AH101))=0</formula>
    </cfRule>
    <cfRule type="containsBlanks" dxfId="1349" priority="18231">
      <formula>LEN(TRIM(AH101))=0</formula>
    </cfRule>
    <cfRule type="containsBlanks" dxfId="1348" priority="18232">
      <formula>LEN(TRIM(AH101))=0</formula>
    </cfRule>
    <cfRule type="containsBlanks" dxfId="1347" priority="18233">
      <formula>LEN(TRIM(AH101))=0</formula>
    </cfRule>
    <cfRule type="containsBlanks" dxfId="1346" priority="18234">
      <formula>LEN(TRIM(AH101))=0</formula>
    </cfRule>
    <cfRule type="containsBlanks" dxfId="1345" priority="18235">
      <formula>LEN(TRIM(AH101))=0</formula>
    </cfRule>
    <cfRule type="containsBlanks" dxfId="1344" priority="18236">
      <formula>LEN(TRIM(AH101))=0</formula>
    </cfRule>
    <cfRule type="containsBlanks" dxfId="1343" priority="18237">
      <formula>LEN(TRIM(AH101))=0</formula>
    </cfRule>
    <cfRule type="containsBlanks" dxfId="1342" priority="18238">
      <formula>LEN(TRIM(AH101))=0</formula>
    </cfRule>
    <cfRule type="containsBlanks" dxfId="1341" priority="18239">
      <formula>LEN(TRIM(AH101))=0</formula>
    </cfRule>
    <cfRule type="containsBlanks" dxfId="1340" priority="18240">
      <formula>LEN(TRIM(AH101))=0</formula>
    </cfRule>
    <cfRule type="containsBlanks" dxfId="1339" priority="18241">
      <formula>LEN(TRIM(AH101))=0</formula>
    </cfRule>
    <cfRule type="containsBlanks" dxfId="1338" priority="18242">
      <formula>LEN(TRIM(AH101))=0</formula>
    </cfRule>
    <cfRule type="containsBlanks" dxfId="1337" priority="18243">
      <formula>LEN(TRIM(AH101))=0</formula>
    </cfRule>
    <cfRule type="containsBlanks" dxfId="1336" priority="18244">
      <formula>LEN(TRIM(AH101))=0</formula>
    </cfRule>
    <cfRule type="containsBlanks" dxfId="1335" priority="18245">
      <formula>LEN(TRIM(AH101))=0</formula>
    </cfRule>
    <cfRule type="containsBlanks" dxfId="1334" priority="18246">
      <formula>LEN(TRIM(AH101))=0</formula>
    </cfRule>
    <cfRule type="containsBlanks" dxfId="1333" priority="18247">
      <formula>LEN(TRIM(AH101))=0</formula>
    </cfRule>
    <cfRule type="containsBlanks" dxfId="1332" priority="18248">
      <formula>LEN(TRIM(AH101))=0</formula>
    </cfRule>
    <cfRule type="containsBlanks" dxfId="1331" priority="18249">
      <formula>LEN(TRIM(AH101))=0</formula>
    </cfRule>
    <cfRule type="containsBlanks" dxfId="1330" priority="18250">
      <formula>LEN(TRIM(AH101))=0</formula>
    </cfRule>
    <cfRule type="containsBlanks" dxfId="1329" priority="18251">
      <formula>LEN(TRIM(AH101))=0</formula>
    </cfRule>
    <cfRule type="containsBlanks" dxfId="1328" priority="18252">
      <formula>LEN(TRIM(AH101))=0</formula>
    </cfRule>
    <cfRule type="containsBlanks" dxfId="1327" priority="18253">
      <formula>LEN(TRIM(AH101))=0</formula>
    </cfRule>
    <cfRule type="containsBlanks" dxfId="1326" priority="18254">
      <formula>LEN(TRIM(AH101))=0</formula>
    </cfRule>
    <cfRule type="containsBlanks" dxfId="1325" priority="18255">
      <formula>LEN(TRIM(AH101))=0</formula>
    </cfRule>
    <cfRule type="containsBlanks" dxfId="1324" priority="18256">
      <formula>LEN(TRIM(AH101))=0</formula>
    </cfRule>
    <cfRule type="containsBlanks" dxfId="1323" priority="18257">
      <formula>LEN(TRIM(AH101))=0</formula>
    </cfRule>
    <cfRule type="containsBlanks" dxfId="1322" priority="18258">
      <formula>LEN(TRIM(AH101))=0</formula>
    </cfRule>
    <cfRule type="containsBlanks" dxfId="1321" priority="18259">
      <formula>LEN(TRIM(AH101))=0</formula>
    </cfRule>
    <cfRule type="containsBlanks" dxfId="1320" priority="18260">
      <formula>LEN(TRIM(AH101))=0</formula>
    </cfRule>
    <cfRule type="containsBlanks" dxfId="1319" priority="18261">
      <formula>LEN(TRIM(AH101))=0</formula>
    </cfRule>
    <cfRule type="containsBlanks" dxfId="1318" priority="18262">
      <formula>LEN(TRIM(AH101))=0</formula>
    </cfRule>
    <cfRule type="containsBlanks" dxfId="1317" priority="18263">
      <formula>LEN(TRIM(AH101))=0</formula>
    </cfRule>
    <cfRule type="containsBlanks" dxfId="1316" priority="18264">
      <formula>LEN(TRIM(AH101))=0</formula>
    </cfRule>
    <cfRule type="containsBlanks" dxfId="1315" priority="18265">
      <formula>LEN(TRIM(AH101))=0</formula>
    </cfRule>
    <cfRule type="containsBlanks" dxfId="1314" priority="18266">
      <formula>LEN(TRIM(AH101))=0</formula>
    </cfRule>
    <cfRule type="containsBlanks" dxfId="1313" priority="18267">
      <formula>LEN(TRIM(AH101))=0</formula>
    </cfRule>
    <cfRule type="containsBlanks" dxfId="1312" priority="18268">
      <formula>LEN(TRIM(AH101))=0</formula>
    </cfRule>
    <cfRule type="containsBlanks" dxfId="1311" priority="18269">
      <formula>LEN(TRIM(AH101))=0</formula>
    </cfRule>
    <cfRule type="containsBlanks" dxfId="1310" priority="18270">
      <formula>LEN(TRIM(AH101))=0</formula>
    </cfRule>
    <cfRule type="containsBlanks" dxfId="1309" priority="18271">
      <formula>LEN(TRIM(AH101))=0</formula>
    </cfRule>
    <cfRule type="containsBlanks" dxfId="1308" priority="18272">
      <formula>LEN(TRIM(AH101))=0</formula>
    </cfRule>
    <cfRule type="containsBlanks" dxfId="1307" priority="18273">
      <formula>LEN(TRIM(AH101))=0</formula>
    </cfRule>
    <cfRule type="containsBlanks" dxfId="1306" priority="18274">
      <formula>LEN(TRIM(AH101))=0</formula>
    </cfRule>
    <cfRule type="containsBlanks" dxfId="1305" priority="18275">
      <formula>LEN(TRIM(AH101))=0</formula>
    </cfRule>
    <cfRule type="containsBlanks" dxfId="1304" priority="18276">
      <formula>LEN(TRIM(AH101))=0</formula>
    </cfRule>
    <cfRule type="containsBlanks" dxfId="1303" priority="18277">
      <formula>LEN(TRIM(AH101))=0</formula>
    </cfRule>
    <cfRule type="containsBlanks" dxfId="1302" priority="18278">
      <formula>LEN(TRIM(AH101))=0</formula>
    </cfRule>
    <cfRule type="containsBlanks" dxfId="1301" priority="18279">
      <formula>LEN(TRIM(AH101))=0</formula>
    </cfRule>
    <cfRule type="containsBlanks" dxfId="1300" priority="18280">
      <formula>LEN(TRIM(AH101))=0</formula>
    </cfRule>
    <cfRule type="containsBlanks" dxfId="1299" priority="18281">
      <formula>LEN(TRIM(AH101))=0</formula>
    </cfRule>
    <cfRule type="containsBlanks" dxfId="1298" priority="18282">
      <formula>LEN(TRIM(AH101))=0</formula>
    </cfRule>
    <cfRule type="containsBlanks" dxfId="1297" priority="18283">
      <formula>LEN(TRIM(AH101))=0</formula>
    </cfRule>
    <cfRule type="containsBlanks" dxfId="1296" priority="18284">
      <formula>LEN(TRIM(AH101))=0</formula>
    </cfRule>
    <cfRule type="containsBlanks" dxfId="1295" priority="18285">
      <formula>LEN(TRIM(AH101))=0</formula>
    </cfRule>
    <cfRule type="containsBlanks" dxfId="1294" priority="18286">
      <formula>LEN(TRIM(AH101))=0</formula>
    </cfRule>
    <cfRule type="containsBlanks" dxfId="1293" priority="18287">
      <formula>LEN(TRIM(AH101))=0</formula>
    </cfRule>
    <cfRule type="containsBlanks" dxfId="1292" priority="18288">
      <formula>LEN(TRIM(AH101))=0</formula>
    </cfRule>
    <cfRule type="containsBlanks" dxfId="1291" priority="18289">
      <formula>LEN(TRIM(AH101))=0</formula>
    </cfRule>
    <cfRule type="containsBlanks" dxfId="1290" priority="18290">
      <formula>LEN(TRIM(AH101))=0</formula>
    </cfRule>
    <cfRule type="containsBlanks" dxfId="1289" priority="18291">
      <formula>LEN(TRIM(AH101))=0</formula>
    </cfRule>
    <cfRule type="containsBlanks" dxfId="1288" priority="18292">
      <formula>LEN(TRIM(AH101))=0</formula>
    </cfRule>
    <cfRule type="containsBlanks" dxfId="1287" priority="18293">
      <formula>LEN(TRIM(AH101))=0</formula>
    </cfRule>
    <cfRule type="containsBlanks" dxfId="1286" priority="18294">
      <formula>LEN(TRIM(AH101))=0</formula>
    </cfRule>
    <cfRule type="containsBlanks" dxfId="1285" priority="18295">
      <formula>LEN(TRIM(AH101))=0</formula>
    </cfRule>
    <cfRule type="containsBlanks" dxfId="1284" priority="18296">
      <formula>LEN(TRIM(AH101))=0</formula>
    </cfRule>
    <cfRule type="containsBlanks" dxfId="1283" priority="18297">
      <formula>LEN(TRIM(AH101))=0</formula>
    </cfRule>
    <cfRule type="containsBlanks" dxfId="1282" priority="18298">
      <formula>LEN(TRIM(AH101))=0</formula>
    </cfRule>
    <cfRule type="containsBlanks" dxfId="1281" priority="18299">
      <formula>LEN(TRIM(AH101))=0</formula>
    </cfRule>
    <cfRule type="containsBlanks" dxfId="1280" priority="18300">
      <formula>LEN(TRIM(AH101))=0</formula>
    </cfRule>
    <cfRule type="containsBlanks" dxfId="1279" priority="18301">
      <formula>LEN(TRIM(AH101))=0</formula>
    </cfRule>
    <cfRule type="containsBlanks" dxfId="1278" priority="18302">
      <formula>LEN(TRIM(AH101))=0</formula>
    </cfRule>
    <cfRule type="containsBlanks" dxfId="1277" priority="18303">
      <formula>LEN(TRIM(AH101))=0</formula>
    </cfRule>
    <cfRule type="containsBlanks" dxfId="1276" priority="18304">
      <formula>LEN(TRIM(AH101))=0</formula>
    </cfRule>
    <cfRule type="containsBlanks" dxfId="1275" priority="18305">
      <formula>LEN(TRIM(AH101))=0</formula>
    </cfRule>
    <cfRule type="containsBlanks" dxfId="1274" priority="18306">
      <formula>LEN(TRIM(AH101))=0</formula>
    </cfRule>
    <cfRule type="containsBlanks" dxfId="1273" priority="18307">
      <formula>LEN(TRIM(AH101))=0</formula>
    </cfRule>
    <cfRule type="containsBlanks" dxfId="1272" priority="18308">
      <formula>LEN(TRIM(AH101))=0</formula>
    </cfRule>
    <cfRule type="containsBlanks" dxfId="1271" priority="18309">
      <formula>LEN(TRIM(AH101))=0</formula>
    </cfRule>
    <cfRule type="containsBlanks" dxfId="1270" priority="18310">
      <formula>LEN(TRIM(AH101))=0</formula>
    </cfRule>
    <cfRule type="containsBlanks" dxfId="1269" priority="18311">
      <formula>LEN(TRIM(AH101))=0</formula>
    </cfRule>
    <cfRule type="containsBlanks" dxfId="1268" priority="18312">
      <formula>LEN(TRIM(AH101))=0</formula>
    </cfRule>
    <cfRule type="containsBlanks" dxfId="1267" priority="18313">
      <formula>LEN(TRIM(AH101))=0</formula>
    </cfRule>
    <cfRule type="containsBlanks" dxfId="1266" priority="18314">
      <formula>LEN(TRIM(AH101))=0</formula>
    </cfRule>
    <cfRule type="containsBlanks" dxfId="1265" priority="18315">
      <formula>LEN(TRIM(AH101))=0</formula>
    </cfRule>
    <cfRule type="containsBlanks" dxfId="1264" priority="18316">
      <formula>LEN(TRIM(AH101))=0</formula>
    </cfRule>
    <cfRule type="containsBlanks" dxfId="1263" priority="18317">
      <formula>LEN(TRIM(AH101))=0</formula>
    </cfRule>
    <cfRule type="containsBlanks" dxfId="1262" priority="18318">
      <formula>LEN(TRIM(AH101))=0</formula>
    </cfRule>
    <cfRule type="containsBlanks" dxfId="1261" priority="18319">
      <formula>LEN(TRIM(AH101))=0</formula>
    </cfRule>
    <cfRule type="containsBlanks" dxfId="1260" priority="18320">
      <formula>LEN(TRIM(AH101))=0</formula>
    </cfRule>
    <cfRule type="containsBlanks" dxfId="1259" priority="18321">
      <formula>LEN(TRIM(AH101))=0</formula>
    </cfRule>
    <cfRule type="containsBlanks" dxfId="1258" priority="18322">
      <formula>LEN(TRIM(AH101))=0</formula>
    </cfRule>
    <cfRule type="containsBlanks" dxfId="1257" priority="18323">
      <formula>LEN(TRIM(AH101))=0</formula>
    </cfRule>
    <cfRule type="containsBlanks" dxfId="1256" priority="18324">
      <formula>LEN(TRIM(AH101))=0</formula>
    </cfRule>
    <cfRule type="containsBlanks" dxfId="1255" priority="18325">
      <formula>LEN(TRIM(AH101))=0</formula>
    </cfRule>
    <cfRule type="containsBlanks" dxfId="1254" priority="18326">
      <formula>LEN(TRIM(AH101))=0</formula>
    </cfRule>
    <cfRule type="containsBlanks" dxfId="1253" priority="18327">
      <formula>LEN(TRIM(AH101))=0</formula>
    </cfRule>
    <cfRule type="containsBlanks" dxfId="1252" priority="18328">
      <formula>LEN(TRIM(AH101))=0</formula>
    </cfRule>
    <cfRule type="containsBlanks" dxfId="1251" priority="18329">
      <formula>LEN(TRIM(AH101))=0</formula>
    </cfRule>
    <cfRule type="containsBlanks" dxfId="1250" priority="18330">
      <formula>LEN(TRIM(AH101))=0</formula>
    </cfRule>
    <cfRule type="containsBlanks" dxfId="1249" priority="18331">
      <formula>LEN(TRIM(AH101))=0</formula>
    </cfRule>
    <cfRule type="containsBlanks" dxfId="1248" priority="18332">
      <formula>LEN(TRIM(AH101))=0</formula>
    </cfRule>
    <cfRule type="containsBlanks" dxfId="1247" priority="18333">
      <formula>LEN(TRIM(AH101))=0</formula>
    </cfRule>
    <cfRule type="containsBlanks" dxfId="1246" priority="18334">
      <formula>LEN(TRIM(AH101))=0</formula>
    </cfRule>
    <cfRule type="containsBlanks" dxfId="1245" priority="18335">
      <formula>LEN(TRIM(AH101))=0</formula>
    </cfRule>
    <cfRule type="containsBlanks" dxfId="1244" priority="18336">
      <formula>LEN(TRIM(AH101))=0</formula>
    </cfRule>
    <cfRule type="containsBlanks" dxfId="1243" priority="18337">
      <formula>LEN(TRIM(AH101))=0</formula>
    </cfRule>
    <cfRule type="containsBlanks" dxfId="1242" priority="18338">
      <formula>LEN(TRIM(AH101))=0</formula>
    </cfRule>
    <cfRule type="containsBlanks" dxfId="1241" priority="18339">
      <formula>LEN(TRIM(AH101))=0</formula>
    </cfRule>
    <cfRule type="containsBlanks" dxfId="1240" priority="18340">
      <formula>LEN(TRIM(AH101))=0</formula>
    </cfRule>
    <cfRule type="containsBlanks" dxfId="1239" priority="18341">
      <formula>LEN(TRIM(AH101))=0</formula>
    </cfRule>
    <cfRule type="containsBlanks" dxfId="1238" priority="18342">
      <formula>LEN(TRIM(AH101))=0</formula>
    </cfRule>
    <cfRule type="containsBlanks" dxfId="1237" priority="18343">
      <formula>LEN(TRIM(AH101))=0</formula>
    </cfRule>
    <cfRule type="containsBlanks" dxfId="1236" priority="18344">
      <formula>LEN(TRIM(AH101))=0</formula>
    </cfRule>
    <cfRule type="containsBlanks" dxfId="1235" priority="18345">
      <formula>LEN(TRIM(AH101))=0</formula>
    </cfRule>
    <cfRule type="containsBlanks" dxfId="1234" priority="18346">
      <formula>LEN(TRIM(AH101))=0</formula>
    </cfRule>
    <cfRule type="containsBlanks" dxfId="1233" priority="18347">
      <formula>LEN(TRIM(AH101))=0</formula>
    </cfRule>
    <cfRule type="containsBlanks" dxfId="1232" priority="18348">
      <formula>LEN(TRIM(AH101))=0</formula>
    </cfRule>
    <cfRule type="containsBlanks" dxfId="1231" priority="18349">
      <formula>LEN(TRIM(AH101))=0</formula>
    </cfRule>
    <cfRule type="containsBlanks" dxfId="1230" priority="18350">
      <formula>LEN(TRIM(AH101))=0</formula>
    </cfRule>
    <cfRule type="containsBlanks" dxfId="1229" priority="18351">
      <formula>LEN(TRIM(AH101))=0</formula>
    </cfRule>
    <cfRule type="containsBlanks" dxfId="1228" priority="18352">
      <formula>LEN(TRIM(AH101))=0</formula>
    </cfRule>
    <cfRule type="containsBlanks" dxfId="1227" priority="18353">
      <formula>LEN(TRIM(AH101))=0</formula>
    </cfRule>
    <cfRule type="containsBlanks" dxfId="1226" priority="18354">
      <formula>LEN(TRIM(AH101))=0</formula>
    </cfRule>
    <cfRule type="containsBlanks" dxfId="1225" priority="18355">
      <formula>LEN(TRIM(AH101))=0</formula>
    </cfRule>
    <cfRule type="containsBlanks" dxfId="1224" priority="18356">
      <formula>LEN(TRIM(AH101))=0</formula>
    </cfRule>
    <cfRule type="containsBlanks" dxfId="1223" priority="18357">
      <formula>LEN(TRIM(AH101))=0</formula>
    </cfRule>
    <cfRule type="containsBlanks" dxfId="1222" priority="18358">
      <formula>LEN(TRIM(AH101))=0</formula>
    </cfRule>
    <cfRule type="containsBlanks" dxfId="1221" priority="18359">
      <formula>LEN(TRIM(AH101))=0</formula>
    </cfRule>
    <cfRule type="containsBlanks" dxfId="1220" priority="18360">
      <formula>LEN(TRIM(AH101))=0</formula>
    </cfRule>
    <cfRule type="containsBlanks" dxfId="1219" priority="18361">
      <formula>LEN(TRIM(AH101))=0</formula>
    </cfRule>
    <cfRule type="containsBlanks" dxfId="1218" priority="18362">
      <formula>LEN(TRIM(AH101))=0</formula>
    </cfRule>
    <cfRule type="containsBlanks" dxfId="1217" priority="18363">
      <formula>LEN(TRIM(AH101))=0</formula>
    </cfRule>
    <cfRule type="containsBlanks" dxfId="1216" priority="18364">
      <formula>LEN(TRIM(AH101))=0</formula>
    </cfRule>
    <cfRule type="containsBlanks" dxfId="1215" priority="18365">
      <formula>LEN(TRIM(AH101))=0</formula>
    </cfRule>
    <cfRule type="containsBlanks" dxfId="1214" priority="18366">
      <formula>LEN(TRIM(AH101))=0</formula>
    </cfRule>
    <cfRule type="containsBlanks" dxfId="1213" priority="18367">
      <formula>LEN(TRIM(AH101))=0</formula>
    </cfRule>
    <cfRule type="containsBlanks" dxfId="1212" priority="18368">
      <formula>LEN(TRIM(AH101))=0</formula>
    </cfRule>
    <cfRule type="containsBlanks" dxfId="1211" priority="18369">
      <formula>LEN(TRIM(AH101))=0</formula>
    </cfRule>
    <cfRule type="containsBlanks" dxfId="1210" priority="18370">
      <formula>LEN(TRIM(AH101))=0</formula>
    </cfRule>
    <cfRule type="containsBlanks" dxfId="1209" priority="18371">
      <formula>LEN(TRIM(AH101))=0</formula>
    </cfRule>
    <cfRule type="containsBlanks" dxfId="1208" priority="18372">
      <formula>LEN(TRIM(AH101))=0</formula>
    </cfRule>
    <cfRule type="containsBlanks" dxfId="1207" priority="18373">
      <formula>LEN(TRIM(AH101))=0</formula>
    </cfRule>
    <cfRule type="containsBlanks" dxfId="1206" priority="18374">
      <formula>LEN(TRIM(AH101))=0</formula>
    </cfRule>
    <cfRule type="containsBlanks" dxfId="1205" priority="18375">
      <formula>LEN(TRIM(AH101))=0</formula>
    </cfRule>
    <cfRule type="containsBlanks" dxfId="1204" priority="18376">
      <formula>LEN(TRIM(AH101))=0</formula>
    </cfRule>
    <cfRule type="containsBlanks" dxfId="1203" priority="18377">
      <formula>LEN(TRIM(AH101))=0</formula>
    </cfRule>
    <cfRule type="containsBlanks" dxfId="1202" priority="18378">
      <formula>LEN(TRIM(AH101))=0</formula>
    </cfRule>
    <cfRule type="containsBlanks" dxfId="1201" priority="18379">
      <formula>LEN(TRIM(AH101))=0</formula>
    </cfRule>
    <cfRule type="containsBlanks" dxfId="1200" priority="18380">
      <formula>LEN(TRIM(AH101))=0</formula>
    </cfRule>
    <cfRule type="containsBlanks" dxfId="1199" priority="18381">
      <formula>LEN(TRIM(AH101))=0</formula>
    </cfRule>
    <cfRule type="containsBlanks" dxfId="1198" priority="18382">
      <formula>LEN(TRIM(AH101))=0</formula>
    </cfRule>
    <cfRule type="containsBlanks" dxfId="1197" priority="18383">
      <formula>LEN(TRIM(AH101))=0</formula>
    </cfRule>
    <cfRule type="containsBlanks" dxfId="1196" priority="18384">
      <formula>LEN(TRIM(AH101))=0</formula>
    </cfRule>
    <cfRule type="containsBlanks" dxfId="1195" priority="18385">
      <formula>LEN(TRIM(AH101))=0</formula>
    </cfRule>
    <cfRule type="containsBlanks" dxfId="1194" priority="18386">
      <formula>LEN(TRIM(AH101))=0</formula>
    </cfRule>
    <cfRule type="containsBlanks" dxfId="1193" priority="18387">
      <formula>LEN(TRIM(AH101))=0</formula>
    </cfRule>
    <cfRule type="containsBlanks" dxfId="1192" priority="18388">
      <formula>LEN(TRIM(AH101))=0</formula>
    </cfRule>
    <cfRule type="containsBlanks" dxfId="1191" priority="18389">
      <formula>LEN(TRIM(AH101))=0</formula>
    </cfRule>
    <cfRule type="containsBlanks" dxfId="1190" priority="18390">
      <formula>LEN(TRIM(AH101))=0</formula>
    </cfRule>
    <cfRule type="containsBlanks" dxfId="1189" priority="18391">
      <formula>LEN(TRIM(AH101))=0</formula>
    </cfRule>
    <cfRule type="containsBlanks" dxfId="1188" priority="18392">
      <formula>LEN(TRIM(AH101))=0</formula>
    </cfRule>
    <cfRule type="containsBlanks" dxfId="1187" priority="18393">
      <formula>LEN(TRIM(AH101))=0</formula>
    </cfRule>
    <cfRule type="containsBlanks" dxfId="1186" priority="18394">
      <formula>LEN(TRIM(AH101))=0</formula>
    </cfRule>
    <cfRule type="containsBlanks" dxfId="1185" priority="18395">
      <formula>LEN(TRIM(AH101))=0</formula>
    </cfRule>
    <cfRule type="containsBlanks" dxfId="1184" priority="18396">
      <formula>LEN(TRIM(AH101))=0</formula>
    </cfRule>
    <cfRule type="containsBlanks" dxfId="1183" priority="18397">
      <formula>LEN(TRIM(AH101))=0</formula>
    </cfRule>
    <cfRule type="containsBlanks" dxfId="1182" priority="18398">
      <formula>LEN(TRIM(AH101))=0</formula>
    </cfRule>
    <cfRule type="containsBlanks" dxfId="1181" priority="18399">
      <formula>LEN(TRIM(AH101))=0</formula>
    </cfRule>
    <cfRule type="containsBlanks" dxfId="1180" priority="18400">
      <formula>LEN(TRIM(AH101))=0</formula>
    </cfRule>
    <cfRule type="containsBlanks" dxfId="1179" priority="18401">
      <formula>LEN(TRIM(AH101))=0</formula>
    </cfRule>
    <cfRule type="containsBlanks" dxfId="1178" priority="18402">
      <formula>LEN(TRIM(AH101))=0</formula>
    </cfRule>
    <cfRule type="containsBlanks" dxfId="1177" priority="18403">
      <formula>LEN(TRIM(AH101))=0</formula>
    </cfRule>
    <cfRule type="containsBlanks" dxfId="1176" priority="18404">
      <formula>LEN(TRIM(AH101))=0</formula>
    </cfRule>
    <cfRule type="containsBlanks" dxfId="1175" priority="18405">
      <formula>LEN(TRIM(AH101))=0</formula>
    </cfRule>
    <cfRule type="containsBlanks" dxfId="1174" priority="18406">
      <formula>LEN(TRIM(AH101))=0</formula>
    </cfRule>
    <cfRule type="containsBlanks" dxfId="1173" priority="18407">
      <formula>LEN(TRIM(AH101))=0</formula>
    </cfRule>
    <cfRule type="containsBlanks" dxfId="1172" priority="18408">
      <formula>LEN(TRIM(AH101))=0</formula>
    </cfRule>
    <cfRule type="containsBlanks" dxfId="1171" priority="18409">
      <formula>LEN(TRIM(AH101))=0</formula>
    </cfRule>
    <cfRule type="containsBlanks" dxfId="1170" priority="18410">
      <formula>LEN(TRIM(AH101))=0</formula>
    </cfRule>
    <cfRule type="containsBlanks" dxfId="1169" priority="18411">
      <formula>LEN(TRIM(AH101))=0</formula>
    </cfRule>
    <cfRule type="containsBlanks" dxfId="1168" priority="18412">
      <formula>LEN(TRIM(AH101))=0</formula>
    </cfRule>
    <cfRule type="containsBlanks" dxfId="1167" priority="18413">
      <formula>LEN(TRIM(AH101))=0</formula>
    </cfRule>
    <cfRule type="containsBlanks" dxfId="1166" priority="18414">
      <formula>LEN(TRIM(AH101))=0</formula>
    </cfRule>
    <cfRule type="containsBlanks" dxfId="1165" priority="18415">
      <formula>LEN(TRIM(AH101))=0</formula>
    </cfRule>
    <cfRule type="containsBlanks" dxfId="1164" priority="18416">
      <formula>LEN(TRIM(AH101))=0</formula>
    </cfRule>
    <cfRule type="containsBlanks" dxfId="1163" priority="18417">
      <formula>LEN(TRIM(AH101))=0</formula>
    </cfRule>
    <cfRule type="containsBlanks" dxfId="1162" priority="18418">
      <formula>LEN(TRIM(AH101))=0</formula>
    </cfRule>
    <cfRule type="containsBlanks" dxfId="1161" priority="18419">
      <formula>LEN(TRIM(AH101))=0</formula>
    </cfRule>
    <cfRule type="containsBlanks" dxfId="1160" priority="18420">
      <formula>LEN(TRIM(AH101))=0</formula>
    </cfRule>
    <cfRule type="containsBlanks" dxfId="1159" priority="18421">
      <formula>LEN(TRIM(AH101))=0</formula>
    </cfRule>
    <cfRule type="containsBlanks" dxfId="1158" priority="18422">
      <formula>LEN(TRIM(AH101))=0</formula>
    </cfRule>
    <cfRule type="containsBlanks" dxfId="1157" priority="18423">
      <formula>LEN(TRIM(AH101))=0</formula>
    </cfRule>
    <cfRule type="containsBlanks" dxfId="1156" priority="18424">
      <formula>LEN(TRIM(AH101))=0</formula>
    </cfRule>
    <cfRule type="containsBlanks" dxfId="1155" priority="18425">
      <formula>LEN(TRIM(AH101))=0</formula>
    </cfRule>
    <cfRule type="containsBlanks" dxfId="1154" priority="18739">
      <formula>LEN(TRIM(AH101))=0</formula>
    </cfRule>
    <cfRule type="containsBlanks" dxfId="1153" priority="18740">
      <formula>LEN(TRIM(AH101))=0</formula>
    </cfRule>
    <cfRule type="containsBlanks" dxfId="1152" priority="18741">
      <formula>LEN(TRIM(AH101))=0</formula>
    </cfRule>
    <cfRule type="containsBlanks" dxfId="1151" priority="18742">
      <formula>LEN(TRIM(AH101))=0</formula>
    </cfRule>
    <cfRule type="containsBlanks" dxfId="1150" priority="18743">
      <formula>LEN(TRIM(AH101))=0</formula>
    </cfRule>
    <cfRule type="containsBlanks" dxfId="1149" priority="18744">
      <formula>LEN(TRIM(AH101))=0</formula>
    </cfRule>
    <cfRule type="containsBlanks" dxfId="1148" priority="18745">
      <formula>LEN(TRIM(AH101))=0</formula>
    </cfRule>
    <cfRule type="containsBlanks" dxfId="1147" priority="18746">
      <formula>LEN(TRIM(AH101))=0</formula>
    </cfRule>
    <cfRule type="containsBlanks" dxfId="1146" priority="18747">
      <formula>LEN(TRIM(AH101))=0</formula>
    </cfRule>
    <cfRule type="containsBlanks" dxfId="1145" priority="18748">
      <formula>LEN(TRIM(AH101))=0</formula>
    </cfRule>
    <cfRule type="containsBlanks" dxfId="1144" priority="18749">
      <formula>LEN(TRIM(AH101))=0</formula>
    </cfRule>
    <cfRule type="containsBlanks" dxfId="1143" priority="18750">
      <formula>LEN(TRIM(AH101))=0</formula>
    </cfRule>
    <cfRule type="containsBlanks" dxfId="1142" priority="18751">
      <formula>LEN(TRIM(AH101))=0</formula>
    </cfRule>
  </conditionalFormatting>
  <conditionalFormatting sqref="AH104">
    <cfRule type="containsBlanks" dxfId="1141" priority="19004">
      <formula>LEN(TRIM(AH104))=0</formula>
    </cfRule>
    <cfRule type="containsBlanks" dxfId="1140" priority="19005">
      <formula>LEN(TRIM(AH104))=0</formula>
    </cfRule>
    <cfRule type="containsBlanks" dxfId="1139" priority="19006">
      <formula>LEN(TRIM(AH104))=0</formula>
    </cfRule>
    <cfRule type="containsBlanks" dxfId="1138" priority="19007">
      <formula>LEN(TRIM(AH104))=0</formula>
    </cfRule>
    <cfRule type="containsBlanks" dxfId="1137" priority="19008">
      <formula>LEN(TRIM(AH104))=0</formula>
    </cfRule>
    <cfRule type="containsBlanks" dxfId="1136" priority="19009">
      <formula>LEN(TRIM(AH104))=0</formula>
    </cfRule>
    <cfRule type="containsBlanks" dxfId="1135" priority="19010">
      <formula>LEN(TRIM(AH104))=0</formula>
    </cfRule>
    <cfRule type="containsBlanks" dxfId="1134" priority="19011">
      <formula>LEN(TRIM(AH104))=0</formula>
    </cfRule>
    <cfRule type="containsBlanks" dxfId="1133" priority="19012">
      <formula>LEN(TRIM(AH104))=0</formula>
    </cfRule>
    <cfRule type="containsBlanks" dxfId="1132" priority="19013">
      <formula>LEN(TRIM(AH104))=0</formula>
    </cfRule>
    <cfRule type="containsBlanks" dxfId="1131" priority="19014">
      <formula>LEN(TRIM(AH104))=0</formula>
    </cfRule>
    <cfRule type="containsBlanks" dxfId="1130" priority="19015">
      <formula>LEN(TRIM(AH104))=0</formula>
    </cfRule>
    <cfRule type="containsBlanks" dxfId="1129" priority="19016">
      <formula>LEN(TRIM(AH104))=0</formula>
    </cfRule>
    <cfRule type="containsBlanks" dxfId="1128" priority="19017">
      <formula>LEN(TRIM(AH104))=0</formula>
    </cfRule>
    <cfRule type="containsBlanks" dxfId="1127" priority="19018">
      <formula>LEN(TRIM(AH104))=0</formula>
    </cfRule>
    <cfRule type="containsBlanks" dxfId="1126" priority="19019">
      <formula>LEN(TRIM(AH104))=0</formula>
    </cfRule>
    <cfRule type="containsBlanks" dxfId="1125" priority="19020">
      <formula>LEN(TRIM(AH104))=0</formula>
    </cfRule>
    <cfRule type="containsBlanks" dxfId="1124" priority="19021">
      <formula>LEN(TRIM(AH104))=0</formula>
    </cfRule>
    <cfRule type="containsBlanks" dxfId="1123" priority="19022">
      <formula>LEN(TRIM(AH104))=0</formula>
    </cfRule>
    <cfRule type="containsBlanks" dxfId="1122" priority="19023">
      <formula>LEN(TRIM(AH104))=0</formula>
    </cfRule>
    <cfRule type="containsBlanks" dxfId="1121" priority="19024">
      <formula>LEN(TRIM(AH104))=0</formula>
    </cfRule>
    <cfRule type="containsBlanks" dxfId="1120" priority="19025">
      <formula>LEN(TRIM(AH104))=0</formula>
    </cfRule>
    <cfRule type="containsBlanks" dxfId="1119" priority="19026">
      <formula>LEN(TRIM(AH104))=0</formula>
    </cfRule>
    <cfRule type="containsBlanks" dxfId="1118" priority="19027">
      <formula>LEN(TRIM(AH104))=0</formula>
    </cfRule>
    <cfRule type="containsBlanks" dxfId="1117" priority="19028">
      <formula>LEN(TRIM(AH104))=0</formula>
    </cfRule>
    <cfRule type="containsBlanks" dxfId="1116" priority="19029">
      <formula>LEN(TRIM(AH104))=0</formula>
    </cfRule>
    <cfRule type="containsBlanks" dxfId="1115" priority="19030">
      <formula>LEN(TRIM(AH104))=0</formula>
    </cfRule>
    <cfRule type="containsBlanks" dxfId="1114" priority="19031">
      <formula>LEN(TRIM(AH104))=0</formula>
    </cfRule>
    <cfRule type="containsBlanks" dxfId="1113" priority="19032">
      <formula>LEN(TRIM(AH104))=0</formula>
    </cfRule>
    <cfRule type="containsBlanks" dxfId="1112" priority="19033">
      <formula>LEN(TRIM(AH104))=0</formula>
    </cfRule>
    <cfRule type="containsBlanks" dxfId="1111" priority="19034">
      <formula>LEN(TRIM(AH104))=0</formula>
    </cfRule>
    <cfRule type="containsBlanks" dxfId="1110" priority="19035">
      <formula>LEN(TRIM(AH104))=0</formula>
    </cfRule>
    <cfRule type="containsBlanks" dxfId="1109" priority="19036">
      <formula>LEN(TRIM(AH104))=0</formula>
    </cfRule>
    <cfRule type="containsBlanks" dxfId="1108" priority="19037">
      <formula>LEN(TRIM(AH104))=0</formula>
    </cfRule>
    <cfRule type="containsBlanks" dxfId="1107" priority="19038">
      <formula>LEN(TRIM(AH104))=0</formula>
    </cfRule>
    <cfRule type="containsBlanks" dxfId="1106" priority="19039">
      <formula>LEN(TRIM(AH104))=0</formula>
    </cfRule>
    <cfRule type="containsBlanks" dxfId="1105" priority="19040">
      <formula>LEN(TRIM(AH104))=0</formula>
    </cfRule>
    <cfRule type="containsBlanks" dxfId="1104" priority="19041">
      <formula>LEN(TRIM(AH104))=0</formula>
    </cfRule>
    <cfRule type="containsBlanks" dxfId="1103" priority="19042">
      <formula>LEN(TRIM(AH104))=0</formula>
    </cfRule>
    <cfRule type="containsBlanks" dxfId="1102" priority="19043">
      <formula>LEN(TRIM(AH104))=0</formula>
    </cfRule>
    <cfRule type="containsBlanks" dxfId="1101" priority="19044">
      <formula>LEN(TRIM(AH104))=0</formula>
    </cfRule>
    <cfRule type="containsBlanks" dxfId="1100" priority="19045">
      <formula>LEN(TRIM(AH104))=0</formula>
    </cfRule>
    <cfRule type="containsBlanks" dxfId="1099" priority="19046">
      <formula>LEN(TRIM(AH104))=0</formula>
    </cfRule>
    <cfRule type="containsBlanks" dxfId="1098" priority="19047">
      <formula>LEN(TRIM(AH104))=0</formula>
    </cfRule>
    <cfRule type="containsBlanks" dxfId="1097" priority="19048">
      <formula>LEN(TRIM(AH104))=0</formula>
    </cfRule>
    <cfRule type="containsBlanks" dxfId="1096" priority="19049">
      <formula>LEN(TRIM(AH104))=0</formula>
    </cfRule>
    <cfRule type="containsBlanks" dxfId="1095" priority="19050">
      <formula>LEN(TRIM(AH104))=0</formula>
    </cfRule>
    <cfRule type="containsBlanks" dxfId="1094" priority="19051">
      <formula>LEN(TRIM(AH104))=0</formula>
    </cfRule>
    <cfRule type="containsBlanks" dxfId="1093" priority="19052">
      <formula>LEN(TRIM(AH104))=0</formula>
    </cfRule>
    <cfRule type="containsBlanks" dxfId="1092" priority="19053">
      <formula>LEN(TRIM(AH104))=0</formula>
    </cfRule>
    <cfRule type="containsBlanks" dxfId="1091" priority="19054">
      <formula>LEN(TRIM(AH104))=0</formula>
    </cfRule>
    <cfRule type="containsBlanks" dxfId="1090" priority="19055">
      <formula>LEN(TRIM(AH104))=0</formula>
    </cfRule>
    <cfRule type="containsBlanks" dxfId="1089" priority="19056">
      <formula>LEN(TRIM(AH104))=0</formula>
    </cfRule>
    <cfRule type="containsBlanks" dxfId="1088" priority="19057">
      <formula>LEN(TRIM(AH104))=0</formula>
    </cfRule>
    <cfRule type="containsBlanks" dxfId="1087" priority="19058">
      <formula>LEN(TRIM(AH104))=0</formula>
    </cfRule>
    <cfRule type="containsBlanks" dxfId="1086" priority="19059">
      <formula>LEN(TRIM(AH104))=0</formula>
    </cfRule>
    <cfRule type="containsBlanks" dxfId="1085" priority="19060">
      <formula>LEN(TRIM(AH104))=0</formula>
    </cfRule>
    <cfRule type="containsBlanks" dxfId="1084" priority="19061">
      <formula>LEN(TRIM(AH104))=0</formula>
    </cfRule>
    <cfRule type="containsBlanks" dxfId="1083" priority="19062">
      <formula>LEN(TRIM(AH104))=0</formula>
    </cfRule>
    <cfRule type="containsBlanks" dxfId="1082" priority="19063">
      <formula>LEN(TRIM(AH104))=0</formula>
    </cfRule>
    <cfRule type="containsBlanks" dxfId="1081" priority="19064">
      <formula>LEN(TRIM(AH104))=0</formula>
    </cfRule>
    <cfRule type="containsBlanks" dxfId="1080" priority="19065">
      <formula>LEN(TRIM(AH104))=0</formula>
    </cfRule>
    <cfRule type="containsBlanks" dxfId="1079" priority="19066">
      <formula>LEN(TRIM(AH104))=0</formula>
    </cfRule>
    <cfRule type="containsBlanks" dxfId="1078" priority="19067">
      <formula>LEN(TRIM(AH104))=0</formula>
    </cfRule>
    <cfRule type="containsBlanks" dxfId="1077" priority="19068">
      <formula>LEN(TRIM(AH104))=0</formula>
    </cfRule>
    <cfRule type="containsBlanks" dxfId="1076" priority="19069">
      <formula>LEN(TRIM(AH104))=0</formula>
    </cfRule>
    <cfRule type="containsBlanks" dxfId="1075" priority="19070">
      <formula>LEN(TRIM(AH104))=0</formula>
    </cfRule>
    <cfRule type="containsBlanks" dxfId="1074" priority="19071">
      <formula>LEN(TRIM(AH104))=0</formula>
    </cfRule>
    <cfRule type="containsBlanks" dxfId="1073" priority="19072">
      <formula>LEN(TRIM(AH104))=0</formula>
    </cfRule>
    <cfRule type="containsBlanks" dxfId="1072" priority="19073">
      <formula>LEN(TRIM(AH104))=0</formula>
    </cfRule>
    <cfRule type="containsBlanks" dxfId="1071" priority="19074">
      <formula>LEN(TRIM(AH104))=0</formula>
    </cfRule>
    <cfRule type="containsBlanks" dxfId="1070" priority="19075">
      <formula>LEN(TRIM(AH104))=0</formula>
    </cfRule>
    <cfRule type="containsBlanks" dxfId="1069" priority="19076">
      <formula>LEN(TRIM(AH104))=0</formula>
    </cfRule>
    <cfRule type="containsBlanks" dxfId="1068" priority="19077">
      <formula>LEN(TRIM(AH104))=0</formula>
    </cfRule>
    <cfRule type="containsBlanks" dxfId="1067" priority="19078">
      <formula>LEN(TRIM(AH104))=0</formula>
    </cfRule>
    <cfRule type="containsBlanks" dxfId="1066" priority="19079">
      <formula>LEN(TRIM(AH104))=0</formula>
    </cfRule>
    <cfRule type="containsBlanks" dxfId="1065" priority="19080">
      <formula>LEN(TRIM(AH104))=0</formula>
    </cfRule>
    <cfRule type="containsBlanks" dxfId="1064" priority="19081">
      <formula>LEN(TRIM(AH104))=0</formula>
    </cfRule>
    <cfRule type="containsBlanks" dxfId="1063" priority="19082">
      <formula>LEN(TRIM(AH104))=0</formula>
    </cfRule>
    <cfRule type="containsBlanks" dxfId="1062" priority="19083">
      <formula>LEN(TRIM(AH104))=0</formula>
    </cfRule>
    <cfRule type="containsBlanks" dxfId="1061" priority="19084">
      <formula>LEN(TRIM(AH104))=0</formula>
    </cfRule>
    <cfRule type="containsBlanks" dxfId="1060" priority="19085">
      <formula>LEN(TRIM(AH104))=0</formula>
    </cfRule>
    <cfRule type="containsBlanks" dxfId="1059" priority="19086">
      <formula>LEN(TRIM(AH104))=0</formula>
    </cfRule>
    <cfRule type="containsBlanks" dxfId="1058" priority="19087">
      <formula>LEN(TRIM(AH104))=0</formula>
    </cfRule>
    <cfRule type="containsBlanks" dxfId="1057" priority="19088">
      <formula>LEN(TRIM(AH104))=0</formula>
    </cfRule>
    <cfRule type="containsBlanks" dxfId="1056" priority="19089">
      <formula>LEN(TRIM(AH104))=0</formula>
    </cfRule>
    <cfRule type="containsBlanks" dxfId="1055" priority="19090">
      <formula>LEN(TRIM(AH104))=0</formula>
    </cfRule>
    <cfRule type="containsBlanks" dxfId="1054" priority="19091">
      <formula>LEN(TRIM(AH104))=0</formula>
    </cfRule>
    <cfRule type="containsBlanks" dxfId="1053" priority="19092">
      <formula>LEN(TRIM(AH104))=0</formula>
    </cfRule>
    <cfRule type="containsBlanks" dxfId="1052" priority="19093">
      <formula>LEN(TRIM(AH104))=0</formula>
    </cfRule>
    <cfRule type="containsBlanks" dxfId="1051" priority="19094">
      <formula>LEN(TRIM(AH104))=0</formula>
    </cfRule>
    <cfRule type="containsBlanks" dxfId="1050" priority="19095">
      <formula>LEN(TRIM(AH104))=0</formula>
    </cfRule>
    <cfRule type="containsBlanks" dxfId="1049" priority="19096">
      <formula>LEN(TRIM(AH104))=0</formula>
    </cfRule>
    <cfRule type="containsBlanks" dxfId="1048" priority="19097">
      <formula>LEN(TRIM(AH104))=0</formula>
    </cfRule>
    <cfRule type="containsBlanks" dxfId="1047" priority="19098">
      <formula>LEN(TRIM(AH104))=0</formula>
    </cfRule>
    <cfRule type="containsBlanks" dxfId="1046" priority="19099">
      <formula>LEN(TRIM(AH104))=0</formula>
    </cfRule>
    <cfRule type="containsBlanks" dxfId="1045" priority="19100">
      <formula>LEN(TRIM(AH104))=0</formula>
    </cfRule>
    <cfRule type="containsBlanks" dxfId="1044" priority="19101">
      <formula>LEN(TRIM(AH104))=0</formula>
    </cfRule>
    <cfRule type="containsBlanks" dxfId="1043" priority="19102">
      <formula>LEN(TRIM(AH104))=0</formula>
    </cfRule>
    <cfRule type="containsBlanks" dxfId="1042" priority="19103">
      <formula>LEN(TRIM(AH104))=0</formula>
    </cfRule>
    <cfRule type="containsBlanks" dxfId="1041" priority="19104">
      <formula>LEN(TRIM(AH104))=0</formula>
    </cfRule>
    <cfRule type="containsBlanks" dxfId="1040" priority="19105">
      <formula>LEN(TRIM(AH104))=0</formula>
    </cfRule>
    <cfRule type="containsBlanks" dxfId="1039" priority="19106">
      <formula>LEN(TRIM(AH104))=0</formula>
    </cfRule>
    <cfRule type="containsBlanks" dxfId="1038" priority="19107">
      <formula>LEN(TRIM(AH104))=0</formula>
    </cfRule>
    <cfRule type="containsBlanks" dxfId="1037" priority="19108">
      <formula>LEN(TRIM(AH104))=0</formula>
    </cfRule>
    <cfRule type="containsBlanks" dxfId="1036" priority="19109">
      <formula>LEN(TRIM(AH104))=0</formula>
    </cfRule>
    <cfRule type="containsBlanks" dxfId="1035" priority="19110">
      <formula>LEN(TRIM(AH104))=0</formula>
    </cfRule>
    <cfRule type="containsBlanks" dxfId="1034" priority="19111">
      <formula>LEN(TRIM(AH104))=0</formula>
    </cfRule>
    <cfRule type="containsBlanks" dxfId="1033" priority="19112">
      <formula>LEN(TRIM(AH104))=0</formula>
    </cfRule>
    <cfRule type="containsBlanks" dxfId="1032" priority="19113">
      <formula>LEN(TRIM(AH104))=0</formula>
    </cfRule>
    <cfRule type="containsBlanks" dxfId="1031" priority="19114">
      <formula>LEN(TRIM(AH104))=0</formula>
    </cfRule>
    <cfRule type="containsBlanks" dxfId="1030" priority="19115">
      <formula>LEN(TRIM(AH104))=0</formula>
    </cfRule>
    <cfRule type="containsBlanks" dxfId="1029" priority="19116">
      <formula>LEN(TRIM(AH104))=0</formula>
    </cfRule>
    <cfRule type="containsBlanks" dxfId="1028" priority="19117">
      <formula>LEN(TRIM(AH104))=0</formula>
    </cfRule>
    <cfRule type="containsBlanks" dxfId="1027" priority="19118">
      <formula>LEN(TRIM(AH104))=0</formula>
    </cfRule>
    <cfRule type="containsBlanks" dxfId="1026" priority="19119">
      <formula>LEN(TRIM(AH104))=0</formula>
    </cfRule>
    <cfRule type="containsBlanks" dxfId="1025" priority="19120">
      <formula>LEN(TRIM(AH104))=0</formula>
    </cfRule>
    <cfRule type="containsBlanks" dxfId="1024" priority="19121">
      <formula>LEN(TRIM(AH104))=0</formula>
    </cfRule>
    <cfRule type="containsBlanks" dxfId="1023" priority="19122">
      <formula>LEN(TRIM(AH104))=0</formula>
    </cfRule>
    <cfRule type="containsBlanks" dxfId="1022" priority="19123">
      <formula>LEN(TRIM(AH104))=0</formula>
    </cfRule>
    <cfRule type="containsBlanks" dxfId="1021" priority="19124">
      <formula>LEN(TRIM(AH104))=0</formula>
    </cfRule>
    <cfRule type="containsBlanks" dxfId="1020" priority="19125">
      <formula>LEN(TRIM(AH104))=0</formula>
    </cfRule>
    <cfRule type="containsBlanks" dxfId="1019" priority="19126">
      <formula>LEN(TRIM(AH104))=0</formula>
    </cfRule>
    <cfRule type="containsBlanks" dxfId="1018" priority="19127">
      <formula>LEN(TRIM(AH104))=0</formula>
    </cfRule>
    <cfRule type="containsBlanks" dxfId="1017" priority="19128">
      <formula>LEN(TRIM(AH104))=0</formula>
    </cfRule>
    <cfRule type="containsBlanks" dxfId="1016" priority="19129">
      <formula>LEN(TRIM(AH104))=0</formula>
    </cfRule>
    <cfRule type="containsBlanks" dxfId="1015" priority="19130">
      <formula>LEN(TRIM(AH104))=0</formula>
    </cfRule>
    <cfRule type="containsBlanks" dxfId="1014" priority="19131">
      <formula>LEN(TRIM(AH104))=0</formula>
    </cfRule>
    <cfRule type="containsBlanks" dxfId="1013" priority="19132">
      <formula>LEN(TRIM(AH104))=0</formula>
    </cfRule>
    <cfRule type="containsBlanks" dxfId="1012" priority="19133">
      <formula>LEN(TRIM(AH104))=0</formula>
    </cfRule>
    <cfRule type="containsBlanks" dxfId="1011" priority="19134">
      <formula>LEN(TRIM(AH104))=0</formula>
    </cfRule>
    <cfRule type="containsBlanks" dxfId="1010" priority="19135">
      <formula>LEN(TRIM(AH104))=0</formula>
    </cfRule>
    <cfRule type="containsBlanks" dxfId="1009" priority="19136">
      <formula>LEN(TRIM(AH104))=0</formula>
    </cfRule>
    <cfRule type="containsBlanks" dxfId="1008" priority="19137">
      <formula>LEN(TRIM(AH104))=0</formula>
    </cfRule>
    <cfRule type="containsBlanks" dxfId="1007" priority="19138">
      <formula>LEN(TRIM(AH104))=0</formula>
    </cfRule>
    <cfRule type="containsBlanks" dxfId="1006" priority="19139">
      <formula>LEN(TRIM(AH104))=0</formula>
    </cfRule>
    <cfRule type="containsBlanks" dxfId="1005" priority="19140">
      <formula>LEN(TRIM(AH104))=0</formula>
    </cfRule>
    <cfRule type="containsBlanks" dxfId="1004" priority="19141">
      <formula>LEN(TRIM(AH104))=0</formula>
    </cfRule>
    <cfRule type="containsBlanks" dxfId="1003" priority="19142">
      <formula>LEN(TRIM(AH104))=0</formula>
    </cfRule>
    <cfRule type="containsBlanks" dxfId="1002" priority="19143">
      <formula>LEN(TRIM(AH104))=0</formula>
    </cfRule>
    <cfRule type="containsBlanks" dxfId="1001" priority="19144">
      <formula>LEN(TRIM(AH104))=0</formula>
    </cfRule>
    <cfRule type="containsBlanks" dxfId="1000" priority="19145">
      <formula>LEN(TRIM(AH104))=0</formula>
    </cfRule>
    <cfRule type="containsBlanks" dxfId="999" priority="19146">
      <formula>LEN(TRIM(AH104))=0</formula>
    </cfRule>
    <cfRule type="containsBlanks" dxfId="998" priority="19147">
      <formula>LEN(TRIM(AH104))=0</formula>
    </cfRule>
    <cfRule type="containsBlanks" dxfId="997" priority="19148">
      <formula>LEN(TRIM(AH104))=0</formula>
    </cfRule>
    <cfRule type="containsBlanks" dxfId="996" priority="19149">
      <formula>LEN(TRIM(AH104))=0</formula>
    </cfRule>
    <cfRule type="containsBlanks" dxfId="995" priority="19150">
      <formula>LEN(TRIM(AH104))=0</formula>
    </cfRule>
    <cfRule type="containsBlanks" dxfId="994" priority="19151">
      <formula>LEN(TRIM(AH104))=0</formula>
    </cfRule>
    <cfRule type="containsBlanks" dxfId="993" priority="19152">
      <formula>LEN(TRIM(AH104))=0</formula>
    </cfRule>
    <cfRule type="containsBlanks" dxfId="992" priority="19153">
      <formula>LEN(TRIM(AH104))=0</formula>
    </cfRule>
    <cfRule type="containsBlanks" dxfId="991" priority="19154">
      <formula>LEN(TRIM(AH104))=0</formula>
    </cfRule>
    <cfRule type="containsBlanks" dxfId="990" priority="19155">
      <formula>LEN(TRIM(AH104))=0</formula>
    </cfRule>
    <cfRule type="containsBlanks" dxfId="989" priority="19156">
      <formula>LEN(TRIM(AH104))=0</formula>
    </cfRule>
    <cfRule type="containsBlanks" dxfId="988" priority="19157">
      <formula>LEN(TRIM(AH104))=0</formula>
    </cfRule>
    <cfRule type="containsBlanks" dxfId="987" priority="19158">
      <formula>LEN(TRIM(AH104))=0</formula>
    </cfRule>
    <cfRule type="containsBlanks" dxfId="986" priority="19159">
      <formula>LEN(TRIM(AH104))=0</formula>
    </cfRule>
    <cfRule type="containsBlanks" dxfId="985" priority="19160">
      <formula>LEN(TRIM(AH104))=0</formula>
    </cfRule>
  </conditionalFormatting>
  <conditionalFormatting sqref="AH108">
    <cfRule type="containsBlanks" dxfId="984" priority="17787">
      <formula>LEN(TRIM(AH108))=0</formula>
    </cfRule>
    <cfRule type="containsBlanks" dxfId="983" priority="17788">
      <formula>LEN(TRIM(AH108))=0</formula>
    </cfRule>
    <cfRule type="containsBlanks" dxfId="982" priority="17789">
      <formula>LEN(TRIM(AH108))=0</formula>
    </cfRule>
    <cfRule type="containsBlanks" dxfId="981" priority="17790">
      <formula>LEN(TRIM(AH108))=0</formula>
    </cfRule>
    <cfRule type="containsBlanks" dxfId="980" priority="17791">
      <formula>LEN(TRIM(AH108))=0</formula>
    </cfRule>
    <cfRule type="containsBlanks" dxfId="979" priority="17792">
      <formula>LEN(TRIM(AH108))=0</formula>
    </cfRule>
    <cfRule type="containsBlanks" dxfId="978" priority="17793">
      <formula>LEN(TRIM(AH108))=0</formula>
    </cfRule>
    <cfRule type="containsBlanks" dxfId="977" priority="17794">
      <formula>LEN(TRIM(AH108))=0</formula>
    </cfRule>
    <cfRule type="containsBlanks" dxfId="976" priority="17795">
      <formula>LEN(TRIM(AH108))=0</formula>
    </cfRule>
    <cfRule type="containsBlanks" dxfId="975" priority="17796">
      <formula>LEN(TRIM(AH108))=0</formula>
    </cfRule>
    <cfRule type="containsBlanks" dxfId="974" priority="17797">
      <formula>LEN(TRIM(AH108))=0</formula>
    </cfRule>
    <cfRule type="containsBlanks" dxfId="973" priority="17798">
      <formula>LEN(TRIM(AH108))=0</formula>
    </cfRule>
    <cfRule type="containsBlanks" dxfId="972" priority="17799">
      <formula>LEN(TRIM(AH108))=0</formula>
    </cfRule>
    <cfRule type="containsBlanks" dxfId="971" priority="17800">
      <formula>LEN(TRIM(AH108))=0</formula>
    </cfRule>
    <cfRule type="containsBlanks" dxfId="970" priority="17801">
      <formula>LEN(TRIM(AH108))=0</formula>
    </cfRule>
    <cfRule type="containsBlanks" dxfId="969" priority="17802">
      <formula>LEN(TRIM(AH108))=0</formula>
    </cfRule>
    <cfRule type="containsBlanks" dxfId="968" priority="17803">
      <formula>LEN(TRIM(AH108))=0</formula>
    </cfRule>
    <cfRule type="containsBlanks" dxfId="967" priority="17804">
      <formula>LEN(TRIM(AH108))=0</formula>
    </cfRule>
    <cfRule type="containsBlanks" dxfId="966" priority="17805">
      <formula>LEN(TRIM(AH108))=0</formula>
    </cfRule>
    <cfRule type="containsBlanks" dxfId="965" priority="17806">
      <formula>LEN(TRIM(AH108))=0</formula>
    </cfRule>
    <cfRule type="containsBlanks" dxfId="964" priority="17807">
      <formula>LEN(TRIM(AH108))=0</formula>
    </cfRule>
    <cfRule type="containsBlanks" dxfId="963" priority="17808">
      <formula>LEN(TRIM(AH108))=0</formula>
    </cfRule>
    <cfRule type="containsBlanks" dxfId="962" priority="17809">
      <formula>LEN(TRIM(AH108))=0</formula>
    </cfRule>
    <cfRule type="containsBlanks" dxfId="961" priority="17810">
      <formula>LEN(TRIM(AH108))=0</formula>
    </cfRule>
    <cfRule type="containsBlanks" dxfId="960" priority="17811">
      <formula>LEN(TRIM(AH108))=0</formula>
    </cfRule>
    <cfRule type="containsBlanks" dxfId="959" priority="17812">
      <formula>LEN(TRIM(AH108))=0</formula>
    </cfRule>
    <cfRule type="containsBlanks" dxfId="958" priority="17813">
      <formula>LEN(TRIM(AH108))=0</formula>
    </cfRule>
    <cfRule type="containsBlanks" dxfId="957" priority="17814">
      <formula>LEN(TRIM(AH108))=0</formula>
    </cfRule>
    <cfRule type="containsBlanks" dxfId="956" priority="17815">
      <formula>LEN(TRIM(AH108))=0</formula>
    </cfRule>
    <cfRule type="containsBlanks" dxfId="955" priority="17816">
      <formula>LEN(TRIM(AH108))=0</formula>
    </cfRule>
    <cfRule type="containsBlanks" dxfId="954" priority="17817">
      <formula>LEN(TRIM(AH108))=0</formula>
    </cfRule>
    <cfRule type="containsBlanks" dxfId="953" priority="17818">
      <formula>LEN(TRIM(AH108))=0</formula>
    </cfRule>
    <cfRule type="containsBlanks" dxfId="952" priority="17819">
      <formula>LEN(TRIM(AH108))=0</formula>
    </cfRule>
    <cfRule type="containsBlanks" dxfId="951" priority="17820">
      <formula>LEN(TRIM(AH108))=0</formula>
    </cfRule>
    <cfRule type="containsBlanks" dxfId="950" priority="17821">
      <formula>LEN(TRIM(AH108))=0</formula>
    </cfRule>
    <cfRule type="containsBlanks" dxfId="949" priority="17822">
      <formula>LEN(TRIM(AH108))=0</formula>
    </cfRule>
    <cfRule type="containsBlanks" dxfId="948" priority="17823">
      <formula>LEN(TRIM(AH108))=0</formula>
    </cfRule>
    <cfRule type="containsBlanks" dxfId="947" priority="17824">
      <formula>LEN(TRIM(AH108))=0</formula>
    </cfRule>
    <cfRule type="containsBlanks" dxfId="946" priority="17825">
      <formula>LEN(TRIM(AH108))=0</formula>
    </cfRule>
    <cfRule type="containsBlanks" dxfId="945" priority="17826">
      <formula>LEN(TRIM(AH108))=0</formula>
    </cfRule>
    <cfRule type="containsBlanks" dxfId="944" priority="17827">
      <formula>LEN(TRIM(AH108))=0</formula>
    </cfRule>
    <cfRule type="containsBlanks" dxfId="943" priority="17828">
      <formula>LEN(TRIM(AH108))=0</formula>
    </cfRule>
    <cfRule type="containsBlanks" dxfId="942" priority="17829">
      <formula>LEN(TRIM(AH108))=0</formula>
    </cfRule>
    <cfRule type="containsBlanks" dxfId="941" priority="17830">
      <formula>LEN(TRIM(AH108))=0</formula>
    </cfRule>
    <cfRule type="containsBlanks" dxfId="940" priority="17831">
      <formula>LEN(TRIM(AH108))=0</formula>
    </cfRule>
    <cfRule type="containsBlanks" dxfId="939" priority="17832">
      <formula>LEN(TRIM(AH108))=0</formula>
    </cfRule>
    <cfRule type="containsBlanks" dxfId="938" priority="17833">
      <formula>LEN(TRIM(AH108))=0</formula>
    </cfRule>
    <cfRule type="containsBlanks" dxfId="937" priority="17834">
      <formula>LEN(TRIM(AH108))=0</formula>
    </cfRule>
    <cfRule type="containsBlanks" dxfId="936" priority="17835">
      <formula>LEN(TRIM(AH108))=0</formula>
    </cfRule>
    <cfRule type="containsBlanks" dxfId="935" priority="17836">
      <formula>LEN(TRIM(AH108))=0</formula>
    </cfRule>
    <cfRule type="containsBlanks" dxfId="934" priority="17837">
      <formula>LEN(TRIM(AH108))=0</formula>
    </cfRule>
    <cfRule type="containsBlanks" dxfId="933" priority="17838">
      <formula>LEN(TRIM(AH108))=0</formula>
    </cfRule>
    <cfRule type="containsBlanks" dxfId="932" priority="17839">
      <formula>LEN(TRIM(AH108))=0</formula>
    </cfRule>
    <cfRule type="containsBlanks" dxfId="931" priority="17840">
      <formula>LEN(TRIM(AH108))=0</formula>
    </cfRule>
    <cfRule type="containsBlanks" dxfId="930" priority="17841">
      <formula>LEN(TRIM(AH108))=0</formula>
    </cfRule>
    <cfRule type="containsBlanks" dxfId="929" priority="17842">
      <formula>LEN(TRIM(AH108))=0</formula>
    </cfRule>
    <cfRule type="containsBlanks" dxfId="928" priority="17843">
      <formula>LEN(TRIM(AH108))=0</formula>
    </cfRule>
    <cfRule type="containsBlanks" dxfId="927" priority="17844">
      <formula>LEN(TRIM(AH108))=0</formula>
    </cfRule>
    <cfRule type="containsBlanks" dxfId="926" priority="17845">
      <formula>LEN(TRIM(AH108))=0</formula>
    </cfRule>
    <cfRule type="containsBlanks" dxfId="925" priority="17846">
      <formula>LEN(TRIM(AH108))=0</formula>
    </cfRule>
    <cfRule type="containsBlanks" dxfId="924" priority="17847">
      <formula>LEN(TRIM(AH108))=0</formula>
    </cfRule>
    <cfRule type="containsBlanks" dxfId="923" priority="17848">
      <formula>LEN(TRIM(AH108))=0</formula>
    </cfRule>
    <cfRule type="containsBlanks" dxfId="922" priority="17849">
      <formula>LEN(TRIM(AH108))=0</formula>
    </cfRule>
    <cfRule type="containsBlanks" dxfId="921" priority="17850">
      <formula>LEN(TRIM(AH108))=0</formula>
    </cfRule>
    <cfRule type="containsBlanks" dxfId="920" priority="17851">
      <formula>LEN(TRIM(AH108))=0</formula>
    </cfRule>
    <cfRule type="containsBlanks" dxfId="919" priority="17852">
      <formula>LEN(TRIM(AH108))=0</formula>
    </cfRule>
    <cfRule type="containsBlanks" dxfId="918" priority="17853">
      <formula>LEN(TRIM(AH108))=0</formula>
    </cfRule>
    <cfRule type="containsBlanks" dxfId="917" priority="17854">
      <formula>LEN(TRIM(AH108))=0</formula>
    </cfRule>
    <cfRule type="containsBlanks" dxfId="916" priority="17855">
      <formula>LEN(TRIM(AH108))=0</formula>
    </cfRule>
    <cfRule type="containsBlanks" dxfId="915" priority="17856">
      <formula>LEN(TRIM(AH108))=0</formula>
    </cfRule>
    <cfRule type="containsBlanks" dxfId="914" priority="17857">
      <formula>LEN(TRIM(AH108))=0</formula>
    </cfRule>
    <cfRule type="containsBlanks" dxfId="913" priority="17858">
      <formula>LEN(TRIM(AH108))=0</formula>
    </cfRule>
    <cfRule type="containsBlanks" dxfId="912" priority="17859">
      <formula>LEN(TRIM(AH108))=0</formula>
    </cfRule>
    <cfRule type="containsBlanks" dxfId="911" priority="17860">
      <formula>LEN(TRIM(AH108))=0</formula>
    </cfRule>
    <cfRule type="containsBlanks" dxfId="910" priority="17861">
      <formula>LEN(TRIM(AH108))=0</formula>
    </cfRule>
    <cfRule type="containsBlanks" dxfId="909" priority="17862">
      <formula>LEN(TRIM(AH108))=0</formula>
    </cfRule>
    <cfRule type="containsBlanks" dxfId="908" priority="17863">
      <formula>LEN(TRIM(AH108))=0</formula>
    </cfRule>
    <cfRule type="containsBlanks" dxfId="907" priority="17864">
      <formula>LEN(TRIM(AH108))=0</formula>
    </cfRule>
    <cfRule type="containsBlanks" dxfId="906" priority="17865">
      <formula>LEN(TRIM(AH108))=0</formula>
    </cfRule>
    <cfRule type="containsBlanks" dxfId="905" priority="17866">
      <formula>LEN(TRIM(AH108))=0</formula>
    </cfRule>
    <cfRule type="containsBlanks" dxfId="904" priority="17867">
      <formula>LEN(TRIM(AH108))=0</formula>
    </cfRule>
    <cfRule type="containsBlanks" dxfId="903" priority="17868">
      <formula>LEN(TRIM(AH108))=0</formula>
    </cfRule>
    <cfRule type="containsBlanks" dxfId="902" priority="17869">
      <formula>LEN(TRIM(AH108))=0</formula>
    </cfRule>
    <cfRule type="containsBlanks" dxfId="901" priority="17870">
      <formula>LEN(TRIM(AH108))=0</formula>
    </cfRule>
    <cfRule type="containsBlanks" dxfId="900" priority="17871">
      <formula>LEN(TRIM(AH108))=0</formula>
    </cfRule>
    <cfRule type="containsBlanks" dxfId="899" priority="17872">
      <formula>LEN(TRIM(AH108))=0</formula>
    </cfRule>
    <cfRule type="containsBlanks" dxfId="898" priority="17873">
      <formula>LEN(TRIM(AH108))=0</formula>
    </cfRule>
    <cfRule type="containsBlanks" dxfId="897" priority="17874">
      <formula>LEN(TRIM(AH108))=0</formula>
    </cfRule>
    <cfRule type="containsBlanks" dxfId="896" priority="17875">
      <formula>LEN(TRIM(AH108))=0</formula>
    </cfRule>
    <cfRule type="containsBlanks" dxfId="895" priority="17876">
      <formula>LEN(TRIM(AH108))=0</formula>
    </cfRule>
    <cfRule type="containsBlanks" dxfId="894" priority="17877">
      <formula>LEN(TRIM(AH108))=0</formula>
    </cfRule>
    <cfRule type="containsBlanks" dxfId="893" priority="17878">
      <formula>LEN(TRIM(AH108))=0</formula>
    </cfRule>
    <cfRule type="containsBlanks" dxfId="892" priority="17879">
      <formula>LEN(TRIM(AH108))=0</formula>
    </cfRule>
    <cfRule type="containsBlanks" dxfId="891" priority="17880">
      <formula>LEN(TRIM(AH108))=0</formula>
    </cfRule>
    <cfRule type="containsBlanks" dxfId="890" priority="17881">
      <formula>LEN(TRIM(AH108))=0</formula>
    </cfRule>
    <cfRule type="containsBlanks" dxfId="889" priority="17882">
      <formula>LEN(TRIM(AH108))=0</formula>
    </cfRule>
    <cfRule type="containsBlanks" dxfId="888" priority="17883">
      <formula>LEN(TRIM(AH108))=0</formula>
    </cfRule>
    <cfRule type="containsBlanks" dxfId="887" priority="17884">
      <formula>LEN(TRIM(AH108))=0</formula>
    </cfRule>
    <cfRule type="containsBlanks" dxfId="886" priority="17885">
      <formula>LEN(TRIM(AH108))=0</formula>
    </cfRule>
    <cfRule type="containsBlanks" dxfId="885" priority="17886">
      <formula>LEN(TRIM(AH108))=0</formula>
    </cfRule>
    <cfRule type="containsBlanks" dxfId="884" priority="17887">
      <formula>LEN(TRIM(AH108))=0</formula>
    </cfRule>
    <cfRule type="containsBlanks" dxfId="883" priority="17888">
      <formula>LEN(TRIM(AH108))=0</formula>
    </cfRule>
    <cfRule type="containsBlanks" dxfId="882" priority="17889">
      <formula>LEN(TRIM(AH108))=0</formula>
    </cfRule>
    <cfRule type="containsBlanks" dxfId="881" priority="17890">
      <formula>LEN(TRIM(AH108))=0</formula>
    </cfRule>
    <cfRule type="containsBlanks" dxfId="880" priority="17891">
      <formula>LEN(TRIM(AH108))=0</formula>
    </cfRule>
    <cfRule type="containsBlanks" dxfId="879" priority="17892">
      <formula>LEN(TRIM(AH108))=0</formula>
    </cfRule>
    <cfRule type="containsBlanks" dxfId="878" priority="17893">
      <formula>LEN(TRIM(AH108))=0</formula>
    </cfRule>
    <cfRule type="containsBlanks" dxfId="877" priority="17894">
      <formula>LEN(TRIM(AH108))=0</formula>
    </cfRule>
    <cfRule type="containsBlanks" dxfId="876" priority="17895">
      <formula>LEN(TRIM(AH108))=0</formula>
    </cfRule>
    <cfRule type="containsBlanks" dxfId="875" priority="17896">
      <formula>LEN(TRIM(AH108))=0</formula>
    </cfRule>
    <cfRule type="containsBlanks" dxfId="874" priority="17897">
      <formula>LEN(TRIM(AH108))=0</formula>
    </cfRule>
    <cfRule type="containsBlanks" dxfId="873" priority="17898">
      <formula>LEN(TRIM(AH108))=0</formula>
    </cfRule>
    <cfRule type="containsBlanks" dxfId="872" priority="17899">
      <formula>LEN(TRIM(AH108))=0</formula>
    </cfRule>
    <cfRule type="containsBlanks" dxfId="871" priority="17900">
      <formula>LEN(TRIM(AH108))=0</formula>
    </cfRule>
    <cfRule type="containsBlanks" dxfId="870" priority="17901">
      <formula>LEN(TRIM(AH108))=0</formula>
    </cfRule>
    <cfRule type="containsBlanks" dxfId="869" priority="17902">
      <formula>LEN(TRIM(AH108))=0</formula>
    </cfRule>
    <cfRule type="containsBlanks" dxfId="868" priority="17903">
      <formula>LEN(TRIM(AH108))=0</formula>
    </cfRule>
    <cfRule type="containsBlanks" dxfId="867" priority="17904">
      <formula>LEN(TRIM(AH108))=0</formula>
    </cfRule>
    <cfRule type="containsBlanks" dxfId="866" priority="17905">
      <formula>LEN(TRIM(AH108))=0</formula>
    </cfRule>
    <cfRule type="containsBlanks" dxfId="865" priority="17906">
      <formula>LEN(TRIM(AH108))=0</formula>
    </cfRule>
    <cfRule type="containsBlanks" dxfId="864" priority="17907">
      <formula>LEN(TRIM(AH108))=0</formula>
    </cfRule>
    <cfRule type="containsBlanks" dxfId="863" priority="17908">
      <formula>LEN(TRIM(AH108))=0</formula>
    </cfRule>
    <cfRule type="containsBlanks" dxfId="862" priority="17909">
      <formula>LEN(TRIM(AH108))=0</formula>
    </cfRule>
    <cfRule type="containsBlanks" dxfId="861" priority="17910">
      <formula>LEN(TRIM(AH108))=0</formula>
    </cfRule>
    <cfRule type="containsBlanks" dxfId="860" priority="17911">
      <formula>LEN(TRIM(AH108))=0</formula>
    </cfRule>
    <cfRule type="containsBlanks" dxfId="859" priority="17912">
      <formula>LEN(TRIM(AH108))=0</formula>
    </cfRule>
    <cfRule type="containsBlanks" dxfId="858" priority="17913">
      <formula>LEN(TRIM(AH108))=0</formula>
    </cfRule>
    <cfRule type="containsBlanks" dxfId="857" priority="17914">
      <formula>LEN(TRIM(AH108))=0</formula>
    </cfRule>
    <cfRule type="containsBlanks" dxfId="856" priority="17915">
      <formula>LEN(TRIM(AH108))=0</formula>
    </cfRule>
    <cfRule type="containsBlanks" dxfId="855" priority="17916">
      <formula>LEN(TRIM(AH108))=0</formula>
    </cfRule>
    <cfRule type="containsBlanks" dxfId="854" priority="17917">
      <formula>LEN(TRIM(AH108))=0</formula>
    </cfRule>
    <cfRule type="containsBlanks" dxfId="853" priority="17918">
      <formula>LEN(TRIM(AH108))=0</formula>
    </cfRule>
    <cfRule type="containsBlanks" dxfId="852" priority="17919">
      <formula>LEN(TRIM(AH108))=0</formula>
    </cfRule>
    <cfRule type="containsBlanks" dxfId="851" priority="17920">
      <formula>LEN(TRIM(AH108))=0</formula>
    </cfRule>
    <cfRule type="containsBlanks" dxfId="850" priority="17921">
      <formula>LEN(TRIM(AH108))=0</formula>
    </cfRule>
    <cfRule type="containsBlanks" dxfId="849" priority="17922">
      <formula>LEN(TRIM(AH108))=0</formula>
    </cfRule>
    <cfRule type="containsBlanks" dxfId="848" priority="17923">
      <formula>LEN(TRIM(AH108))=0</formula>
    </cfRule>
    <cfRule type="containsBlanks" dxfId="847" priority="17924">
      <formula>LEN(TRIM(AH108))=0</formula>
    </cfRule>
    <cfRule type="containsBlanks" dxfId="846" priority="17925">
      <formula>LEN(TRIM(AH108))=0</formula>
    </cfRule>
    <cfRule type="containsBlanks" dxfId="845" priority="17926">
      <formula>LEN(TRIM(AH108))=0</formula>
    </cfRule>
    <cfRule type="containsBlanks" dxfId="844" priority="17927">
      <formula>LEN(TRIM(AH108))=0</formula>
    </cfRule>
    <cfRule type="containsBlanks" dxfId="843" priority="17928">
      <formula>LEN(TRIM(AH108))=0</formula>
    </cfRule>
    <cfRule type="containsBlanks" dxfId="842" priority="17929">
      <formula>LEN(TRIM(AH108))=0</formula>
    </cfRule>
    <cfRule type="containsBlanks" dxfId="841" priority="17930">
      <formula>LEN(TRIM(AH108))=0</formula>
    </cfRule>
    <cfRule type="containsBlanks" dxfId="840" priority="17931">
      <formula>LEN(TRIM(AH108))=0</formula>
    </cfRule>
    <cfRule type="containsBlanks" dxfId="839" priority="17932">
      <formula>LEN(TRIM(AH108))=0</formula>
    </cfRule>
    <cfRule type="containsBlanks" dxfId="838" priority="17933">
      <formula>LEN(TRIM(AH108))=0</formula>
    </cfRule>
    <cfRule type="containsBlanks" dxfId="837" priority="17934">
      <formula>LEN(TRIM(AH108))=0</formula>
    </cfRule>
    <cfRule type="containsBlanks" dxfId="836" priority="17935">
      <formula>LEN(TRIM(AH108))=0</formula>
    </cfRule>
    <cfRule type="containsBlanks" dxfId="835" priority="17936">
      <formula>LEN(TRIM(AH108))=0</formula>
    </cfRule>
    <cfRule type="containsBlanks" dxfId="834" priority="17937">
      <formula>LEN(TRIM(AH108))=0</formula>
    </cfRule>
    <cfRule type="containsBlanks" dxfId="833" priority="17938">
      <formula>LEN(TRIM(AH108))=0</formula>
    </cfRule>
    <cfRule type="containsBlanks" dxfId="832" priority="17939">
      <formula>LEN(TRIM(AH108))=0</formula>
    </cfRule>
    <cfRule type="containsBlanks" dxfId="831" priority="17940">
      <formula>LEN(TRIM(AH108))=0</formula>
    </cfRule>
    <cfRule type="containsBlanks" dxfId="830" priority="17941">
      <formula>LEN(TRIM(AH108))=0</formula>
    </cfRule>
    <cfRule type="containsBlanks" dxfId="829" priority="17942">
      <formula>LEN(TRIM(AH108))=0</formula>
    </cfRule>
    <cfRule type="containsBlanks" dxfId="828" priority="17943">
      <formula>LEN(TRIM(AH108))=0</formula>
    </cfRule>
    <cfRule type="containsBlanks" dxfId="827" priority="17944">
      <formula>LEN(TRIM(AH108))=0</formula>
    </cfRule>
    <cfRule type="containsBlanks" dxfId="826" priority="17945">
      <formula>LEN(TRIM(AH108))=0</formula>
    </cfRule>
    <cfRule type="containsBlanks" dxfId="825" priority="17946">
      <formula>LEN(TRIM(AH108))=0</formula>
    </cfRule>
    <cfRule type="containsBlanks" dxfId="824" priority="17947">
      <formula>LEN(TRIM(AH108))=0</formula>
    </cfRule>
    <cfRule type="containsBlanks" dxfId="823" priority="17948">
      <formula>LEN(TRIM(AH108))=0</formula>
    </cfRule>
    <cfRule type="containsBlanks" dxfId="822" priority="17949">
      <formula>LEN(TRIM(AH108))=0</formula>
    </cfRule>
    <cfRule type="containsBlanks" dxfId="821" priority="17950">
      <formula>LEN(TRIM(AH108))=0</formula>
    </cfRule>
    <cfRule type="containsBlanks" dxfId="820" priority="17951">
      <formula>LEN(TRIM(AH108))=0</formula>
    </cfRule>
    <cfRule type="containsBlanks" dxfId="819" priority="17952">
      <formula>LEN(TRIM(AH108))=0</formula>
    </cfRule>
    <cfRule type="containsBlanks" dxfId="818" priority="17953">
      <formula>LEN(TRIM(AH108))=0</formula>
    </cfRule>
    <cfRule type="containsBlanks" dxfId="817" priority="17954">
      <formula>LEN(TRIM(AH108))=0</formula>
    </cfRule>
    <cfRule type="containsBlanks" dxfId="816" priority="17955">
      <formula>LEN(TRIM(AH108))=0</formula>
    </cfRule>
    <cfRule type="containsBlanks" dxfId="815" priority="17956">
      <formula>LEN(TRIM(AH108))=0</formula>
    </cfRule>
    <cfRule type="containsBlanks" dxfId="814" priority="17957">
      <formula>LEN(TRIM(AH108))=0</formula>
    </cfRule>
    <cfRule type="containsBlanks" dxfId="813" priority="17958">
      <formula>LEN(TRIM(AH108))=0</formula>
    </cfRule>
    <cfRule type="containsBlanks" dxfId="812" priority="17959">
      <formula>LEN(TRIM(AH108))=0</formula>
    </cfRule>
    <cfRule type="containsBlanks" dxfId="811" priority="17960">
      <formula>LEN(TRIM(AH108))=0</formula>
    </cfRule>
    <cfRule type="containsBlanks" dxfId="810" priority="17961">
      <formula>LEN(TRIM(AH108))=0</formula>
    </cfRule>
    <cfRule type="containsBlanks" dxfId="809" priority="17962">
      <formula>LEN(TRIM(AH108))=0</formula>
    </cfRule>
    <cfRule type="containsBlanks" dxfId="808" priority="17963">
      <formula>LEN(TRIM(AH108))=0</formula>
    </cfRule>
    <cfRule type="containsBlanks" dxfId="807" priority="17964">
      <formula>LEN(TRIM(AH108))=0</formula>
    </cfRule>
    <cfRule type="containsBlanks" dxfId="806" priority="17965">
      <formula>LEN(TRIM(AH108))=0</formula>
    </cfRule>
    <cfRule type="containsBlanks" dxfId="805" priority="17966">
      <formula>LEN(TRIM(AH108))=0</formula>
    </cfRule>
    <cfRule type="containsBlanks" dxfId="804" priority="17967">
      <formula>LEN(TRIM(AH108))=0</formula>
    </cfRule>
    <cfRule type="containsBlanks" dxfId="803" priority="17968">
      <formula>LEN(TRIM(AH108))=0</formula>
    </cfRule>
    <cfRule type="containsBlanks" dxfId="802" priority="17969">
      <formula>LEN(TRIM(AH108))=0</formula>
    </cfRule>
    <cfRule type="containsBlanks" dxfId="801" priority="17970">
      <formula>LEN(TRIM(AH108))=0</formula>
    </cfRule>
    <cfRule type="containsBlanks" dxfId="800" priority="17971">
      <formula>LEN(TRIM(AH108))=0</formula>
    </cfRule>
    <cfRule type="containsBlanks" dxfId="799" priority="17972">
      <formula>LEN(TRIM(AH108))=0</formula>
    </cfRule>
    <cfRule type="containsBlanks" dxfId="798" priority="17973">
      <formula>LEN(TRIM(AH108))=0</formula>
    </cfRule>
    <cfRule type="containsBlanks" dxfId="797" priority="17974">
      <formula>LEN(TRIM(AH108))=0</formula>
    </cfRule>
    <cfRule type="containsBlanks" dxfId="796" priority="17975">
      <formula>LEN(TRIM(AH108))=0</formula>
    </cfRule>
    <cfRule type="containsBlanks" dxfId="795" priority="17976">
      <formula>LEN(TRIM(AH108))=0</formula>
    </cfRule>
    <cfRule type="containsBlanks" dxfId="794" priority="17977">
      <formula>LEN(TRIM(AH108))=0</formula>
    </cfRule>
    <cfRule type="containsBlanks" dxfId="793" priority="17978">
      <formula>LEN(TRIM(AH108))=0</formula>
    </cfRule>
    <cfRule type="containsBlanks" dxfId="792" priority="17979">
      <formula>LEN(TRIM(AH108))=0</formula>
    </cfRule>
    <cfRule type="containsBlanks" dxfId="791" priority="17980">
      <formula>LEN(TRIM(AH108))=0</formula>
    </cfRule>
    <cfRule type="containsBlanks" dxfId="790" priority="17981">
      <formula>LEN(TRIM(AH108))=0</formula>
    </cfRule>
    <cfRule type="containsBlanks" dxfId="789" priority="17982">
      <formula>LEN(TRIM(AH108))=0</formula>
    </cfRule>
    <cfRule type="containsBlanks" dxfId="788" priority="17983">
      <formula>LEN(TRIM(AH108))=0</formula>
    </cfRule>
    <cfRule type="containsBlanks" dxfId="787" priority="17984">
      <formula>LEN(TRIM(AH108))=0</formula>
    </cfRule>
    <cfRule type="containsBlanks" dxfId="786" priority="17985">
      <formula>LEN(TRIM(AH108))=0</formula>
    </cfRule>
    <cfRule type="containsBlanks" dxfId="785" priority="17986">
      <formula>LEN(TRIM(AH108))=0</formula>
    </cfRule>
    <cfRule type="containsBlanks" dxfId="784" priority="17987">
      <formula>LEN(TRIM(AH108))=0</formula>
    </cfRule>
    <cfRule type="containsBlanks" dxfId="783" priority="17988">
      <formula>LEN(TRIM(AH108))=0</formula>
    </cfRule>
    <cfRule type="containsBlanks" dxfId="782" priority="17989">
      <formula>LEN(TRIM(AH108))=0</formula>
    </cfRule>
    <cfRule type="containsBlanks" dxfId="781" priority="17990">
      <formula>LEN(TRIM(AH108))=0</formula>
    </cfRule>
    <cfRule type="containsBlanks" dxfId="780" priority="17991">
      <formula>LEN(TRIM(AH108))=0</formula>
    </cfRule>
    <cfRule type="containsBlanks" dxfId="779" priority="17992">
      <formula>LEN(TRIM(AH108))=0</formula>
    </cfRule>
    <cfRule type="containsBlanks" dxfId="778" priority="17993">
      <formula>LEN(TRIM(AH108))=0</formula>
    </cfRule>
    <cfRule type="containsBlanks" dxfId="777" priority="17994">
      <formula>LEN(TRIM(AH108))=0</formula>
    </cfRule>
    <cfRule type="containsBlanks" dxfId="776" priority="17995">
      <formula>LEN(TRIM(AH108))=0</formula>
    </cfRule>
    <cfRule type="containsBlanks" dxfId="775" priority="17996">
      <formula>LEN(TRIM(AH108))=0</formula>
    </cfRule>
    <cfRule type="containsBlanks" dxfId="774" priority="17997">
      <formula>LEN(TRIM(AH108))=0</formula>
    </cfRule>
    <cfRule type="containsBlanks" dxfId="773" priority="17998">
      <formula>LEN(TRIM(AH108))=0</formula>
    </cfRule>
    <cfRule type="containsBlanks" dxfId="772" priority="17999">
      <formula>LEN(TRIM(AH108))=0</formula>
    </cfRule>
    <cfRule type="containsBlanks" dxfId="771" priority="18000">
      <formula>LEN(TRIM(AH108))=0</formula>
    </cfRule>
    <cfRule type="containsBlanks" dxfId="770" priority="18001">
      <formula>LEN(TRIM(AH108))=0</formula>
    </cfRule>
    <cfRule type="containsBlanks" dxfId="769" priority="18002">
      <formula>LEN(TRIM(AH108))=0</formula>
    </cfRule>
    <cfRule type="containsBlanks" dxfId="768" priority="18003">
      <formula>LEN(TRIM(AH108))=0</formula>
    </cfRule>
    <cfRule type="containsBlanks" dxfId="767" priority="18004">
      <formula>LEN(TRIM(AH108))=0</formula>
    </cfRule>
    <cfRule type="containsBlanks" dxfId="766" priority="18005">
      <formula>LEN(TRIM(AH108))=0</formula>
    </cfRule>
    <cfRule type="containsBlanks" dxfId="765" priority="18006">
      <formula>LEN(TRIM(AH108))=0</formula>
    </cfRule>
    <cfRule type="containsBlanks" dxfId="764" priority="18007">
      <formula>LEN(TRIM(AH108))=0</formula>
    </cfRule>
    <cfRule type="containsBlanks" dxfId="763" priority="18008">
      <formula>LEN(TRIM(AH108))=0</formula>
    </cfRule>
    <cfRule type="containsBlanks" dxfId="762" priority="18009">
      <formula>LEN(TRIM(AH108))=0</formula>
    </cfRule>
    <cfRule type="containsBlanks" dxfId="761" priority="18010">
      <formula>LEN(TRIM(AH108))=0</formula>
    </cfRule>
    <cfRule type="containsBlanks" dxfId="760" priority="18011">
      <formula>LEN(TRIM(AH108))=0</formula>
    </cfRule>
    <cfRule type="containsBlanks" dxfId="759" priority="18012">
      <formula>LEN(TRIM(AH108))=0</formula>
    </cfRule>
    <cfRule type="containsBlanks" dxfId="758" priority="18013">
      <formula>LEN(TRIM(AH108))=0</formula>
    </cfRule>
    <cfRule type="containsBlanks" dxfId="757" priority="18014">
      <formula>LEN(TRIM(AH108))=0</formula>
    </cfRule>
    <cfRule type="containsBlanks" dxfId="756" priority="18015">
      <formula>LEN(TRIM(AH108))=0</formula>
    </cfRule>
    <cfRule type="containsBlanks" dxfId="755" priority="18016">
      <formula>LEN(TRIM(AH108))=0</formula>
    </cfRule>
    <cfRule type="containsBlanks" dxfId="754" priority="18017">
      <formula>LEN(TRIM(AH108))=0</formula>
    </cfRule>
    <cfRule type="containsBlanks" dxfId="753" priority="18018">
      <formula>LEN(TRIM(AH108))=0</formula>
    </cfRule>
    <cfRule type="containsBlanks" dxfId="752" priority="18019">
      <formula>LEN(TRIM(AH108))=0</formula>
    </cfRule>
    <cfRule type="containsBlanks" dxfId="751" priority="18020">
      <formula>LEN(TRIM(AH108))=0</formula>
    </cfRule>
    <cfRule type="containsBlanks" dxfId="750" priority="18021">
      <formula>LEN(TRIM(AH108))=0</formula>
    </cfRule>
    <cfRule type="containsBlanks" dxfId="749" priority="18022">
      <formula>LEN(TRIM(AH108))=0</formula>
    </cfRule>
    <cfRule type="containsBlanks" dxfId="748" priority="18023">
      <formula>LEN(TRIM(AH108))=0</formula>
    </cfRule>
    <cfRule type="containsBlanks" dxfId="747" priority="18024">
      <formula>LEN(TRIM(AH108))=0</formula>
    </cfRule>
    <cfRule type="containsBlanks" dxfId="746" priority="18025">
      <formula>LEN(TRIM(AH108))=0</formula>
    </cfRule>
    <cfRule type="containsBlanks" dxfId="745" priority="18026">
      <formula>LEN(TRIM(AH108))=0</formula>
    </cfRule>
    <cfRule type="containsBlanks" dxfId="744" priority="18027">
      <formula>LEN(TRIM(AH108))=0</formula>
    </cfRule>
    <cfRule type="containsBlanks" dxfId="743" priority="18028">
      <formula>LEN(TRIM(AH108))=0</formula>
    </cfRule>
    <cfRule type="containsBlanks" dxfId="742" priority="18029">
      <formula>LEN(TRIM(AH108))=0</formula>
    </cfRule>
    <cfRule type="containsBlanks" dxfId="741" priority="18030">
      <formula>LEN(TRIM(AH108))=0</formula>
    </cfRule>
    <cfRule type="containsBlanks" dxfId="740" priority="18031">
      <formula>LEN(TRIM(AH108))=0</formula>
    </cfRule>
    <cfRule type="containsBlanks" dxfId="739" priority="18032">
      <formula>LEN(TRIM(AH108))=0</formula>
    </cfRule>
    <cfRule type="containsBlanks" dxfId="738" priority="18033">
      <formula>LEN(TRIM(AH108))=0</formula>
    </cfRule>
    <cfRule type="containsBlanks" dxfId="737" priority="18034">
      <formula>LEN(TRIM(AH108))=0</formula>
    </cfRule>
    <cfRule type="containsBlanks" dxfId="736" priority="18035">
      <formula>LEN(TRIM(AH108))=0</formula>
    </cfRule>
    <cfRule type="containsBlanks" dxfId="735" priority="18036">
      <formula>LEN(TRIM(AH108))=0</formula>
    </cfRule>
    <cfRule type="containsBlanks" dxfId="734" priority="18037">
      <formula>LEN(TRIM(AH108))=0</formula>
    </cfRule>
    <cfRule type="containsBlanks" dxfId="733" priority="18038">
      <formula>LEN(TRIM(AH108))=0</formula>
    </cfRule>
    <cfRule type="containsBlanks" dxfId="732" priority="18039">
      <formula>LEN(TRIM(AH108))=0</formula>
    </cfRule>
    <cfRule type="containsBlanks" dxfId="731" priority="18040">
      <formula>LEN(TRIM(AH108))=0</formula>
    </cfRule>
    <cfRule type="containsBlanks" dxfId="730" priority="18041">
      <formula>LEN(TRIM(AH108))=0</formula>
    </cfRule>
    <cfRule type="containsBlanks" dxfId="729" priority="18042">
      <formula>LEN(TRIM(AH108))=0</formula>
    </cfRule>
    <cfRule type="containsBlanks" dxfId="728" priority="18043">
      <formula>LEN(TRIM(AH108))=0</formula>
    </cfRule>
    <cfRule type="containsBlanks" dxfId="727" priority="18044">
      <formula>LEN(TRIM(AH108))=0</formula>
    </cfRule>
    <cfRule type="containsBlanks" dxfId="726" priority="18045">
      <formula>LEN(TRIM(AH108))=0</formula>
    </cfRule>
    <cfRule type="containsBlanks" dxfId="725" priority="18046">
      <formula>LEN(TRIM(AH108))=0</formula>
    </cfRule>
    <cfRule type="containsBlanks" dxfId="724" priority="18047">
      <formula>LEN(TRIM(AH108))=0</formula>
    </cfRule>
    <cfRule type="containsBlanks" dxfId="723" priority="18048">
      <formula>LEN(TRIM(AH108))=0</formula>
    </cfRule>
    <cfRule type="containsBlanks" dxfId="722" priority="18049">
      <formula>LEN(TRIM(AH108))=0</formula>
    </cfRule>
    <cfRule type="containsBlanks" dxfId="721" priority="18050">
      <formula>LEN(TRIM(AH108))=0</formula>
    </cfRule>
    <cfRule type="containsBlanks" dxfId="720" priority="18051">
      <formula>LEN(TRIM(AH108))=0</formula>
    </cfRule>
    <cfRule type="containsBlanks" dxfId="719" priority="18052">
      <formula>LEN(TRIM(AH108))=0</formula>
    </cfRule>
    <cfRule type="containsBlanks" dxfId="718" priority="18053">
      <formula>LEN(TRIM(AH108))=0</formula>
    </cfRule>
    <cfRule type="containsBlanks" dxfId="717" priority="18054">
      <formula>LEN(TRIM(AH108))=0</formula>
    </cfRule>
    <cfRule type="containsBlanks" dxfId="716" priority="18055">
      <formula>LEN(TRIM(AH108))=0</formula>
    </cfRule>
    <cfRule type="containsBlanks" dxfId="715" priority="18056">
      <formula>LEN(TRIM(AH108))=0</formula>
    </cfRule>
    <cfRule type="containsBlanks" dxfId="714" priority="18057">
      <formula>LEN(TRIM(AH108))=0</formula>
    </cfRule>
    <cfRule type="containsBlanks" dxfId="713" priority="18058">
      <formula>LEN(TRIM(AH108))=0</formula>
    </cfRule>
    <cfRule type="containsBlanks" dxfId="712" priority="18059">
      <formula>LEN(TRIM(AH108))=0</formula>
    </cfRule>
    <cfRule type="containsBlanks" dxfId="711" priority="18060">
      <formula>LEN(TRIM(AH108))=0</formula>
    </cfRule>
    <cfRule type="containsBlanks" dxfId="710" priority="18061">
      <formula>LEN(TRIM(AH108))=0</formula>
    </cfRule>
    <cfRule type="containsBlanks" dxfId="709" priority="18062">
      <formula>LEN(TRIM(AH108))=0</formula>
    </cfRule>
    <cfRule type="containsBlanks" dxfId="708" priority="18063">
      <formula>LEN(TRIM(AH108))=0</formula>
    </cfRule>
    <cfRule type="containsBlanks" dxfId="707" priority="18064">
      <formula>LEN(TRIM(AH108))=0</formula>
    </cfRule>
    <cfRule type="containsBlanks" dxfId="706" priority="18065">
      <formula>LEN(TRIM(AH108))=0</formula>
    </cfRule>
    <cfRule type="containsBlanks" dxfId="705" priority="18066">
      <formula>LEN(TRIM(AH108))=0</formula>
    </cfRule>
    <cfRule type="containsBlanks" dxfId="704" priority="18067">
      <formula>LEN(TRIM(AH108))=0</formula>
    </cfRule>
    <cfRule type="containsBlanks" dxfId="703" priority="18068">
      <formula>LEN(TRIM(AH108))=0</formula>
    </cfRule>
    <cfRule type="containsBlanks" dxfId="702" priority="18069">
      <formula>LEN(TRIM(AH108))=0</formula>
    </cfRule>
    <cfRule type="containsBlanks" dxfId="701" priority="18070">
      <formula>LEN(TRIM(AH108))=0</formula>
    </cfRule>
    <cfRule type="containsBlanks" dxfId="700" priority="18071">
      <formula>LEN(TRIM(AH108))=0</formula>
    </cfRule>
    <cfRule type="containsBlanks" dxfId="699" priority="18072">
      <formula>LEN(TRIM(AH108))=0</formula>
    </cfRule>
    <cfRule type="containsBlanks" dxfId="698" priority="18073">
      <formula>LEN(TRIM(AH108))=0</formula>
    </cfRule>
    <cfRule type="containsBlanks" dxfId="697" priority="18074">
      <formula>LEN(TRIM(AH108))=0</formula>
    </cfRule>
    <cfRule type="containsBlanks" dxfId="696" priority="18075">
      <formula>LEN(TRIM(AH108))=0</formula>
    </cfRule>
    <cfRule type="containsBlanks" dxfId="695" priority="18076">
      <formula>LEN(TRIM(AH108))=0</formula>
    </cfRule>
    <cfRule type="containsBlanks" dxfId="694" priority="18077">
      <formula>LEN(TRIM(AH108))=0</formula>
    </cfRule>
    <cfRule type="containsBlanks" dxfId="693" priority="18078">
      <formula>LEN(TRIM(AH108))=0</formula>
    </cfRule>
    <cfRule type="containsBlanks" dxfId="692" priority="18079">
      <formula>LEN(TRIM(AH108))=0</formula>
    </cfRule>
    <cfRule type="containsBlanks" dxfId="691" priority="18080">
      <formula>LEN(TRIM(AH108))=0</formula>
    </cfRule>
    <cfRule type="containsBlanks" dxfId="690" priority="18081">
      <formula>LEN(TRIM(AH108))=0</formula>
    </cfRule>
    <cfRule type="containsBlanks" dxfId="689" priority="18082">
      <formula>LEN(TRIM(AH108))=0</formula>
    </cfRule>
    <cfRule type="containsBlanks" dxfId="688" priority="18083">
      <formula>LEN(TRIM(AH108))=0</formula>
    </cfRule>
    <cfRule type="containsBlanks" dxfId="687" priority="18084">
      <formula>LEN(TRIM(AH108))=0</formula>
    </cfRule>
    <cfRule type="containsBlanks" dxfId="686" priority="18085">
      <formula>LEN(TRIM(AH108))=0</formula>
    </cfRule>
    <cfRule type="containsBlanks" dxfId="685" priority="18086">
      <formula>LEN(TRIM(AH108))=0</formula>
    </cfRule>
    <cfRule type="containsBlanks" dxfId="684" priority="18087">
      <formula>LEN(TRIM(AH108))=0</formula>
    </cfRule>
    <cfRule type="containsBlanks" dxfId="683" priority="18088">
      <formula>LEN(TRIM(AH108))=0</formula>
    </cfRule>
    <cfRule type="containsBlanks" dxfId="682" priority="18089">
      <formula>LEN(TRIM(AH108))=0</formula>
    </cfRule>
    <cfRule type="containsBlanks" dxfId="681" priority="18090">
      <formula>LEN(TRIM(AH108))=0</formula>
    </cfRule>
    <cfRule type="containsBlanks" dxfId="680" priority="18091">
      <formula>LEN(TRIM(AH108))=0</formula>
    </cfRule>
    <cfRule type="containsBlanks" dxfId="679" priority="18092">
      <formula>LEN(TRIM(AH108))=0</formula>
    </cfRule>
    <cfRule type="containsBlanks" dxfId="678" priority="18093">
      <formula>LEN(TRIM(AH108))=0</formula>
    </cfRule>
    <cfRule type="containsBlanks" dxfId="677" priority="18094">
      <formula>LEN(TRIM(AH108))=0</formula>
    </cfRule>
    <cfRule type="containsBlanks" dxfId="676" priority="18095">
      <formula>LEN(TRIM(AH108))=0</formula>
    </cfRule>
    <cfRule type="containsBlanks" dxfId="675" priority="18096">
      <formula>LEN(TRIM(AH108))=0</formula>
    </cfRule>
    <cfRule type="containsBlanks" dxfId="674" priority="18097">
      <formula>LEN(TRIM(AH108))=0</formula>
    </cfRule>
    <cfRule type="containsBlanks" dxfId="673" priority="18098">
      <formula>LEN(TRIM(AH108))=0</formula>
    </cfRule>
    <cfRule type="containsBlanks" dxfId="672" priority="18099">
      <formula>LEN(TRIM(AH108))=0</formula>
    </cfRule>
    <cfRule type="containsBlanks" dxfId="671" priority="18100">
      <formula>LEN(TRIM(AH108))=0</formula>
    </cfRule>
    <cfRule type="containsBlanks" dxfId="670" priority="18101">
      <formula>LEN(TRIM(AH108))=0</formula>
    </cfRule>
    <cfRule type="containsBlanks" dxfId="669" priority="18102">
      <formula>LEN(TRIM(AH108))=0</formula>
    </cfRule>
    <cfRule type="containsBlanks" dxfId="668" priority="18103">
      <formula>LEN(TRIM(AH108))=0</formula>
    </cfRule>
    <cfRule type="containsBlanks" dxfId="667" priority="18104">
      <formula>LEN(TRIM(AH108))=0</formula>
    </cfRule>
    <cfRule type="containsBlanks" dxfId="666" priority="18105">
      <formula>LEN(TRIM(AH108))=0</formula>
    </cfRule>
    <cfRule type="containsBlanks" dxfId="665" priority="18106">
      <formula>LEN(TRIM(AH108))=0</formula>
    </cfRule>
    <cfRule type="containsBlanks" dxfId="664" priority="18107">
      <formula>LEN(TRIM(AH108))=0</formula>
    </cfRule>
    <cfRule type="containsBlanks" dxfId="663" priority="18108">
      <formula>LEN(TRIM(AH108))=0</formula>
    </cfRule>
    <cfRule type="containsBlanks" dxfId="662" priority="18109">
      <formula>LEN(TRIM(AH108))=0</formula>
    </cfRule>
    <cfRule type="containsBlanks" dxfId="661" priority="18110">
      <formula>LEN(TRIM(AH108))=0</formula>
    </cfRule>
    <cfRule type="containsBlanks" dxfId="660" priority="18111">
      <formula>LEN(TRIM(AH108))=0</formula>
    </cfRule>
    <cfRule type="containsBlanks" dxfId="659" priority="18112">
      <formula>LEN(TRIM(AH108))=0</formula>
    </cfRule>
    <cfRule type="containsBlanks" dxfId="658" priority="18113">
      <formula>LEN(TRIM(AH108))=0</formula>
    </cfRule>
  </conditionalFormatting>
  <conditionalFormatting sqref="AH123">
    <cfRule type="containsBlanks" dxfId="657" priority="17460">
      <formula>LEN(TRIM(AH123))=0</formula>
    </cfRule>
    <cfRule type="containsBlanks" dxfId="656" priority="17461">
      <formula>LEN(TRIM(AH123))=0</formula>
    </cfRule>
    <cfRule type="containsBlanks" dxfId="655" priority="17462">
      <formula>LEN(TRIM(AH123))=0</formula>
    </cfRule>
    <cfRule type="containsBlanks" dxfId="654" priority="17463">
      <formula>LEN(TRIM(AH123))=0</formula>
    </cfRule>
    <cfRule type="containsBlanks" dxfId="653" priority="17464">
      <formula>LEN(TRIM(AH123))=0</formula>
    </cfRule>
    <cfRule type="containsBlanks" dxfId="652" priority="17465">
      <formula>LEN(TRIM(AH123))=0</formula>
    </cfRule>
    <cfRule type="containsBlanks" dxfId="651" priority="17466">
      <formula>LEN(TRIM(AH123))=0</formula>
    </cfRule>
    <cfRule type="containsBlanks" dxfId="650" priority="17467">
      <formula>LEN(TRIM(AH123))=0</formula>
    </cfRule>
    <cfRule type="containsBlanks" dxfId="649" priority="17468">
      <formula>LEN(TRIM(AH123))=0</formula>
    </cfRule>
    <cfRule type="containsBlanks" dxfId="648" priority="17469">
      <formula>LEN(TRIM(AH123))=0</formula>
    </cfRule>
    <cfRule type="containsBlanks" dxfId="647" priority="17470">
      <formula>LEN(TRIM(AH123))=0</formula>
    </cfRule>
    <cfRule type="containsBlanks" dxfId="646" priority="17471">
      <formula>LEN(TRIM(AH123))=0</formula>
    </cfRule>
    <cfRule type="containsBlanks" dxfId="645" priority="17472">
      <formula>LEN(TRIM(AH123))=0</formula>
    </cfRule>
    <cfRule type="containsBlanks" dxfId="644" priority="17473">
      <formula>LEN(TRIM(AH123))=0</formula>
    </cfRule>
    <cfRule type="containsBlanks" dxfId="643" priority="17474">
      <formula>LEN(TRIM(AH123))=0</formula>
    </cfRule>
    <cfRule type="containsBlanks" dxfId="642" priority="17475">
      <formula>LEN(TRIM(AH123))=0</formula>
    </cfRule>
    <cfRule type="containsBlanks" dxfId="641" priority="17476">
      <formula>LEN(TRIM(AH123))=0</formula>
    </cfRule>
    <cfRule type="containsBlanks" dxfId="640" priority="17477">
      <formula>LEN(TRIM(AH123))=0</formula>
    </cfRule>
    <cfRule type="containsBlanks" dxfId="639" priority="17478">
      <formula>LEN(TRIM(AH123))=0</formula>
    </cfRule>
    <cfRule type="containsBlanks" dxfId="638" priority="17479">
      <formula>LEN(TRIM(AH123))=0</formula>
    </cfRule>
    <cfRule type="containsBlanks" dxfId="637" priority="17480">
      <formula>LEN(TRIM(AH123))=0</formula>
    </cfRule>
    <cfRule type="containsBlanks" dxfId="636" priority="17481">
      <formula>LEN(TRIM(AH123))=0</formula>
    </cfRule>
    <cfRule type="containsBlanks" dxfId="635" priority="17482">
      <formula>LEN(TRIM(AH123))=0</formula>
    </cfRule>
    <cfRule type="containsBlanks" dxfId="634" priority="17483">
      <formula>LEN(TRIM(AH123))=0</formula>
    </cfRule>
    <cfRule type="containsBlanks" dxfId="633" priority="17484">
      <formula>LEN(TRIM(AH123))=0</formula>
    </cfRule>
    <cfRule type="containsBlanks" dxfId="632" priority="17485">
      <formula>LEN(TRIM(AH123))=0</formula>
    </cfRule>
    <cfRule type="containsBlanks" dxfId="631" priority="17486">
      <formula>LEN(TRIM(AH123))=0</formula>
    </cfRule>
    <cfRule type="containsBlanks" dxfId="630" priority="17487">
      <formula>LEN(TRIM(AH123))=0</formula>
    </cfRule>
    <cfRule type="containsBlanks" dxfId="629" priority="17488">
      <formula>LEN(TRIM(AH123))=0</formula>
    </cfRule>
    <cfRule type="containsBlanks" dxfId="628" priority="17489">
      <formula>LEN(TRIM(AH123))=0</formula>
    </cfRule>
    <cfRule type="containsBlanks" dxfId="627" priority="17490">
      <formula>LEN(TRIM(AH123))=0</formula>
    </cfRule>
    <cfRule type="containsBlanks" dxfId="626" priority="17491">
      <formula>LEN(TRIM(AH123))=0</formula>
    </cfRule>
    <cfRule type="containsBlanks" dxfId="625" priority="17492">
      <formula>LEN(TRIM(AH123))=0</formula>
    </cfRule>
    <cfRule type="containsBlanks" dxfId="624" priority="17493">
      <formula>LEN(TRIM(AH123))=0</formula>
    </cfRule>
    <cfRule type="containsBlanks" dxfId="623" priority="17494">
      <formula>LEN(TRIM(AH123))=0</formula>
    </cfRule>
    <cfRule type="containsBlanks" dxfId="622" priority="17495">
      <formula>LEN(TRIM(AH123))=0</formula>
    </cfRule>
    <cfRule type="containsBlanks" dxfId="621" priority="17496">
      <formula>LEN(TRIM(AH123))=0</formula>
    </cfRule>
    <cfRule type="containsBlanks" dxfId="620" priority="17497">
      <formula>LEN(TRIM(AH123))=0</formula>
    </cfRule>
    <cfRule type="containsBlanks" dxfId="619" priority="17498">
      <formula>LEN(TRIM(AH123))=0</formula>
    </cfRule>
    <cfRule type="containsBlanks" dxfId="618" priority="17499">
      <formula>LEN(TRIM(AH123))=0</formula>
    </cfRule>
    <cfRule type="containsBlanks" dxfId="617" priority="17500">
      <formula>LEN(TRIM(AH123))=0</formula>
    </cfRule>
    <cfRule type="containsBlanks" dxfId="616" priority="17501">
      <formula>LEN(TRIM(AH123))=0</formula>
    </cfRule>
    <cfRule type="containsBlanks" dxfId="615" priority="17502">
      <formula>LEN(TRIM(AH123))=0</formula>
    </cfRule>
    <cfRule type="containsBlanks" dxfId="614" priority="17503">
      <formula>LEN(TRIM(AH123))=0</formula>
    </cfRule>
    <cfRule type="containsBlanks" dxfId="613" priority="17504">
      <formula>LEN(TRIM(AH123))=0</formula>
    </cfRule>
    <cfRule type="containsBlanks" dxfId="612" priority="17505">
      <formula>LEN(TRIM(AH123))=0</formula>
    </cfRule>
    <cfRule type="containsBlanks" dxfId="611" priority="17506">
      <formula>LEN(TRIM(AH123))=0</formula>
    </cfRule>
    <cfRule type="containsBlanks" dxfId="610" priority="17507">
      <formula>LEN(TRIM(AH123))=0</formula>
    </cfRule>
    <cfRule type="containsBlanks" dxfId="609" priority="17508">
      <formula>LEN(TRIM(AH123))=0</formula>
    </cfRule>
    <cfRule type="containsBlanks" dxfId="608" priority="17509">
      <formula>LEN(TRIM(AH123))=0</formula>
    </cfRule>
    <cfRule type="containsBlanks" dxfId="607" priority="17510">
      <formula>LEN(TRIM(AH123))=0</formula>
    </cfRule>
    <cfRule type="containsBlanks" dxfId="606" priority="17511">
      <formula>LEN(TRIM(AH123))=0</formula>
    </cfRule>
    <cfRule type="containsBlanks" dxfId="605" priority="17512">
      <formula>LEN(TRIM(AH123))=0</formula>
    </cfRule>
    <cfRule type="containsBlanks" dxfId="604" priority="17513">
      <formula>LEN(TRIM(AH123))=0</formula>
    </cfRule>
    <cfRule type="containsBlanks" dxfId="603" priority="17514">
      <formula>LEN(TRIM(AH123))=0</formula>
    </cfRule>
    <cfRule type="containsBlanks" dxfId="602" priority="17515">
      <formula>LEN(TRIM(AH123))=0</formula>
    </cfRule>
    <cfRule type="containsBlanks" dxfId="601" priority="17516">
      <formula>LEN(TRIM(AH123))=0</formula>
    </cfRule>
    <cfRule type="containsBlanks" dxfId="600" priority="17517">
      <formula>LEN(TRIM(AH123))=0</formula>
    </cfRule>
    <cfRule type="containsBlanks" dxfId="599" priority="17518">
      <formula>LEN(TRIM(AH123))=0</formula>
    </cfRule>
    <cfRule type="containsBlanks" dxfId="598" priority="17519">
      <formula>LEN(TRIM(AH123))=0</formula>
    </cfRule>
    <cfRule type="containsBlanks" dxfId="597" priority="17520">
      <formula>LEN(TRIM(AH123))=0</formula>
    </cfRule>
    <cfRule type="containsBlanks" dxfId="596" priority="17521">
      <formula>LEN(TRIM(AH123))=0</formula>
    </cfRule>
    <cfRule type="containsBlanks" dxfId="595" priority="17522">
      <formula>LEN(TRIM(AH123))=0</formula>
    </cfRule>
    <cfRule type="containsBlanks" dxfId="594" priority="17523">
      <formula>LEN(TRIM(AH123))=0</formula>
    </cfRule>
    <cfRule type="containsBlanks" dxfId="593" priority="17524">
      <formula>LEN(TRIM(AH123))=0</formula>
    </cfRule>
    <cfRule type="containsBlanks" dxfId="592" priority="17525">
      <formula>LEN(TRIM(AH123))=0</formula>
    </cfRule>
    <cfRule type="containsBlanks" dxfId="591" priority="17526">
      <formula>LEN(TRIM(AH123))=0</formula>
    </cfRule>
    <cfRule type="containsBlanks" dxfId="590" priority="17527">
      <formula>LEN(TRIM(AH123))=0</formula>
    </cfRule>
    <cfRule type="containsBlanks" dxfId="589" priority="17528">
      <formula>LEN(TRIM(AH123))=0</formula>
    </cfRule>
    <cfRule type="containsBlanks" dxfId="588" priority="17529">
      <formula>LEN(TRIM(AH123))=0</formula>
    </cfRule>
    <cfRule type="containsBlanks" dxfId="587" priority="17530">
      <formula>LEN(TRIM(AH123))=0</formula>
    </cfRule>
    <cfRule type="containsBlanks" dxfId="586" priority="17531">
      <formula>LEN(TRIM(AH123))=0</formula>
    </cfRule>
    <cfRule type="containsBlanks" dxfId="585" priority="17532">
      <formula>LEN(TRIM(AH123))=0</formula>
    </cfRule>
    <cfRule type="containsBlanks" dxfId="584" priority="17533">
      <formula>LEN(TRIM(AH123))=0</formula>
    </cfRule>
    <cfRule type="containsBlanks" dxfId="583" priority="17534">
      <formula>LEN(TRIM(AH123))=0</formula>
    </cfRule>
    <cfRule type="containsBlanks" dxfId="582" priority="17535">
      <formula>LEN(TRIM(AH123))=0</formula>
    </cfRule>
    <cfRule type="containsBlanks" dxfId="581" priority="17536">
      <formula>LEN(TRIM(AH123))=0</formula>
    </cfRule>
    <cfRule type="containsBlanks" dxfId="580" priority="17537">
      <formula>LEN(TRIM(AH123))=0</formula>
    </cfRule>
    <cfRule type="containsBlanks" dxfId="579" priority="17538">
      <formula>LEN(TRIM(AH123))=0</formula>
    </cfRule>
    <cfRule type="containsBlanks" dxfId="578" priority="17539">
      <formula>LEN(TRIM(AH123))=0</formula>
    </cfRule>
    <cfRule type="containsBlanks" dxfId="577" priority="17540">
      <formula>LEN(TRIM(AH123))=0</formula>
    </cfRule>
    <cfRule type="containsBlanks" dxfId="576" priority="17541">
      <formula>LEN(TRIM(AH123))=0</formula>
    </cfRule>
    <cfRule type="containsBlanks" dxfId="575" priority="17542">
      <formula>LEN(TRIM(AH123))=0</formula>
    </cfRule>
    <cfRule type="containsBlanks" dxfId="574" priority="17543">
      <formula>LEN(TRIM(AH123))=0</formula>
    </cfRule>
    <cfRule type="containsBlanks" dxfId="573" priority="17544">
      <formula>LEN(TRIM(AH123))=0</formula>
    </cfRule>
    <cfRule type="containsBlanks" dxfId="572" priority="17545">
      <formula>LEN(TRIM(AH123))=0</formula>
    </cfRule>
    <cfRule type="containsBlanks" dxfId="571" priority="17546">
      <formula>LEN(TRIM(AH123))=0</formula>
    </cfRule>
    <cfRule type="containsBlanks" dxfId="570" priority="17547">
      <formula>LEN(TRIM(AH123))=0</formula>
    </cfRule>
    <cfRule type="containsBlanks" dxfId="569" priority="17548">
      <formula>LEN(TRIM(AH123))=0</formula>
    </cfRule>
    <cfRule type="containsBlanks" dxfId="568" priority="17549">
      <formula>LEN(TRIM(AH123))=0</formula>
    </cfRule>
    <cfRule type="containsBlanks" dxfId="567" priority="17550">
      <formula>LEN(TRIM(AH123))=0</formula>
    </cfRule>
    <cfRule type="containsBlanks" dxfId="566" priority="17551">
      <formula>LEN(TRIM(AH123))=0</formula>
    </cfRule>
    <cfRule type="containsBlanks" dxfId="565" priority="17552">
      <formula>LEN(TRIM(AH123))=0</formula>
    </cfRule>
    <cfRule type="containsBlanks" dxfId="564" priority="17553">
      <formula>LEN(TRIM(AH123))=0</formula>
    </cfRule>
    <cfRule type="containsBlanks" dxfId="563" priority="17554">
      <formula>LEN(TRIM(AH123))=0</formula>
    </cfRule>
    <cfRule type="containsBlanks" dxfId="562" priority="17555">
      <formula>LEN(TRIM(AH123))=0</formula>
    </cfRule>
    <cfRule type="containsBlanks" dxfId="561" priority="17556">
      <formula>LEN(TRIM(AH123))=0</formula>
    </cfRule>
    <cfRule type="containsBlanks" dxfId="560" priority="17557">
      <formula>LEN(TRIM(AH123))=0</formula>
    </cfRule>
    <cfRule type="containsBlanks" dxfId="559" priority="17558">
      <formula>LEN(TRIM(AH123))=0</formula>
    </cfRule>
    <cfRule type="containsBlanks" dxfId="558" priority="17559">
      <formula>LEN(TRIM(AH123))=0</formula>
    </cfRule>
    <cfRule type="containsBlanks" dxfId="557" priority="17560">
      <formula>LEN(TRIM(AH123))=0</formula>
    </cfRule>
    <cfRule type="containsBlanks" dxfId="556" priority="17561">
      <formula>LEN(TRIM(AH123))=0</formula>
    </cfRule>
    <cfRule type="containsBlanks" dxfId="555" priority="17562">
      <formula>LEN(TRIM(AH123))=0</formula>
    </cfRule>
    <cfRule type="containsBlanks" dxfId="554" priority="17563">
      <formula>LEN(TRIM(AH123))=0</formula>
    </cfRule>
    <cfRule type="containsBlanks" dxfId="553" priority="17564">
      <formula>LEN(TRIM(AH123))=0</formula>
    </cfRule>
    <cfRule type="containsBlanks" dxfId="552" priority="17565">
      <formula>LEN(TRIM(AH123))=0</formula>
    </cfRule>
    <cfRule type="containsBlanks" dxfId="551" priority="17566">
      <formula>LEN(TRIM(AH123))=0</formula>
    </cfRule>
    <cfRule type="containsBlanks" dxfId="550" priority="17567">
      <formula>LEN(TRIM(AH123))=0</formula>
    </cfRule>
    <cfRule type="containsBlanks" dxfId="549" priority="17568">
      <formula>LEN(TRIM(AH123))=0</formula>
    </cfRule>
    <cfRule type="containsBlanks" dxfId="548" priority="17569">
      <formula>LEN(TRIM(AH123))=0</formula>
    </cfRule>
    <cfRule type="containsBlanks" dxfId="547" priority="17570">
      <formula>LEN(TRIM(AH123))=0</formula>
    </cfRule>
    <cfRule type="containsBlanks" dxfId="546" priority="17571">
      <formula>LEN(TRIM(AH123))=0</formula>
    </cfRule>
    <cfRule type="containsBlanks" dxfId="545" priority="17572">
      <formula>LEN(TRIM(AH123))=0</formula>
    </cfRule>
    <cfRule type="containsBlanks" dxfId="544" priority="17573">
      <formula>LEN(TRIM(AH123))=0</formula>
    </cfRule>
    <cfRule type="containsBlanks" dxfId="543" priority="17574">
      <formula>LEN(TRIM(AH123))=0</formula>
    </cfRule>
    <cfRule type="containsBlanks" dxfId="542" priority="17575">
      <formula>LEN(TRIM(AH123))=0</formula>
    </cfRule>
    <cfRule type="containsBlanks" dxfId="541" priority="17576">
      <formula>LEN(TRIM(AH123))=0</formula>
    </cfRule>
    <cfRule type="containsBlanks" dxfId="540" priority="17577">
      <formula>LEN(TRIM(AH123))=0</formula>
    </cfRule>
    <cfRule type="containsBlanks" dxfId="539" priority="17578">
      <formula>LEN(TRIM(AH123))=0</formula>
    </cfRule>
    <cfRule type="containsBlanks" dxfId="538" priority="17579">
      <formula>LEN(TRIM(AH123))=0</formula>
    </cfRule>
    <cfRule type="containsBlanks" dxfId="537" priority="17580">
      <formula>LEN(TRIM(AH123))=0</formula>
    </cfRule>
    <cfRule type="containsBlanks" dxfId="536" priority="17581">
      <formula>LEN(TRIM(AH123))=0</formula>
    </cfRule>
    <cfRule type="containsBlanks" dxfId="535" priority="17582">
      <formula>LEN(TRIM(AH123))=0</formula>
    </cfRule>
    <cfRule type="containsBlanks" dxfId="534" priority="17583">
      <formula>LEN(TRIM(AH123))=0</formula>
    </cfRule>
    <cfRule type="containsBlanks" dxfId="533" priority="17584">
      <formula>LEN(TRIM(AH123))=0</formula>
    </cfRule>
    <cfRule type="containsBlanks" dxfId="532" priority="17585">
      <formula>LEN(TRIM(AH123))=0</formula>
    </cfRule>
    <cfRule type="containsBlanks" dxfId="531" priority="17586">
      <formula>LEN(TRIM(AH123))=0</formula>
    </cfRule>
    <cfRule type="containsBlanks" dxfId="530" priority="17587">
      <formula>LEN(TRIM(AH123))=0</formula>
    </cfRule>
    <cfRule type="containsBlanks" dxfId="529" priority="17588">
      <formula>LEN(TRIM(AH123))=0</formula>
    </cfRule>
    <cfRule type="containsBlanks" dxfId="528" priority="17589">
      <formula>LEN(TRIM(AH123))=0</formula>
    </cfRule>
    <cfRule type="containsBlanks" dxfId="527" priority="17590">
      <formula>LEN(TRIM(AH123))=0</formula>
    </cfRule>
    <cfRule type="containsBlanks" dxfId="526" priority="17591">
      <formula>LEN(TRIM(AH123))=0</formula>
    </cfRule>
    <cfRule type="containsBlanks" dxfId="525" priority="17592">
      <formula>LEN(TRIM(AH123))=0</formula>
    </cfRule>
    <cfRule type="containsBlanks" dxfId="524" priority="17593">
      <formula>LEN(TRIM(AH123))=0</formula>
    </cfRule>
    <cfRule type="containsBlanks" dxfId="523" priority="17594">
      <formula>LEN(TRIM(AH123))=0</formula>
    </cfRule>
    <cfRule type="containsBlanks" dxfId="522" priority="17595">
      <formula>LEN(TRIM(AH123))=0</formula>
    </cfRule>
    <cfRule type="containsBlanks" dxfId="521" priority="17596">
      <formula>LEN(TRIM(AH123))=0</formula>
    </cfRule>
    <cfRule type="containsBlanks" dxfId="520" priority="17597">
      <formula>LEN(TRIM(AH123))=0</formula>
    </cfRule>
    <cfRule type="containsBlanks" dxfId="519" priority="17598">
      <formula>LEN(TRIM(AH123))=0</formula>
    </cfRule>
    <cfRule type="containsBlanks" dxfId="518" priority="17599">
      <formula>LEN(TRIM(AH123))=0</formula>
    </cfRule>
    <cfRule type="containsBlanks" dxfId="517" priority="17600">
      <formula>LEN(TRIM(AH123))=0</formula>
    </cfRule>
    <cfRule type="containsBlanks" dxfId="516" priority="17601">
      <formula>LEN(TRIM(AH123))=0</formula>
    </cfRule>
    <cfRule type="containsBlanks" dxfId="515" priority="17602">
      <formula>LEN(TRIM(AH123))=0</formula>
    </cfRule>
    <cfRule type="containsBlanks" dxfId="514" priority="17603">
      <formula>LEN(TRIM(AH123))=0</formula>
    </cfRule>
    <cfRule type="containsBlanks" dxfId="513" priority="17604">
      <formula>LEN(TRIM(AH123))=0</formula>
    </cfRule>
    <cfRule type="containsBlanks" dxfId="512" priority="17605">
      <formula>LEN(TRIM(AH123))=0</formula>
    </cfRule>
    <cfRule type="containsBlanks" dxfId="511" priority="17606">
      <formula>LEN(TRIM(AH123))=0</formula>
    </cfRule>
    <cfRule type="containsBlanks" dxfId="510" priority="17607">
      <formula>LEN(TRIM(AH123))=0</formula>
    </cfRule>
    <cfRule type="containsBlanks" dxfId="509" priority="17608">
      <formula>LEN(TRIM(AH123))=0</formula>
    </cfRule>
    <cfRule type="containsBlanks" dxfId="508" priority="17609">
      <formula>LEN(TRIM(AH123))=0</formula>
    </cfRule>
    <cfRule type="containsBlanks" dxfId="507" priority="17610">
      <formula>LEN(TRIM(AH123))=0</formula>
    </cfRule>
    <cfRule type="containsBlanks" dxfId="506" priority="17611">
      <formula>LEN(TRIM(AH123))=0</formula>
    </cfRule>
    <cfRule type="containsBlanks" dxfId="505" priority="17612">
      <formula>LEN(TRIM(AH123))=0</formula>
    </cfRule>
    <cfRule type="containsBlanks" dxfId="504" priority="17613">
      <formula>LEN(TRIM(AH123))=0</formula>
    </cfRule>
    <cfRule type="containsBlanks" dxfId="503" priority="17614">
      <formula>LEN(TRIM(AH123))=0</formula>
    </cfRule>
    <cfRule type="containsBlanks" dxfId="502" priority="17615">
      <formula>LEN(TRIM(AH123))=0</formula>
    </cfRule>
    <cfRule type="containsBlanks" dxfId="501" priority="17616">
      <formula>LEN(TRIM(AH123))=0</formula>
    </cfRule>
    <cfRule type="containsBlanks" dxfId="500" priority="17617">
      <formula>LEN(TRIM(AH123))=0</formula>
    </cfRule>
    <cfRule type="containsBlanks" dxfId="499" priority="17618">
      <formula>LEN(TRIM(AH123))=0</formula>
    </cfRule>
    <cfRule type="containsBlanks" dxfId="498" priority="17619">
      <formula>LEN(TRIM(AH123))=0</formula>
    </cfRule>
    <cfRule type="containsBlanks" dxfId="497" priority="17620">
      <formula>LEN(TRIM(AH123))=0</formula>
    </cfRule>
    <cfRule type="containsBlanks" dxfId="496" priority="17621">
      <formula>LEN(TRIM(AH123))=0</formula>
    </cfRule>
    <cfRule type="containsBlanks" dxfId="495" priority="17622">
      <formula>LEN(TRIM(AH123))=0</formula>
    </cfRule>
    <cfRule type="containsBlanks" dxfId="494" priority="17623">
      <formula>LEN(TRIM(AH123))=0</formula>
    </cfRule>
    <cfRule type="containsBlanks" dxfId="493" priority="17624">
      <formula>LEN(TRIM(AH123))=0</formula>
    </cfRule>
    <cfRule type="containsBlanks" dxfId="492" priority="17625">
      <formula>LEN(TRIM(AH123))=0</formula>
    </cfRule>
    <cfRule type="containsBlanks" dxfId="491" priority="17626">
      <formula>LEN(TRIM(AH123))=0</formula>
    </cfRule>
    <cfRule type="containsBlanks" dxfId="490" priority="17627">
      <formula>LEN(TRIM(AH123))=0</formula>
    </cfRule>
    <cfRule type="containsBlanks" dxfId="489" priority="17628">
      <formula>LEN(TRIM(AH123))=0</formula>
    </cfRule>
    <cfRule type="containsBlanks" dxfId="488" priority="17629">
      <formula>LEN(TRIM(AH123))=0</formula>
    </cfRule>
    <cfRule type="containsBlanks" dxfId="487" priority="17630">
      <formula>LEN(TRIM(AH123))=0</formula>
    </cfRule>
    <cfRule type="containsBlanks" dxfId="486" priority="17631">
      <formula>LEN(TRIM(AH123))=0</formula>
    </cfRule>
    <cfRule type="containsBlanks" dxfId="485" priority="17632">
      <formula>LEN(TRIM(AH123))=0</formula>
    </cfRule>
    <cfRule type="containsBlanks" dxfId="484" priority="17633">
      <formula>LEN(TRIM(AH123))=0</formula>
    </cfRule>
    <cfRule type="containsBlanks" dxfId="483" priority="17634">
      <formula>LEN(TRIM(AH123))=0</formula>
    </cfRule>
    <cfRule type="containsBlanks" dxfId="482" priority="17635">
      <formula>LEN(TRIM(AH123))=0</formula>
    </cfRule>
    <cfRule type="containsBlanks" dxfId="481" priority="17636">
      <formula>LEN(TRIM(AH123))=0</formula>
    </cfRule>
    <cfRule type="containsBlanks" dxfId="480" priority="17637">
      <formula>LEN(TRIM(AH123))=0</formula>
    </cfRule>
    <cfRule type="containsBlanks" dxfId="479" priority="17638">
      <formula>LEN(TRIM(AH123))=0</formula>
    </cfRule>
    <cfRule type="containsBlanks" dxfId="478" priority="17639">
      <formula>LEN(TRIM(AH123))=0</formula>
    </cfRule>
    <cfRule type="containsBlanks" dxfId="477" priority="17640">
      <formula>LEN(TRIM(AH123))=0</formula>
    </cfRule>
    <cfRule type="containsBlanks" dxfId="476" priority="17641">
      <formula>LEN(TRIM(AH123))=0</formula>
    </cfRule>
    <cfRule type="containsBlanks" dxfId="475" priority="17642">
      <formula>LEN(TRIM(AH123))=0</formula>
    </cfRule>
    <cfRule type="containsBlanks" dxfId="474" priority="17643">
      <formula>LEN(TRIM(AH123))=0</formula>
    </cfRule>
    <cfRule type="containsBlanks" dxfId="473" priority="17644">
      <formula>LEN(TRIM(AH123))=0</formula>
    </cfRule>
    <cfRule type="containsBlanks" dxfId="472" priority="17645">
      <formula>LEN(TRIM(AH123))=0</formula>
    </cfRule>
    <cfRule type="containsBlanks" dxfId="471" priority="17646">
      <formula>LEN(TRIM(AH123))=0</formula>
    </cfRule>
    <cfRule type="containsBlanks" dxfId="470" priority="17647">
      <formula>LEN(TRIM(AH123))=0</formula>
    </cfRule>
    <cfRule type="containsBlanks" dxfId="469" priority="17648">
      <formula>LEN(TRIM(AH123))=0</formula>
    </cfRule>
    <cfRule type="containsBlanks" dxfId="468" priority="17649">
      <formula>LEN(TRIM(AH123))=0</formula>
    </cfRule>
    <cfRule type="containsBlanks" dxfId="467" priority="17650">
      <formula>LEN(TRIM(AH123))=0</formula>
    </cfRule>
    <cfRule type="containsBlanks" dxfId="466" priority="17651">
      <formula>LEN(TRIM(AH123))=0</formula>
    </cfRule>
    <cfRule type="containsBlanks" dxfId="465" priority="17652">
      <formula>LEN(TRIM(AH123))=0</formula>
    </cfRule>
    <cfRule type="containsBlanks" dxfId="464" priority="17653">
      <formula>LEN(TRIM(AH123))=0</formula>
    </cfRule>
    <cfRule type="containsBlanks" dxfId="463" priority="17654">
      <formula>LEN(TRIM(AH123))=0</formula>
    </cfRule>
    <cfRule type="containsBlanks" dxfId="462" priority="17655">
      <formula>LEN(TRIM(AH123))=0</formula>
    </cfRule>
    <cfRule type="containsBlanks" dxfId="461" priority="17656">
      <formula>LEN(TRIM(AH123))=0</formula>
    </cfRule>
    <cfRule type="containsBlanks" dxfId="460" priority="17657">
      <formula>LEN(TRIM(AH123))=0</formula>
    </cfRule>
    <cfRule type="containsBlanks" dxfId="459" priority="17658">
      <formula>LEN(TRIM(AH123))=0</formula>
    </cfRule>
    <cfRule type="containsBlanks" dxfId="458" priority="17659">
      <formula>LEN(TRIM(AH123))=0</formula>
    </cfRule>
    <cfRule type="containsBlanks" dxfId="457" priority="17660">
      <formula>LEN(TRIM(AH123))=0</formula>
    </cfRule>
    <cfRule type="containsBlanks" dxfId="456" priority="17661">
      <formula>LEN(TRIM(AH123))=0</formula>
    </cfRule>
    <cfRule type="containsBlanks" dxfId="455" priority="17662">
      <formula>LEN(TRIM(AH123))=0</formula>
    </cfRule>
    <cfRule type="containsBlanks" dxfId="454" priority="17663">
      <formula>LEN(TRIM(AH123))=0</formula>
    </cfRule>
    <cfRule type="containsBlanks" dxfId="453" priority="17664">
      <formula>LEN(TRIM(AH123))=0</formula>
    </cfRule>
    <cfRule type="containsBlanks" dxfId="452" priority="17665">
      <formula>LEN(TRIM(AH123))=0</formula>
    </cfRule>
    <cfRule type="containsBlanks" dxfId="451" priority="17666">
      <formula>LEN(TRIM(AH123))=0</formula>
    </cfRule>
    <cfRule type="containsBlanks" dxfId="450" priority="17667">
      <formula>LEN(TRIM(AH123))=0</formula>
    </cfRule>
    <cfRule type="containsBlanks" dxfId="449" priority="17668">
      <formula>LEN(TRIM(AH123))=0</formula>
    </cfRule>
    <cfRule type="containsBlanks" dxfId="448" priority="17669">
      <formula>LEN(TRIM(AH123))=0</formula>
    </cfRule>
    <cfRule type="containsBlanks" dxfId="447" priority="17670">
      <formula>LEN(TRIM(AH123))=0</formula>
    </cfRule>
    <cfRule type="containsBlanks" dxfId="446" priority="17671">
      <formula>LEN(TRIM(AH123))=0</formula>
    </cfRule>
    <cfRule type="containsBlanks" dxfId="445" priority="17672">
      <formula>LEN(TRIM(AH123))=0</formula>
    </cfRule>
    <cfRule type="containsBlanks" dxfId="444" priority="17673">
      <formula>LEN(TRIM(AH123))=0</formula>
    </cfRule>
    <cfRule type="containsBlanks" dxfId="443" priority="17674">
      <formula>LEN(TRIM(AH123))=0</formula>
    </cfRule>
    <cfRule type="containsBlanks" dxfId="442" priority="17675">
      <formula>LEN(TRIM(AH123))=0</formula>
    </cfRule>
    <cfRule type="containsBlanks" dxfId="441" priority="17676">
      <formula>LEN(TRIM(AH123))=0</formula>
    </cfRule>
    <cfRule type="containsBlanks" dxfId="440" priority="17677">
      <formula>LEN(TRIM(AH123))=0</formula>
    </cfRule>
    <cfRule type="containsBlanks" dxfId="439" priority="17678">
      <formula>LEN(TRIM(AH123))=0</formula>
    </cfRule>
    <cfRule type="containsBlanks" dxfId="438" priority="17679">
      <formula>LEN(TRIM(AH123))=0</formula>
    </cfRule>
    <cfRule type="containsBlanks" dxfId="437" priority="17680">
      <formula>LEN(TRIM(AH123))=0</formula>
    </cfRule>
    <cfRule type="containsBlanks" dxfId="436" priority="17681">
      <formula>LEN(TRIM(AH123))=0</formula>
    </cfRule>
    <cfRule type="containsBlanks" dxfId="435" priority="17682">
      <formula>LEN(TRIM(AH123))=0</formula>
    </cfRule>
    <cfRule type="containsBlanks" dxfId="434" priority="17683">
      <formula>LEN(TRIM(AH123))=0</formula>
    </cfRule>
    <cfRule type="containsBlanks" dxfId="433" priority="17684">
      <formula>LEN(TRIM(AH123))=0</formula>
    </cfRule>
    <cfRule type="containsBlanks" dxfId="432" priority="17685">
      <formula>LEN(TRIM(AH123))=0</formula>
    </cfRule>
    <cfRule type="containsBlanks" dxfId="431" priority="17686">
      <formula>LEN(TRIM(AH123))=0</formula>
    </cfRule>
    <cfRule type="containsBlanks" dxfId="430" priority="17687">
      <formula>LEN(TRIM(AH123))=0</formula>
    </cfRule>
    <cfRule type="containsBlanks" dxfId="429" priority="17688">
      <formula>LEN(TRIM(AH123))=0</formula>
    </cfRule>
    <cfRule type="containsBlanks" dxfId="428" priority="17689">
      <formula>LEN(TRIM(AH123))=0</formula>
    </cfRule>
    <cfRule type="containsBlanks" dxfId="427" priority="17690">
      <formula>LEN(TRIM(AH123))=0</formula>
    </cfRule>
    <cfRule type="containsBlanks" dxfId="426" priority="17691">
      <formula>LEN(TRIM(AH123))=0</formula>
    </cfRule>
    <cfRule type="containsBlanks" dxfId="425" priority="17692">
      <formula>LEN(TRIM(AH123))=0</formula>
    </cfRule>
    <cfRule type="containsBlanks" dxfId="424" priority="17693">
      <formula>LEN(TRIM(AH123))=0</formula>
    </cfRule>
    <cfRule type="containsBlanks" dxfId="423" priority="17694">
      <formula>LEN(TRIM(AH123))=0</formula>
    </cfRule>
    <cfRule type="containsBlanks" dxfId="422" priority="17695">
      <formula>LEN(TRIM(AH123))=0</formula>
    </cfRule>
    <cfRule type="containsBlanks" dxfId="421" priority="17696">
      <formula>LEN(TRIM(AH123))=0</formula>
    </cfRule>
    <cfRule type="containsBlanks" dxfId="420" priority="17697">
      <formula>LEN(TRIM(AH123))=0</formula>
    </cfRule>
    <cfRule type="containsBlanks" dxfId="419" priority="17698">
      <formula>LEN(TRIM(AH123))=0</formula>
    </cfRule>
    <cfRule type="containsBlanks" dxfId="418" priority="17699">
      <formula>LEN(TRIM(AH123))=0</formula>
    </cfRule>
    <cfRule type="containsBlanks" dxfId="417" priority="17700">
      <formula>LEN(TRIM(AH123))=0</formula>
    </cfRule>
    <cfRule type="containsBlanks" dxfId="416" priority="17701">
      <formula>LEN(TRIM(AH123))=0</formula>
    </cfRule>
    <cfRule type="containsBlanks" dxfId="415" priority="17702">
      <formula>LEN(TRIM(AH123))=0</formula>
    </cfRule>
    <cfRule type="containsBlanks" dxfId="414" priority="17703">
      <formula>LEN(TRIM(AH123))=0</formula>
    </cfRule>
    <cfRule type="containsBlanks" dxfId="413" priority="17704">
      <formula>LEN(TRIM(AH123))=0</formula>
    </cfRule>
    <cfRule type="containsBlanks" dxfId="412" priority="17705">
      <formula>LEN(TRIM(AH123))=0</formula>
    </cfRule>
    <cfRule type="containsBlanks" dxfId="411" priority="17706">
      <formula>LEN(TRIM(AH123))=0</formula>
    </cfRule>
    <cfRule type="containsBlanks" dxfId="410" priority="17707">
      <formula>LEN(TRIM(AH123))=0</formula>
    </cfRule>
    <cfRule type="containsBlanks" dxfId="409" priority="17708">
      <formula>LEN(TRIM(AH123))=0</formula>
    </cfRule>
    <cfRule type="containsBlanks" dxfId="408" priority="17709">
      <formula>LEN(TRIM(AH123))=0</formula>
    </cfRule>
    <cfRule type="containsBlanks" dxfId="407" priority="17710">
      <formula>LEN(TRIM(AH123))=0</formula>
    </cfRule>
    <cfRule type="containsBlanks" dxfId="406" priority="17711">
      <formula>LEN(TRIM(AH123))=0</formula>
    </cfRule>
    <cfRule type="containsBlanks" dxfId="405" priority="17712">
      <formula>LEN(TRIM(AH123))=0</formula>
    </cfRule>
    <cfRule type="containsBlanks" dxfId="404" priority="17713">
      <formula>LEN(TRIM(AH123))=0</formula>
    </cfRule>
    <cfRule type="containsBlanks" dxfId="403" priority="17714">
      <formula>LEN(TRIM(AH123))=0</formula>
    </cfRule>
    <cfRule type="containsBlanks" dxfId="402" priority="17715">
      <formula>LEN(TRIM(AH123))=0</formula>
    </cfRule>
    <cfRule type="containsBlanks" dxfId="401" priority="17716">
      <formula>LEN(TRIM(AH123))=0</formula>
    </cfRule>
    <cfRule type="containsBlanks" dxfId="400" priority="17717">
      <formula>LEN(TRIM(AH123))=0</formula>
    </cfRule>
    <cfRule type="containsBlanks" dxfId="399" priority="17718">
      <formula>LEN(TRIM(AH123))=0</formula>
    </cfRule>
    <cfRule type="containsBlanks" dxfId="398" priority="17719">
      <formula>LEN(TRIM(AH123))=0</formula>
    </cfRule>
    <cfRule type="containsBlanks" dxfId="397" priority="17720">
      <formula>LEN(TRIM(AH123))=0</formula>
    </cfRule>
    <cfRule type="containsBlanks" dxfId="396" priority="17721">
      <formula>LEN(TRIM(AH123))=0</formula>
    </cfRule>
    <cfRule type="containsBlanks" dxfId="395" priority="17722">
      <formula>LEN(TRIM(AH123))=0</formula>
    </cfRule>
    <cfRule type="containsBlanks" dxfId="394" priority="17723">
      <formula>LEN(TRIM(AH123))=0</formula>
    </cfRule>
    <cfRule type="containsBlanks" dxfId="393" priority="17724">
      <formula>LEN(TRIM(AH123))=0</formula>
    </cfRule>
    <cfRule type="containsBlanks" dxfId="392" priority="17725">
      <formula>LEN(TRIM(AH123))=0</formula>
    </cfRule>
    <cfRule type="containsBlanks" dxfId="391" priority="17726">
      <formula>LEN(TRIM(AH123))=0</formula>
    </cfRule>
    <cfRule type="containsBlanks" dxfId="390" priority="17727">
      <formula>LEN(TRIM(AH123))=0</formula>
    </cfRule>
    <cfRule type="containsBlanks" dxfId="389" priority="17728">
      <formula>LEN(TRIM(AH123))=0</formula>
    </cfRule>
    <cfRule type="containsBlanks" dxfId="388" priority="17729">
      <formula>LEN(TRIM(AH123))=0</formula>
    </cfRule>
    <cfRule type="containsBlanks" dxfId="387" priority="17730">
      <formula>LEN(TRIM(AH123))=0</formula>
    </cfRule>
    <cfRule type="containsBlanks" dxfId="386" priority="17731">
      <formula>LEN(TRIM(AH123))=0</formula>
    </cfRule>
    <cfRule type="containsBlanks" dxfId="385" priority="17732">
      <formula>LEN(TRIM(AH123))=0</formula>
    </cfRule>
    <cfRule type="containsBlanks" dxfId="384" priority="17733">
      <formula>LEN(TRIM(AH123))=0</formula>
    </cfRule>
    <cfRule type="containsBlanks" dxfId="383" priority="17734">
      <formula>LEN(TRIM(AH123))=0</formula>
    </cfRule>
    <cfRule type="containsBlanks" dxfId="382" priority="17735">
      <formula>LEN(TRIM(AH123))=0</formula>
    </cfRule>
    <cfRule type="containsBlanks" dxfId="381" priority="17736">
      <formula>LEN(TRIM(AH123))=0</formula>
    </cfRule>
    <cfRule type="containsBlanks" dxfId="380" priority="17737">
      <formula>LEN(TRIM(AH123))=0</formula>
    </cfRule>
    <cfRule type="containsBlanks" dxfId="379" priority="17738">
      <formula>LEN(TRIM(AH123))=0</formula>
    </cfRule>
    <cfRule type="containsBlanks" dxfId="378" priority="17739">
      <formula>LEN(TRIM(AH123))=0</formula>
    </cfRule>
    <cfRule type="containsBlanks" dxfId="377" priority="17740">
      <formula>LEN(TRIM(AH123))=0</formula>
    </cfRule>
    <cfRule type="containsBlanks" dxfId="376" priority="17741">
      <formula>LEN(TRIM(AH123))=0</formula>
    </cfRule>
    <cfRule type="containsBlanks" dxfId="375" priority="17742">
      <formula>LEN(TRIM(AH123))=0</formula>
    </cfRule>
    <cfRule type="containsBlanks" dxfId="374" priority="17743">
      <formula>LEN(TRIM(AH123))=0</formula>
    </cfRule>
    <cfRule type="containsBlanks" dxfId="373" priority="17744">
      <formula>LEN(TRIM(AH123))=0</formula>
    </cfRule>
    <cfRule type="containsBlanks" dxfId="372" priority="17745">
      <formula>LEN(TRIM(AH123))=0</formula>
    </cfRule>
    <cfRule type="containsBlanks" dxfId="371" priority="17746">
      <formula>LEN(TRIM(AH123))=0</formula>
    </cfRule>
    <cfRule type="containsBlanks" dxfId="370" priority="17747">
      <formula>LEN(TRIM(AH123))=0</formula>
    </cfRule>
    <cfRule type="containsBlanks" dxfId="369" priority="17748">
      <formula>LEN(TRIM(AH123))=0</formula>
    </cfRule>
    <cfRule type="containsBlanks" dxfId="368" priority="17749">
      <formula>LEN(TRIM(AH123))=0</formula>
    </cfRule>
    <cfRule type="containsBlanks" dxfId="367" priority="17750">
      <formula>LEN(TRIM(AH123))=0</formula>
    </cfRule>
    <cfRule type="containsBlanks" dxfId="366" priority="17751">
      <formula>LEN(TRIM(AH123))=0</formula>
    </cfRule>
    <cfRule type="containsBlanks" dxfId="365" priority="17752">
      <formula>LEN(TRIM(AH123))=0</formula>
    </cfRule>
    <cfRule type="containsBlanks" dxfId="364" priority="17753">
      <formula>LEN(TRIM(AH123))=0</formula>
    </cfRule>
    <cfRule type="containsBlanks" dxfId="363" priority="17754">
      <formula>LEN(TRIM(AH123))=0</formula>
    </cfRule>
    <cfRule type="containsBlanks" dxfId="362" priority="17755">
      <formula>LEN(TRIM(AH123))=0</formula>
    </cfRule>
    <cfRule type="containsBlanks" dxfId="361" priority="17756">
      <formula>LEN(TRIM(AH123))=0</formula>
    </cfRule>
    <cfRule type="containsBlanks" dxfId="360" priority="17757">
      <formula>LEN(TRIM(AH123))=0</formula>
    </cfRule>
    <cfRule type="containsBlanks" dxfId="359" priority="17758">
      <formula>LEN(TRIM(AH123))=0</formula>
    </cfRule>
    <cfRule type="containsBlanks" dxfId="358" priority="17759">
      <formula>LEN(TRIM(AH123))=0</formula>
    </cfRule>
    <cfRule type="containsBlanks" dxfId="357" priority="17760">
      <formula>LEN(TRIM(AH123))=0</formula>
    </cfRule>
    <cfRule type="containsBlanks" dxfId="356" priority="17761">
      <formula>LEN(TRIM(AH123))=0</formula>
    </cfRule>
    <cfRule type="containsBlanks" dxfId="355" priority="17762">
      <formula>LEN(TRIM(AH123))=0</formula>
    </cfRule>
    <cfRule type="containsBlanks" dxfId="354" priority="17763">
      <formula>LEN(TRIM(AH123))=0</formula>
    </cfRule>
    <cfRule type="containsBlanks" dxfId="353" priority="17764">
      <formula>LEN(TRIM(AH123))=0</formula>
    </cfRule>
    <cfRule type="containsBlanks" dxfId="352" priority="17765">
      <formula>LEN(TRIM(AH123))=0</formula>
    </cfRule>
    <cfRule type="containsBlanks" dxfId="351" priority="17766">
      <formula>LEN(TRIM(AH123))=0</formula>
    </cfRule>
    <cfRule type="containsBlanks" dxfId="350" priority="17767">
      <formula>LEN(TRIM(AH123))=0</formula>
    </cfRule>
    <cfRule type="containsBlanks" dxfId="349" priority="17768">
      <formula>LEN(TRIM(AH123))=0</formula>
    </cfRule>
    <cfRule type="containsBlanks" dxfId="348" priority="17769">
      <formula>LEN(TRIM(AH123))=0</formula>
    </cfRule>
    <cfRule type="containsBlanks" dxfId="347" priority="17770">
      <formula>LEN(TRIM(AH123))=0</formula>
    </cfRule>
    <cfRule type="containsBlanks" dxfId="346" priority="17771">
      <formula>LEN(TRIM(AH123))=0</formula>
    </cfRule>
    <cfRule type="containsBlanks" dxfId="345" priority="17772">
      <formula>LEN(TRIM(AH123))=0</formula>
    </cfRule>
    <cfRule type="containsBlanks" dxfId="344" priority="17773">
      <formula>LEN(TRIM(AH123))=0</formula>
    </cfRule>
    <cfRule type="containsBlanks" dxfId="343" priority="17774">
      <formula>LEN(TRIM(AH123))=0</formula>
    </cfRule>
    <cfRule type="containsBlanks" dxfId="342" priority="17775">
      <formula>LEN(TRIM(AH123))=0</formula>
    </cfRule>
    <cfRule type="containsBlanks" dxfId="341" priority="17776">
      <formula>LEN(TRIM(AH123))=0</formula>
    </cfRule>
    <cfRule type="containsBlanks" dxfId="340" priority="17777">
      <formula>LEN(TRIM(AH123))=0</formula>
    </cfRule>
    <cfRule type="containsBlanks" dxfId="339" priority="17778">
      <formula>LEN(TRIM(AH123))=0</formula>
    </cfRule>
    <cfRule type="containsBlanks" dxfId="338" priority="17779">
      <formula>LEN(TRIM(AH123))=0</formula>
    </cfRule>
    <cfRule type="containsBlanks" dxfId="337" priority="17780">
      <formula>LEN(TRIM(AH123))=0</formula>
    </cfRule>
    <cfRule type="containsBlanks" dxfId="336" priority="17781">
      <formula>LEN(TRIM(AH123))=0</formula>
    </cfRule>
    <cfRule type="containsBlanks" dxfId="335" priority="17782">
      <formula>LEN(TRIM(AH123))=0</formula>
    </cfRule>
    <cfRule type="containsBlanks" dxfId="334" priority="17783">
      <formula>LEN(TRIM(AH123))=0</formula>
    </cfRule>
    <cfRule type="containsBlanks" dxfId="333" priority="17784">
      <formula>LEN(TRIM(AH123))=0</formula>
    </cfRule>
    <cfRule type="containsBlanks" dxfId="332" priority="17785">
      <formula>LEN(TRIM(AH123))=0</formula>
    </cfRule>
    <cfRule type="containsBlanks" dxfId="331" priority="17786">
      <formula>LEN(TRIM(AH123))=0</formula>
    </cfRule>
  </conditionalFormatting>
  <conditionalFormatting sqref="AH125:AH126">
    <cfRule type="containsBlanks" dxfId="330" priority="17133">
      <formula>LEN(TRIM(AH125))=0</formula>
    </cfRule>
    <cfRule type="containsBlanks" dxfId="329" priority="17134">
      <formula>LEN(TRIM(AH125))=0</formula>
    </cfRule>
    <cfRule type="containsBlanks" dxfId="328" priority="17135">
      <formula>LEN(TRIM(AH125))=0</formula>
    </cfRule>
    <cfRule type="containsBlanks" dxfId="327" priority="17136">
      <formula>LEN(TRIM(AH125))=0</formula>
    </cfRule>
    <cfRule type="containsBlanks" dxfId="326" priority="17137">
      <formula>LEN(TRIM(AH125))=0</formula>
    </cfRule>
    <cfRule type="containsBlanks" dxfId="325" priority="17138">
      <formula>LEN(TRIM(AH125))=0</formula>
    </cfRule>
    <cfRule type="containsBlanks" dxfId="324" priority="17139">
      <formula>LEN(TRIM(AH125))=0</formula>
    </cfRule>
    <cfRule type="containsBlanks" dxfId="323" priority="17140">
      <formula>LEN(TRIM(AH125))=0</formula>
    </cfRule>
    <cfRule type="containsBlanks" dxfId="322" priority="17141">
      <formula>LEN(TRIM(AH125))=0</formula>
    </cfRule>
    <cfRule type="containsBlanks" dxfId="321" priority="17142">
      <formula>LEN(TRIM(AH125))=0</formula>
    </cfRule>
    <cfRule type="containsBlanks" dxfId="320" priority="17143">
      <formula>LEN(TRIM(AH125))=0</formula>
    </cfRule>
    <cfRule type="containsBlanks" dxfId="319" priority="17144">
      <formula>LEN(TRIM(AH125))=0</formula>
    </cfRule>
    <cfRule type="containsBlanks" dxfId="318" priority="17145">
      <formula>LEN(TRIM(AH125))=0</formula>
    </cfRule>
    <cfRule type="containsBlanks" dxfId="317" priority="17146">
      <formula>LEN(TRIM(AH125))=0</formula>
    </cfRule>
    <cfRule type="containsBlanks" dxfId="316" priority="17147">
      <formula>LEN(TRIM(AH125))=0</formula>
    </cfRule>
    <cfRule type="containsBlanks" dxfId="315" priority="17148">
      <formula>LEN(TRIM(AH125))=0</formula>
    </cfRule>
    <cfRule type="containsBlanks" dxfId="314" priority="17149">
      <formula>LEN(TRIM(AH125))=0</formula>
    </cfRule>
    <cfRule type="containsBlanks" dxfId="313" priority="17150">
      <formula>LEN(TRIM(AH125))=0</formula>
    </cfRule>
    <cfRule type="containsBlanks" dxfId="312" priority="17151">
      <formula>LEN(TRIM(AH125))=0</formula>
    </cfRule>
    <cfRule type="containsBlanks" dxfId="311" priority="17152">
      <formula>LEN(TRIM(AH125))=0</formula>
    </cfRule>
    <cfRule type="containsBlanks" dxfId="310" priority="17153">
      <formula>LEN(TRIM(AH125))=0</formula>
    </cfRule>
    <cfRule type="containsBlanks" dxfId="309" priority="17154">
      <formula>LEN(TRIM(AH125))=0</formula>
    </cfRule>
    <cfRule type="containsBlanks" dxfId="308" priority="17155">
      <formula>LEN(TRIM(AH125))=0</formula>
    </cfRule>
    <cfRule type="containsBlanks" dxfId="307" priority="17156">
      <formula>LEN(TRIM(AH125))=0</formula>
    </cfRule>
    <cfRule type="containsBlanks" dxfId="306" priority="17157">
      <formula>LEN(TRIM(AH125))=0</formula>
    </cfRule>
    <cfRule type="containsBlanks" dxfId="305" priority="17158">
      <formula>LEN(TRIM(AH125))=0</formula>
    </cfRule>
    <cfRule type="containsBlanks" dxfId="304" priority="17159">
      <formula>LEN(TRIM(AH125))=0</formula>
    </cfRule>
    <cfRule type="containsBlanks" dxfId="303" priority="17160">
      <formula>LEN(TRIM(AH125))=0</formula>
    </cfRule>
    <cfRule type="containsBlanks" dxfId="302" priority="17161">
      <formula>LEN(TRIM(AH125))=0</formula>
    </cfRule>
    <cfRule type="containsBlanks" dxfId="301" priority="17162">
      <formula>LEN(TRIM(AH125))=0</formula>
    </cfRule>
    <cfRule type="containsBlanks" dxfId="300" priority="17163">
      <formula>LEN(TRIM(AH125))=0</formula>
    </cfRule>
    <cfRule type="containsBlanks" dxfId="299" priority="17164">
      <formula>LEN(TRIM(AH125))=0</formula>
    </cfRule>
    <cfRule type="containsBlanks" dxfId="298" priority="17165">
      <formula>LEN(TRIM(AH125))=0</formula>
    </cfRule>
    <cfRule type="containsBlanks" dxfId="297" priority="17166">
      <formula>LEN(TRIM(AH125))=0</formula>
    </cfRule>
    <cfRule type="containsBlanks" dxfId="296" priority="17167">
      <formula>LEN(TRIM(AH125))=0</formula>
    </cfRule>
    <cfRule type="containsBlanks" dxfId="295" priority="17168">
      <formula>LEN(TRIM(AH125))=0</formula>
    </cfRule>
    <cfRule type="containsBlanks" dxfId="294" priority="17169">
      <formula>LEN(TRIM(AH125))=0</formula>
    </cfRule>
    <cfRule type="containsBlanks" dxfId="293" priority="17170">
      <formula>LEN(TRIM(AH125))=0</formula>
    </cfRule>
    <cfRule type="containsBlanks" dxfId="292" priority="17171">
      <formula>LEN(TRIM(AH125))=0</formula>
    </cfRule>
    <cfRule type="containsBlanks" dxfId="291" priority="17172">
      <formula>LEN(TRIM(AH125))=0</formula>
    </cfRule>
    <cfRule type="containsBlanks" dxfId="290" priority="17173">
      <formula>LEN(TRIM(AH125))=0</formula>
    </cfRule>
    <cfRule type="containsBlanks" dxfId="289" priority="17174">
      <formula>LEN(TRIM(AH125))=0</formula>
    </cfRule>
    <cfRule type="containsBlanks" dxfId="288" priority="17175">
      <formula>LEN(TRIM(AH125))=0</formula>
    </cfRule>
    <cfRule type="containsBlanks" dxfId="287" priority="17176">
      <formula>LEN(TRIM(AH125))=0</formula>
    </cfRule>
    <cfRule type="containsBlanks" dxfId="286" priority="17177">
      <formula>LEN(TRIM(AH125))=0</formula>
    </cfRule>
    <cfRule type="containsBlanks" dxfId="285" priority="17178">
      <formula>LEN(TRIM(AH125))=0</formula>
    </cfRule>
    <cfRule type="containsBlanks" dxfId="284" priority="17179">
      <formula>LEN(TRIM(AH125))=0</formula>
    </cfRule>
    <cfRule type="containsBlanks" dxfId="283" priority="17180">
      <formula>LEN(TRIM(AH125))=0</formula>
    </cfRule>
    <cfRule type="containsBlanks" dxfId="282" priority="17181">
      <formula>LEN(TRIM(AH125))=0</formula>
    </cfRule>
    <cfRule type="containsBlanks" dxfId="281" priority="17182">
      <formula>LEN(TRIM(AH125))=0</formula>
    </cfRule>
    <cfRule type="containsBlanks" dxfId="280" priority="17183">
      <formula>LEN(TRIM(AH125))=0</formula>
    </cfRule>
    <cfRule type="containsBlanks" dxfId="279" priority="17184">
      <formula>LEN(TRIM(AH125))=0</formula>
    </cfRule>
    <cfRule type="containsBlanks" dxfId="278" priority="17185">
      <formula>LEN(TRIM(AH125))=0</formula>
    </cfRule>
    <cfRule type="containsBlanks" dxfId="277" priority="17186">
      <formula>LEN(TRIM(AH125))=0</formula>
    </cfRule>
    <cfRule type="containsBlanks" dxfId="276" priority="17187">
      <formula>LEN(TRIM(AH125))=0</formula>
    </cfRule>
    <cfRule type="containsBlanks" dxfId="275" priority="17188">
      <formula>LEN(TRIM(AH125))=0</formula>
    </cfRule>
    <cfRule type="containsBlanks" dxfId="274" priority="17189">
      <formula>LEN(TRIM(AH125))=0</formula>
    </cfRule>
    <cfRule type="containsBlanks" dxfId="273" priority="17190">
      <formula>LEN(TRIM(AH125))=0</formula>
    </cfRule>
    <cfRule type="containsBlanks" dxfId="272" priority="17191">
      <formula>LEN(TRIM(AH125))=0</formula>
    </cfRule>
    <cfRule type="containsBlanks" dxfId="271" priority="17192">
      <formula>LEN(TRIM(AH125))=0</formula>
    </cfRule>
    <cfRule type="containsBlanks" dxfId="270" priority="17193">
      <formula>LEN(TRIM(AH125))=0</formula>
    </cfRule>
    <cfRule type="containsBlanks" dxfId="269" priority="17194">
      <formula>LEN(TRIM(AH125))=0</formula>
    </cfRule>
    <cfRule type="containsBlanks" dxfId="268" priority="17195">
      <formula>LEN(TRIM(AH125))=0</formula>
    </cfRule>
    <cfRule type="containsBlanks" dxfId="267" priority="17196">
      <formula>LEN(TRIM(AH125))=0</formula>
    </cfRule>
    <cfRule type="containsBlanks" dxfId="266" priority="17197">
      <formula>LEN(TRIM(AH125))=0</formula>
    </cfRule>
    <cfRule type="containsBlanks" dxfId="265" priority="17198">
      <formula>LEN(TRIM(AH125))=0</formula>
    </cfRule>
    <cfRule type="containsBlanks" dxfId="264" priority="17199">
      <formula>LEN(TRIM(AH125))=0</formula>
    </cfRule>
    <cfRule type="containsBlanks" dxfId="263" priority="17200">
      <formula>LEN(TRIM(AH125))=0</formula>
    </cfRule>
    <cfRule type="containsBlanks" dxfId="262" priority="17201">
      <formula>LEN(TRIM(AH125))=0</formula>
    </cfRule>
    <cfRule type="containsBlanks" dxfId="261" priority="17202">
      <formula>LEN(TRIM(AH125))=0</formula>
    </cfRule>
    <cfRule type="containsBlanks" dxfId="260" priority="17203">
      <formula>LEN(TRIM(AH125))=0</formula>
    </cfRule>
    <cfRule type="containsBlanks" dxfId="259" priority="17204">
      <formula>LEN(TRIM(AH125))=0</formula>
    </cfRule>
    <cfRule type="containsBlanks" dxfId="258" priority="17205">
      <formula>LEN(TRIM(AH125))=0</formula>
    </cfRule>
    <cfRule type="containsBlanks" dxfId="257" priority="17206">
      <formula>LEN(TRIM(AH125))=0</formula>
    </cfRule>
    <cfRule type="containsBlanks" dxfId="256" priority="17207">
      <formula>LEN(TRIM(AH125))=0</formula>
    </cfRule>
    <cfRule type="containsBlanks" dxfId="255" priority="17208">
      <formula>LEN(TRIM(AH125))=0</formula>
    </cfRule>
    <cfRule type="containsBlanks" dxfId="254" priority="17209">
      <formula>LEN(TRIM(AH125))=0</formula>
    </cfRule>
    <cfRule type="containsBlanks" dxfId="253" priority="17210">
      <formula>LEN(TRIM(AH125))=0</formula>
    </cfRule>
    <cfRule type="containsBlanks" dxfId="252" priority="17211">
      <formula>LEN(TRIM(AH125))=0</formula>
    </cfRule>
    <cfRule type="containsBlanks" dxfId="251" priority="17212">
      <formula>LEN(TRIM(AH125))=0</formula>
    </cfRule>
    <cfRule type="containsBlanks" dxfId="250" priority="17213">
      <formula>LEN(TRIM(AH125))=0</formula>
    </cfRule>
    <cfRule type="containsBlanks" dxfId="249" priority="17214">
      <formula>LEN(TRIM(AH125))=0</formula>
    </cfRule>
    <cfRule type="containsBlanks" dxfId="248" priority="17215">
      <formula>LEN(TRIM(AH125))=0</formula>
    </cfRule>
    <cfRule type="containsBlanks" dxfId="247" priority="17216">
      <formula>LEN(TRIM(AH125))=0</formula>
    </cfRule>
    <cfRule type="containsBlanks" dxfId="246" priority="17217">
      <formula>LEN(TRIM(AH125))=0</formula>
    </cfRule>
    <cfRule type="containsBlanks" dxfId="245" priority="17218">
      <formula>LEN(TRIM(AH125))=0</formula>
    </cfRule>
    <cfRule type="containsBlanks" dxfId="244" priority="17219">
      <formula>LEN(TRIM(AH125))=0</formula>
    </cfRule>
    <cfRule type="containsBlanks" dxfId="243" priority="17220">
      <formula>LEN(TRIM(AH125))=0</formula>
    </cfRule>
    <cfRule type="containsBlanks" dxfId="242" priority="17221">
      <formula>LEN(TRIM(AH125))=0</formula>
    </cfRule>
    <cfRule type="containsBlanks" dxfId="241" priority="17222">
      <formula>LEN(TRIM(AH125))=0</formula>
    </cfRule>
    <cfRule type="containsBlanks" dxfId="240" priority="17223">
      <formula>LEN(TRIM(AH125))=0</formula>
    </cfRule>
    <cfRule type="containsBlanks" dxfId="239" priority="17224">
      <formula>LEN(TRIM(AH125))=0</formula>
    </cfRule>
    <cfRule type="containsBlanks" dxfId="238" priority="17225">
      <formula>LEN(TRIM(AH125))=0</formula>
    </cfRule>
    <cfRule type="containsBlanks" dxfId="237" priority="17226">
      <formula>LEN(TRIM(AH125))=0</formula>
    </cfRule>
    <cfRule type="containsBlanks" dxfId="236" priority="17227">
      <formula>LEN(TRIM(AH125))=0</formula>
    </cfRule>
    <cfRule type="containsBlanks" dxfId="235" priority="17228">
      <formula>LEN(TRIM(AH125))=0</formula>
    </cfRule>
    <cfRule type="containsBlanks" dxfId="234" priority="17229">
      <formula>LEN(TRIM(AH125))=0</formula>
    </cfRule>
    <cfRule type="containsBlanks" dxfId="233" priority="17230">
      <formula>LEN(TRIM(AH125))=0</formula>
    </cfRule>
    <cfRule type="containsBlanks" dxfId="232" priority="17231">
      <formula>LEN(TRIM(AH125))=0</formula>
    </cfRule>
    <cfRule type="containsBlanks" dxfId="231" priority="17232">
      <formula>LEN(TRIM(AH125))=0</formula>
    </cfRule>
    <cfRule type="containsBlanks" dxfId="230" priority="17233">
      <formula>LEN(TRIM(AH125))=0</formula>
    </cfRule>
    <cfRule type="containsBlanks" dxfId="229" priority="17234">
      <formula>LEN(TRIM(AH125))=0</formula>
    </cfRule>
    <cfRule type="containsBlanks" dxfId="228" priority="17235">
      <formula>LEN(TRIM(AH125))=0</formula>
    </cfRule>
    <cfRule type="containsBlanks" dxfId="227" priority="17236">
      <formula>LEN(TRIM(AH125))=0</formula>
    </cfRule>
    <cfRule type="containsBlanks" dxfId="226" priority="17237">
      <formula>LEN(TRIM(AH125))=0</formula>
    </cfRule>
    <cfRule type="containsBlanks" dxfId="225" priority="17238">
      <formula>LEN(TRIM(AH125))=0</formula>
    </cfRule>
    <cfRule type="containsBlanks" dxfId="224" priority="17239">
      <formula>LEN(TRIM(AH125))=0</formula>
    </cfRule>
    <cfRule type="containsBlanks" dxfId="223" priority="17240">
      <formula>LEN(TRIM(AH125))=0</formula>
    </cfRule>
    <cfRule type="containsBlanks" dxfId="222" priority="17241">
      <formula>LEN(TRIM(AH125))=0</formula>
    </cfRule>
    <cfRule type="containsBlanks" dxfId="221" priority="17242">
      <formula>LEN(TRIM(AH125))=0</formula>
    </cfRule>
    <cfRule type="containsBlanks" dxfId="220" priority="17243">
      <formula>LEN(TRIM(AH125))=0</formula>
    </cfRule>
    <cfRule type="containsBlanks" dxfId="219" priority="17244">
      <formula>LEN(TRIM(AH125))=0</formula>
    </cfRule>
    <cfRule type="containsBlanks" dxfId="218" priority="17245">
      <formula>LEN(TRIM(AH125))=0</formula>
    </cfRule>
    <cfRule type="containsBlanks" dxfId="217" priority="17246">
      <formula>LEN(TRIM(AH125))=0</formula>
    </cfRule>
    <cfRule type="containsBlanks" dxfId="216" priority="17247">
      <formula>LEN(TRIM(AH125))=0</formula>
    </cfRule>
    <cfRule type="containsBlanks" dxfId="215" priority="17248">
      <formula>LEN(TRIM(AH125))=0</formula>
    </cfRule>
    <cfRule type="containsBlanks" dxfId="214" priority="17249">
      <formula>LEN(TRIM(AH125))=0</formula>
    </cfRule>
    <cfRule type="containsBlanks" dxfId="213" priority="17250">
      <formula>LEN(TRIM(AH125))=0</formula>
    </cfRule>
    <cfRule type="containsBlanks" dxfId="212" priority="17251">
      <formula>LEN(TRIM(AH125))=0</formula>
    </cfRule>
    <cfRule type="containsBlanks" dxfId="211" priority="17252">
      <formula>LEN(TRIM(AH125))=0</formula>
    </cfRule>
    <cfRule type="containsBlanks" dxfId="210" priority="17253">
      <formula>LEN(TRIM(AH125))=0</formula>
    </cfRule>
    <cfRule type="containsBlanks" dxfId="209" priority="17254">
      <formula>LEN(TRIM(AH125))=0</formula>
    </cfRule>
    <cfRule type="containsBlanks" dxfId="208" priority="17255">
      <formula>LEN(TRIM(AH125))=0</formula>
    </cfRule>
    <cfRule type="containsBlanks" dxfId="207" priority="17256">
      <formula>LEN(TRIM(AH125))=0</formula>
    </cfRule>
    <cfRule type="containsBlanks" dxfId="206" priority="17257">
      <formula>LEN(TRIM(AH125))=0</formula>
    </cfRule>
    <cfRule type="containsBlanks" dxfId="205" priority="17258">
      <formula>LEN(TRIM(AH125))=0</formula>
    </cfRule>
    <cfRule type="containsBlanks" dxfId="204" priority="17259">
      <formula>LEN(TRIM(AH125))=0</formula>
    </cfRule>
    <cfRule type="containsBlanks" dxfId="203" priority="17260">
      <formula>LEN(TRIM(AH125))=0</formula>
    </cfRule>
    <cfRule type="containsBlanks" dxfId="202" priority="17261">
      <formula>LEN(TRIM(AH125))=0</formula>
    </cfRule>
    <cfRule type="containsBlanks" dxfId="201" priority="17262">
      <formula>LEN(TRIM(AH125))=0</formula>
    </cfRule>
    <cfRule type="containsBlanks" dxfId="200" priority="17263">
      <formula>LEN(TRIM(AH125))=0</formula>
    </cfRule>
    <cfRule type="containsBlanks" dxfId="199" priority="17264">
      <formula>LEN(TRIM(AH125))=0</formula>
    </cfRule>
    <cfRule type="containsBlanks" dxfId="198" priority="17265">
      <formula>LEN(TRIM(AH125))=0</formula>
    </cfRule>
    <cfRule type="containsBlanks" dxfId="197" priority="17266">
      <formula>LEN(TRIM(AH125))=0</formula>
    </cfRule>
    <cfRule type="containsBlanks" dxfId="196" priority="17267">
      <formula>LEN(TRIM(AH125))=0</formula>
    </cfRule>
    <cfRule type="containsBlanks" dxfId="195" priority="17268">
      <formula>LEN(TRIM(AH125))=0</formula>
    </cfRule>
    <cfRule type="containsBlanks" dxfId="194" priority="17269">
      <formula>LEN(TRIM(AH125))=0</formula>
    </cfRule>
    <cfRule type="containsBlanks" dxfId="193" priority="17270">
      <formula>LEN(TRIM(AH125))=0</formula>
    </cfRule>
    <cfRule type="containsBlanks" dxfId="192" priority="17271">
      <formula>LEN(TRIM(AH125))=0</formula>
    </cfRule>
    <cfRule type="containsBlanks" dxfId="191" priority="17272">
      <formula>LEN(TRIM(AH125))=0</formula>
    </cfRule>
    <cfRule type="containsBlanks" dxfId="190" priority="17273">
      <formula>LEN(TRIM(AH125))=0</formula>
    </cfRule>
    <cfRule type="containsBlanks" dxfId="189" priority="17274">
      <formula>LEN(TRIM(AH125))=0</formula>
    </cfRule>
    <cfRule type="containsBlanks" dxfId="188" priority="17275">
      <formula>LEN(TRIM(AH125))=0</formula>
    </cfRule>
    <cfRule type="containsBlanks" dxfId="187" priority="17276">
      <formula>LEN(TRIM(AH125))=0</formula>
    </cfRule>
    <cfRule type="containsBlanks" dxfId="186" priority="17277">
      <formula>LEN(TRIM(AH125))=0</formula>
    </cfRule>
    <cfRule type="containsBlanks" dxfId="185" priority="17278">
      <formula>LEN(TRIM(AH125))=0</formula>
    </cfRule>
    <cfRule type="containsBlanks" dxfId="184" priority="17279">
      <formula>LEN(TRIM(AH125))=0</formula>
    </cfRule>
    <cfRule type="containsBlanks" dxfId="183" priority="17280">
      <formula>LEN(TRIM(AH125))=0</formula>
    </cfRule>
    <cfRule type="containsBlanks" dxfId="182" priority="17281">
      <formula>LEN(TRIM(AH125))=0</formula>
    </cfRule>
    <cfRule type="containsBlanks" dxfId="181" priority="17282">
      <formula>LEN(TRIM(AH125))=0</formula>
    </cfRule>
    <cfRule type="containsBlanks" dxfId="180" priority="17283">
      <formula>LEN(TRIM(AH125))=0</formula>
    </cfRule>
    <cfRule type="containsBlanks" dxfId="179" priority="17284">
      <formula>LEN(TRIM(AH125))=0</formula>
    </cfRule>
    <cfRule type="containsBlanks" dxfId="178" priority="17285">
      <formula>LEN(TRIM(AH125))=0</formula>
    </cfRule>
    <cfRule type="containsBlanks" dxfId="177" priority="17286">
      <formula>LEN(TRIM(AH125))=0</formula>
    </cfRule>
    <cfRule type="containsBlanks" dxfId="176" priority="17287">
      <formula>LEN(TRIM(AH125))=0</formula>
    </cfRule>
    <cfRule type="containsBlanks" dxfId="175" priority="17288">
      <formula>LEN(TRIM(AH125))=0</formula>
    </cfRule>
    <cfRule type="containsBlanks" dxfId="174" priority="17289">
      <formula>LEN(TRIM(AH125))=0</formula>
    </cfRule>
    <cfRule type="containsBlanks" dxfId="173" priority="17290">
      <formula>LEN(TRIM(AH125))=0</formula>
    </cfRule>
    <cfRule type="containsBlanks" dxfId="172" priority="17291">
      <formula>LEN(TRIM(AH125))=0</formula>
    </cfRule>
    <cfRule type="containsBlanks" dxfId="171" priority="17292">
      <formula>LEN(TRIM(AH125))=0</formula>
    </cfRule>
    <cfRule type="containsBlanks" dxfId="170" priority="17293">
      <formula>LEN(TRIM(AH125))=0</formula>
    </cfRule>
    <cfRule type="containsBlanks" dxfId="169" priority="17294">
      <formula>LEN(TRIM(AH125))=0</formula>
    </cfRule>
    <cfRule type="containsBlanks" dxfId="168" priority="17295">
      <formula>LEN(TRIM(AH125))=0</formula>
    </cfRule>
    <cfRule type="containsBlanks" dxfId="167" priority="17296">
      <formula>LEN(TRIM(AH125))=0</formula>
    </cfRule>
    <cfRule type="containsBlanks" dxfId="166" priority="17297">
      <formula>LEN(TRIM(AH125))=0</formula>
    </cfRule>
    <cfRule type="containsBlanks" dxfId="165" priority="17298">
      <formula>LEN(TRIM(AH125))=0</formula>
    </cfRule>
    <cfRule type="containsBlanks" dxfId="164" priority="17299">
      <formula>LEN(TRIM(AH125))=0</formula>
    </cfRule>
    <cfRule type="containsBlanks" dxfId="163" priority="17300">
      <formula>LEN(TRIM(AH125))=0</formula>
    </cfRule>
    <cfRule type="containsBlanks" dxfId="162" priority="17301">
      <formula>LEN(TRIM(AH125))=0</formula>
    </cfRule>
    <cfRule type="containsBlanks" dxfId="161" priority="17302">
      <formula>LEN(TRIM(AH125))=0</formula>
    </cfRule>
    <cfRule type="containsBlanks" dxfId="160" priority="17303">
      <formula>LEN(TRIM(AH125))=0</formula>
    </cfRule>
    <cfRule type="containsBlanks" dxfId="159" priority="17304">
      <formula>LEN(TRIM(AH125))=0</formula>
    </cfRule>
    <cfRule type="containsBlanks" dxfId="158" priority="17305">
      <formula>LEN(TRIM(AH125))=0</formula>
    </cfRule>
    <cfRule type="containsBlanks" dxfId="157" priority="17306">
      <formula>LEN(TRIM(AH125))=0</formula>
    </cfRule>
    <cfRule type="containsBlanks" dxfId="156" priority="17307">
      <formula>LEN(TRIM(AH125))=0</formula>
    </cfRule>
    <cfRule type="containsBlanks" dxfId="155" priority="17308">
      <formula>LEN(TRIM(AH125))=0</formula>
    </cfRule>
    <cfRule type="containsBlanks" dxfId="154" priority="17309">
      <formula>LEN(TRIM(AH125))=0</formula>
    </cfRule>
    <cfRule type="containsBlanks" dxfId="153" priority="17310">
      <formula>LEN(TRIM(AH125))=0</formula>
    </cfRule>
    <cfRule type="containsBlanks" dxfId="152" priority="17311">
      <formula>LEN(TRIM(AH125))=0</formula>
    </cfRule>
    <cfRule type="containsBlanks" dxfId="151" priority="17312">
      <formula>LEN(TRIM(AH125))=0</formula>
    </cfRule>
    <cfRule type="containsBlanks" dxfId="150" priority="17313">
      <formula>LEN(TRIM(AH125))=0</formula>
    </cfRule>
    <cfRule type="containsBlanks" dxfId="149" priority="17314">
      <formula>LEN(TRIM(AH125))=0</formula>
    </cfRule>
    <cfRule type="containsBlanks" dxfId="148" priority="17315">
      <formula>LEN(TRIM(AH125))=0</formula>
    </cfRule>
    <cfRule type="containsBlanks" dxfId="147" priority="17316">
      <formula>LEN(TRIM(AH125))=0</formula>
    </cfRule>
    <cfRule type="containsBlanks" dxfId="146" priority="17317">
      <formula>LEN(TRIM(AH125))=0</formula>
    </cfRule>
    <cfRule type="containsBlanks" dxfId="145" priority="17318">
      <formula>LEN(TRIM(AH125))=0</formula>
    </cfRule>
    <cfRule type="containsBlanks" dxfId="144" priority="17319">
      <formula>LEN(TRIM(AH125))=0</formula>
    </cfRule>
    <cfRule type="containsBlanks" dxfId="143" priority="17320">
      <formula>LEN(TRIM(AH125))=0</formula>
    </cfRule>
    <cfRule type="containsBlanks" dxfId="142" priority="17321">
      <formula>LEN(TRIM(AH125))=0</formula>
    </cfRule>
    <cfRule type="containsBlanks" dxfId="141" priority="17322">
      <formula>LEN(TRIM(AH125))=0</formula>
    </cfRule>
    <cfRule type="containsBlanks" dxfId="140" priority="17323">
      <formula>LEN(TRIM(AH125))=0</formula>
    </cfRule>
    <cfRule type="containsBlanks" dxfId="139" priority="17324">
      <formula>LEN(TRIM(AH125))=0</formula>
    </cfRule>
    <cfRule type="containsBlanks" dxfId="138" priority="17325">
      <formula>LEN(TRIM(AH125))=0</formula>
    </cfRule>
    <cfRule type="containsBlanks" dxfId="137" priority="17326">
      <formula>LEN(TRIM(AH125))=0</formula>
    </cfRule>
    <cfRule type="containsBlanks" dxfId="136" priority="17327">
      <formula>LEN(TRIM(AH125))=0</formula>
    </cfRule>
    <cfRule type="containsBlanks" dxfId="135" priority="17328">
      <formula>LEN(TRIM(AH125))=0</formula>
    </cfRule>
    <cfRule type="containsBlanks" dxfId="134" priority="17329">
      <formula>LEN(TRIM(AH125))=0</formula>
    </cfRule>
    <cfRule type="containsBlanks" dxfId="133" priority="17330">
      <formula>LEN(TRIM(AH125))=0</formula>
    </cfRule>
    <cfRule type="containsBlanks" dxfId="132" priority="17331">
      <formula>LEN(TRIM(AH125))=0</formula>
    </cfRule>
    <cfRule type="containsBlanks" dxfId="131" priority="17332">
      <formula>LEN(TRIM(AH125))=0</formula>
    </cfRule>
    <cfRule type="containsBlanks" dxfId="130" priority="17333">
      <formula>LEN(TRIM(AH125))=0</formula>
    </cfRule>
    <cfRule type="containsBlanks" dxfId="129" priority="17334">
      <formula>LEN(TRIM(AH125))=0</formula>
    </cfRule>
    <cfRule type="containsBlanks" dxfId="128" priority="17335">
      <formula>LEN(TRIM(AH125))=0</formula>
    </cfRule>
    <cfRule type="containsBlanks" dxfId="127" priority="17336">
      <formula>LEN(TRIM(AH125))=0</formula>
    </cfRule>
    <cfRule type="containsBlanks" dxfId="126" priority="17337">
      <formula>LEN(TRIM(AH125))=0</formula>
    </cfRule>
    <cfRule type="containsBlanks" dxfId="125" priority="17338">
      <formula>LEN(TRIM(AH125))=0</formula>
    </cfRule>
    <cfRule type="containsBlanks" dxfId="124" priority="17339">
      <formula>LEN(TRIM(AH125))=0</formula>
    </cfRule>
    <cfRule type="containsBlanks" dxfId="123" priority="17340">
      <formula>LEN(TRIM(AH125))=0</formula>
    </cfRule>
    <cfRule type="containsBlanks" dxfId="122" priority="17341">
      <formula>LEN(TRIM(AH125))=0</formula>
    </cfRule>
    <cfRule type="containsBlanks" dxfId="121" priority="17342">
      <formula>LEN(TRIM(AH125))=0</formula>
    </cfRule>
    <cfRule type="containsBlanks" dxfId="120" priority="17343">
      <formula>LEN(TRIM(AH125))=0</formula>
    </cfRule>
    <cfRule type="containsBlanks" dxfId="119" priority="17344">
      <formula>LEN(TRIM(AH125))=0</formula>
    </cfRule>
    <cfRule type="containsBlanks" dxfId="118" priority="17345">
      <formula>LEN(TRIM(AH125))=0</formula>
    </cfRule>
    <cfRule type="containsBlanks" dxfId="117" priority="17346">
      <formula>LEN(TRIM(AH125))=0</formula>
    </cfRule>
    <cfRule type="containsBlanks" dxfId="116" priority="17347">
      <formula>LEN(TRIM(AH125))=0</formula>
    </cfRule>
    <cfRule type="containsBlanks" dxfId="115" priority="17348">
      <formula>LEN(TRIM(AH125))=0</formula>
    </cfRule>
    <cfRule type="containsBlanks" dxfId="114" priority="17349">
      <formula>LEN(TRIM(AH125))=0</formula>
    </cfRule>
    <cfRule type="containsBlanks" dxfId="113" priority="17350">
      <formula>LEN(TRIM(AH125))=0</formula>
    </cfRule>
    <cfRule type="containsBlanks" dxfId="112" priority="17351">
      <formula>LEN(TRIM(AH125))=0</formula>
    </cfRule>
    <cfRule type="containsBlanks" dxfId="111" priority="17352">
      <formula>LEN(TRIM(AH125))=0</formula>
    </cfRule>
    <cfRule type="containsBlanks" dxfId="110" priority="17353">
      <formula>LEN(TRIM(AH125))=0</formula>
    </cfRule>
    <cfRule type="containsBlanks" dxfId="109" priority="17354">
      <formula>LEN(TRIM(AH125))=0</formula>
    </cfRule>
    <cfRule type="containsBlanks" dxfId="108" priority="17355">
      <formula>LEN(TRIM(AH125))=0</formula>
    </cfRule>
    <cfRule type="containsBlanks" dxfId="107" priority="17356">
      <formula>LEN(TRIM(AH125))=0</formula>
    </cfRule>
    <cfRule type="containsBlanks" dxfId="106" priority="17357">
      <formula>LEN(TRIM(AH125))=0</formula>
    </cfRule>
    <cfRule type="containsBlanks" dxfId="105" priority="17358">
      <formula>LEN(TRIM(AH125))=0</formula>
    </cfRule>
    <cfRule type="containsBlanks" dxfId="104" priority="17359">
      <formula>LEN(TRIM(AH125))=0</formula>
    </cfRule>
    <cfRule type="containsBlanks" dxfId="103" priority="17360">
      <formula>LEN(TRIM(AH125))=0</formula>
    </cfRule>
    <cfRule type="containsBlanks" dxfId="102" priority="17361">
      <formula>LEN(TRIM(AH125))=0</formula>
    </cfRule>
    <cfRule type="containsBlanks" dxfId="101" priority="17362">
      <formula>LEN(TRIM(AH125))=0</formula>
    </cfRule>
    <cfRule type="containsBlanks" dxfId="100" priority="17363">
      <formula>LEN(TRIM(AH125))=0</formula>
    </cfRule>
    <cfRule type="containsBlanks" dxfId="99" priority="17364">
      <formula>LEN(TRIM(AH125))=0</formula>
    </cfRule>
    <cfRule type="containsBlanks" dxfId="98" priority="17365">
      <formula>LEN(TRIM(AH125))=0</formula>
    </cfRule>
    <cfRule type="containsBlanks" dxfId="97" priority="17366">
      <formula>LEN(TRIM(AH125))=0</formula>
    </cfRule>
    <cfRule type="containsBlanks" dxfId="96" priority="17367">
      <formula>LEN(TRIM(AH125))=0</formula>
    </cfRule>
    <cfRule type="containsBlanks" dxfId="95" priority="17368">
      <formula>LEN(TRIM(AH125))=0</formula>
    </cfRule>
    <cfRule type="containsBlanks" dxfId="94" priority="17369">
      <formula>LEN(TRIM(AH125))=0</formula>
    </cfRule>
    <cfRule type="containsBlanks" dxfId="93" priority="17370">
      <formula>LEN(TRIM(AH125))=0</formula>
    </cfRule>
    <cfRule type="containsBlanks" dxfId="92" priority="17371">
      <formula>LEN(TRIM(AH125))=0</formula>
    </cfRule>
    <cfRule type="containsBlanks" dxfId="91" priority="17372">
      <formula>LEN(TRIM(AH125))=0</formula>
    </cfRule>
    <cfRule type="containsBlanks" dxfId="90" priority="17373">
      <formula>LEN(TRIM(AH125))=0</formula>
    </cfRule>
    <cfRule type="containsBlanks" dxfId="89" priority="17374">
      <formula>LEN(TRIM(AH125))=0</formula>
    </cfRule>
    <cfRule type="containsBlanks" dxfId="88" priority="17375">
      <formula>LEN(TRIM(AH125))=0</formula>
    </cfRule>
    <cfRule type="containsBlanks" dxfId="87" priority="17376">
      <formula>LEN(TRIM(AH125))=0</formula>
    </cfRule>
    <cfRule type="containsBlanks" dxfId="86" priority="17377">
      <formula>LEN(TRIM(AH125))=0</formula>
    </cfRule>
    <cfRule type="containsBlanks" dxfId="85" priority="17378">
      <formula>LEN(TRIM(AH125))=0</formula>
    </cfRule>
    <cfRule type="containsBlanks" dxfId="84" priority="17379">
      <formula>LEN(TRIM(AH125))=0</formula>
    </cfRule>
    <cfRule type="containsBlanks" dxfId="83" priority="17380">
      <formula>LEN(TRIM(AH125))=0</formula>
    </cfRule>
    <cfRule type="containsBlanks" dxfId="82" priority="17381">
      <formula>LEN(TRIM(AH125))=0</formula>
    </cfRule>
    <cfRule type="containsBlanks" dxfId="81" priority="17382">
      <formula>LEN(TRIM(AH125))=0</formula>
    </cfRule>
    <cfRule type="containsBlanks" dxfId="80" priority="17383">
      <formula>LEN(TRIM(AH125))=0</formula>
    </cfRule>
    <cfRule type="containsBlanks" dxfId="79" priority="17384">
      <formula>LEN(TRIM(AH125))=0</formula>
    </cfRule>
    <cfRule type="containsBlanks" dxfId="78" priority="17385">
      <formula>LEN(TRIM(AH125))=0</formula>
    </cfRule>
    <cfRule type="containsBlanks" dxfId="77" priority="17386">
      <formula>LEN(TRIM(AH125))=0</formula>
    </cfRule>
    <cfRule type="containsBlanks" dxfId="76" priority="17387">
      <formula>LEN(TRIM(AH125))=0</formula>
    </cfRule>
    <cfRule type="containsBlanks" dxfId="75" priority="17388">
      <formula>LEN(TRIM(AH125))=0</formula>
    </cfRule>
    <cfRule type="containsBlanks" dxfId="74" priority="17389">
      <formula>LEN(TRIM(AH125))=0</formula>
    </cfRule>
    <cfRule type="containsBlanks" dxfId="73" priority="17390">
      <formula>LEN(TRIM(AH125))=0</formula>
    </cfRule>
    <cfRule type="containsBlanks" dxfId="72" priority="17391">
      <formula>LEN(TRIM(AH125))=0</formula>
    </cfRule>
    <cfRule type="containsBlanks" dxfId="71" priority="17392">
      <formula>LEN(TRIM(AH125))=0</formula>
    </cfRule>
    <cfRule type="containsBlanks" dxfId="70" priority="17393">
      <formula>LEN(TRIM(AH125))=0</formula>
    </cfRule>
    <cfRule type="containsBlanks" dxfId="69" priority="17394">
      <formula>LEN(TRIM(AH125))=0</formula>
    </cfRule>
    <cfRule type="containsBlanks" dxfId="68" priority="17395">
      <formula>LEN(TRIM(AH125))=0</formula>
    </cfRule>
    <cfRule type="containsBlanks" dxfId="67" priority="17396">
      <formula>LEN(TRIM(AH125))=0</formula>
    </cfRule>
    <cfRule type="containsBlanks" dxfId="66" priority="17397">
      <formula>LEN(TRIM(AH125))=0</formula>
    </cfRule>
    <cfRule type="containsBlanks" dxfId="65" priority="17398">
      <formula>LEN(TRIM(AH125))=0</formula>
    </cfRule>
    <cfRule type="containsBlanks" dxfId="64" priority="17399">
      <formula>LEN(TRIM(AH125))=0</formula>
    </cfRule>
    <cfRule type="containsBlanks" dxfId="63" priority="17400">
      <formula>LEN(TRIM(AH125))=0</formula>
    </cfRule>
    <cfRule type="containsBlanks" dxfId="62" priority="17401">
      <formula>LEN(TRIM(AH125))=0</formula>
    </cfRule>
    <cfRule type="containsBlanks" dxfId="61" priority="17402">
      <formula>LEN(TRIM(AH125))=0</formula>
    </cfRule>
    <cfRule type="containsBlanks" dxfId="60" priority="17403">
      <formula>LEN(TRIM(AH125))=0</formula>
    </cfRule>
    <cfRule type="containsBlanks" dxfId="59" priority="17404">
      <formula>LEN(TRIM(AH125))=0</formula>
    </cfRule>
    <cfRule type="containsBlanks" dxfId="58" priority="17405">
      <formula>LEN(TRIM(AH125))=0</formula>
    </cfRule>
    <cfRule type="containsBlanks" dxfId="57" priority="17406">
      <formula>LEN(TRIM(AH125))=0</formula>
    </cfRule>
    <cfRule type="containsBlanks" dxfId="56" priority="17407">
      <formula>LEN(TRIM(AH125))=0</formula>
    </cfRule>
    <cfRule type="containsBlanks" dxfId="55" priority="17408">
      <formula>LEN(TRIM(AH125))=0</formula>
    </cfRule>
    <cfRule type="containsBlanks" dxfId="54" priority="17409">
      <formula>LEN(TRIM(AH125))=0</formula>
    </cfRule>
    <cfRule type="containsBlanks" dxfId="53" priority="17410">
      <formula>LEN(TRIM(AH125))=0</formula>
    </cfRule>
    <cfRule type="containsBlanks" dxfId="52" priority="17411">
      <formula>LEN(TRIM(AH125))=0</formula>
    </cfRule>
    <cfRule type="containsBlanks" dxfId="51" priority="17412">
      <formula>LEN(TRIM(AH125))=0</formula>
    </cfRule>
    <cfRule type="containsBlanks" dxfId="50" priority="17413">
      <formula>LEN(TRIM(AH125))=0</formula>
    </cfRule>
    <cfRule type="containsBlanks" dxfId="49" priority="17414">
      <formula>LEN(TRIM(AH125))=0</formula>
    </cfRule>
    <cfRule type="containsBlanks" dxfId="48" priority="17415">
      <formula>LEN(TRIM(AH125))=0</formula>
    </cfRule>
    <cfRule type="containsBlanks" dxfId="47" priority="17416">
      <formula>LEN(TRIM(AH125))=0</formula>
    </cfRule>
    <cfRule type="containsBlanks" dxfId="46" priority="17417">
      <formula>LEN(TRIM(AH125))=0</formula>
    </cfRule>
    <cfRule type="containsBlanks" dxfId="45" priority="17418">
      <formula>LEN(TRIM(AH125))=0</formula>
    </cfRule>
    <cfRule type="containsBlanks" dxfId="44" priority="17419">
      <formula>LEN(TRIM(AH125))=0</formula>
    </cfRule>
    <cfRule type="containsBlanks" dxfId="43" priority="17420">
      <formula>LEN(TRIM(AH125))=0</formula>
    </cfRule>
    <cfRule type="containsBlanks" dxfId="42" priority="17421">
      <formula>LEN(TRIM(AH125))=0</formula>
    </cfRule>
    <cfRule type="containsBlanks" dxfId="41" priority="17422">
      <formula>LEN(TRIM(AH125))=0</formula>
    </cfRule>
    <cfRule type="containsBlanks" dxfId="40" priority="17423">
      <formula>LEN(TRIM(AH125))=0</formula>
    </cfRule>
    <cfRule type="containsBlanks" dxfId="39" priority="17424">
      <formula>LEN(TRIM(AH125))=0</formula>
    </cfRule>
    <cfRule type="containsBlanks" dxfId="38" priority="17425">
      <formula>LEN(TRIM(AH125))=0</formula>
    </cfRule>
    <cfRule type="containsBlanks" dxfId="37" priority="17426">
      <formula>LEN(TRIM(AH125))=0</formula>
    </cfRule>
    <cfRule type="containsBlanks" dxfId="36" priority="17427">
      <formula>LEN(TRIM(AH125))=0</formula>
    </cfRule>
    <cfRule type="containsBlanks" dxfId="35" priority="17428">
      <formula>LEN(TRIM(AH125))=0</formula>
    </cfRule>
    <cfRule type="containsBlanks" dxfId="34" priority="17429">
      <formula>LEN(TRIM(AH125))=0</formula>
    </cfRule>
    <cfRule type="containsBlanks" dxfId="33" priority="17430">
      <formula>LEN(TRIM(AH125))=0</formula>
    </cfRule>
    <cfRule type="containsBlanks" dxfId="32" priority="17431">
      <formula>LEN(TRIM(AH125))=0</formula>
    </cfRule>
    <cfRule type="containsBlanks" dxfId="31" priority="17432">
      <formula>LEN(TRIM(AH125))=0</formula>
    </cfRule>
    <cfRule type="containsBlanks" dxfId="30" priority="17433">
      <formula>LEN(TRIM(AH125))=0</formula>
    </cfRule>
    <cfRule type="containsBlanks" dxfId="29" priority="17434">
      <formula>LEN(TRIM(AH125))=0</formula>
    </cfRule>
    <cfRule type="containsBlanks" dxfId="28" priority="17435">
      <formula>LEN(TRIM(AH125))=0</formula>
    </cfRule>
    <cfRule type="containsBlanks" dxfId="27" priority="17436">
      <formula>LEN(TRIM(AH125))=0</formula>
    </cfRule>
    <cfRule type="containsBlanks" dxfId="26" priority="17437">
      <formula>LEN(TRIM(AH125))=0</formula>
    </cfRule>
    <cfRule type="containsBlanks" dxfId="25" priority="17438">
      <formula>LEN(TRIM(AH125))=0</formula>
    </cfRule>
    <cfRule type="containsBlanks" dxfId="24" priority="17439">
      <formula>LEN(TRIM(AH125))=0</formula>
    </cfRule>
    <cfRule type="containsBlanks" dxfId="23" priority="17440">
      <formula>LEN(TRIM(AH125))=0</formula>
    </cfRule>
    <cfRule type="containsBlanks" dxfId="22" priority="17441">
      <formula>LEN(TRIM(AH125))=0</formula>
    </cfRule>
    <cfRule type="containsBlanks" dxfId="21" priority="17442">
      <formula>LEN(TRIM(AH125))=0</formula>
    </cfRule>
    <cfRule type="containsBlanks" dxfId="20" priority="17443">
      <formula>LEN(TRIM(AH125))=0</formula>
    </cfRule>
    <cfRule type="containsBlanks" dxfId="19" priority="17444">
      <formula>LEN(TRIM(AH125))=0</formula>
    </cfRule>
    <cfRule type="containsBlanks" dxfId="18" priority="17445">
      <formula>LEN(TRIM(AH125))=0</formula>
    </cfRule>
    <cfRule type="containsBlanks" dxfId="17" priority="17446">
      <formula>LEN(TRIM(AH125))=0</formula>
    </cfRule>
    <cfRule type="containsBlanks" dxfId="16" priority="17447">
      <formula>LEN(TRIM(AH125))=0</formula>
    </cfRule>
    <cfRule type="containsBlanks" dxfId="15" priority="17448">
      <formula>LEN(TRIM(AH125))=0</formula>
    </cfRule>
    <cfRule type="containsBlanks" dxfId="14" priority="17449">
      <formula>LEN(TRIM(AH125))=0</formula>
    </cfRule>
    <cfRule type="containsBlanks" dxfId="13" priority="17450">
      <formula>LEN(TRIM(AH125))=0</formula>
    </cfRule>
    <cfRule type="containsBlanks" dxfId="12" priority="17451">
      <formula>LEN(TRIM(AH125))=0</formula>
    </cfRule>
    <cfRule type="containsBlanks" dxfId="11" priority="17452">
      <formula>LEN(TRIM(AH125))=0</formula>
    </cfRule>
    <cfRule type="containsBlanks" dxfId="10" priority="17453">
      <formula>LEN(TRIM(AH125))=0</formula>
    </cfRule>
    <cfRule type="containsBlanks" dxfId="9" priority="17454">
      <formula>LEN(TRIM(AH125))=0</formula>
    </cfRule>
    <cfRule type="containsBlanks" dxfId="8" priority="17455">
      <formula>LEN(TRIM(AH125))=0</formula>
    </cfRule>
    <cfRule type="containsBlanks" dxfId="7" priority="17456">
      <formula>LEN(TRIM(AH125))=0</formula>
    </cfRule>
    <cfRule type="containsBlanks" dxfId="6" priority="17457">
      <formula>LEN(TRIM(AH125))=0</formula>
    </cfRule>
    <cfRule type="containsBlanks" dxfId="5" priority="17458">
      <formula>LEN(TRIM(AH125))=0</formula>
    </cfRule>
    <cfRule type="containsBlanks" dxfId="4" priority="17459">
      <formula>LEN(TRIM(AH125))=0</formula>
    </cfRule>
  </conditionalFormatting>
  <conditionalFormatting sqref="AB158:AD158 AF157:AH158 O157:O158 AH99:AH156">
    <cfRule type="containsBlanks" dxfId="3" priority="19708">
      <formula>LEN(TRIM(O99))=0</formula>
    </cfRule>
  </conditionalFormatting>
  <conditionalFormatting sqref="AH99:AH157">
    <cfRule type="containsBlanks" dxfId="2" priority="19674">
      <formula>LEN(TRIM(AH99))=0</formula>
    </cfRule>
  </conditionalFormatting>
  <printOptions horizontalCentered="1"/>
  <pageMargins left="0" right="0" top="0.27559055118110237" bottom="0.35433070866141736" header="0.27559055118110237" footer="0.31496062992125984"/>
  <pageSetup paperSize="9" scale="19" orientation="landscape" r:id="rId1"/>
  <headerFooter alignWithMargins="0">
    <oddFooter>Page &amp;P</oddFooter>
  </headerFooter>
  <rowBreaks count="2" manualBreakCount="2">
    <brk id="57" max="38" man="1"/>
    <brk id="161" max="38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9712" id="{82727459-F8A2-4C1F-9623-75EC68ADA819}">
            <xm:f>'\Users\Lan\Documents\Zalo Received Files\[ĐỘI 1 THÁNG 8 NĂM 2024 (5) (3) (3) (4) (3) (1) (2) (8).xlsx]axit đánh đông'!#REF!="x"</xm:f>
            <x14:dxf>
              <fill>
                <patternFill>
                  <bgColor rgb="FF00B050"/>
                </patternFill>
              </fill>
            </x14:dxf>
          </x14:cfRule>
          <xm:sqref>D90:E90 G90</xm:sqref>
        </x14:conditionalFormatting>
        <x14:conditionalFormatting xmlns:xm="http://schemas.microsoft.com/office/excel/2006/main">
          <x14:cfRule type="expression" priority="19711" id="{DCCE0C30-0B6E-4D34-8414-D26FAB6CC647}">
            <xm:f>'\Users\Lan\Documents\Zalo Received Files\[ĐỘI 1 THÁNG 8 NĂM 2024 (5) (3) (3) (4) (3) (1) (2) (8).xlsx]axit đánh đông'!#REF!="x"</xm:f>
            <x14:dxf>
              <fill>
                <patternFill>
                  <bgColor rgb="FF00B050"/>
                </patternFill>
              </fill>
            </x14:dxf>
          </x14:cfRule>
          <xm:sqref>D17:K17 H18:K86 D18:G89 H87:AG89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AR68"/>
  <sheetViews>
    <sheetView topLeftCell="A10" zoomScale="25" zoomScaleNormal="25" zoomScaleSheetLayoutView="25" zoomScalePageLayoutView="40" workbookViewId="0">
      <selection activeCell="X23" sqref="X23"/>
    </sheetView>
  </sheetViews>
  <sheetFormatPr defaultColWidth="5.28515625" defaultRowHeight="15"/>
  <cols>
    <col min="1" max="1" width="8.42578125" style="538" customWidth="1"/>
    <col min="2" max="2" width="35.5703125" style="538" customWidth="1"/>
    <col min="3" max="30" width="14.28515625" style="538" customWidth="1"/>
    <col min="31" max="31" width="31.28515625" style="538" customWidth="1"/>
    <col min="32" max="32" width="31.140625" style="538" customWidth="1"/>
    <col min="33" max="33" width="30.85546875" style="538" hidden="1" customWidth="1"/>
    <col min="34" max="34" width="30.85546875" style="538" customWidth="1"/>
    <col min="35" max="35" width="31" style="538" customWidth="1"/>
    <col min="36" max="36" width="34.85546875" style="538" customWidth="1"/>
    <col min="37" max="37" width="14.85546875" style="538" hidden="1" customWidth="1"/>
    <col min="38" max="38" width="31.42578125" style="537" customWidth="1"/>
    <col min="39" max="39" width="5.28515625" style="537"/>
    <col min="40" max="40" width="14.5703125" style="537" customWidth="1"/>
    <col min="41" max="16384" width="5.28515625" style="538"/>
  </cols>
  <sheetData>
    <row r="2" spans="1:40" ht="44.25" customHeight="1">
      <c r="A2" s="1427" t="s">
        <v>56</v>
      </c>
      <c r="B2" s="1427"/>
      <c r="C2" s="1427"/>
      <c r="D2" s="1427"/>
      <c r="E2" s="1427"/>
      <c r="F2" s="1427"/>
      <c r="G2" s="1427"/>
      <c r="H2" s="1427"/>
      <c r="I2" s="1427"/>
      <c r="J2" s="1427"/>
      <c r="K2" s="1427"/>
      <c r="L2" s="1427"/>
      <c r="M2" s="1427"/>
      <c r="N2" s="1427"/>
      <c r="O2" s="1427"/>
      <c r="P2" s="1427"/>
      <c r="Q2" s="1427"/>
      <c r="R2" s="1427"/>
      <c r="S2" s="1427"/>
      <c r="T2" s="1427"/>
      <c r="U2" s="1427"/>
      <c r="V2" s="1427"/>
      <c r="W2" s="1427"/>
      <c r="X2" s="1427"/>
      <c r="Y2" s="1427"/>
      <c r="Z2" s="1427"/>
      <c r="AA2" s="1427"/>
      <c r="AB2" s="1427"/>
      <c r="AC2" s="1427"/>
      <c r="AD2" s="1427"/>
      <c r="AE2" s="1427"/>
      <c r="AF2" s="1427"/>
      <c r="AG2" s="1427"/>
      <c r="AH2" s="1427"/>
      <c r="AI2" s="1427"/>
      <c r="AJ2" s="1427"/>
      <c r="AK2" s="1427"/>
      <c r="AL2" s="1427"/>
      <c r="AM2" s="538"/>
      <c r="AN2" s="538"/>
    </row>
    <row r="3" spans="1:40" ht="40.5" customHeight="1">
      <c r="A3" s="1427" t="s">
        <v>57</v>
      </c>
      <c r="B3" s="1427"/>
      <c r="C3" s="1427"/>
      <c r="D3" s="1427"/>
      <c r="E3" s="1427"/>
      <c r="F3" s="1427"/>
      <c r="G3" s="1427"/>
      <c r="H3" s="1427"/>
      <c r="I3" s="1427"/>
      <c r="J3" s="1427"/>
      <c r="K3" s="1427"/>
      <c r="L3" s="1427"/>
      <c r="M3" s="1427"/>
      <c r="N3" s="1427"/>
      <c r="O3" s="1427"/>
      <c r="P3" s="1427"/>
      <c r="Q3" s="1427"/>
      <c r="R3" s="1427"/>
      <c r="S3" s="1427"/>
      <c r="T3" s="1427"/>
      <c r="U3" s="1427"/>
      <c r="V3" s="1427"/>
      <c r="W3" s="1427"/>
      <c r="X3" s="1427"/>
      <c r="Y3" s="1427"/>
      <c r="Z3" s="1427"/>
      <c r="AA3" s="1427"/>
      <c r="AB3" s="1427"/>
      <c r="AC3" s="1427"/>
      <c r="AD3" s="1427"/>
      <c r="AE3" s="1427"/>
      <c r="AF3" s="1427"/>
      <c r="AG3" s="1427"/>
      <c r="AH3" s="1427"/>
      <c r="AI3" s="1427"/>
      <c r="AJ3" s="1427"/>
      <c r="AK3" s="1427"/>
      <c r="AL3" s="1427"/>
      <c r="AM3" s="538"/>
      <c r="AN3" s="538"/>
    </row>
    <row r="4" spans="1:40" ht="36.75" customHeight="1">
      <c r="A4" s="1428" t="s">
        <v>294</v>
      </c>
      <c r="B4" s="1428"/>
      <c r="C4" s="1428"/>
      <c r="D4" s="1428"/>
      <c r="E4" s="1428"/>
      <c r="F4" s="1428"/>
      <c r="G4" s="1428"/>
      <c r="H4" s="1428"/>
      <c r="I4" s="1428"/>
      <c r="J4" s="1428"/>
      <c r="K4" s="1428"/>
      <c r="L4" s="1428"/>
      <c r="M4" s="1428"/>
      <c r="N4" s="1428"/>
      <c r="O4" s="1428"/>
      <c r="P4" s="1428"/>
      <c r="Q4" s="1428"/>
      <c r="R4" s="1428"/>
      <c r="S4" s="1428"/>
      <c r="T4" s="1428"/>
      <c r="U4" s="1428"/>
      <c r="V4" s="1428"/>
      <c r="W4" s="1428"/>
      <c r="X4" s="1428"/>
      <c r="Y4" s="1428"/>
      <c r="Z4" s="1428"/>
      <c r="AA4" s="1428"/>
      <c r="AB4" s="1428"/>
      <c r="AC4" s="1428"/>
      <c r="AD4" s="1428"/>
      <c r="AE4" s="1428"/>
      <c r="AF4" s="1428"/>
      <c r="AG4" s="1428"/>
      <c r="AH4" s="1428"/>
      <c r="AI4" s="1428"/>
      <c r="AJ4" s="1428"/>
      <c r="AK4" s="1428"/>
      <c r="AL4" s="1428"/>
      <c r="AM4" s="538"/>
      <c r="AN4" s="538"/>
    </row>
    <row r="5" spans="1:40" ht="16.5" customHeight="1">
      <c r="A5" s="920"/>
      <c r="B5" s="920"/>
      <c r="C5" s="920"/>
      <c r="D5" s="920"/>
      <c r="E5" s="920"/>
      <c r="F5" s="920"/>
      <c r="G5" s="920"/>
      <c r="H5" s="920"/>
      <c r="I5" s="920"/>
      <c r="J5" s="920"/>
      <c r="K5" s="920"/>
      <c r="L5" s="920"/>
      <c r="M5" s="921"/>
      <c r="N5" s="921"/>
      <c r="O5" s="921"/>
      <c r="P5" s="921"/>
      <c r="Q5" s="921"/>
      <c r="R5" s="921"/>
      <c r="S5" s="921"/>
      <c r="T5" s="921"/>
      <c r="U5" s="921"/>
      <c r="V5" s="921"/>
      <c r="W5" s="921"/>
      <c r="X5" s="921"/>
      <c r="Y5" s="921"/>
      <c r="Z5" s="921"/>
      <c r="AA5" s="921"/>
      <c r="AB5" s="921"/>
      <c r="AC5" s="921"/>
      <c r="AD5" s="921"/>
      <c r="AE5" s="921"/>
      <c r="AF5" s="921"/>
      <c r="AG5" s="921"/>
      <c r="AH5" s="921"/>
      <c r="AI5" s="921"/>
      <c r="AJ5" s="561"/>
      <c r="AK5" s="562"/>
      <c r="AL5" s="562"/>
      <c r="AM5" s="538"/>
      <c r="AN5" s="538"/>
    </row>
    <row r="6" spans="1:40" ht="42" customHeight="1">
      <c r="A6" s="1427" t="s">
        <v>276</v>
      </c>
      <c r="B6" s="1427"/>
      <c r="C6" s="1427"/>
      <c r="D6" s="1427"/>
      <c r="E6" s="1427"/>
      <c r="F6" s="1427"/>
      <c r="G6" s="1427"/>
      <c r="H6" s="1427"/>
      <c r="I6" s="1427"/>
      <c r="J6" s="1427"/>
      <c r="K6" s="1427"/>
      <c r="L6" s="1427"/>
      <c r="M6" s="1427"/>
      <c r="N6" s="1427"/>
      <c r="O6" s="1427"/>
      <c r="P6" s="921"/>
      <c r="Q6" s="921"/>
      <c r="R6" s="921"/>
      <c r="S6" s="921"/>
      <c r="T6" s="921"/>
      <c r="U6" s="921"/>
      <c r="V6" s="921"/>
      <c r="W6" s="921"/>
      <c r="X6" s="921"/>
      <c r="Y6" s="921"/>
      <c r="Z6" s="921"/>
      <c r="AA6" s="921"/>
      <c r="AB6" s="921"/>
      <c r="AC6" s="921"/>
      <c r="AD6" s="921"/>
      <c r="AE6" s="921"/>
      <c r="AF6" s="921"/>
      <c r="AG6" s="921"/>
      <c r="AH6" s="921"/>
      <c r="AI6" s="921"/>
      <c r="AJ6" s="561"/>
      <c r="AK6" s="562"/>
      <c r="AL6" s="562"/>
      <c r="AM6" s="538"/>
      <c r="AN6" s="538"/>
    </row>
    <row r="7" spans="1:40" ht="39" customHeight="1">
      <c r="A7" s="1427" t="s">
        <v>642</v>
      </c>
      <c r="B7" s="1427"/>
      <c r="C7" s="1427"/>
      <c r="D7" s="1427"/>
      <c r="E7" s="1427"/>
      <c r="F7" s="1427"/>
      <c r="G7" s="1427"/>
      <c r="H7" s="1427"/>
      <c r="I7" s="1427"/>
      <c r="J7" s="1427"/>
      <c r="K7" s="1427"/>
      <c r="L7" s="1427"/>
      <c r="M7" s="1427"/>
      <c r="N7" s="1427"/>
      <c r="O7" s="1427"/>
      <c r="P7" s="921"/>
      <c r="Q7" s="921"/>
      <c r="R7" s="921"/>
      <c r="S7" s="921"/>
      <c r="T7" s="921"/>
      <c r="U7" s="921"/>
      <c r="V7" s="921"/>
      <c r="W7" s="921"/>
      <c r="X7" s="921"/>
      <c r="Y7" s="921"/>
      <c r="Z7" s="921"/>
      <c r="AA7" s="921"/>
      <c r="AB7" s="921"/>
      <c r="AC7" s="921"/>
      <c r="AD7" s="921"/>
      <c r="AE7" s="921"/>
      <c r="AF7" s="921"/>
      <c r="AG7" s="921"/>
      <c r="AH7" s="921"/>
      <c r="AI7" s="921"/>
      <c r="AJ7" s="561"/>
      <c r="AK7" s="562"/>
      <c r="AL7" s="562"/>
      <c r="AM7" s="538"/>
      <c r="AN7" s="538"/>
    </row>
    <row r="8" spans="1:40" ht="15" customHeight="1">
      <c r="A8" s="1427"/>
      <c r="B8" s="1427"/>
      <c r="C8" s="1427"/>
      <c r="D8" s="1427"/>
      <c r="E8" s="1427"/>
      <c r="F8" s="1427"/>
      <c r="G8" s="1427"/>
      <c r="H8" s="1427"/>
      <c r="I8" s="1427"/>
      <c r="J8" s="1427"/>
      <c r="K8" s="1427"/>
      <c r="L8" s="1427"/>
      <c r="M8" s="1427"/>
      <c r="N8" s="1427"/>
      <c r="O8" s="1427"/>
      <c r="P8" s="1427"/>
      <c r="Q8" s="1427"/>
      <c r="R8" s="1427"/>
      <c r="S8" s="1427"/>
      <c r="T8" s="1427"/>
      <c r="U8" s="1427"/>
      <c r="V8" s="1427"/>
      <c r="W8" s="1427"/>
      <c r="X8" s="1427"/>
      <c r="Y8" s="1427"/>
      <c r="Z8" s="1427"/>
      <c r="AA8" s="1427"/>
      <c r="AB8" s="1427"/>
      <c r="AC8" s="1427"/>
      <c r="AD8" s="1427"/>
      <c r="AE8" s="1427"/>
      <c r="AF8" s="1427"/>
      <c r="AG8" s="1427"/>
      <c r="AH8" s="1427"/>
      <c r="AI8" s="1427"/>
      <c r="AJ8" s="1427"/>
      <c r="AK8" s="562"/>
      <c r="AL8" s="562"/>
      <c r="AM8" s="538"/>
      <c r="AN8" s="538"/>
    </row>
    <row r="9" spans="1:40" ht="89.25" customHeight="1">
      <c r="A9" s="1431" t="s">
        <v>589</v>
      </c>
      <c r="B9" s="1431"/>
      <c r="C9" s="1431"/>
      <c r="D9" s="1431"/>
      <c r="E9" s="1431"/>
      <c r="F9" s="1431"/>
      <c r="G9" s="1431"/>
      <c r="H9" s="1431"/>
      <c r="I9" s="1431"/>
      <c r="J9" s="1431"/>
      <c r="K9" s="1431"/>
      <c r="L9" s="1431"/>
      <c r="M9" s="1431"/>
      <c r="N9" s="1431"/>
      <c r="O9" s="1431"/>
      <c r="P9" s="1431"/>
      <c r="Q9" s="1431"/>
      <c r="R9" s="1431"/>
      <c r="S9" s="1431"/>
      <c r="T9" s="1431"/>
      <c r="U9" s="1431"/>
      <c r="V9" s="1431"/>
      <c r="W9" s="1431"/>
      <c r="X9" s="1431"/>
      <c r="Y9" s="1431"/>
      <c r="Z9" s="1431"/>
      <c r="AA9" s="1431"/>
      <c r="AB9" s="1431"/>
      <c r="AC9" s="1431"/>
      <c r="AD9" s="1431"/>
      <c r="AE9" s="1431"/>
      <c r="AF9" s="1431"/>
      <c r="AG9" s="1431"/>
      <c r="AH9" s="1431"/>
      <c r="AI9" s="1431"/>
      <c r="AJ9" s="1431"/>
      <c r="AL9" s="538"/>
      <c r="AM9" s="538"/>
      <c r="AN9" s="538"/>
    </row>
    <row r="10" spans="1:40" ht="36.75" customHeight="1">
      <c r="A10" s="540"/>
      <c r="B10" s="540"/>
      <c r="C10" s="540"/>
      <c r="D10" s="540"/>
      <c r="E10" s="540"/>
      <c r="F10" s="540"/>
      <c r="G10" s="540"/>
      <c r="H10" s="540"/>
      <c r="I10" s="540"/>
      <c r="J10" s="540"/>
      <c r="K10" s="540"/>
      <c r="L10" s="540"/>
      <c r="M10" s="540"/>
      <c r="N10" s="540"/>
      <c r="O10" s="540"/>
      <c r="P10" s="540"/>
      <c r="Q10" s="540"/>
      <c r="R10" s="540"/>
      <c r="S10" s="540"/>
      <c r="T10" s="540"/>
      <c r="U10" s="540"/>
      <c r="V10" s="540"/>
      <c r="W10" s="540"/>
      <c r="X10" s="540"/>
      <c r="Y10" s="540"/>
      <c r="Z10" s="540"/>
      <c r="AA10" s="540"/>
      <c r="AB10" s="540"/>
      <c r="AC10" s="540"/>
      <c r="AD10" s="540"/>
      <c r="AE10" s="540"/>
      <c r="AF10" s="540"/>
      <c r="AG10" s="540"/>
      <c r="AH10" s="1406"/>
      <c r="AI10" s="1406"/>
      <c r="AJ10" s="623"/>
      <c r="AK10" s="727" t="s">
        <v>509</v>
      </c>
      <c r="AL10" s="728"/>
      <c r="AM10" s="538"/>
      <c r="AN10" s="538"/>
    </row>
    <row r="11" spans="1:40" ht="48" customHeight="1">
      <c r="A11" s="1430" t="s">
        <v>16</v>
      </c>
      <c r="B11" s="1430" t="s">
        <v>17</v>
      </c>
      <c r="C11" s="1430" t="s">
        <v>54</v>
      </c>
      <c r="D11" s="1430"/>
      <c r="E11" s="1430"/>
      <c r="F11" s="1430"/>
      <c r="G11" s="1430"/>
      <c r="H11" s="1430"/>
      <c r="I11" s="1430"/>
      <c r="J11" s="1430"/>
      <c r="K11" s="1430"/>
      <c r="L11" s="1430"/>
      <c r="M11" s="1430"/>
      <c r="N11" s="1430"/>
      <c r="O11" s="1430"/>
      <c r="P11" s="1430"/>
      <c r="Q11" s="1430"/>
      <c r="R11" s="1430"/>
      <c r="S11" s="1430"/>
      <c r="T11" s="1430"/>
      <c r="U11" s="1430"/>
      <c r="V11" s="1430"/>
      <c r="W11" s="1430"/>
      <c r="X11" s="1430"/>
      <c r="Y11" s="1430"/>
      <c r="Z11" s="1430"/>
      <c r="AA11" s="1430"/>
      <c r="AB11" s="1430"/>
      <c r="AC11" s="1430"/>
      <c r="AD11" s="1430"/>
      <c r="AE11" s="1430"/>
      <c r="AF11" s="1430"/>
      <c r="AG11" s="1430"/>
      <c r="AH11" s="1429" t="s">
        <v>524</v>
      </c>
      <c r="AI11" s="1429" t="s">
        <v>415</v>
      </c>
      <c r="AJ11" s="1429" t="s">
        <v>135</v>
      </c>
      <c r="AK11" s="1429" t="s">
        <v>390</v>
      </c>
      <c r="AL11" s="1430" t="s">
        <v>397</v>
      </c>
      <c r="AM11" s="538"/>
      <c r="AN11" s="538"/>
    </row>
    <row r="12" spans="1:40" ht="99" customHeight="1">
      <c r="A12" s="1430"/>
      <c r="B12" s="1430"/>
      <c r="C12" s="922">
        <v>1</v>
      </c>
      <c r="D12" s="922">
        <v>2</v>
      </c>
      <c r="E12" s="922">
        <v>3</v>
      </c>
      <c r="F12" s="922">
        <v>4</v>
      </c>
      <c r="G12" s="922">
        <v>5</v>
      </c>
      <c r="H12" s="922">
        <v>6</v>
      </c>
      <c r="I12" s="922">
        <v>7</v>
      </c>
      <c r="J12" s="922">
        <v>8</v>
      </c>
      <c r="K12" s="922">
        <v>9</v>
      </c>
      <c r="L12" s="922">
        <v>10</v>
      </c>
      <c r="M12" s="922">
        <v>11</v>
      </c>
      <c r="N12" s="922">
        <v>12</v>
      </c>
      <c r="O12" s="922">
        <v>13</v>
      </c>
      <c r="P12" s="922">
        <v>14</v>
      </c>
      <c r="Q12" s="922">
        <v>15</v>
      </c>
      <c r="R12" s="922">
        <v>16</v>
      </c>
      <c r="S12" s="922">
        <v>17</v>
      </c>
      <c r="T12" s="922">
        <v>18</v>
      </c>
      <c r="U12" s="922">
        <v>19</v>
      </c>
      <c r="V12" s="922">
        <v>20</v>
      </c>
      <c r="W12" s="922">
        <v>21</v>
      </c>
      <c r="X12" s="922">
        <v>22</v>
      </c>
      <c r="Y12" s="922">
        <v>23</v>
      </c>
      <c r="Z12" s="922">
        <v>24</v>
      </c>
      <c r="AA12" s="922">
        <v>25</v>
      </c>
      <c r="AB12" s="922">
        <v>26</v>
      </c>
      <c r="AC12" s="922">
        <v>27</v>
      </c>
      <c r="AD12" s="922">
        <v>28</v>
      </c>
      <c r="AE12" s="1064">
        <v>29</v>
      </c>
      <c r="AF12" s="1064">
        <v>30</v>
      </c>
      <c r="AG12" s="922"/>
      <c r="AH12" s="1429"/>
      <c r="AI12" s="1429"/>
      <c r="AJ12" s="1429"/>
      <c r="AK12" s="1429"/>
      <c r="AL12" s="1430"/>
      <c r="AM12" s="538"/>
      <c r="AN12" s="538"/>
    </row>
    <row r="13" spans="1:40" ht="99" customHeight="1">
      <c r="A13" s="1432" t="s">
        <v>525</v>
      </c>
      <c r="B13" s="1432"/>
      <c r="C13" s="923">
        <f>C14</f>
        <v>0</v>
      </c>
      <c r="D13" s="923">
        <f t="shared" ref="D13:AD13" si="0">D14</f>
        <v>0</v>
      </c>
      <c r="E13" s="923">
        <f t="shared" si="0"/>
        <v>0</v>
      </c>
      <c r="F13" s="923">
        <f t="shared" si="0"/>
        <v>0</v>
      </c>
      <c r="G13" s="923">
        <f t="shared" si="0"/>
        <v>0</v>
      </c>
      <c r="H13" s="923">
        <f t="shared" si="0"/>
        <v>0</v>
      </c>
      <c r="I13" s="924">
        <f t="shared" si="0"/>
        <v>0</v>
      </c>
      <c r="J13" s="924">
        <f t="shared" si="0"/>
        <v>0</v>
      </c>
      <c r="K13" s="924">
        <f t="shared" si="0"/>
        <v>0</v>
      </c>
      <c r="L13" s="924">
        <f t="shared" si="0"/>
        <v>0</v>
      </c>
      <c r="M13" s="924">
        <f t="shared" si="0"/>
        <v>0</v>
      </c>
      <c r="N13" s="924">
        <f t="shared" si="0"/>
        <v>0</v>
      </c>
      <c r="O13" s="924">
        <f t="shared" si="0"/>
        <v>0</v>
      </c>
      <c r="P13" s="924">
        <f t="shared" si="0"/>
        <v>0</v>
      </c>
      <c r="Q13" s="924">
        <f t="shared" si="0"/>
        <v>0</v>
      </c>
      <c r="R13" s="924">
        <f t="shared" si="0"/>
        <v>0</v>
      </c>
      <c r="S13" s="924">
        <f t="shared" si="0"/>
        <v>0</v>
      </c>
      <c r="T13" s="924">
        <f t="shared" si="0"/>
        <v>0</v>
      </c>
      <c r="U13" s="924">
        <f t="shared" si="0"/>
        <v>0</v>
      </c>
      <c r="V13" s="924">
        <f t="shared" si="0"/>
        <v>0</v>
      </c>
      <c r="W13" s="924">
        <f t="shared" si="0"/>
        <v>0</v>
      </c>
      <c r="X13" s="924">
        <f t="shared" si="0"/>
        <v>0</v>
      </c>
      <c r="Y13" s="924">
        <f t="shared" si="0"/>
        <v>0</v>
      </c>
      <c r="Z13" s="924">
        <f t="shared" si="0"/>
        <v>0</v>
      </c>
      <c r="AA13" s="924">
        <f t="shared" si="0"/>
        <v>0</v>
      </c>
      <c r="AB13" s="924">
        <f t="shared" si="0"/>
        <v>0</v>
      </c>
      <c r="AC13" s="924">
        <f t="shared" si="0"/>
        <v>0</v>
      </c>
      <c r="AD13" s="924">
        <f t="shared" si="0"/>
        <v>0</v>
      </c>
      <c r="AE13" s="924">
        <f>AE14</f>
        <v>0</v>
      </c>
      <c r="AF13" s="924">
        <f>AF14</f>
        <v>0</v>
      </c>
      <c r="AG13" s="924"/>
      <c r="AH13" s="924">
        <f>AH14</f>
        <v>0</v>
      </c>
      <c r="AI13" s="1014"/>
      <c r="AJ13" s="924">
        <f>AJ14</f>
        <v>0</v>
      </c>
      <c r="AK13" s="925">
        <f>AK14</f>
        <v>0</v>
      </c>
      <c r="AL13" s="922"/>
      <c r="AM13" s="538"/>
      <c r="AN13" s="538"/>
    </row>
    <row r="14" spans="1:40" ht="99" customHeight="1">
      <c r="A14" s="926">
        <v>1</v>
      </c>
      <c r="B14" s="927" t="s">
        <v>417</v>
      </c>
      <c r="C14" s="926"/>
      <c r="D14" s="926"/>
      <c r="E14" s="926"/>
      <c r="F14" s="926"/>
      <c r="G14" s="926"/>
      <c r="H14" s="926"/>
      <c r="I14" s="928"/>
      <c r="J14" s="928"/>
      <c r="K14" s="928"/>
      <c r="L14" s="928"/>
      <c r="M14" s="928"/>
      <c r="N14" s="928"/>
      <c r="O14" s="928"/>
      <c r="P14" s="928"/>
      <c r="Q14" s="928"/>
      <c r="R14" s="928"/>
      <c r="S14" s="928"/>
      <c r="T14" s="928"/>
      <c r="U14" s="928"/>
      <c r="V14" s="928"/>
      <c r="W14" s="928"/>
      <c r="X14" s="928"/>
      <c r="Y14" s="928"/>
      <c r="Z14" s="928"/>
      <c r="AA14" s="928"/>
      <c r="AB14" s="928"/>
      <c r="AC14" s="928"/>
      <c r="AD14" s="928"/>
      <c r="AE14" s="928"/>
      <c r="AF14" s="933"/>
      <c r="AG14" s="928"/>
      <c r="AH14" s="929">
        <f>SUM(C14:AG14)</f>
        <v>0</v>
      </c>
      <c r="AI14" s="930">
        <v>48.216842105263161</v>
      </c>
      <c r="AJ14" s="931">
        <f>AH14*AI14/100</f>
        <v>0</v>
      </c>
      <c r="AK14" s="932"/>
      <c r="AL14" s="922"/>
      <c r="AM14" s="538"/>
      <c r="AN14" s="538"/>
    </row>
    <row r="15" spans="1:40" s="539" customFormat="1" ht="99" customHeight="1">
      <c r="A15" s="1432" t="s">
        <v>526</v>
      </c>
      <c r="B15" s="1432"/>
      <c r="C15" s="923">
        <f>C16</f>
        <v>0</v>
      </c>
      <c r="D15" s="923">
        <f t="shared" ref="D15:AJ15" si="1">D16</f>
        <v>0</v>
      </c>
      <c r="E15" s="923">
        <f t="shared" si="1"/>
        <v>0</v>
      </c>
      <c r="F15" s="923">
        <f t="shared" si="1"/>
        <v>0</v>
      </c>
      <c r="G15" s="923">
        <f t="shared" si="1"/>
        <v>0</v>
      </c>
      <c r="H15" s="923">
        <f t="shared" si="1"/>
        <v>0</v>
      </c>
      <c r="I15" s="924">
        <f t="shared" si="1"/>
        <v>0</v>
      </c>
      <c r="J15" s="924">
        <f t="shared" si="1"/>
        <v>0</v>
      </c>
      <c r="K15" s="924">
        <f t="shared" si="1"/>
        <v>0</v>
      </c>
      <c r="L15" s="924">
        <f t="shared" si="1"/>
        <v>0</v>
      </c>
      <c r="M15" s="924">
        <f t="shared" si="1"/>
        <v>0</v>
      </c>
      <c r="N15" s="924">
        <f t="shared" si="1"/>
        <v>0</v>
      </c>
      <c r="O15" s="924">
        <f t="shared" si="1"/>
        <v>0</v>
      </c>
      <c r="P15" s="924">
        <f t="shared" si="1"/>
        <v>0</v>
      </c>
      <c r="Q15" s="924">
        <f t="shared" si="1"/>
        <v>0</v>
      </c>
      <c r="R15" s="924">
        <f t="shared" si="1"/>
        <v>0</v>
      </c>
      <c r="S15" s="924">
        <f t="shared" si="1"/>
        <v>0</v>
      </c>
      <c r="T15" s="924">
        <f t="shared" si="1"/>
        <v>0</v>
      </c>
      <c r="U15" s="924">
        <f t="shared" si="1"/>
        <v>0</v>
      </c>
      <c r="V15" s="924">
        <f t="shared" si="1"/>
        <v>0</v>
      </c>
      <c r="W15" s="924">
        <f t="shared" si="1"/>
        <v>0</v>
      </c>
      <c r="X15" s="924">
        <f t="shared" si="1"/>
        <v>0</v>
      </c>
      <c r="Y15" s="924">
        <f t="shared" si="1"/>
        <v>0</v>
      </c>
      <c r="Z15" s="924">
        <f t="shared" si="1"/>
        <v>0</v>
      </c>
      <c r="AA15" s="924">
        <f t="shared" si="1"/>
        <v>0</v>
      </c>
      <c r="AB15" s="924">
        <f t="shared" si="1"/>
        <v>0</v>
      </c>
      <c r="AC15" s="924">
        <f t="shared" si="1"/>
        <v>0</v>
      </c>
      <c r="AD15" s="924">
        <f t="shared" si="1"/>
        <v>0</v>
      </c>
      <c r="AE15" s="924">
        <f t="shared" si="1"/>
        <v>0</v>
      </c>
      <c r="AF15" s="924">
        <f t="shared" si="1"/>
        <v>0</v>
      </c>
      <c r="AG15" s="924"/>
      <c r="AH15" s="924">
        <f t="shared" si="1"/>
        <v>0</v>
      </c>
      <c r="AI15" s="1014"/>
      <c r="AJ15" s="924">
        <f t="shared" si="1"/>
        <v>0</v>
      </c>
      <c r="AK15" s="932"/>
      <c r="AL15" s="922"/>
    </row>
    <row r="16" spans="1:40" ht="99" customHeight="1">
      <c r="A16" s="927">
        <v>1</v>
      </c>
      <c r="B16" s="927" t="s">
        <v>417</v>
      </c>
      <c r="C16" s="927"/>
      <c r="D16" s="927"/>
      <c r="E16" s="927"/>
      <c r="F16" s="927"/>
      <c r="G16" s="927"/>
      <c r="H16" s="927"/>
      <c r="I16" s="933"/>
      <c r="J16" s="933"/>
      <c r="K16" s="933"/>
      <c r="L16" s="933"/>
      <c r="M16" s="933"/>
      <c r="N16" s="933"/>
      <c r="O16" s="933"/>
      <c r="P16" s="933"/>
      <c r="Q16" s="933"/>
      <c r="R16" s="933"/>
      <c r="S16" s="933"/>
      <c r="T16" s="933"/>
      <c r="U16" s="933"/>
      <c r="V16" s="933"/>
      <c r="W16" s="933"/>
      <c r="X16" s="933"/>
      <c r="Y16" s="933"/>
      <c r="Z16" s="933"/>
      <c r="AA16" s="933"/>
      <c r="AB16" s="933"/>
      <c r="AC16" s="933"/>
      <c r="AD16" s="933"/>
      <c r="AE16" s="933"/>
      <c r="AF16" s="933"/>
      <c r="AG16" s="933"/>
      <c r="AH16" s="929">
        <f>SUM(C16:AG16)</f>
        <v>0</v>
      </c>
      <c r="AI16" s="930">
        <v>44.234999999999999</v>
      </c>
      <c r="AJ16" s="931">
        <f>AH16*AI16/100</f>
        <v>0</v>
      </c>
      <c r="AK16" s="932"/>
      <c r="AL16" s="922"/>
      <c r="AM16" s="538"/>
      <c r="AN16" s="538"/>
    </row>
    <row r="17" spans="1:44" s="539" customFormat="1" ht="99" customHeight="1">
      <c r="A17" s="1432" t="s">
        <v>527</v>
      </c>
      <c r="B17" s="1432"/>
      <c r="C17" s="923">
        <f>C18</f>
        <v>0</v>
      </c>
      <c r="D17" s="923">
        <f t="shared" ref="D17:AK17" si="2">D18</f>
        <v>0</v>
      </c>
      <c r="E17" s="923">
        <f t="shared" si="2"/>
        <v>0</v>
      </c>
      <c r="F17" s="923">
        <f t="shared" si="2"/>
        <v>0</v>
      </c>
      <c r="G17" s="923">
        <f t="shared" si="2"/>
        <v>0</v>
      </c>
      <c r="H17" s="923">
        <f t="shared" si="2"/>
        <v>0</v>
      </c>
      <c r="I17" s="924">
        <f t="shared" si="2"/>
        <v>0</v>
      </c>
      <c r="J17" s="924">
        <f t="shared" si="2"/>
        <v>0</v>
      </c>
      <c r="K17" s="924">
        <f t="shared" si="2"/>
        <v>0</v>
      </c>
      <c r="L17" s="924">
        <f t="shared" si="2"/>
        <v>0</v>
      </c>
      <c r="M17" s="924">
        <f t="shared" si="2"/>
        <v>0</v>
      </c>
      <c r="N17" s="924">
        <f t="shared" si="2"/>
        <v>0</v>
      </c>
      <c r="O17" s="924">
        <f t="shared" si="2"/>
        <v>0</v>
      </c>
      <c r="P17" s="924">
        <f t="shared" si="2"/>
        <v>0</v>
      </c>
      <c r="Q17" s="924">
        <f t="shared" si="2"/>
        <v>0</v>
      </c>
      <c r="R17" s="924">
        <f t="shared" si="2"/>
        <v>0</v>
      </c>
      <c r="S17" s="924">
        <f t="shared" si="2"/>
        <v>0</v>
      </c>
      <c r="T17" s="924">
        <f t="shared" si="2"/>
        <v>0</v>
      </c>
      <c r="U17" s="924">
        <f t="shared" si="2"/>
        <v>0</v>
      </c>
      <c r="V17" s="924">
        <f t="shared" si="2"/>
        <v>0</v>
      </c>
      <c r="W17" s="924">
        <f t="shared" si="2"/>
        <v>0</v>
      </c>
      <c r="X17" s="924">
        <f t="shared" si="2"/>
        <v>0</v>
      </c>
      <c r="Y17" s="924">
        <f t="shared" si="2"/>
        <v>0</v>
      </c>
      <c r="Z17" s="924">
        <f t="shared" si="2"/>
        <v>0</v>
      </c>
      <c r="AA17" s="924">
        <f t="shared" si="2"/>
        <v>0</v>
      </c>
      <c r="AB17" s="924">
        <f t="shared" si="2"/>
        <v>0</v>
      </c>
      <c r="AC17" s="924">
        <f t="shared" si="2"/>
        <v>0</v>
      </c>
      <c r="AD17" s="924">
        <f t="shared" si="2"/>
        <v>0</v>
      </c>
      <c r="AE17" s="924">
        <f t="shared" si="2"/>
        <v>0</v>
      </c>
      <c r="AF17" s="924">
        <f t="shared" si="2"/>
        <v>0</v>
      </c>
      <c r="AG17" s="924"/>
      <c r="AH17" s="924">
        <f t="shared" si="2"/>
        <v>0</v>
      </c>
      <c r="AI17" s="1014"/>
      <c r="AJ17" s="924">
        <f t="shared" si="2"/>
        <v>0</v>
      </c>
      <c r="AK17" s="923">
        <f t="shared" si="2"/>
        <v>0</v>
      </c>
      <c r="AL17" s="922"/>
    </row>
    <row r="18" spans="1:44" ht="99" customHeight="1">
      <c r="A18" s="927">
        <v>1</v>
      </c>
      <c r="B18" s="927" t="s">
        <v>417</v>
      </c>
      <c r="C18" s="927"/>
      <c r="D18" s="927"/>
      <c r="E18" s="927"/>
      <c r="F18" s="927"/>
      <c r="G18" s="927"/>
      <c r="H18" s="927"/>
      <c r="I18" s="933"/>
      <c r="J18" s="933"/>
      <c r="K18" s="933"/>
      <c r="L18" s="933"/>
      <c r="M18" s="933"/>
      <c r="N18" s="933"/>
      <c r="O18" s="933"/>
      <c r="P18" s="933"/>
      <c r="Q18" s="933"/>
      <c r="R18" s="933"/>
      <c r="S18" s="933"/>
      <c r="T18" s="933"/>
      <c r="U18" s="933"/>
      <c r="V18" s="933"/>
      <c r="W18" s="933"/>
      <c r="X18" s="933"/>
      <c r="Y18" s="933"/>
      <c r="Z18" s="933"/>
      <c r="AA18" s="933"/>
      <c r="AB18" s="933"/>
      <c r="AC18" s="933"/>
      <c r="AD18" s="933"/>
      <c r="AE18" s="933"/>
      <c r="AF18" s="933"/>
      <c r="AG18" s="933"/>
      <c r="AH18" s="929">
        <f>SUM(C18:AG18)</f>
        <v>0</v>
      </c>
      <c r="AI18" s="930">
        <v>47.395652173913042</v>
      </c>
      <c r="AJ18" s="931">
        <f>AH18*AI18/100</f>
        <v>0</v>
      </c>
      <c r="AK18" s="932"/>
      <c r="AL18" s="922"/>
      <c r="AM18" s="538"/>
      <c r="AN18" s="538"/>
    </row>
    <row r="19" spans="1:44" s="539" customFormat="1" ht="85.5" customHeight="1">
      <c r="A19" s="1432" t="s">
        <v>296</v>
      </c>
      <c r="B19" s="1432"/>
      <c r="C19" s="923">
        <f>C20</f>
        <v>0</v>
      </c>
      <c r="D19" s="923">
        <f t="shared" ref="D19:AJ19" si="3">D20</f>
        <v>0</v>
      </c>
      <c r="E19" s="923">
        <f t="shared" si="3"/>
        <v>0</v>
      </c>
      <c r="F19" s="923">
        <f t="shared" si="3"/>
        <v>0</v>
      </c>
      <c r="G19" s="923">
        <f t="shared" si="3"/>
        <v>0</v>
      </c>
      <c r="H19" s="923">
        <f t="shared" si="3"/>
        <v>0</v>
      </c>
      <c r="I19" s="924">
        <f t="shared" si="3"/>
        <v>0</v>
      </c>
      <c r="J19" s="924">
        <f t="shared" si="3"/>
        <v>0</v>
      </c>
      <c r="K19" s="924">
        <f t="shared" si="3"/>
        <v>0</v>
      </c>
      <c r="L19" s="924">
        <f t="shared" si="3"/>
        <v>0</v>
      </c>
      <c r="M19" s="924">
        <f t="shared" si="3"/>
        <v>0</v>
      </c>
      <c r="N19" s="924">
        <f t="shared" si="3"/>
        <v>0</v>
      </c>
      <c r="O19" s="924">
        <f t="shared" si="3"/>
        <v>0</v>
      </c>
      <c r="P19" s="924">
        <f t="shared" si="3"/>
        <v>0</v>
      </c>
      <c r="Q19" s="924">
        <f t="shared" si="3"/>
        <v>0</v>
      </c>
      <c r="R19" s="924">
        <f t="shared" si="3"/>
        <v>0</v>
      </c>
      <c r="S19" s="924">
        <f t="shared" si="3"/>
        <v>0</v>
      </c>
      <c r="T19" s="924">
        <f t="shared" si="3"/>
        <v>0</v>
      </c>
      <c r="U19" s="924">
        <f t="shared" si="3"/>
        <v>0</v>
      </c>
      <c r="V19" s="924">
        <f t="shared" si="3"/>
        <v>0</v>
      </c>
      <c r="W19" s="924">
        <f t="shared" si="3"/>
        <v>0</v>
      </c>
      <c r="X19" s="924">
        <f t="shared" si="3"/>
        <v>0</v>
      </c>
      <c r="Y19" s="924">
        <f t="shared" si="3"/>
        <v>0</v>
      </c>
      <c r="Z19" s="924">
        <f t="shared" si="3"/>
        <v>0</v>
      </c>
      <c r="AA19" s="924">
        <f t="shared" si="3"/>
        <v>0</v>
      </c>
      <c r="AB19" s="924">
        <f t="shared" si="3"/>
        <v>0</v>
      </c>
      <c r="AC19" s="924">
        <f t="shared" si="3"/>
        <v>0</v>
      </c>
      <c r="AD19" s="924">
        <f t="shared" si="3"/>
        <v>0</v>
      </c>
      <c r="AE19" s="924">
        <f t="shared" si="3"/>
        <v>0</v>
      </c>
      <c r="AF19" s="924">
        <f t="shared" si="3"/>
        <v>0</v>
      </c>
      <c r="AG19" s="924"/>
      <c r="AH19" s="924">
        <f t="shared" si="3"/>
        <v>0</v>
      </c>
      <c r="AI19" s="1014"/>
      <c r="AJ19" s="924">
        <f t="shared" si="3"/>
        <v>0</v>
      </c>
      <c r="AK19" s="937"/>
      <c r="AL19" s="937"/>
      <c r="AN19" s="938" t="e">
        <f>SUM(#REF!)</f>
        <v>#REF!</v>
      </c>
    </row>
    <row r="20" spans="1:44" s="668" customFormat="1" ht="116.25" customHeight="1">
      <c r="A20" s="927">
        <v>1</v>
      </c>
      <c r="B20" s="927" t="s">
        <v>417</v>
      </c>
      <c r="C20" s="935"/>
      <c r="D20" s="935"/>
      <c r="E20" s="935"/>
      <c r="F20" s="935"/>
      <c r="G20" s="935"/>
      <c r="H20" s="935"/>
      <c r="I20" s="936"/>
      <c r="J20" s="936"/>
      <c r="K20" s="936"/>
      <c r="L20" s="936"/>
      <c r="M20" s="936"/>
      <c r="N20" s="936"/>
      <c r="O20" s="936"/>
      <c r="P20" s="936"/>
      <c r="Q20" s="936"/>
      <c r="R20" s="936"/>
      <c r="S20" s="936"/>
      <c r="T20" s="936"/>
      <c r="U20" s="936"/>
      <c r="V20" s="936"/>
      <c r="W20" s="936"/>
      <c r="X20" s="936"/>
      <c r="Y20" s="936"/>
      <c r="Z20" s="936"/>
      <c r="AA20" s="936"/>
      <c r="AB20" s="936"/>
      <c r="AC20" s="936"/>
      <c r="AD20" s="936"/>
      <c r="AE20" s="936"/>
      <c r="AF20" s="936"/>
      <c r="AG20" s="936"/>
      <c r="AH20" s="929">
        <f>SUM(C20:AG20)</f>
        <v>0</v>
      </c>
      <c r="AI20" s="1015">
        <v>47.340606060606056</v>
      </c>
      <c r="AJ20" s="931">
        <f>AH20*AI20/100</f>
        <v>0</v>
      </c>
      <c r="AK20" s="922"/>
      <c r="AL20" s="934"/>
      <c r="AM20" s="538"/>
      <c r="AN20" s="538"/>
      <c r="AO20" s="538"/>
      <c r="AP20" s="538"/>
      <c r="AQ20" s="538"/>
      <c r="AR20" s="538"/>
    </row>
    <row r="21" spans="1:44" s="668" customFormat="1" ht="80.25" customHeight="1">
      <c r="A21" s="1430" t="s">
        <v>158</v>
      </c>
      <c r="B21" s="1436"/>
      <c r="C21" s="1078"/>
      <c r="D21" s="1078"/>
      <c r="E21" s="1078"/>
      <c r="F21" s="1078"/>
      <c r="G21" s="1078"/>
      <c r="H21" s="1078"/>
      <c r="I21" s="1079"/>
      <c r="J21" s="1079"/>
      <c r="K21" s="1079"/>
      <c r="L21" s="1079"/>
      <c r="M21" s="1079"/>
      <c r="N21" s="1079"/>
      <c r="O21" s="1079"/>
      <c r="P21" s="1079"/>
      <c r="Q21" s="1079"/>
      <c r="R21" s="1079"/>
      <c r="S21" s="1079"/>
      <c r="T21" s="1079"/>
      <c r="U21" s="1079"/>
      <c r="V21" s="1079"/>
      <c r="W21" s="1079"/>
      <c r="X21" s="1079"/>
      <c r="Y21" s="1079"/>
      <c r="Z21" s="1079"/>
      <c r="AA21" s="1079"/>
      <c r="AB21" s="1079"/>
      <c r="AC21" s="1079"/>
      <c r="AD21" s="1079"/>
      <c r="AE21" s="1080">
        <f>AE13+AE15+AE17+AE19</f>
        <v>0</v>
      </c>
      <c r="AF21" s="1080">
        <f>AF13+AF15+AF17+AF19</f>
        <v>0</v>
      </c>
      <c r="AG21" s="1080"/>
      <c r="AH21" s="1080">
        <f>AH13+AH15+AH17+AH19</f>
        <v>0</v>
      </c>
      <c r="AI21" s="1081"/>
      <c r="AJ21" s="1079">
        <f>AJ13+AJ15+AJ17+AJ19</f>
        <v>0</v>
      </c>
      <c r="AK21" s="1082">
        <f>AK13+AK15+AK17+AK19</f>
        <v>0</v>
      </c>
      <c r="AL21" s="1083"/>
      <c r="AM21" s="538"/>
      <c r="AN21" s="538"/>
      <c r="AO21" s="538"/>
      <c r="AP21" s="538"/>
      <c r="AQ21" s="538"/>
      <c r="AR21" s="538"/>
    </row>
    <row r="22" spans="1:44" ht="41.25" customHeight="1">
      <c r="A22" s="556"/>
      <c r="B22" s="556"/>
      <c r="C22" s="556"/>
      <c r="D22" s="556"/>
      <c r="E22" s="556"/>
      <c r="F22" s="556"/>
      <c r="G22" s="556"/>
      <c r="H22" s="556"/>
      <c r="I22" s="556"/>
      <c r="J22" s="556"/>
      <c r="K22" s="556"/>
      <c r="L22" s="556"/>
      <c r="M22" s="556"/>
      <c r="N22" s="556"/>
      <c r="O22" s="556"/>
      <c r="P22" s="556"/>
      <c r="Q22" s="556"/>
      <c r="R22" s="556"/>
      <c r="S22" s="556"/>
      <c r="T22" s="556"/>
      <c r="U22" s="556"/>
      <c r="V22" s="556"/>
      <c r="W22" s="556"/>
      <c r="X22" s="1084"/>
      <c r="Y22" s="1084"/>
      <c r="Z22" s="1084"/>
      <c r="AA22" s="1084"/>
      <c r="AB22" s="1084"/>
      <c r="AC22" s="1084"/>
      <c r="AD22" s="1084"/>
      <c r="AE22" s="1084"/>
      <c r="AF22" s="1084"/>
      <c r="AG22" s="1084"/>
      <c r="AH22" s="1084"/>
      <c r="AI22" s="1084"/>
      <c r="AJ22" s="1084"/>
      <c r="AK22" s="1084"/>
      <c r="AL22" s="1085"/>
      <c r="AM22" s="1085"/>
      <c r="AN22" s="1085"/>
    </row>
    <row r="23" spans="1:44" ht="79.5" customHeight="1">
      <c r="A23" s="556"/>
      <c r="B23" s="560"/>
      <c r="C23" s="560"/>
      <c r="D23" s="560"/>
      <c r="E23" s="560"/>
      <c r="F23" s="560"/>
      <c r="G23" s="560"/>
      <c r="H23" s="560"/>
      <c r="I23" s="560"/>
      <c r="J23" s="560"/>
      <c r="K23" s="560"/>
      <c r="L23" s="560"/>
      <c r="M23" s="560"/>
      <c r="N23" s="560"/>
      <c r="O23" s="560"/>
      <c r="P23" s="560"/>
      <c r="Q23" s="560"/>
      <c r="R23" s="560"/>
      <c r="S23" s="560"/>
      <c r="T23" s="560"/>
      <c r="U23" s="560"/>
      <c r="V23" s="560"/>
      <c r="W23" s="560"/>
      <c r="X23" s="1077" t="s">
        <v>703</v>
      </c>
      <c r="Y23" s="1077"/>
      <c r="Z23" s="1077"/>
      <c r="AA23" s="1077"/>
      <c r="AB23" s="1077"/>
      <c r="AC23" s="1077"/>
      <c r="AD23" s="1077"/>
      <c r="AE23" s="1077"/>
      <c r="AF23" s="1077"/>
      <c r="AG23" s="1077"/>
      <c r="AH23" s="1077"/>
      <c r="AI23" s="1077"/>
      <c r="AJ23" s="1077"/>
      <c r="AK23" s="1077"/>
      <c r="AL23" s="1085"/>
      <c r="AM23" s="1085"/>
      <c r="AN23" s="1085"/>
    </row>
    <row r="24" spans="1:44" ht="106.5" customHeight="1">
      <c r="A24" s="556"/>
      <c r="B24" s="563" t="s">
        <v>33</v>
      </c>
      <c r="C24" s="563"/>
      <c r="D24" s="563"/>
      <c r="E24" s="563"/>
      <c r="F24" s="563"/>
      <c r="G24" s="563"/>
      <c r="H24" s="1086"/>
      <c r="I24" s="563"/>
      <c r="J24" s="1085"/>
      <c r="K24" s="563"/>
      <c r="L24" s="563"/>
      <c r="M24" s="563" t="s">
        <v>291</v>
      </c>
      <c r="N24" s="563"/>
      <c r="O24" s="563"/>
      <c r="P24" s="1085"/>
      <c r="Q24" s="563"/>
      <c r="R24" s="1085"/>
      <c r="S24" s="563"/>
      <c r="T24" s="563"/>
      <c r="U24" s="1086"/>
      <c r="V24" s="1086"/>
      <c r="W24" s="563" t="s">
        <v>641</v>
      </c>
      <c r="X24" s="1085"/>
      <c r="Y24" s="563"/>
      <c r="Z24" s="563"/>
      <c r="AA24" s="563"/>
      <c r="AB24" s="563"/>
      <c r="AC24" s="563"/>
      <c r="AD24" s="1085"/>
      <c r="AE24" s="563"/>
      <c r="AF24" s="1085"/>
      <c r="AG24" s="563"/>
      <c r="AH24" s="563" t="s">
        <v>136</v>
      </c>
      <c r="AI24" s="563"/>
      <c r="AJ24" s="563"/>
      <c r="AK24" s="563"/>
      <c r="AL24" s="563"/>
      <c r="AM24" s="1085"/>
      <c r="AN24" s="1085"/>
    </row>
    <row r="25" spans="1:44" ht="28.5" customHeight="1">
      <c r="A25" s="556"/>
      <c r="B25" s="560"/>
      <c r="C25" s="560"/>
      <c r="D25" s="560"/>
      <c r="E25" s="560"/>
      <c r="F25" s="560"/>
      <c r="G25" s="560"/>
      <c r="H25" s="560"/>
      <c r="I25" s="560"/>
      <c r="J25" s="560"/>
      <c r="K25" s="560"/>
      <c r="L25" s="560"/>
      <c r="M25" s="560"/>
      <c r="N25" s="560"/>
      <c r="O25" s="560"/>
      <c r="P25" s="560"/>
      <c r="Q25" s="560"/>
      <c r="R25" s="560"/>
      <c r="S25" s="560"/>
      <c r="T25" s="560"/>
      <c r="U25" s="560"/>
      <c r="V25" s="560"/>
      <c r="W25" s="560"/>
      <c r="X25" s="1076"/>
      <c r="Y25" s="1076"/>
      <c r="Z25" s="1076"/>
      <c r="AA25" s="1076"/>
      <c r="AB25" s="1076"/>
      <c r="AC25" s="1076"/>
      <c r="AD25" s="1076"/>
      <c r="AE25" s="1076"/>
      <c r="AF25" s="1076"/>
      <c r="AG25" s="1076"/>
      <c r="AH25" s="1076"/>
      <c r="AI25" s="1076"/>
      <c r="AJ25" s="1076"/>
      <c r="AK25" s="1086"/>
      <c r="AL25" s="1085"/>
      <c r="AM25" s="1085"/>
      <c r="AN25" s="1085"/>
    </row>
    <row r="26" spans="1:44" ht="28.5" customHeight="1">
      <c r="A26" s="556"/>
      <c r="B26" s="560"/>
      <c r="C26" s="560"/>
      <c r="D26" s="560"/>
      <c r="E26" s="560"/>
      <c r="F26" s="560"/>
      <c r="G26" s="560"/>
      <c r="H26" s="560"/>
      <c r="I26" s="560"/>
      <c r="J26" s="560"/>
      <c r="K26" s="560"/>
      <c r="L26" s="560"/>
      <c r="M26" s="560"/>
      <c r="N26" s="560"/>
      <c r="O26" s="560"/>
      <c r="P26" s="560"/>
      <c r="Q26" s="560"/>
      <c r="R26" s="560"/>
      <c r="S26" s="560"/>
      <c r="T26" s="560"/>
      <c r="U26" s="560"/>
      <c r="V26" s="560"/>
      <c r="W26" s="560"/>
      <c r="X26" s="1076"/>
      <c r="Y26" s="1076"/>
      <c r="Z26" s="1076"/>
      <c r="AA26" s="1076"/>
      <c r="AB26" s="1076"/>
      <c r="AC26" s="1076"/>
      <c r="AD26" s="1076"/>
      <c r="AE26" s="1076"/>
      <c r="AF26" s="1076"/>
      <c r="AG26" s="1076"/>
      <c r="AH26" s="1076"/>
      <c r="AI26" s="1076"/>
      <c r="AJ26" s="1076"/>
      <c r="AK26" s="1086"/>
      <c r="AL26" s="1085"/>
      <c r="AM26" s="1085"/>
      <c r="AN26" s="1085"/>
    </row>
    <row r="27" spans="1:44" ht="28.5" customHeight="1">
      <c r="A27" s="556"/>
      <c r="B27" s="560"/>
      <c r="C27" s="560"/>
      <c r="D27" s="560"/>
      <c r="E27" s="560"/>
      <c r="F27" s="560"/>
      <c r="G27" s="560"/>
      <c r="H27" s="560"/>
      <c r="I27" s="560"/>
      <c r="J27" s="560"/>
      <c r="K27" s="560"/>
      <c r="L27" s="560"/>
      <c r="M27" s="560"/>
      <c r="N27" s="560"/>
      <c r="O27" s="560"/>
      <c r="P27" s="560"/>
      <c r="Q27" s="560"/>
      <c r="R27" s="560"/>
      <c r="S27" s="560"/>
      <c r="T27" s="560"/>
      <c r="U27" s="560"/>
      <c r="V27" s="560"/>
      <c r="W27" s="560"/>
      <c r="X27" s="1076"/>
      <c r="Y27" s="1076"/>
      <c r="Z27" s="1076"/>
      <c r="AA27" s="1076"/>
      <c r="AB27" s="1076"/>
      <c r="AC27" s="1076"/>
      <c r="AD27" s="1076"/>
      <c r="AE27" s="1076"/>
      <c r="AF27" s="1076"/>
      <c r="AG27" s="1076"/>
      <c r="AH27" s="1076"/>
      <c r="AI27" s="1076"/>
      <c r="AJ27" s="1076"/>
      <c r="AK27" s="1086"/>
      <c r="AL27" s="1085"/>
      <c r="AM27" s="1085"/>
      <c r="AN27" s="1085"/>
    </row>
    <row r="28" spans="1:44" ht="28.5" customHeight="1">
      <c r="A28" s="556"/>
      <c r="B28" s="560"/>
      <c r="C28" s="560"/>
      <c r="D28" s="560"/>
      <c r="E28" s="560"/>
      <c r="F28" s="560"/>
      <c r="G28" s="560"/>
      <c r="H28" s="560"/>
      <c r="I28" s="560"/>
      <c r="J28" s="560"/>
      <c r="K28" s="560"/>
      <c r="L28" s="560"/>
      <c r="M28" s="560"/>
      <c r="N28" s="560"/>
      <c r="O28" s="560"/>
      <c r="P28" s="560"/>
      <c r="Q28" s="560"/>
      <c r="R28" s="560"/>
      <c r="S28" s="560"/>
      <c r="T28" s="560"/>
      <c r="U28" s="560"/>
      <c r="V28" s="560"/>
      <c r="W28" s="560"/>
      <c r="X28" s="1076"/>
      <c r="Y28" s="1076"/>
      <c r="Z28" s="1076"/>
      <c r="AA28" s="1076"/>
      <c r="AB28" s="1076"/>
      <c r="AC28" s="1076"/>
      <c r="AD28" s="1076"/>
      <c r="AE28" s="1076"/>
      <c r="AF28" s="1076"/>
      <c r="AG28" s="1076"/>
      <c r="AH28" s="1076"/>
      <c r="AI28" s="1076"/>
      <c r="AJ28" s="1076"/>
      <c r="AK28" s="1086"/>
      <c r="AL28" s="1085"/>
      <c r="AM28" s="1085"/>
      <c r="AN28" s="1085"/>
    </row>
    <row r="29" spans="1:44" ht="28.5" customHeight="1">
      <c r="A29" s="556"/>
      <c r="B29" s="560"/>
      <c r="C29" s="560"/>
      <c r="D29" s="560"/>
      <c r="E29" s="560"/>
      <c r="F29" s="560"/>
      <c r="G29" s="560"/>
      <c r="H29" s="560"/>
      <c r="I29" s="560"/>
      <c r="J29" s="560"/>
      <c r="K29" s="560"/>
      <c r="L29" s="560"/>
      <c r="M29" s="560"/>
      <c r="N29" s="560"/>
      <c r="O29" s="560"/>
      <c r="P29" s="560"/>
      <c r="Q29" s="560"/>
      <c r="R29" s="560"/>
      <c r="S29" s="560"/>
      <c r="T29" s="560"/>
      <c r="U29" s="560"/>
      <c r="V29" s="560"/>
      <c r="W29" s="560"/>
      <c r="X29" s="1076"/>
      <c r="Y29" s="1076"/>
      <c r="Z29" s="1076"/>
      <c r="AA29" s="1076"/>
      <c r="AB29" s="1076"/>
      <c r="AC29" s="1076"/>
      <c r="AD29" s="1076"/>
      <c r="AE29" s="1076"/>
      <c r="AF29" s="1076"/>
      <c r="AG29" s="1076"/>
      <c r="AH29" s="1076"/>
      <c r="AI29" s="1076"/>
      <c r="AJ29" s="1076"/>
      <c r="AK29" s="1086"/>
      <c r="AL29" s="1085"/>
      <c r="AM29" s="1085"/>
      <c r="AN29" s="1085"/>
    </row>
    <row r="30" spans="1:44" ht="28.5" customHeight="1">
      <c r="A30" s="556"/>
      <c r="B30" s="560"/>
      <c r="C30" s="560"/>
      <c r="D30" s="560"/>
      <c r="E30" s="560"/>
      <c r="F30" s="560"/>
      <c r="G30" s="560"/>
      <c r="H30" s="560"/>
      <c r="I30" s="560"/>
      <c r="J30" s="560"/>
      <c r="K30" s="560"/>
      <c r="L30" s="560"/>
      <c r="M30" s="560"/>
      <c r="N30" s="560"/>
      <c r="O30" s="560"/>
      <c r="P30" s="560"/>
      <c r="Q30" s="560"/>
      <c r="R30" s="560"/>
      <c r="S30" s="560"/>
      <c r="T30" s="560"/>
      <c r="U30" s="560"/>
      <c r="V30" s="560"/>
      <c r="W30" s="560"/>
      <c r="X30" s="1076"/>
      <c r="Y30" s="1076"/>
      <c r="Z30" s="1076"/>
      <c r="AA30" s="1076"/>
      <c r="AB30" s="1076"/>
      <c r="AC30" s="1076"/>
      <c r="AD30" s="1076"/>
      <c r="AE30" s="1076"/>
      <c r="AF30" s="1076"/>
      <c r="AG30" s="1076"/>
      <c r="AH30" s="1076"/>
      <c r="AI30" s="1076"/>
      <c r="AJ30" s="1076"/>
      <c r="AK30" s="1086"/>
      <c r="AL30" s="1085"/>
      <c r="AM30" s="1085"/>
      <c r="AN30" s="1085"/>
    </row>
    <row r="31" spans="1:44" ht="28.5" customHeight="1">
      <c r="A31" s="556"/>
      <c r="B31" s="560"/>
      <c r="C31" s="560"/>
      <c r="D31" s="560"/>
      <c r="E31" s="560"/>
      <c r="F31" s="560"/>
      <c r="G31" s="560"/>
      <c r="H31" s="560"/>
      <c r="I31" s="560"/>
      <c r="J31" s="560"/>
      <c r="K31" s="560"/>
      <c r="L31" s="560"/>
      <c r="M31" s="560"/>
      <c r="N31" s="560"/>
      <c r="O31" s="560"/>
      <c r="P31" s="560"/>
      <c r="Q31" s="560"/>
      <c r="R31" s="560"/>
      <c r="S31" s="560"/>
      <c r="T31" s="560"/>
      <c r="U31" s="560"/>
      <c r="V31" s="560"/>
      <c r="W31" s="560"/>
      <c r="X31" s="1076"/>
      <c r="Y31" s="1076"/>
      <c r="Z31" s="1076"/>
      <c r="AA31" s="1076"/>
      <c r="AB31" s="1076"/>
      <c r="AC31" s="1076"/>
      <c r="AD31" s="1076"/>
      <c r="AE31" s="1076"/>
      <c r="AF31" s="1076"/>
      <c r="AG31" s="1076"/>
      <c r="AH31" s="1076"/>
      <c r="AI31" s="1076"/>
      <c r="AJ31" s="1076"/>
      <c r="AK31" s="1086"/>
      <c r="AL31" s="1085"/>
      <c r="AM31" s="1085"/>
      <c r="AN31" s="1085"/>
    </row>
    <row r="32" spans="1:44" ht="85.5" customHeight="1">
      <c r="A32" s="556"/>
      <c r="B32" s="560"/>
      <c r="C32" s="560"/>
      <c r="D32" s="560"/>
      <c r="E32" s="560"/>
      <c r="F32" s="560"/>
      <c r="G32" s="560"/>
      <c r="H32" s="560"/>
      <c r="I32" s="560"/>
      <c r="J32" s="560"/>
      <c r="K32" s="560"/>
      <c r="L32" s="560"/>
      <c r="M32" s="560"/>
      <c r="N32" s="560"/>
      <c r="O32" s="560"/>
      <c r="P32" s="560"/>
      <c r="Q32" s="560"/>
      <c r="R32" s="560"/>
      <c r="S32" s="560"/>
      <c r="T32" s="560"/>
      <c r="U32" s="560"/>
      <c r="V32" s="1437" t="s">
        <v>363</v>
      </c>
      <c r="W32" s="1437"/>
      <c r="X32" s="1437"/>
      <c r="Y32" s="1437"/>
      <c r="Z32" s="1437"/>
      <c r="AA32" s="1076"/>
      <c r="AB32" s="1076"/>
      <c r="AC32" s="1076"/>
      <c r="AD32" s="1085"/>
      <c r="AE32" s="1086"/>
      <c r="AF32" s="1085"/>
      <c r="AG32" s="1086"/>
      <c r="AH32" s="1086" t="s">
        <v>45</v>
      </c>
      <c r="AI32" s="1086"/>
      <c r="AJ32" s="1086"/>
      <c r="AK32" s="1086"/>
      <c r="AL32" s="1085"/>
      <c r="AM32" s="1085"/>
      <c r="AN32" s="1085"/>
    </row>
    <row r="33" spans="1:40" ht="28.5" customHeight="1">
      <c r="A33" s="556"/>
      <c r="B33" s="560"/>
      <c r="C33" s="560"/>
      <c r="D33" s="560"/>
      <c r="E33" s="560"/>
      <c r="F33" s="560"/>
      <c r="G33" s="560"/>
      <c r="H33" s="560"/>
      <c r="I33" s="560"/>
      <c r="J33" s="560"/>
      <c r="K33" s="560"/>
      <c r="L33" s="560"/>
      <c r="M33" s="560"/>
      <c r="N33" s="560"/>
      <c r="O33" s="560"/>
      <c r="P33" s="560"/>
      <c r="Q33" s="560"/>
      <c r="R33" s="560"/>
      <c r="S33" s="560"/>
      <c r="T33" s="560"/>
      <c r="U33" s="560"/>
      <c r="V33" s="560"/>
      <c r="W33" s="560"/>
      <c r="X33" s="1076"/>
      <c r="Y33" s="1076"/>
      <c r="Z33" s="1076"/>
      <c r="AA33" s="1076"/>
      <c r="AB33" s="1076"/>
      <c r="AC33" s="1076"/>
      <c r="AD33" s="1076"/>
      <c r="AE33" s="1076"/>
      <c r="AF33" s="1076"/>
      <c r="AG33" s="1076"/>
      <c r="AH33" s="1076"/>
      <c r="AI33" s="1076"/>
      <c r="AJ33" s="1076"/>
      <c r="AK33" s="1086"/>
      <c r="AL33" s="1085"/>
      <c r="AM33" s="1085"/>
      <c r="AN33" s="1085"/>
    </row>
    <row r="34" spans="1:40" ht="28.5" customHeight="1">
      <c r="A34" s="545"/>
      <c r="B34" s="560"/>
      <c r="C34" s="560"/>
      <c r="D34" s="560"/>
      <c r="E34" s="560"/>
      <c r="F34" s="560"/>
      <c r="G34" s="560"/>
      <c r="H34" s="560"/>
      <c r="I34" s="560"/>
      <c r="J34" s="560"/>
      <c r="K34" s="560"/>
      <c r="L34" s="560"/>
      <c r="M34" s="560"/>
      <c r="N34" s="560"/>
      <c r="O34" s="560"/>
      <c r="P34" s="560"/>
      <c r="Q34" s="560"/>
      <c r="R34" s="560"/>
      <c r="S34" s="560"/>
      <c r="T34" s="560"/>
      <c r="U34" s="560"/>
      <c r="V34" s="560"/>
      <c r="W34" s="560"/>
      <c r="X34" s="1076"/>
      <c r="Y34" s="1076"/>
      <c r="Z34" s="1076"/>
      <c r="AA34" s="1076"/>
      <c r="AB34" s="1076"/>
      <c r="AC34" s="1076"/>
      <c r="AD34" s="1076"/>
      <c r="AE34" s="1076"/>
      <c r="AF34" s="1076"/>
      <c r="AG34" s="1076"/>
      <c r="AH34" s="1076"/>
      <c r="AI34" s="1076"/>
      <c r="AJ34" s="1076"/>
      <c r="AK34" s="1086"/>
      <c r="AL34" s="1085"/>
      <c r="AM34" s="1085"/>
      <c r="AN34" s="1085"/>
    </row>
    <row r="35" spans="1:40" ht="28.5" customHeight="1">
      <c r="A35" s="545"/>
      <c r="B35" s="560"/>
      <c r="C35" s="560"/>
      <c r="D35" s="560"/>
      <c r="E35" s="560"/>
      <c r="F35" s="560"/>
      <c r="G35" s="560"/>
      <c r="H35" s="560"/>
      <c r="I35" s="560"/>
      <c r="J35" s="560"/>
      <c r="K35" s="560"/>
      <c r="L35" s="560"/>
      <c r="M35" s="560"/>
      <c r="N35" s="560"/>
      <c r="O35" s="560"/>
      <c r="P35" s="560"/>
      <c r="Q35" s="560"/>
      <c r="R35" s="560"/>
      <c r="S35" s="560"/>
      <c r="T35" s="560"/>
      <c r="U35" s="560"/>
      <c r="V35" s="560"/>
      <c r="W35" s="560"/>
      <c r="X35" s="1076"/>
      <c r="Y35" s="1076"/>
      <c r="Z35" s="1076"/>
      <c r="AA35" s="1076"/>
      <c r="AB35" s="1077"/>
      <c r="AC35" s="1077"/>
      <c r="AD35" s="1076"/>
      <c r="AE35" s="1076"/>
      <c r="AF35" s="1076"/>
      <c r="AG35" s="1076"/>
      <c r="AH35" s="1076"/>
      <c r="AI35" s="1076"/>
      <c r="AJ35" s="1076"/>
      <c r="AK35" s="1086"/>
      <c r="AL35" s="1085"/>
      <c r="AM35" s="1085"/>
      <c r="AN35" s="1085"/>
    </row>
    <row r="36" spans="1:40" ht="28.5" customHeight="1">
      <c r="A36" s="545"/>
      <c r="B36" s="560"/>
      <c r="C36" s="560"/>
      <c r="D36" s="560"/>
      <c r="E36" s="560"/>
      <c r="F36" s="560"/>
      <c r="G36" s="560"/>
      <c r="H36" s="560"/>
      <c r="I36" s="560"/>
      <c r="J36" s="560"/>
      <c r="K36" s="560"/>
      <c r="L36" s="560"/>
      <c r="M36" s="560"/>
      <c r="N36" s="560"/>
      <c r="O36" s="560"/>
      <c r="P36" s="560"/>
      <c r="Q36" s="560"/>
      <c r="R36" s="560"/>
      <c r="S36" s="560"/>
      <c r="T36" s="560"/>
      <c r="U36" s="560"/>
      <c r="V36" s="560"/>
      <c r="W36" s="560"/>
      <c r="X36" s="906"/>
      <c r="Y36" s="906"/>
      <c r="Z36" s="906"/>
      <c r="AA36" s="906"/>
      <c r="AB36" s="906"/>
      <c r="AC36" s="906"/>
      <c r="AD36" s="906"/>
      <c r="AE36" s="906"/>
      <c r="AF36" s="906"/>
      <c r="AG36" s="906"/>
      <c r="AH36" s="906"/>
      <c r="AI36" s="906"/>
      <c r="AJ36" s="906"/>
      <c r="AK36" s="562"/>
      <c r="AL36" s="538"/>
      <c r="AM36" s="538"/>
      <c r="AN36" s="538"/>
    </row>
    <row r="37" spans="1:40" ht="28.5" customHeight="1">
      <c r="A37" s="545"/>
      <c r="B37" s="545"/>
      <c r="C37" s="545"/>
      <c r="D37" s="545"/>
      <c r="E37" s="545"/>
      <c r="F37" s="545"/>
      <c r="G37" s="545"/>
      <c r="H37" s="545"/>
      <c r="I37" s="545"/>
      <c r="J37" s="545"/>
      <c r="K37" s="545"/>
      <c r="L37" s="545"/>
      <c r="M37" s="545"/>
      <c r="N37" s="545"/>
      <c r="O37" s="545"/>
      <c r="P37" s="545"/>
      <c r="Q37" s="545"/>
      <c r="R37" s="545"/>
      <c r="S37" s="545"/>
      <c r="T37" s="545"/>
      <c r="U37" s="545"/>
      <c r="V37" s="545"/>
      <c r="W37" s="545"/>
      <c r="X37" s="624"/>
      <c r="Y37" s="624"/>
      <c r="Z37" s="624"/>
      <c r="AA37" s="624"/>
      <c r="AB37" s="624"/>
      <c r="AC37" s="624"/>
      <c r="AD37" s="624"/>
      <c r="AE37" s="624"/>
      <c r="AF37" s="624"/>
      <c r="AG37" s="624"/>
      <c r="AH37" s="624"/>
      <c r="AI37" s="624"/>
      <c r="AJ37" s="624"/>
      <c r="AK37" s="544"/>
      <c r="AL37" s="538"/>
      <c r="AM37" s="538"/>
      <c r="AN37" s="538"/>
    </row>
    <row r="38" spans="1:40" ht="28.5" customHeight="1">
      <c r="A38" s="545"/>
      <c r="B38" s="545"/>
      <c r="C38" s="545"/>
      <c r="D38" s="545"/>
      <c r="E38" s="545"/>
      <c r="F38" s="545"/>
      <c r="G38" s="545"/>
      <c r="H38" s="545"/>
      <c r="I38" s="545"/>
      <c r="J38" s="545"/>
      <c r="K38" s="545"/>
      <c r="L38" s="545"/>
      <c r="M38" s="545"/>
      <c r="N38" s="545"/>
      <c r="O38" s="545"/>
      <c r="P38" s="545"/>
      <c r="Q38" s="545"/>
      <c r="R38" s="545"/>
      <c r="S38" s="545"/>
      <c r="T38" s="545"/>
      <c r="U38" s="545"/>
      <c r="V38" s="545"/>
      <c r="W38" s="545"/>
      <c r="X38" s="624"/>
      <c r="Y38" s="624"/>
      <c r="Z38" s="624"/>
      <c r="AA38" s="624"/>
      <c r="AB38" s="624"/>
      <c r="AC38" s="624"/>
      <c r="AD38" s="624"/>
      <c r="AE38" s="624"/>
      <c r="AF38" s="624"/>
      <c r="AG38" s="624"/>
      <c r="AH38" s="624"/>
      <c r="AI38" s="624"/>
      <c r="AJ38" s="624"/>
      <c r="AK38" s="544"/>
      <c r="AL38" s="538"/>
      <c r="AM38" s="538"/>
      <c r="AN38" s="538"/>
    </row>
    <row r="39" spans="1:40" ht="28.5" customHeight="1">
      <c r="A39" s="545"/>
      <c r="B39" s="545"/>
      <c r="C39" s="545"/>
      <c r="D39" s="545"/>
      <c r="E39" s="545"/>
      <c r="F39" s="545"/>
      <c r="G39" s="545"/>
      <c r="H39" s="545"/>
      <c r="I39" s="545"/>
      <c r="J39" s="545"/>
      <c r="K39" s="545"/>
      <c r="L39" s="545"/>
      <c r="M39" s="545"/>
      <c r="N39" s="545"/>
      <c r="O39" s="545"/>
      <c r="P39" s="545"/>
      <c r="Q39" s="545"/>
      <c r="R39" s="545"/>
      <c r="S39" s="545"/>
      <c r="T39" s="545"/>
      <c r="U39" s="545"/>
      <c r="V39" s="545"/>
      <c r="W39" s="545"/>
      <c r="X39" s="624"/>
      <c r="Y39" s="624"/>
      <c r="Z39" s="624"/>
      <c r="AA39" s="624"/>
      <c r="AB39" s="624"/>
      <c r="AC39" s="624"/>
      <c r="AD39" s="624"/>
      <c r="AE39" s="624"/>
      <c r="AF39" s="624"/>
      <c r="AG39" s="624"/>
      <c r="AH39" s="624"/>
      <c r="AI39" s="624"/>
      <c r="AJ39" s="624"/>
      <c r="AK39" s="544"/>
      <c r="AL39" s="538"/>
      <c r="AM39" s="538"/>
      <c r="AN39" s="538"/>
    </row>
    <row r="40" spans="1:40" ht="28.5" customHeight="1">
      <c r="A40" s="545"/>
      <c r="B40" s="545"/>
      <c r="C40" s="545"/>
      <c r="D40" s="545"/>
      <c r="E40" s="545"/>
      <c r="F40" s="545"/>
      <c r="G40" s="545"/>
      <c r="H40" s="545"/>
      <c r="I40" s="545"/>
      <c r="J40" s="545"/>
      <c r="K40" s="545"/>
      <c r="L40" s="545"/>
      <c r="M40" s="545"/>
      <c r="N40" s="545"/>
      <c r="O40" s="545"/>
      <c r="P40" s="545"/>
      <c r="Q40" s="545"/>
      <c r="R40" s="545"/>
      <c r="S40" s="545"/>
      <c r="T40" s="545"/>
      <c r="U40" s="545"/>
      <c r="V40" s="545"/>
      <c r="W40" s="545"/>
      <c r="X40" s="624"/>
      <c r="Y40" s="624"/>
      <c r="Z40" s="624"/>
      <c r="AA40" s="624"/>
      <c r="AB40" s="624"/>
      <c r="AC40" s="624"/>
      <c r="AD40" s="624"/>
      <c r="AE40" s="624"/>
      <c r="AF40" s="624"/>
      <c r="AG40" s="624"/>
      <c r="AH40" s="624"/>
      <c r="AI40" s="624"/>
      <c r="AJ40" s="624"/>
      <c r="AK40" s="544"/>
      <c r="AL40" s="538"/>
      <c r="AM40" s="538"/>
      <c r="AN40" s="538"/>
    </row>
    <row r="41" spans="1:40" ht="28.5" customHeight="1">
      <c r="A41" s="545"/>
      <c r="B41" s="545"/>
      <c r="C41" s="545"/>
      <c r="D41" s="545"/>
      <c r="E41" s="545"/>
      <c r="F41" s="545"/>
      <c r="G41" s="545"/>
      <c r="H41" s="545"/>
      <c r="I41" s="545"/>
      <c r="J41" s="545"/>
      <c r="K41" s="545"/>
      <c r="L41" s="545"/>
      <c r="M41" s="545"/>
      <c r="N41" s="545"/>
      <c r="O41" s="545"/>
      <c r="P41" s="545"/>
      <c r="Q41" s="545"/>
      <c r="R41" s="545"/>
      <c r="S41" s="545"/>
      <c r="T41" s="545"/>
      <c r="U41" s="545"/>
      <c r="V41" s="545"/>
      <c r="W41" s="545"/>
      <c r="X41" s="624"/>
      <c r="Y41" s="624"/>
      <c r="Z41" s="624"/>
      <c r="AA41" s="624"/>
      <c r="AB41" s="624"/>
      <c r="AC41" s="624"/>
      <c r="AD41" s="624"/>
      <c r="AE41" s="624"/>
      <c r="AF41" s="624"/>
      <c r="AG41" s="624"/>
      <c r="AH41" s="624"/>
      <c r="AI41" s="624"/>
      <c r="AJ41" s="624"/>
      <c r="AK41" s="544"/>
      <c r="AL41" s="538"/>
      <c r="AM41" s="538"/>
      <c r="AN41" s="538"/>
    </row>
    <row r="42" spans="1:40" ht="28.5" customHeight="1">
      <c r="A42" s="545"/>
      <c r="B42" s="545"/>
      <c r="C42" s="545"/>
      <c r="D42" s="545"/>
      <c r="E42" s="545"/>
      <c r="F42" s="545"/>
      <c r="G42" s="545"/>
      <c r="H42" s="545"/>
      <c r="I42" s="545"/>
      <c r="J42" s="545"/>
      <c r="K42" s="545"/>
      <c r="L42" s="545"/>
      <c r="M42" s="545"/>
      <c r="N42" s="545"/>
      <c r="O42" s="545"/>
      <c r="P42" s="545"/>
      <c r="Q42" s="545"/>
      <c r="R42" s="545"/>
      <c r="S42" s="545"/>
      <c r="T42" s="545"/>
      <c r="U42" s="545"/>
      <c r="V42" s="545"/>
      <c r="W42" s="545"/>
      <c r="X42" s="624"/>
      <c r="Y42" s="624"/>
      <c r="Z42" s="624"/>
      <c r="AA42" s="624"/>
      <c r="AB42" s="624"/>
      <c r="AC42" s="624"/>
      <c r="AD42" s="624"/>
      <c r="AE42" s="624"/>
      <c r="AF42" s="624"/>
      <c r="AG42" s="624"/>
      <c r="AH42" s="624"/>
      <c r="AI42" s="624"/>
      <c r="AJ42" s="624"/>
      <c r="AK42" s="544"/>
      <c r="AL42" s="538"/>
      <c r="AM42" s="538"/>
      <c r="AN42" s="538"/>
    </row>
    <row r="43" spans="1:40" ht="28.5" customHeight="1">
      <c r="A43" s="545"/>
      <c r="B43" s="545"/>
      <c r="C43" s="545"/>
      <c r="D43" s="545"/>
      <c r="E43" s="545"/>
      <c r="F43" s="545"/>
      <c r="G43" s="545"/>
      <c r="H43" s="545"/>
      <c r="I43" s="545"/>
      <c r="J43" s="545"/>
      <c r="K43" s="545"/>
      <c r="L43" s="545"/>
      <c r="M43" s="545"/>
      <c r="N43" s="545"/>
      <c r="O43" s="545"/>
      <c r="P43" s="545"/>
      <c r="Q43" s="545"/>
      <c r="R43" s="545"/>
      <c r="S43" s="545"/>
      <c r="T43" s="545"/>
      <c r="U43" s="545"/>
      <c r="V43" s="545"/>
      <c r="W43" s="545"/>
      <c r="X43" s="624"/>
      <c r="Y43" s="624"/>
      <c r="Z43" s="624"/>
      <c r="AA43" s="624"/>
      <c r="AB43" s="624"/>
      <c r="AC43" s="624"/>
      <c r="AD43" s="624"/>
      <c r="AE43" s="624"/>
      <c r="AF43" s="624"/>
      <c r="AG43" s="624"/>
      <c r="AH43" s="624"/>
      <c r="AI43" s="624"/>
      <c r="AJ43" s="624"/>
      <c r="AK43" s="544"/>
      <c r="AL43" s="538"/>
      <c r="AM43" s="538"/>
      <c r="AN43" s="538"/>
    </row>
    <row r="44" spans="1:40" ht="28.5" customHeight="1">
      <c r="A44" s="545"/>
      <c r="B44" s="545"/>
      <c r="C44" s="545"/>
      <c r="D44" s="545"/>
      <c r="E44" s="545"/>
      <c r="F44" s="545"/>
      <c r="G44" s="545"/>
      <c r="H44" s="545"/>
      <c r="I44" s="545"/>
      <c r="J44" s="545"/>
      <c r="K44" s="545"/>
      <c r="L44" s="545"/>
      <c r="M44" s="545"/>
      <c r="N44" s="545"/>
      <c r="O44" s="545"/>
      <c r="P44" s="545"/>
      <c r="Q44" s="545"/>
      <c r="R44" s="545"/>
      <c r="S44" s="545"/>
      <c r="T44" s="545"/>
      <c r="U44" s="545"/>
      <c r="V44" s="545"/>
      <c r="W44" s="545"/>
      <c r="X44" s="624"/>
      <c r="Y44" s="624"/>
      <c r="Z44" s="624"/>
      <c r="AA44" s="624"/>
      <c r="AB44" s="624"/>
      <c r="AC44" s="624"/>
      <c r="AD44" s="624"/>
      <c r="AE44" s="624"/>
      <c r="AF44" s="624"/>
      <c r="AG44" s="624"/>
      <c r="AH44" s="624"/>
      <c r="AI44" s="624"/>
      <c r="AJ44" s="624"/>
      <c r="AK44" s="544"/>
      <c r="AL44" s="538"/>
      <c r="AM44" s="538"/>
      <c r="AN44" s="538"/>
    </row>
    <row r="45" spans="1:40" ht="28.5" customHeight="1">
      <c r="A45" s="545"/>
      <c r="B45" s="545"/>
      <c r="C45" s="545"/>
      <c r="D45" s="545"/>
      <c r="E45" s="545"/>
      <c r="F45" s="545"/>
      <c r="G45" s="545"/>
      <c r="H45" s="545"/>
      <c r="I45" s="545"/>
      <c r="J45" s="545"/>
      <c r="K45" s="545"/>
      <c r="L45" s="545"/>
      <c r="M45" s="545"/>
      <c r="N45" s="545"/>
      <c r="O45" s="545"/>
      <c r="P45" s="545"/>
      <c r="Q45" s="545"/>
      <c r="R45" s="545"/>
      <c r="S45" s="545"/>
      <c r="T45" s="545"/>
      <c r="U45" s="545"/>
      <c r="V45" s="545"/>
      <c r="W45" s="545"/>
      <c r="X45" s="624"/>
      <c r="Y45" s="624"/>
      <c r="Z45" s="624"/>
      <c r="AA45" s="624"/>
      <c r="AB45" s="624"/>
      <c r="AC45" s="624"/>
      <c r="AD45" s="624"/>
      <c r="AE45" s="624"/>
      <c r="AF45" s="624"/>
      <c r="AG45" s="624"/>
      <c r="AH45" s="624"/>
      <c r="AI45" s="624"/>
      <c r="AJ45" s="624"/>
      <c r="AK45" s="544"/>
      <c r="AL45" s="538"/>
      <c r="AM45" s="538"/>
      <c r="AN45" s="538"/>
    </row>
    <row r="46" spans="1:40" ht="28.5" customHeight="1">
      <c r="A46" s="545"/>
      <c r="B46" s="545"/>
      <c r="C46" s="545"/>
      <c r="D46" s="545"/>
      <c r="E46" s="545"/>
      <c r="F46" s="545"/>
      <c r="G46" s="545"/>
      <c r="H46" s="545"/>
      <c r="I46" s="545"/>
      <c r="J46" s="545"/>
      <c r="K46" s="545"/>
      <c r="L46" s="545"/>
      <c r="M46" s="545"/>
      <c r="N46" s="545"/>
      <c r="O46" s="545"/>
      <c r="P46" s="545"/>
      <c r="Q46" s="545"/>
      <c r="R46" s="545"/>
      <c r="S46" s="545"/>
      <c r="T46" s="545"/>
      <c r="U46" s="545"/>
      <c r="V46" s="545"/>
      <c r="W46" s="545"/>
      <c r="X46" s="624"/>
      <c r="Y46" s="624"/>
      <c r="Z46" s="624"/>
      <c r="AA46" s="624"/>
      <c r="AB46" s="624"/>
      <c r="AC46" s="624"/>
      <c r="AD46" s="624"/>
      <c r="AE46" s="624"/>
      <c r="AF46" s="624"/>
      <c r="AG46" s="624"/>
      <c r="AH46" s="624"/>
      <c r="AI46" s="624"/>
      <c r="AJ46" s="624"/>
      <c r="AK46" s="544"/>
      <c r="AL46" s="538"/>
      <c r="AM46" s="538"/>
      <c r="AN46" s="538"/>
    </row>
    <row r="47" spans="1:40" ht="28.5" customHeight="1">
      <c r="A47" s="545"/>
      <c r="B47" s="545"/>
      <c r="C47" s="545"/>
      <c r="D47" s="545"/>
      <c r="E47" s="545"/>
      <c r="F47" s="545"/>
      <c r="G47" s="545"/>
      <c r="H47" s="545"/>
      <c r="I47" s="545"/>
      <c r="J47" s="545"/>
      <c r="K47" s="545"/>
      <c r="L47" s="545"/>
      <c r="M47" s="545"/>
      <c r="N47" s="545"/>
      <c r="O47" s="545"/>
      <c r="P47" s="545"/>
      <c r="Q47" s="545"/>
      <c r="R47" s="545"/>
      <c r="S47" s="545"/>
      <c r="T47" s="545"/>
      <c r="U47" s="545"/>
      <c r="V47" s="545"/>
      <c r="W47" s="545"/>
      <c r="X47" s="624"/>
      <c r="Y47" s="624"/>
      <c r="Z47" s="624"/>
      <c r="AA47" s="624"/>
      <c r="AB47" s="624"/>
      <c r="AC47" s="624"/>
      <c r="AD47" s="624"/>
      <c r="AE47" s="624"/>
      <c r="AF47" s="624"/>
      <c r="AG47" s="624"/>
      <c r="AH47" s="624"/>
      <c r="AI47" s="624"/>
      <c r="AJ47" s="624"/>
      <c r="AK47" s="544"/>
      <c r="AL47" s="538"/>
      <c r="AM47" s="538"/>
      <c r="AN47" s="538"/>
    </row>
    <row r="48" spans="1:40">
      <c r="AL48" s="538"/>
      <c r="AM48" s="538"/>
      <c r="AN48" s="538"/>
    </row>
    <row r="49" spans="1:40" ht="16.5">
      <c r="A49" s="907"/>
      <c r="B49" s="907"/>
      <c r="C49" s="544"/>
      <c r="D49" s="544"/>
      <c r="E49" s="544"/>
      <c r="F49" s="544"/>
      <c r="G49" s="544"/>
      <c r="H49" s="544"/>
      <c r="I49" s="544"/>
      <c r="J49" s="544"/>
      <c r="K49" s="544"/>
      <c r="L49" s="544"/>
      <c r="M49" s="544"/>
      <c r="N49" s="544"/>
      <c r="O49" s="544"/>
      <c r="P49" s="544"/>
      <c r="Q49" s="544"/>
      <c r="R49" s="544"/>
      <c r="S49" s="544"/>
      <c r="T49" s="544"/>
      <c r="U49" s="544"/>
      <c r="V49" s="544"/>
      <c r="W49" s="544"/>
      <c r="X49" s="544"/>
      <c r="Y49" s="544"/>
      <c r="Z49" s="544"/>
      <c r="AA49" s="544"/>
      <c r="AB49" s="544"/>
      <c r="AC49" s="544"/>
      <c r="AD49" s="544"/>
      <c r="AE49" s="544"/>
      <c r="AF49" s="544"/>
      <c r="AG49" s="544"/>
      <c r="AH49" s="544"/>
      <c r="AI49" s="544"/>
      <c r="AJ49" s="544"/>
      <c r="AK49" s="544"/>
      <c r="AL49" s="538"/>
      <c r="AM49" s="538"/>
      <c r="AN49" s="538"/>
    </row>
    <row r="50" spans="1:40" ht="16.5">
      <c r="A50" s="907"/>
      <c r="B50" s="907"/>
      <c r="C50" s="544"/>
      <c r="D50" s="544"/>
      <c r="E50" s="544"/>
      <c r="F50" s="544"/>
      <c r="G50" s="544"/>
      <c r="H50" s="544"/>
      <c r="I50" s="544"/>
      <c r="J50" s="544"/>
      <c r="K50" s="544"/>
      <c r="L50" s="544"/>
      <c r="M50" s="544"/>
      <c r="N50" s="544"/>
      <c r="O50" s="544"/>
      <c r="P50" s="544"/>
      <c r="Q50" s="544"/>
      <c r="R50" s="544"/>
      <c r="S50" s="544"/>
      <c r="T50" s="544"/>
      <c r="U50" s="544"/>
      <c r="V50" s="544"/>
      <c r="W50" s="544"/>
      <c r="X50" s="544"/>
      <c r="Y50" s="544"/>
      <c r="Z50" s="544"/>
      <c r="AA50" s="544"/>
      <c r="AB50" s="544"/>
      <c r="AC50" s="544"/>
      <c r="AD50" s="544"/>
      <c r="AE50" s="544"/>
      <c r="AF50" s="544"/>
      <c r="AG50" s="544"/>
      <c r="AH50" s="544"/>
      <c r="AI50" s="544"/>
      <c r="AJ50" s="544"/>
      <c r="AK50" s="544"/>
      <c r="AL50" s="538"/>
      <c r="AM50" s="538"/>
      <c r="AN50" s="538"/>
    </row>
    <row r="51" spans="1:40" ht="16.5">
      <c r="A51" s="907"/>
      <c r="B51" s="907"/>
      <c r="C51" s="544"/>
      <c r="D51" s="544"/>
      <c r="E51" s="544"/>
      <c r="F51" s="544"/>
      <c r="G51" s="544"/>
      <c r="H51" s="544"/>
      <c r="I51" s="544"/>
      <c r="J51" s="544"/>
      <c r="K51" s="544"/>
      <c r="L51" s="544"/>
      <c r="M51" s="544"/>
      <c r="N51" s="544"/>
      <c r="O51" s="544"/>
      <c r="P51" s="544"/>
      <c r="Q51" s="544"/>
      <c r="R51" s="544"/>
      <c r="S51" s="544"/>
      <c r="T51" s="544"/>
      <c r="U51" s="544"/>
      <c r="V51" s="544"/>
      <c r="W51" s="544"/>
      <c r="X51" s="544"/>
      <c r="Y51" s="544"/>
      <c r="Z51" s="544"/>
      <c r="AA51" s="544"/>
      <c r="AB51" s="544"/>
      <c r="AC51" s="544"/>
      <c r="AD51" s="544"/>
      <c r="AE51" s="544"/>
      <c r="AF51" s="544"/>
      <c r="AG51" s="544"/>
      <c r="AH51" s="544"/>
      <c r="AI51" s="544"/>
      <c r="AJ51" s="544"/>
      <c r="AK51" s="544"/>
      <c r="AL51" s="538"/>
      <c r="AM51" s="538"/>
      <c r="AN51" s="538"/>
    </row>
    <row r="52" spans="1:40" ht="16.5">
      <c r="A52" s="544"/>
      <c r="B52" s="544"/>
      <c r="C52" s="544"/>
      <c r="D52" s="544"/>
      <c r="E52" s="544"/>
      <c r="F52" s="544"/>
      <c r="G52" s="544"/>
      <c r="H52" s="544"/>
      <c r="I52" s="544"/>
      <c r="J52" s="544"/>
      <c r="K52" s="544"/>
      <c r="L52" s="544"/>
      <c r="M52" s="544"/>
      <c r="N52" s="544"/>
      <c r="O52" s="544"/>
      <c r="P52" s="544"/>
      <c r="Q52" s="544"/>
      <c r="R52" s="544"/>
      <c r="S52" s="544"/>
      <c r="T52" s="544"/>
      <c r="U52" s="544"/>
      <c r="V52" s="544"/>
      <c r="W52" s="544"/>
      <c r="X52" s="544"/>
      <c r="Y52" s="544"/>
      <c r="Z52" s="544"/>
      <c r="AA52" s="544"/>
      <c r="AB52" s="544"/>
      <c r="AC52" s="544"/>
      <c r="AD52" s="544"/>
      <c r="AE52" s="544"/>
      <c r="AF52" s="544"/>
      <c r="AG52" s="544"/>
      <c r="AH52" s="544"/>
      <c r="AI52" s="544"/>
      <c r="AJ52" s="544"/>
      <c r="AK52" s="544"/>
      <c r="AL52" s="538"/>
      <c r="AM52" s="538"/>
      <c r="AN52" s="538"/>
    </row>
    <row r="53" spans="1:40" ht="15.75" customHeight="1">
      <c r="A53" s="544"/>
      <c r="B53" s="544"/>
      <c r="C53" s="544"/>
      <c r="D53" s="544"/>
      <c r="E53" s="544"/>
      <c r="F53" s="544"/>
      <c r="G53" s="544"/>
      <c r="H53" s="544"/>
      <c r="I53" s="544"/>
      <c r="J53" s="544"/>
      <c r="K53" s="544"/>
      <c r="L53" s="544"/>
      <c r="M53" s="544"/>
      <c r="N53" s="544"/>
      <c r="O53" s="544"/>
      <c r="P53" s="544"/>
      <c r="Q53" s="544"/>
      <c r="R53" s="544"/>
      <c r="S53" s="544"/>
      <c r="T53" s="544"/>
      <c r="U53" s="544"/>
      <c r="V53" s="544"/>
      <c r="W53" s="544"/>
      <c r="X53" s="544"/>
      <c r="Y53" s="544"/>
      <c r="Z53" s="544"/>
      <c r="AA53" s="544"/>
      <c r="AB53" s="544"/>
      <c r="AC53" s="544"/>
      <c r="AD53" s="544"/>
      <c r="AE53" s="544"/>
      <c r="AF53" s="544"/>
      <c r="AG53" s="544"/>
      <c r="AH53" s="544"/>
      <c r="AI53" s="544"/>
      <c r="AJ53" s="544"/>
      <c r="AK53" s="544"/>
      <c r="AL53" s="538"/>
      <c r="AM53" s="538"/>
      <c r="AN53" s="538"/>
    </row>
    <row r="54" spans="1:40" ht="16.5">
      <c r="A54" s="544"/>
      <c r="B54" s="544"/>
      <c r="C54" s="544"/>
      <c r="D54" s="544"/>
      <c r="E54" s="544"/>
      <c r="F54" s="544"/>
      <c r="G54" s="544"/>
      <c r="H54" s="544"/>
      <c r="I54" s="544"/>
      <c r="J54" s="544"/>
      <c r="K54" s="544"/>
      <c r="L54" s="544"/>
      <c r="M54" s="544"/>
      <c r="N54" s="544"/>
      <c r="O54" s="544"/>
      <c r="P54" s="544"/>
      <c r="Q54" s="544"/>
      <c r="R54" s="544"/>
      <c r="S54" s="544"/>
      <c r="T54" s="544"/>
      <c r="U54" s="544"/>
      <c r="V54" s="544"/>
      <c r="W54" s="544"/>
      <c r="X54" s="544"/>
      <c r="Y54" s="544"/>
      <c r="Z54" s="544"/>
      <c r="AA54" s="544"/>
      <c r="AB54" s="544"/>
      <c r="AC54" s="544"/>
      <c r="AD54" s="544"/>
      <c r="AE54" s="544"/>
      <c r="AF54" s="544"/>
      <c r="AG54" s="544"/>
      <c r="AH54" s="544"/>
      <c r="AI54" s="544"/>
      <c r="AJ54" s="544"/>
      <c r="AK54" s="544"/>
      <c r="AL54" s="538"/>
      <c r="AM54" s="538"/>
      <c r="AN54" s="538"/>
    </row>
    <row r="55" spans="1:40" ht="16.5">
      <c r="A55" s="544"/>
      <c r="B55" s="544"/>
      <c r="C55" s="544"/>
      <c r="D55" s="1433"/>
      <c r="E55" s="1433"/>
      <c r="F55" s="1433"/>
      <c r="G55" s="1433"/>
      <c r="H55" s="1433"/>
      <c r="I55" s="544"/>
      <c r="J55" s="544"/>
      <c r="K55" s="544"/>
      <c r="L55" s="544"/>
      <c r="M55" s="1433"/>
      <c r="N55" s="1433"/>
      <c r="O55" s="1433"/>
      <c r="P55" s="1433"/>
      <c r="Q55" s="1433"/>
      <c r="R55" s="1433"/>
      <c r="S55" s="1433"/>
      <c r="T55" s="544"/>
      <c r="U55" s="1433"/>
      <c r="V55" s="1433"/>
      <c r="W55" s="1433"/>
      <c r="X55" s="1433"/>
      <c r="Y55" s="1433"/>
      <c r="Z55" s="1433"/>
      <c r="AA55" s="1433"/>
      <c r="AB55" s="1433"/>
      <c r="AC55" s="544"/>
      <c r="AK55" s="544"/>
      <c r="AL55" s="538"/>
      <c r="AM55" s="538"/>
      <c r="AN55" s="538"/>
    </row>
    <row r="56" spans="1:40">
      <c r="L56" s="543"/>
      <c r="M56" s="543"/>
      <c r="N56" s="543"/>
      <c r="O56" s="543"/>
      <c r="P56" s="543"/>
      <c r="AL56" s="538"/>
      <c r="AM56" s="538"/>
      <c r="AN56" s="538"/>
    </row>
    <row r="60" spans="1:40">
      <c r="A60" s="1434"/>
      <c r="B60" s="1434"/>
      <c r="C60" s="1434"/>
      <c r="AL60" s="538"/>
      <c r="AM60" s="538"/>
      <c r="AN60" s="538"/>
    </row>
    <row r="61" spans="1:40">
      <c r="A61" s="541"/>
      <c r="B61" s="542"/>
      <c r="C61" s="1434"/>
      <c r="D61" s="1434"/>
      <c r="E61" s="1434"/>
      <c r="F61" s="1434"/>
      <c r="G61" s="1434"/>
      <c r="H61" s="1434"/>
      <c r="AL61" s="538"/>
      <c r="AM61" s="538"/>
      <c r="AN61" s="538"/>
    </row>
    <row r="62" spans="1:40">
      <c r="A62" s="540"/>
      <c r="B62" s="543"/>
      <c r="C62" s="1435"/>
      <c r="D62" s="1435"/>
      <c r="E62" s="1435"/>
      <c r="F62" s="1435"/>
      <c r="G62" s="1435"/>
      <c r="H62" s="1435"/>
      <c r="AL62" s="538"/>
      <c r="AM62" s="538"/>
      <c r="AN62" s="538"/>
    </row>
    <row r="63" spans="1:40">
      <c r="A63" s="540"/>
      <c r="B63" s="543"/>
      <c r="C63" s="1435"/>
      <c r="D63" s="1435"/>
      <c r="E63" s="1435"/>
      <c r="F63" s="1435"/>
      <c r="G63" s="1435"/>
      <c r="H63" s="1435"/>
      <c r="AL63" s="538"/>
      <c r="AM63" s="538"/>
      <c r="AN63" s="538"/>
    </row>
    <row r="64" spans="1:40">
      <c r="A64" s="540"/>
      <c r="B64" s="543"/>
      <c r="C64" s="1435"/>
      <c r="D64" s="1435"/>
      <c r="E64" s="1435"/>
      <c r="F64" s="1435"/>
      <c r="G64" s="1435"/>
      <c r="H64" s="1435"/>
      <c r="AL64" s="538"/>
      <c r="AM64" s="538"/>
      <c r="AN64" s="538"/>
    </row>
    <row r="65" spans="1:40">
      <c r="A65" s="539"/>
      <c r="C65" s="1435"/>
      <c r="D65" s="1435"/>
      <c r="E65" s="1435"/>
      <c r="F65" s="1435"/>
      <c r="G65" s="1435"/>
      <c r="H65" s="1435"/>
      <c r="AL65" s="538"/>
      <c r="AM65" s="538"/>
      <c r="AN65" s="538"/>
    </row>
    <row r="66" spans="1:40">
      <c r="A66" s="539"/>
      <c r="C66" s="1435"/>
      <c r="D66" s="1435"/>
      <c r="E66" s="1435"/>
      <c r="F66" s="1435"/>
      <c r="G66" s="1435"/>
      <c r="H66" s="1435"/>
      <c r="AL66" s="538"/>
      <c r="AM66" s="538"/>
      <c r="AN66" s="538"/>
    </row>
    <row r="67" spans="1:40">
      <c r="A67" s="539"/>
      <c r="C67" s="1435"/>
      <c r="D67" s="1435"/>
      <c r="E67" s="1435"/>
      <c r="F67" s="1435"/>
      <c r="G67" s="1435"/>
      <c r="H67" s="1435"/>
      <c r="AL67" s="538"/>
      <c r="AM67" s="538"/>
      <c r="AN67" s="538"/>
    </row>
    <row r="68" spans="1:40">
      <c r="A68" s="539"/>
      <c r="C68" s="1435"/>
      <c r="D68" s="1435"/>
      <c r="E68" s="1435"/>
      <c r="F68" s="1435"/>
      <c r="G68" s="1435"/>
      <c r="H68" s="1435"/>
      <c r="AL68" s="538"/>
      <c r="AM68" s="538"/>
      <c r="AN68" s="538"/>
    </row>
  </sheetData>
  <mergeCells count="34">
    <mergeCell ref="C65:H65"/>
    <mergeCell ref="C66:H66"/>
    <mergeCell ref="C67:H67"/>
    <mergeCell ref="C68:H68"/>
    <mergeCell ref="M55:S55"/>
    <mergeCell ref="U55:AB55"/>
    <mergeCell ref="A60:C60"/>
    <mergeCell ref="C63:H63"/>
    <mergeCell ref="C64:H64"/>
    <mergeCell ref="A19:B19"/>
    <mergeCell ref="A21:B21"/>
    <mergeCell ref="C61:H61"/>
    <mergeCell ref="C62:H62"/>
    <mergeCell ref="D55:H55"/>
    <mergeCell ref="V32:Z32"/>
    <mergeCell ref="A13:B13"/>
    <mergeCell ref="A17:B17"/>
    <mergeCell ref="A6:O6"/>
    <mergeCell ref="A7:O7"/>
    <mergeCell ref="A8:AJ8"/>
    <mergeCell ref="A15:B15"/>
    <mergeCell ref="A2:AL2"/>
    <mergeCell ref="A3:AL3"/>
    <mergeCell ref="A4:AL4"/>
    <mergeCell ref="AK11:AK12"/>
    <mergeCell ref="AL11:AL12"/>
    <mergeCell ref="A9:AJ9"/>
    <mergeCell ref="AH10:AI10"/>
    <mergeCell ref="A11:A12"/>
    <mergeCell ref="B11:B12"/>
    <mergeCell ref="C11:AG11"/>
    <mergeCell ref="AH11:AH12"/>
    <mergeCell ref="AI11:AI12"/>
    <mergeCell ref="AJ11:AJ12"/>
  </mergeCells>
  <printOptions horizontalCentered="1"/>
  <pageMargins left="0" right="0" top="0.27559055118110237" bottom="0.35433070866141736" header="0.27559055118110237" footer="0.31496062992125984"/>
  <pageSetup paperSize="9" scale="22" orientation="landscape" r:id="rId1"/>
  <headerFooter alignWithMargins="0"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FF0000"/>
    <pageSetUpPr fitToPage="1"/>
  </sheetPr>
  <dimension ref="A1:AT206"/>
  <sheetViews>
    <sheetView zoomScale="55" zoomScaleNormal="55" workbookViewId="0">
      <pane ySplit="9" topLeftCell="A91" activePane="bottomLeft" state="frozen"/>
      <selection activeCell="K303" sqref="K303:O303"/>
      <selection pane="bottomLeft" activeCell="Q9" sqref="Q9"/>
    </sheetView>
  </sheetViews>
  <sheetFormatPr defaultColWidth="9.140625" defaultRowHeight="15"/>
  <cols>
    <col min="1" max="1" width="3.28515625" style="2" customWidth="1"/>
    <col min="2" max="2" width="11.5703125" style="2" customWidth="1"/>
    <col min="3" max="3" width="15" style="2" customWidth="1"/>
    <col min="4" max="4" width="7.28515625" style="2" customWidth="1"/>
    <col min="5" max="5" width="11.42578125" style="2" customWidth="1"/>
    <col min="6" max="6" width="12" style="1097" customWidth="1"/>
    <col min="7" max="7" width="12" style="49" customWidth="1"/>
    <col min="8" max="8" width="11.7109375" style="49" customWidth="1"/>
    <col min="9" max="9" width="8.7109375" style="49" customWidth="1"/>
    <col min="10" max="10" width="12.5703125" style="49" customWidth="1"/>
    <col min="11" max="12" width="12.7109375" style="49" customWidth="1"/>
    <col min="13" max="13" width="9.42578125" style="49" customWidth="1"/>
    <col min="14" max="15" width="9.5703125" style="49" customWidth="1"/>
    <col min="16" max="16" width="10.28515625" style="49" customWidth="1"/>
    <col min="17" max="17" width="14" style="2" customWidth="1"/>
    <col min="18" max="18" width="16.42578125" style="69" bestFit="1" customWidth="1"/>
    <col min="19" max="19" width="12.85546875" style="67" customWidth="1"/>
    <col min="20" max="20" width="12.28515625" style="2" customWidth="1"/>
    <col min="21" max="21" width="15.140625" style="2" customWidth="1"/>
    <col min="22" max="28" width="10.140625" style="2" customWidth="1"/>
    <col min="29" max="29" width="13.42578125" style="70" customWidth="1"/>
    <col min="30" max="30" width="10" style="2" customWidth="1"/>
    <col min="31" max="31" width="14.28515625" style="2" customWidth="1"/>
    <col min="32" max="32" width="15.28515625" style="2" bestFit="1" customWidth="1"/>
    <col min="33" max="33" width="12.5703125" style="2" customWidth="1"/>
    <col min="34" max="34" width="10.85546875" style="2" customWidth="1"/>
    <col min="35" max="35" width="12.42578125" style="2" bestFit="1" customWidth="1"/>
    <col min="36" max="36" width="10.140625" style="2" customWidth="1"/>
    <col min="37" max="37" width="11.85546875" style="2" customWidth="1"/>
    <col min="38" max="38" width="13.140625" style="2" customWidth="1"/>
    <col min="39" max="40" width="10.140625" style="2" customWidth="1"/>
    <col min="41" max="16384" width="9.140625" style="2"/>
  </cols>
  <sheetData>
    <row r="1" spans="1:46" ht="8.25" customHeight="1"/>
    <row r="2" spans="1:46" ht="15.75">
      <c r="A2" s="1443" t="s">
        <v>5</v>
      </c>
      <c r="B2" s="1443"/>
      <c r="C2" s="1443"/>
      <c r="D2" s="1443"/>
      <c r="E2" s="1443"/>
      <c r="F2" s="1443"/>
      <c r="G2" s="1443"/>
      <c r="H2" s="1091"/>
      <c r="I2" s="1091"/>
      <c r="J2" s="1091"/>
      <c r="K2" s="1091"/>
      <c r="L2" s="1091"/>
      <c r="M2" s="1091"/>
      <c r="N2" s="1091"/>
      <c r="O2" s="1091"/>
      <c r="P2" s="1091"/>
      <c r="R2" s="1447" t="s">
        <v>56</v>
      </c>
      <c r="S2" s="1447"/>
      <c r="T2" s="1447"/>
      <c r="U2" s="1447"/>
      <c r="V2" s="1447"/>
      <c r="W2" s="1447"/>
      <c r="X2" s="1447"/>
      <c r="Y2" s="1447"/>
      <c r="Z2" s="1447"/>
      <c r="AA2" s="1447"/>
      <c r="AB2" s="1447"/>
      <c r="AC2" s="1447"/>
      <c r="AD2" s="1447"/>
      <c r="AE2" s="1447"/>
    </row>
    <row r="3" spans="1:46" ht="15.75">
      <c r="A3" s="1448" t="s">
        <v>67</v>
      </c>
      <c r="B3" s="1448"/>
      <c r="C3" s="1448"/>
      <c r="D3" s="1448"/>
      <c r="E3" s="1448"/>
      <c r="F3" s="1448"/>
      <c r="G3" s="1448"/>
      <c r="H3" s="1092"/>
      <c r="I3" s="1092"/>
      <c r="J3" s="494"/>
      <c r="K3" s="1092"/>
      <c r="L3" s="1092"/>
      <c r="M3" s="1092"/>
      <c r="N3" s="1092">
        <f>144/0.67</f>
        <v>214.92537313432834</v>
      </c>
      <c r="O3" s="1092"/>
      <c r="P3" s="1092"/>
      <c r="Q3" s="71"/>
      <c r="R3" s="1450" t="s">
        <v>42</v>
      </c>
      <c r="S3" s="1450"/>
      <c r="T3" s="1450"/>
      <c r="U3" s="1450"/>
      <c r="V3" s="1450"/>
      <c r="W3" s="1450"/>
      <c r="X3" s="1450"/>
      <c r="Y3" s="1450"/>
      <c r="Z3" s="1450"/>
      <c r="AA3" s="1450"/>
      <c r="AB3" s="1450"/>
      <c r="AC3" s="1450"/>
      <c r="AD3" s="1450"/>
      <c r="AE3" s="1450"/>
    </row>
    <row r="4" spans="1:46" ht="15.75">
      <c r="A4" s="1449" t="s">
        <v>117</v>
      </c>
      <c r="B4" s="1449"/>
      <c r="C4" s="1449"/>
      <c r="D4" s="1449"/>
      <c r="E4" s="1449"/>
      <c r="F4" s="1449"/>
      <c r="G4" s="1449"/>
      <c r="H4" s="1093"/>
      <c r="I4" s="1093"/>
      <c r="J4" s="1093">
        <f>F11*25000</f>
        <v>600000</v>
      </c>
      <c r="K4" s="495">
        <f>G11*25000</f>
        <v>0</v>
      </c>
      <c r="L4" s="1093"/>
      <c r="M4" s="1093"/>
      <c r="N4" s="1093"/>
      <c r="O4" s="1093"/>
      <c r="P4" s="1093"/>
      <c r="Q4" s="72"/>
      <c r="R4" s="73"/>
      <c r="S4" s="74"/>
      <c r="T4" s="667">
        <f>Q9-19035.02</f>
        <v>-9843.1400000000103</v>
      </c>
      <c r="U4" s="75"/>
      <c r="V4" s="75"/>
      <c r="W4" s="75"/>
      <c r="X4" s="75"/>
      <c r="Y4" s="75"/>
      <c r="Z4" s="75"/>
      <c r="AA4" s="75"/>
      <c r="AB4" s="75"/>
      <c r="AC4" s="76"/>
      <c r="AD4" s="75"/>
      <c r="AE4" s="6"/>
    </row>
    <row r="5" spans="1:46" ht="19.5" customHeight="1">
      <c r="A5" s="1451" t="s">
        <v>522</v>
      </c>
      <c r="B5" s="1451"/>
      <c r="C5" s="1451"/>
      <c r="D5" s="1451"/>
      <c r="E5" s="1451"/>
      <c r="F5" s="1451"/>
      <c r="G5" s="1451"/>
      <c r="H5" s="1451"/>
      <c r="I5" s="1451"/>
      <c r="J5" s="1451"/>
      <c r="K5" s="1451"/>
      <c r="L5" s="1451"/>
      <c r="M5" s="1451"/>
      <c r="N5" s="1451"/>
      <c r="O5" s="1451"/>
      <c r="P5" s="1451"/>
      <c r="Q5" s="1451"/>
      <c r="R5" s="1451"/>
      <c r="S5" s="1451"/>
      <c r="T5" s="1451"/>
      <c r="U5" s="1451"/>
      <c r="V5" s="1451"/>
      <c r="W5" s="1451"/>
      <c r="X5" s="1451"/>
      <c r="Y5" s="1451"/>
      <c r="Z5" s="1451"/>
      <c r="AA5" s="1451"/>
      <c r="AB5" s="1451"/>
      <c r="AC5" s="1451"/>
      <c r="AD5" s="1451"/>
      <c r="AE5" s="1451"/>
      <c r="AG5" s="56"/>
    </row>
    <row r="6" spans="1:46" ht="16.5" customHeight="1">
      <c r="A6" s="1366" t="s">
        <v>6</v>
      </c>
      <c r="B6" s="1439" t="s">
        <v>97</v>
      </c>
      <c r="C6" s="1366" t="s">
        <v>34</v>
      </c>
      <c r="D6" s="1439" t="s">
        <v>10</v>
      </c>
      <c r="E6" s="1439"/>
      <c r="F6" s="1439"/>
      <c r="G6" s="1439"/>
      <c r="H6" s="1439"/>
      <c r="I6" s="1439"/>
      <c r="J6" s="1439"/>
      <c r="K6" s="1439"/>
      <c r="L6" s="1439"/>
      <c r="M6" s="1439"/>
      <c r="N6" s="1439"/>
      <c r="O6" s="1439"/>
      <c r="P6" s="1439"/>
      <c r="Q6" s="1439"/>
      <c r="R6" s="1439"/>
      <c r="S6" s="1439"/>
      <c r="T6" s="1439"/>
      <c r="U6" s="1439"/>
      <c r="V6" s="1439"/>
      <c r="W6" s="1439"/>
      <c r="X6" s="1439"/>
      <c r="Y6" s="1439"/>
      <c r="Z6" s="1439"/>
      <c r="AA6" s="1439"/>
      <c r="AB6" s="1439"/>
      <c r="AC6" s="1439"/>
      <c r="AD6" s="1439"/>
      <c r="AE6" s="1439"/>
    </row>
    <row r="7" spans="1:46" ht="15.75" customHeight="1">
      <c r="A7" s="1366"/>
      <c r="B7" s="1439"/>
      <c r="C7" s="1366"/>
      <c r="D7" s="1439"/>
      <c r="E7" s="1446" t="s">
        <v>229</v>
      </c>
      <c r="F7" s="1440" t="s">
        <v>649</v>
      </c>
      <c r="G7" s="1440" t="s">
        <v>650</v>
      </c>
      <c r="H7" s="1439" t="s">
        <v>651</v>
      </c>
      <c r="I7" s="1439" t="s">
        <v>595</v>
      </c>
      <c r="J7" s="1460" t="s">
        <v>596</v>
      </c>
      <c r="K7" s="1460" t="s">
        <v>597</v>
      </c>
      <c r="L7" s="1460" t="s">
        <v>598</v>
      </c>
      <c r="M7" s="1455" t="s">
        <v>277</v>
      </c>
      <c r="N7" s="1439" t="s">
        <v>599</v>
      </c>
      <c r="O7" s="1089"/>
      <c r="P7" s="1439" t="s">
        <v>591</v>
      </c>
      <c r="Q7" s="1461" t="s">
        <v>126</v>
      </c>
      <c r="R7" s="1366" t="s">
        <v>63</v>
      </c>
      <c r="S7" s="1366"/>
      <c r="T7" s="1366"/>
      <c r="U7" s="1087"/>
      <c r="V7" s="1458" t="s">
        <v>64</v>
      </c>
      <c r="W7" s="1459"/>
      <c r="X7" s="1459"/>
      <c r="Y7" s="1088"/>
      <c r="Z7" s="1088"/>
      <c r="AA7" s="1088"/>
      <c r="AB7" s="1094"/>
      <c r="AC7" s="1453" t="s">
        <v>125</v>
      </c>
      <c r="AD7" s="1441" t="s">
        <v>41</v>
      </c>
      <c r="AE7" s="1439" t="s">
        <v>38</v>
      </c>
      <c r="AF7" s="91"/>
    </row>
    <row r="8" spans="1:46" ht="88.5" customHeight="1">
      <c r="A8" s="1366"/>
      <c r="B8" s="1439"/>
      <c r="C8" s="1366"/>
      <c r="D8" s="1439"/>
      <c r="E8" s="1446"/>
      <c r="F8" s="1440"/>
      <c r="G8" s="1440"/>
      <c r="H8" s="1439"/>
      <c r="I8" s="1439"/>
      <c r="J8" s="1460"/>
      <c r="K8" s="1460"/>
      <c r="L8" s="1460"/>
      <c r="M8" s="1455"/>
      <c r="N8" s="1439"/>
      <c r="O8" s="1089"/>
      <c r="P8" s="1439"/>
      <c r="Q8" s="1461"/>
      <c r="R8" s="77" t="s">
        <v>36</v>
      </c>
      <c r="S8" s="78" t="s">
        <v>417</v>
      </c>
      <c r="T8" s="1090" t="s">
        <v>127</v>
      </c>
      <c r="U8" s="1090" t="s">
        <v>138</v>
      </c>
      <c r="V8" s="675" t="s">
        <v>259</v>
      </c>
      <c r="W8" s="675" t="s">
        <v>260</v>
      </c>
      <c r="X8" s="675" t="s">
        <v>464</v>
      </c>
      <c r="Y8" s="675" t="s">
        <v>469</v>
      </c>
      <c r="Z8" s="675" t="s">
        <v>462</v>
      </c>
      <c r="AA8" s="675" t="s">
        <v>463</v>
      </c>
      <c r="AB8" s="1090" t="s">
        <v>280</v>
      </c>
      <c r="AC8" s="1454"/>
      <c r="AD8" s="1442"/>
      <c r="AE8" s="1452"/>
      <c r="AF8" s="47"/>
      <c r="AG8" s="79"/>
      <c r="AH8" s="47"/>
      <c r="AI8" s="617">
        <f>5308.01-Q9</f>
        <v>-3883.8699999999899</v>
      </c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</row>
    <row r="9" spans="1:46" s="35" customFormat="1" ht="31.5" customHeight="1">
      <c r="A9" s="718" t="s">
        <v>73</v>
      </c>
      <c r="B9" s="1366" t="s">
        <v>129</v>
      </c>
      <c r="C9" s="1366"/>
      <c r="D9" s="1366"/>
      <c r="E9" s="531">
        <f t="shared" ref="E9:AC9" si="0">E10+E92</f>
        <v>419.19999999999953</v>
      </c>
      <c r="F9" s="1098">
        <f t="shared" si="0"/>
        <v>3144</v>
      </c>
      <c r="G9" s="531">
        <f t="shared" si="0"/>
        <v>441</v>
      </c>
      <c r="H9" s="531">
        <f t="shared" si="0"/>
        <v>3688</v>
      </c>
      <c r="I9" s="531">
        <f t="shared" si="0"/>
        <v>0</v>
      </c>
      <c r="J9" s="531">
        <f t="shared" si="0"/>
        <v>0</v>
      </c>
      <c r="K9" s="531">
        <f t="shared" si="0"/>
        <v>0</v>
      </c>
      <c r="L9" s="531">
        <f t="shared" si="0"/>
        <v>0</v>
      </c>
      <c r="M9" s="531">
        <f t="shared" si="0"/>
        <v>1499.6799999999998</v>
      </c>
      <c r="N9" s="531">
        <f t="shared" si="0"/>
        <v>0</v>
      </c>
      <c r="O9" s="531">
        <f t="shared" si="0"/>
        <v>0</v>
      </c>
      <c r="P9" s="531">
        <f t="shared" si="0"/>
        <v>0</v>
      </c>
      <c r="Q9" s="1130">
        <f>Q10+Q92</f>
        <v>9191.8799999999901</v>
      </c>
      <c r="R9" s="531">
        <f t="shared" si="0"/>
        <v>207339</v>
      </c>
      <c r="S9" s="531">
        <f t="shared" si="0"/>
        <v>0</v>
      </c>
      <c r="T9" s="531">
        <f t="shared" si="0"/>
        <v>0</v>
      </c>
      <c r="U9" s="531">
        <f t="shared" si="0"/>
        <v>207339</v>
      </c>
      <c r="V9" s="531">
        <f t="shared" si="0"/>
        <v>3352</v>
      </c>
      <c r="W9" s="531">
        <f t="shared" si="0"/>
        <v>491</v>
      </c>
      <c r="X9" s="531">
        <f t="shared" si="0"/>
        <v>0</v>
      </c>
      <c r="Y9" s="531">
        <f t="shared" si="0"/>
        <v>0</v>
      </c>
      <c r="Z9" s="531">
        <f t="shared" si="0"/>
        <v>0</v>
      </c>
      <c r="AA9" s="531">
        <f t="shared" si="0"/>
        <v>0</v>
      </c>
      <c r="AB9" s="531">
        <f t="shared" si="0"/>
        <v>0</v>
      </c>
      <c r="AC9" s="531">
        <f t="shared" si="0"/>
        <v>9191.8799999999901</v>
      </c>
      <c r="AD9" s="506"/>
      <c r="AE9" s="1094"/>
      <c r="AF9" s="80">
        <v>6716.8</v>
      </c>
      <c r="AG9" s="81">
        <f>6716.8-Q9</f>
        <v>-2475.0799999999899</v>
      </c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</row>
    <row r="10" spans="1:46" s="35" customFormat="1" ht="18.75" customHeight="1">
      <c r="A10" s="1087" t="s">
        <v>40</v>
      </c>
      <c r="B10" s="1366" t="s">
        <v>632</v>
      </c>
      <c r="C10" s="1366"/>
      <c r="D10" s="1366"/>
      <c r="E10" s="1006">
        <f t="shared" ref="E10:AC10" si="1">SUM(E11:E91)</f>
        <v>233.59999999999968</v>
      </c>
      <c r="F10" s="1099">
        <f t="shared" si="1"/>
        <v>1752</v>
      </c>
      <c r="G10" s="1006">
        <f t="shared" si="1"/>
        <v>28</v>
      </c>
      <c r="H10" s="1006">
        <f t="shared" si="1"/>
        <v>2304</v>
      </c>
      <c r="I10" s="1006">
        <f t="shared" si="1"/>
        <v>0</v>
      </c>
      <c r="J10" s="1006">
        <f t="shared" si="1"/>
        <v>0</v>
      </c>
      <c r="K10" s="1006">
        <f t="shared" si="1"/>
        <v>0</v>
      </c>
      <c r="L10" s="1006">
        <f t="shared" si="1"/>
        <v>0</v>
      </c>
      <c r="M10" s="1006">
        <f t="shared" si="1"/>
        <v>906.28</v>
      </c>
      <c r="N10" s="1006">
        <f t="shared" si="1"/>
        <v>0</v>
      </c>
      <c r="O10" s="1006">
        <f t="shared" si="1"/>
        <v>0</v>
      </c>
      <c r="P10" s="1006">
        <f t="shared" si="1"/>
        <v>0</v>
      </c>
      <c r="Q10" s="1006">
        <f>SUM(Q11:Q91)</f>
        <v>5223.8799999999937</v>
      </c>
      <c r="R10" s="1006">
        <f t="shared" si="1"/>
        <v>107359</v>
      </c>
      <c r="S10" s="1006">
        <f t="shared" si="1"/>
        <v>0</v>
      </c>
      <c r="T10" s="1006">
        <f t="shared" si="1"/>
        <v>0</v>
      </c>
      <c r="U10" s="1006">
        <f t="shared" si="1"/>
        <v>107359</v>
      </c>
      <c r="V10" s="1006">
        <f t="shared" si="1"/>
        <v>1842</v>
      </c>
      <c r="W10" s="1006">
        <f t="shared" si="1"/>
        <v>271</v>
      </c>
      <c r="X10" s="1006">
        <f t="shared" si="1"/>
        <v>0</v>
      </c>
      <c r="Y10" s="1006">
        <f t="shared" si="1"/>
        <v>0</v>
      </c>
      <c r="Z10" s="1006">
        <f t="shared" si="1"/>
        <v>0</v>
      </c>
      <c r="AA10" s="1006">
        <f t="shared" si="1"/>
        <v>0</v>
      </c>
      <c r="AB10" s="1006">
        <f t="shared" si="1"/>
        <v>0</v>
      </c>
      <c r="AC10" s="1006">
        <f t="shared" si="1"/>
        <v>5223.8799999999937</v>
      </c>
      <c r="AD10" s="1006"/>
      <c r="AE10" s="1006"/>
      <c r="AF10" s="1095">
        <v>1618</v>
      </c>
      <c r="AG10" s="254">
        <v>194</v>
      </c>
      <c r="AH10" s="106"/>
      <c r="AI10" s="106"/>
      <c r="AJ10" s="106"/>
      <c r="AK10" s="47"/>
      <c r="AL10" s="47"/>
      <c r="AM10" s="47"/>
      <c r="AN10" s="47"/>
      <c r="AO10" s="47"/>
      <c r="AP10" s="47"/>
      <c r="AQ10" s="47"/>
      <c r="AR10" s="47"/>
      <c r="AS10" s="47"/>
      <c r="AT10" s="47"/>
    </row>
    <row r="11" spans="1:46" s="35" customFormat="1" ht="18.75" customHeight="1">
      <c r="A11" s="219">
        <v>1</v>
      </c>
      <c r="B11" s="255" t="str">
        <f>'Chấm công KT'!D13</f>
        <v>03456</v>
      </c>
      <c r="C11" s="220" t="str">
        <f>'Chấm công KT'!C13</f>
        <v>T. Vôn</v>
      </c>
      <c r="D11" s="123" t="s">
        <v>39</v>
      </c>
      <c r="E11" s="265">
        <f>4/1.25</f>
        <v>3.2</v>
      </c>
      <c r="F11" s="1108">
        <f>600000/25000</f>
        <v>24</v>
      </c>
      <c r="G11" s="265"/>
      <c r="H11" s="265">
        <v>32</v>
      </c>
      <c r="I11" s="265"/>
      <c r="J11" s="256"/>
      <c r="K11" s="203"/>
      <c r="L11" s="203"/>
      <c r="M11" s="256"/>
      <c r="N11" s="256"/>
      <c r="O11" s="256"/>
      <c r="P11" s="256"/>
      <c r="Q11" s="257">
        <f>SUM(E11:P11)</f>
        <v>59.2</v>
      </c>
      <c r="R11" s="730">
        <f>VLOOKUP(C11,'BTH mủ tạp'!$C$17:$AI$96,33,0)</f>
        <v>776</v>
      </c>
      <c r="S11" s="256"/>
      <c r="T11" s="195">
        <f>S11*50/100</f>
        <v>0</v>
      </c>
      <c r="U11" s="259">
        <f>R11</f>
        <v>776</v>
      </c>
      <c r="V11" s="673">
        <f>VLOOKUP(C11,'Chấm công KT'!$C$13:$AJ$92,34,0)</f>
        <v>23</v>
      </c>
      <c r="W11" s="673">
        <f>VLOOKUP(C11,'Chấm công KT'!$C$13:$AK$92,35,0)</f>
        <v>4</v>
      </c>
      <c r="X11" s="674"/>
      <c r="Y11" s="673"/>
      <c r="Z11" s="673">
        <f>VLOOKUP(C11,'Chấm công KT'!$C$13:$AN$92,38,0)</f>
        <v>0</v>
      </c>
      <c r="AA11" s="673">
        <f>VLOOKUP(C11,'Chấm công KT'!$C$13:$AO$92,39,0)</f>
        <v>0</v>
      </c>
      <c r="AB11" s="260"/>
      <c r="AC11" s="258">
        <f>Q11</f>
        <v>59.2</v>
      </c>
      <c r="AD11" s="125" t="str">
        <f>VLOOKUP(C11,'BTH mủ tạp'!$C$17:$AL$160,36,0)</f>
        <v>C</v>
      </c>
      <c r="AE11" s="256"/>
      <c r="AF11" s="253"/>
      <c r="AG11" s="254"/>
      <c r="AH11" s="106"/>
      <c r="AI11" s="106"/>
      <c r="AJ11" s="106"/>
      <c r="AK11" s="47"/>
      <c r="AL11" s="47"/>
      <c r="AM11" s="47"/>
      <c r="AN11" s="47"/>
      <c r="AO11" s="47"/>
      <c r="AP11" s="47"/>
      <c r="AQ11" s="47"/>
      <c r="AR11" s="47"/>
      <c r="AS11" s="47"/>
      <c r="AT11" s="47"/>
    </row>
    <row r="12" spans="1:46" s="35" customFormat="1" ht="18.75" customHeight="1">
      <c r="A12" s="123">
        <v>2</v>
      </c>
      <c r="B12" s="255">
        <f>'Chấm công KT'!D14</f>
        <v>0</v>
      </c>
      <c r="C12" s="220" t="str">
        <f>'Chấm công KT'!C14</f>
        <v>T. Feng</v>
      </c>
      <c r="D12" s="123" t="s">
        <v>39</v>
      </c>
      <c r="E12" s="265">
        <f t="shared" ref="E12:E75" si="2">4/1.25</f>
        <v>3.2</v>
      </c>
      <c r="F12" s="1108">
        <f t="shared" ref="F12:F75" si="3">600000/25000</f>
        <v>24</v>
      </c>
      <c r="G12" s="265"/>
      <c r="H12" s="265">
        <v>32</v>
      </c>
      <c r="I12" s="265"/>
      <c r="J12" s="256"/>
      <c r="K12" s="203"/>
      <c r="L12" s="203"/>
      <c r="M12" s="256"/>
      <c r="N12" s="256"/>
      <c r="O12" s="266"/>
      <c r="P12" s="124"/>
      <c r="Q12" s="257">
        <f t="shared" ref="Q12:Q75" si="4">SUM(E12:P12)</f>
        <v>59.2</v>
      </c>
      <c r="R12" s="730">
        <f>VLOOKUP(C12,'BTH mủ tạp'!$C$17:$AI$96,33,0)</f>
        <v>654</v>
      </c>
      <c r="S12" s="256"/>
      <c r="T12" s="195">
        <f>S12*50/100</f>
        <v>0</v>
      </c>
      <c r="U12" s="259">
        <f t="shared" ref="U12:U75" si="5">R12</f>
        <v>654</v>
      </c>
      <c r="V12" s="673">
        <f>VLOOKUP(C12,'Chấm công KT'!$C$13:$AJ$92,34,0)</f>
        <v>23</v>
      </c>
      <c r="W12" s="673">
        <f>VLOOKUP(C12,'Chấm công KT'!$C$13:$AK$92,35,0)</f>
        <v>4</v>
      </c>
      <c r="X12" s="674"/>
      <c r="Y12" s="673"/>
      <c r="Z12" s="673">
        <f>VLOOKUP(C12,'Chấm công KT'!$C$13:$AN$92,38,0)</f>
        <v>0</v>
      </c>
      <c r="AA12" s="673">
        <f>VLOOKUP(C12,'Chấm công KT'!$C$13:$AO$92,39,0)</f>
        <v>0</v>
      </c>
      <c r="AB12" s="260"/>
      <c r="AC12" s="261">
        <f>Q12</f>
        <v>59.2</v>
      </c>
      <c r="AD12" s="125" t="str">
        <f>VLOOKUP(C12,'BTH mủ tạp'!$C$17:$AL$160,36,0)</f>
        <v>B</v>
      </c>
      <c r="AE12" s="126"/>
      <c r="AF12" s="113"/>
      <c r="AG12" s="106"/>
      <c r="AH12" s="110"/>
      <c r="AI12" s="111"/>
      <c r="AJ12" s="106"/>
      <c r="AK12" s="84"/>
      <c r="AL12" s="84"/>
      <c r="AM12" s="84"/>
      <c r="AN12" s="84"/>
      <c r="AO12" s="84"/>
      <c r="AP12" s="47"/>
      <c r="AQ12" s="47"/>
      <c r="AR12" s="47"/>
      <c r="AS12" s="47"/>
      <c r="AT12" s="47"/>
    </row>
    <row r="13" spans="1:46" s="35" customFormat="1" ht="18.75" customHeight="1">
      <c r="A13" s="219">
        <v>3</v>
      </c>
      <c r="B13" s="255" t="str">
        <f>'Chấm công KT'!D15</f>
        <v>02725</v>
      </c>
      <c r="C13" s="220" t="str">
        <f>'Chấm công KT'!C15</f>
        <v>T. Sa Văn</v>
      </c>
      <c r="D13" s="123" t="s">
        <v>39</v>
      </c>
      <c r="E13" s="265">
        <f t="shared" si="2"/>
        <v>3.2</v>
      </c>
      <c r="F13" s="1108">
        <f t="shared" si="3"/>
        <v>24</v>
      </c>
      <c r="G13" s="265"/>
      <c r="H13" s="265">
        <v>32</v>
      </c>
      <c r="I13" s="265"/>
      <c r="J13" s="256"/>
      <c r="K13" s="203"/>
      <c r="L13" s="128"/>
      <c r="M13" s="128"/>
      <c r="N13" s="124"/>
      <c r="O13" s="124"/>
      <c r="P13" s="124"/>
      <c r="Q13" s="257">
        <f t="shared" si="4"/>
        <v>59.2</v>
      </c>
      <c r="R13" s="730">
        <f>VLOOKUP(C13,'BTH mủ tạp'!$C$17:$AI$96,33,0)</f>
        <v>2011</v>
      </c>
      <c r="S13" s="256"/>
      <c r="T13" s="195">
        <f>S13*50/100</f>
        <v>0</v>
      </c>
      <c r="U13" s="259">
        <f t="shared" si="5"/>
        <v>2011</v>
      </c>
      <c r="V13" s="673">
        <f>VLOOKUP(C13,'Chấm công KT'!$C$13:$AJ$92,34,0)</f>
        <v>26</v>
      </c>
      <c r="W13" s="673">
        <f>VLOOKUP(C13,'Chấm công KT'!$C$13:$AK$92,35,0)</f>
        <v>4</v>
      </c>
      <c r="X13" s="674"/>
      <c r="Y13" s="673"/>
      <c r="Z13" s="673">
        <f>VLOOKUP(C13,'Chấm công KT'!$C$13:$AN$92,38,0)</f>
        <v>0</v>
      </c>
      <c r="AA13" s="673">
        <f>VLOOKUP(C13,'Chấm công KT'!$C$13:$AO$92,39,0)</f>
        <v>0</v>
      </c>
      <c r="AB13" s="260"/>
      <c r="AC13" s="261">
        <f t="shared" ref="AC13:AC76" si="6">Q13</f>
        <v>59.2</v>
      </c>
      <c r="AD13" s="125" t="str">
        <f>VLOOKUP(C13,'BTH mủ tạp'!$C$17:$AL$160,36,0)</f>
        <v>B</v>
      </c>
      <c r="AE13" s="126"/>
      <c r="AF13" s="113"/>
      <c r="AG13" s="113">
        <v>119657</v>
      </c>
      <c r="AH13" s="113">
        <v>197</v>
      </c>
      <c r="AI13" s="113"/>
      <c r="AJ13" s="113"/>
      <c r="AK13" s="84"/>
      <c r="AL13" s="84"/>
      <c r="AM13" s="84"/>
      <c r="AN13" s="84"/>
      <c r="AO13" s="84"/>
      <c r="AP13" s="114"/>
      <c r="AQ13" s="114"/>
      <c r="AR13" s="114"/>
      <c r="AS13" s="114"/>
      <c r="AT13" s="114"/>
    </row>
    <row r="14" spans="1:46" ht="18.75" customHeight="1">
      <c r="A14" s="123">
        <v>4</v>
      </c>
      <c r="B14" s="255" t="e">
        <f>'Chấm công KT'!D16</f>
        <v>#N/A</v>
      </c>
      <c r="C14" s="220" t="str">
        <f>'Chấm công KT'!C16</f>
        <v>Lăm Ma Thu</v>
      </c>
      <c r="D14" s="123" t="s">
        <v>39</v>
      </c>
      <c r="E14" s="265">
        <f t="shared" si="2"/>
        <v>3.2</v>
      </c>
      <c r="F14" s="1108">
        <f t="shared" si="3"/>
        <v>24</v>
      </c>
      <c r="G14" s="265"/>
      <c r="H14" s="265">
        <v>32</v>
      </c>
      <c r="I14" s="265"/>
      <c r="J14" s="256"/>
      <c r="K14" s="203"/>
      <c r="L14" s="203"/>
      <c r="M14" s="256"/>
      <c r="N14" s="256"/>
      <c r="O14" s="266"/>
      <c r="P14" s="124"/>
      <c r="Q14" s="257">
        <f t="shared" si="4"/>
        <v>59.2</v>
      </c>
      <c r="R14" s="730">
        <f>VLOOKUP(C14,'BTH mủ tạp'!$C$17:$AI$96,33,0)</f>
        <v>1414</v>
      </c>
      <c r="S14" s="256"/>
      <c r="T14" s="195">
        <f t="shared" ref="T14:T75" si="7">S14*50/100</f>
        <v>0</v>
      </c>
      <c r="U14" s="259">
        <f t="shared" si="5"/>
        <v>1414</v>
      </c>
      <c r="V14" s="673">
        <f>VLOOKUP(C14,'Chấm công KT'!$C$13:$AJ$92,34,0)</f>
        <v>25</v>
      </c>
      <c r="W14" s="673">
        <f>VLOOKUP(C14,'Chấm công KT'!$C$13:$AK$92,35,0)</f>
        <v>4</v>
      </c>
      <c r="X14" s="674"/>
      <c r="Y14" s="673"/>
      <c r="Z14" s="673">
        <f>VLOOKUP(C14,'Chấm công KT'!$C$13:$AN$92,38,0)</f>
        <v>0</v>
      </c>
      <c r="AA14" s="673">
        <f>VLOOKUP(C14,'Chấm công KT'!$C$13:$AO$92,39,0)</f>
        <v>0</v>
      </c>
      <c r="AB14" s="260"/>
      <c r="AC14" s="261">
        <f t="shared" si="6"/>
        <v>59.2</v>
      </c>
      <c r="AD14" s="125" t="str">
        <f>VLOOKUP(C14,'BTH mủ tạp'!$C$17:$AL$160,36,0)</f>
        <v>B</v>
      </c>
      <c r="AE14" s="126"/>
      <c r="AF14" s="104"/>
      <c r="AG14" s="85">
        <v>125408</v>
      </c>
      <c r="AH14" s="82">
        <v>554</v>
      </c>
      <c r="AI14" s="83"/>
      <c r="AJ14" s="84"/>
      <c r="AK14" s="84"/>
      <c r="AL14" s="84"/>
      <c r="AM14" s="84"/>
      <c r="AN14" s="84"/>
      <c r="AO14" s="84"/>
    </row>
    <row r="15" spans="1:46" ht="18.75" customHeight="1">
      <c r="A15" s="219">
        <v>5</v>
      </c>
      <c r="B15" s="255" t="str">
        <f>'Chấm công KT'!D17</f>
        <v>03459</v>
      </c>
      <c r="C15" s="220" t="str">
        <f>'Chấm công KT'!C17</f>
        <v>N. Vạt</v>
      </c>
      <c r="D15" s="123" t="s">
        <v>39</v>
      </c>
      <c r="E15" s="265">
        <f t="shared" si="2"/>
        <v>3.2</v>
      </c>
      <c r="F15" s="1108">
        <f t="shared" si="3"/>
        <v>24</v>
      </c>
      <c r="G15" s="265"/>
      <c r="H15" s="265">
        <v>32</v>
      </c>
      <c r="I15" s="265"/>
      <c r="J15" s="256"/>
      <c r="K15" s="203"/>
      <c r="L15" s="128"/>
      <c r="M15" s="256"/>
      <c r="N15" s="124"/>
      <c r="O15" s="124"/>
      <c r="P15" s="124"/>
      <c r="Q15" s="257">
        <f t="shared" si="4"/>
        <v>59.2</v>
      </c>
      <c r="R15" s="730">
        <f>VLOOKUP(C15,'BTH mủ tạp'!$C$17:$AI$96,33,0)</f>
        <v>860</v>
      </c>
      <c r="S15" s="256"/>
      <c r="T15" s="195">
        <f t="shared" si="7"/>
        <v>0</v>
      </c>
      <c r="U15" s="259">
        <f t="shared" si="5"/>
        <v>860</v>
      </c>
      <c r="V15" s="673">
        <f>VLOOKUP(C15,'Chấm công KT'!$C$13:$AJ$92,34,0)</f>
        <v>20</v>
      </c>
      <c r="W15" s="673">
        <f>VLOOKUP(C15,'Chấm công KT'!$C$13:$AK$92,35,0)</f>
        <v>3</v>
      </c>
      <c r="X15" s="674"/>
      <c r="Y15" s="673"/>
      <c r="Z15" s="673">
        <f>VLOOKUP(C15,'Chấm công KT'!$C$13:$AN$92,38,0)</f>
        <v>0</v>
      </c>
      <c r="AA15" s="673">
        <f>VLOOKUP(C15,'Chấm công KT'!$C$13:$AO$92,39,0)</f>
        <v>0</v>
      </c>
      <c r="AB15" s="260"/>
      <c r="AC15" s="261">
        <f t="shared" si="6"/>
        <v>59.2</v>
      </c>
      <c r="AD15" s="125" t="str">
        <f>VLOOKUP(C15,'BTH mủ tạp'!$C$17:$AL$160,36,0)</f>
        <v>B</v>
      </c>
      <c r="AE15" s="126"/>
      <c r="AF15" s="118"/>
      <c r="AG15" s="119">
        <v>97048</v>
      </c>
      <c r="AH15" s="119">
        <v>92</v>
      </c>
      <c r="AI15" s="83"/>
      <c r="AJ15" s="84"/>
      <c r="AK15" s="84"/>
      <c r="AL15" s="84"/>
      <c r="AM15" s="84"/>
      <c r="AN15" s="84"/>
      <c r="AO15" s="84"/>
    </row>
    <row r="16" spans="1:46" ht="18.75" customHeight="1">
      <c r="A16" s="123">
        <v>6</v>
      </c>
      <c r="B16" s="255" t="e">
        <f>'Chấm công KT'!D18</f>
        <v>#N/A</v>
      </c>
      <c r="C16" s="220" t="str">
        <f>'Chấm công KT'!C18</f>
        <v>N. Kay Son</v>
      </c>
      <c r="D16" s="123" t="s">
        <v>39</v>
      </c>
      <c r="E16" s="265">
        <f t="shared" si="2"/>
        <v>3.2</v>
      </c>
      <c r="F16" s="1108">
        <f t="shared" si="3"/>
        <v>24</v>
      </c>
      <c r="G16" s="265"/>
      <c r="H16" s="265">
        <v>32</v>
      </c>
      <c r="I16" s="265"/>
      <c r="J16" s="256"/>
      <c r="K16" s="203"/>
      <c r="L16" s="203"/>
      <c r="M16" s="256"/>
      <c r="N16" s="256"/>
      <c r="O16" s="266"/>
      <c r="P16" s="124"/>
      <c r="Q16" s="257">
        <f t="shared" si="4"/>
        <v>59.2</v>
      </c>
      <c r="R16" s="730">
        <f>VLOOKUP(C16,'BTH mủ tạp'!$C$17:$AI$96,33,0)</f>
        <v>1098</v>
      </c>
      <c r="S16" s="256"/>
      <c r="T16" s="195">
        <f t="shared" si="7"/>
        <v>0</v>
      </c>
      <c r="U16" s="259">
        <f t="shared" si="5"/>
        <v>1098</v>
      </c>
      <c r="V16" s="673">
        <f>VLOOKUP(C16,'Chấm công KT'!$C$13:$AJ$92,34,0)</f>
        <v>22</v>
      </c>
      <c r="W16" s="673">
        <f>VLOOKUP(C16,'Chấm công KT'!$C$13:$AK$92,35,0)</f>
        <v>3</v>
      </c>
      <c r="X16" s="674"/>
      <c r="Y16" s="673"/>
      <c r="Z16" s="673">
        <f>VLOOKUP(C16,'Chấm công KT'!$C$13:$AN$92,38,0)</f>
        <v>0</v>
      </c>
      <c r="AA16" s="673">
        <f>VLOOKUP(C16,'Chấm công KT'!$C$13:$AO$92,39,0)</f>
        <v>0</v>
      </c>
      <c r="AB16" s="260"/>
      <c r="AC16" s="261">
        <f t="shared" si="6"/>
        <v>59.2</v>
      </c>
      <c r="AD16" s="125" t="str">
        <f>VLOOKUP(C16,'BTH mủ tạp'!$C$17:$AL$160,36,0)</f>
        <v>C</v>
      </c>
      <c r="AE16" s="126"/>
      <c r="AF16" s="104"/>
      <c r="AG16" s="2">
        <v>46179</v>
      </c>
      <c r="AH16" s="86"/>
      <c r="AI16" s="99"/>
      <c r="AJ16" s="99"/>
      <c r="AK16" s="84"/>
      <c r="AL16" s="84"/>
      <c r="AM16" s="84"/>
      <c r="AN16" s="84"/>
      <c r="AO16" s="84"/>
    </row>
    <row r="17" spans="1:41" ht="18.75" customHeight="1">
      <c r="A17" s="219">
        <v>7</v>
      </c>
      <c r="B17" s="255" t="e">
        <f>'Chấm công KT'!D19</f>
        <v>#N/A</v>
      </c>
      <c r="C17" s="220" t="str">
        <f>'Chấm công KT'!C19</f>
        <v>T. Đèng 1</v>
      </c>
      <c r="D17" s="123" t="s">
        <v>39</v>
      </c>
      <c r="E17" s="265">
        <f t="shared" si="2"/>
        <v>3.2</v>
      </c>
      <c r="F17" s="1108">
        <f t="shared" si="3"/>
        <v>24</v>
      </c>
      <c r="G17" s="265"/>
      <c r="H17" s="265">
        <v>32</v>
      </c>
      <c r="I17" s="265"/>
      <c r="J17" s="256"/>
      <c r="K17" s="203"/>
      <c r="L17" s="203"/>
      <c r="M17" s="256"/>
      <c r="N17" s="256"/>
      <c r="O17" s="266"/>
      <c r="P17" s="124"/>
      <c r="Q17" s="257">
        <f t="shared" si="4"/>
        <v>59.2</v>
      </c>
      <c r="R17" s="730">
        <f>VLOOKUP(C17,'BTH mủ tạp'!$C$17:$AI$96,33,0)</f>
        <v>1441</v>
      </c>
      <c r="S17" s="256"/>
      <c r="T17" s="195">
        <f t="shared" si="7"/>
        <v>0</v>
      </c>
      <c r="U17" s="259">
        <f t="shared" si="5"/>
        <v>1441</v>
      </c>
      <c r="V17" s="673">
        <f>VLOOKUP(C17,'Chấm công KT'!$C$13:$AJ$92,34,0)</f>
        <v>27</v>
      </c>
      <c r="W17" s="673">
        <f>VLOOKUP(C17,'Chấm công KT'!$C$13:$AK$92,35,0)</f>
        <v>4</v>
      </c>
      <c r="X17" s="674"/>
      <c r="Y17" s="673"/>
      <c r="Z17" s="673">
        <f>VLOOKUP(C17,'Chấm công KT'!$C$13:$AN$92,38,0)</f>
        <v>0</v>
      </c>
      <c r="AA17" s="673">
        <f>VLOOKUP(C17,'Chấm công KT'!$C$13:$AO$92,39,0)</f>
        <v>0</v>
      </c>
      <c r="AB17" s="260"/>
      <c r="AC17" s="261">
        <f t="shared" si="6"/>
        <v>59.2</v>
      </c>
      <c r="AD17" s="125" t="str">
        <f>VLOOKUP(C17,'BTH mủ tạp'!$C$17:$AL$160,36,0)</f>
        <v>A</v>
      </c>
      <c r="AE17" s="126"/>
      <c r="AF17" s="113"/>
      <c r="AG17" s="99"/>
      <c r="AH17" s="108"/>
      <c r="AI17" s="109"/>
      <c r="AJ17" s="84"/>
      <c r="AK17" s="84"/>
      <c r="AL17" s="84"/>
      <c r="AM17" s="84"/>
      <c r="AN17" s="84"/>
      <c r="AO17" s="84"/>
    </row>
    <row r="18" spans="1:41" ht="18.75" customHeight="1">
      <c r="A18" s="123">
        <v>8</v>
      </c>
      <c r="B18" s="255" t="str">
        <f>'Chấm công KT'!D20</f>
        <v>03462</v>
      </c>
      <c r="C18" s="220" t="str">
        <f>'Chấm công KT'!C20</f>
        <v>T . Bua Ngân</v>
      </c>
      <c r="D18" s="123" t="s">
        <v>39</v>
      </c>
      <c r="E18" s="265">
        <f t="shared" si="2"/>
        <v>3.2</v>
      </c>
      <c r="F18" s="1108">
        <f t="shared" si="3"/>
        <v>24</v>
      </c>
      <c r="G18" s="265"/>
      <c r="H18" s="265">
        <v>32</v>
      </c>
      <c r="I18" s="265"/>
      <c r="J18" s="256"/>
      <c r="K18" s="203"/>
      <c r="L18" s="203"/>
      <c r="M18" s="256"/>
      <c r="N18" s="256"/>
      <c r="O18" s="266"/>
      <c r="P18" s="124"/>
      <c r="Q18" s="257">
        <f t="shared" si="4"/>
        <v>59.2</v>
      </c>
      <c r="R18" s="730">
        <f>VLOOKUP(C18,'BTH mủ tạp'!$C$17:$AI$96,33,0)</f>
        <v>1674</v>
      </c>
      <c r="S18" s="256"/>
      <c r="T18" s="195">
        <f t="shared" si="7"/>
        <v>0</v>
      </c>
      <c r="U18" s="259">
        <f t="shared" si="5"/>
        <v>1674</v>
      </c>
      <c r="V18" s="673">
        <f>VLOOKUP(C18,'Chấm công KT'!$C$13:$AJ$92,34,0)</f>
        <v>26</v>
      </c>
      <c r="W18" s="673">
        <f>VLOOKUP(C18,'Chấm công KT'!$C$13:$AK$92,35,0)</f>
        <v>3</v>
      </c>
      <c r="X18" s="674"/>
      <c r="Y18" s="673"/>
      <c r="Z18" s="673">
        <f>VLOOKUP(C18,'Chấm công KT'!$C$13:$AN$92,38,0)</f>
        <v>0</v>
      </c>
      <c r="AA18" s="673">
        <f>VLOOKUP(C18,'Chấm công KT'!$C$13:$AO$92,39,0)</f>
        <v>0</v>
      </c>
      <c r="AB18" s="260"/>
      <c r="AC18" s="261">
        <f t="shared" si="6"/>
        <v>59.2</v>
      </c>
      <c r="AD18" s="125" t="str">
        <f>VLOOKUP(C18,'BTH mủ tạp'!$C$17:$AL$160,36,0)</f>
        <v>A</v>
      </c>
      <c r="AE18" s="126"/>
      <c r="AF18" s="113"/>
      <c r="AG18" s="121"/>
      <c r="AH18" s="108"/>
      <c r="AI18" s="107">
        <f>1155.43-Q9</f>
        <v>-8036.4499999999898</v>
      </c>
      <c r="AJ18" s="84"/>
      <c r="AK18" s="84"/>
      <c r="AL18" s="84"/>
      <c r="AM18" s="84"/>
      <c r="AN18" s="84"/>
      <c r="AO18" s="84"/>
    </row>
    <row r="19" spans="1:41" ht="18.75" customHeight="1">
      <c r="A19" s="219">
        <v>9</v>
      </c>
      <c r="B19" s="255" t="str">
        <f>'Chấm công KT'!D21</f>
        <v>03463</v>
      </c>
      <c r="C19" s="220" t="str">
        <f>'Chấm công KT'!C21</f>
        <v>T Căng</v>
      </c>
      <c r="D19" s="123" t="s">
        <v>39</v>
      </c>
      <c r="E19" s="265">
        <f t="shared" si="2"/>
        <v>3.2</v>
      </c>
      <c r="F19" s="1108">
        <f t="shared" si="3"/>
        <v>24</v>
      </c>
      <c r="G19" s="265"/>
      <c r="H19" s="265">
        <v>32</v>
      </c>
      <c r="I19" s="265"/>
      <c r="J19" s="256"/>
      <c r="K19" s="203"/>
      <c r="L19" s="203"/>
      <c r="M19" s="256"/>
      <c r="N19" s="256"/>
      <c r="O19" s="266"/>
      <c r="P19" s="124"/>
      <c r="Q19" s="257">
        <f t="shared" si="4"/>
        <v>59.2</v>
      </c>
      <c r="R19" s="730">
        <f>VLOOKUP(C19,'BTH mủ tạp'!$C$17:$AI$96,33,0)</f>
        <v>2121</v>
      </c>
      <c r="S19" s="256"/>
      <c r="T19" s="195">
        <f t="shared" si="7"/>
        <v>0</v>
      </c>
      <c r="U19" s="259">
        <f t="shared" si="5"/>
        <v>2121</v>
      </c>
      <c r="V19" s="673">
        <f>VLOOKUP(C19,'Chấm công KT'!$C$13:$AJ$92,34,0)</f>
        <v>27</v>
      </c>
      <c r="W19" s="673">
        <f>VLOOKUP(C19,'Chấm công KT'!$C$13:$AK$92,35,0)</f>
        <v>3</v>
      </c>
      <c r="X19" s="674"/>
      <c r="Y19" s="673"/>
      <c r="Z19" s="673">
        <f>VLOOKUP(C19,'Chấm công KT'!$C$13:$AN$92,38,0)</f>
        <v>0</v>
      </c>
      <c r="AA19" s="673">
        <f>VLOOKUP(C19,'Chấm công KT'!$C$13:$AO$92,39,0)</f>
        <v>0</v>
      </c>
      <c r="AB19" s="260"/>
      <c r="AC19" s="261">
        <f t="shared" si="6"/>
        <v>59.2</v>
      </c>
      <c r="AD19" s="125" t="str">
        <f>VLOOKUP(C19,'BTH mủ tạp'!$C$17:$AL$160,36,0)</f>
        <v>B</v>
      </c>
      <c r="AE19" s="126"/>
      <c r="AF19" s="113"/>
      <c r="AG19" s="113"/>
      <c r="AH19" s="113"/>
      <c r="AI19" s="113"/>
      <c r="AJ19" s="84"/>
      <c r="AK19" s="84"/>
      <c r="AL19" s="84"/>
      <c r="AM19" s="84"/>
      <c r="AN19" s="84"/>
      <c r="AO19" s="84"/>
    </row>
    <row r="20" spans="1:41" ht="18.75" customHeight="1">
      <c r="A20" s="123">
        <v>10</v>
      </c>
      <c r="B20" s="255" t="str">
        <f>'Chấm công KT'!D22</f>
        <v>03464</v>
      </c>
      <c r="C20" s="220" t="str">
        <f>'Chấm công KT'!C22</f>
        <v>N. Phôn 1</v>
      </c>
      <c r="D20" s="123" t="s">
        <v>39</v>
      </c>
      <c r="E20" s="265">
        <f t="shared" si="2"/>
        <v>3.2</v>
      </c>
      <c r="F20" s="1108">
        <f t="shared" si="3"/>
        <v>24</v>
      </c>
      <c r="G20" s="265"/>
      <c r="H20" s="265">
        <v>32</v>
      </c>
      <c r="I20" s="265"/>
      <c r="J20" s="256"/>
      <c r="K20" s="203"/>
      <c r="L20" s="128"/>
      <c r="M20" s="128"/>
      <c r="N20" s="124"/>
      <c r="O20" s="124"/>
      <c r="P20" s="124"/>
      <c r="Q20" s="257">
        <f t="shared" si="4"/>
        <v>59.2</v>
      </c>
      <c r="R20" s="730">
        <f>VLOOKUP(C20,'BTH mủ tạp'!$C$17:$AI$96,33,0)</f>
        <v>2102</v>
      </c>
      <c r="S20" s="256"/>
      <c r="T20" s="195">
        <f t="shared" si="7"/>
        <v>0</v>
      </c>
      <c r="U20" s="259">
        <f t="shared" si="5"/>
        <v>2102</v>
      </c>
      <c r="V20" s="673">
        <f>VLOOKUP(C20,'Chấm công KT'!$C$13:$AJ$92,34,0)</f>
        <v>27</v>
      </c>
      <c r="W20" s="673">
        <f>VLOOKUP(C20,'Chấm công KT'!$C$13:$AK$92,35,0)</f>
        <v>3</v>
      </c>
      <c r="X20" s="674"/>
      <c r="Y20" s="673"/>
      <c r="Z20" s="673">
        <f>VLOOKUP(C20,'Chấm công KT'!$C$13:$AN$92,38,0)</f>
        <v>0</v>
      </c>
      <c r="AA20" s="673">
        <f>VLOOKUP(C20,'Chấm công KT'!$C$13:$AO$92,39,0)</f>
        <v>0</v>
      </c>
      <c r="AB20" s="260"/>
      <c r="AC20" s="261">
        <f t="shared" si="6"/>
        <v>59.2</v>
      </c>
      <c r="AD20" s="125" t="str">
        <f>VLOOKUP(C20,'BTH mủ tạp'!$C$17:$AL$160,36,0)</f>
        <v>A</v>
      </c>
      <c r="AE20" s="126"/>
      <c r="AF20" s="104"/>
      <c r="AG20" s="70">
        <f>Q9</f>
        <v>9191.8799999999901</v>
      </c>
      <c r="AH20" s="120"/>
      <c r="AI20" s="87"/>
      <c r="AJ20" s="84"/>
      <c r="AK20" s="84"/>
      <c r="AL20" s="84"/>
      <c r="AM20" s="84"/>
      <c r="AN20" s="84"/>
      <c r="AO20" s="84"/>
    </row>
    <row r="21" spans="1:41" ht="18.75" customHeight="1">
      <c r="A21" s="219">
        <v>11</v>
      </c>
      <c r="B21" s="255" t="str">
        <f>'Chấm công KT'!D23</f>
        <v>03465</v>
      </c>
      <c r="C21" s="220" t="str">
        <f>'Chấm công KT'!C23</f>
        <v>T. In Păn</v>
      </c>
      <c r="D21" s="123" t="s">
        <v>39</v>
      </c>
      <c r="E21" s="265">
        <f t="shared" si="2"/>
        <v>3.2</v>
      </c>
      <c r="F21" s="1108">
        <f t="shared" si="3"/>
        <v>24</v>
      </c>
      <c r="G21" s="265"/>
      <c r="H21" s="265">
        <v>32</v>
      </c>
      <c r="I21" s="265"/>
      <c r="J21" s="256"/>
      <c r="K21" s="203"/>
      <c r="L21" s="203"/>
      <c r="M21" s="256"/>
      <c r="N21" s="256"/>
      <c r="O21" s="266"/>
      <c r="P21" s="124"/>
      <c r="Q21" s="257">
        <f t="shared" si="4"/>
        <v>59.2</v>
      </c>
      <c r="R21" s="730">
        <f>VLOOKUP(C21,'BTH mủ tạp'!$C$17:$AI$96,33,0)</f>
        <v>1057</v>
      </c>
      <c r="S21" s="256"/>
      <c r="T21" s="195">
        <f t="shared" si="7"/>
        <v>0</v>
      </c>
      <c r="U21" s="259">
        <f t="shared" si="5"/>
        <v>1057</v>
      </c>
      <c r="V21" s="673">
        <f>VLOOKUP(C21,'Chấm công KT'!$C$13:$AJ$92,34,0)</f>
        <v>23</v>
      </c>
      <c r="W21" s="673">
        <f>VLOOKUP(C21,'Chấm công KT'!$C$13:$AK$92,35,0)</f>
        <v>4</v>
      </c>
      <c r="X21" s="674"/>
      <c r="Y21" s="673"/>
      <c r="Z21" s="673">
        <f>VLOOKUP(C21,'Chấm công KT'!$C$13:$AN$92,38,0)</f>
        <v>0</v>
      </c>
      <c r="AA21" s="673">
        <f>VLOOKUP(C21,'Chấm công KT'!$C$13:$AO$92,39,0)</f>
        <v>0</v>
      </c>
      <c r="AB21" s="260"/>
      <c r="AC21" s="261">
        <f t="shared" si="6"/>
        <v>59.2</v>
      </c>
      <c r="AD21" s="125" t="str">
        <f>VLOOKUP(C21,'BTH mủ tạp'!$C$17:$AL$160,36,0)</f>
        <v>A</v>
      </c>
      <c r="AE21" s="126"/>
      <c r="AF21" s="104"/>
      <c r="AG21" s="70">
        <f>AG20-2544.38</f>
        <v>6647.49999999999</v>
      </c>
      <c r="AH21" s="86"/>
      <c r="AI21" s="87"/>
      <c r="AJ21" s="84"/>
      <c r="AK21" s="84"/>
      <c r="AL21" s="84"/>
      <c r="AM21" s="84"/>
      <c r="AN21" s="84"/>
      <c r="AO21" s="84"/>
    </row>
    <row r="22" spans="1:41" ht="18.75" customHeight="1">
      <c r="A22" s="123">
        <v>12</v>
      </c>
      <c r="B22" s="255" t="str">
        <f>'Chấm công KT'!D24</f>
        <v>03466</v>
      </c>
      <c r="C22" s="220" t="str">
        <f>'Chấm công KT'!C24</f>
        <v>N. Keo</v>
      </c>
      <c r="D22" s="123" t="s">
        <v>39</v>
      </c>
      <c r="E22" s="265">
        <f t="shared" si="2"/>
        <v>3.2</v>
      </c>
      <c r="F22" s="1108">
        <f t="shared" si="3"/>
        <v>24</v>
      </c>
      <c r="G22" s="265"/>
      <c r="H22" s="265">
        <v>32</v>
      </c>
      <c r="I22" s="265"/>
      <c r="J22" s="256"/>
      <c r="K22" s="203"/>
      <c r="L22" s="128"/>
      <c r="M22" s="128"/>
      <c r="N22" s="124"/>
      <c r="O22" s="124"/>
      <c r="P22" s="124"/>
      <c r="Q22" s="257">
        <f t="shared" si="4"/>
        <v>59.2</v>
      </c>
      <c r="R22" s="730">
        <f>VLOOKUP(C22,'BTH mủ tạp'!$C$17:$AI$96,33,0)</f>
        <v>2025</v>
      </c>
      <c r="S22" s="256"/>
      <c r="T22" s="195">
        <f t="shared" si="7"/>
        <v>0</v>
      </c>
      <c r="U22" s="259">
        <f t="shared" si="5"/>
        <v>2025</v>
      </c>
      <c r="V22" s="673">
        <f>VLOOKUP(C22,'Chấm công KT'!$C$13:$AJ$92,34,0)</f>
        <v>26</v>
      </c>
      <c r="W22" s="673">
        <f>VLOOKUP(C22,'Chấm công KT'!$C$13:$AK$92,35,0)</f>
        <v>4</v>
      </c>
      <c r="X22" s="674"/>
      <c r="Y22" s="673"/>
      <c r="Z22" s="673">
        <f>VLOOKUP(C22,'Chấm công KT'!$C$13:$AN$92,38,0)</f>
        <v>0</v>
      </c>
      <c r="AA22" s="673">
        <f>VLOOKUP(C22,'Chấm công KT'!$C$13:$AO$92,39,0)</f>
        <v>0</v>
      </c>
      <c r="AB22" s="260"/>
      <c r="AC22" s="261">
        <f t="shared" si="6"/>
        <v>59.2</v>
      </c>
      <c r="AD22" s="125" t="str">
        <f>VLOOKUP(C22,'BTH mủ tạp'!$C$17:$AL$160,36,0)</f>
        <v>B</v>
      </c>
      <c r="AE22" s="126"/>
      <c r="AF22" s="104"/>
      <c r="AG22" s="49">
        <f>AG21-6.33</f>
        <v>6641.1699999999901</v>
      </c>
      <c r="AH22" s="86"/>
      <c r="AI22" s="87"/>
      <c r="AJ22" s="84"/>
      <c r="AK22" s="84"/>
      <c r="AL22" s="84"/>
      <c r="AM22" s="84"/>
      <c r="AN22" s="84"/>
      <c r="AO22" s="84"/>
    </row>
    <row r="23" spans="1:41" ht="18.75" customHeight="1">
      <c r="A23" s="219">
        <v>13</v>
      </c>
      <c r="B23" s="255" t="str">
        <f>'Chấm công KT'!D25</f>
        <v>02727</v>
      </c>
      <c r="C23" s="220" t="str">
        <f>'Chấm công KT'!C25</f>
        <v>T. Thong Đon</v>
      </c>
      <c r="D23" s="123" t="s">
        <v>39</v>
      </c>
      <c r="E23" s="265">
        <f t="shared" si="2"/>
        <v>3.2</v>
      </c>
      <c r="F23" s="1108">
        <f t="shared" si="3"/>
        <v>24</v>
      </c>
      <c r="G23" s="265"/>
      <c r="H23" s="265">
        <v>32</v>
      </c>
      <c r="I23" s="265"/>
      <c r="J23" s="256"/>
      <c r="K23" s="203"/>
      <c r="L23" s="203"/>
      <c r="M23" s="256"/>
      <c r="N23" s="256"/>
      <c r="O23" s="266"/>
      <c r="P23" s="124"/>
      <c r="Q23" s="257">
        <f t="shared" si="4"/>
        <v>59.2</v>
      </c>
      <c r="R23" s="730">
        <f>VLOOKUP(C23,'BTH mủ tạp'!$C$17:$AI$96,33,0)</f>
        <v>1825</v>
      </c>
      <c r="S23" s="256"/>
      <c r="T23" s="195">
        <f t="shared" si="7"/>
        <v>0</v>
      </c>
      <c r="U23" s="259">
        <f t="shared" si="5"/>
        <v>1825</v>
      </c>
      <c r="V23" s="673">
        <f>VLOOKUP(C23,'Chấm công KT'!$C$13:$AJ$92,34,0)</f>
        <v>24</v>
      </c>
      <c r="W23" s="673">
        <f>VLOOKUP(C23,'Chấm công KT'!$C$13:$AK$92,35,0)</f>
        <v>3</v>
      </c>
      <c r="X23" s="674"/>
      <c r="Y23" s="673"/>
      <c r="Z23" s="673">
        <f>VLOOKUP(C23,'Chấm công KT'!$C$13:$AN$92,38,0)</f>
        <v>0</v>
      </c>
      <c r="AA23" s="673">
        <f>VLOOKUP(C23,'Chấm công KT'!$C$13:$AO$92,39,0)</f>
        <v>0</v>
      </c>
      <c r="AB23" s="260"/>
      <c r="AC23" s="261">
        <f t="shared" si="6"/>
        <v>59.2</v>
      </c>
      <c r="AD23" s="125" t="str">
        <f>VLOOKUP(C23,'BTH mủ tạp'!$C$17:$AL$160,36,0)</f>
        <v>B</v>
      </c>
      <c r="AE23" s="126"/>
      <c r="AF23" s="104"/>
      <c r="AG23" s="49"/>
      <c r="AH23" s="86"/>
      <c r="AI23" s="87"/>
      <c r="AJ23" s="84"/>
      <c r="AK23" s="84"/>
      <c r="AL23" s="84"/>
      <c r="AM23" s="84"/>
      <c r="AN23" s="84"/>
      <c r="AO23" s="84"/>
    </row>
    <row r="24" spans="1:41" ht="18.75" customHeight="1">
      <c r="A24" s="123">
        <v>14</v>
      </c>
      <c r="B24" s="255" t="str">
        <f>'Chấm công KT'!D26</f>
        <v>03467</v>
      </c>
      <c r="C24" s="220" t="str">
        <f>'Chấm công KT'!C26</f>
        <v>T. Hin</v>
      </c>
      <c r="D24" s="123" t="s">
        <v>39</v>
      </c>
      <c r="E24" s="265">
        <f t="shared" si="2"/>
        <v>3.2</v>
      </c>
      <c r="F24" s="1108">
        <f t="shared" si="3"/>
        <v>24</v>
      </c>
      <c r="G24" s="265"/>
      <c r="H24" s="265">
        <v>32</v>
      </c>
      <c r="I24" s="265"/>
      <c r="J24" s="256"/>
      <c r="K24" s="203"/>
      <c r="L24" s="128"/>
      <c r="M24" s="128"/>
      <c r="N24" s="124"/>
      <c r="O24" s="124"/>
      <c r="P24" s="124"/>
      <c r="Q24" s="257">
        <f t="shared" si="4"/>
        <v>59.2</v>
      </c>
      <c r="R24" s="730">
        <f>VLOOKUP(C24,'BTH mủ tạp'!$C$17:$AI$96,33,0)</f>
        <v>1407</v>
      </c>
      <c r="S24" s="256"/>
      <c r="T24" s="195">
        <f t="shared" si="7"/>
        <v>0</v>
      </c>
      <c r="U24" s="259">
        <f t="shared" si="5"/>
        <v>1407</v>
      </c>
      <c r="V24" s="673">
        <f>VLOOKUP(C24,'Chấm công KT'!$C$13:$AJ$92,34,0)</f>
        <v>27</v>
      </c>
      <c r="W24" s="673">
        <f>VLOOKUP(C24,'Chấm công KT'!$C$13:$AK$92,35,0)</f>
        <v>4</v>
      </c>
      <c r="X24" s="674"/>
      <c r="Y24" s="673"/>
      <c r="Z24" s="673">
        <f>VLOOKUP(C24,'Chấm công KT'!$C$13:$AN$92,38,0)</f>
        <v>0</v>
      </c>
      <c r="AA24" s="673">
        <f>VLOOKUP(C24,'Chấm công KT'!$C$13:$AO$92,39,0)</f>
        <v>0</v>
      </c>
      <c r="AB24" s="260"/>
      <c r="AC24" s="261">
        <f t="shared" si="6"/>
        <v>59.2</v>
      </c>
      <c r="AD24" s="125" t="str">
        <f>VLOOKUP(C24,'BTH mủ tạp'!$C$17:$AL$160,36,0)</f>
        <v>A</v>
      </c>
      <c r="AE24" s="126"/>
      <c r="AF24" s="104"/>
      <c r="AH24" s="86"/>
      <c r="AI24" s="87"/>
      <c r="AJ24" s="84"/>
      <c r="AK24" s="84"/>
      <c r="AL24" s="84"/>
      <c r="AM24" s="84"/>
      <c r="AN24" s="84"/>
      <c r="AO24" s="84"/>
    </row>
    <row r="25" spans="1:41" ht="18.75" customHeight="1">
      <c r="A25" s="219">
        <v>15</v>
      </c>
      <c r="B25" s="255" t="e">
        <f>'Chấm công KT'!D27</f>
        <v>#N/A</v>
      </c>
      <c r="C25" s="220" t="str">
        <f>'Chấm công KT'!C27</f>
        <v>N. Ly Phon</v>
      </c>
      <c r="D25" s="123" t="s">
        <v>39</v>
      </c>
      <c r="E25" s="265">
        <f t="shared" si="2"/>
        <v>3.2</v>
      </c>
      <c r="F25" s="1108">
        <f t="shared" si="3"/>
        <v>24</v>
      </c>
      <c r="G25" s="265"/>
      <c r="H25" s="265">
        <v>32</v>
      </c>
      <c r="I25" s="265"/>
      <c r="J25" s="256"/>
      <c r="K25" s="203"/>
      <c r="L25" s="128"/>
      <c r="M25" s="128"/>
      <c r="N25" s="124"/>
      <c r="O25" s="124"/>
      <c r="P25" s="124"/>
      <c r="Q25" s="257">
        <f t="shared" si="4"/>
        <v>59.2</v>
      </c>
      <c r="R25" s="730">
        <f>VLOOKUP(C25,'BTH mủ tạp'!$C$17:$AI$96,33,0)</f>
        <v>1562</v>
      </c>
      <c r="S25" s="256"/>
      <c r="T25" s="195">
        <f t="shared" si="7"/>
        <v>0</v>
      </c>
      <c r="U25" s="259">
        <f t="shared" si="5"/>
        <v>1562</v>
      </c>
      <c r="V25" s="673">
        <f>VLOOKUP(C25,'Chấm công KT'!$C$13:$AJ$92,34,0)</f>
        <v>27</v>
      </c>
      <c r="W25" s="673">
        <f>VLOOKUP(C25,'Chấm công KT'!$C$13:$AK$92,35,0)</f>
        <v>4</v>
      </c>
      <c r="X25" s="674"/>
      <c r="Y25" s="673"/>
      <c r="Z25" s="673">
        <f>VLOOKUP(C25,'Chấm công KT'!$C$13:$AN$92,38,0)</f>
        <v>0</v>
      </c>
      <c r="AA25" s="673">
        <f>VLOOKUP(C25,'Chấm công KT'!$C$13:$AO$92,39,0)</f>
        <v>0</v>
      </c>
      <c r="AB25" s="260"/>
      <c r="AC25" s="261">
        <f t="shared" si="6"/>
        <v>59.2</v>
      </c>
      <c r="AD25" s="125" t="str">
        <f>VLOOKUP(C25,'BTH mủ tạp'!$C$17:$AL$160,36,0)</f>
        <v>A</v>
      </c>
      <c r="AE25" s="126"/>
      <c r="AF25" s="104"/>
      <c r="AH25" s="86"/>
      <c r="AI25" s="83"/>
      <c r="AJ25" s="84"/>
      <c r="AK25" s="84"/>
      <c r="AL25" s="84"/>
      <c r="AM25" s="84"/>
      <c r="AN25" s="84"/>
      <c r="AO25" s="84"/>
    </row>
    <row r="26" spans="1:41" ht="18.75" customHeight="1">
      <c r="A26" s="123">
        <v>16</v>
      </c>
      <c r="B26" s="255" t="str">
        <f>'Chấm công KT'!D28</f>
        <v>03469</v>
      </c>
      <c r="C26" s="220" t="str">
        <f>'Chấm công KT'!C28</f>
        <v>T. Xôm Va Nít</v>
      </c>
      <c r="D26" s="123" t="s">
        <v>39</v>
      </c>
      <c r="E26" s="265">
        <f t="shared" si="2"/>
        <v>3.2</v>
      </c>
      <c r="F26" s="1108">
        <f t="shared" si="3"/>
        <v>24</v>
      </c>
      <c r="G26" s="265"/>
      <c r="H26" s="265">
        <v>32</v>
      </c>
      <c r="I26" s="265"/>
      <c r="J26" s="256"/>
      <c r="K26" s="203"/>
      <c r="L26" s="128"/>
      <c r="M26" s="128"/>
      <c r="N26" s="124"/>
      <c r="O26" s="124"/>
      <c r="P26" s="124"/>
      <c r="Q26" s="257">
        <f t="shared" si="4"/>
        <v>59.2</v>
      </c>
      <c r="R26" s="730">
        <f>VLOOKUP(C26,'BTH mủ tạp'!$C$17:$AI$96,33,0)</f>
        <v>1985</v>
      </c>
      <c r="S26" s="256"/>
      <c r="T26" s="195">
        <f t="shared" si="7"/>
        <v>0</v>
      </c>
      <c r="U26" s="259">
        <f t="shared" si="5"/>
        <v>1985</v>
      </c>
      <c r="V26" s="673">
        <f>VLOOKUP(C26,'Chấm công KT'!$C$13:$AJ$92,34,0)</f>
        <v>26</v>
      </c>
      <c r="W26" s="673">
        <f>VLOOKUP(C26,'Chấm công KT'!$C$13:$AK$92,35,0)</f>
        <v>4</v>
      </c>
      <c r="X26" s="674"/>
      <c r="Y26" s="673"/>
      <c r="Z26" s="673">
        <f>VLOOKUP(C26,'Chấm công KT'!$C$13:$AN$92,38,0)</f>
        <v>0</v>
      </c>
      <c r="AA26" s="673">
        <f>VLOOKUP(C26,'Chấm công KT'!$C$13:$AO$92,39,0)</f>
        <v>0</v>
      </c>
      <c r="AB26" s="260"/>
      <c r="AC26" s="261">
        <f t="shared" si="6"/>
        <v>59.2</v>
      </c>
      <c r="AD26" s="125" t="str">
        <f>VLOOKUP(C26,'BTH mủ tạp'!$C$17:$AL$160,36,0)</f>
        <v>A</v>
      </c>
      <c r="AE26" s="126"/>
      <c r="AF26" s="104"/>
      <c r="AG26" s="86"/>
      <c r="AH26" s="86"/>
      <c r="AI26" s="83"/>
      <c r="AJ26" s="84"/>
      <c r="AK26" s="84"/>
      <c r="AL26" s="84"/>
      <c r="AM26" s="84"/>
      <c r="AN26" s="84"/>
      <c r="AO26" s="84"/>
    </row>
    <row r="27" spans="1:41" ht="18.75" customHeight="1">
      <c r="A27" s="219">
        <v>17</v>
      </c>
      <c r="B27" s="255" t="str">
        <f>'Chấm công KT'!D29</f>
        <v>03470</v>
      </c>
      <c r="C27" s="220" t="str">
        <f>'Chấm công KT'!C29</f>
        <v>T. Lọi</v>
      </c>
      <c r="D27" s="123" t="s">
        <v>39</v>
      </c>
      <c r="E27" s="265">
        <f t="shared" si="2"/>
        <v>3.2</v>
      </c>
      <c r="F27" s="1108">
        <f t="shared" si="3"/>
        <v>24</v>
      </c>
      <c r="G27" s="265"/>
      <c r="H27" s="265">
        <v>32</v>
      </c>
      <c r="I27" s="265"/>
      <c r="J27" s="256"/>
      <c r="K27" s="203"/>
      <c r="L27" s="128"/>
      <c r="M27" s="128"/>
      <c r="N27" s="124"/>
      <c r="O27" s="124"/>
      <c r="P27" s="124"/>
      <c r="Q27" s="257">
        <f t="shared" si="4"/>
        <v>59.2</v>
      </c>
      <c r="R27" s="730">
        <f>VLOOKUP(C27,'BTH mủ tạp'!$C$17:$AI$96,33,0)</f>
        <v>673</v>
      </c>
      <c r="S27" s="256"/>
      <c r="T27" s="195">
        <f t="shared" si="7"/>
        <v>0</v>
      </c>
      <c r="U27" s="259">
        <f t="shared" si="5"/>
        <v>673</v>
      </c>
      <c r="V27" s="673">
        <f>VLOOKUP(C27,'Chấm công KT'!$C$13:$AJ$92,34,0)</f>
        <v>20</v>
      </c>
      <c r="W27" s="673">
        <f>VLOOKUP(C27,'Chấm công KT'!$C$13:$AK$92,35,0)</f>
        <v>3</v>
      </c>
      <c r="X27" s="674"/>
      <c r="Y27" s="673"/>
      <c r="Z27" s="673">
        <f>VLOOKUP(C27,'Chấm công KT'!$C$13:$AN$92,38,0)</f>
        <v>0</v>
      </c>
      <c r="AA27" s="673">
        <f>VLOOKUP(C27,'Chấm công KT'!$C$13:$AO$92,39,0)</f>
        <v>0</v>
      </c>
      <c r="AB27" s="260"/>
      <c r="AC27" s="261">
        <f t="shared" si="6"/>
        <v>59.2</v>
      </c>
      <c r="AD27" s="125" t="str">
        <f>VLOOKUP(C27,'BTH mủ tạp'!$C$17:$AL$160,36,0)</f>
        <v>A</v>
      </c>
      <c r="AE27" s="126"/>
      <c r="AF27" s="104"/>
      <c r="AH27" s="86"/>
      <c r="AI27" s="83"/>
      <c r="AJ27" s="84"/>
      <c r="AK27" s="84"/>
      <c r="AL27" s="84"/>
      <c r="AM27" s="84"/>
      <c r="AN27" s="84"/>
      <c r="AO27" s="84"/>
    </row>
    <row r="28" spans="1:41" ht="18.75" customHeight="1">
      <c r="A28" s="123">
        <v>18</v>
      </c>
      <c r="B28" s="255" t="str">
        <f>'Chấm công KT'!D30</f>
        <v>03471</v>
      </c>
      <c r="C28" s="220" t="str">
        <f>'Chấm công KT'!C30</f>
        <v>T. Phô Thong</v>
      </c>
      <c r="D28" s="123" t="s">
        <v>39</v>
      </c>
      <c r="E28" s="265">
        <f t="shared" si="2"/>
        <v>3.2</v>
      </c>
      <c r="F28" s="1108">
        <f t="shared" si="3"/>
        <v>24</v>
      </c>
      <c r="G28" s="265"/>
      <c r="H28" s="265">
        <v>32</v>
      </c>
      <c r="I28" s="265"/>
      <c r="J28" s="256"/>
      <c r="K28" s="203"/>
      <c r="L28" s="128"/>
      <c r="M28" s="128"/>
      <c r="N28" s="124"/>
      <c r="O28" s="124"/>
      <c r="P28" s="124"/>
      <c r="Q28" s="257">
        <f t="shared" si="4"/>
        <v>59.2</v>
      </c>
      <c r="R28" s="730">
        <f>VLOOKUP(C28,'BTH mủ tạp'!$C$17:$AI$96,33,0)</f>
        <v>1929</v>
      </c>
      <c r="S28" s="256"/>
      <c r="T28" s="195">
        <f t="shared" si="7"/>
        <v>0</v>
      </c>
      <c r="U28" s="259">
        <f t="shared" si="5"/>
        <v>1929</v>
      </c>
      <c r="V28" s="673">
        <f>VLOOKUP(C28,'Chấm công KT'!$C$13:$AJ$92,34,0)</f>
        <v>27</v>
      </c>
      <c r="W28" s="673">
        <f>VLOOKUP(C28,'Chấm công KT'!$C$13:$AK$92,35,0)</f>
        <v>4</v>
      </c>
      <c r="X28" s="674"/>
      <c r="Y28" s="673"/>
      <c r="Z28" s="673">
        <f>VLOOKUP(C28,'Chấm công KT'!$C$13:$AN$92,38,0)</f>
        <v>0</v>
      </c>
      <c r="AA28" s="673">
        <f>VLOOKUP(C28,'Chấm công KT'!$C$13:$AO$92,39,0)</f>
        <v>0</v>
      </c>
      <c r="AB28" s="260"/>
      <c r="AC28" s="261">
        <f t="shared" si="6"/>
        <v>59.2</v>
      </c>
      <c r="AD28" s="125" t="str">
        <f>VLOOKUP(C28,'BTH mủ tạp'!$C$17:$AL$160,36,0)</f>
        <v>A</v>
      </c>
      <c r="AE28" s="126"/>
      <c r="AF28" s="104">
        <f>Q9-10084</f>
        <v>-892.1200000000099</v>
      </c>
      <c r="AH28" s="86"/>
      <c r="AI28" s="83"/>
      <c r="AJ28" s="84"/>
      <c r="AK28" s="84"/>
      <c r="AL28" s="84"/>
      <c r="AM28" s="84"/>
      <c r="AN28" s="84"/>
      <c r="AO28" s="84"/>
    </row>
    <row r="29" spans="1:41" ht="18.75" customHeight="1">
      <c r="A29" s="219">
        <v>19</v>
      </c>
      <c r="B29" s="255" t="str">
        <f>'Chấm công KT'!D31</f>
        <v>03472</v>
      </c>
      <c r="C29" s="220" t="str">
        <f>'Chấm công KT'!C31</f>
        <v>N. Soi</v>
      </c>
      <c r="D29" s="123" t="s">
        <v>39</v>
      </c>
      <c r="E29" s="265">
        <f t="shared" si="2"/>
        <v>3.2</v>
      </c>
      <c r="F29" s="1108">
        <f t="shared" si="3"/>
        <v>24</v>
      </c>
      <c r="G29" s="265"/>
      <c r="H29" s="265">
        <v>32</v>
      </c>
      <c r="I29" s="265"/>
      <c r="J29" s="256"/>
      <c r="K29" s="203"/>
      <c r="L29" s="203"/>
      <c r="M29" s="256"/>
      <c r="N29" s="256"/>
      <c r="O29" s="266"/>
      <c r="P29" s="124"/>
      <c r="Q29" s="257">
        <f t="shared" si="4"/>
        <v>59.2</v>
      </c>
      <c r="R29" s="730">
        <f>VLOOKUP(C29,'BTH mủ tạp'!$C$17:$AI$96,33,0)</f>
        <v>1261</v>
      </c>
      <c r="S29" s="256"/>
      <c r="T29" s="195">
        <f t="shared" si="7"/>
        <v>0</v>
      </c>
      <c r="U29" s="259">
        <f t="shared" si="5"/>
        <v>1261</v>
      </c>
      <c r="V29" s="673">
        <f>VLOOKUP(C29,'Chấm công KT'!$C$13:$AJ$92,34,0)</f>
        <v>27</v>
      </c>
      <c r="W29" s="673">
        <f>VLOOKUP(C29,'Chấm công KT'!$C$13:$AK$92,35,0)</f>
        <v>3</v>
      </c>
      <c r="X29" s="674"/>
      <c r="Y29" s="673"/>
      <c r="Z29" s="673">
        <f>VLOOKUP(C29,'Chấm công KT'!$C$13:$AN$92,38,0)</f>
        <v>0</v>
      </c>
      <c r="AA29" s="673">
        <f>VLOOKUP(C29,'Chấm công KT'!$C$13:$AO$92,39,0)</f>
        <v>0</v>
      </c>
      <c r="AB29" s="260"/>
      <c r="AC29" s="261">
        <f t="shared" si="6"/>
        <v>59.2</v>
      </c>
      <c r="AD29" s="125" t="str">
        <f>VLOOKUP(C29,'BTH mủ tạp'!$C$17:$AL$160,36,0)</f>
        <v>A</v>
      </c>
      <c r="AE29" s="126"/>
      <c r="AF29" s="104"/>
      <c r="AH29" s="86"/>
      <c r="AI29" s="83"/>
      <c r="AJ29" s="84"/>
      <c r="AK29" s="84"/>
      <c r="AL29" s="84"/>
      <c r="AM29" s="84"/>
      <c r="AN29" s="84"/>
      <c r="AO29" s="84"/>
    </row>
    <row r="30" spans="1:41" ht="18.75" customHeight="1">
      <c r="A30" s="123">
        <v>20</v>
      </c>
      <c r="B30" s="255" t="str">
        <f>'Chấm công KT'!D32</f>
        <v>03473</v>
      </c>
      <c r="C30" s="220" t="str">
        <f>'Chấm công KT'!C32</f>
        <v>N. Me Kha La</v>
      </c>
      <c r="D30" s="123" t="s">
        <v>39</v>
      </c>
      <c r="E30" s="265">
        <f t="shared" si="2"/>
        <v>3.2</v>
      </c>
      <c r="F30" s="1108">
        <f t="shared" si="3"/>
        <v>24</v>
      </c>
      <c r="G30" s="265"/>
      <c r="H30" s="265">
        <v>32</v>
      </c>
      <c r="I30" s="265"/>
      <c r="J30" s="256"/>
      <c r="K30" s="203"/>
      <c r="L30" s="203"/>
      <c r="M30" s="256"/>
      <c r="N30" s="256"/>
      <c r="O30" s="266"/>
      <c r="P30" s="124"/>
      <c r="Q30" s="257">
        <f t="shared" si="4"/>
        <v>59.2</v>
      </c>
      <c r="R30" s="730">
        <f>VLOOKUP(C30,'BTH mủ tạp'!$C$17:$AI$96,33,0)</f>
        <v>2186</v>
      </c>
      <c r="S30" s="256"/>
      <c r="T30" s="195">
        <f t="shared" si="7"/>
        <v>0</v>
      </c>
      <c r="U30" s="259">
        <f t="shared" si="5"/>
        <v>2186</v>
      </c>
      <c r="V30" s="673">
        <f>VLOOKUP(C30,'Chấm công KT'!$C$13:$AJ$92,34,0)</f>
        <v>26</v>
      </c>
      <c r="W30" s="673">
        <f>VLOOKUP(C30,'Chấm công KT'!$C$13:$AK$92,35,0)</f>
        <v>4</v>
      </c>
      <c r="X30" s="674"/>
      <c r="Y30" s="673"/>
      <c r="Z30" s="673">
        <f>VLOOKUP(C30,'Chấm công KT'!$C$13:$AN$92,38,0)</f>
        <v>0</v>
      </c>
      <c r="AA30" s="673">
        <f>VLOOKUP(C30,'Chấm công KT'!$C$13:$AO$92,39,0)</f>
        <v>0</v>
      </c>
      <c r="AB30" s="260"/>
      <c r="AC30" s="261">
        <f t="shared" si="6"/>
        <v>59.2</v>
      </c>
      <c r="AD30" s="125" t="str">
        <f>VLOOKUP(C30,'BTH mủ tạp'!$C$17:$AL$160,36,0)</f>
        <v>A</v>
      </c>
      <c r="AE30" s="126"/>
      <c r="AF30" s="104"/>
      <c r="AH30" s="86"/>
      <c r="AI30" s="83"/>
      <c r="AJ30" s="84"/>
      <c r="AK30" s="84"/>
      <c r="AL30" s="84"/>
      <c r="AM30" s="84"/>
      <c r="AN30" s="84"/>
      <c r="AO30" s="84"/>
    </row>
    <row r="31" spans="1:41" ht="18.75" customHeight="1">
      <c r="A31" s="219">
        <v>21</v>
      </c>
      <c r="B31" s="255" t="str">
        <f>'Chấm công KT'!D33</f>
        <v>03474</v>
      </c>
      <c r="C31" s="220" t="str">
        <f>'Chấm công KT'!C33</f>
        <v>N. Mon Khăm</v>
      </c>
      <c r="D31" s="123" t="s">
        <v>39</v>
      </c>
      <c r="E31" s="265">
        <f t="shared" si="2"/>
        <v>3.2</v>
      </c>
      <c r="F31" s="1108">
        <f t="shared" si="3"/>
        <v>24</v>
      </c>
      <c r="G31" s="265"/>
      <c r="H31" s="265">
        <v>32</v>
      </c>
      <c r="I31" s="265"/>
      <c r="J31" s="256"/>
      <c r="K31" s="203"/>
      <c r="L31" s="203"/>
      <c r="M31" s="256"/>
      <c r="N31" s="256"/>
      <c r="O31" s="266"/>
      <c r="P31" s="124"/>
      <c r="Q31" s="257">
        <f t="shared" si="4"/>
        <v>59.2</v>
      </c>
      <c r="R31" s="730">
        <f>VLOOKUP(C31,'BTH mủ tạp'!$C$17:$AI$96,33,0)</f>
        <v>1011</v>
      </c>
      <c r="S31" s="256"/>
      <c r="T31" s="195">
        <f t="shared" si="7"/>
        <v>0</v>
      </c>
      <c r="U31" s="259">
        <f t="shared" si="5"/>
        <v>1011</v>
      </c>
      <c r="V31" s="673">
        <f>VLOOKUP(C31,'Chấm công KT'!$C$13:$AJ$92,34,0)</f>
        <v>24</v>
      </c>
      <c r="W31" s="673">
        <f>VLOOKUP(C31,'Chấm công KT'!$C$13:$AK$92,35,0)</f>
        <v>4</v>
      </c>
      <c r="X31" s="674"/>
      <c r="Y31" s="673"/>
      <c r="Z31" s="673">
        <f>VLOOKUP(C31,'Chấm công KT'!$C$13:$AN$92,38,0)</f>
        <v>0</v>
      </c>
      <c r="AA31" s="673">
        <f>VLOOKUP(C31,'Chấm công KT'!$C$13:$AO$92,39,0)</f>
        <v>0</v>
      </c>
      <c r="AB31" s="260"/>
      <c r="AC31" s="261">
        <f t="shared" si="6"/>
        <v>59.2</v>
      </c>
      <c r="AD31" s="125" t="str">
        <f>VLOOKUP(C31,'BTH mủ tạp'!$C$17:$AL$160,36,0)</f>
        <v>A</v>
      </c>
      <c r="AE31" s="126"/>
      <c r="AF31" s="104"/>
      <c r="AH31" s="86"/>
      <c r="AI31" s="83"/>
      <c r="AJ31" s="84"/>
      <c r="AK31" s="84"/>
      <c r="AL31" s="84"/>
      <c r="AM31" s="84"/>
      <c r="AN31" s="84"/>
      <c r="AO31" s="84"/>
    </row>
    <row r="32" spans="1:41" ht="18.75" customHeight="1">
      <c r="A32" s="123">
        <v>22</v>
      </c>
      <c r="B32" s="255" t="e">
        <f>'Chấm công KT'!D34</f>
        <v>#N/A</v>
      </c>
      <c r="C32" s="220" t="str">
        <f>'Chấm công KT'!C34</f>
        <v>N. Bua Lay</v>
      </c>
      <c r="D32" s="123" t="s">
        <v>39</v>
      </c>
      <c r="E32" s="265">
        <f t="shared" si="2"/>
        <v>3.2</v>
      </c>
      <c r="F32" s="1108">
        <f t="shared" si="3"/>
        <v>24</v>
      </c>
      <c r="G32" s="265"/>
      <c r="H32" s="265">
        <v>32</v>
      </c>
      <c r="I32" s="265"/>
      <c r="J32" s="256"/>
      <c r="K32" s="203"/>
      <c r="L32" s="128"/>
      <c r="M32" s="256"/>
      <c r="N32" s="124"/>
      <c r="O32" s="124"/>
      <c r="P32" s="124"/>
      <c r="Q32" s="257">
        <f t="shared" si="4"/>
        <v>59.2</v>
      </c>
      <c r="R32" s="730">
        <f>VLOOKUP(C32,'BTH mủ tạp'!$C$17:$AI$96,33,0)</f>
        <v>1305</v>
      </c>
      <c r="S32" s="256"/>
      <c r="T32" s="195">
        <f t="shared" si="7"/>
        <v>0</v>
      </c>
      <c r="U32" s="259">
        <f t="shared" si="5"/>
        <v>1305</v>
      </c>
      <c r="V32" s="673">
        <f>VLOOKUP(C32,'Chấm công KT'!$C$13:$AJ$92,34,0)</f>
        <v>23</v>
      </c>
      <c r="W32" s="673">
        <f>VLOOKUP(C32,'Chấm công KT'!$C$13:$AK$92,35,0)</f>
        <v>4</v>
      </c>
      <c r="X32" s="674"/>
      <c r="Y32" s="673"/>
      <c r="Z32" s="673">
        <f>VLOOKUP(C32,'Chấm công KT'!$C$13:$AN$92,38,0)</f>
        <v>0</v>
      </c>
      <c r="AA32" s="673">
        <f>VLOOKUP(C32,'Chấm công KT'!$C$13:$AO$92,39,0)</f>
        <v>0</v>
      </c>
      <c r="AB32" s="260"/>
      <c r="AC32" s="261">
        <f t="shared" si="6"/>
        <v>59.2</v>
      </c>
      <c r="AD32" s="125" t="str">
        <f>VLOOKUP(C32,'BTH mủ tạp'!$C$17:$AL$160,36,0)</f>
        <v>B</v>
      </c>
      <c r="AE32" s="126"/>
      <c r="AF32" s="104"/>
      <c r="AH32" s="86"/>
      <c r="AI32" s="83"/>
      <c r="AJ32" s="84"/>
      <c r="AK32" s="84"/>
      <c r="AL32" s="84"/>
      <c r="AM32" s="84"/>
      <c r="AN32" s="84"/>
      <c r="AO32" s="84"/>
    </row>
    <row r="33" spans="1:41" ht="18.75" customHeight="1">
      <c r="A33" s="219">
        <v>23</v>
      </c>
      <c r="B33" s="255" t="str">
        <f>'Chấm công KT'!D35</f>
        <v>03476</v>
      </c>
      <c r="C33" s="220" t="str">
        <f>'Chấm công KT'!C35</f>
        <v>T. Bin Ly.</v>
      </c>
      <c r="D33" s="123" t="s">
        <v>39</v>
      </c>
      <c r="E33" s="265">
        <f t="shared" si="2"/>
        <v>3.2</v>
      </c>
      <c r="F33" s="1108">
        <f t="shared" si="3"/>
        <v>24</v>
      </c>
      <c r="G33" s="265"/>
      <c r="H33" s="265">
        <v>32</v>
      </c>
      <c r="I33" s="265"/>
      <c r="J33" s="256"/>
      <c r="K33" s="203"/>
      <c r="L33" s="203"/>
      <c r="M33" s="256"/>
      <c r="N33" s="256"/>
      <c r="O33" s="266"/>
      <c r="P33" s="124"/>
      <c r="Q33" s="257">
        <f t="shared" si="4"/>
        <v>59.2</v>
      </c>
      <c r="R33" s="730">
        <f>VLOOKUP(C33,'BTH mủ tạp'!$C$17:$AI$96,33,0)</f>
        <v>1795</v>
      </c>
      <c r="S33" s="256"/>
      <c r="T33" s="195">
        <f t="shared" si="7"/>
        <v>0</v>
      </c>
      <c r="U33" s="259">
        <f t="shared" si="5"/>
        <v>1795</v>
      </c>
      <c r="V33" s="673">
        <f>VLOOKUP(C33,'Chấm công KT'!$C$13:$AJ$92,34,0)</f>
        <v>27</v>
      </c>
      <c r="W33" s="673">
        <f>VLOOKUP(C33,'Chấm công KT'!$C$13:$AK$92,35,0)</f>
        <v>4</v>
      </c>
      <c r="X33" s="674"/>
      <c r="Y33" s="673"/>
      <c r="Z33" s="673">
        <f>VLOOKUP(C33,'Chấm công KT'!$C$13:$AN$92,38,0)</f>
        <v>0</v>
      </c>
      <c r="AA33" s="673">
        <f>VLOOKUP(C33,'Chấm công KT'!$C$13:$AO$92,39,0)</f>
        <v>0</v>
      </c>
      <c r="AB33" s="260"/>
      <c r="AC33" s="261">
        <f t="shared" si="6"/>
        <v>59.2</v>
      </c>
      <c r="AD33" s="125" t="str">
        <f>VLOOKUP(C33,'BTH mủ tạp'!$C$17:$AL$160,36,0)</f>
        <v>A</v>
      </c>
      <c r="AE33" s="126"/>
      <c r="AF33" s="104"/>
      <c r="AH33" s="86"/>
      <c r="AI33" s="83"/>
      <c r="AJ33" s="84"/>
      <c r="AK33" s="84"/>
      <c r="AL33" s="84"/>
      <c r="AM33" s="84"/>
      <c r="AN33" s="84"/>
      <c r="AO33" s="84"/>
    </row>
    <row r="34" spans="1:41" ht="18.75" customHeight="1">
      <c r="A34" s="123">
        <v>24</v>
      </c>
      <c r="B34" s="255" t="str">
        <f>'Chấm công KT'!D36</f>
        <v>03477</v>
      </c>
      <c r="C34" s="220" t="str">
        <f>'Chấm công KT'!C36</f>
        <v>N. Phim Phon.</v>
      </c>
      <c r="D34" s="123" t="s">
        <v>39</v>
      </c>
      <c r="E34" s="265">
        <f t="shared" si="2"/>
        <v>3.2</v>
      </c>
      <c r="F34" s="1108">
        <f t="shared" si="3"/>
        <v>24</v>
      </c>
      <c r="G34" s="265"/>
      <c r="H34" s="265">
        <v>32</v>
      </c>
      <c r="I34" s="265"/>
      <c r="J34" s="256"/>
      <c r="K34" s="203"/>
      <c r="L34" s="203"/>
      <c r="M34" s="256"/>
      <c r="N34" s="256"/>
      <c r="O34" s="266"/>
      <c r="P34" s="124"/>
      <c r="Q34" s="257">
        <f t="shared" si="4"/>
        <v>59.2</v>
      </c>
      <c r="R34" s="730">
        <f>VLOOKUP(C34,'BTH mủ tạp'!$C$17:$AI$96,33,0)</f>
        <v>1083</v>
      </c>
      <c r="S34" s="256"/>
      <c r="T34" s="195">
        <f t="shared" si="7"/>
        <v>0</v>
      </c>
      <c r="U34" s="259">
        <f t="shared" si="5"/>
        <v>1083</v>
      </c>
      <c r="V34" s="673">
        <f>VLOOKUP(C34,'Chấm công KT'!$C$13:$AJ$92,34,0)</f>
        <v>23</v>
      </c>
      <c r="W34" s="673">
        <f>VLOOKUP(C34,'Chấm công KT'!$C$13:$AK$92,35,0)</f>
        <v>3</v>
      </c>
      <c r="X34" s="674"/>
      <c r="Y34" s="673"/>
      <c r="Z34" s="673">
        <f>VLOOKUP(C34,'Chấm công KT'!$C$13:$AN$92,38,0)</f>
        <v>0</v>
      </c>
      <c r="AA34" s="673">
        <f>VLOOKUP(C34,'Chấm công KT'!$C$13:$AO$92,39,0)</f>
        <v>0</v>
      </c>
      <c r="AB34" s="260"/>
      <c r="AC34" s="261">
        <f t="shared" si="6"/>
        <v>59.2</v>
      </c>
      <c r="AD34" s="125" t="str">
        <f>VLOOKUP(C34,'BTH mủ tạp'!$C$17:$AL$160,36,0)</f>
        <v>B</v>
      </c>
      <c r="AE34" s="126"/>
      <c r="AF34" s="104"/>
      <c r="AH34" s="86"/>
      <c r="AI34" s="83"/>
      <c r="AJ34" s="84"/>
      <c r="AK34" s="84"/>
      <c r="AL34" s="84"/>
      <c r="AM34" s="84"/>
      <c r="AN34" s="84"/>
      <c r="AO34" s="84"/>
    </row>
    <row r="35" spans="1:41" ht="18.75" customHeight="1">
      <c r="A35" s="219">
        <v>25</v>
      </c>
      <c r="B35" s="255" t="str">
        <f>'Chấm công KT'!D37</f>
        <v>03478</v>
      </c>
      <c r="C35" s="220" t="str">
        <f>'Chấm công KT'!C37</f>
        <v>N. Nong</v>
      </c>
      <c r="D35" s="123" t="s">
        <v>39</v>
      </c>
      <c r="E35" s="265">
        <f t="shared" si="2"/>
        <v>3.2</v>
      </c>
      <c r="F35" s="1108">
        <f t="shared" si="3"/>
        <v>24</v>
      </c>
      <c r="G35" s="265"/>
      <c r="H35" s="265">
        <v>32</v>
      </c>
      <c r="I35" s="265"/>
      <c r="J35" s="256"/>
      <c r="K35" s="203"/>
      <c r="L35" s="128"/>
      <c r="M35" s="128"/>
      <c r="N35" s="124"/>
      <c r="O35" s="124"/>
      <c r="P35" s="124"/>
      <c r="Q35" s="257">
        <f t="shared" si="4"/>
        <v>59.2</v>
      </c>
      <c r="R35" s="730">
        <f>VLOOKUP(C35,'BTH mủ tạp'!$C$17:$AI$96,33,0)</f>
        <v>1798</v>
      </c>
      <c r="S35" s="256"/>
      <c r="T35" s="195">
        <f t="shared" si="7"/>
        <v>0</v>
      </c>
      <c r="U35" s="259">
        <f t="shared" si="5"/>
        <v>1798</v>
      </c>
      <c r="V35" s="673">
        <f>VLOOKUP(C35,'Chấm công KT'!$C$13:$AJ$92,34,0)</f>
        <v>27</v>
      </c>
      <c r="W35" s="673">
        <f>VLOOKUP(C35,'Chấm công KT'!$C$13:$AK$92,35,0)</f>
        <v>3</v>
      </c>
      <c r="X35" s="674"/>
      <c r="Y35" s="673"/>
      <c r="Z35" s="673">
        <f>VLOOKUP(C35,'Chấm công KT'!$C$13:$AN$92,38,0)</f>
        <v>0</v>
      </c>
      <c r="AA35" s="673">
        <f>VLOOKUP(C35,'Chấm công KT'!$C$13:$AO$92,39,0)</f>
        <v>0</v>
      </c>
      <c r="AB35" s="260"/>
      <c r="AC35" s="261">
        <f t="shared" si="6"/>
        <v>59.2</v>
      </c>
      <c r="AD35" s="125" t="str">
        <f>VLOOKUP(C35,'BTH mủ tạp'!$C$17:$AL$160,36,0)</f>
        <v>A</v>
      </c>
      <c r="AE35" s="126"/>
      <c r="AF35" s="104"/>
      <c r="AH35" s="86"/>
      <c r="AI35" s="83"/>
      <c r="AJ35" s="84"/>
      <c r="AK35" s="84"/>
      <c r="AL35" s="84"/>
      <c r="AM35" s="84"/>
      <c r="AN35" s="84"/>
      <c r="AO35" s="84"/>
    </row>
    <row r="36" spans="1:41" ht="18.75" customHeight="1">
      <c r="A36" s="123">
        <v>26</v>
      </c>
      <c r="B36" s="255" t="str">
        <f>'Chấm công KT'!D38</f>
        <v>03479</v>
      </c>
      <c r="C36" s="220" t="str">
        <f>'Chấm công KT'!C38</f>
        <v>N. Tun 1</v>
      </c>
      <c r="D36" s="123" t="s">
        <v>39</v>
      </c>
      <c r="E36" s="265">
        <f t="shared" si="2"/>
        <v>3.2</v>
      </c>
      <c r="F36" s="1108">
        <f t="shared" si="3"/>
        <v>24</v>
      </c>
      <c r="G36" s="265"/>
      <c r="H36" s="265">
        <v>32</v>
      </c>
      <c r="I36" s="265"/>
      <c r="J36" s="256"/>
      <c r="K36" s="203"/>
      <c r="L36" s="128"/>
      <c r="M36" s="128"/>
      <c r="N36" s="124"/>
      <c r="O36" s="124"/>
      <c r="P36" s="124"/>
      <c r="Q36" s="257">
        <f t="shared" si="4"/>
        <v>59.2</v>
      </c>
      <c r="R36" s="730">
        <f>VLOOKUP(C36,'BTH mủ tạp'!$C$17:$AI$96,33,0)</f>
        <v>1356</v>
      </c>
      <c r="S36" s="256"/>
      <c r="T36" s="195">
        <f t="shared" si="7"/>
        <v>0</v>
      </c>
      <c r="U36" s="259">
        <f t="shared" si="5"/>
        <v>1356</v>
      </c>
      <c r="V36" s="673">
        <f>VLOOKUP(C36,'Chấm công KT'!$C$13:$AJ$92,34,0)</f>
        <v>26</v>
      </c>
      <c r="W36" s="673">
        <f>VLOOKUP(C36,'Chấm công KT'!$C$13:$AK$92,35,0)</f>
        <v>4</v>
      </c>
      <c r="X36" s="674"/>
      <c r="Y36" s="673"/>
      <c r="Z36" s="673">
        <f>VLOOKUP(C36,'Chấm công KT'!$C$13:$AN$92,38,0)</f>
        <v>0</v>
      </c>
      <c r="AA36" s="673">
        <f>VLOOKUP(C36,'Chấm công KT'!$C$13:$AO$92,39,0)</f>
        <v>0</v>
      </c>
      <c r="AB36" s="260"/>
      <c r="AC36" s="261">
        <f t="shared" si="6"/>
        <v>59.2</v>
      </c>
      <c r="AD36" s="125" t="str">
        <f>VLOOKUP(C36,'BTH mủ tạp'!$C$17:$AL$160,36,0)</f>
        <v>A</v>
      </c>
      <c r="AE36" s="126"/>
      <c r="AF36" s="104"/>
      <c r="AH36" s="86"/>
      <c r="AI36" s="83"/>
      <c r="AJ36" s="84"/>
      <c r="AK36" s="84"/>
      <c r="AL36" s="84"/>
      <c r="AM36" s="84"/>
      <c r="AN36" s="84"/>
      <c r="AO36" s="84"/>
    </row>
    <row r="37" spans="1:41" ht="18.75" customHeight="1">
      <c r="A37" s="219">
        <v>27</v>
      </c>
      <c r="B37" s="255" t="str">
        <f>'Chấm công KT'!D39</f>
        <v>03480</v>
      </c>
      <c r="C37" s="220" t="str">
        <f>'Chấm công KT'!C39</f>
        <v>T . Lốc</v>
      </c>
      <c r="D37" s="123" t="s">
        <v>39</v>
      </c>
      <c r="E37" s="265">
        <f t="shared" si="2"/>
        <v>3.2</v>
      </c>
      <c r="F37" s="1108">
        <f t="shared" si="3"/>
        <v>24</v>
      </c>
      <c r="G37" s="265"/>
      <c r="H37" s="265">
        <v>32</v>
      </c>
      <c r="I37" s="265"/>
      <c r="J37" s="256"/>
      <c r="K37" s="203"/>
      <c r="L37" s="128"/>
      <c r="M37" s="128"/>
      <c r="N37" s="124"/>
      <c r="O37" s="124"/>
      <c r="P37" s="124"/>
      <c r="Q37" s="257">
        <f t="shared" si="4"/>
        <v>59.2</v>
      </c>
      <c r="R37" s="730">
        <f>VLOOKUP(C37,'BTH mủ tạp'!$C$17:$AI$96,33,0)</f>
        <v>1357</v>
      </c>
      <c r="S37" s="256"/>
      <c r="T37" s="195">
        <f t="shared" si="7"/>
        <v>0</v>
      </c>
      <c r="U37" s="259">
        <f t="shared" si="5"/>
        <v>1357</v>
      </c>
      <c r="V37" s="673">
        <f>VLOOKUP(C37,'Chấm công KT'!$C$13:$AJ$92,34,0)</f>
        <v>26</v>
      </c>
      <c r="W37" s="673">
        <f>VLOOKUP(C37,'Chấm công KT'!$C$13:$AK$92,35,0)</f>
        <v>4</v>
      </c>
      <c r="X37" s="674"/>
      <c r="Y37" s="673"/>
      <c r="Z37" s="673">
        <f>VLOOKUP(C37,'Chấm công KT'!$C$13:$AN$92,38,0)</f>
        <v>0</v>
      </c>
      <c r="AA37" s="673">
        <f>VLOOKUP(C37,'Chấm công KT'!$C$13:$AO$92,39,0)</f>
        <v>0</v>
      </c>
      <c r="AB37" s="260"/>
      <c r="AC37" s="261">
        <f t="shared" si="6"/>
        <v>59.2</v>
      </c>
      <c r="AD37" s="125" t="str">
        <f>VLOOKUP(C37,'BTH mủ tạp'!$C$17:$AL$160,36,0)</f>
        <v>B</v>
      </c>
      <c r="AE37" s="126"/>
      <c r="AF37" s="104"/>
      <c r="AH37" s="86"/>
      <c r="AI37" s="83"/>
      <c r="AJ37" s="84"/>
      <c r="AK37" s="84"/>
      <c r="AL37" s="84"/>
      <c r="AM37" s="84"/>
      <c r="AN37" s="84"/>
      <c r="AO37" s="84"/>
    </row>
    <row r="38" spans="1:41" ht="18.75" customHeight="1">
      <c r="A38" s="123">
        <v>28</v>
      </c>
      <c r="B38" s="255" t="str">
        <f>'Chấm công KT'!D40</f>
        <v>03481</v>
      </c>
      <c r="C38" s="220" t="str">
        <f>'Chấm công KT'!C40</f>
        <v>N . Khâm (1)</v>
      </c>
      <c r="D38" s="123" t="s">
        <v>39</v>
      </c>
      <c r="E38" s="265">
        <f t="shared" si="2"/>
        <v>3.2</v>
      </c>
      <c r="F38" s="1108">
        <f t="shared" si="3"/>
        <v>24</v>
      </c>
      <c r="G38" s="265"/>
      <c r="H38" s="265">
        <v>32</v>
      </c>
      <c r="I38" s="265"/>
      <c r="J38" s="256"/>
      <c r="K38" s="203"/>
      <c r="L38" s="128"/>
      <c r="M38" s="128"/>
      <c r="N38" s="124"/>
      <c r="O38" s="124"/>
      <c r="P38" s="124"/>
      <c r="Q38" s="257">
        <f t="shared" si="4"/>
        <v>59.2</v>
      </c>
      <c r="R38" s="730">
        <f>VLOOKUP(C38,'BTH mủ tạp'!$C$17:$AI$96,33,0)</f>
        <v>1772</v>
      </c>
      <c r="S38" s="256"/>
      <c r="T38" s="195">
        <f t="shared" si="7"/>
        <v>0</v>
      </c>
      <c r="U38" s="259">
        <f t="shared" si="5"/>
        <v>1772</v>
      </c>
      <c r="V38" s="673">
        <f>VLOOKUP(C38,'Chấm công KT'!$C$13:$AJ$92,34,0)</f>
        <v>24</v>
      </c>
      <c r="W38" s="673">
        <f>VLOOKUP(C38,'Chấm công KT'!$C$13:$AK$92,35,0)</f>
        <v>4</v>
      </c>
      <c r="X38" s="674"/>
      <c r="Y38" s="673"/>
      <c r="Z38" s="673">
        <f>VLOOKUP(C38,'Chấm công KT'!$C$13:$AN$92,38,0)</f>
        <v>0</v>
      </c>
      <c r="AA38" s="673">
        <f>VLOOKUP(C38,'Chấm công KT'!$C$13:$AO$92,39,0)</f>
        <v>0</v>
      </c>
      <c r="AB38" s="260"/>
      <c r="AC38" s="261">
        <f t="shared" si="6"/>
        <v>59.2</v>
      </c>
      <c r="AD38" s="125" t="str">
        <f>VLOOKUP(C38,'BTH mủ tạp'!$C$17:$AL$160,36,0)</f>
        <v>A</v>
      </c>
      <c r="AE38" s="126"/>
      <c r="AF38" s="104"/>
      <c r="AH38" s="86"/>
      <c r="AI38" s="83"/>
      <c r="AJ38" s="84"/>
      <c r="AK38" s="84"/>
      <c r="AL38" s="84"/>
      <c r="AM38" s="84"/>
      <c r="AN38" s="84"/>
      <c r="AO38" s="84"/>
    </row>
    <row r="39" spans="1:41" ht="18.75" customHeight="1">
      <c r="A39" s="219">
        <v>29</v>
      </c>
      <c r="B39" s="255" t="str">
        <f>'Chấm công KT'!D41</f>
        <v>03482</v>
      </c>
      <c r="C39" s="220" t="str">
        <f>'Chấm công KT'!C41</f>
        <v>T . Phết</v>
      </c>
      <c r="D39" s="123" t="s">
        <v>39</v>
      </c>
      <c r="E39" s="265">
        <f t="shared" si="2"/>
        <v>3.2</v>
      </c>
      <c r="F39" s="1108">
        <f t="shared" si="3"/>
        <v>24</v>
      </c>
      <c r="G39" s="265"/>
      <c r="H39" s="265">
        <v>32</v>
      </c>
      <c r="I39" s="265"/>
      <c r="J39" s="256"/>
      <c r="K39" s="203"/>
      <c r="L39" s="128"/>
      <c r="M39" s="128"/>
      <c r="N39" s="124"/>
      <c r="O39" s="124"/>
      <c r="P39" s="124"/>
      <c r="Q39" s="257">
        <f t="shared" si="4"/>
        <v>59.2</v>
      </c>
      <c r="R39" s="730">
        <f>VLOOKUP(C39,'BTH mủ tạp'!$C$17:$AI$96,33,0)</f>
        <v>1753</v>
      </c>
      <c r="S39" s="256"/>
      <c r="T39" s="195">
        <f t="shared" si="7"/>
        <v>0</v>
      </c>
      <c r="U39" s="259">
        <f t="shared" si="5"/>
        <v>1753</v>
      </c>
      <c r="V39" s="673">
        <f>VLOOKUP(C39,'Chấm công KT'!$C$13:$AJ$92,34,0)</f>
        <v>24</v>
      </c>
      <c r="W39" s="673">
        <f>VLOOKUP(C39,'Chấm công KT'!$C$13:$AK$92,35,0)</f>
        <v>4</v>
      </c>
      <c r="X39" s="674"/>
      <c r="Y39" s="673"/>
      <c r="Z39" s="673">
        <f>VLOOKUP(C39,'Chấm công KT'!$C$13:$AN$92,38,0)</f>
        <v>0</v>
      </c>
      <c r="AA39" s="673">
        <f>VLOOKUP(C39,'Chấm công KT'!$C$13:$AO$92,39,0)</f>
        <v>0</v>
      </c>
      <c r="AB39" s="260"/>
      <c r="AC39" s="261">
        <f t="shared" si="6"/>
        <v>59.2</v>
      </c>
      <c r="AD39" s="125" t="str">
        <f>VLOOKUP(C39,'BTH mủ tạp'!$C$17:$AL$160,36,0)</f>
        <v>A</v>
      </c>
      <c r="AE39" s="126"/>
      <c r="AF39" s="104"/>
      <c r="AH39" s="86"/>
      <c r="AI39" s="83"/>
      <c r="AJ39" s="84"/>
      <c r="AK39" s="84"/>
      <c r="AL39" s="84"/>
      <c r="AM39" s="84"/>
      <c r="AN39" s="84"/>
      <c r="AO39" s="84"/>
    </row>
    <row r="40" spans="1:41" ht="18.75" customHeight="1">
      <c r="A40" s="123">
        <v>30</v>
      </c>
      <c r="B40" s="255" t="str">
        <f>'Chấm công KT'!D42</f>
        <v>03483</v>
      </c>
      <c r="C40" s="220" t="str">
        <f>'Chấm công KT'!C42</f>
        <v>T. Viêng Sa Văn</v>
      </c>
      <c r="D40" s="123" t="s">
        <v>39</v>
      </c>
      <c r="E40" s="265">
        <f t="shared" si="2"/>
        <v>3.2</v>
      </c>
      <c r="F40" s="1108">
        <f t="shared" si="3"/>
        <v>24</v>
      </c>
      <c r="G40" s="265"/>
      <c r="H40" s="265">
        <v>32</v>
      </c>
      <c r="I40" s="265"/>
      <c r="J40" s="256"/>
      <c r="K40" s="203"/>
      <c r="L40" s="203"/>
      <c r="M40" s="256"/>
      <c r="N40" s="256"/>
      <c r="O40" s="266"/>
      <c r="P40" s="124"/>
      <c r="Q40" s="257">
        <f t="shared" si="4"/>
        <v>59.2</v>
      </c>
      <c r="R40" s="730">
        <f>VLOOKUP(C40,'BTH mủ tạp'!$C$17:$AI$96,33,0)</f>
        <v>2002</v>
      </c>
      <c r="S40" s="256"/>
      <c r="T40" s="195">
        <f t="shared" si="7"/>
        <v>0</v>
      </c>
      <c r="U40" s="259">
        <f t="shared" si="5"/>
        <v>2002</v>
      </c>
      <c r="V40" s="673">
        <f>VLOOKUP(C40,'Chấm công KT'!$C$13:$AJ$92,34,0)</f>
        <v>25</v>
      </c>
      <c r="W40" s="673">
        <f>VLOOKUP(C40,'Chấm công KT'!$C$13:$AK$92,35,0)</f>
        <v>4</v>
      </c>
      <c r="X40" s="674"/>
      <c r="Y40" s="673"/>
      <c r="Z40" s="673">
        <f>VLOOKUP(C40,'Chấm công KT'!$C$13:$AN$92,38,0)</f>
        <v>0</v>
      </c>
      <c r="AA40" s="673">
        <f>VLOOKUP(C40,'Chấm công KT'!$C$13:$AO$92,39,0)</f>
        <v>0</v>
      </c>
      <c r="AB40" s="260"/>
      <c r="AC40" s="261">
        <f t="shared" si="6"/>
        <v>59.2</v>
      </c>
      <c r="AD40" s="125" t="str">
        <f>VLOOKUP(C40,'BTH mủ tạp'!$C$17:$AL$160,36,0)</f>
        <v>A</v>
      </c>
      <c r="AE40" s="126"/>
      <c r="AF40" s="104"/>
      <c r="AH40" s="86"/>
      <c r="AI40" s="83"/>
      <c r="AJ40" s="84"/>
      <c r="AK40" s="84"/>
      <c r="AL40" s="84"/>
      <c r="AM40" s="84"/>
      <c r="AN40" s="84"/>
      <c r="AO40" s="84"/>
    </row>
    <row r="41" spans="1:41" ht="18.75" customHeight="1">
      <c r="A41" s="219">
        <v>31</v>
      </c>
      <c r="B41" s="255" t="str">
        <f>'Chấm công KT'!D43</f>
        <v>03484</v>
      </c>
      <c r="C41" s="220" t="str">
        <f>'Chấm công KT'!C43</f>
        <v>T. Ca Te</v>
      </c>
      <c r="D41" s="123" t="s">
        <v>39</v>
      </c>
      <c r="E41" s="265">
        <f t="shared" si="2"/>
        <v>3.2</v>
      </c>
      <c r="F41" s="1108">
        <f t="shared" si="3"/>
        <v>24</v>
      </c>
      <c r="G41" s="265"/>
      <c r="H41" s="265">
        <v>32</v>
      </c>
      <c r="I41" s="265"/>
      <c r="J41" s="256"/>
      <c r="K41" s="203"/>
      <c r="L41" s="128"/>
      <c r="M41" s="128"/>
      <c r="N41" s="124"/>
      <c r="O41" s="124"/>
      <c r="P41" s="124"/>
      <c r="Q41" s="257">
        <f t="shared" si="4"/>
        <v>59.2</v>
      </c>
      <c r="R41" s="730">
        <f>VLOOKUP(C41,'BTH mủ tạp'!$C$17:$AI$96,33,0)</f>
        <v>1866</v>
      </c>
      <c r="S41" s="256"/>
      <c r="T41" s="195">
        <f t="shared" si="7"/>
        <v>0</v>
      </c>
      <c r="U41" s="259">
        <f t="shared" si="5"/>
        <v>1866</v>
      </c>
      <c r="V41" s="673">
        <f>VLOOKUP(C41,'Chấm công KT'!$C$13:$AJ$92,34,0)</f>
        <v>27</v>
      </c>
      <c r="W41" s="673">
        <f>VLOOKUP(C41,'Chấm công KT'!$C$13:$AK$92,35,0)</f>
        <v>3</v>
      </c>
      <c r="X41" s="674"/>
      <c r="Y41" s="673"/>
      <c r="Z41" s="673">
        <f>VLOOKUP(C41,'Chấm công KT'!$C$13:$AN$92,38,0)</f>
        <v>0</v>
      </c>
      <c r="AA41" s="673">
        <f>VLOOKUP(C41,'Chấm công KT'!$C$13:$AO$92,39,0)</f>
        <v>0</v>
      </c>
      <c r="AB41" s="260"/>
      <c r="AC41" s="261">
        <f t="shared" si="6"/>
        <v>59.2</v>
      </c>
      <c r="AD41" s="125" t="str">
        <f>VLOOKUP(C41,'BTH mủ tạp'!$C$17:$AL$160,36,0)</f>
        <v>B</v>
      </c>
      <c r="AE41" s="126"/>
      <c r="AF41" s="104"/>
      <c r="AH41" s="86"/>
      <c r="AI41" s="83"/>
      <c r="AJ41" s="84"/>
      <c r="AK41" s="84"/>
      <c r="AL41" s="84"/>
      <c r="AM41" s="84"/>
      <c r="AN41" s="84"/>
      <c r="AO41" s="84"/>
    </row>
    <row r="42" spans="1:41" ht="18.75" customHeight="1">
      <c r="A42" s="123">
        <v>32</v>
      </c>
      <c r="B42" s="255" t="str">
        <f>'Chấm công KT'!D44</f>
        <v>03485</v>
      </c>
      <c r="C42" s="220" t="str">
        <f>'Chấm công KT'!C44</f>
        <v>T. Lâm Phon</v>
      </c>
      <c r="D42" s="123" t="s">
        <v>39</v>
      </c>
      <c r="E42" s="265">
        <f t="shared" si="2"/>
        <v>3.2</v>
      </c>
      <c r="F42" s="1108">
        <f t="shared" si="3"/>
        <v>24</v>
      </c>
      <c r="G42" s="265"/>
      <c r="H42" s="265">
        <v>32</v>
      </c>
      <c r="I42" s="265"/>
      <c r="J42" s="256"/>
      <c r="K42" s="203"/>
      <c r="L42" s="203"/>
      <c r="M42" s="256"/>
      <c r="N42" s="256"/>
      <c r="O42" s="266"/>
      <c r="P42" s="124"/>
      <c r="Q42" s="257">
        <f t="shared" si="4"/>
        <v>59.2</v>
      </c>
      <c r="R42" s="730">
        <f>VLOOKUP(C42,'BTH mủ tạp'!$C$17:$AI$96,33,0)</f>
        <v>1402</v>
      </c>
      <c r="S42" s="256"/>
      <c r="T42" s="195">
        <f t="shared" si="7"/>
        <v>0</v>
      </c>
      <c r="U42" s="259">
        <f t="shared" si="5"/>
        <v>1402</v>
      </c>
      <c r="V42" s="673">
        <f>VLOOKUP(C42,'Chấm công KT'!$C$13:$AJ$92,34,0)</f>
        <v>26</v>
      </c>
      <c r="W42" s="673">
        <f>VLOOKUP(C42,'Chấm công KT'!$C$13:$AK$92,35,0)</f>
        <v>4</v>
      </c>
      <c r="X42" s="674"/>
      <c r="Y42" s="673"/>
      <c r="Z42" s="673">
        <f>VLOOKUP(C42,'Chấm công KT'!$C$13:$AN$92,38,0)</f>
        <v>0</v>
      </c>
      <c r="AA42" s="673">
        <f>VLOOKUP(C42,'Chấm công KT'!$C$13:$AO$92,39,0)</f>
        <v>0</v>
      </c>
      <c r="AB42" s="260"/>
      <c r="AC42" s="261">
        <f t="shared" si="6"/>
        <v>59.2</v>
      </c>
      <c r="AD42" s="125" t="str">
        <f>VLOOKUP(C42,'BTH mủ tạp'!$C$17:$AL$160,36,0)</f>
        <v>A</v>
      </c>
      <c r="AE42" s="126"/>
      <c r="AF42" s="104"/>
      <c r="AH42" s="86"/>
      <c r="AI42" s="83"/>
      <c r="AJ42" s="84"/>
      <c r="AK42" s="84"/>
      <c r="AL42" s="84"/>
      <c r="AM42" s="84"/>
      <c r="AN42" s="84"/>
      <c r="AO42" s="84"/>
    </row>
    <row r="43" spans="1:41" ht="18.75" customHeight="1">
      <c r="A43" s="219">
        <v>33</v>
      </c>
      <c r="B43" s="255" t="str">
        <f>'Chấm công KT'!D45</f>
        <v>02712</v>
      </c>
      <c r="C43" s="220" t="str">
        <f>'Chấm công KT'!C45</f>
        <v>T. Sô Đa</v>
      </c>
      <c r="D43" s="123" t="s">
        <v>39</v>
      </c>
      <c r="E43" s="265">
        <f t="shared" si="2"/>
        <v>3.2</v>
      </c>
      <c r="F43" s="1108">
        <f t="shared" si="3"/>
        <v>24</v>
      </c>
      <c r="G43" s="265"/>
      <c r="H43" s="265">
        <v>32</v>
      </c>
      <c r="I43" s="265"/>
      <c r="J43" s="256"/>
      <c r="K43" s="203"/>
      <c r="L43" s="128"/>
      <c r="M43" s="128"/>
      <c r="N43" s="124"/>
      <c r="O43" s="124"/>
      <c r="P43" s="124"/>
      <c r="Q43" s="257">
        <f t="shared" si="4"/>
        <v>59.2</v>
      </c>
      <c r="R43" s="730">
        <f>VLOOKUP(C43,'BTH mủ tạp'!$C$17:$AI$96,33,0)</f>
        <v>1867</v>
      </c>
      <c r="S43" s="256"/>
      <c r="T43" s="195">
        <f t="shared" si="7"/>
        <v>0</v>
      </c>
      <c r="U43" s="259">
        <f t="shared" si="5"/>
        <v>1867</v>
      </c>
      <c r="V43" s="673">
        <f>VLOOKUP(C43,'Chấm công KT'!$C$13:$AJ$92,34,0)</f>
        <v>26</v>
      </c>
      <c r="W43" s="673">
        <f>VLOOKUP(C43,'Chấm công KT'!$C$13:$AK$92,35,0)</f>
        <v>3</v>
      </c>
      <c r="X43" s="674"/>
      <c r="Y43" s="673"/>
      <c r="Z43" s="673">
        <f>VLOOKUP(C43,'Chấm công KT'!$C$13:$AN$92,38,0)</f>
        <v>0</v>
      </c>
      <c r="AA43" s="673">
        <f>VLOOKUP(C43,'Chấm công KT'!$C$13:$AO$92,39,0)</f>
        <v>0</v>
      </c>
      <c r="AB43" s="260"/>
      <c r="AC43" s="261">
        <f t="shared" si="6"/>
        <v>59.2</v>
      </c>
      <c r="AD43" s="125" t="str">
        <f>VLOOKUP(C43,'BTH mủ tạp'!$C$17:$AL$160,36,0)</f>
        <v>A</v>
      </c>
      <c r="AE43" s="126"/>
      <c r="AF43" s="104"/>
      <c r="AH43" s="86"/>
      <c r="AI43" s="83"/>
      <c r="AJ43" s="84"/>
      <c r="AK43" s="84"/>
      <c r="AL43" s="84"/>
      <c r="AM43" s="84"/>
      <c r="AN43" s="84"/>
      <c r="AO43" s="84"/>
    </row>
    <row r="44" spans="1:41" ht="18.75" customHeight="1">
      <c r="A44" s="123">
        <v>34</v>
      </c>
      <c r="B44" s="255" t="str">
        <f>'Chấm công KT'!D46</f>
        <v>02722</v>
      </c>
      <c r="C44" s="220" t="str">
        <f>'Chấm công KT'!C46</f>
        <v>T. Phu Ngân</v>
      </c>
      <c r="D44" s="123" t="s">
        <v>39</v>
      </c>
      <c r="E44" s="265">
        <f t="shared" si="2"/>
        <v>3.2</v>
      </c>
      <c r="F44" s="1108">
        <f t="shared" si="3"/>
        <v>24</v>
      </c>
      <c r="G44" s="265"/>
      <c r="H44" s="265">
        <v>32</v>
      </c>
      <c r="I44" s="265"/>
      <c r="J44" s="256"/>
      <c r="K44" s="203"/>
      <c r="L44" s="128"/>
      <c r="M44" s="128"/>
      <c r="N44" s="124"/>
      <c r="O44" s="124"/>
      <c r="P44" s="124"/>
      <c r="Q44" s="257">
        <f t="shared" si="4"/>
        <v>59.2</v>
      </c>
      <c r="R44" s="730">
        <f>VLOOKUP(C44,'BTH mủ tạp'!$C$17:$AI$96,33,0)</f>
        <v>2221</v>
      </c>
      <c r="S44" s="256"/>
      <c r="T44" s="195">
        <f t="shared" si="7"/>
        <v>0</v>
      </c>
      <c r="U44" s="259">
        <f t="shared" si="5"/>
        <v>2221</v>
      </c>
      <c r="V44" s="673">
        <f>VLOOKUP(C44,'Chấm công KT'!$C$13:$AJ$92,34,0)</f>
        <v>26</v>
      </c>
      <c r="W44" s="673">
        <f>VLOOKUP(C44,'Chấm công KT'!$C$13:$AK$92,35,0)</f>
        <v>4</v>
      </c>
      <c r="X44" s="674"/>
      <c r="Y44" s="673"/>
      <c r="Z44" s="673">
        <f>VLOOKUP(C44,'Chấm công KT'!$C$13:$AN$92,38,0)</f>
        <v>0</v>
      </c>
      <c r="AA44" s="673">
        <f>VLOOKUP(C44,'Chấm công KT'!$C$13:$AO$92,39,0)</f>
        <v>0</v>
      </c>
      <c r="AB44" s="260"/>
      <c r="AC44" s="261">
        <f t="shared" si="6"/>
        <v>59.2</v>
      </c>
      <c r="AD44" s="125" t="str">
        <f>VLOOKUP(C44,'BTH mủ tạp'!$C$17:$AL$160,36,0)</f>
        <v>A</v>
      </c>
      <c r="AE44" s="126"/>
      <c r="AF44" s="104"/>
      <c r="AH44" s="86"/>
      <c r="AI44" s="83"/>
      <c r="AJ44" s="84"/>
      <c r="AK44" s="84"/>
      <c r="AL44" s="84"/>
      <c r="AM44" s="84"/>
      <c r="AN44" s="84"/>
      <c r="AO44" s="84"/>
    </row>
    <row r="45" spans="1:41" ht="18.75" customHeight="1">
      <c r="A45" s="219">
        <v>35</v>
      </c>
      <c r="B45" s="255" t="str">
        <f>'Chấm công KT'!D47</f>
        <v>02714</v>
      </c>
      <c r="C45" s="220" t="str">
        <f>'Chấm công KT'!C47</f>
        <v>N. Tủn</v>
      </c>
      <c r="D45" s="123" t="s">
        <v>39</v>
      </c>
      <c r="E45" s="265">
        <f t="shared" si="2"/>
        <v>3.2</v>
      </c>
      <c r="F45" s="1108">
        <f t="shared" si="3"/>
        <v>24</v>
      </c>
      <c r="G45" s="265"/>
      <c r="H45" s="265">
        <v>32</v>
      </c>
      <c r="I45" s="265"/>
      <c r="J45" s="256"/>
      <c r="K45" s="203"/>
      <c r="L45" s="128"/>
      <c r="M45" s="128"/>
      <c r="N45" s="124"/>
      <c r="O45" s="124"/>
      <c r="P45" s="124"/>
      <c r="Q45" s="257">
        <f t="shared" si="4"/>
        <v>59.2</v>
      </c>
      <c r="R45" s="730">
        <f>VLOOKUP(C45,'BTH mủ tạp'!$C$17:$AI$96,33,0)</f>
        <v>1435</v>
      </c>
      <c r="S45" s="256"/>
      <c r="T45" s="195">
        <f t="shared" si="7"/>
        <v>0</v>
      </c>
      <c r="U45" s="259">
        <f t="shared" si="5"/>
        <v>1435</v>
      </c>
      <c r="V45" s="673">
        <f>VLOOKUP(C45,'Chấm công KT'!$C$13:$AJ$92,34,0)</f>
        <v>27</v>
      </c>
      <c r="W45" s="673">
        <f>VLOOKUP(C45,'Chấm công KT'!$C$13:$AK$92,35,0)</f>
        <v>4</v>
      </c>
      <c r="X45" s="674"/>
      <c r="Y45" s="673"/>
      <c r="Z45" s="673">
        <f>VLOOKUP(C45,'Chấm công KT'!$C$13:$AN$92,38,0)</f>
        <v>0</v>
      </c>
      <c r="AA45" s="673">
        <f>VLOOKUP(C45,'Chấm công KT'!$C$13:$AO$92,39,0)</f>
        <v>0</v>
      </c>
      <c r="AB45" s="260"/>
      <c r="AC45" s="261">
        <f t="shared" si="6"/>
        <v>59.2</v>
      </c>
      <c r="AD45" s="125" t="str">
        <f>VLOOKUP(C45,'BTH mủ tạp'!$C$17:$AL$160,36,0)</f>
        <v>A</v>
      </c>
      <c r="AE45" s="126"/>
      <c r="AF45" s="104"/>
      <c r="AH45" s="86"/>
      <c r="AI45" s="83"/>
      <c r="AJ45" s="84"/>
      <c r="AK45" s="84"/>
      <c r="AL45" s="84"/>
      <c r="AM45" s="84"/>
      <c r="AN45" s="84"/>
      <c r="AO45" s="84"/>
    </row>
    <row r="46" spans="1:41" ht="18.75" customHeight="1">
      <c r="A46" s="123">
        <v>36</v>
      </c>
      <c r="B46" s="255" t="str">
        <f>'Chấm công KT'!D48</f>
        <v>02713</v>
      </c>
      <c r="C46" s="220" t="str">
        <f>'Chấm công KT'!C48</f>
        <v>T. Lung</v>
      </c>
      <c r="D46" s="123" t="s">
        <v>39</v>
      </c>
      <c r="E46" s="265">
        <f t="shared" si="2"/>
        <v>3.2</v>
      </c>
      <c r="F46" s="1108">
        <f t="shared" si="3"/>
        <v>24</v>
      </c>
      <c r="G46" s="265"/>
      <c r="H46" s="265">
        <v>32</v>
      </c>
      <c r="I46" s="265"/>
      <c r="J46" s="256"/>
      <c r="K46" s="203"/>
      <c r="L46" s="128"/>
      <c r="M46" s="128"/>
      <c r="N46" s="124"/>
      <c r="O46" s="124"/>
      <c r="P46" s="124"/>
      <c r="Q46" s="257">
        <f t="shared" si="4"/>
        <v>59.2</v>
      </c>
      <c r="R46" s="730">
        <f>VLOOKUP(C46,'BTH mủ tạp'!$C$17:$AI$96,33,0)</f>
        <v>1422</v>
      </c>
      <c r="S46" s="256"/>
      <c r="T46" s="195">
        <f t="shared" si="7"/>
        <v>0</v>
      </c>
      <c r="U46" s="259">
        <f t="shared" si="5"/>
        <v>1422</v>
      </c>
      <c r="V46" s="673">
        <f>VLOOKUP(C46,'Chấm công KT'!$C$13:$AJ$92,34,0)</f>
        <v>27</v>
      </c>
      <c r="W46" s="673">
        <f>VLOOKUP(C46,'Chấm công KT'!$C$13:$AK$92,35,0)</f>
        <v>4</v>
      </c>
      <c r="X46" s="674"/>
      <c r="Y46" s="673"/>
      <c r="Z46" s="673">
        <f>VLOOKUP(C46,'Chấm công KT'!$C$13:$AN$92,38,0)</f>
        <v>0</v>
      </c>
      <c r="AA46" s="673">
        <f>VLOOKUP(C46,'Chấm công KT'!$C$13:$AO$92,39,0)</f>
        <v>0</v>
      </c>
      <c r="AB46" s="260"/>
      <c r="AC46" s="261">
        <f t="shared" si="6"/>
        <v>59.2</v>
      </c>
      <c r="AD46" s="125" t="str">
        <f>VLOOKUP(C46,'BTH mủ tạp'!$C$17:$AL$160,36,0)</f>
        <v>A</v>
      </c>
      <c r="AE46" s="126"/>
      <c r="AF46" s="104"/>
      <c r="AH46" s="86"/>
      <c r="AI46" s="83"/>
      <c r="AJ46" s="84"/>
      <c r="AK46" s="84"/>
      <c r="AL46" s="84"/>
      <c r="AM46" s="84"/>
      <c r="AN46" s="84"/>
      <c r="AO46" s="84"/>
    </row>
    <row r="47" spans="1:41" ht="18.75" customHeight="1">
      <c r="A47" s="219">
        <v>37</v>
      </c>
      <c r="B47" s="255" t="e">
        <f>'Chấm công KT'!D49</f>
        <v>#N/A</v>
      </c>
      <c r="C47" s="220" t="str">
        <f>'Chấm công KT'!C49</f>
        <v>T. Bi Ly (2)</v>
      </c>
      <c r="D47" s="123" t="s">
        <v>39</v>
      </c>
      <c r="E47" s="265">
        <f t="shared" si="2"/>
        <v>3.2</v>
      </c>
      <c r="F47" s="1108">
        <f t="shared" si="3"/>
        <v>24</v>
      </c>
      <c r="G47" s="265"/>
      <c r="H47" s="265">
        <v>32</v>
      </c>
      <c r="I47" s="265"/>
      <c r="J47" s="256"/>
      <c r="K47" s="203"/>
      <c r="L47" s="128"/>
      <c r="M47" s="256"/>
      <c r="N47" s="124"/>
      <c r="O47" s="124"/>
      <c r="P47" s="124"/>
      <c r="Q47" s="257">
        <f t="shared" si="4"/>
        <v>59.2</v>
      </c>
      <c r="R47" s="730">
        <f>VLOOKUP(C47,'BTH mủ tạp'!$C$17:$AI$96,33,0)</f>
        <v>1581</v>
      </c>
      <c r="S47" s="256"/>
      <c r="T47" s="195">
        <f t="shared" si="7"/>
        <v>0</v>
      </c>
      <c r="U47" s="259">
        <f t="shared" si="5"/>
        <v>1581</v>
      </c>
      <c r="V47" s="673">
        <f>VLOOKUP(C47,'Chấm công KT'!$C$13:$AJ$92,34,0)</f>
        <v>27</v>
      </c>
      <c r="W47" s="673">
        <f>VLOOKUP(C47,'Chấm công KT'!$C$13:$AK$92,35,0)</f>
        <v>4</v>
      </c>
      <c r="X47" s="674"/>
      <c r="Y47" s="673"/>
      <c r="Z47" s="673">
        <f>VLOOKUP(C47,'Chấm công KT'!$C$13:$AN$92,38,0)</f>
        <v>0</v>
      </c>
      <c r="AA47" s="673">
        <f>VLOOKUP(C47,'Chấm công KT'!$C$13:$AO$92,39,0)</f>
        <v>0</v>
      </c>
      <c r="AB47" s="260"/>
      <c r="AC47" s="261">
        <f t="shared" si="6"/>
        <v>59.2</v>
      </c>
      <c r="AD47" s="125" t="str">
        <f>VLOOKUP(C47,'BTH mủ tạp'!$C$17:$AL$160,36,0)</f>
        <v>A</v>
      </c>
      <c r="AE47" s="126"/>
      <c r="AF47" s="104"/>
      <c r="AH47" s="86"/>
      <c r="AI47" s="83"/>
      <c r="AJ47" s="84"/>
      <c r="AK47" s="84"/>
      <c r="AL47" s="84"/>
      <c r="AM47" s="84"/>
      <c r="AN47" s="84"/>
      <c r="AO47" s="84"/>
    </row>
    <row r="48" spans="1:41" ht="18.75" customHeight="1">
      <c r="A48" s="123">
        <v>38</v>
      </c>
      <c r="B48" s="255" t="str">
        <f>'Chấm công KT'!D50</f>
        <v>03487</v>
      </c>
      <c r="C48" s="220" t="str">
        <f>'Chấm công KT'!C50</f>
        <v>N. Ba Say</v>
      </c>
      <c r="D48" s="123" t="s">
        <v>39</v>
      </c>
      <c r="E48" s="265">
        <f t="shared" si="2"/>
        <v>3.2</v>
      </c>
      <c r="F48" s="1108">
        <f t="shared" si="3"/>
        <v>24</v>
      </c>
      <c r="G48" s="265"/>
      <c r="H48" s="265">
        <v>32</v>
      </c>
      <c r="I48" s="265"/>
      <c r="J48" s="256"/>
      <c r="K48" s="203"/>
      <c r="L48" s="203"/>
      <c r="M48" s="256"/>
      <c r="N48" s="256"/>
      <c r="O48" s="266"/>
      <c r="P48" s="124"/>
      <c r="Q48" s="257">
        <f t="shared" si="4"/>
        <v>59.2</v>
      </c>
      <c r="R48" s="730">
        <f>VLOOKUP(C48,'BTH mủ tạp'!$C$17:$AI$96,33,0)</f>
        <v>884</v>
      </c>
      <c r="S48" s="256"/>
      <c r="T48" s="195">
        <f t="shared" si="7"/>
        <v>0</v>
      </c>
      <c r="U48" s="259">
        <f t="shared" si="5"/>
        <v>884</v>
      </c>
      <c r="V48" s="673">
        <f>VLOOKUP(C48,'Chấm công KT'!$C$13:$AJ$92,34,0)</f>
        <v>22</v>
      </c>
      <c r="W48" s="673">
        <f>VLOOKUP(C48,'Chấm công KT'!$C$13:$AK$92,35,0)</f>
        <v>3</v>
      </c>
      <c r="X48" s="674"/>
      <c r="Y48" s="673"/>
      <c r="Z48" s="673">
        <f>VLOOKUP(C48,'Chấm công KT'!$C$13:$AN$92,38,0)</f>
        <v>0</v>
      </c>
      <c r="AA48" s="673">
        <f>VLOOKUP(C48,'Chấm công KT'!$C$13:$AO$92,39,0)</f>
        <v>0</v>
      </c>
      <c r="AB48" s="260"/>
      <c r="AC48" s="261">
        <f t="shared" si="6"/>
        <v>59.2</v>
      </c>
      <c r="AD48" s="125" t="str">
        <f>VLOOKUP(C48,'BTH mủ tạp'!$C$17:$AL$160,36,0)</f>
        <v>B</v>
      </c>
      <c r="AE48" s="126"/>
      <c r="AF48" s="104"/>
      <c r="AH48" s="86"/>
      <c r="AI48" s="83"/>
      <c r="AJ48" s="84"/>
      <c r="AK48" s="84"/>
      <c r="AL48" s="84"/>
      <c r="AM48" s="84"/>
      <c r="AN48" s="84"/>
      <c r="AO48" s="84"/>
    </row>
    <row r="49" spans="1:41" ht="18.75" customHeight="1">
      <c r="A49" s="219">
        <v>39</v>
      </c>
      <c r="B49" s="255" t="str">
        <f>'Chấm công KT'!D51</f>
        <v>03488</v>
      </c>
      <c r="C49" s="220" t="str">
        <f>'Chấm công KT'!C51</f>
        <v>N. Đeng</v>
      </c>
      <c r="D49" s="123" t="s">
        <v>39</v>
      </c>
      <c r="E49" s="265">
        <f t="shared" si="2"/>
        <v>3.2</v>
      </c>
      <c r="F49" s="1108">
        <f t="shared" si="3"/>
        <v>24</v>
      </c>
      <c r="G49" s="265"/>
      <c r="H49" s="265">
        <v>32</v>
      </c>
      <c r="I49" s="265"/>
      <c r="J49" s="256"/>
      <c r="K49" s="203"/>
      <c r="L49" s="203"/>
      <c r="M49" s="256"/>
      <c r="N49" s="256"/>
      <c r="O49" s="266"/>
      <c r="P49" s="124"/>
      <c r="Q49" s="257">
        <f t="shared" si="4"/>
        <v>59.2</v>
      </c>
      <c r="R49" s="730">
        <f>VLOOKUP(C49,'BTH mủ tạp'!$C$17:$AI$96,33,0)</f>
        <v>1897</v>
      </c>
      <c r="S49" s="256"/>
      <c r="T49" s="195">
        <f t="shared" si="7"/>
        <v>0</v>
      </c>
      <c r="U49" s="259">
        <f t="shared" si="5"/>
        <v>1897</v>
      </c>
      <c r="V49" s="673">
        <f>VLOOKUP(C49,'Chấm công KT'!$C$13:$AJ$92,34,0)</f>
        <v>27</v>
      </c>
      <c r="W49" s="673">
        <f>VLOOKUP(C49,'Chấm công KT'!$C$13:$AK$92,35,0)</f>
        <v>4</v>
      </c>
      <c r="X49" s="674"/>
      <c r="Y49" s="673"/>
      <c r="Z49" s="673">
        <f>VLOOKUP(C49,'Chấm công KT'!$C$13:$AN$92,38,0)</f>
        <v>0</v>
      </c>
      <c r="AA49" s="673">
        <f>VLOOKUP(C49,'Chấm công KT'!$C$13:$AO$92,39,0)</f>
        <v>0</v>
      </c>
      <c r="AB49" s="260"/>
      <c r="AC49" s="261">
        <f t="shared" si="6"/>
        <v>59.2</v>
      </c>
      <c r="AD49" s="125" t="str">
        <f>VLOOKUP(C49,'BTH mủ tạp'!$C$17:$AL$160,36,0)</f>
        <v>A</v>
      </c>
      <c r="AE49" s="126"/>
      <c r="AF49" s="104"/>
      <c r="AH49" s="86"/>
      <c r="AI49" s="83"/>
      <c r="AJ49" s="84"/>
      <c r="AK49" s="84"/>
      <c r="AL49" s="84"/>
      <c r="AM49" s="84"/>
      <c r="AN49" s="84"/>
      <c r="AO49" s="84"/>
    </row>
    <row r="50" spans="1:41" ht="18.75" customHeight="1">
      <c r="A50" s="123">
        <v>40</v>
      </c>
      <c r="B50" s="255" t="str">
        <f>'Chấm công KT'!D52</f>
        <v>03489</v>
      </c>
      <c r="C50" s="220" t="str">
        <f>'Chấm công KT'!C52</f>
        <v>T. Tinh</v>
      </c>
      <c r="D50" s="123" t="s">
        <v>39</v>
      </c>
      <c r="E50" s="265">
        <f t="shared" si="2"/>
        <v>3.2</v>
      </c>
      <c r="F50" s="1108">
        <f t="shared" si="3"/>
        <v>24</v>
      </c>
      <c r="G50" s="265">
        <v>7</v>
      </c>
      <c r="H50" s="265">
        <v>24</v>
      </c>
      <c r="I50" s="265"/>
      <c r="J50" s="256"/>
      <c r="K50" s="203"/>
      <c r="L50" s="203"/>
      <c r="M50" s="256"/>
      <c r="N50" s="256"/>
      <c r="O50" s="266"/>
      <c r="P50" s="124"/>
      <c r="Q50" s="257">
        <f t="shared" si="4"/>
        <v>58.2</v>
      </c>
      <c r="R50" s="730">
        <f>VLOOKUP(C50,'BTH mủ tạp'!$C$17:$AI$96,33,0)</f>
        <v>912</v>
      </c>
      <c r="S50" s="256"/>
      <c r="T50" s="195">
        <f t="shared" si="7"/>
        <v>0</v>
      </c>
      <c r="U50" s="259">
        <f t="shared" si="5"/>
        <v>912</v>
      </c>
      <c r="V50" s="673">
        <f>VLOOKUP(C50,'Chấm công KT'!$C$13:$AJ$92,34,0)</f>
        <v>23</v>
      </c>
      <c r="W50" s="673">
        <f>VLOOKUP(C50,'Chấm công KT'!$C$13:$AK$92,35,0)</f>
        <v>3</v>
      </c>
      <c r="X50" s="674"/>
      <c r="Y50" s="673"/>
      <c r="Z50" s="673">
        <f>VLOOKUP(C50,'Chấm công KT'!$C$13:$AN$92,38,0)</f>
        <v>0</v>
      </c>
      <c r="AA50" s="673">
        <f>VLOOKUP(C50,'Chấm công KT'!$C$13:$AO$92,39,0)</f>
        <v>0</v>
      </c>
      <c r="AB50" s="260"/>
      <c r="AC50" s="261">
        <f t="shared" si="6"/>
        <v>58.2</v>
      </c>
      <c r="AD50" s="125" t="str">
        <f>VLOOKUP(C50,'BTH mủ tạp'!$C$17:$AL$160,36,0)</f>
        <v>B</v>
      </c>
      <c r="AE50" s="126"/>
      <c r="AF50" s="104"/>
      <c r="AH50" s="86"/>
      <c r="AI50" s="83"/>
      <c r="AJ50" s="84"/>
      <c r="AK50" s="84"/>
      <c r="AL50" s="84"/>
      <c r="AM50" s="84"/>
      <c r="AN50" s="84"/>
      <c r="AO50" s="84"/>
    </row>
    <row r="51" spans="1:41" ht="18.75" customHeight="1">
      <c r="A51" s="219">
        <v>41</v>
      </c>
      <c r="B51" s="255">
        <f>'Chấm công KT'!D53</f>
        <v>0</v>
      </c>
      <c r="C51" s="220" t="str">
        <f>'Chấm công KT'!C53</f>
        <v>T. Khăm Pỏi</v>
      </c>
      <c r="D51" s="123" t="s">
        <v>39</v>
      </c>
      <c r="E51" s="265">
        <f t="shared" si="2"/>
        <v>3.2</v>
      </c>
      <c r="F51" s="1108">
        <f t="shared" si="3"/>
        <v>24</v>
      </c>
      <c r="G51" s="265">
        <v>7</v>
      </c>
      <c r="H51" s="265">
        <v>24</v>
      </c>
      <c r="I51" s="265"/>
      <c r="J51" s="256"/>
      <c r="K51" s="203"/>
      <c r="L51" s="203"/>
      <c r="M51" s="256"/>
      <c r="N51" s="124"/>
      <c r="O51" s="124"/>
      <c r="P51" s="124"/>
      <c r="Q51" s="257">
        <f t="shared" si="4"/>
        <v>58.2</v>
      </c>
      <c r="R51" s="730">
        <f>VLOOKUP(C51,'BTH mủ tạp'!$C$17:$AI$96,33,0)</f>
        <v>1578</v>
      </c>
      <c r="S51" s="256"/>
      <c r="T51" s="195">
        <f t="shared" si="7"/>
        <v>0</v>
      </c>
      <c r="U51" s="259">
        <f t="shared" si="5"/>
        <v>1578</v>
      </c>
      <c r="V51" s="673">
        <f>VLOOKUP(C51,'Chấm công KT'!$C$13:$AJ$92,34,0)</f>
        <v>27</v>
      </c>
      <c r="W51" s="673">
        <f>VLOOKUP(C51,'Chấm công KT'!$C$13:$AK$92,35,0)</f>
        <v>4</v>
      </c>
      <c r="X51" s="674"/>
      <c r="Y51" s="673"/>
      <c r="Z51" s="673">
        <f>VLOOKUP(C51,'Chấm công KT'!$C$13:$AN$92,38,0)</f>
        <v>0</v>
      </c>
      <c r="AA51" s="673">
        <f>VLOOKUP(C51,'Chấm công KT'!$C$13:$AO$92,39,0)</f>
        <v>0</v>
      </c>
      <c r="AB51" s="260"/>
      <c r="AC51" s="261">
        <f t="shared" si="6"/>
        <v>58.2</v>
      </c>
      <c r="AD51" s="125" t="str">
        <f>VLOOKUP(C51,'BTH mủ tạp'!$C$17:$AL$160,36,0)</f>
        <v>A</v>
      </c>
      <c r="AE51" s="126"/>
      <c r="AF51" s="104"/>
      <c r="AH51" s="86"/>
      <c r="AI51" s="83"/>
      <c r="AJ51" s="84"/>
      <c r="AK51" s="84"/>
      <c r="AL51" s="84"/>
      <c r="AM51" s="84"/>
      <c r="AN51" s="84"/>
      <c r="AO51" s="84"/>
    </row>
    <row r="52" spans="1:41" ht="18.75" customHeight="1">
      <c r="A52" s="123">
        <v>42</v>
      </c>
      <c r="B52" s="255" t="str">
        <f>'Chấm công KT'!D54</f>
        <v>03491</v>
      </c>
      <c r="C52" s="220" t="str">
        <f>'Chấm công KT'!C54</f>
        <v>Lăm Ngân</v>
      </c>
      <c r="D52" s="123" t="s">
        <v>39</v>
      </c>
      <c r="E52" s="265">
        <f t="shared" si="2"/>
        <v>3.2</v>
      </c>
      <c r="F52" s="1108">
        <f t="shared" si="3"/>
        <v>24</v>
      </c>
      <c r="G52" s="265">
        <v>7</v>
      </c>
      <c r="H52" s="265">
        <v>24</v>
      </c>
      <c r="I52" s="265"/>
      <c r="J52" s="256"/>
      <c r="K52" s="203"/>
      <c r="L52" s="203"/>
      <c r="M52" s="128"/>
      <c r="N52" s="124"/>
      <c r="O52" s="124"/>
      <c r="P52" s="124"/>
      <c r="Q52" s="257">
        <f t="shared" si="4"/>
        <v>58.2</v>
      </c>
      <c r="R52" s="730">
        <f>VLOOKUP(C52,'BTH mủ tạp'!$C$17:$AI$96,33,0)</f>
        <v>1904</v>
      </c>
      <c r="S52" s="256"/>
      <c r="T52" s="195">
        <f t="shared" si="7"/>
        <v>0</v>
      </c>
      <c r="U52" s="259">
        <f t="shared" si="5"/>
        <v>1904</v>
      </c>
      <c r="V52" s="673">
        <f>VLOOKUP(C52,'Chấm công KT'!$C$13:$AJ$92,34,0)</f>
        <v>27</v>
      </c>
      <c r="W52" s="673">
        <f>VLOOKUP(C52,'Chấm công KT'!$C$13:$AK$92,35,0)</f>
        <v>4</v>
      </c>
      <c r="X52" s="674"/>
      <c r="Y52" s="673"/>
      <c r="Z52" s="673">
        <f>VLOOKUP(C52,'Chấm công KT'!$C$13:$AN$92,38,0)</f>
        <v>0</v>
      </c>
      <c r="AA52" s="673">
        <f>VLOOKUP(C52,'Chấm công KT'!$C$13:$AO$92,39,0)</f>
        <v>0</v>
      </c>
      <c r="AB52" s="260"/>
      <c r="AC52" s="261">
        <f t="shared" si="6"/>
        <v>58.2</v>
      </c>
      <c r="AD52" s="125" t="str">
        <f>VLOOKUP(C52,'BTH mủ tạp'!$C$17:$AL$160,36,0)</f>
        <v>A</v>
      </c>
      <c r="AE52" s="126"/>
      <c r="AF52" s="104"/>
      <c r="AG52" s="84"/>
      <c r="AH52" s="86"/>
      <c r="AI52" s="83"/>
      <c r="AJ52" s="84"/>
      <c r="AK52" s="84"/>
      <c r="AL52" s="84"/>
      <c r="AM52" s="84"/>
      <c r="AN52" s="84"/>
      <c r="AO52" s="84"/>
    </row>
    <row r="53" spans="1:41" ht="18.75" customHeight="1">
      <c r="A53" s="219">
        <v>43</v>
      </c>
      <c r="B53" s="255" t="e">
        <f>'Chấm công KT'!D55</f>
        <v>#N/A</v>
      </c>
      <c r="C53" s="220" t="str">
        <f>'Chấm công KT'!C55</f>
        <v>T. Không</v>
      </c>
      <c r="D53" s="123" t="s">
        <v>39</v>
      </c>
      <c r="E53" s="265">
        <f t="shared" si="2"/>
        <v>3.2</v>
      </c>
      <c r="F53" s="1108">
        <f t="shared" si="3"/>
        <v>24</v>
      </c>
      <c r="G53" s="265">
        <v>7</v>
      </c>
      <c r="H53" s="265">
        <v>24</v>
      </c>
      <c r="I53" s="265"/>
      <c r="J53" s="256"/>
      <c r="K53" s="203"/>
      <c r="L53" s="203"/>
      <c r="M53" s="128"/>
      <c r="N53" s="124"/>
      <c r="O53" s="124"/>
      <c r="P53" s="124"/>
      <c r="Q53" s="257">
        <f t="shared" si="4"/>
        <v>58.2</v>
      </c>
      <c r="R53" s="730">
        <f>VLOOKUP(C53,'BTH mủ tạp'!$C$17:$AI$96,33,0)</f>
        <v>1847</v>
      </c>
      <c r="S53" s="256"/>
      <c r="T53" s="195">
        <f t="shared" si="7"/>
        <v>0</v>
      </c>
      <c r="U53" s="259">
        <f t="shared" si="5"/>
        <v>1847</v>
      </c>
      <c r="V53" s="673">
        <f>VLOOKUP(C53,'Chấm công KT'!$C$13:$AJ$92,34,0)</f>
        <v>27</v>
      </c>
      <c r="W53" s="673">
        <f>VLOOKUP(C53,'Chấm công KT'!$C$13:$AK$92,35,0)</f>
        <v>4</v>
      </c>
      <c r="X53" s="674"/>
      <c r="Y53" s="673"/>
      <c r="Z53" s="673">
        <f>VLOOKUP(C53,'Chấm công KT'!$C$13:$AN$92,38,0)</f>
        <v>0</v>
      </c>
      <c r="AA53" s="673">
        <f>VLOOKUP(C53,'Chấm công KT'!$C$13:$AO$92,39,0)</f>
        <v>0</v>
      </c>
      <c r="AB53" s="260"/>
      <c r="AC53" s="261">
        <f t="shared" si="6"/>
        <v>58.2</v>
      </c>
      <c r="AD53" s="125" t="str">
        <f>VLOOKUP(C53,'BTH mủ tạp'!$C$17:$AL$160,36,0)</f>
        <v>B</v>
      </c>
      <c r="AE53" s="126"/>
      <c r="AF53" s="104"/>
      <c r="AH53" s="86"/>
      <c r="AI53" s="83"/>
      <c r="AJ53" s="84"/>
      <c r="AK53" s="84"/>
      <c r="AL53" s="84"/>
      <c r="AM53" s="84"/>
      <c r="AN53" s="84"/>
      <c r="AO53" s="84"/>
    </row>
    <row r="54" spans="1:41" ht="18.75" customHeight="1">
      <c r="A54" s="123">
        <v>44</v>
      </c>
      <c r="B54" s="255" t="str">
        <f>'Chấm công KT'!D56</f>
        <v>03492</v>
      </c>
      <c r="C54" s="220" t="str">
        <f>'Chấm công KT'!C56</f>
        <v>T. Lem</v>
      </c>
      <c r="D54" s="123" t="s">
        <v>39</v>
      </c>
      <c r="E54" s="265">
        <f t="shared" si="2"/>
        <v>3.2</v>
      </c>
      <c r="F54" s="1108">
        <f t="shared" si="3"/>
        <v>24</v>
      </c>
      <c r="G54" s="265"/>
      <c r="H54" s="265">
        <v>32</v>
      </c>
      <c r="I54" s="265"/>
      <c r="J54" s="256"/>
      <c r="K54" s="203"/>
      <c r="L54" s="128"/>
      <c r="M54" s="256"/>
      <c r="N54" s="124"/>
      <c r="O54" s="124"/>
      <c r="P54" s="124"/>
      <c r="Q54" s="257">
        <f t="shared" si="4"/>
        <v>59.2</v>
      </c>
      <c r="R54" s="730">
        <f>VLOOKUP(C54,'BTH mủ tạp'!$C$17:$AI$96,33,0)</f>
        <v>1332</v>
      </c>
      <c r="S54" s="256"/>
      <c r="T54" s="195">
        <f t="shared" si="7"/>
        <v>0</v>
      </c>
      <c r="U54" s="259">
        <f t="shared" si="5"/>
        <v>1332</v>
      </c>
      <c r="V54" s="673">
        <f>VLOOKUP(C54,'Chấm công KT'!$C$13:$AJ$92,34,0)</f>
        <v>25</v>
      </c>
      <c r="W54" s="673">
        <f>VLOOKUP(C54,'Chấm công KT'!$C$13:$AK$92,35,0)</f>
        <v>4</v>
      </c>
      <c r="X54" s="674"/>
      <c r="Y54" s="673"/>
      <c r="Z54" s="673">
        <f>VLOOKUP(C54,'Chấm công KT'!$C$13:$AN$92,38,0)</f>
        <v>0</v>
      </c>
      <c r="AA54" s="673">
        <f>VLOOKUP(C54,'Chấm công KT'!$C$13:$AO$92,39,0)</f>
        <v>0</v>
      </c>
      <c r="AB54" s="260"/>
      <c r="AC54" s="261">
        <f t="shared" si="6"/>
        <v>59.2</v>
      </c>
      <c r="AD54" s="125" t="str">
        <f>VLOOKUP(C54,'BTH mủ tạp'!$C$17:$AL$160,36,0)</f>
        <v>A</v>
      </c>
      <c r="AE54" s="126"/>
      <c r="AF54" s="104"/>
      <c r="AH54" s="86"/>
      <c r="AI54" s="83"/>
      <c r="AJ54" s="84"/>
      <c r="AK54" s="84"/>
      <c r="AL54" s="84"/>
      <c r="AM54" s="84"/>
      <c r="AN54" s="84"/>
      <c r="AO54" s="84"/>
    </row>
    <row r="55" spans="1:41" ht="18.75" customHeight="1">
      <c r="A55" s="219">
        <v>45</v>
      </c>
      <c r="B55" s="255" t="str">
        <f>'Chấm công KT'!D57</f>
        <v>03493</v>
      </c>
      <c r="C55" s="220" t="str">
        <f>'Chấm công KT'!C57</f>
        <v>T. Pông</v>
      </c>
      <c r="D55" s="123" t="s">
        <v>39</v>
      </c>
      <c r="E55" s="265">
        <f t="shared" si="2"/>
        <v>3.2</v>
      </c>
      <c r="F55" s="1108">
        <f t="shared" si="3"/>
        <v>24</v>
      </c>
      <c r="G55" s="265"/>
      <c r="H55" s="265">
        <v>32</v>
      </c>
      <c r="I55" s="265"/>
      <c r="J55" s="256"/>
      <c r="K55" s="203"/>
      <c r="L55" s="203"/>
      <c r="M55" s="256"/>
      <c r="N55" s="256"/>
      <c r="O55" s="266"/>
      <c r="P55" s="124"/>
      <c r="Q55" s="257">
        <f t="shared" si="4"/>
        <v>59.2</v>
      </c>
      <c r="R55" s="730">
        <f>VLOOKUP(C55,'BTH mủ tạp'!$C$17:$AI$96,33,0)</f>
        <v>2263</v>
      </c>
      <c r="S55" s="256"/>
      <c r="T55" s="195">
        <f t="shared" si="7"/>
        <v>0</v>
      </c>
      <c r="U55" s="259">
        <f t="shared" si="5"/>
        <v>2263</v>
      </c>
      <c r="V55" s="673">
        <f>VLOOKUP(C55,'Chấm công KT'!$C$13:$AJ$92,34,0)</f>
        <v>26</v>
      </c>
      <c r="W55" s="673">
        <f>VLOOKUP(C55,'Chấm công KT'!$C$13:$AK$92,35,0)</f>
        <v>4</v>
      </c>
      <c r="X55" s="674"/>
      <c r="Y55" s="673"/>
      <c r="Z55" s="673">
        <f>VLOOKUP(C55,'Chấm công KT'!$C$13:$AN$92,38,0)</f>
        <v>0</v>
      </c>
      <c r="AA55" s="673">
        <f>VLOOKUP(C55,'Chấm công KT'!$C$13:$AO$92,39,0)</f>
        <v>0</v>
      </c>
      <c r="AB55" s="260"/>
      <c r="AC55" s="261">
        <f t="shared" si="6"/>
        <v>59.2</v>
      </c>
      <c r="AD55" s="125" t="str">
        <f>VLOOKUP(C55,'BTH mủ tạp'!$C$17:$AL$160,36,0)</f>
        <v>A</v>
      </c>
      <c r="AE55" s="126"/>
      <c r="AF55" s="104"/>
      <c r="AH55" s="86"/>
      <c r="AI55" s="83"/>
      <c r="AJ55" s="84"/>
      <c r="AK55" s="84"/>
      <c r="AL55" s="84"/>
      <c r="AM55" s="84"/>
      <c r="AN55" s="84"/>
      <c r="AO55" s="84"/>
    </row>
    <row r="56" spans="1:41" ht="18.75" customHeight="1">
      <c r="A56" s="123">
        <v>46</v>
      </c>
      <c r="B56" s="255" t="str">
        <f>'Chấm công KT'!D58</f>
        <v>03496</v>
      </c>
      <c r="C56" s="220" t="str">
        <f>'Chấm công KT'!C58</f>
        <v>T. Lốp</v>
      </c>
      <c r="D56" s="123" t="s">
        <v>39</v>
      </c>
      <c r="E56" s="265">
        <f t="shared" si="2"/>
        <v>3.2</v>
      </c>
      <c r="F56" s="1108">
        <f t="shared" si="3"/>
        <v>24</v>
      </c>
      <c r="G56" s="265"/>
      <c r="H56" s="265">
        <v>32</v>
      </c>
      <c r="I56" s="265"/>
      <c r="J56" s="256"/>
      <c r="K56" s="203"/>
      <c r="L56" s="203"/>
      <c r="M56" s="256"/>
      <c r="N56" s="256"/>
      <c r="O56" s="266"/>
      <c r="P56" s="124"/>
      <c r="Q56" s="257">
        <f t="shared" si="4"/>
        <v>59.2</v>
      </c>
      <c r="R56" s="730">
        <f>VLOOKUP(C56,'BTH mủ tạp'!$C$17:$AI$96,33,0)</f>
        <v>2111</v>
      </c>
      <c r="S56" s="256"/>
      <c r="T56" s="195">
        <f t="shared" si="7"/>
        <v>0</v>
      </c>
      <c r="U56" s="259">
        <f t="shared" si="5"/>
        <v>2111</v>
      </c>
      <c r="V56" s="673">
        <f>VLOOKUP(C56,'Chấm công KT'!$C$13:$AJ$92,34,0)</f>
        <v>24</v>
      </c>
      <c r="W56" s="673">
        <f>VLOOKUP(C56,'Chấm công KT'!$C$13:$AK$92,35,0)</f>
        <v>4</v>
      </c>
      <c r="X56" s="674"/>
      <c r="Y56" s="673"/>
      <c r="Z56" s="673">
        <f>VLOOKUP(C56,'Chấm công KT'!$C$13:$AN$92,38,0)</f>
        <v>0</v>
      </c>
      <c r="AA56" s="673">
        <f>VLOOKUP(C56,'Chấm công KT'!$C$13:$AO$92,39,0)</f>
        <v>0</v>
      </c>
      <c r="AB56" s="260"/>
      <c r="AC56" s="261">
        <f t="shared" si="6"/>
        <v>59.2</v>
      </c>
      <c r="AD56" s="125" t="str">
        <f>VLOOKUP(C56,'BTH mủ tạp'!$C$17:$AL$160,36,0)</f>
        <v>B</v>
      </c>
      <c r="AE56" s="126"/>
      <c r="AF56" s="104"/>
      <c r="AH56" s="86"/>
      <c r="AI56" s="83"/>
      <c r="AJ56" s="84"/>
      <c r="AK56" s="84"/>
      <c r="AL56" s="84"/>
      <c r="AM56" s="84"/>
      <c r="AN56" s="84"/>
      <c r="AO56" s="84"/>
    </row>
    <row r="57" spans="1:41" ht="18.75" customHeight="1">
      <c r="A57" s="219">
        <v>47</v>
      </c>
      <c r="B57" s="255" t="e">
        <f>'Chấm công KT'!D59</f>
        <v>#N/A</v>
      </c>
      <c r="C57" s="220" t="str">
        <f>'Chấm công KT'!C59</f>
        <v>N. Nu Ni</v>
      </c>
      <c r="D57" s="123" t="s">
        <v>39</v>
      </c>
      <c r="E57" s="265">
        <f t="shared" si="2"/>
        <v>3.2</v>
      </c>
      <c r="F57" s="1108">
        <f t="shared" si="3"/>
        <v>24</v>
      </c>
      <c r="G57" s="265"/>
      <c r="H57" s="265">
        <v>32</v>
      </c>
      <c r="I57" s="265"/>
      <c r="J57" s="256"/>
      <c r="K57" s="203"/>
      <c r="L57" s="203"/>
      <c r="M57" s="256"/>
      <c r="N57" s="256"/>
      <c r="O57" s="266"/>
      <c r="P57" s="124"/>
      <c r="Q57" s="257">
        <f t="shared" si="4"/>
        <v>59.2</v>
      </c>
      <c r="R57" s="730">
        <f>VLOOKUP(C57,'BTH mủ tạp'!$C$17:$AI$96,33,0)</f>
        <v>2148</v>
      </c>
      <c r="S57" s="256"/>
      <c r="T57" s="195">
        <f t="shared" si="7"/>
        <v>0</v>
      </c>
      <c r="U57" s="259">
        <f t="shared" si="5"/>
        <v>2148</v>
      </c>
      <c r="V57" s="673">
        <f>VLOOKUP(C57,'Chấm công KT'!$C$13:$AJ$92,34,0)</f>
        <v>24</v>
      </c>
      <c r="W57" s="673">
        <f>VLOOKUP(C57,'Chấm công KT'!$C$13:$AK$92,35,0)</f>
        <v>4</v>
      </c>
      <c r="X57" s="674"/>
      <c r="Y57" s="673"/>
      <c r="Z57" s="673">
        <f>VLOOKUP(C57,'Chấm công KT'!$C$13:$AN$92,38,0)</f>
        <v>0</v>
      </c>
      <c r="AA57" s="673">
        <f>VLOOKUP(C57,'Chấm công KT'!$C$13:$AO$92,39,0)</f>
        <v>0</v>
      </c>
      <c r="AB57" s="260"/>
      <c r="AC57" s="261">
        <f t="shared" si="6"/>
        <v>59.2</v>
      </c>
      <c r="AD57" s="125" t="str">
        <f>VLOOKUP(C57,'BTH mủ tạp'!$C$17:$AL$160,36,0)</f>
        <v>B</v>
      </c>
      <c r="AE57" s="126"/>
      <c r="AF57" s="104"/>
      <c r="AG57" s="84"/>
      <c r="AH57" s="84"/>
      <c r="AI57" s="83"/>
      <c r="AJ57" s="84"/>
      <c r="AK57" s="84"/>
      <c r="AL57" s="84"/>
      <c r="AM57" s="84"/>
      <c r="AN57" s="84"/>
      <c r="AO57" s="84"/>
    </row>
    <row r="58" spans="1:41" ht="18.75" customHeight="1">
      <c r="A58" s="123">
        <v>48</v>
      </c>
      <c r="B58" s="255" t="str">
        <f>'Chấm công KT'!D60</f>
        <v>03494</v>
      </c>
      <c r="C58" s="220" t="str">
        <f>'Chấm công KT'!C60</f>
        <v>T. Đi</v>
      </c>
      <c r="D58" s="123" t="s">
        <v>39</v>
      </c>
      <c r="E58" s="265">
        <f t="shared" si="2"/>
        <v>3.2</v>
      </c>
      <c r="F58" s="1108">
        <f t="shared" si="3"/>
        <v>24</v>
      </c>
      <c r="G58" s="265"/>
      <c r="H58" s="265">
        <v>32</v>
      </c>
      <c r="I58" s="265"/>
      <c r="J58" s="256"/>
      <c r="K58" s="203"/>
      <c r="L58" s="203"/>
      <c r="M58" s="256"/>
      <c r="N58" s="256"/>
      <c r="O58" s="266"/>
      <c r="P58" s="124"/>
      <c r="Q58" s="257">
        <f t="shared" si="4"/>
        <v>59.2</v>
      </c>
      <c r="R58" s="730">
        <f>VLOOKUP(C58,'BTH mủ tạp'!$C$17:$AI$96,33,0)</f>
        <v>1454</v>
      </c>
      <c r="S58" s="256"/>
      <c r="T58" s="195">
        <f t="shared" si="7"/>
        <v>0</v>
      </c>
      <c r="U58" s="259">
        <f t="shared" si="5"/>
        <v>1454</v>
      </c>
      <c r="V58" s="673">
        <f>VLOOKUP(C58,'Chấm công KT'!$C$13:$AJ$92,34,0)</f>
        <v>25</v>
      </c>
      <c r="W58" s="673">
        <f>VLOOKUP(C58,'Chấm công KT'!$C$13:$AK$92,35,0)</f>
        <v>4</v>
      </c>
      <c r="X58" s="674"/>
      <c r="Y58" s="673"/>
      <c r="Z58" s="673">
        <f>VLOOKUP(C58,'Chấm công KT'!$C$13:$AN$92,38,0)</f>
        <v>0</v>
      </c>
      <c r="AA58" s="673">
        <f>VLOOKUP(C58,'Chấm công KT'!$C$13:$AO$92,39,0)</f>
        <v>0</v>
      </c>
      <c r="AB58" s="260"/>
      <c r="AC58" s="261">
        <f t="shared" si="6"/>
        <v>59.2</v>
      </c>
      <c r="AD58" s="125" t="str">
        <f>VLOOKUP(C58,'BTH mủ tạp'!$C$17:$AL$160,36,0)</f>
        <v>C</v>
      </c>
      <c r="AE58" s="126"/>
      <c r="AF58" s="104"/>
      <c r="AH58" s="84"/>
      <c r="AI58" s="83"/>
      <c r="AJ58" s="84"/>
      <c r="AK58" s="84"/>
      <c r="AL58" s="84"/>
      <c r="AM58" s="84"/>
      <c r="AN58" s="84"/>
      <c r="AO58" s="84"/>
    </row>
    <row r="59" spans="1:41" ht="18.75" customHeight="1">
      <c r="A59" s="219">
        <v>49</v>
      </c>
      <c r="B59" s="255" t="str">
        <f>'Chấm công KT'!D61</f>
        <v>03495</v>
      </c>
      <c r="C59" s="220" t="str">
        <f>'Chấm công KT'!C61</f>
        <v>N. On Xi</v>
      </c>
      <c r="D59" s="123" t="s">
        <v>39</v>
      </c>
      <c r="E59" s="265">
        <f t="shared" si="2"/>
        <v>3.2</v>
      </c>
      <c r="F59" s="1108">
        <f t="shared" si="3"/>
        <v>24</v>
      </c>
      <c r="G59" s="265"/>
      <c r="H59" s="265">
        <v>32</v>
      </c>
      <c r="I59" s="265"/>
      <c r="J59" s="256"/>
      <c r="K59" s="203"/>
      <c r="L59" s="203"/>
      <c r="M59" s="256"/>
      <c r="N59" s="256"/>
      <c r="O59" s="266"/>
      <c r="P59" s="124"/>
      <c r="Q59" s="257">
        <f t="shared" si="4"/>
        <v>59.2</v>
      </c>
      <c r="R59" s="730">
        <f>VLOOKUP(C59,'BTH mủ tạp'!$C$17:$AI$96,33,0)</f>
        <v>666</v>
      </c>
      <c r="S59" s="256"/>
      <c r="T59" s="195">
        <f t="shared" si="7"/>
        <v>0</v>
      </c>
      <c r="U59" s="259">
        <f t="shared" si="5"/>
        <v>666</v>
      </c>
      <c r="V59" s="673">
        <f>VLOOKUP(C59,'Chấm công KT'!$C$13:$AJ$92,34,0)</f>
        <v>22</v>
      </c>
      <c r="W59" s="673">
        <f>VLOOKUP(C59,'Chấm công KT'!$C$13:$AK$92,35,0)</f>
        <v>4</v>
      </c>
      <c r="X59" s="674"/>
      <c r="Y59" s="673"/>
      <c r="Z59" s="673">
        <f>VLOOKUP(C59,'Chấm công KT'!$C$13:$AN$92,38,0)</f>
        <v>0</v>
      </c>
      <c r="AA59" s="673">
        <f>VLOOKUP(C59,'Chấm công KT'!$C$13:$AO$92,39,0)</f>
        <v>0</v>
      </c>
      <c r="AB59" s="260"/>
      <c r="AC59" s="261">
        <f t="shared" si="6"/>
        <v>59.2</v>
      </c>
      <c r="AD59" s="125" t="str">
        <f>VLOOKUP(C59,'BTH mủ tạp'!$C$17:$AL$160,36,0)</f>
        <v>A</v>
      </c>
      <c r="AE59" s="126"/>
      <c r="AF59" s="104"/>
      <c r="AH59" s="84"/>
      <c r="AI59" s="83"/>
      <c r="AJ59" s="84"/>
      <c r="AK59" s="84"/>
      <c r="AL59" s="84"/>
      <c r="AM59" s="84"/>
      <c r="AN59" s="84"/>
      <c r="AO59" s="84"/>
    </row>
    <row r="60" spans="1:41" ht="18.75" customHeight="1">
      <c r="A60" s="123">
        <v>50</v>
      </c>
      <c r="B60" s="255" t="e">
        <f>'Chấm công KT'!D62</f>
        <v>#N/A</v>
      </c>
      <c r="C60" s="220" t="str">
        <f>'Chấm công KT'!C62</f>
        <v>N. Thông La</v>
      </c>
      <c r="D60" s="123" t="s">
        <v>39</v>
      </c>
      <c r="E60" s="265">
        <f t="shared" si="2"/>
        <v>3.2</v>
      </c>
      <c r="F60" s="1108">
        <f t="shared" si="3"/>
        <v>24</v>
      </c>
      <c r="G60" s="265"/>
      <c r="H60" s="265">
        <v>32</v>
      </c>
      <c r="I60" s="265"/>
      <c r="J60" s="256"/>
      <c r="K60" s="203"/>
      <c r="L60" s="203"/>
      <c r="M60" s="128"/>
      <c r="N60" s="256"/>
      <c r="O60" s="266"/>
      <c r="P60" s="124"/>
      <c r="Q60" s="257">
        <f t="shared" si="4"/>
        <v>59.2</v>
      </c>
      <c r="R60" s="730">
        <f>VLOOKUP(C60,'BTH mủ tạp'!$C$17:$AI$96,33,0)</f>
        <v>1646</v>
      </c>
      <c r="S60" s="256"/>
      <c r="T60" s="195">
        <f t="shared" si="7"/>
        <v>0</v>
      </c>
      <c r="U60" s="259">
        <f t="shared" si="5"/>
        <v>1646</v>
      </c>
      <c r="V60" s="673">
        <f>VLOOKUP(C60,'Chấm công KT'!$C$13:$AJ$92,34,0)</f>
        <v>27</v>
      </c>
      <c r="W60" s="673">
        <f>VLOOKUP(C60,'Chấm công KT'!$C$13:$AK$92,35,0)</f>
        <v>4</v>
      </c>
      <c r="X60" s="674"/>
      <c r="Y60" s="673"/>
      <c r="Z60" s="673">
        <f>VLOOKUP(C60,'Chấm công KT'!$C$13:$AN$92,38,0)</f>
        <v>0</v>
      </c>
      <c r="AA60" s="673">
        <f>VLOOKUP(C60,'Chấm công KT'!$C$13:$AO$92,39,0)</f>
        <v>0</v>
      </c>
      <c r="AB60" s="260"/>
      <c r="AC60" s="261">
        <f t="shared" si="6"/>
        <v>59.2</v>
      </c>
      <c r="AD60" s="125" t="str">
        <f>VLOOKUP(C60,'BTH mủ tạp'!$C$17:$AL$160,36,0)</f>
        <v>A</v>
      </c>
      <c r="AE60" s="126"/>
      <c r="AF60" s="104"/>
      <c r="AH60" s="84"/>
      <c r="AI60" s="83"/>
      <c r="AJ60" s="84"/>
      <c r="AK60" s="84"/>
      <c r="AL60" s="84"/>
      <c r="AM60" s="84"/>
      <c r="AN60" s="84"/>
      <c r="AO60" s="84"/>
    </row>
    <row r="61" spans="1:41" ht="18.75" customHeight="1">
      <c r="A61" s="219">
        <v>51</v>
      </c>
      <c r="B61" s="255" t="str">
        <f>'Chấm công KT'!D63</f>
        <v>03497</v>
      </c>
      <c r="C61" s="220" t="str">
        <f>'Chấm công KT'!C63</f>
        <v>T. Son Xay</v>
      </c>
      <c r="D61" s="123" t="s">
        <v>39</v>
      </c>
      <c r="E61" s="265">
        <f t="shared" si="2"/>
        <v>3.2</v>
      </c>
      <c r="F61" s="1108">
        <f t="shared" si="3"/>
        <v>24</v>
      </c>
      <c r="G61" s="265"/>
      <c r="H61" s="265">
        <v>32</v>
      </c>
      <c r="I61" s="265"/>
      <c r="J61" s="256"/>
      <c r="K61" s="203"/>
      <c r="L61" s="203"/>
      <c r="M61" s="256"/>
      <c r="N61" s="256"/>
      <c r="O61" s="266"/>
      <c r="P61" s="124"/>
      <c r="Q61" s="257">
        <f t="shared" si="4"/>
        <v>59.2</v>
      </c>
      <c r="R61" s="730">
        <f>VLOOKUP(C61,'BTH mủ tạp'!$C$17:$AI$96,33,0)</f>
        <v>1770</v>
      </c>
      <c r="S61" s="256"/>
      <c r="T61" s="195">
        <f t="shared" si="7"/>
        <v>0</v>
      </c>
      <c r="U61" s="259">
        <f t="shared" si="5"/>
        <v>1770</v>
      </c>
      <c r="V61" s="673">
        <f>VLOOKUP(C61,'Chấm công KT'!$C$13:$AJ$92,34,0)</f>
        <v>25</v>
      </c>
      <c r="W61" s="673">
        <f>VLOOKUP(C61,'Chấm công KT'!$C$13:$AK$92,35,0)</f>
        <v>4</v>
      </c>
      <c r="X61" s="674"/>
      <c r="Y61" s="673"/>
      <c r="Z61" s="673">
        <f>VLOOKUP(C61,'Chấm công KT'!$C$13:$AN$92,38,0)</f>
        <v>0</v>
      </c>
      <c r="AA61" s="673">
        <f>VLOOKUP(C61,'Chấm công KT'!$C$13:$AO$92,39,0)</f>
        <v>0</v>
      </c>
      <c r="AB61" s="260"/>
      <c r="AC61" s="261">
        <f t="shared" si="6"/>
        <v>59.2</v>
      </c>
      <c r="AD61" s="125" t="str">
        <f>VLOOKUP(C61,'BTH mủ tạp'!$C$17:$AL$160,36,0)</f>
        <v>A</v>
      </c>
      <c r="AE61" s="126"/>
      <c r="AF61" s="104"/>
      <c r="AH61" s="84"/>
      <c r="AI61" s="83"/>
      <c r="AJ61" s="84"/>
      <c r="AK61" s="84"/>
      <c r="AL61" s="84"/>
      <c r="AM61" s="84"/>
      <c r="AN61" s="84"/>
      <c r="AO61" s="84"/>
    </row>
    <row r="62" spans="1:41" ht="18.75" customHeight="1">
      <c r="A62" s="123">
        <v>52</v>
      </c>
      <c r="B62" s="255" t="str">
        <f>'Chấm công KT'!D64</f>
        <v>03498</v>
      </c>
      <c r="C62" s="220" t="str">
        <f>'Chấm công KT'!C64</f>
        <v>N. Lăm Phay</v>
      </c>
      <c r="D62" s="123" t="s">
        <v>39</v>
      </c>
      <c r="E62" s="265">
        <f t="shared" si="2"/>
        <v>3.2</v>
      </c>
      <c r="F62" s="1108">
        <f t="shared" si="3"/>
        <v>24</v>
      </c>
      <c r="G62" s="265"/>
      <c r="H62" s="265">
        <v>32</v>
      </c>
      <c r="I62" s="265"/>
      <c r="J62" s="256"/>
      <c r="K62" s="203"/>
      <c r="L62" s="128"/>
      <c r="M62" s="128"/>
      <c r="N62" s="124"/>
      <c r="O62" s="124"/>
      <c r="P62" s="124"/>
      <c r="Q62" s="257">
        <f t="shared" si="4"/>
        <v>59.2</v>
      </c>
      <c r="R62" s="730">
        <f>VLOOKUP(C62,'BTH mủ tạp'!$C$17:$AI$96,33,0)</f>
        <v>1752</v>
      </c>
      <c r="S62" s="256"/>
      <c r="T62" s="195">
        <f t="shared" si="7"/>
        <v>0</v>
      </c>
      <c r="U62" s="259">
        <f t="shared" si="5"/>
        <v>1752</v>
      </c>
      <c r="V62" s="673">
        <f>VLOOKUP(C62,'Chấm công KT'!$C$13:$AJ$92,34,0)</f>
        <v>25</v>
      </c>
      <c r="W62" s="673">
        <f>VLOOKUP(C62,'Chấm công KT'!$C$13:$AK$92,35,0)</f>
        <v>4</v>
      </c>
      <c r="X62" s="674"/>
      <c r="Y62" s="673"/>
      <c r="Z62" s="673">
        <f>VLOOKUP(C62,'Chấm công KT'!$C$13:$AN$92,38,0)</f>
        <v>0</v>
      </c>
      <c r="AA62" s="673">
        <f>VLOOKUP(C62,'Chấm công KT'!$C$13:$AO$92,39,0)</f>
        <v>0</v>
      </c>
      <c r="AB62" s="260"/>
      <c r="AC62" s="261">
        <f t="shared" si="6"/>
        <v>59.2</v>
      </c>
      <c r="AD62" s="125" t="str">
        <f>VLOOKUP(C62,'BTH mủ tạp'!$C$17:$AL$160,36,0)</f>
        <v>A</v>
      </c>
      <c r="AE62" s="126"/>
      <c r="AF62" s="104"/>
      <c r="AH62" s="84"/>
      <c r="AI62" s="83"/>
      <c r="AJ62" s="84"/>
      <c r="AK62" s="84"/>
      <c r="AL62" s="84"/>
      <c r="AM62" s="84"/>
      <c r="AN62" s="84"/>
      <c r="AO62" s="84"/>
    </row>
    <row r="63" spans="1:41" ht="18.75" customHeight="1">
      <c r="A63" s="219">
        <v>53</v>
      </c>
      <c r="B63" s="255" t="str">
        <f>'Chấm công KT'!D65</f>
        <v>02706</v>
      </c>
      <c r="C63" s="220" t="str">
        <f>'Chấm công KT'!C65</f>
        <v>T. Nhung</v>
      </c>
      <c r="D63" s="123" t="s">
        <v>39</v>
      </c>
      <c r="E63" s="265">
        <f t="shared" si="2"/>
        <v>3.2</v>
      </c>
      <c r="F63" s="1108">
        <f t="shared" si="3"/>
        <v>24</v>
      </c>
      <c r="G63" s="265"/>
      <c r="H63" s="265">
        <v>32</v>
      </c>
      <c r="I63" s="265"/>
      <c r="J63" s="256"/>
      <c r="K63" s="203"/>
      <c r="L63" s="203"/>
      <c r="M63" s="256"/>
      <c r="N63" s="256"/>
      <c r="O63" s="266"/>
      <c r="P63" s="124"/>
      <c r="Q63" s="257">
        <f t="shared" si="4"/>
        <v>59.2</v>
      </c>
      <c r="R63" s="730">
        <f>VLOOKUP(C63,'BTH mủ tạp'!$C$17:$AI$96,33,0)</f>
        <v>1702</v>
      </c>
      <c r="S63" s="256"/>
      <c r="T63" s="195">
        <f>S63*50/100</f>
        <v>0</v>
      </c>
      <c r="U63" s="259">
        <f t="shared" si="5"/>
        <v>1702</v>
      </c>
      <c r="V63" s="673">
        <f>VLOOKUP(C63,'Chấm công KT'!$C$13:$AJ$92,34,0)</f>
        <v>25</v>
      </c>
      <c r="W63" s="673">
        <f>VLOOKUP(C63,'Chấm công KT'!$C$13:$AK$92,35,0)</f>
        <v>4</v>
      </c>
      <c r="X63" s="674"/>
      <c r="Y63" s="673"/>
      <c r="Z63" s="673">
        <f>VLOOKUP(C63,'Chấm công KT'!$C$13:$AN$92,38,0)</f>
        <v>0</v>
      </c>
      <c r="AA63" s="673">
        <f>VLOOKUP(C63,'Chấm công KT'!$C$13:$AO$92,39,0)</f>
        <v>0</v>
      </c>
      <c r="AB63" s="260"/>
      <c r="AC63" s="261">
        <f t="shared" si="6"/>
        <v>59.2</v>
      </c>
      <c r="AD63" s="125" t="str">
        <f>VLOOKUP(C63,'BTH mủ tạp'!$C$17:$AL$160,36,0)</f>
        <v>A</v>
      </c>
      <c r="AE63" s="126"/>
      <c r="AF63" s="104"/>
      <c r="AH63" s="84"/>
      <c r="AI63" s="83"/>
      <c r="AJ63" s="84"/>
      <c r="AK63" s="84"/>
      <c r="AL63" s="84"/>
      <c r="AM63" s="84"/>
      <c r="AN63" s="84"/>
      <c r="AO63" s="84"/>
    </row>
    <row r="64" spans="1:41" ht="18.75" customHeight="1">
      <c r="A64" s="123">
        <v>54</v>
      </c>
      <c r="B64" s="255" t="e">
        <f>'Chấm công KT'!D66</f>
        <v>#N/A</v>
      </c>
      <c r="C64" s="220" t="str">
        <f>'Chấm công KT'!C66</f>
        <v>T. Khay Khăm</v>
      </c>
      <c r="D64" s="123" t="s">
        <v>39</v>
      </c>
      <c r="E64" s="265">
        <f t="shared" si="2"/>
        <v>3.2</v>
      </c>
      <c r="F64" s="1108">
        <f t="shared" si="3"/>
        <v>24</v>
      </c>
      <c r="G64" s="265"/>
      <c r="H64" s="265">
        <v>32</v>
      </c>
      <c r="I64" s="265"/>
      <c r="J64" s="256"/>
      <c r="K64" s="203"/>
      <c r="L64" s="203"/>
      <c r="M64" s="256"/>
      <c r="N64" s="256"/>
      <c r="O64" s="266"/>
      <c r="P64" s="124"/>
      <c r="Q64" s="257">
        <f t="shared" si="4"/>
        <v>59.2</v>
      </c>
      <c r="R64" s="730">
        <f>VLOOKUP(C64,'BTH mủ tạp'!$C$17:$AI$96,33,0)</f>
        <v>838</v>
      </c>
      <c r="S64" s="256"/>
      <c r="T64" s="195">
        <f t="shared" si="7"/>
        <v>0</v>
      </c>
      <c r="U64" s="259">
        <f t="shared" si="5"/>
        <v>838</v>
      </c>
      <c r="V64" s="673">
        <f>VLOOKUP(C64,'Chấm công KT'!$C$13:$AJ$92,34,0)</f>
        <v>23</v>
      </c>
      <c r="W64" s="673">
        <f>VLOOKUP(C64,'Chấm công KT'!$C$13:$AK$92,35,0)</f>
        <v>2</v>
      </c>
      <c r="X64" s="674"/>
      <c r="Y64" s="673"/>
      <c r="Z64" s="673">
        <f>VLOOKUP(C64,'Chấm công KT'!$C$13:$AN$92,38,0)</f>
        <v>0</v>
      </c>
      <c r="AA64" s="673">
        <f>VLOOKUP(C64,'Chấm công KT'!$C$13:$AO$92,39,0)</f>
        <v>0</v>
      </c>
      <c r="AB64" s="260"/>
      <c r="AC64" s="261">
        <f t="shared" si="6"/>
        <v>59.2</v>
      </c>
      <c r="AD64" s="125" t="str">
        <f>VLOOKUP(C64,'BTH mủ tạp'!$C$17:$AL$160,36,0)</f>
        <v>B</v>
      </c>
      <c r="AE64" s="126"/>
      <c r="AF64" s="104"/>
      <c r="AH64" s="84"/>
      <c r="AI64" s="83"/>
      <c r="AJ64" s="84"/>
      <c r="AK64" s="84"/>
      <c r="AL64" s="84"/>
      <c r="AM64" s="84"/>
      <c r="AN64" s="84"/>
      <c r="AO64" s="84"/>
    </row>
    <row r="65" spans="1:41" ht="18.75" customHeight="1">
      <c r="A65" s="219">
        <v>55</v>
      </c>
      <c r="B65" s="255">
        <f>'Chấm công KT'!D67</f>
        <v>0</v>
      </c>
      <c r="C65" s="220" t="str">
        <f>'Chấm công KT'!C67</f>
        <v>N. Khay Chăn</v>
      </c>
      <c r="D65" s="123" t="s">
        <v>39</v>
      </c>
      <c r="E65" s="265">
        <f t="shared" si="2"/>
        <v>3.2</v>
      </c>
      <c r="F65" s="1108">
        <f t="shared" si="3"/>
        <v>24</v>
      </c>
      <c r="G65" s="265"/>
      <c r="H65" s="265">
        <v>32</v>
      </c>
      <c r="I65" s="265"/>
      <c r="J65" s="256"/>
      <c r="K65" s="203"/>
      <c r="L65" s="128"/>
      <c r="M65" s="128"/>
      <c r="N65" s="124"/>
      <c r="O65" s="124"/>
      <c r="P65" s="124"/>
      <c r="Q65" s="257">
        <f t="shared" si="4"/>
        <v>59.2</v>
      </c>
      <c r="R65" s="730">
        <f>VLOOKUP(C65,'BTH mủ tạp'!$C$17:$AI$96,33,0)</f>
        <v>1981</v>
      </c>
      <c r="S65" s="256"/>
      <c r="T65" s="195">
        <f t="shared" si="7"/>
        <v>0</v>
      </c>
      <c r="U65" s="259">
        <f t="shared" si="5"/>
        <v>1981</v>
      </c>
      <c r="V65" s="673">
        <f>VLOOKUP(C65,'Chấm công KT'!$C$13:$AJ$92,34,0)</f>
        <v>27</v>
      </c>
      <c r="W65" s="673">
        <f>VLOOKUP(C65,'Chấm công KT'!$C$13:$AK$92,35,0)</f>
        <v>4</v>
      </c>
      <c r="X65" s="674"/>
      <c r="Y65" s="673"/>
      <c r="Z65" s="673">
        <f>VLOOKUP(C65,'Chấm công KT'!$C$13:$AN$92,38,0)</f>
        <v>0</v>
      </c>
      <c r="AA65" s="673">
        <f>VLOOKUP(C65,'Chấm công KT'!$C$13:$AO$92,39,0)</f>
        <v>0</v>
      </c>
      <c r="AB65" s="260"/>
      <c r="AC65" s="261">
        <f t="shared" si="6"/>
        <v>59.2</v>
      </c>
      <c r="AD65" s="125" t="str">
        <f>VLOOKUP(C65,'BTH mủ tạp'!$C$17:$AL$160,36,0)</f>
        <v>A</v>
      </c>
      <c r="AE65" s="126"/>
      <c r="AF65" s="104"/>
      <c r="AH65" s="84"/>
      <c r="AI65" s="83"/>
      <c r="AJ65" s="84"/>
      <c r="AK65" s="84"/>
      <c r="AL65" s="84"/>
      <c r="AM65" s="84"/>
      <c r="AN65" s="84"/>
      <c r="AO65" s="84"/>
    </row>
    <row r="66" spans="1:41" ht="18.75" customHeight="1">
      <c r="A66" s="123">
        <v>56</v>
      </c>
      <c r="B66" s="255" t="str">
        <f>'Chấm công KT'!D68</f>
        <v>03501</v>
      </c>
      <c r="C66" s="220" t="str">
        <f>'Chấm công KT'!C68</f>
        <v>T Dăn</v>
      </c>
      <c r="D66" s="123" t="s">
        <v>39</v>
      </c>
      <c r="E66" s="265">
        <f t="shared" si="2"/>
        <v>3.2</v>
      </c>
      <c r="F66" s="1108">
        <f t="shared" si="3"/>
        <v>24</v>
      </c>
      <c r="G66" s="265"/>
      <c r="H66" s="265">
        <v>32</v>
      </c>
      <c r="I66" s="265"/>
      <c r="J66" s="256"/>
      <c r="K66" s="203"/>
      <c r="L66" s="203"/>
      <c r="M66" s="256"/>
      <c r="N66" s="256"/>
      <c r="O66" s="266"/>
      <c r="P66" s="124"/>
      <c r="Q66" s="257">
        <f t="shared" si="4"/>
        <v>59.2</v>
      </c>
      <c r="R66" s="730">
        <f>VLOOKUP(C66,'BTH mủ tạp'!$C$17:$AI$96,33,0)</f>
        <v>1407</v>
      </c>
      <c r="S66" s="256"/>
      <c r="T66" s="195">
        <f t="shared" si="7"/>
        <v>0</v>
      </c>
      <c r="U66" s="259">
        <f t="shared" si="5"/>
        <v>1407</v>
      </c>
      <c r="V66" s="673">
        <f>VLOOKUP(C66,'Chấm công KT'!$C$13:$AJ$92,34,0)</f>
        <v>26</v>
      </c>
      <c r="W66" s="673">
        <f>VLOOKUP(C66,'Chấm công KT'!$C$13:$AK$92,35,0)</f>
        <v>3</v>
      </c>
      <c r="X66" s="674"/>
      <c r="Y66" s="673"/>
      <c r="Z66" s="673">
        <f>VLOOKUP(C66,'Chấm công KT'!$C$13:$AN$92,38,0)</f>
        <v>0</v>
      </c>
      <c r="AA66" s="673">
        <f>VLOOKUP(C66,'Chấm công KT'!$C$13:$AO$92,39,0)</f>
        <v>0</v>
      </c>
      <c r="AB66" s="260"/>
      <c r="AC66" s="261">
        <f t="shared" si="6"/>
        <v>59.2</v>
      </c>
      <c r="AD66" s="125" t="str">
        <f>VLOOKUP(C66,'BTH mủ tạp'!$C$17:$AL$160,36,0)</f>
        <v>B</v>
      </c>
      <c r="AE66" s="126"/>
      <c r="AF66" s="104"/>
      <c r="AH66" s="84"/>
      <c r="AI66" s="87"/>
      <c r="AJ66" s="84"/>
      <c r="AK66" s="84"/>
      <c r="AL66" s="84"/>
      <c r="AM66" s="84"/>
      <c r="AN66" s="84"/>
      <c r="AO66" s="84"/>
    </row>
    <row r="67" spans="1:41" ht="18.75" customHeight="1">
      <c r="A67" s="219">
        <v>57</v>
      </c>
      <c r="B67" s="255" t="str">
        <f>'Chấm công KT'!D69</f>
        <v>03502</v>
      </c>
      <c r="C67" s="220" t="str">
        <f>'Chấm công KT'!C69</f>
        <v>T. Xợt</v>
      </c>
      <c r="D67" s="123" t="s">
        <v>39</v>
      </c>
      <c r="E67" s="265">
        <f t="shared" si="2"/>
        <v>3.2</v>
      </c>
      <c r="F67" s="1108">
        <f t="shared" si="3"/>
        <v>24</v>
      </c>
      <c r="G67" s="265"/>
      <c r="H67" s="265">
        <v>32</v>
      </c>
      <c r="I67" s="265"/>
      <c r="J67" s="256"/>
      <c r="K67" s="203"/>
      <c r="L67" s="203"/>
      <c r="M67" s="256"/>
      <c r="N67" s="256"/>
      <c r="O67" s="266"/>
      <c r="P67" s="124"/>
      <c r="Q67" s="257">
        <f t="shared" si="4"/>
        <v>59.2</v>
      </c>
      <c r="R67" s="730">
        <f>VLOOKUP(C67,'BTH mủ tạp'!$C$17:$AI$96,33,0)</f>
        <v>1654</v>
      </c>
      <c r="S67" s="256"/>
      <c r="T67" s="195">
        <f t="shared" si="7"/>
        <v>0</v>
      </c>
      <c r="U67" s="259">
        <f t="shared" si="5"/>
        <v>1654</v>
      </c>
      <c r="V67" s="673">
        <f>VLOOKUP(C67,'Chấm công KT'!$C$13:$AJ$92,34,0)</f>
        <v>26</v>
      </c>
      <c r="W67" s="673">
        <f>VLOOKUP(C67,'Chấm công KT'!$C$13:$AK$92,35,0)</f>
        <v>4</v>
      </c>
      <c r="X67" s="674"/>
      <c r="Y67" s="673"/>
      <c r="Z67" s="673">
        <f>VLOOKUP(C67,'Chấm công KT'!$C$13:$AN$92,38,0)</f>
        <v>0</v>
      </c>
      <c r="AA67" s="673">
        <f>VLOOKUP(C67,'Chấm công KT'!$C$13:$AO$92,39,0)</f>
        <v>0</v>
      </c>
      <c r="AB67" s="260"/>
      <c r="AC67" s="261">
        <f t="shared" si="6"/>
        <v>59.2</v>
      </c>
      <c r="AD67" s="125" t="str">
        <f>VLOOKUP(C67,'BTH mủ tạp'!$C$17:$AL$160,36,0)</f>
        <v>A</v>
      </c>
      <c r="AE67" s="126"/>
      <c r="AF67" s="104"/>
      <c r="AH67" s="84"/>
      <c r="AI67" s="83"/>
      <c r="AJ67" s="84"/>
      <c r="AK67" s="84"/>
      <c r="AL67" s="84"/>
      <c r="AM67" s="84"/>
      <c r="AN67" s="84"/>
      <c r="AO67" s="84"/>
    </row>
    <row r="68" spans="1:41" ht="18.75" customHeight="1">
      <c r="A68" s="123">
        <v>58</v>
      </c>
      <c r="B68" s="255" t="e">
        <f>'Chấm công KT'!D70</f>
        <v>#N/A</v>
      </c>
      <c r="C68" s="220" t="str">
        <f>'Chấm công KT'!C70</f>
        <v>N. Phết 2</v>
      </c>
      <c r="D68" s="123" t="s">
        <v>39</v>
      </c>
      <c r="E68" s="265">
        <f t="shared" si="2"/>
        <v>3.2</v>
      </c>
      <c r="F68" s="1108">
        <f t="shared" si="3"/>
        <v>24</v>
      </c>
      <c r="G68" s="265"/>
      <c r="H68" s="265">
        <v>32</v>
      </c>
      <c r="I68" s="265"/>
      <c r="J68" s="256"/>
      <c r="K68" s="203"/>
      <c r="L68" s="203"/>
      <c r="M68" s="256"/>
      <c r="N68" s="256"/>
      <c r="O68" s="266"/>
      <c r="P68" s="124"/>
      <c r="Q68" s="257">
        <f t="shared" si="4"/>
        <v>59.2</v>
      </c>
      <c r="R68" s="730">
        <f>VLOOKUP(C68,'BTH mủ tạp'!$C$17:$AI$96,33,0)</f>
        <v>1444</v>
      </c>
      <c r="S68" s="256"/>
      <c r="T68" s="195">
        <f t="shared" si="7"/>
        <v>0</v>
      </c>
      <c r="U68" s="259">
        <f t="shared" si="5"/>
        <v>1444</v>
      </c>
      <c r="V68" s="673">
        <f>VLOOKUP(C68,'Chấm công KT'!$C$13:$AJ$92,34,0)</f>
        <v>26</v>
      </c>
      <c r="W68" s="673">
        <f>VLOOKUP(C68,'Chấm công KT'!$C$13:$AK$92,35,0)</f>
        <v>4</v>
      </c>
      <c r="X68" s="674"/>
      <c r="Y68" s="673"/>
      <c r="Z68" s="673">
        <f>VLOOKUP(C68,'Chấm công KT'!$C$13:$AN$92,38,0)</f>
        <v>0</v>
      </c>
      <c r="AA68" s="673">
        <f>VLOOKUP(C68,'Chấm công KT'!$C$13:$AO$92,39,0)</f>
        <v>0</v>
      </c>
      <c r="AB68" s="260"/>
      <c r="AC68" s="261">
        <f t="shared" si="6"/>
        <v>59.2</v>
      </c>
      <c r="AD68" s="125" t="str">
        <f>VLOOKUP(C68,'BTH mủ tạp'!$C$17:$AL$160,36,0)</f>
        <v>A</v>
      </c>
      <c r="AE68" s="126"/>
      <c r="AF68" s="104"/>
      <c r="AH68" s="88"/>
      <c r="AI68" s="89"/>
      <c r="AJ68" s="88"/>
      <c r="AK68" s="88"/>
      <c r="AL68" s="84"/>
      <c r="AM68" s="88"/>
      <c r="AN68" s="88"/>
      <c r="AO68" s="84"/>
    </row>
    <row r="69" spans="1:41" ht="18.75" customHeight="1">
      <c r="A69" s="219">
        <v>59</v>
      </c>
      <c r="B69" s="255" t="str">
        <f>'Chấm công KT'!D71</f>
        <v>03504</v>
      </c>
      <c r="C69" s="220" t="str">
        <f>'Chấm công KT'!C71</f>
        <v>T. Cạp</v>
      </c>
      <c r="D69" s="123" t="s">
        <v>39</v>
      </c>
      <c r="E69" s="265">
        <f t="shared" si="2"/>
        <v>3.2</v>
      </c>
      <c r="F69" s="1108">
        <f t="shared" si="3"/>
        <v>24</v>
      </c>
      <c r="G69" s="265"/>
      <c r="H69" s="265">
        <v>32</v>
      </c>
      <c r="I69" s="265"/>
      <c r="J69" s="256"/>
      <c r="K69" s="203"/>
      <c r="L69" s="203"/>
      <c r="M69" s="256"/>
      <c r="N69" s="256"/>
      <c r="O69" s="266"/>
      <c r="P69" s="124"/>
      <c r="Q69" s="257">
        <f t="shared" si="4"/>
        <v>59.2</v>
      </c>
      <c r="R69" s="730">
        <f>VLOOKUP(C69,'BTH mủ tạp'!$C$17:$AI$96,33,0)</f>
        <v>1476</v>
      </c>
      <c r="S69" s="256"/>
      <c r="T69" s="195">
        <f t="shared" si="7"/>
        <v>0</v>
      </c>
      <c r="U69" s="259">
        <f t="shared" si="5"/>
        <v>1476</v>
      </c>
      <c r="V69" s="673">
        <f>VLOOKUP(C69,'Chấm công KT'!$C$13:$AJ$92,34,0)</f>
        <v>26</v>
      </c>
      <c r="W69" s="673">
        <f>VLOOKUP(C69,'Chấm công KT'!$C$13:$AK$92,35,0)</f>
        <v>4</v>
      </c>
      <c r="X69" s="674"/>
      <c r="Y69" s="673"/>
      <c r="Z69" s="673">
        <f>VLOOKUP(C69,'Chấm công KT'!$C$13:$AN$92,38,0)</f>
        <v>0</v>
      </c>
      <c r="AA69" s="673">
        <f>VLOOKUP(C69,'Chấm công KT'!$C$13:$AO$92,39,0)</f>
        <v>0</v>
      </c>
      <c r="AB69" s="260"/>
      <c r="AC69" s="261">
        <f t="shared" si="6"/>
        <v>59.2</v>
      </c>
      <c r="AD69" s="125" t="str">
        <f>VLOOKUP(C69,'BTH mủ tạp'!$C$17:$AL$160,36,0)</f>
        <v>B</v>
      </c>
      <c r="AE69" s="126"/>
      <c r="AF69" s="104"/>
      <c r="AH69" s="86"/>
      <c r="AI69" s="83"/>
      <c r="AJ69" s="84"/>
      <c r="AK69" s="84"/>
      <c r="AL69" s="84"/>
      <c r="AM69" s="84"/>
      <c r="AN69" s="84"/>
      <c r="AO69" s="84"/>
    </row>
    <row r="70" spans="1:41" ht="18.75" customHeight="1">
      <c r="A70" s="123">
        <v>60</v>
      </c>
      <c r="B70" s="255" t="e">
        <f>'Chấm công KT'!D72</f>
        <v>#N/A</v>
      </c>
      <c r="C70" s="220" t="str">
        <f>'Chấm công KT'!C72</f>
        <v>T. Toi</v>
      </c>
      <c r="D70" s="123" t="s">
        <v>39</v>
      </c>
      <c r="E70" s="265">
        <f t="shared" si="2"/>
        <v>3.2</v>
      </c>
      <c r="F70" s="1108">
        <f t="shared" si="3"/>
        <v>24</v>
      </c>
      <c r="G70" s="265"/>
      <c r="H70" s="265">
        <v>32</v>
      </c>
      <c r="I70" s="265"/>
      <c r="J70" s="256"/>
      <c r="K70" s="203"/>
      <c r="L70" s="128"/>
      <c r="M70" s="128"/>
      <c r="N70" s="124"/>
      <c r="O70" s="124"/>
      <c r="P70" s="124"/>
      <c r="Q70" s="257">
        <f t="shared" si="4"/>
        <v>59.2</v>
      </c>
      <c r="R70" s="730">
        <f>VLOOKUP(C70,'BTH mủ tạp'!$C$17:$AI$96,33,0)</f>
        <v>1332</v>
      </c>
      <c r="S70" s="256"/>
      <c r="T70" s="195">
        <f t="shared" si="7"/>
        <v>0</v>
      </c>
      <c r="U70" s="259">
        <f t="shared" si="5"/>
        <v>1332</v>
      </c>
      <c r="V70" s="673">
        <f>VLOOKUP(C70,'Chấm công KT'!$C$13:$AJ$92,34,0)</f>
        <v>25</v>
      </c>
      <c r="W70" s="673">
        <f>VLOOKUP(C70,'Chấm công KT'!$C$13:$AK$92,35,0)</f>
        <v>4</v>
      </c>
      <c r="X70" s="674"/>
      <c r="Y70" s="673"/>
      <c r="Z70" s="673">
        <f>VLOOKUP(C70,'Chấm công KT'!$C$13:$AN$92,38,0)</f>
        <v>0</v>
      </c>
      <c r="AA70" s="673">
        <f>VLOOKUP(C70,'Chấm công KT'!$C$13:$AO$92,39,0)</f>
        <v>0</v>
      </c>
      <c r="AB70" s="260"/>
      <c r="AC70" s="261">
        <f t="shared" si="6"/>
        <v>59.2</v>
      </c>
      <c r="AD70" s="125" t="str">
        <f>VLOOKUP(C70,'BTH mủ tạp'!$C$17:$AL$160,36,0)</f>
        <v>A</v>
      </c>
      <c r="AE70" s="126"/>
      <c r="AF70" s="104"/>
      <c r="AH70" s="86"/>
      <c r="AI70" s="83"/>
      <c r="AJ70" s="84"/>
      <c r="AK70" s="84"/>
      <c r="AL70" s="84"/>
      <c r="AM70" s="84"/>
      <c r="AN70" s="84"/>
      <c r="AO70" s="84"/>
    </row>
    <row r="71" spans="1:41" ht="18.75" customHeight="1">
      <c r="A71" s="219">
        <v>61</v>
      </c>
      <c r="B71" s="255" t="str">
        <f>'Chấm công KT'!D73</f>
        <v>03506</v>
      </c>
      <c r="C71" s="220" t="str">
        <f>'Chấm công KT'!C73</f>
        <v>N. Bua Hom</v>
      </c>
      <c r="D71" s="123" t="s">
        <v>39</v>
      </c>
      <c r="E71" s="265">
        <f t="shared" si="2"/>
        <v>3.2</v>
      </c>
      <c r="F71" s="1108">
        <f t="shared" si="3"/>
        <v>24</v>
      </c>
      <c r="G71" s="265"/>
      <c r="H71" s="265">
        <v>32</v>
      </c>
      <c r="I71" s="265"/>
      <c r="J71" s="256"/>
      <c r="K71" s="203"/>
      <c r="L71" s="128"/>
      <c r="M71" s="128"/>
      <c r="N71" s="124"/>
      <c r="O71" s="124"/>
      <c r="P71" s="124"/>
      <c r="Q71" s="257">
        <f t="shared" si="4"/>
        <v>59.2</v>
      </c>
      <c r="R71" s="730">
        <f>VLOOKUP(C71,'BTH mủ tạp'!$C$17:$AI$96,33,0)</f>
        <v>1582</v>
      </c>
      <c r="S71" s="256"/>
      <c r="T71" s="195">
        <f t="shared" si="7"/>
        <v>0</v>
      </c>
      <c r="U71" s="259">
        <f t="shared" si="5"/>
        <v>1582</v>
      </c>
      <c r="V71" s="673">
        <f>VLOOKUP(C71,'Chấm công KT'!$C$13:$AJ$92,34,0)</f>
        <v>25</v>
      </c>
      <c r="W71" s="673">
        <f>VLOOKUP(C71,'Chấm công KT'!$C$13:$AK$92,35,0)</f>
        <v>4</v>
      </c>
      <c r="X71" s="674"/>
      <c r="Y71" s="673"/>
      <c r="Z71" s="673">
        <f>VLOOKUP(C71,'Chấm công KT'!$C$13:$AN$92,38,0)</f>
        <v>0</v>
      </c>
      <c r="AA71" s="673">
        <f>VLOOKUP(C71,'Chấm công KT'!$C$13:$AO$92,39,0)</f>
        <v>0</v>
      </c>
      <c r="AB71" s="260"/>
      <c r="AC71" s="261">
        <f t="shared" si="6"/>
        <v>59.2</v>
      </c>
      <c r="AD71" s="125" t="str">
        <f>VLOOKUP(C71,'BTH mủ tạp'!$C$17:$AL$160,36,0)</f>
        <v>B</v>
      </c>
      <c r="AE71" s="126"/>
      <c r="AF71" s="104"/>
      <c r="AH71" s="86"/>
      <c r="AI71" s="83"/>
      <c r="AJ71" s="84"/>
      <c r="AK71" s="84"/>
      <c r="AL71" s="84"/>
      <c r="AM71" s="84"/>
      <c r="AN71" s="84"/>
      <c r="AO71" s="84"/>
    </row>
    <row r="72" spans="1:41" ht="18.75" customHeight="1">
      <c r="A72" s="123">
        <v>62</v>
      </c>
      <c r="B72" s="255" t="e">
        <f>'Chấm công KT'!D74</f>
        <v>#N/A</v>
      </c>
      <c r="C72" s="220" t="str">
        <f>'Chấm công KT'!C74</f>
        <v>N. Lăm Phay (2)</v>
      </c>
      <c r="D72" s="123" t="s">
        <v>39</v>
      </c>
      <c r="E72" s="265">
        <f t="shared" si="2"/>
        <v>3.2</v>
      </c>
      <c r="F72" s="1108">
        <f t="shared" si="3"/>
        <v>24</v>
      </c>
      <c r="G72" s="265"/>
      <c r="H72" s="265">
        <v>32</v>
      </c>
      <c r="I72" s="265"/>
      <c r="J72" s="256"/>
      <c r="K72" s="203"/>
      <c r="L72" s="128"/>
      <c r="M72" s="128"/>
      <c r="N72" s="124"/>
      <c r="O72" s="124"/>
      <c r="P72" s="124"/>
      <c r="Q72" s="257">
        <f t="shared" si="4"/>
        <v>59.2</v>
      </c>
      <c r="R72" s="730">
        <f>VLOOKUP(C72,'BTH mủ tạp'!$C$17:$AI$96,33,0)</f>
        <v>1386</v>
      </c>
      <c r="S72" s="256"/>
      <c r="T72" s="195">
        <f t="shared" si="7"/>
        <v>0</v>
      </c>
      <c r="U72" s="259">
        <f t="shared" si="5"/>
        <v>1386</v>
      </c>
      <c r="V72" s="673">
        <f>VLOOKUP(C72,'Chấm công KT'!$C$13:$AJ$92,34,0)</f>
        <v>25</v>
      </c>
      <c r="W72" s="673">
        <f>VLOOKUP(C72,'Chấm công KT'!$C$13:$AK$92,35,0)</f>
        <v>4</v>
      </c>
      <c r="X72" s="674"/>
      <c r="Y72" s="673"/>
      <c r="Z72" s="673">
        <f>VLOOKUP(C72,'Chấm công KT'!$C$13:$AN$92,38,0)</f>
        <v>0</v>
      </c>
      <c r="AA72" s="673">
        <f>VLOOKUP(C72,'Chấm công KT'!$C$13:$AO$92,39,0)</f>
        <v>0</v>
      </c>
      <c r="AB72" s="260"/>
      <c r="AC72" s="261">
        <f t="shared" si="6"/>
        <v>59.2</v>
      </c>
      <c r="AD72" s="125" t="str">
        <f>VLOOKUP(C72,'BTH mủ tạp'!$C$17:$AL$160,36,0)</f>
        <v>A</v>
      </c>
      <c r="AE72" s="126"/>
      <c r="AF72" s="104"/>
      <c r="AG72" s="70"/>
      <c r="AH72" s="86"/>
      <c r="AI72" s="83"/>
      <c r="AJ72" s="84"/>
      <c r="AK72" s="84"/>
      <c r="AL72" s="84"/>
      <c r="AM72" s="84"/>
      <c r="AN72" s="84"/>
      <c r="AO72" s="84"/>
    </row>
    <row r="73" spans="1:41" ht="18.75" customHeight="1">
      <c r="A73" s="219">
        <v>63</v>
      </c>
      <c r="B73" s="255" t="str">
        <f>'Chấm công KT'!D75</f>
        <v>03508</v>
      </c>
      <c r="C73" s="220" t="str">
        <f>'Chấm công KT'!C75</f>
        <v>T. Đèng</v>
      </c>
      <c r="D73" s="123" t="s">
        <v>39</v>
      </c>
      <c r="E73" s="265">
        <f t="shared" si="2"/>
        <v>3.2</v>
      </c>
      <c r="F73" s="1108">
        <f t="shared" si="3"/>
        <v>24</v>
      </c>
      <c r="G73" s="265"/>
      <c r="H73" s="265">
        <v>32</v>
      </c>
      <c r="I73" s="265"/>
      <c r="J73" s="256"/>
      <c r="K73" s="203"/>
      <c r="L73" s="128"/>
      <c r="M73" s="128"/>
      <c r="N73" s="124"/>
      <c r="O73" s="124"/>
      <c r="P73" s="124"/>
      <c r="Q73" s="257">
        <f t="shared" si="4"/>
        <v>59.2</v>
      </c>
      <c r="R73" s="730">
        <f>VLOOKUP(C73,'BTH mủ tạp'!$C$17:$AI$96,33,0)</f>
        <v>433</v>
      </c>
      <c r="S73" s="256"/>
      <c r="T73" s="195">
        <f t="shared" si="7"/>
        <v>0</v>
      </c>
      <c r="U73" s="259">
        <f t="shared" si="5"/>
        <v>433</v>
      </c>
      <c r="V73" s="673">
        <f>VLOOKUP(C73,'Chấm công KT'!$C$13:$AJ$92,34,0)</f>
        <v>18</v>
      </c>
      <c r="W73" s="673">
        <f>VLOOKUP(C73,'Chấm công KT'!$C$13:$AK$92,35,0)</f>
        <v>3</v>
      </c>
      <c r="X73" s="674"/>
      <c r="Y73" s="673"/>
      <c r="Z73" s="673">
        <f>VLOOKUP(C73,'Chấm công KT'!$C$13:$AN$92,38,0)</f>
        <v>0</v>
      </c>
      <c r="AA73" s="673">
        <f>VLOOKUP(C73,'Chấm công KT'!$C$13:$AO$92,39,0)</f>
        <v>0</v>
      </c>
      <c r="AB73" s="260"/>
      <c r="AC73" s="261">
        <f t="shared" si="6"/>
        <v>59.2</v>
      </c>
      <c r="AD73" s="125" t="str">
        <f>VLOOKUP(C73,'BTH mủ tạp'!$C$17:$AL$160,36,0)</f>
        <v>A</v>
      </c>
      <c r="AE73" s="126"/>
      <c r="AF73" s="104"/>
      <c r="AH73" s="86"/>
      <c r="AI73" s="83"/>
      <c r="AJ73" s="84"/>
      <c r="AK73" s="84"/>
      <c r="AL73" s="84"/>
      <c r="AM73" s="84"/>
      <c r="AN73" s="84"/>
      <c r="AO73" s="84"/>
    </row>
    <row r="74" spans="1:41" ht="18.75" customHeight="1">
      <c r="A74" s="123">
        <v>64</v>
      </c>
      <c r="B74" s="255" t="str">
        <f>'Chấm công KT'!D76</f>
        <v>03512</v>
      </c>
      <c r="C74" s="220" t="str">
        <f>'Chấm công KT'!C76</f>
        <v>N. Đon</v>
      </c>
      <c r="D74" s="123" t="s">
        <v>39</v>
      </c>
      <c r="E74" s="265">
        <f t="shared" si="2"/>
        <v>3.2</v>
      </c>
      <c r="F74" s="1108">
        <f t="shared" si="3"/>
        <v>24</v>
      </c>
      <c r="G74" s="265"/>
      <c r="H74" s="265">
        <v>32</v>
      </c>
      <c r="I74" s="265"/>
      <c r="J74" s="256"/>
      <c r="K74" s="203"/>
      <c r="L74" s="128"/>
      <c r="M74" s="128"/>
      <c r="N74" s="124"/>
      <c r="O74" s="124"/>
      <c r="P74" s="124"/>
      <c r="Q74" s="257">
        <f t="shared" si="4"/>
        <v>59.2</v>
      </c>
      <c r="R74" s="730">
        <f>VLOOKUP(C74,'BTH mủ tạp'!$C$17:$AI$96,33,0)</f>
        <v>763</v>
      </c>
      <c r="S74" s="256"/>
      <c r="T74" s="195">
        <f t="shared" si="7"/>
        <v>0</v>
      </c>
      <c r="U74" s="259">
        <f t="shared" si="5"/>
        <v>763</v>
      </c>
      <c r="V74" s="673">
        <f>VLOOKUP(C74,'Chấm công KT'!$C$13:$AJ$92,34,0)</f>
        <v>24</v>
      </c>
      <c r="W74" s="673">
        <f>VLOOKUP(C74,'Chấm công KT'!$C$13:$AK$92,35,0)</f>
        <v>4</v>
      </c>
      <c r="X74" s="674"/>
      <c r="Y74" s="673"/>
      <c r="Z74" s="673">
        <f>VLOOKUP(C74,'Chấm công KT'!$C$13:$AN$92,38,0)</f>
        <v>0</v>
      </c>
      <c r="AA74" s="673">
        <f>VLOOKUP(C74,'Chấm công KT'!$C$13:$AO$92,39,0)</f>
        <v>0</v>
      </c>
      <c r="AB74" s="260"/>
      <c r="AC74" s="261">
        <f t="shared" si="6"/>
        <v>59.2</v>
      </c>
      <c r="AD74" s="125" t="str">
        <f>VLOOKUP(C74,'BTH mủ tạp'!$C$17:$AL$160,36,0)</f>
        <v>B</v>
      </c>
      <c r="AE74" s="126"/>
      <c r="AF74" s="104"/>
      <c r="AH74" s="86"/>
      <c r="AI74" s="83"/>
      <c r="AJ74" s="84"/>
      <c r="AK74" s="84"/>
      <c r="AL74" s="84"/>
      <c r="AM74" s="84"/>
      <c r="AN74" s="84"/>
      <c r="AO74" s="84"/>
    </row>
    <row r="75" spans="1:41" ht="18.75" customHeight="1">
      <c r="A75" s="219">
        <v>65</v>
      </c>
      <c r="B75" s="255">
        <f>'Chấm công KT'!D77</f>
        <v>0</v>
      </c>
      <c r="C75" s="220" t="str">
        <f>'Chấm công KT'!C77</f>
        <v xml:space="preserve">T. La </v>
      </c>
      <c r="D75" s="123" t="s">
        <v>39</v>
      </c>
      <c r="E75" s="265">
        <f t="shared" si="2"/>
        <v>3.2</v>
      </c>
      <c r="F75" s="1108">
        <f t="shared" si="3"/>
        <v>24</v>
      </c>
      <c r="G75" s="265"/>
      <c r="H75" s="265">
        <v>32</v>
      </c>
      <c r="I75" s="265"/>
      <c r="J75" s="256"/>
      <c r="K75" s="203"/>
      <c r="L75" s="128"/>
      <c r="M75" s="128"/>
      <c r="N75" s="124"/>
      <c r="O75" s="124"/>
      <c r="P75" s="124"/>
      <c r="Q75" s="257">
        <f t="shared" si="4"/>
        <v>59.2</v>
      </c>
      <c r="R75" s="730">
        <f>VLOOKUP(C75,'BTH mủ tạp'!$C$17:$AI$96,33,0)</f>
        <v>967</v>
      </c>
      <c r="S75" s="256"/>
      <c r="T75" s="195">
        <f t="shared" si="7"/>
        <v>0</v>
      </c>
      <c r="U75" s="259">
        <f t="shared" si="5"/>
        <v>967</v>
      </c>
      <c r="V75" s="673">
        <f>VLOOKUP(C75,'Chấm công KT'!$C$13:$AJ$92,34,0)</f>
        <v>26</v>
      </c>
      <c r="W75" s="673">
        <f>VLOOKUP(C75,'Chấm công KT'!$C$13:$AK$92,35,0)</f>
        <v>3</v>
      </c>
      <c r="X75" s="674"/>
      <c r="Y75" s="673"/>
      <c r="Z75" s="673">
        <f>VLOOKUP(C75,'Chấm công KT'!$C$13:$AN$92,38,0)</f>
        <v>0</v>
      </c>
      <c r="AA75" s="673">
        <f>VLOOKUP(C75,'Chấm công KT'!$C$13:$AO$92,39,0)</f>
        <v>0</v>
      </c>
      <c r="AB75" s="260"/>
      <c r="AC75" s="261">
        <f t="shared" si="6"/>
        <v>59.2</v>
      </c>
      <c r="AD75" s="125" t="str">
        <f>VLOOKUP(C75,'BTH mủ tạp'!$C$17:$AL$160,36,0)</f>
        <v>A</v>
      </c>
      <c r="AE75" s="126"/>
      <c r="AF75" s="104"/>
      <c r="AH75" s="86"/>
      <c r="AI75" s="83"/>
      <c r="AJ75" s="84"/>
      <c r="AK75" s="84"/>
      <c r="AL75" s="84"/>
      <c r="AM75" s="84"/>
      <c r="AN75" s="84"/>
      <c r="AO75" s="84"/>
    </row>
    <row r="76" spans="1:41" ht="18.75" customHeight="1">
      <c r="A76" s="123">
        <v>66</v>
      </c>
      <c r="B76" s="255">
        <f>'Chấm công KT'!D78</f>
        <v>0</v>
      </c>
      <c r="C76" s="220" t="str">
        <f>'Chấm công KT'!C78</f>
        <v>T. Bờm</v>
      </c>
      <c r="D76" s="123" t="s">
        <v>39</v>
      </c>
      <c r="E76" s="265">
        <f t="shared" ref="E76:E83" si="8">4/1.25</f>
        <v>3.2</v>
      </c>
      <c r="F76" s="1108">
        <f t="shared" ref="F76:F83" si="9">600000/25000</f>
        <v>24</v>
      </c>
      <c r="G76" s="265"/>
      <c r="H76" s="265">
        <v>32</v>
      </c>
      <c r="I76" s="265"/>
      <c r="J76" s="256"/>
      <c r="K76" s="203"/>
      <c r="L76" s="128"/>
      <c r="M76" s="128"/>
      <c r="N76" s="124"/>
      <c r="O76" s="124"/>
      <c r="P76" s="124"/>
      <c r="Q76" s="257">
        <f t="shared" ref="Q76:Q91" si="10">SUM(E76:P76)</f>
        <v>59.2</v>
      </c>
      <c r="R76" s="730">
        <f>VLOOKUP(C76,'BTH mủ tạp'!$C$17:$AI$96,33,0)</f>
        <v>756</v>
      </c>
      <c r="S76" s="256"/>
      <c r="T76" s="195">
        <f t="shared" ref="T76:T86" si="11">S76*50/100</f>
        <v>0</v>
      </c>
      <c r="U76" s="259">
        <f t="shared" ref="U76:U91" si="12">R76</f>
        <v>756</v>
      </c>
      <c r="V76" s="673">
        <f>VLOOKUP(C76,'Chấm công KT'!$C$13:$AJ$92,34,0)</f>
        <v>24</v>
      </c>
      <c r="W76" s="673">
        <f>VLOOKUP(C76,'Chấm công KT'!$C$13:$AK$92,35,0)</f>
        <v>4</v>
      </c>
      <c r="X76" s="674"/>
      <c r="Y76" s="673"/>
      <c r="Z76" s="673">
        <f>VLOOKUP(C76,'Chấm công KT'!$C$13:$AN$92,38,0)</f>
        <v>0</v>
      </c>
      <c r="AA76" s="673">
        <f>VLOOKUP(C76,'Chấm công KT'!$C$13:$AO$92,39,0)</f>
        <v>0</v>
      </c>
      <c r="AB76" s="260"/>
      <c r="AC76" s="261">
        <f t="shared" si="6"/>
        <v>59.2</v>
      </c>
      <c r="AD76" s="125" t="str">
        <f>VLOOKUP(C76,'BTH mủ tạp'!$C$17:$AL$160,36,0)</f>
        <v>B</v>
      </c>
      <c r="AE76" s="126"/>
      <c r="AF76" s="104"/>
      <c r="AH76" s="86"/>
      <c r="AI76" s="83"/>
      <c r="AJ76" s="84"/>
      <c r="AK76" s="84"/>
      <c r="AL76" s="84"/>
      <c r="AM76" s="84"/>
      <c r="AN76" s="84"/>
      <c r="AO76" s="84"/>
    </row>
    <row r="77" spans="1:41" ht="18.75" customHeight="1">
      <c r="A77" s="219">
        <v>67</v>
      </c>
      <c r="B77" s="255" t="str">
        <f>'Chấm công KT'!D79</f>
        <v>03546</v>
      </c>
      <c r="C77" s="220" t="str">
        <f>'Chấm công KT'!C79</f>
        <v>T. Nọi</v>
      </c>
      <c r="D77" s="123" t="s">
        <v>39</v>
      </c>
      <c r="E77" s="265">
        <f t="shared" si="8"/>
        <v>3.2</v>
      </c>
      <c r="F77" s="1108">
        <f t="shared" si="9"/>
        <v>24</v>
      </c>
      <c r="G77" s="265"/>
      <c r="H77" s="265">
        <v>32</v>
      </c>
      <c r="I77" s="265"/>
      <c r="J77" s="256"/>
      <c r="K77" s="203"/>
      <c r="L77" s="128"/>
      <c r="M77" s="128"/>
      <c r="N77" s="124"/>
      <c r="O77" s="124"/>
      <c r="P77" s="124"/>
      <c r="Q77" s="257">
        <f t="shared" si="10"/>
        <v>59.2</v>
      </c>
      <c r="R77" s="730">
        <f>VLOOKUP(C77,'BTH mủ tạp'!$C$17:$AI$96,33,0)</f>
        <v>1264</v>
      </c>
      <c r="S77" s="256"/>
      <c r="T77" s="195">
        <f t="shared" si="11"/>
        <v>0</v>
      </c>
      <c r="U77" s="259">
        <f t="shared" si="12"/>
        <v>1264</v>
      </c>
      <c r="V77" s="673">
        <f>VLOOKUP(C77,'Chấm công KT'!$C$13:$AJ$92,34,0)</f>
        <v>27</v>
      </c>
      <c r="W77" s="673">
        <f>VLOOKUP(C77,'Chấm công KT'!$C$13:$AK$92,35,0)</f>
        <v>4</v>
      </c>
      <c r="X77" s="674"/>
      <c r="Y77" s="673"/>
      <c r="Z77" s="673">
        <f>VLOOKUP(C77,'Chấm công KT'!$C$13:$AN$92,38,0)</f>
        <v>0</v>
      </c>
      <c r="AA77" s="673">
        <f>VLOOKUP(C77,'Chấm công KT'!$C$13:$AO$92,39,0)</f>
        <v>0</v>
      </c>
      <c r="AB77" s="260"/>
      <c r="AC77" s="261">
        <f t="shared" ref="AC77:AC84" si="13">Q77</f>
        <v>59.2</v>
      </c>
      <c r="AD77" s="125" t="str">
        <f>VLOOKUP(C77,'BTH mủ tạp'!$C$17:$AL$160,36,0)</f>
        <v>A</v>
      </c>
      <c r="AE77" s="126"/>
      <c r="AF77" s="104"/>
      <c r="AH77" s="86"/>
      <c r="AI77" s="83"/>
      <c r="AJ77" s="84"/>
      <c r="AK77" s="84"/>
      <c r="AL77" s="84"/>
      <c r="AM77" s="84"/>
      <c r="AN77" s="84"/>
      <c r="AO77" s="84"/>
    </row>
    <row r="78" spans="1:41" ht="18.75" customHeight="1">
      <c r="A78" s="123">
        <v>68</v>
      </c>
      <c r="B78" s="255" t="str">
        <f>'Chấm công KT'!D80</f>
        <v>03571</v>
      </c>
      <c r="C78" s="220" t="str">
        <f>'Chấm công KT'!C80</f>
        <v>T. Ê</v>
      </c>
      <c r="D78" s="123" t="s">
        <v>39</v>
      </c>
      <c r="E78" s="265">
        <f t="shared" si="8"/>
        <v>3.2</v>
      </c>
      <c r="F78" s="1108">
        <f t="shared" si="9"/>
        <v>24</v>
      </c>
      <c r="G78" s="265"/>
      <c r="H78" s="265">
        <v>32</v>
      </c>
      <c r="I78" s="265"/>
      <c r="J78" s="256"/>
      <c r="K78" s="203"/>
      <c r="L78" s="128"/>
      <c r="M78" s="128"/>
      <c r="N78" s="124"/>
      <c r="O78" s="124"/>
      <c r="P78" s="124"/>
      <c r="Q78" s="257">
        <f t="shared" si="10"/>
        <v>59.2</v>
      </c>
      <c r="R78" s="730">
        <f>VLOOKUP(C78,'BTH mủ tạp'!$C$17:$AI$96,33,0)</f>
        <v>409</v>
      </c>
      <c r="S78" s="256"/>
      <c r="T78" s="195">
        <f t="shared" si="11"/>
        <v>0</v>
      </c>
      <c r="U78" s="259">
        <f t="shared" si="12"/>
        <v>409</v>
      </c>
      <c r="V78" s="673">
        <f>VLOOKUP(C78,'Chấm công KT'!$C$13:$AJ$92,34,0)</f>
        <v>18</v>
      </c>
      <c r="W78" s="673">
        <f>VLOOKUP(C78,'Chấm công KT'!$C$13:$AK$92,35,0)</f>
        <v>3</v>
      </c>
      <c r="X78" s="674"/>
      <c r="Y78" s="673"/>
      <c r="Z78" s="673">
        <f>VLOOKUP(C78,'Chấm công KT'!$C$13:$AN$92,38,0)</f>
        <v>0</v>
      </c>
      <c r="AA78" s="673">
        <f>VLOOKUP(C78,'Chấm công KT'!$C$13:$AO$92,39,0)</f>
        <v>0</v>
      </c>
      <c r="AB78" s="260"/>
      <c r="AC78" s="261">
        <f t="shared" si="13"/>
        <v>59.2</v>
      </c>
      <c r="AD78" s="125" t="str">
        <f>VLOOKUP(C78,'BTH mủ tạp'!$C$17:$AL$160,36,0)</f>
        <v>B</v>
      </c>
      <c r="AE78" s="126"/>
      <c r="AF78" s="104"/>
      <c r="AH78" s="86"/>
      <c r="AI78" s="83"/>
      <c r="AJ78" s="84"/>
      <c r="AK78" s="84"/>
      <c r="AL78" s="84"/>
      <c r="AM78" s="84"/>
      <c r="AN78" s="84"/>
      <c r="AO78" s="84"/>
    </row>
    <row r="79" spans="1:41" ht="18.75" customHeight="1">
      <c r="A79" s="219">
        <v>69</v>
      </c>
      <c r="B79" s="255">
        <f>'Chấm công KT'!D81</f>
        <v>0</v>
      </c>
      <c r="C79" s="220" t="str">
        <f>'Chấm công KT'!C81</f>
        <v>T Bun</v>
      </c>
      <c r="D79" s="123" t="s">
        <v>39</v>
      </c>
      <c r="E79" s="265">
        <f t="shared" si="8"/>
        <v>3.2</v>
      </c>
      <c r="F79" s="1108">
        <f t="shared" si="9"/>
        <v>24</v>
      </c>
      <c r="G79" s="265"/>
      <c r="H79" s="265">
        <v>32</v>
      </c>
      <c r="I79" s="265"/>
      <c r="J79" s="256"/>
      <c r="K79" s="203"/>
      <c r="L79" s="128"/>
      <c r="M79" s="128"/>
      <c r="N79" s="124"/>
      <c r="O79" s="124"/>
      <c r="P79" s="124"/>
      <c r="Q79" s="257">
        <f t="shared" si="10"/>
        <v>59.2</v>
      </c>
      <c r="R79" s="730">
        <f>VLOOKUP(C79,'BTH mủ tạp'!$C$17:$AI$96,33,0)</f>
        <v>1422</v>
      </c>
      <c r="S79" s="256"/>
      <c r="T79" s="195">
        <f t="shared" si="11"/>
        <v>0</v>
      </c>
      <c r="U79" s="259">
        <f t="shared" si="12"/>
        <v>1422</v>
      </c>
      <c r="V79" s="673">
        <f>VLOOKUP(C79,'Chấm công KT'!$C$13:$AJ$92,34,0)</f>
        <v>23</v>
      </c>
      <c r="W79" s="673">
        <f>VLOOKUP(C79,'Chấm công KT'!$C$13:$AK$92,35,0)</f>
        <v>3</v>
      </c>
      <c r="X79" s="674"/>
      <c r="Y79" s="673"/>
      <c r="Z79" s="673">
        <f>VLOOKUP(C79,'Chấm công KT'!$C$13:$AN$92,38,0)</f>
        <v>0</v>
      </c>
      <c r="AA79" s="673">
        <f>VLOOKUP(C79,'Chấm công KT'!$C$13:$AO$92,39,0)</f>
        <v>0</v>
      </c>
      <c r="AB79" s="260"/>
      <c r="AC79" s="261">
        <f t="shared" si="13"/>
        <v>59.2</v>
      </c>
      <c r="AD79" s="125" t="str">
        <f>VLOOKUP(C79,'BTH mủ tạp'!$C$17:$AL$160,36,0)</f>
        <v>A</v>
      </c>
      <c r="AE79" s="126"/>
      <c r="AF79" s="104"/>
      <c r="AH79" s="86"/>
      <c r="AI79" s="83"/>
      <c r="AJ79" s="84"/>
      <c r="AK79" s="84"/>
      <c r="AL79" s="84"/>
      <c r="AM79" s="84"/>
      <c r="AN79" s="84"/>
      <c r="AO79" s="84"/>
    </row>
    <row r="80" spans="1:41" ht="18.75" customHeight="1">
      <c r="A80" s="123">
        <v>70</v>
      </c>
      <c r="B80" s="255" t="str">
        <f>'Chấm công KT'!D82</f>
        <v>03515</v>
      </c>
      <c r="C80" s="220" t="str">
        <f>'Chấm công KT'!C82</f>
        <v>N. Xi</v>
      </c>
      <c r="D80" s="123" t="s">
        <v>39</v>
      </c>
      <c r="E80" s="265">
        <f t="shared" si="8"/>
        <v>3.2</v>
      </c>
      <c r="F80" s="1108">
        <f t="shared" si="9"/>
        <v>24</v>
      </c>
      <c r="G80" s="265"/>
      <c r="H80" s="265">
        <v>32</v>
      </c>
      <c r="I80" s="265"/>
      <c r="J80" s="256"/>
      <c r="K80" s="203"/>
      <c r="L80" s="128"/>
      <c r="M80" s="128"/>
      <c r="N80" s="124"/>
      <c r="O80" s="124"/>
      <c r="P80" s="124"/>
      <c r="Q80" s="257">
        <f t="shared" si="10"/>
        <v>59.2</v>
      </c>
      <c r="R80" s="730">
        <f>VLOOKUP(C80,'BTH mủ tạp'!$C$17:$AI$96,33,0)</f>
        <v>1644</v>
      </c>
      <c r="S80" s="256"/>
      <c r="T80" s="195">
        <f t="shared" si="11"/>
        <v>0</v>
      </c>
      <c r="U80" s="259">
        <f t="shared" si="12"/>
        <v>1644</v>
      </c>
      <c r="V80" s="673">
        <f>VLOOKUP(C80,'Chấm công KT'!$C$13:$AJ$92,34,0)</f>
        <v>26</v>
      </c>
      <c r="W80" s="673">
        <f>VLOOKUP(C80,'Chấm công KT'!$C$13:$AK$92,35,0)</f>
        <v>4</v>
      </c>
      <c r="X80" s="674"/>
      <c r="Y80" s="673"/>
      <c r="Z80" s="673">
        <f>VLOOKUP(C80,'Chấm công KT'!$C$13:$AN$92,38,0)</f>
        <v>0</v>
      </c>
      <c r="AA80" s="673">
        <f>VLOOKUP(C80,'Chấm công KT'!$C$13:$AO$92,39,0)</f>
        <v>0</v>
      </c>
      <c r="AB80" s="260"/>
      <c r="AC80" s="261">
        <f t="shared" si="13"/>
        <v>59.2</v>
      </c>
      <c r="AD80" s="125" t="str">
        <f>VLOOKUP(C80,'BTH mủ tạp'!$C$17:$AL$160,36,0)</f>
        <v>A</v>
      </c>
      <c r="AE80" s="126"/>
      <c r="AF80" s="104"/>
      <c r="AH80" s="86"/>
      <c r="AI80" s="83"/>
      <c r="AJ80" s="84"/>
      <c r="AK80" s="84"/>
      <c r="AL80" s="84"/>
      <c r="AM80" s="84"/>
      <c r="AN80" s="84"/>
      <c r="AO80" s="84"/>
    </row>
    <row r="81" spans="1:41" ht="18.75" customHeight="1">
      <c r="A81" s="219">
        <v>71</v>
      </c>
      <c r="B81" s="255" t="str">
        <f>'Chấm công KT'!D83</f>
        <v>03516</v>
      </c>
      <c r="C81" s="220" t="str">
        <f>'Chấm công KT'!C83</f>
        <v>N. Chay</v>
      </c>
      <c r="D81" s="123" t="s">
        <v>39</v>
      </c>
      <c r="E81" s="265">
        <f t="shared" si="8"/>
        <v>3.2</v>
      </c>
      <c r="F81" s="1108">
        <f t="shared" si="9"/>
        <v>24</v>
      </c>
      <c r="G81" s="265"/>
      <c r="H81" s="265">
        <v>32</v>
      </c>
      <c r="I81" s="265"/>
      <c r="J81" s="256"/>
      <c r="K81" s="203"/>
      <c r="L81" s="128"/>
      <c r="M81" s="256"/>
      <c r="N81" s="124"/>
      <c r="O81" s="124"/>
      <c r="P81" s="124"/>
      <c r="Q81" s="257">
        <f t="shared" si="10"/>
        <v>59.2</v>
      </c>
      <c r="R81" s="730">
        <f>VLOOKUP(C81,'BTH mủ tạp'!$C$17:$AI$96,33,0)</f>
        <v>1139</v>
      </c>
      <c r="S81" s="256"/>
      <c r="T81" s="195">
        <f t="shared" si="11"/>
        <v>0</v>
      </c>
      <c r="U81" s="259">
        <f t="shared" si="12"/>
        <v>1139</v>
      </c>
      <c r="V81" s="673">
        <f>VLOOKUP(C81,'Chấm công KT'!$C$13:$AJ$92,34,0)</f>
        <v>25</v>
      </c>
      <c r="W81" s="673">
        <f>VLOOKUP(C81,'Chấm công KT'!$C$13:$AK$92,35,0)</f>
        <v>4</v>
      </c>
      <c r="X81" s="674"/>
      <c r="Y81" s="673"/>
      <c r="Z81" s="673">
        <f>VLOOKUP(C81,'Chấm công KT'!$C$13:$AN$92,38,0)</f>
        <v>0</v>
      </c>
      <c r="AA81" s="673">
        <f>VLOOKUP(C81,'Chấm công KT'!$C$13:$AO$92,39,0)</f>
        <v>0</v>
      </c>
      <c r="AB81" s="260"/>
      <c r="AC81" s="261">
        <f t="shared" si="13"/>
        <v>59.2</v>
      </c>
      <c r="AD81" s="125" t="str">
        <f>VLOOKUP(C81,'BTH mủ tạp'!$C$17:$AL$160,36,0)</f>
        <v>A</v>
      </c>
      <c r="AE81" s="126"/>
      <c r="AF81" s="104"/>
      <c r="AH81" s="86"/>
      <c r="AI81" s="83"/>
      <c r="AJ81" s="84"/>
      <c r="AK81" s="84"/>
      <c r="AL81" s="84"/>
      <c r="AM81" s="84"/>
      <c r="AN81" s="84"/>
      <c r="AO81" s="84"/>
    </row>
    <row r="82" spans="1:41" ht="18.75" customHeight="1">
      <c r="A82" s="123">
        <v>72</v>
      </c>
      <c r="B82" s="255" t="str">
        <f>'Chấm công KT'!D84</f>
        <v>03544</v>
      </c>
      <c r="C82" s="220" t="str">
        <f>'Chấm công KT'!C84</f>
        <v>T. Ta</v>
      </c>
      <c r="D82" s="123" t="s">
        <v>39</v>
      </c>
      <c r="E82" s="265">
        <f t="shared" si="8"/>
        <v>3.2</v>
      </c>
      <c r="F82" s="1108">
        <f t="shared" si="9"/>
        <v>24</v>
      </c>
      <c r="G82" s="265"/>
      <c r="H82" s="265">
        <v>32</v>
      </c>
      <c r="I82" s="265"/>
      <c r="J82" s="256"/>
      <c r="K82" s="203"/>
      <c r="L82" s="128"/>
      <c r="M82" s="256"/>
      <c r="N82" s="124"/>
      <c r="O82" s="124"/>
      <c r="P82" s="124"/>
      <c r="Q82" s="257">
        <f t="shared" si="10"/>
        <v>59.2</v>
      </c>
      <c r="R82" s="730">
        <f>VLOOKUP(C82,'BTH mủ tạp'!$C$17:$AI$96,33,0)</f>
        <v>1080</v>
      </c>
      <c r="S82" s="256"/>
      <c r="T82" s="195">
        <f t="shared" si="11"/>
        <v>0</v>
      </c>
      <c r="U82" s="259">
        <f t="shared" si="12"/>
        <v>1080</v>
      </c>
      <c r="V82" s="673">
        <f>VLOOKUP(C82,'Chấm công KT'!$C$13:$AJ$92,34,0)</f>
        <v>27</v>
      </c>
      <c r="W82" s="673">
        <f>VLOOKUP(C82,'Chấm công KT'!$C$13:$AK$92,35,0)</f>
        <v>4</v>
      </c>
      <c r="X82" s="674"/>
      <c r="Y82" s="673"/>
      <c r="Z82" s="673">
        <f>VLOOKUP(C82,'Chấm công KT'!$C$13:$AN$92,38,0)</f>
        <v>0</v>
      </c>
      <c r="AA82" s="673">
        <f>VLOOKUP(C82,'Chấm công KT'!$C$13:$AO$92,39,0)</f>
        <v>0</v>
      </c>
      <c r="AB82" s="260"/>
      <c r="AC82" s="261">
        <f t="shared" si="13"/>
        <v>59.2</v>
      </c>
      <c r="AD82" s="125" t="str">
        <f>VLOOKUP(C82,'BTH mủ tạp'!$C$17:$AL$160,36,0)</f>
        <v>A</v>
      </c>
      <c r="AE82" s="126"/>
      <c r="AF82" s="104">
        <f>Q9-9191.88</f>
        <v>0</v>
      </c>
      <c r="AH82" s="86"/>
      <c r="AI82" s="83"/>
      <c r="AJ82" s="84"/>
      <c r="AK82" s="84"/>
      <c r="AL82" s="84"/>
      <c r="AM82" s="84"/>
      <c r="AN82" s="84"/>
      <c r="AO82" s="84"/>
    </row>
    <row r="83" spans="1:41" ht="18.75" customHeight="1">
      <c r="A83" s="219">
        <v>73</v>
      </c>
      <c r="B83" s="255" t="e">
        <f>'Chấm công KT'!D85</f>
        <v>#N/A</v>
      </c>
      <c r="C83" s="220" t="str">
        <f>'Chấm công KT'!C85</f>
        <v>T. Ne</v>
      </c>
      <c r="D83" s="123" t="s">
        <v>39</v>
      </c>
      <c r="E83" s="265">
        <f t="shared" si="8"/>
        <v>3.2</v>
      </c>
      <c r="F83" s="1108">
        <f t="shared" si="9"/>
        <v>24</v>
      </c>
      <c r="G83" s="265"/>
      <c r="H83" s="265">
        <v>32</v>
      </c>
      <c r="I83" s="265"/>
      <c r="J83" s="256"/>
      <c r="K83" s="203"/>
      <c r="L83" s="203"/>
      <c r="M83" s="256"/>
      <c r="N83" s="256"/>
      <c r="O83" s="266"/>
      <c r="P83" s="124"/>
      <c r="Q83" s="257">
        <f t="shared" si="10"/>
        <v>59.2</v>
      </c>
      <c r="R83" s="730">
        <f>VLOOKUP(C83,'BTH mủ tạp'!$C$17:$AI$96,33,0)</f>
        <v>1063</v>
      </c>
      <c r="S83" s="256"/>
      <c r="T83" s="195">
        <f t="shared" si="11"/>
        <v>0</v>
      </c>
      <c r="U83" s="259">
        <f t="shared" si="12"/>
        <v>1063</v>
      </c>
      <c r="V83" s="673">
        <f>VLOOKUP(C83,'Chấm công KT'!$C$13:$AJ$92,34,0)</f>
        <v>27</v>
      </c>
      <c r="W83" s="673">
        <f>VLOOKUP(C83,'Chấm công KT'!$C$13:$AK$92,35,0)</f>
        <v>4</v>
      </c>
      <c r="X83" s="674"/>
      <c r="Y83" s="673"/>
      <c r="Z83" s="673">
        <f>VLOOKUP(C83,'Chấm công KT'!$C$13:$AN$92,38,0)</f>
        <v>0</v>
      </c>
      <c r="AA83" s="673">
        <f>VLOOKUP(C83,'Chấm công KT'!$C$13:$AO$92,39,0)</f>
        <v>0</v>
      </c>
      <c r="AB83" s="260"/>
      <c r="AC83" s="261">
        <f t="shared" si="13"/>
        <v>59.2</v>
      </c>
      <c r="AD83" s="125" t="str">
        <f>VLOOKUP(C83,'BTH mủ tạp'!$C$17:$AL$160,36,0)</f>
        <v>A</v>
      </c>
      <c r="AE83" s="126"/>
      <c r="AF83" s="104"/>
      <c r="AH83" s="86"/>
      <c r="AI83" s="83"/>
      <c r="AJ83" s="84"/>
      <c r="AK83" s="84"/>
      <c r="AL83" s="84"/>
      <c r="AM83" s="84"/>
      <c r="AN83" s="84"/>
      <c r="AO83" s="84"/>
    </row>
    <row r="84" spans="1:41" s="589" customFormat="1" ht="18.75" customHeight="1">
      <c r="A84" s="123">
        <v>74</v>
      </c>
      <c r="B84" s="604"/>
      <c r="C84" s="220" t="str">
        <f>'Chấm công KT'!C86</f>
        <v>T. Tý</v>
      </c>
      <c r="D84" s="603" t="s">
        <v>39</v>
      </c>
      <c r="E84" s="579"/>
      <c r="F84" s="1101"/>
      <c r="G84" s="579"/>
      <c r="H84" s="579"/>
      <c r="I84" s="579"/>
      <c r="J84" s="580"/>
      <c r="K84" s="578"/>
      <c r="L84" s="578"/>
      <c r="M84" s="580"/>
      <c r="N84" s="580"/>
      <c r="O84" s="605"/>
      <c r="P84" s="606"/>
      <c r="Q84" s="257">
        <f t="shared" si="10"/>
        <v>0</v>
      </c>
      <c r="R84" s="730">
        <f>VLOOKUP(C84,'BTH mủ tạp'!$C$17:$AI$96,33,0)</f>
        <v>0</v>
      </c>
      <c r="S84" s="256"/>
      <c r="T84" s="594">
        <f t="shared" si="11"/>
        <v>0</v>
      </c>
      <c r="U84" s="259">
        <f t="shared" si="12"/>
        <v>0</v>
      </c>
      <c r="V84" s="673">
        <f>VLOOKUP(C84,'Chấm công KT'!$C$13:$AJ$92,34,0)</f>
        <v>0</v>
      </c>
      <c r="W84" s="673">
        <f>VLOOKUP(C84,'Chấm công KT'!$C$13:$AK$92,35,0)</f>
        <v>0</v>
      </c>
      <c r="X84" s="674"/>
      <c r="Y84" s="673"/>
      <c r="Z84" s="673">
        <f>VLOOKUP(C84,'Chấm công KT'!$C$13:$AN$92,38,0)</f>
        <v>0</v>
      </c>
      <c r="AA84" s="673">
        <f>VLOOKUP(C84,'Chấm công KT'!$C$13:$AO$92,39,0)</f>
        <v>0</v>
      </c>
      <c r="AB84" s="607"/>
      <c r="AC84" s="608">
        <f t="shared" si="13"/>
        <v>0</v>
      </c>
      <c r="AD84" s="125" t="str">
        <f>VLOOKUP(C84,'BTH mủ tạp'!$C$17:$AL$160,36,0)</f>
        <v>C</v>
      </c>
      <c r="AE84" s="596"/>
      <c r="AF84" s="588"/>
      <c r="AH84" s="597"/>
      <c r="AI84" s="609"/>
      <c r="AJ84" s="598"/>
      <c r="AK84" s="598"/>
      <c r="AL84" s="598"/>
      <c r="AM84" s="598"/>
      <c r="AN84" s="598"/>
      <c r="AO84" s="598"/>
    </row>
    <row r="85" spans="1:41" s="589" customFormat="1" ht="18.75" customHeight="1">
      <c r="A85" s="219">
        <v>75</v>
      </c>
      <c r="B85" s="577"/>
      <c r="C85" s="220" t="str">
        <f>'Chấm công KT'!C87</f>
        <v>T.Lã</v>
      </c>
      <c r="D85" s="603" t="s">
        <v>39</v>
      </c>
      <c r="E85" s="579"/>
      <c r="F85" s="1101"/>
      <c r="G85" s="579"/>
      <c r="H85" s="579"/>
      <c r="I85" s="579"/>
      <c r="J85" s="580"/>
      <c r="K85" s="578"/>
      <c r="L85" s="578"/>
      <c r="M85" s="580"/>
      <c r="N85" s="580"/>
      <c r="O85" s="605"/>
      <c r="P85" s="606"/>
      <c r="Q85" s="257">
        <f t="shared" si="10"/>
        <v>0</v>
      </c>
      <c r="R85" s="730">
        <f>VLOOKUP(C85,'BTH mủ tạp'!$C$17:$AI$96,33,0)</f>
        <v>207</v>
      </c>
      <c r="S85" s="256"/>
      <c r="T85" s="594">
        <f t="shared" si="11"/>
        <v>0</v>
      </c>
      <c r="U85" s="259">
        <f t="shared" si="12"/>
        <v>207</v>
      </c>
      <c r="V85" s="673">
        <f>VLOOKUP(C85,'Chấm công KT'!$C$13:$AJ$92,34,0)</f>
        <v>5</v>
      </c>
      <c r="W85" s="673">
        <f>VLOOKUP(C85,'Chấm công KT'!$C$13:$AK$92,35,0)</f>
        <v>0</v>
      </c>
      <c r="X85" s="674"/>
      <c r="Y85" s="673"/>
      <c r="Z85" s="673">
        <f>VLOOKUP(C85,'Chấm công KT'!$C$13:$AN$92,38,0)</f>
        <v>0</v>
      </c>
      <c r="AA85" s="673">
        <f>VLOOKUP(C85,'Chấm công KT'!$C$13:$AO$92,39,0)</f>
        <v>0</v>
      </c>
      <c r="AB85" s="607"/>
      <c r="AC85" s="608">
        <f t="shared" ref="AC85:AC91" si="14">Q85</f>
        <v>0</v>
      </c>
      <c r="AD85" s="125" t="str">
        <f>VLOOKUP(C85,'BTH mủ tạp'!$C$17:$AL$160,36,0)</f>
        <v>C.</v>
      </c>
      <c r="AE85" s="596"/>
      <c r="AF85" s="588"/>
      <c r="AH85" s="597"/>
      <c r="AI85" s="609"/>
      <c r="AJ85" s="598"/>
      <c r="AK85" s="598"/>
      <c r="AL85" s="598"/>
      <c r="AM85" s="598"/>
      <c r="AN85" s="598"/>
      <c r="AO85" s="598"/>
    </row>
    <row r="86" spans="1:41" s="589" customFormat="1" ht="18.75" customHeight="1">
      <c r="A86" s="123">
        <v>76</v>
      </c>
      <c r="B86" s="577"/>
      <c r="C86" s="220" t="str">
        <f>'Chấm công KT'!C88</f>
        <v>N. Veo</v>
      </c>
      <c r="D86" s="603" t="s">
        <v>39</v>
      </c>
      <c r="E86" s="579"/>
      <c r="F86" s="1101"/>
      <c r="G86" s="579"/>
      <c r="H86" s="579"/>
      <c r="I86" s="579"/>
      <c r="J86" s="580"/>
      <c r="K86" s="578"/>
      <c r="L86" s="578"/>
      <c r="M86" s="580"/>
      <c r="N86" s="580"/>
      <c r="O86" s="605"/>
      <c r="P86" s="606"/>
      <c r="Q86" s="257">
        <f t="shared" si="10"/>
        <v>0</v>
      </c>
      <c r="R86" s="730">
        <f>VLOOKUP(C86,'BTH mủ tạp'!$C$17:$AI$96,33,0)</f>
        <v>124</v>
      </c>
      <c r="S86" s="256"/>
      <c r="T86" s="594">
        <f t="shared" si="11"/>
        <v>0</v>
      </c>
      <c r="U86" s="259">
        <f t="shared" si="12"/>
        <v>124</v>
      </c>
      <c r="V86" s="673">
        <f>VLOOKUP(C86,'Chấm công KT'!$C$13:$AJ$92,34,0)</f>
        <v>5</v>
      </c>
      <c r="W86" s="673">
        <f>VLOOKUP(C86,'Chấm công KT'!$C$13:$AK$92,35,0)</f>
        <v>0</v>
      </c>
      <c r="X86" s="674"/>
      <c r="Y86" s="673"/>
      <c r="Z86" s="673">
        <f>VLOOKUP(C86,'Chấm công KT'!$C$13:$AN$92,38,0)</f>
        <v>0</v>
      </c>
      <c r="AA86" s="673">
        <f>VLOOKUP(C86,'Chấm công KT'!$C$13:$AO$92,39,0)</f>
        <v>0</v>
      </c>
      <c r="AB86" s="607"/>
      <c r="AC86" s="608">
        <f t="shared" si="14"/>
        <v>0</v>
      </c>
      <c r="AD86" s="125" t="str">
        <f>VLOOKUP(C86,'BTH mủ tạp'!$C$17:$AL$160,36,0)</f>
        <v>C.</v>
      </c>
      <c r="AE86" s="596"/>
      <c r="AF86" s="588"/>
      <c r="AH86" s="597"/>
      <c r="AI86" s="609"/>
      <c r="AJ86" s="598"/>
      <c r="AK86" s="598"/>
      <c r="AL86" s="598"/>
      <c r="AM86" s="598"/>
      <c r="AN86" s="598"/>
      <c r="AO86" s="598"/>
    </row>
    <row r="87" spans="1:41" s="589" customFormat="1" ht="18.75" customHeight="1">
      <c r="A87" s="219">
        <v>77</v>
      </c>
      <c r="B87" s="577"/>
      <c r="C87" s="220" t="str">
        <f>'Chấm công KT'!C89</f>
        <v>T.Pu</v>
      </c>
      <c r="D87" s="603" t="s">
        <v>39</v>
      </c>
      <c r="E87" s="591"/>
      <c r="F87" s="1102"/>
      <c r="G87" s="591"/>
      <c r="H87" s="591"/>
      <c r="I87" s="591"/>
      <c r="J87" s="592"/>
      <c r="K87" s="581"/>
      <c r="L87" s="581"/>
      <c r="M87" s="592"/>
      <c r="N87" s="592"/>
      <c r="O87" s="610"/>
      <c r="P87" s="582"/>
      <c r="Q87" s="257">
        <f t="shared" si="10"/>
        <v>0</v>
      </c>
      <c r="R87" s="730">
        <f>VLOOKUP(C87,'BTH mủ tạp'!$C$17:$AI$96,33,0)</f>
        <v>35</v>
      </c>
      <c r="S87" s="256"/>
      <c r="T87" s="594"/>
      <c r="U87" s="259">
        <f t="shared" si="12"/>
        <v>35</v>
      </c>
      <c r="V87" s="673">
        <f>VLOOKUP(C87,'Chấm công KT'!$C$13:$AJ$92,34,0)</f>
        <v>3</v>
      </c>
      <c r="W87" s="673">
        <f>VLOOKUP(C87,'Chấm công KT'!$C$13:$AK$92,35,0)</f>
        <v>0</v>
      </c>
      <c r="X87" s="674"/>
      <c r="Y87" s="673"/>
      <c r="Z87" s="673">
        <f>VLOOKUP(C87,'Chấm công KT'!$C$13:$AN$92,38,0)</f>
        <v>0</v>
      </c>
      <c r="AA87" s="673">
        <f>VLOOKUP(C87,'Chấm công KT'!$C$13:$AO$92,39,0)</f>
        <v>0</v>
      </c>
      <c r="AB87" s="607"/>
      <c r="AC87" s="608">
        <f t="shared" si="14"/>
        <v>0</v>
      </c>
      <c r="AD87" s="125" t="str">
        <f>VLOOKUP(C87,'BTH mủ tạp'!$C$17:$AL$160,36,0)</f>
        <v>C.</v>
      </c>
      <c r="AE87" s="596"/>
      <c r="AF87" s="588"/>
      <c r="AH87" s="597"/>
      <c r="AI87" s="609"/>
      <c r="AJ87" s="598"/>
      <c r="AK87" s="598"/>
      <c r="AL87" s="598"/>
      <c r="AM87" s="598"/>
      <c r="AN87" s="598"/>
      <c r="AO87" s="598"/>
    </row>
    <row r="88" spans="1:41" s="589" customFormat="1" ht="18.75" customHeight="1">
      <c r="A88" s="123">
        <v>78</v>
      </c>
      <c r="B88" s="577"/>
      <c r="C88" s="220" t="str">
        <f>'Chấm công KT'!C90</f>
        <v>T.Ta</v>
      </c>
      <c r="D88" s="603" t="s">
        <v>39</v>
      </c>
      <c r="E88" s="591"/>
      <c r="F88" s="1102"/>
      <c r="G88" s="591"/>
      <c r="H88" s="591"/>
      <c r="I88" s="591"/>
      <c r="J88" s="592"/>
      <c r="K88" s="581"/>
      <c r="L88" s="581"/>
      <c r="M88" s="592"/>
      <c r="N88" s="592"/>
      <c r="O88" s="610"/>
      <c r="P88" s="582"/>
      <c r="Q88" s="257">
        <f t="shared" si="10"/>
        <v>0</v>
      </c>
      <c r="R88" s="730">
        <f>VLOOKUP(C88,'BTH mủ tạp'!$C$17:$AI$96,33,0)</f>
        <v>0</v>
      </c>
      <c r="S88" s="256"/>
      <c r="T88" s="594"/>
      <c r="U88" s="259">
        <f t="shared" si="12"/>
        <v>0</v>
      </c>
      <c r="V88" s="673">
        <f>VLOOKUP(C88,'Chấm công KT'!$C$13:$AJ$92,34,0)</f>
        <v>0</v>
      </c>
      <c r="W88" s="673">
        <f>VLOOKUP(C88,'Chấm công KT'!$C$13:$AK$92,35,0)</f>
        <v>0</v>
      </c>
      <c r="X88" s="674"/>
      <c r="Y88" s="673"/>
      <c r="Z88" s="673">
        <f>VLOOKUP(C88,'Chấm công KT'!$C$13:$AN$92,38,0)</f>
        <v>0</v>
      </c>
      <c r="AA88" s="673">
        <f>VLOOKUP(C88,'Chấm công KT'!$C$13:$AO$92,39,0)</f>
        <v>0</v>
      </c>
      <c r="AB88" s="607"/>
      <c r="AC88" s="608">
        <f t="shared" si="14"/>
        <v>0</v>
      </c>
      <c r="AD88" s="125">
        <f>VLOOKUP(C88,'BTH mủ tạp'!$C$17:$AL$160,36,0)</f>
        <v>0</v>
      </c>
      <c r="AE88" s="596"/>
      <c r="AF88" s="588"/>
      <c r="AH88" s="597"/>
      <c r="AI88" s="609"/>
      <c r="AJ88" s="598"/>
      <c r="AK88" s="598"/>
      <c r="AL88" s="598"/>
      <c r="AM88" s="598"/>
      <c r="AN88" s="598"/>
      <c r="AO88" s="598"/>
    </row>
    <row r="89" spans="1:41" s="589" customFormat="1" ht="18.75" customHeight="1">
      <c r="A89" s="219">
        <v>79</v>
      </c>
      <c r="B89" s="577"/>
      <c r="C89" s="220" t="str">
        <f>'Chấm công KT'!C91</f>
        <v>N.Nang</v>
      </c>
      <c r="D89" s="603" t="s">
        <v>39</v>
      </c>
      <c r="E89" s="591"/>
      <c r="F89" s="1102"/>
      <c r="G89" s="591"/>
      <c r="H89" s="591"/>
      <c r="I89" s="591"/>
      <c r="J89" s="592"/>
      <c r="K89" s="581"/>
      <c r="L89" s="581"/>
      <c r="M89" s="592"/>
      <c r="N89" s="592"/>
      <c r="O89" s="610"/>
      <c r="P89" s="582"/>
      <c r="Q89" s="257">
        <f t="shared" si="10"/>
        <v>0</v>
      </c>
      <c r="R89" s="730">
        <f>VLOOKUP(C89,'BTH mủ tạp'!$C$17:$AI$96,33,0)</f>
        <v>0</v>
      </c>
      <c r="S89" s="256"/>
      <c r="T89" s="594"/>
      <c r="U89" s="259">
        <f t="shared" si="12"/>
        <v>0</v>
      </c>
      <c r="V89" s="673">
        <f>VLOOKUP(C89,'Chấm công KT'!$C$13:$AJ$92,34,0)</f>
        <v>0</v>
      </c>
      <c r="W89" s="673">
        <f>VLOOKUP(C89,'Chấm công KT'!$C$13:$AK$92,35,0)</f>
        <v>0</v>
      </c>
      <c r="X89" s="674"/>
      <c r="Y89" s="673"/>
      <c r="Z89" s="673">
        <f>VLOOKUP(C89,'Chấm công KT'!$C$13:$AN$92,38,0)</f>
        <v>0</v>
      </c>
      <c r="AA89" s="673">
        <f>VLOOKUP(C89,'Chấm công KT'!$C$13:$AO$92,39,0)</f>
        <v>0</v>
      </c>
      <c r="AB89" s="607"/>
      <c r="AC89" s="608">
        <f t="shared" si="14"/>
        <v>0</v>
      </c>
      <c r="AD89" s="125">
        <f>VLOOKUP(C89,'BTH mủ tạp'!$C$17:$AL$160,36,0)</f>
        <v>0</v>
      </c>
      <c r="AE89" s="596"/>
      <c r="AF89" s="588"/>
      <c r="AH89" s="597"/>
      <c r="AI89" s="609"/>
      <c r="AJ89" s="598"/>
      <c r="AK89" s="598"/>
      <c r="AL89" s="598"/>
      <c r="AM89" s="598"/>
      <c r="AN89" s="598"/>
      <c r="AO89" s="598"/>
    </row>
    <row r="90" spans="1:41" s="589" customFormat="1" ht="18.75" customHeight="1">
      <c r="A90" s="123">
        <v>80</v>
      </c>
      <c r="B90" s="577"/>
      <c r="C90" s="220" t="str">
        <f>'Chấm công KT'!C92</f>
        <v>T. Tan</v>
      </c>
      <c r="D90" s="603" t="s">
        <v>371</v>
      </c>
      <c r="E90" s="591"/>
      <c r="F90" s="1102"/>
      <c r="G90" s="591"/>
      <c r="H90" s="591"/>
      <c r="I90" s="591"/>
      <c r="J90" s="592"/>
      <c r="K90" s="581"/>
      <c r="L90" s="581"/>
      <c r="M90" s="592"/>
      <c r="N90" s="592"/>
      <c r="O90" s="610"/>
      <c r="P90" s="582"/>
      <c r="Q90" s="257">
        <f t="shared" si="10"/>
        <v>0</v>
      </c>
      <c r="R90" s="730">
        <f>VLOOKUP(C90,'BTH mủ tạp'!$C$17:$AI$96,33,0)</f>
        <v>0</v>
      </c>
      <c r="S90" s="256"/>
      <c r="T90" s="594"/>
      <c r="U90" s="259">
        <f t="shared" si="12"/>
        <v>0</v>
      </c>
      <c r="V90" s="673">
        <f>VLOOKUP(C90,'Chấm công KT'!$C$13:$AJ$92,34,0)</f>
        <v>0</v>
      </c>
      <c r="W90" s="673">
        <f>VLOOKUP(C90,'Chấm công KT'!$C$13:$AK$92,35,0)</f>
        <v>0</v>
      </c>
      <c r="X90" s="674"/>
      <c r="Y90" s="673"/>
      <c r="Z90" s="673">
        <f>VLOOKUP(C90,'Chấm công KT'!$C$13:$AN$92,38,0)</f>
        <v>0</v>
      </c>
      <c r="AA90" s="673">
        <f>VLOOKUP(C90,'Chấm công KT'!$C$13:$AO$92,39,0)</f>
        <v>0</v>
      </c>
      <c r="AB90" s="607"/>
      <c r="AC90" s="608">
        <f t="shared" si="14"/>
        <v>0</v>
      </c>
      <c r="AD90" s="125">
        <f>VLOOKUP(C90,'BTH mủ tạp'!$C$17:$AL$160,36,0)</f>
        <v>0</v>
      </c>
      <c r="AE90" s="596"/>
      <c r="AF90" s="588"/>
      <c r="AH90" s="597"/>
      <c r="AI90" s="609"/>
      <c r="AJ90" s="598"/>
      <c r="AK90" s="598"/>
      <c r="AL90" s="598"/>
      <c r="AM90" s="598"/>
      <c r="AN90" s="598"/>
      <c r="AO90" s="598"/>
    </row>
    <row r="91" spans="1:41" s="589" customFormat="1" ht="18.75" customHeight="1">
      <c r="A91" s="219">
        <v>81</v>
      </c>
      <c r="B91" s="577"/>
      <c r="C91" s="220" t="s">
        <v>652</v>
      </c>
      <c r="D91" s="603" t="s">
        <v>371</v>
      </c>
      <c r="E91" s="591"/>
      <c r="F91" s="1102"/>
      <c r="G91" s="591"/>
      <c r="H91" s="591"/>
      <c r="I91" s="591"/>
      <c r="J91" s="592"/>
      <c r="K91" s="581"/>
      <c r="L91" s="581"/>
      <c r="M91" s="592">
        <f>747.24+60.88+98.52-0.36</f>
        <v>906.28</v>
      </c>
      <c r="N91" s="592"/>
      <c r="O91" s="610"/>
      <c r="P91" s="582"/>
      <c r="Q91" s="257">
        <f t="shared" si="10"/>
        <v>906.28</v>
      </c>
      <c r="R91" s="730"/>
      <c r="S91" s="657">
        <f>'BTH mủ Sỉum'!AH14</f>
        <v>0</v>
      </c>
      <c r="T91" s="594"/>
      <c r="U91" s="259">
        <f t="shared" si="12"/>
        <v>0</v>
      </c>
      <c r="V91" s="673"/>
      <c r="W91" s="673"/>
      <c r="X91" s="674"/>
      <c r="Y91" s="673"/>
      <c r="Z91" s="673"/>
      <c r="AA91" s="673"/>
      <c r="AB91" s="607"/>
      <c r="AC91" s="608">
        <f t="shared" si="14"/>
        <v>906.28</v>
      </c>
      <c r="AD91" s="125"/>
      <c r="AE91" s="596"/>
      <c r="AF91" s="588"/>
      <c r="AH91" s="597"/>
      <c r="AI91" s="609"/>
      <c r="AJ91" s="598"/>
      <c r="AK91" s="598"/>
      <c r="AL91" s="598"/>
      <c r="AM91" s="598"/>
      <c r="AN91" s="598"/>
      <c r="AO91" s="598"/>
    </row>
    <row r="92" spans="1:41" ht="18.75" customHeight="1">
      <c r="A92" s="1096"/>
      <c r="B92" s="1445" t="s">
        <v>633</v>
      </c>
      <c r="C92" s="1445"/>
      <c r="D92" s="1445"/>
      <c r="E92" s="1007">
        <f>SUM(E93:E157)</f>
        <v>185.59999999999985</v>
      </c>
      <c r="F92" s="1103">
        <f t="shared" ref="F92:AC92" si="15">SUM(F93:F157)</f>
        <v>1392</v>
      </c>
      <c r="G92" s="1007">
        <f t="shared" si="15"/>
        <v>413</v>
      </c>
      <c r="H92" s="1007">
        <f t="shared" si="15"/>
        <v>1384</v>
      </c>
      <c r="I92" s="1007">
        <f t="shared" si="15"/>
        <v>0</v>
      </c>
      <c r="J92" s="1007">
        <f t="shared" si="15"/>
        <v>0</v>
      </c>
      <c r="K92" s="1007">
        <f t="shared" si="15"/>
        <v>0</v>
      </c>
      <c r="L92" s="1007">
        <f t="shared" si="15"/>
        <v>0</v>
      </c>
      <c r="M92" s="1007">
        <f t="shared" si="15"/>
        <v>593.4</v>
      </c>
      <c r="N92" s="1007">
        <f t="shared" si="15"/>
        <v>0</v>
      </c>
      <c r="O92" s="1007">
        <f t="shared" si="15"/>
        <v>0</v>
      </c>
      <c r="P92" s="1007">
        <f t="shared" si="15"/>
        <v>0</v>
      </c>
      <c r="Q92" s="1007">
        <f>SUM(Q93:Q157)</f>
        <v>3967.9999999999973</v>
      </c>
      <c r="R92" s="1007">
        <f t="shared" si="15"/>
        <v>99980</v>
      </c>
      <c r="S92" s="1007">
        <f t="shared" si="15"/>
        <v>0</v>
      </c>
      <c r="T92" s="1007">
        <f t="shared" si="15"/>
        <v>0</v>
      </c>
      <c r="U92" s="1129">
        <f t="shared" si="15"/>
        <v>99980</v>
      </c>
      <c r="V92" s="1007">
        <f t="shared" si="15"/>
        <v>1510</v>
      </c>
      <c r="W92" s="1007">
        <f t="shared" si="15"/>
        <v>220</v>
      </c>
      <c r="X92" s="1007">
        <f t="shared" si="15"/>
        <v>0</v>
      </c>
      <c r="Y92" s="1007">
        <f t="shared" si="15"/>
        <v>0</v>
      </c>
      <c r="Z92" s="1007">
        <f t="shared" si="15"/>
        <v>0</v>
      </c>
      <c r="AA92" s="1007">
        <f t="shared" si="15"/>
        <v>0</v>
      </c>
      <c r="AB92" s="1007">
        <f t="shared" si="15"/>
        <v>0</v>
      </c>
      <c r="AC92" s="1007">
        <f t="shared" si="15"/>
        <v>3967.9999999999973</v>
      </c>
      <c r="AD92" s="125"/>
      <c r="AE92" s="1007">
        <f>SUM(AE93:AE156)</f>
        <v>0</v>
      </c>
      <c r="AF92" s="104">
        <v>1121</v>
      </c>
      <c r="AG92" s="113">
        <v>135</v>
      </c>
      <c r="AH92" s="86">
        <v>1191</v>
      </c>
      <c r="AI92" s="83">
        <v>173</v>
      </c>
      <c r="AJ92" s="84"/>
      <c r="AK92" s="84"/>
      <c r="AL92" s="84"/>
      <c r="AM92" s="84"/>
      <c r="AN92" s="84"/>
      <c r="AO92" s="84"/>
    </row>
    <row r="93" spans="1:41" ht="18.75" customHeight="1">
      <c r="A93" s="196">
        <v>1</v>
      </c>
      <c r="B93" s="255" t="e">
        <f>'Chấm công KT'!D94</f>
        <v>#N/A</v>
      </c>
      <c r="C93" s="201" t="str">
        <f>'Chấm công KT'!C94</f>
        <v xml:space="preserve">T. Lun </v>
      </c>
      <c r="D93" s="196" t="s">
        <v>30</v>
      </c>
      <c r="E93" s="265">
        <f t="shared" ref="E93:E150" si="16">4/1.25</f>
        <v>3.2</v>
      </c>
      <c r="F93" s="1108">
        <f t="shared" ref="F93:F150" si="17">600000/25000</f>
        <v>24</v>
      </c>
      <c r="G93" s="265">
        <v>7</v>
      </c>
      <c r="H93" s="265">
        <v>24</v>
      </c>
      <c r="I93" s="265"/>
      <c r="J93" s="256"/>
      <c r="K93" s="203"/>
      <c r="L93" s="203"/>
      <c r="M93" s="128"/>
      <c r="N93" s="124"/>
      <c r="O93" s="217"/>
      <c r="P93" s="192"/>
      <c r="Q93" s="199">
        <f>SUM(E93:P93)</f>
        <v>58.2</v>
      </c>
      <c r="R93" s="194">
        <f>VLOOKUP(C93,'BTH mủ tạp'!$C$99:$AI$160,33,0)</f>
        <v>2006</v>
      </c>
      <c r="S93" s="202"/>
      <c r="T93" s="193">
        <f>S93*50/100</f>
        <v>0</v>
      </c>
      <c r="U93" s="259">
        <f t="shared" ref="U93:U154" si="18">R93</f>
        <v>2006</v>
      </c>
      <c r="V93" s="595">
        <f>VLOOKUP(C93,'Chấm công KT'!$C$94:$AJ$155,34,0)</f>
        <v>26</v>
      </c>
      <c r="W93" s="595">
        <f>VLOOKUP(C93,'Chấm công KT'!$C$94:$AK$155,35,0)</f>
        <v>4</v>
      </c>
      <c r="X93" s="595">
        <f>VLOOKUP(C93,'Chấm công KT'!C94:AL155,36,0)</f>
        <v>0</v>
      </c>
      <c r="Y93" s="673"/>
      <c r="Z93" s="673"/>
      <c r="AA93" s="673"/>
      <c r="AB93" s="204"/>
      <c r="AC93" s="200">
        <f t="shared" ref="AC93:AC149" si="19">Q93</f>
        <v>58.2</v>
      </c>
      <c r="AD93" s="125" t="str">
        <f>VLOOKUP(C93,'BTH mủ tạp'!$C$17:$AL$160,36,0)</f>
        <v>A</v>
      </c>
      <c r="AE93" s="197"/>
      <c r="AF93" s="104"/>
      <c r="AH93" s="86"/>
      <c r="AI93" s="83"/>
      <c r="AJ93" s="84"/>
      <c r="AK93" s="84"/>
      <c r="AL93" s="84"/>
      <c r="AM93" s="84"/>
      <c r="AN93" s="84"/>
      <c r="AO93" s="84"/>
    </row>
    <row r="94" spans="1:41" ht="18.75" customHeight="1">
      <c r="A94" s="191">
        <v>2</v>
      </c>
      <c r="B94" s="255" t="str">
        <f>'Chấm công KT'!D95</f>
        <v>03466</v>
      </c>
      <c r="C94" s="201" t="str">
        <f>'Chấm công KT'!C95</f>
        <v>N. Keo</v>
      </c>
      <c r="D94" s="191" t="s">
        <v>30</v>
      </c>
      <c r="E94" s="265">
        <f t="shared" si="16"/>
        <v>3.2</v>
      </c>
      <c r="F94" s="1108">
        <f t="shared" si="17"/>
        <v>24</v>
      </c>
      <c r="G94" s="265">
        <v>7</v>
      </c>
      <c r="H94" s="265">
        <v>24</v>
      </c>
      <c r="I94" s="265"/>
      <c r="J94" s="256"/>
      <c r="K94" s="203"/>
      <c r="L94" s="203"/>
      <c r="M94" s="128"/>
      <c r="N94" s="124"/>
      <c r="O94" s="217"/>
      <c r="P94" s="192"/>
      <c r="Q94" s="199">
        <f t="shared" ref="Q94:Q157" si="20">SUM(E94:P94)</f>
        <v>58.2</v>
      </c>
      <c r="R94" s="194">
        <f>VLOOKUP(C94,'BTH mủ tạp'!$C$99:$AI$160,33,0)</f>
        <v>1788</v>
      </c>
      <c r="S94" s="202"/>
      <c r="T94" s="193">
        <f t="shared" ref="T94:T153" si="21">S94*50/100</f>
        <v>0</v>
      </c>
      <c r="U94" s="259">
        <f t="shared" si="18"/>
        <v>1788</v>
      </c>
      <c r="V94" s="595">
        <f>VLOOKUP(C94,'Chấm công KT'!$C$94:$AJ$155,34,0)</f>
        <v>26</v>
      </c>
      <c r="W94" s="595">
        <f>VLOOKUP(C94,'Chấm công KT'!$C$94:$AK$155,35,0)</f>
        <v>3</v>
      </c>
      <c r="X94" s="595">
        <f>VLOOKUP(C94,'Chấm công KT'!C95:AL155,36,0)</f>
        <v>0</v>
      </c>
      <c r="Y94" s="673"/>
      <c r="Z94" s="673"/>
      <c r="AA94" s="673"/>
      <c r="AB94" s="204"/>
      <c r="AC94" s="200">
        <f t="shared" si="19"/>
        <v>58.2</v>
      </c>
      <c r="AD94" s="125" t="str">
        <f>VLOOKUP(C94,'BTH mủ tạp'!$C$17:$AL$160,36,0)</f>
        <v>B</v>
      </c>
      <c r="AE94" s="201"/>
      <c r="AF94" s="104"/>
      <c r="AH94" s="90"/>
      <c r="AI94" s="89"/>
      <c r="AJ94" s="88"/>
      <c r="AK94" s="88"/>
      <c r="AL94" s="88"/>
      <c r="AM94" s="88"/>
      <c r="AN94" s="88"/>
      <c r="AO94" s="84"/>
    </row>
    <row r="95" spans="1:41" ht="18.75" customHeight="1">
      <c r="A95" s="191">
        <v>3</v>
      </c>
      <c r="B95" s="255" t="str">
        <f>'Chấm công KT'!D96</f>
        <v>03590</v>
      </c>
      <c r="C95" s="201" t="str">
        <f>'Chấm công KT'!C96</f>
        <v>T .Nhum</v>
      </c>
      <c r="D95" s="191" t="s">
        <v>30</v>
      </c>
      <c r="E95" s="265">
        <f t="shared" si="16"/>
        <v>3.2</v>
      </c>
      <c r="F95" s="1108">
        <f t="shared" si="17"/>
        <v>24</v>
      </c>
      <c r="G95" s="265">
        <v>7</v>
      </c>
      <c r="H95" s="265">
        <v>24</v>
      </c>
      <c r="I95" s="265"/>
      <c r="J95" s="256"/>
      <c r="K95" s="203"/>
      <c r="L95" s="203"/>
      <c r="M95" s="128"/>
      <c r="N95" s="124"/>
      <c r="O95" s="217"/>
      <c r="P95" s="192"/>
      <c r="Q95" s="199">
        <f t="shared" si="20"/>
        <v>58.2</v>
      </c>
      <c r="R95" s="194">
        <f>VLOOKUP(C95,'BTH mủ tạp'!$C$99:$AI$160,33,0)</f>
        <v>1344</v>
      </c>
      <c r="S95" s="202"/>
      <c r="T95" s="193">
        <f t="shared" si="21"/>
        <v>0</v>
      </c>
      <c r="U95" s="259">
        <f t="shared" si="18"/>
        <v>1344</v>
      </c>
      <c r="V95" s="595">
        <f>VLOOKUP(C95,'Chấm công KT'!$C$94:$AJ$155,34,0)</f>
        <v>26</v>
      </c>
      <c r="W95" s="595">
        <f>VLOOKUP(C95,'Chấm công KT'!$C$94:$AK$155,35,0)</f>
        <v>4</v>
      </c>
      <c r="X95" s="595">
        <f>VLOOKUP(C95,'Chấm công KT'!C96:AL155,36,0)</f>
        <v>0</v>
      </c>
      <c r="Y95" s="673"/>
      <c r="Z95" s="673"/>
      <c r="AA95" s="673"/>
      <c r="AB95" s="204"/>
      <c r="AC95" s="200">
        <f t="shared" si="19"/>
        <v>58.2</v>
      </c>
      <c r="AD95" s="125" t="str">
        <f>VLOOKUP(C95,'BTH mủ tạp'!$C$17:$AL$160,36,0)</f>
        <v>A</v>
      </c>
      <c r="AE95" s="201"/>
      <c r="AF95" s="104"/>
      <c r="AG95" s="101"/>
      <c r="AH95" s="101"/>
    </row>
    <row r="96" spans="1:41" ht="18.75" customHeight="1">
      <c r="A96" s="191">
        <v>4</v>
      </c>
      <c r="B96" s="255" t="str">
        <f>'Chấm công KT'!D97</f>
        <v>03591</v>
      </c>
      <c r="C96" s="201" t="str">
        <f>'Chấm công KT'!C97</f>
        <v>N.Vông Ma Ni</v>
      </c>
      <c r="D96" s="191" t="s">
        <v>30</v>
      </c>
      <c r="E96" s="265">
        <f t="shared" si="16"/>
        <v>3.2</v>
      </c>
      <c r="F96" s="1108">
        <f t="shared" si="17"/>
        <v>24</v>
      </c>
      <c r="G96" s="265">
        <v>7</v>
      </c>
      <c r="H96" s="265">
        <v>24</v>
      </c>
      <c r="I96" s="265"/>
      <c r="J96" s="256"/>
      <c r="K96" s="203"/>
      <c r="L96" s="203"/>
      <c r="M96" s="128"/>
      <c r="N96" s="124"/>
      <c r="O96" s="217"/>
      <c r="P96" s="192"/>
      <c r="Q96" s="199">
        <f t="shared" si="20"/>
        <v>58.2</v>
      </c>
      <c r="R96" s="194">
        <f>VLOOKUP(C96,'BTH mủ tạp'!$C$99:$AI$160,33,0)</f>
        <v>1906</v>
      </c>
      <c r="S96" s="202"/>
      <c r="T96" s="193">
        <f t="shared" si="21"/>
        <v>0</v>
      </c>
      <c r="U96" s="259">
        <f t="shared" si="18"/>
        <v>1906</v>
      </c>
      <c r="V96" s="595">
        <f>VLOOKUP(C96,'Chấm công KT'!$C$94:$AJ$155,34,0)</f>
        <v>26</v>
      </c>
      <c r="W96" s="595">
        <f>VLOOKUP(C96,'Chấm công KT'!$C$94:$AK$155,35,0)</f>
        <v>4</v>
      </c>
      <c r="X96" s="595">
        <f>VLOOKUP(C96,'Chấm công KT'!C97:AL155,36,0)</f>
        <v>0</v>
      </c>
      <c r="Y96" s="673"/>
      <c r="Z96" s="673"/>
      <c r="AA96" s="673"/>
      <c r="AB96" s="204"/>
      <c r="AC96" s="200">
        <f t="shared" si="19"/>
        <v>58.2</v>
      </c>
      <c r="AD96" s="125" t="str">
        <f>VLOOKUP(C96,'BTH mủ tạp'!$C$17:$AL$160,36,0)</f>
        <v>A</v>
      </c>
      <c r="AE96" s="201"/>
      <c r="AF96" s="104"/>
    </row>
    <row r="97" spans="1:33" ht="18.75" customHeight="1">
      <c r="A97" s="191">
        <v>5</v>
      </c>
      <c r="B97" s="255" t="str">
        <f>'Chấm công KT'!D98</f>
        <v>03592</v>
      </c>
      <c r="C97" s="201" t="str">
        <f>'Chấm công KT'!C98</f>
        <v>Đao Hương</v>
      </c>
      <c r="D97" s="191" t="s">
        <v>30</v>
      </c>
      <c r="E97" s="265">
        <f t="shared" si="16"/>
        <v>3.2</v>
      </c>
      <c r="F97" s="1108">
        <f t="shared" si="17"/>
        <v>24</v>
      </c>
      <c r="G97" s="265">
        <v>7</v>
      </c>
      <c r="H97" s="265">
        <v>24</v>
      </c>
      <c r="I97" s="265"/>
      <c r="J97" s="256"/>
      <c r="K97" s="203"/>
      <c r="L97" s="203"/>
      <c r="M97" s="128"/>
      <c r="N97" s="124"/>
      <c r="O97" s="217"/>
      <c r="P97" s="192"/>
      <c r="Q97" s="199">
        <f t="shared" si="20"/>
        <v>58.2</v>
      </c>
      <c r="R97" s="194">
        <f>VLOOKUP(C97,'BTH mủ tạp'!$C$99:$AI$160,33,0)</f>
        <v>1846</v>
      </c>
      <c r="S97" s="202"/>
      <c r="T97" s="193">
        <f t="shared" si="21"/>
        <v>0</v>
      </c>
      <c r="U97" s="259">
        <f t="shared" si="18"/>
        <v>1846</v>
      </c>
      <c r="V97" s="595">
        <f>VLOOKUP(C97,'Chấm công KT'!$C$94:$AJ$155,34,0)</f>
        <v>26</v>
      </c>
      <c r="W97" s="595">
        <f>VLOOKUP(C97,'Chấm công KT'!$C$94:$AK$155,35,0)</f>
        <v>4</v>
      </c>
      <c r="X97" s="595">
        <f>VLOOKUP(C97,'Chấm công KT'!C98:AL155,36,0)</f>
        <v>0</v>
      </c>
      <c r="Y97" s="673"/>
      <c r="Z97" s="673"/>
      <c r="AA97" s="673"/>
      <c r="AB97" s="204"/>
      <c r="AC97" s="200">
        <f t="shared" si="19"/>
        <v>58.2</v>
      </c>
      <c r="AD97" s="125" t="str">
        <f>VLOOKUP(C97,'BTH mủ tạp'!$C$17:$AL$160,36,0)</f>
        <v>A</v>
      </c>
      <c r="AE97" s="201"/>
      <c r="AF97" s="104">
        <f>241.33-E92</f>
        <v>55.73000000000016</v>
      </c>
    </row>
    <row r="98" spans="1:33" ht="18.75" customHeight="1">
      <c r="A98" s="191">
        <v>6</v>
      </c>
      <c r="B98" s="255" t="str">
        <f>'Chấm công KT'!D99</f>
        <v>03593</v>
      </c>
      <c r="C98" s="201" t="str">
        <f>'Chấm công KT'!C99</f>
        <v>T. Xi Nun</v>
      </c>
      <c r="D98" s="191" t="s">
        <v>30</v>
      </c>
      <c r="E98" s="265">
        <f t="shared" si="16"/>
        <v>3.2</v>
      </c>
      <c r="F98" s="1108">
        <f t="shared" si="17"/>
        <v>24</v>
      </c>
      <c r="G98" s="265">
        <v>7</v>
      </c>
      <c r="H98" s="265">
        <v>24</v>
      </c>
      <c r="I98" s="265"/>
      <c r="J98" s="256"/>
      <c r="K98" s="203"/>
      <c r="L98" s="203"/>
      <c r="M98" s="128"/>
      <c r="N98" s="124"/>
      <c r="O98" s="217"/>
      <c r="P98" s="192"/>
      <c r="Q98" s="199">
        <f t="shared" si="20"/>
        <v>58.2</v>
      </c>
      <c r="R98" s="194">
        <f>VLOOKUP(C98,'BTH mủ tạp'!$C$99:$AI$160,33,0)</f>
        <v>884</v>
      </c>
      <c r="S98" s="202"/>
      <c r="T98" s="193">
        <f t="shared" si="21"/>
        <v>0</v>
      </c>
      <c r="U98" s="259">
        <f t="shared" si="18"/>
        <v>884</v>
      </c>
      <c r="V98" s="595">
        <f>VLOOKUP(C98,'Chấm công KT'!$C$94:$AJ$155,34,0)</f>
        <v>21</v>
      </c>
      <c r="W98" s="595">
        <f>VLOOKUP(C98,'Chấm công KT'!$C$94:$AK$155,35,0)</f>
        <v>1</v>
      </c>
      <c r="X98" s="595">
        <f>VLOOKUP(C98,'Chấm công KT'!C99:AL155,36,0)</f>
        <v>0</v>
      </c>
      <c r="Y98" s="673"/>
      <c r="Z98" s="673"/>
      <c r="AA98" s="673"/>
      <c r="AB98" s="204"/>
      <c r="AC98" s="200">
        <f t="shared" si="19"/>
        <v>58.2</v>
      </c>
      <c r="AD98" s="125" t="str">
        <f>VLOOKUP(C98,'BTH mủ tạp'!$C$17:$AL$160,36,0)</f>
        <v>B</v>
      </c>
      <c r="AE98" s="201"/>
      <c r="AF98" s="104"/>
      <c r="AG98" s="102">
        <f>183*0.5</f>
        <v>91.5</v>
      </c>
    </row>
    <row r="99" spans="1:33" ht="18.75" customHeight="1">
      <c r="A99" s="191">
        <v>7</v>
      </c>
      <c r="B99" s="255" t="str">
        <f>'Chấm công KT'!D100</f>
        <v>03594</v>
      </c>
      <c r="C99" s="201" t="str">
        <f>'Chấm công KT'!C100</f>
        <v>T. Bun Hinh</v>
      </c>
      <c r="D99" s="191" t="s">
        <v>30</v>
      </c>
      <c r="E99" s="265">
        <f t="shared" si="16"/>
        <v>3.2</v>
      </c>
      <c r="F99" s="1108">
        <f t="shared" si="17"/>
        <v>24</v>
      </c>
      <c r="G99" s="265">
        <v>7</v>
      </c>
      <c r="H99" s="265">
        <v>24</v>
      </c>
      <c r="I99" s="265"/>
      <c r="J99" s="256"/>
      <c r="K99" s="203"/>
      <c r="L99" s="203"/>
      <c r="M99" s="128"/>
      <c r="N99" s="124"/>
      <c r="O99" s="217"/>
      <c r="P99" s="192"/>
      <c r="Q99" s="199">
        <f t="shared" si="20"/>
        <v>58.2</v>
      </c>
      <c r="R99" s="194">
        <f>VLOOKUP(C99,'BTH mủ tạp'!$C$99:$AI$160,33,0)</f>
        <v>2068</v>
      </c>
      <c r="S99" s="202"/>
      <c r="T99" s="193">
        <f t="shared" si="21"/>
        <v>0</v>
      </c>
      <c r="U99" s="259">
        <f t="shared" si="18"/>
        <v>2068</v>
      </c>
      <c r="V99" s="595">
        <f>VLOOKUP(C99,'Chấm công KT'!$C$94:$AJ$155,34,0)</f>
        <v>27</v>
      </c>
      <c r="W99" s="595">
        <f>VLOOKUP(C99,'Chấm công KT'!$C$94:$AK$155,35,0)</f>
        <v>4</v>
      </c>
      <c r="X99" s="595">
        <f>VLOOKUP(C99,'Chấm công KT'!C100:AL155,36,0)</f>
        <v>0</v>
      </c>
      <c r="Y99" s="673"/>
      <c r="Z99" s="673"/>
      <c r="AA99" s="673"/>
      <c r="AB99" s="204"/>
      <c r="AC99" s="200">
        <f t="shared" si="19"/>
        <v>58.2</v>
      </c>
      <c r="AD99" s="125" t="str">
        <f>VLOOKUP(C99,'BTH mủ tạp'!$C$17:$AL$160,36,0)</f>
        <v>A</v>
      </c>
      <c r="AE99" s="201"/>
      <c r="AF99" s="104"/>
    </row>
    <row r="100" spans="1:33" ht="18.75" customHeight="1">
      <c r="A100" s="191">
        <v>8</v>
      </c>
      <c r="B100" s="255" t="e">
        <f>'Chấm công KT'!D101</f>
        <v>#N/A</v>
      </c>
      <c r="C100" s="201" t="str">
        <f>'Chấm công KT'!C101</f>
        <v>T. Miềng</v>
      </c>
      <c r="D100" s="191" t="s">
        <v>30</v>
      </c>
      <c r="E100" s="265">
        <f t="shared" si="16"/>
        <v>3.2</v>
      </c>
      <c r="F100" s="1108">
        <f t="shared" si="17"/>
        <v>24</v>
      </c>
      <c r="G100" s="265">
        <v>14</v>
      </c>
      <c r="H100" s="265">
        <v>16</v>
      </c>
      <c r="I100" s="265"/>
      <c r="J100" s="256"/>
      <c r="K100" s="203"/>
      <c r="L100" s="203"/>
      <c r="M100" s="265"/>
      <c r="N100" s="198"/>
      <c r="O100" s="278"/>
      <c r="P100" s="192"/>
      <c r="Q100" s="199">
        <f t="shared" si="20"/>
        <v>57.2</v>
      </c>
      <c r="R100" s="194">
        <f>VLOOKUP(C100,'BTH mủ tạp'!$C$99:$AI$160,33,0)</f>
        <v>1585</v>
      </c>
      <c r="S100" s="202"/>
      <c r="T100" s="193">
        <f t="shared" si="21"/>
        <v>0</v>
      </c>
      <c r="U100" s="259">
        <f t="shared" si="18"/>
        <v>1585</v>
      </c>
      <c r="V100" s="595">
        <f>VLOOKUP(C100,'Chấm công KT'!$C$94:$AJ$155,34,0)</f>
        <v>26</v>
      </c>
      <c r="W100" s="595">
        <f>VLOOKUP(C100,'Chấm công KT'!$C$94:$AK$155,35,0)</f>
        <v>4</v>
      </c>
      <c r="X100" s="595">
        <f>VLOOKUP(C100,'Chấm công KT'!C101:AL155,36,0)</f>
        <v>0</v>
      </c>
      <c r="Y100" s="673"/>
      <c r="Z100" s="673"/>
      <c r="AA100" s="673"/>
      <c r="AB100" s="204"/>
      <c r="AC100" s="200">
        <f t="shared" si="19"/>
        <v>57.2</v>
      </c>
      <c r="AD100" s="125" t="str">
        <f>VLOOKUP(C100,'BTH mủ tạp'!$C$17:$AL$160,36,0)</f>
        <v>A</v>
      </c>
      <c r="AE100" s="201"/>
      <c r="AF100" s="104"/>
    </row>
    <row r="101" spans="1:33" ht="18.75" customHeight="1">
      <c r="A101" s="191">
        <v>9</v>
      </c>
      <c r="B101" s="255" t="str">
        <f>'Chấm công KT'!D102</f>
        <v>03596</v>
      </c>
      <c r="C101" s="201" t="str">
        <f>'Chấm công KT'!C102</f>
        <v>N. Xúc</v>
      </c>
      <c r="D101" s="191" t="s">
        <v>30</v>
      </c>
      <c r="E101" s="265">
        <f t="shared" si="16"/>
        <v>3.2</v>
      </c>
      <c r="F101" s="1108">
        <f t="shared" si="17"/>
        <v>24</v>
      </c>
      <c r="G101" s="265">
        <v>7</v>
      </c>
      <c r="H101" s="265">
        <v>24</v>
      </c>
      <c r="I101" s="265"/>
      <c r="J101" s="256"/>
      <c r="K101" s="203"/>
      <c r="L101" s="203"/>
      <c r="M101" s="198"/>
      <c r="N101" s="198"/>
      <c r="O101" s="278"/>
      <c r="P101" s="192"/>
      <c r="Q101" s="199">
        <f t="shared" si="20"/>
        <v>58.2</v>
      </c>
      <c r="R101" s="194">
        <f>VLOOKUP(C101,'BTH mủ tạp'!$C$99:$AI$160,33,0)</f>
        <v>2110</v>
      </c>
      <c r="S101" s="202"/>
      <c r="T101" s="193">
        <f t="shared" si="21"/>
        <v>0</v>
      </c>
      <c r="U101" s="259">
        <f t="shared" si="18"/>
        <v>2110</v>
      </c>
      <c r="V101" s="595">
        <f>VLOOKUP(C101,'Chấm công KT'!$C$94:$AJ$155,34,0)</f>
        <v>27</v>
      </c>
      <c r="W101" s="595">
        <f>VLOOKUP(C101,'Chấm công KT'!$C$94:$AK$155,35,0)</f>
        <v>4</v>
      </c>
      <c r="X101" s="595">
        <f>VLOOKUP(C101,'Chấm công KT'!C102:AL155,36,0)</f>
        <v>0</v>
      </c>
      <c r="Y101" s="673"/>
      <c r="Z101" s="673"/>
      <c r="AA101" s="673"/>
      <c r="AB101" s="204"/>
      <c r="AC101" s="200">
        <f t="shared" si="19"/>
        <v>58.2</v>
      </c>
      <c r="AD101" s="125" t="str">
        <f>VLOOKUP(C101,'BTH mủ tạp'!$C$17:$AL$160,36,0)</f>
        <v>B</v>
      </c>
      <c r="AE101" s="201"/>
      <c r="AF101" s="104"/>
    </row>
    <row r="102" spans="1:33" ht="18.75" customHeight="1">
      <c r="A102" s="191">
        <v>10</v>
      </c>
      <c r="B102" s="255" t="str">
        <f>'Chấm công KT'!D103</f>
        <v>03597</v>
      </c>
      <c r="C102" s="201" t="str">
        <f>'Chấm công KT'!C103</f>
        <v>N. Lẹ</v>
      </c>
      <c r="D102" s="191" t="s">
        <v>30</v>
      </c>
      <c r="E102" s="265">
        <f t="shared" si="16"/>
        <v>3.2</v>
      </c>
      <c r="F102" s="1108">
        <f t="shared" si="17"/>
        <v>24</v>
      </c>
      <c r="G102" s="265">
        <v>7</v>
      </c>
      <c r="H102" s="265">
        <v>24</v>
      </c>
      <c r="I102" s="265"/>
      <c r="J102" s="256"/>
      <c r="K102" s="203"/>
      <c r="L102" s="203"/>
      <c r="M102" s="256"/>
      <c r="N102" s="124"/>
      <c r="O102" s="217"/>
      <c r="P102" s="192"/>
      <c r="Q102" s="199">
        <f t="shared" si="20"/>
        <v>58.2</v>
      </c>
      <c r="R102" s="194">
        <f>VLOOKUP(C102,'BTH mủ tạp'!$C$99:$AI$160,33,0)</f>
        <v>1374</v>
      </c>
      <c r="S102" s="202"/>
      <c r="T102" s="193">
        <f t="shared" si="21"/>
        <v>0</v>
      </c>
      <c r="U102" s="259">
        <f t="shared" si="18"/>
        <v>1374</v>
      </c>
      <c r="V102" s="595">
        <f>VLOOKUP(C102,'Chấm công KT'!$C$94:$AJ$155,34,0)</f>
        <v>26</v>
      </c>
      <c r="W102" s="595">
        <f>VLOOKUP(C102,'Chấm công KT'!$C$94:$AK$155,35,0)</f>
        <v>4</v>
      </c>
      <c r="X102" s="595">
        <f>VLOOKUP(C102,'Chấm công KT'!C103:AL155,36,0)</f>
        <v>0</v>
      </c>
      <c r="Y102" s="673"/>
      <c r="Z102" s="673"/>
      <c r="AA102" s="673"/>
      <c r="AB102" s="204"/>
      <c r="AC102" s="200">
        <f t="shared" si="19"/>
        <v>58.2</v>
      </c>
      <c r="AD102" s="125" t="str">
        <f>VLOOKUP(C102,'BTH mủ tạp'!$C$17:$AL$160,36,0)</f>
        <v>A</v>
      </c>
      <c r="AE102" s="201"/>
      <c r="AF102" s="104"/>
    </row>
    <row r="103" spans="1:33" ht="18.75" customHeight="1">
      <c r="A103" s="191">
        <v>11</v>
      </c>
      <c r="B103" s="255" t="str">
        <f>'Chấm công KT'!D104</f>
        <v>03598</v>
      </c>
      <c r="C103" s="201" t="str">
        <f>'Chấm công KT'!C104</f>
        <v>N . Thích</v>
      </c>
      <c r="D103" s="191" t="s">
        <v>30</v>
      </c>
      <c r="E103" s="265">
        <f t="shared" si="16"/>
        <v>3.2</v>
      </c>
      <c r="F103" s="1108">
        <f t="shared" si="17"/>
        <v>24</v>
      </c>
      <c r="G103" s="265">
        <v>7</v>
      </c>
      <c r="H103" s="265">
        <v>24</v>
      </c>
      <c r="I103" s="265"/>
      <c r="J103" s="256"/>
      <c r="K103" s="203"/>
      <c r="L103" s="203"/>
      <c r="M103" s="128"/>
      <c r="N103" s="124"/>
      <c r="O103" s="217"/>
      <c r="P103" s="192"/>
      <c r="Q103" s="199">
        <f t="shared" si="20"/>
        <v>58.2</v>
      </c>
      <c r="R103" s="194">
        <f>VLOOKUP(C103,'BTH mủ tạp'!$C$99:$AI$160,33,0)</f>
        <v>1734</v>
      </c>
      <c r="S103" s="202"/>
      <c r="T103" s="193">
        <f t="shared" si="21"/>
        <v>0</v>
      </c>
      <c r="U103" s="259">
        <f t="shared" si="18"/>
        <v>1734</v>
      </c>
      <c r="V103" s="595">
        <f>VLOOKUP(C103,'Chấm công KT'!$C$94:$AJ$155,34,0)</f>
        <v>26</v>
      </c>
      <c r="W103" s="595">
        <f>VLOOKUP(C103,'Chấm công KT'!$C$94:$AK$155,35,0)</f>
        <v>4</v>
      </c>
      <c r="X103" s="595">
        <f>VLOOKUP(C103,'Chấm công KT'!C104:AL155,36,0)</f>
        <v>0</v>
      </c>
      <c r="Y103" s="673"/>
      <c r="Z103" s="673"/>
      <c r="AA103" s="673"/>
      <c r="AB103" s="204"/>
      <c r="AC103" s="200">
        <f t="shared" si="19"/>
        <v>58.2</v>
      </c>
      <c r="AD103" s="125" t="str">
        <f>VLOOKUP(C103,'BTH mủ tạp'!$C$17:$AL$160,36,0)</f>
        <v>A</v>
      </c>
      <c r="AE103" s="201"/>
      <c r="AF103" s="104"/>
    </row>
    <row r="104" spans="1:33" ht="18.75" customHeight="1">
      <c r="A104" s="191">
        <v>12</v>
      </c>
      <c r="B104" s="255" t="str">
        <f>'Chấm công KT'!D105</f>
        <v>03599</v>
      </c>
      <c r="C104" s="201" t="str">
        <f>'Chấm công KT'!C105</f>
        <v>N. Cong Mi</v>
      </c>
      <c r="D104" s="191" t="s">
        <v>30</v>
      </c>
      <c r="E104" s="265">
        <f t="shared" si="16"/>
        <v>3.2</v>
      </c>
      <c r="F104" s="1108">
        <f t="shared" si="17"/>
        <v>24</v>
      </c>
      <c r="G104" s="265">
        <v>7</v>
      </c>
      <c r="H104" s="265">
        <v>24</v>
      </c>
      <c r="I104" s="265"/>
      <c r="J104" s="256"/>
      <c r="K104" s="203"/>
      <c r="L104" s="203"/>
      <c r="M104" s="128"/>
      <c r="N104" s="124"/>
      <c r="O104" s="217"/>
      <c r="P104" s="192"/>
      <c r="Q104" s="199">
        <f t="shared" si="20"/>
        <v>58.2</v>
      </c>
      <c r="R104" s="194">
        <f>VLOOKUP(C104,'BTH mủ tạp'!$C$99:$AI$160,33,0)</f>
        <v>2002</v>
      </c>
      <c r="S104" s="202"/>
      <c r="T104" s="193">
        <f t="shared" si="21"/>
        <v>0</v>
      </c>
      <c r="U104" s="259">
        <f t="shared" si="18"/>
        <v>2002</v>
      </c>
      <c r="V104" s="595">
        <f>VLOOKUP(C104,'Chấm công KT'!$C$94:$AJ$155,34,0)</f>
        <v>27</v>
      </c>
      <c r="W104" s="595">
        <f>VLOOKUP(C104,'Chấm công KT'!$C$94:$AK$155,35,0)</f>
        <v>4</v>
      </c>
      <c r="X104" s="595">
        <f>VLOOKUP(C104,'Chấm công KT'!C105:AL155,36,0)</f>
        <v>0</v>
      </c>
      <c r="Y104" s="673"/>
      <c r="Z104" s="673"/>
      <c r="AA104" s="673"/>
      <c r="AB104" s="204"/>
      <c r="AC104" s="200">
        <f t="shared" si="19"/>
        <v>58.2</v>
      </c>
      <c r="AD104" s="125" t="str">
        <f>VLOOKUP(C104,'BTH mủ tạp'!$C$17:$AL$160,36,0)</f>
        <v>A</v>
      </c>
      <c r="AE104" s="201"/>
      <c r="AF104" s="104"/>
    </row>
    <row r="105" spans="1:33" ht="18.75" customHeight="1">
      <c r="A105" s="191">
        <v>13</v>
      </c>
      <c r="B105" s="255" t="e">
        <f>'Chấm công KT'!D106</f>
        <v>#N/A</v>
      </c>
      <c r="C105" s="201" t="str">
        <f>'Chấm công KT'!C106</f>
        <v>T. Na</v>
      </c>
      <c r="D105" s="191" t="s">
        <v>30</v>
      </c>
      <c r="E105" s="265">
        <f t="shared" si="16"/>
        <v>3.2</v>
      </c>
      <c r="F105" s="1108">
        <f t="shared" si="17"/>
        <v>24</v>
      </c>
      <c r="G105" s="265">
        <v>7</v>
      </c>
      <c r="H105" s="265">
        <v>24</v>
      </c>
      <c r="I105" s="265"/>
      <c r="J105" s="256"/>
      <c r="K105" s="203"/>
      <c r="L105" s="203"/>
      <c r="M105" s="128"/>
      <c r="N105" s="124"/>
      <c r="O105" s="217"/>
      <c r="P105" s="192"/>
      <c r="Q105" s="199">
        <f t="shared" si="20"/>
        <v>58.2</v>
      </c>
      <c r="R105" s="194">
        <f>VLOOKUP(C105,'BTH mủ tạp'!$C$99:$AI$160,33,0)</f>
        <v>1498</v>
      </c>
      <c r="S105" s="202"/>
      <c r="T105" s="193">
        <f t="shared" si="21"/>
        <v>0</v>
      </c>
      <c r="U105" s="259">
        <f t="shared" si="18"/>
        <v>1498</v>
      </c>
      <c r="V105" s="595">
        <f>VLOOKUP(C105,'Chấm công KT'!$C$94:$AJ$155,34,0)</f>
        <v>26</v>
      </c>
      <c r="W105" s="595">
        <f>VLOOKUP(C105,'Chấm công KT'!$C$94:$AK$155,35,0)</f>
        <v>4</v>
      </c>
      <c r="X105" s="595">
        <f>VLOOKUP(C105,'Chấm công KT'!C106:AL155,36,0)</f>
        <v>0</v>
      </c>
      <c r="Y105" s="673"/>
      <c r="Z105" s="673"/>
      <c r="AA105" s="673"/>
      <c r="AB105" s="204"/>
      <c r="AC105" s="200">
        <f t="shared" si="19"/>
        <v>58.2</v>
      </c>
      <c r="AD105" s="125" t="str">
        <f>VLOOKUP(C105,'BTH mủ tạp'!$C$17:$AL$160,36,0)</f>
        <v>B</v>
      </c>
      <c r="AE105" s="201"/>
      <c r="AF105" s="104"/>
    </row>
    <row r="106" spans="1:33" ht="18.75" customHeight="1">
      <c r="A106" s="191">
        <v>14</v>
      </c>
      <c r="B106" s="255" t="str">
        <f>'Chấm công KT'!D107</f>
        <v>03601</v>
      </c>
      <c r="C106" s="201" t="str">
        <f>'Chấm công KT'!C107</f>
        <v>T. Khăm Mặn</v>
      </c>
      <c r="D106" s="191" t="s">
        <v>30</v>
      </c>
      <c r="E106" s="265">
        <f t="shared" si="16"/>
        <v>3.2</v>
      </c>
      <c r="F106" s="1108">
        <f t="shared" si="17"/>
        <v>24</v>
      </c>
      <c r="G106" s="265">
        <v>7</v>
      </c>
      <c r="H106" s="265">
        <v>24</v>
      </c>
      <c r="I106" s="265"/>
      <c r="J106" s="256"/>
      <c r="K106" s="203"/>
      <c r="L106" s="203"/>
      <c r="M106" s="256"/>
      <c r="N106" s="198"/>
      <c r="O106" s="278"/>
      <c r="P106" s="192"/>
      <c r="Q106" s="199">
        <f t="shared" si="20"/>
        <v>58.2</v>
      </c>
      <c r="R106" s="194">
        <f>VLOOKUP(C106,'BTH mủ tạp'!$C$99:$AI$160,33,0)</f>
        <v>2247</v>
      </c>
      <c r="S106" s="202"/>
      <c r="T106" s="193">
        <f t="shared" si="21"/>
        <v>0</v>
      </c>
      <c r="U106" s="259">
        <f t="shared" si="18"/>
        <v>2247</v>
      </c>
      <c r="V106" s="595">
        <f>VLOOKUP(C106,'Chấm công KT'!$C$94:$AJ$155,34,0)</f>
        <v>27</v>
      </c>
      <c r="W106" s="595">
        <f>VLOOKUP(C106,'Chấm công KT'!$C$94:$AK$155,35,0)</f>
        <v>4</v>
      </c>
      <c r="X106" s="595">
        <f>VLOOKUP(C106,'Chấm công KT'!C107:AL155,36,0)</f>
        <v>0</v>
      </c>
      <c r="Y106" s="673"/>
      <c r="Z106" s="673"/>
      <c r="AA106" s="673"/>
      <c r="AB106" s="204"/>
      <c r="AC106" s="200">
        <f t="shared" si="19"/>
        <v>58.2</v>
      </c>
      <c r="AD106" s="125" t="str">
        <f>VLOOKUP(C106,'BTH mủ tạp'!$C$17:$AL$160,36,0)</f>
        <v>A</v>
      </c>
      <c r="AE106" s="201"/>
      <c r="AF106" s="104"/>
      <c r="AG106" s="91"/>
    </row>
    <row r="107" spans="1:33" ht="18.75" customHeight="1">
      <c r="A107" s="191">
        <v>15</v>
      </c>
      <c r="B107" s="255" t="str">
        <f>'Chấm công KT'!D108</f>
        <v>03602</v>
      </c>
      <c r="C107" s="201" t="str">
        <f>'Chấm công KT'!C108</f>
        <v>T . In Tong</v>
      </c>
      <c r="D107" s="191" t="s">
        <v>30</v>
      </c>
      <c r="E107" s="265">
        <f t="shared" si="16"/>
        <v>3.2</v>
      </c>
      <c r="F107" s="1108">
        <f t="shared" si="17"/>
        <v>24</v>
      </c>
      <c r="G107" s="265">
        <v>7</v>
      </c>
      <c r="H107" s="265">
        <v>24</v>
      </c>
      <c r="I107" s="265"/>
      <c r="J107" s="256"/>
      <c r="K107" s="203"/>
      <c r="L107" s="203"/>
      <c r="M107" s="128"/>
      <c r="N107" s="124"/>
      <c r="O107" s="217"/>
      <c r="P107" s="192"/>
      <c r="Q107" s="199">
        <f t="shared" si="20"/>
        <v>58.2</v>
      </c>
      <c r="R107" s="194">
        <f>VLOOKUP(C107,'BTH mủ tạp'!$C$99:$AI$160,33,0)</f>
        <v>1661</v>
      </c>
      <c r="S107" s="202"/>
      <c r="T107" s="193">
        <f t="shared" si="21"/>
        <v>0</v>
      </c>
      <c r="U107" s="259">
        <f t="shared" si="18"/>
        <v>1661</v>
      </c>
      <c r="V107" s="595">
        <f>VLOOKUP(C107,'Chấm công KT'!$C$94:$AJ$155,34,0)</f>
        <v>26</v>
      </c>
      <c r="W107" s="595">
        <f>VLOOKUP(C107,'Chấm công KT'!$C$94:$AK$155,35,0)</f>
        <v>4</v>
      </c>
      <c r="X107" s="595">
        <f>VLOOKUP(C107,'Chấm công KT'!C108:AL155,36,0)</f>
        <v>0</v>
      </c>
      <c r="Y107" s="673"/>
      <c r="Z107" s="673"/>
      <c r="AA107" s="673"/>
      <c r="AB107" s="204"/>
      <c r="AC107" s="200">
        <f t="shared" si="19"/>
        <v>58.2</v>
      </c>
      <c r="AD107" s="125" t="str">
        <f>VLOOKUP(C107,'BTH mủ tạp'!$C$17:$AL$160,36,0)</f>
        <v>A</v>
      </c>
      <c r="AE107" s="201"/>
      <c r="AF107" s="104"/>
    </row>
    <row r="108" spans="1:33" ht="18.75" customHeight="1">
      <c r="A108" s="191">
        <v>16</v>
      </c>
      <c r="B108" s="255" t="str">
        <f>'Chấm công KT'!D109</f>
        <v>03496</v>
      </c>
      <c r="C108" s="201" t="str">
        <f>'Chấm công KT'!C109</f>
        <v>T. Lốp</v>
      </c>
      <c r="D108" s="191" t="s">
        <v>30</v>
      </c>
      <c r="E108" s="265">
        <f t="shared" si="16"/>
        <v>3.2</v>
      </c>
      <c r="F108" s="1108">
        <f t="shared" si="17"/>
        <v>24</v>
      </c>
      <c r="G108" s="265">
        <v>7</v>
      </c>
      <c r="H108" s="265">
        <v>24</v>
      </c>
      <c r="I108" s="265"/>
      <c r="J108" s="256"/>
      <c r="K108" s="203"/>
      <c r="L108" s="203"/>
      <c r="M108" s="128"/>
      <c r="N108" s="124"/>
      <c r="O108" s="217"/>
      <c r="P108" s="192"/>
      <c r="Q108" s="199">
        <f t="shared" si="20"/>
        <v>58.2</v>
      </c>
      <c r="R108" s="194">
        <f>VLOOKUP(C108,'BTH mủ tạp'!$C$99:$AI$160,33,0)</f>
        <v>1272</v>
      </c>
      <c r="S108" s="202"/>
      <c r="T108" s="193">
        <f t="shared" si="21"/>
        <v>0</v>
      </c>
      <c r="U108" s="259">
        <f t="shared" si="18"/>
        <v>1272</v>
      </c>
      <c r="V108" s="595">
        <f>VLOOKUP(C108,'Chấm công KT'!$C$94:$AJ$155,34,0)</f>
        <v>21</v>
      </c>
      <c r="W108" s="595">
        <f>VLOOKUP(C108,'Chấm công KT'!$C$94:$AK$155,35,0)</f>
        <v>4</v>
      </c>
      <c r="X108" s="595">
        <f>VLOOKUP(C108,'Chấm công KT'!C109:AL155,36,0)</f>
        <v>0</v>
      </c>
      <c r="Y108" s="673"/>
      <c r="Z108" s="673"/>
      <c r="AA108" s="673"/>
      <c r="AB108" s="204"/>
      <c r="AC108" s="200">
        <f t="shared" si="19"/>
        <v>58.2</v>
      </c>
      <c r="AD108" s="125" t="str">
        <f>VLOOKUP(C108,'BTH mủ tạp'!$C$17:$AL$160,36,0)</f>
        <v>B</v>
      </c>
      <c r="AE108" s="201"/>
      <c r="AF108" s="104"/>
    </row>
    <row r="109" spans="1:33" ht="18.75" customHeight="1">
      <c r="A109" s="191">
        <v>17</v>
      </c>
      <c r="B109" s="255" t="str">
        <f>'Chấm công KT'!D110</f>
        <v>03604</v>
      </c>
      <c r="C109" s="201" t="str">
        <f>'Chấm công KT'!C110</f>
        <v>T. Lăm Phêng</v>
      </c>
      <c r="D109" s="191" t="s">
        <v>30</v>
      </c>
      <c r="E109" s="265">
        <f t="shared" si="16"/>
        <v>3.2</v>
      </c>
      <c r="F109" s="1108">
        <f t="shared" si="17"/>
        <v>24</v>
      </c>
      <c r="G109" s="265">
        <v>7</v>
      </c>
      <c r="H109" s="265">
        <v>24</v>
      </c>
      <c r="I109" s="265"/>
      <c r="J109" s="256"/>
      <c r="K109" s="203"/>
      <c r="L109" s="203"/>
      <c r="M109" s="256"/>
      <c r="N109" s="198"/>
      <c r="O109" s="278"/>
      <c r="P109" s="192"/>
      <c r="Q109" s="199">
        <f t="shared" si="20"/>
        <v>58.2</v>
      </c>
      <c r="R109" s="194">
        <f>VLOOKUP(C109,'BTH mủ tạp'!$C$99:$AI$160,33,0)</f>
        <v>2314</v>
      </c>
      <c r="S109" s="202"/>
      <c r="T109" s="193">
        <f t="shared" si="21"/>
        <v>0</v>
      </c>
      <c r="U109" s="259">
        <f t="shared" si="18"/>
        <v>2314</v>
      </c>
      <c r="V109" s="595">
        <f>VLOOKUP(C109,'Chấm công KT'!$C$94:$AJ$155,34,0)</f>
        <v>27</v>
      </c>
      <c r="W109" s="595">
        <f>VLOOKUP(C109,'Chấm công KT'!$C$94:$AK$155,35,0)</f>
        <v>4</v>
      </c>
      <c r="X109" s="595">
        <f>VLOOKUP(C109,'Chấm công KT'!C110:AL155,36,0)</f>
        <v>0</v>
      </c>
      <c r="Y109" s="673"/>
      <c r="Z109" s="673"/>
      <c r="AA109" s="673"/>
      <c r="AB109" s="204"/>
      <c r="AC109" s="200">
        <f t="shared" si="19"/>
        <v>58.2</v>
      </c>
      <c r="AD109" s="125" t="str">
        <f>VLOOKUP(C109,'BTH mủ tạp'!$C$17:$AL$160,36,0)</f>
        <v>A</v>
      </c>
      <c r="AE109" s="201"/>
      <c r="AF109" s="104"/>
    </row>
    <row r="110" spans="1:33" ht="18.75" customHeight="1">
      <c r="A110" s="191">
        <v>18</v>
      </c>
      <c r="B110" s="255" t="e">
        <f>'Chấm công KT'!D111</f>
        <v>#N/A</v>
      </c>
      <c r="C110" s="201" t="str">
        <f>'Chấm công KT'!C111</f>
        <v>T Xèng</v>
      </c>
      <c r="D110" s="191" t="s">
        <v>30</v>
      </c>
      <c r="E110" s="265">
        <f t="shared" si="16"/>
        <v>3.2</v>
      </c>
      <c r="F110" s="1108">
        <f t="shared" si="17"/>
        <v>24</v>
      </c>
      <c r="G110" s="265">
        <v>7</v>
      </c>
      <c r="H110" s="265">
        <v>24</v>
      </c>
      <c r="I110" s="265"/>
      <c r="J110" s="256"/>
      <c r="K110" s="203"/>
      <c r="L110" s="203"/>
      <c r="M110" s="256"/>
      <c r="N110" s="198"/>
      <c r="O110" s="278"/>
      <c r="P110" s="192"/>
      <c r="Q110" s="199">
        <f t="shared" si="20"/>
        <v>58.2</v>
      </c>
      <c r="R110" s="194">
        <f>VLOOKUP(C110,'BTH mủ tạp'!$C$99:$AI$160,33,0)</f>
        <v>2232</v>
      </c>
      <c r="S110" s="202"/>
      <c r="T110" s="193">
        <f t="shared" si="21"/>
        <v>0</v>
      </c>
      <c r="U110" s="259">
        <f t="shared" si="18"/>
        <v>2232</v>
      </c>
      <c r="V110" s="595">
        <f>VLOOKUP(C110,'Chấm công KT'!$C$94:$AJ$155,34,0)</f>
        <v>27</v>
      </c>
      <c r="W110" s="595">
        <f>VLOOKUP(C110,'Chấm công KT'!$C$94:$AK$155,35,0)</f>
        <v>4</v>
      </c>
      <c r="X110" s="595">
        <f>VLOOKUP(C110,'Chấm công KT'!C111:AL155,36,0)</f>
        <v>0</v>
      </c>
      <c r="Y110" s="673"/>
      <c r="Z110" s="673"/>
      <c r="AA110" s="673"/>
      <c r="AB110" s="204"/>
      <c r="AC110" s="200">
        <f t="shared" si="19"/>
        <v>58.2</v>
      </c>
      <c r="AD110" s="125" t="str">
        <f>VLOOKUP(C110,'BTH mủ tạp'!$C$17:$AL$160,36,0)</f>
        <v>A</v>
      </c>
      <c r="AE110" s="201"/>
      <c r="AF110" s="104"/>
    </row>
    <row r="111" spans="1:33" ht="18.75" customHeight="1">
      <c r="A111" s="191">
        <v>19</v>
      </c>
      <c r="B111" s="255" t="str">
        <f>'Chấm công KT'!D112</f>
        <v>03509</v>
      </c>
      <c r="C111" s="201" t="str">
        <f>'Chấm công KT'!C112</f>
        <v>T. May</v>
      </c>
      <c r="D111" s="191" t="s">
        <v>30</v>
      </c>
      <c r="E111" s="265">
        <f t="shared" si="16"/>
        <v>3.2</v>
      </c>
      <c r="F111" s="1108">
        <f t="shared" si="17"/>
        <v>24</v>
      </c>
      <c r="G111" s="265">
        <v>7</v>
      </c>
      <c r="H111" s="265">
        <v>24</v>
      </c>
      <c r="I111" s="265"/>
      <c r="J111" s="256"/>
      <c r="K111" s="203"/>
      <c r="L111" s="203"/>
      <c r="M111" s="128"/>
      <c r="N111" s="124"/>
      <c r="O111" s="217"/>
      <c r="P111" s="192"/>
      <c r="Q111" s="199">
        <f t="shared" si="20"/>
        <v>58.2</v>
      </c>
      <c r="R111" s="194">
        <f>VLOOKUP(C111,'BTH mủ tạp'!$C$99:$AI$160,33,0)</f>
        <v>1791</v>
      </c>
      <c r="S111" s="202"/>
      <c r="T111" s="193">
        <f t="shared" si="21"/>
        <v>0</v>
      </c>
      <c r="U111" s="259">
        <f t="shared" si="18"/>
        <v>1791</v>
      </c>
      <c r="V111" s="595">
        <f>VLOOKUP(C111,'Chấm công KT'!$C$94:$AJ$155,34,0)</f>
        <v>27</v>
      </c>
      <c r="W111" s="595">
        <f>VLOOKUP(C111,'Chấm công KT'!$C$94:$AK$155,35,0)</f>
        <v>3</v>
      </c>
      <c r="X111" s="595">
        <f>VLOOKUP(C111,'Chấm công KT'!C112:AL155,36,0)</f>
        <v>0</v>
      </c>
      <c r="Y111" s="673"/>
      <c r="Z111" s="673"/>
      <c r="AA111" s="673"/>
      <c r="AB111" s="204"/>
      <c r="AC111" s="200">
        <f t="shared" si="19"/>
        <v>58.2</v>
      </c>
      <c r="AD111" s="125" t="str">
        <f>VLOOKUP(C111,'BTH mủ tạp'!$C$17:$AL$160,36,0)</f>
        <v>A</v>
      </c>
      <c r="AE111" s="201"/>
      <c r="AF111" s="104"/>
    </row>
    <row r="112" spans="1:33" ht="18.75" customHeight="1">
      <c r="A112" s="191">
        <v>20</v>
      </c>
      <c r="B112" s="255" t="str">
        <f>'Chấm công KT'!D113</f>
        <v>03607</v>
      </c>
      <c r="C112" s="201" t="str">
        <f>'Chấm công KT'!C113</f>
        <v>T. Huôn</v>
      </c>
      <c r="D112" s="191" t="s">
        <v>30</v>
      </c>
      <c r="E112" s="265">
        <f t="shared" si="16"/>
        <v>3.2</v>
      </c>
      <c r="F112" s="1108">
        <f t="shared" si="17"/>
        <v>24</v>
      </c>
      <c r="G112" s="265">
        <v>7</v>
      </c>
      <c r="H112" s="265">
        <v>24</v>
      </c>
      <c r="I112" s="265"/>
      <c r="J112" s="256"/>
      <c r="K112" s="203"/>
      <c r="L112" s="203"/>
      <c r="M112" s="128"/>
      <c r="N112" s="124"/>
      <c r="O112" s="217"/>
      <c r="P112" s="192"/>
      <c r="Q112" s="199">
        <f t="shared" si="20"/>
        <v>58.2</v>
      </c>
      <c r="R112" s="194">
        <f>VLOOKUP(C112,'BTH mủ tạp'!$C$99:$AI$160,33,0)</f>
        <v>1482</v>
      </c>
      <c r="S112" s="202"/>
      <c r="T112" s="193">
        <f t="shared" si="21"/>
        <v>0</v>
      </c>
      <c r="U112" s="259">
        <f t="shared" si="18"/>
        <v>1482</v>
      </c>
      <c r="V112" s="595">
        <f>VLOOKUP(C112,'Chấm công KT'!$C$94:$AJ$155,34,0)</f>
        <v>27</v>
      </c>
      <c r="W112" s="595">
        <f>VLOOKUP(C112,'Chấm công KT'!$C$94:$AK$155,35,0)</f>
        <v>3</v>
      </c>
      <c r="X112" s="595">
        <f>VLOOKUP(C112,'Chấm công KT'!C113:AL155,36,0)</f>
        <v>0</v>
      </c>
      <c r="Y112" s="673"/>
      <c r="Z112" s="673"/>
      <c r="AA112" s="673"/>
      <c r="AB112" s="204"/>
      <c r="AC112" s="200">
        <f t="shared" si="19"/>
        <v>58.2</v>
      </c>
      <c r="AD112" s="125" t="str">
        <f>VLOOKUP(C112,'BTH mủ tạp'!$C$17:$AL$160,36,0)</f>
        <v>A</v>
      </c>
      <c r="AE112" s="201"/>
      <c r="AF112" s="104"/>
    </row>
    <row r="113" spans="1:32" ht="18.75" customHeight="1">
      <c r="A113" s="191">
        <v>21</v>
      </c>
      <c r="B113" s="255" t="str">
        <f>'Chấm công KT'!D114</f>
        <v>02729</v>
      </c>
      <c r="C113" s="201" t="str">
        <f>'Chấm công KT'!C114</f>
        <v>N. Lay</v>
      </c>
      <c r="D113" s="191" t="s">
        <v>30</v>
      </c>
      <c r="E113" s="265">
        <f t="shared" si="16"/>
        <v>3.2</v>
      </c>
      <c r="F113" s="1108">
        <f t="shared" si="17"/>
        <v>24</v>
      </c>
      <c r="G113" s="265">
        <v>7</v>
      </c>
      <c r="H113" s="265">
        <v>24</v>
      </c>
      <c r="I113" s="265"/>
      <c r="J113" s="256"/>
      <c r="K113" s="203"/>
      <c r="L113" s="203"/>
      <c r="M113" s="256"/>
      <c r="N113" s="198"/>
      <c r="O113" s="278"/>
      <c r="P113" s="192"/>
      <c r="Q113" s="199">
        <f t="shared" si="20"/>
        <v>58.2</v>
      </c>
      <c r="R113" s="194">
        <f>VLOOKUP(C113,'BTH mủ tạp'!$C$99:$AI$160,33,0)</f>
        <v>1425</v>
      </c>
      <c r="S113" s="202"/>
      <c r="T113" s="193">
        <f t="shared" si="21"/>
        <v>0</v>
      </c>
      <c r="U113" s="259">
        <f t="shared" si="18"/>
        <v>1425</v>
      </c>
      <c r="V113" s="595">
        <f>VLOOKUP(C113,'Chấm công KT'!$C$94:$AJ$155,34,0)</f>
        <v>27</v>
      </c>
      <c r="W113" s="595">
        <f>VLOOKUP(C113,'Chấm công KT'!$C$94:$AK$155,35,0)</f>
        <v>3</v>
      </c>
      <c r="X113" s="595">
        <f>VLOOKUP(C113,'Chấm công KT'!C114:AL155,36,0)</f>
        <v>0</v>
      </c>
      <c r="Y113" s="673"/>
      <c r="Z113" s="673"/>
      <c r="AA113" s="673"/>
      <c r="AB113" s="204"/>
      <c r="AC113" s="200">
        <f t="shared" si="19"/>
        <v>58.2</v>
      </c>
      <c r="AD113" s="125" t="str">
        <f>VLOOKUP(C113,'BTH mủ tạp'!$C$17:$AL$160,36,0)</f>
        <v>A</v>
      </c>
      <c r="AE113" s="201"/>
      <c r="AF113" s="104"/>
    </row>
    <row r="114" spans="1:32" ht="18.75" customHeight="1">
      <c r="A114" s="191">
        <v>22</v>
      </c>
      <c r="B114" s="255" t="str">
        <f>'Chấm công KT'!D115</f>
        <v>03608</v>
      </c>
      <c r="C114" s="201" t="str">
        <f>'Chấm công KT'!C115</f>
        <v>N. Pon</v>
      </c>
      <c r="D114" s="191" t="s">
        <v>30</v>
      </c>
      <c r="E114" s="265">
        <f t="shared" si="16"/>
        <v>3.2</v>
      </c>
      <c r="F114" s="1108">
        <f t="shared" si="17"/>
        <v>24</v>
      </c>
      <c r="G114" s="265">
        <v>7</v>
      </c>
      <c r="H114" s="265">
        <v>24</v>
      </c>
      <c r="I114" s="265"/>
      <c r="J114" s="256"/>
      <c r="K114" s="203"/>
      <c r="L114" s="203"/>
      <c r="M114" s="128"/>
      <c r="N114" s="124"/>
      <c r="O114" s="217"/>
      <c r="P114" s="192"/>
      <c r="Q114" s="199">
        <f t="shared" si="20"/>
        <v>58.2</v>
      </c>
      <c r="R114" s="194">
        <f>VLOOKUP(C114,'BTH mủ tạp'!$C$99:$AI$160,33,0)</f>
        <v>2212</v>
      </c>
      <c r="S114" s="202"/>
      <c r="T114" s="193">
        <f t="shared" si="21"/>
        <v>0</v>
      </c>
      <c r="U114" s="259">
        <f t="shared" si="18"/>
        <v>2212</v>
      </c>
      <c r="V114" s="595">
        <f>VLOOKUP(C114,'Chấm công KT'!$C$94:$AJ$155,34,0)</f>
        <v>27</v>
      </c>
      <c r="W114" s="595">
        <f>VLOOKUP(C114,'Chấm công KT'!$C$94:$AK$155,35,0)</f>
        <v>4</v>
      </c>
      <c r="X114" s="595">
        <f>VLOOKUP(C114,'Chấm công KT'!C115:AL155,36,0)</f>
        <v>0</v>
      </c>
      <c r="Y114" s="673"/>
      <c r="Z114" s="673"/>
      <c r="AA114" s="673"/>
      <c r="AB114" s="204"/>
      <c r="AC114" s="200">
        <f t="shared" si="19"/>
        <v>58.2</v>
      </c>
      <c r="AD114" s="125" t="str">
        <f>VLOOKUP(C114,'BTH mủ tạp'!$C$17:$AL$160,36,0)</f>
        <v>A</v>
      </c>
      <c r="AE114" s="201"/>
      <c r="AF114" s="104"/>
    </row>
    <row r="115" spans="1:32" ht="18.75" customHeight="1">
      <c r="A115" s="191">
        <v>23</v>
      </c>
      <c r="B115" s="255" t="str">
        <f>'Chấm công KT'!D116</f>
        <v>03609</v>
      </c>
      <c r="C115" s="201" t="str">
        <f>'Chấm công KT'!C116</f>
        <v>N. Bun Đi</v>
      </c>
      <c r="D115" s="191" t="s">
        <v>30</v>
      </c>
      <c r="E115" s="265">
        <f t="shared" si="16"/>
        <v>3.2</v>
      </c>
      <c r="F115" s="1108">
        <f t="shared" si="17"/>
        <v>24</v>
      </c>
      <c r="G115" s="265">
        <v>7</v>
      </c>
      <c r="H115" s="265">
        <v>24</v>
      </c>
      <c r="I115" s="265"/>
      <c r="J115" s="256"/>
      <c r="K115" s="203"/>
      <c r="L115" s="203"/>
      <c r="M115" s="128"/>
      <c r="N115" s="124"/>
      <c r="O115" s="217"/>
      <c r="P115" s="192"/>
      <c r="Q115" s="199">
        <f t="shared" si="20"/>
        <v>58.2</v>
      </c>
      <c r="R115" s="194">
        <f>VLOOKUP(C115,'BTH mủ tạp'!$C$99:$AI$160,33,0)</f>
        <v>1530</v>
      </c>
      <c r="S115" s="202"/>
      <c r="T115" s="193">
        <f t="shared" si="21"/>
        <v>0</v>
      </c>
      <c r="U115" s="259">
        <f t="shared" si="18"/>
        <v>1530</v>
      </c>
      <c r="V115" s="595">
        <f>VLOOKUP(C115,'Chấm công KT'!$C$94:$AJ$155,34,0)</f>
        <v>27</v>
      </c>
      <c r="W115" s="595">
        <f>VLOOKUP(C115,'Chấm công KT'!$C$94:$AK$155,35,0)</f>
        <v>4</v>
      </c>
      <c r="X115" s="595">
        <f>VLOOKUP(C115,'Chấm công KT'!C116:AL155,36,0)</f>
        <v>0</v>
      </c>
      <c r="Y115" s="673"/>
      <c r="Z115" s="673"/>
      <c r="AA115" s="673"/>
      <c r="AB115" s="204"/>
      <c r="AC115" s="200">
        <f t="shared" si="19"/>
        <v>58.2</v>
      </c>
      <c r="AD115" s="125" t="str">
        <f>VLOOKUP(C115,'BTH mủ tạp'!$C$17:$AL$160,36,0)</f>
        <v>A</v>
      </c>
      <c r="AE115" s="201"/>
      <c r="AF115" s="104"/>
    </row>
    <row r="116" spans="1:32" ht="18.75" customHeight="1">
      <c r="A116" s="191">
        <v>24</v>
      </c>
      <c r="B116" s="255" t="str">
        <f>'Chấm công KT'!D117</f>
        <v>03610</v>
      </c>
      <c r="C116" s="201" t="str">
        <f>'Chấm công KT'!C117</f>
        <v>N. Phon</v>
      </c>
      <c r="D116" s="191" t="s">
        <v>30</v>
      </c>
      <c r="E116" s="265">
        <f t="shared" si="16"/>
        <v>3.2</v>
      </c>
      <c r="F116" s="1108">
        <f t="shared" si="17"/>
        <v>24</v>
      </c>
      <c r="G116" s="265">
        <v>7</v>
      </c>
      <c r="H116" s="265">
        <v>24</v>
      </c>
      <c r="I116" s="265"/>
      <c r="J116" s="256"/>
      <c r="K116" s="203"/>
      <c r="L116" s="203"/>
      <c r="M116" s="128"/>
      <c r="N116" s="124"/>
      <c r="O116" s="217"/>
      <c r="P116" s="192"/>
      <c r="Q116" s="199">
        <f t="shared" si="20"/>
        <v>58.2</v>
      </c>
      <c r="R116" s="194">
        <f>VLOOKUP(C116,'BTH mủ tạp'!$C$99:$AI$160,33,0)</f>
        <v>1556</v>
      </c>
      <c r="S116" s="202"/>
      <c r="T116" s="193">
        <f t="shared" si="21"/>
        <v>0</v>
      </c>
      <c r="U116" s="259">
        <f t="shared" si="18"/>
        <v>1556</v>
      </c>
      <c r="V116" s="595">
        <f>VLOOKUP(C116,'Chấm công KT'!$C$94:$AJ$155,34,0)</f>
        <v>27</v>
      </c>
      <c r="W116" s="595">
        <f>VLOOKUP(C116,'Chấm công KT'!$C$94:$AK$155,35,0)</f>
        <v>4</v>
      </c>
      <c r="X116" s="595">
        <f>VLOOKUP(C116,'Chấm công KT'!C117:AL155,36,0)</f>
        <v>0</v>
      </c>
      <c r="Y116" s="673"/>
      <c r="Z116" s="673"/>
      <c r="AA116" s="673"/>
      <c r="AB116" s="204"/>
      <c r="AC116" s="200">
        <f t="shared" si="19"/>
        <v>58.2</v>
      </c>
      <c r="AD116" s="125" t="str">
        <f>VLOOKUP(C116,'BTH mủ tạp'!$C$17:$AL$160,36,0)</f>
        <v>A</v>
      </c>
      <c r="AE116" s="201"/>
      <c r="AF116" s="104"/>
    </row>
    <row r="117" spans="1:32" ht="18.75" customHeight="1">
      <c r="A117" s="191">
        <v>25</v>
      </c>
      <c r="B117" s="255" t="e">
        <f>'Chấm công KT'!D118</f>
        <v>#N/A</v>
      </c>
      <c r="C117" s="201" t="str">
        <f>'Chấm công KT'!C118</f>
        <v xml:space="preserve">N. Bun </v>
      </c>
      <c r="D117" s="191" t="s">
        <v>30</v>
      </c>
      <c r="E117" s="265">
        <f t="shared" si="16"/>
        <v>3.2</v>
      </c>
      <c r="F117" s="1108">
        <f t="shared" si="17"/>
        <v>24</v>
      </c>
      <c r="G117" s="265">
        <v>7</v>
      </c>
      <c r="H117" s="265">
        <v>24</v>
      </c>
      <c r="I117" s="265"/>
      <c r="J117" s="256"/>
      <c r="K117" s="203"/>
      <c r="L117" s="203"/>
      <c r="M117" s="128"/>
      <c r="N117" s="124"/>
      <c r="O117" s="217"/>
      <c r="P117" s="192"/>
      <c r="Q117" s="199">
        <f t="shared" si="20"/>
        <v>58.2</v>
      </c>
      <c r="R117" s="194">
        <f>VLOOKUP(C117,'BTH mủ tạp'!$C$99:$AI$160,33,0)</f>
        <v>2106</v>
      </c>
      <c r="S117" s="202"/>
      <c r="T117" s="193">
        <f t="shared" si="21"/>
        <v>0</v>
      </c>
      <c r="U117" s="259">
        <f t="shared" si="18"/>
        <v>2106</v>
      </c>
      <c r="V117" s="595">
        <f>VLOOKUP(C117,'Chấm công KT'!$C$94:$AJ$155,34,0)</f>
        <v>27</v>
      </c>
      <c r="W117" s="595">
        <f>VLOOKUP(C117,'Chấm công KT'!$C$94:$AK$155,35,0)</f>
        <v>4</v>
      </c>
      <c r="X117" s="595">
        <f>VLOOKUP(C117,'Chấm công KT'!C118:AL155,36,0)</f>
        <v>0</v>
      </c>
      <c r="Y117" s="673"/>
      <c r="Z117" s="673"/>
      <c r="AA117" s="673"/>
      <c r="AB117" s="204"/>
      <c r="AC117" s="200">
        <f t="shared" si="19"/>
        <v>58.2</v>
      </c>
      <c r="AD117" s="125" t="str">
        <f>VLOOKUP(C117,'BTH mủ tạp'!$C$17:$AL$160,36,0)</f>
        <v>A</v>
      </c>
      <c r="AE117" s="201"/>
      <c r="AF117" s="104"/>
    </row>
    <row r="118" spans="1:32" ht="18.75" customHeight="1">
      <c r="A118" s="191">
        <v>26</v>
      </c>
      <c r="B118" s="255" t="str">
        <f>'Chấm công KT'!D119</f>
        <v>03612</v>
      </c>
      <c r="C118" s="201" t="str">
        <f>'Chấm công KT'!C119</f>
        <v>N. Phu Văn</v>
      </c>
      <c r="D118" s="191" t="s">
        <v>30</v>
      </c>
      <c r="E118" s="265">
        <f t="shared" si="16"/>
        <v>3.2</v>
      </c>
      <c r="F118" s="1108">
        <f t="shared" si="17"/>
        <v>24</v>
      </c>
      <c r="G118" s="265">
        <v>7</v>
      </c>
      <c r="H118" s="265">
        <v>24</v>
      </c>
      <c r="I118" s="265"/>
      <c r="J118" s="256"/>
      <c r="K118" s="203"/>
      <c r="L118" s="203"/>
      <c r="M118" s="256"/>
      <c r="N118" s="198"/>
      <c r="O118" s="278"/>
      <c r="P118" s="192"/>
      <c r="Q118" s="199">
        <f t="shared" si="20"/>
        <v>58.2</v>
      </c>
      <c r="R118" s="194">
        <f>VLOOKUP(C118,'BTH mủ tạp'!$C$99:$AI$160,33,0)</f>
        <v>2254</v>
      </c>
      <c r="S118" s="202"/>
      <c r="T118" s="193">
        <f t="shared" si="21"/>
        <v>0</v>
      </c>
      <c r="U118" s="259">
        <f t="shared" si="18"/>
        <v>2254</v>
      </c>
      <c r="V118" s="595">
        <f>VLOOKUP(C118,'Chấm công KT'!$C$94:$AJ$155,34,0)</f>
        <v>27</v>
      </c>
      <c r="W118" s="595">
        <f>VLOOKUP(C118,'Chấm công KT'!$C$94:$AK$155,35,0)</f>
        <v>4</v>
      </c>
      <c r="X118" s="595">
        <f>VLOOKUP(C118,'Chấm công KT'!C119:AL155,36,0)</f>
        <v>0</v>
      </c>
      <c r="Y118" s="673"/>
      <c r="Z118" s="673"/>
      <c r="AA118" s="673"/>
      <c r="AB118" s="204"/>
      <c r="AC118" s="200">
        <f t="shared" si="19"/>
        <v>58.2</v>
      </c>
      <c r="AD118" s="125" t="str">
        <f>VLOOKUP(C118,'BTH mủ tạp'!$C$17:$AL$160,36,0)</f>
        <v>A</v>
      </c>
      <c r="AE118" s="201"/>
      <c r="AF118" s="104"/>
    </row>
    <row r="119" spans="1:32" ht="18.75" customHeight="1">
      <c r="A119" s="191">
        <v>27</v>
      </c>
      <c r="B119" s="255" t="str">
        <f>'Chấm công KT'!D120</f>
        <v>03613</v>
      </c>
      <c r="C119" s="201" t="str">
        <f>'Chấm công KT'!C120</f>
        <v>N. Lỷ</v>
      </c>
      <c r="D119" s="191" t="s">
        <v>30</v>
      </c>
      <c r="E119" s="265">
        <f t="shared" si="16"/>
        <v>3.2</v>
      </c>
      <c r="F119" s="1108">
        <f t="shared" si="17"/>
        <v>24</v>
      </c>
      <c r="G119" s="265">
        <v>7</v>
      </c>
      <c r="H119" s="265">
        <v>24</v>
      </c>
      <c r="I119" s="265"/>
      <c r="J119" s="256"/>
      <c r="K119" s="203"/>
      <c r="L119" s="203"/>
      <c r="M119" s="256"/>
      <c r="N119" s="198"/>
      <c r="O119" s="278"/>
      <c r="P119" s="192"/>
      <c r="Q119" s="199">
        <f t="shared" si="20"/>
        <v>58.2</v>
      </c>
      <c r="R119" s="194">
        <f>VLOOKUP(C119,'BTH mủ tạp'!$C$99:$AI$160,33,0)</f>
        <v>201</v>
      </c>
      <c r="S119" s="202"/>
      <c r="T119" s="193">
        <f t="shared" si="21"/>
        <v>0</v>
      </c>
      <c r="U119" s="259">
        <f t="shared" si="18"/>
        <v>201</v>
      </c>
      <c r="V119" s="595">
        <f>VLOOKUP(C119,'Chấm công KT'!$C$94:$AJ$155,34,0)</f>
        <v>17</v>
      </c>
      <c r="W119" s="595">
        <f>VLOOKUP(C119,'Chấm công KT'!$C$94:$AK$155,35,0)</f>
        <v>3</v>
      </c>
      <c r="X119" s="595">
        <f>VLOOKUP(C119,'Chấm công KT'!C120:AL155,36,0)</f>
        <v>0</v>
      </c>
      <c r="Y119" s="673"/>
      <c r="Z119" s="673"/>
      <c r="AA119" s="673"/>
      <c r="AB119" s="204"/>
      <c r="AC119" s="200">
        <f>Q119</f>
        <v>58.2</v>
      </c>
      <c r="AD119" s="125" t="str">
        <f>VLOOKUP(C119,'BTH mủ tạp'!$C$17:$AL$160,36,0)</f>
        <v>A</v>
      </c>
      <c r="AE119" s="201"/>
      <c r="AF119" s="104"/>
    </row>
    <row r="120" spans="1:32" ht="18.75" customHeight="1">
      <c r="A120" s="191">
        <v>28</v>
      </c>
      <c r="B120" s="255" t="e">
        <f>'Chấm công KT'!D121</f>
        <v>#N/A</v>
      </c>
      <c r="C120" s="201" t="str">
        <f>'Chấm công KT'!C121</f>
        <v>N. Quen</v>
      </c>
      <c r="D120" s="191" t="s">
        <v>30</v>
      </c>
      <c r="E120" s="265">
        <f t="shared" si="16"/>
        <v>3.2</v>
      </c>
      <c r="F120" s="1108">
        <f t="shared" si="17"/>
        <v>24</v>
      </c>
      <c r="G120" s="265">
        <v>7</v>
      </c>
      <c r="H120" s="265">
        <v>24</v>
      </c>
      <c r="I120" s="265"/>
      <c r="J120" s="256"/>
      <c r="K120" s="203"/>
      <c r="L120" s="203"/>
      <c r="M120" s="198"/>
      <c r="N120" s="198"/>
      <c r="O120" s="278"/>
      <c r="P120" s="192"/>
      <c r="Q120" s="199">
        <f t="shared" si="20"/>
        <v>58.2</v>
      </c>
      <c r="R120" s="194">
        <f>VLOOKUP(C120,'BTH mủ tạp'!$C$99:$AI$160,33,0)</f>
        <v>1795</v>
      </c>
      <c r="S120" s="202"/>
      <c r="T120" s="193">
        <f t="shared" si="21"/>
        <v>0</v>
      </c>
      <c r="U120" s="259">
        <f t="shared" si="18"/>
        <v>1795</v>
      </c>
      <c r="V120" s="595">
        <f>VLOOKUP(C120,'Chấm công KT'!$C$94:$AJ$155,34,0)</f>
        <v>27</v>
      </c>
      <c r="W120" s="595">
        <f>VLOOKUP(C120,'Chấm công KT'!$C$94:$AK$155,35,0)</f>
        <v>4</v>
      </c>
      <c r="X120" s="595">
        <f>VLOOKUP(C120,'Chấm công KT'!C121:AL155,36,0)</f>
        <v>0</v>
      </c>
      <c r="Y120" s="673"/>
      <c r="Z120" s="673"/>
      <c r="AA120" s="673"/>
      <c r="AB120" s="204"/>
      <c r="AC120" s="200">
        <f t="shared" si="19"/>
        <v>58.2</v>
      </c>
      <c r="AD120" s="125" t="str">
        <f>VLOOKUP(C120,'BTH mủ tạp'!$C$17:$AL$160,36,0)</f>
        <v>A</v>
      </c>
      <c r="AE120" s="201"/>
      <c r="AF120" s="104"/>
    </row>
    <row r="121" spans="1:32" ht="18.75" customHeight="1">
      <c r="A121" s="191">
        <v>29</v>
      </c>
      <c r="B121" s="255" t="str">
        <f>'Chấm công KT'!D122</f>
        <v>03615</v>
      </c>
      <c r="C121" s="201" t="str">
        <f>'Chấm công KT'!C122</f>
        <v>T. Xi Nuôn</v>
      </c>
      <c r="D121" s="191" t="s">
        <v>30</v>
      </c>
      <c r="E121" s="265">
        <f t="shared" si="16"/>
        <v>3.2</v>
      </c>
      <c r="F121" s="1108">
        <f t="shared" si="17"/>
        <v>24</v>
      </c>
      <c r="G121" s="265">
        <v>7</v>
      </c>
      <c r="H121" s="265">
        <v>24</v>
      </c>
      <c r="I121" s="265"/>
      <c r="J121" s="256"/>
      <c r="K121" s="203"/>
      <c r="L121" s="203"/>
      <c r="M121" s="128"/>
      <c r="N121" s="198"/>
      <c r="O121" s="278"/>
      <c r="P121" s="192"/>
      <c r="Q121" s="199">
        <f t="shared" si="20"/>
        <v>58.2</v>
      </c>
      <c r="R121" s="194">
        <f>VLOOKUP(C121,'BTH mủ tạp'!$C$99:$AI$160,33,0)</f>
        <v>1206</v>
      </c>
      <c r="S121" s="202"/>
      <c r="T121" s="193">
        <f t="shared" si="21"/>
        <v>0</v>
      </c>
      <c r="U121" s="259">
        <f t="shared" si="18"/>
        <v>1206</v>
      </c>
      <c r="V121" s="595">
        <f>VLOOKUP(C121,'Chấm công KT'!$C$94:$AJ$155,34,0)</f>
        <v>20</v>
      </c>
      <c r="W121" s="595">
        <f>VLOOKUP(C121,'Chấm công KT'!$C$94:$AK$155,35,0)</f>
        <v>1</v>
      </c>
      <c r="X121" s="595">
        <f>VLOOKUP(C121,'Chấm công KT'!C122:AL155,36,0)</f>
        <v>0</v>
      </c>
      <c r="Y121" s="673"/>
      <c r="Z121" s="673"/>
      <c r="AA121" s="673"/>
      <c r="AB121" s="204"/>
      <c r="AC121" s="200">
        <f t="shared" si="19"/>
        <v>58.2</v>
      </c>
      <c r="AD121" s="125" t="str">
        <f>VLOOKUP(C121,'BTH mủ tạp'!$C$17:$AL$160,36,0)</f>
        <v>B</v>
      </c>
      <c r="AE121" s="201"/>
      <c r="AF121" s="104"/>
    </row>
    <row r="122" spans="1:32" ht="18.75" customHeight="1">
      <c r="A122" s="191">
        <v>30</v>
      </c>
      <c r="B122" s="255" t="str">
        <f>'Chấm công KT'!D123</f>
        <v>03616</v>
      </c>
      <c r="C122" s="201" t="str">
        <f>'Chấm công KT'!C123</f>
        <v>N. Ốc</v>
      </c>
      <c r="D122" s="191" t="s">
        <v>30</v>
      </c>
      <c r="E122" s="265">
        <f t="shared" si="16"/>
        <v>3.2</v>
      </c>
      <c r="F122" s="1108">
        <f t="shared" si="17"/>
        <v>24</v>
      </c>
      <c r="G122" s="265">
        <v>7</v>
      </c>
      <c r="H122" s="265">
        <v>24</v>
      </c>
      <c r="I122" s="265"/>
      <c r="J122" s="256"/>
      <c r="K122" s="203"/>
      <c r="L122" s="203"/>
      <c r="M122" s="128"/>
      <c r="N122" s="124"/>
      <c r="O122" s="217"/>
      <c r="P122" s="192"/>
      <c r="Q122" s="199">
        <f t="shared" si="20"/>
        <v>58.2</v>
      </c>
      <c r="R122" s="194">
        <f>VLOOKUP(C122,'BTH mủ tạp'!$C$99:$AI$160,33,0)</f>
        <v>217</v>
      </c>
      <c r="S122" s="202"/>
      <c r="T122" s="193">
        <f t="shared" si="21"/>
        <v>0</v>
      </c>
      <c r="U122" s="259">
        <f t="shared" si="18"/>
        <v>217</v>
      </c>
      <c r="V122" s="595">
        <f>VLOOKUP(C122,'Chấm công KT'!$C$94:$AJ$155,34,0)</f>
        <v>17</v>
      </c>
      <c r="W122" s="595">
        <f>VLOOKUP(C122,'Chấm công KT'!$C$94:$AK$155,35,0)</f>
        <v>3</v>
      </c>
      <c r="X122" s="595">
        <f>VLOOKUP(C122,'Chấm công KT'!C123:AL155,36,0)</f>
        <v>0</v>
      </c>
      <c r="Y122" s="673"/>
      <c r="Z122" s="673"/>
      <c r="AA122" s="673"/>
      <c r="AB122" s="204"/>
      <c r="AC122" s="200">
        <f t="shared" si="19"/>
        <v>58.2</v>
      </c>
      <c r="AD122" s="125" t="str">
        <f>VLOOKUP(C122,'BTH mủ tạp'!$C$17:$AL$160,36,0)</f>
        <v>A</v>
      </c>
      <c r="AE122" s="201"/>
      <c r="AF122" s="104"/>
    </row>
    <row r="123" spans="1:32" ht="18.75" customHeight="1">
      <c r="A123" s="191">
        <v>31</v>
      </c>
      <c r="B123" s="255" t="str">
        <f>'Chấm công KT'!D124</f>
        <v>03617</v>
      </c>
      <c r="C123" s="201" t="str">
        <f>'Chấm công KT'!C124</f>
        <v>T. Văn Nô</v>
      </c>
      <c r="D123" s="191" t="s">
        <v>30</v>
      </c>
      <c r="E123" s="265">
        <f t="shared" si="16"/>
        <v>3.2</v>
      </c>
      <c r="F123" s="1108">
        <f t="shared" si="17"/>
        <v>24</v>
      </c>
      <c r="G123" s="265">
        <v>7</v>
      </c>
      <c r="H123" s="265">
        <v>24</v>
      </c>
      <c r="I123" s="265"/>
      <c r="J123" s="256"/>
      <c r="K123" s="203"/>
      <c r="L123" s="203"/>
      <c r="M123" s="128"/>
      <c r="N123" s="124"/>
      <c r="O123" s="217"/>
      <c r="P123" s="192"/>
      <c r="Q123" s="199">
        <f t="shared" si="20"/>
        <v>58.2</v>
      </c>
      <c r="R123" s="194">
        <f>VLOOKUP(C123,'BTH mủ tạp'!$C$99:$AI$160,33,0)</f>
        <v>2286</v>
      </c>
      <c r="S123" s="202"/>
      <c r="T123" s="193">
        <f t="shared" si="21"/>
        <v>0</v>
      </c>
      <c r="U123" s="259">
        <f t="shared" si="18"/>
        <v>2286</v>
      </c>
      <c r="V123" s="595">
        <f>VLOOKUP(C123,'Chấm công KT'!$C$94:$AJ$155,34,0)</f>
        <v>27</v>
      </c>
      <c r="W123" s="595">
        <f>VLOOKUP(C123,'Chấm công KT'!$C$94:$AK$155,35,0)</f>
        <v>4</v>
      </c>
      <c r="X123" s="595">
        <f>VLOOKUP(C123,'Chấm công KT'!C124:AL155,36,0)</f>
        <v>0</v>
      </c>
      <c r="Y123" s="673"/>
      <c r="Z123" s="673"/>
      <c r="AA123" s="673"/>
      <c r="AB123" s="204"/>
      <c r="AC123" s="200">
        <f t="shared" si="19"/>
        <v>58.2</v>
      </c>
      <c r="AD123" s="125" t="str">
        <f>VLOOKUP(C123,'BTH mủ tạp'!$C$17:$AL$160,36,0)</f>
        <v>A</v>
      </c>
      <c r="AE123" s="201"/>
      <c r="AF123" s="104"/>
    </row>
    <row r="124" spans="1:32" ht="18.75" customHeight="1">
      <c r="A124" s="191">
        <v>32</v>
      </c>
      <c r="B124" s="255" t="str">
        <f>'Chấm công KT'!D125</f>
        <v>03618</v>
      </c>
      <c r="C124" s="201" t="str">
        <f>'Chấm công KT'!C125</f>
        <v>N. Văn Ta</v>
      </c>
      <c r="D124" s="191" t="s">
        <v>30</v>
      </c>
      <c r="E124" s="265">
        <f t="shared" si="16"/>
        <v>3.2</v>
      </c>
      <c r="F124" s="1108">
        <f t="shared" si="17"/>
        <v>24</v>
      </c>
      <c r="G124" s="265">
        <v>7</v>
      </c>
      <c r="H124" s="265">
        <v>24</v>
      </c>
      <c r="I124" s="265"/>
      <c r="J124" s="256"/>
      <c r="K124" s="203"/>
      <c r="L124" s="203"/>
      <c r="M124" s="256"/>
      <c r="N124" s="198"/>
      <c r="O124" s="278"/>
      <c r="P124" s="192"/>
      <c r="Q124" s="199">
        <f t="shared" si="20"/>
        <v>58.2</v>
      </c>
      <c r="R124" s="194">
        <f>VLOOKUP(C124,'BTH mủ tạp'!$C$99:$AI$160,33,0)</f>
        <v>1612</v>
      </c>
      <c r="S124" s="202"/>
      <c r="T124" s="193">
        <f t="shared" si="21"/>
        <v>0</v>
      </c>
      <c r="U124" s="259">
        <f t="shared" si="18"/>
        <v>1612</v>
      </c>
      <c r="V124" s="595">
        <f>VLOOKUP(C124,'Chấm công KT'!$C$94:$AJ$155,34,0)</f>
        <v>25</v>
      </c>
      <c r="W124" s="595">
        <f>VLOOKUP(C124,'Chấm công KT'!$C$94:$AK$155,35,0)</f>
        <v>4</v>
      </c>
      <c r="X124" s="595">
        <f>VLOOKUP(C124,'Chấm công KT'!C125:AL155,36,0)</f>
        <v>0</v>
      </c>
      <c r="Y124" s="673"/>
      <c r="Z124" s="673"/>
      <c r="AA124" s="673"/>
      <c r="AB124" s="204"/>
      <c r="AC124" s="200">
        <f t="shared" si="19"/>
        <v>58.2</v>
      </c>
      <c r="AD124" s="125" t="str">
        <f>VLOOKUP(C124,'BTH mủ tạp'!$C$17:$AL$160,36,0)</f>
        <v>A</v>
      </c>
      <c r="AE124" s="201"/>
      <c r="AF124" s="104"/>
    </row>
    <row r="125" spans="1:32" ht="18.75" customHeight="1">
      <c r="A125" s="191">
        <v>33</v>
      </c>
      <c r="B125" s="255" t="str">
        <f>'Chấm công KT'!D126</f>
        <v>03619</v>
      </c>
      <c r="C125" s="201" t="str">
        <f>'Chấm công KT'!C126</f>
        <v>T. Thon</v>
      </c>
      <c r="D125" s="191" t="s">
        <v>30</v>
      </c>
      <c r="E125" s="265">
        <f t="shared" si="16"/>
        <v>3.2</v>
      </c>
      <c r="F125" s="1108">
        <f t="shared" si="17"/>
        <v>24</v>
      </c>
      <c r="G125" s="265">
        <v>7</v>
      </c>
      <c r="H125" s="265">
        <v>24</v>
      </c>
      <c r="I125" s="265"/>
      <c r="J125" s="256"/>
      <c r="K125" s="203"/>
      <c r="L125" s="203"/>
      <c r="M125" s="128"/>
      <c r="N125" s="124"/>
      <c r="O125" s="217"/>
      <c r="P125" s="192"/>
      <c r="Q125" s="199">
        <f t="shared" si="20"/>
        <v>58.2</v>
      </c>
      <c r="R125" s="194">
        <f>VLOOKUP(C125,'BTH mủ tạp'!$C$99:$AI$160,33,0)</f>
        <v>1797</v>
      </c>
      <c r="S125" s="202"/>
      <c r="T125" s="193">
        <f t="shared" si="21"/>
        <v>0</v>
      </c>
      <c r="U125" s="259">
        <f t="shared" si="18"/>
        <v>1797</v>
      </c>
      <c r="V125" s="595">
        <f>VLOOKUP(C125,'Chấm công KT'!$C$94:$AJ$155,34,0)</f>
        <v>25</v>
      </c>
      <c r="W125" s="595">
        <f>VLOOKUP(C125,'Chấm công KT'!$C$94:$AK$155,35,0)</f>
        <v>3</v>
      </c>
      <c r="X125" s="595">
        <f>VLOOKUP(C125,'Chấm công KT'!C126:AL155,36,0)</f>
        <v>0</v>
      </c>
      <c r="Y125" s="673"/>
      <c r="Z125" s="673"/>
      <c r="AA125" s="673"/>
      <c r="AB125" s="204"/>
      <c r="AC125" s="200">
        <f t="shared" si="19"/>
        <v>58.2</v>
      </c>
      <c r="AD125" s="125" t="str">
        <f>VLOOKUP(C125,'BTH mủ tạp'!$C$17:$AL$160,36,0)</f>
        <v>A</v>
      </c>
      <c r="AE125" s="201"/>
      <c r="AF125" s="104"/>
    </row>
    <row r="126" spans="1:32" ht="18.75" customHeight="1">
      <c r="A126" s="191">
        <v>34</v>
      </c>
      <c r="B126" s="255" t="str">
        <f>'Chấm công KT'!D127</f>
        <v>03620</v>
      </c>
      <c r="C126" s="201" t="str">
        <f>'Chấm công KT'!C127</f>
        <v>Bun Thon</v>
      </c>
      <c r="D126" s="191" t="s">
        <v>30</v>
      </c>
      <c r="E126" s="265">
        <f t="shared" si="16"/>
        <v>3.2</v>
      </c>
      <c r="F126" s="1108">
        <f t="shared" si="17"/>
        <v>24</v>
      </c>
      <c r="G126" s="265">
        <v>7</v>
      </c>
      <c r="H126" s="265">
        <v>24</v>
      </c>
      <c r="I126" s="265"/>
      <c r="J126" s="256"/>
      <c r="K126" s="203"/>
      <c r="L126" s="203"/>
      <c r="M126" s="128"/>
      <c r="N126" s="124"/>
      <c r="O126" s="217"/>
      <c r="P126" s="192"/>
      <c r="Q126" s="199">
        <f t="shared" si="20"/>
        <v>58.2</v>
      </c>
      <c r="R126" s="194">
        <f>VLOOKUP(C126,'BTH mủ tạp'!$C$99:$AI$160,33,0)</f>
        <v>1723</v>
      </c>
      <c r="S126" s="202"/>
      <c r="T126" s="193">
        <f t="shared" si="21"/>
        <v>0</v>
      </c>
      <c r="U126" s="259">
        <f t="shared" si="18"/>
        <v>1723</v>
      </c>
      <c r="V126" s="595">
        <f>VLOOKUP(C126,'Chấm công KT'!$C$94:$AJ$155,34,0)</f>
        <v>27</v>
      </c>
      <c r="W126" s="595">
        <f>VLOOKUP(C126,'Chấm công KT'!$C$94:$AK$155,35,0)</f>
        <v>4</v>
      </c>
      <c r="X126" s="595">
        <f>VLOOKUP(C126,'Chấm công KT'!C127:AL155,36,0)</f>
        <v>0</v>
      </c>
      <c r="Y126" s="673"/>
      <c r="Z126" s="673"/>
      <c r="AA126" s="673"/>
      <c r="AB126" s="204"/>
      <c r="AC126" s="200">
        <f t="shared" si="19"/>
        <v>58.2</v>
      </c>
      <c r="AD126" s="125" t="str">
        <f>VLOOKUP(C126,'BTH mủ tạp'!$C$17:$AL$160,36,0)</f>
        <v>A</v>
      </c>
      <c r="AE126" s="201"/>
      <c r="AF126" s="104"/>
    </row>
    <row r="127" spans="1:32" ht="18.75" customHeight="1">
      <c r="A127" s="191">
        <v>35</v>
      </c>
      <c r="B127" s="255" t="e">
        <f>'Chấm công KT'!D128</f>
        <v>#N/A</v>
      </c>
      <c r="C127" s="201" t="str">
        <f>'Chấm công KT'!C128</f>
        <v>Lăm Thong</v>
      </c>
      <c r="D127" s="191" t="s">
        <v>30</v>
      </c>
      <c r="E127" s="265">
        <f t="shared" si="16"/>
        <v>3.2</v>
      </c>
      <c r="F127" s="1108">
        <f t="shared" si="17"/>
        <v>24</v>
      </c>
      <c r="G127" s="265">
        <v>7</v>
      </c>
      <c r="H127" s="265">
        <v>24</v>
      </c>
      <c r="I127" s="265"/>
      <c r="J127" s="256"/>
      <c r="K127" s="203"/>
      <c r="L127" s="203"/>
      <c r="M127" s="128"/>
      <c r="N127" s="124"/>
      <c r="O127" s="217"/>
      <c r="P127" s="192"/>
      <c r="Q127" s="199">
        <f t="shared" si="20"/>
        <v>58.2</v>
      </c>
      <c r="R127" s="194">
        <f>VLOOKUP(C127,'BTH mủ tạp'!$C$99:$AI$160,33,0)</f>
        <v>1814</v>
      </c>
      <c r="S127" s="202"/>
      <c r="T127" s="193">
        <f t="shared" si="21"/>
        <v>0</v>
      </c>
      <c r="U127" s="259">
        <f t="shared" si="18"/>
        <v>1814</v>
      </c>
      <c r="V127" s="595">
        <f>VLOOKUP(C127,'Chấm công KT'!$C$94:$AJ$155,34,0)</f>
        <v>27</v>
      </c>
      <c r="W127" s="595">
        <f>VLOOKUP(C127,'Chấm công KT'!$C$94:$AK$155,35,0)</f>
        <v>4</v>
      </c>
      <c r="X127" s="595">
        <f>VLOOKUP(C127,'Chấm công KT'!C128:AL155,36,0)</f>
        <v>0</v>
      </c>
      <c r="Y127" s="673"/>
      <c r="Z127" s="673"/>
      <c r="AA127" s="673"/>
      <c r="AB127" s="204"/>
      <c r="AC127" s="200">
        <f t="shared" si="19"/>
        <v>58.2</v>
      </c>
      <c r="AD127" s="125" t="str">
        <f>VLOOKUP(C127,'BTH mủ tạp'!$C$17:$AL$160,36,0)</f>
        <v>A</v>
      </c>
      <c r="AE127" s="201"/>
      <c r="AF127" s="104"/>
    </row>
    <row r="128" spans="1:32" ht="18.75" customHeight="1">
      <c r="A128" s="191">
        <v>36</v>
      </c>
      <c r="B128" s="255" t="str">
        <f>'Chấm công KT'!D129</f>
        <v>03622</v>
      </c>
      <c r="C128" s="201" t="str">
        <f>'Chấm công KT'!C129</f>
        <v>N. Xeo Khăm</v>
      </c>
      <c r="D128" s="191" t="s">
        <v>30</v>
      </c>
      <c r="E128" s="265">
        <f t="shared" si="16"/>
        <v>3.2</v>
      </c>
      <c r="F128" s="1108">
        <f t="shared" si="17"/>
        <v>24</v>
      </c>
      <c r="G128" s="265">
        <v>7</v>
      </c>
      <c r="H128" s="265">
        <v>24</v>
      </c>
      <c r="I128" s="265"/>
      <c r="J128" s="256"/>
      <c r="K128" s="203"/>
      <c r="L128" s="203"/>
      <c r="M128" s="128"/>
      <c r="N128" s="124"/>
      <c r="O128" s="217"/>
      <c r="P128" s="192"/>
      <c r="Q128" s="199">
        <f t="shared" si="20"/>
        <v>58.2</v>
      </c>
      <c r="R128" s="194">
        <f>VLOOKUP(C128,'BTH mủ tạp'!$C$99:$AI$160,33,0)</f>
        <v>1446</v>
      </c>
      <c r="S128" s="202"/>
      <c r="T128" s="193">
        <f t="shared" si="21"/>
        <v>0</v>
      </c>
      <c r="U128" s="259">
        <f t="shared" si="18"/>
        <v>1446</v>
      </c>
      <c r="V128" s="595">
        <f>VLOOKUP(C128,'Chấm công KT'!$C$94:$AJ$155,34,0)</f>
        <v>20</v>
      </c>
      <c r="W128" s="595">
        <f>VLOOKUP(C128,'Chấm công KT'!$C$94:$AK$155,35,0)</f>
        <v>2</v>
      </c>
      <c r="X128" s="595">
        <f>VLOOKUP(C128,'Chấm công KT'!C129:AL155,36,0)</f>
        <v>0</v>
      </c>
      <c r="Y128" s="673"/>
      <c r="Z128" s="673"/>
      <c r="AA128" s="673"/>
      <c r="AB128" s="204"/>
      <c r="AC128" s="200">
        <f t="shared" si="19"/>
        <v>58.2</v>
      </c>
      <c r="AD128" s="125" t="str">
        <f>VLOOKUP(C128,'BTH mủ tạp'!$C$17:$AL$160,36,0)</f>
        <v>A</v>
      </c>
      <c r="AE128" s="201"/>
      <c r="AF128" s="104"/>
    </row>
    <row r="129" spans="1:33" ht="18.75" customHeight="1">
      <c r="A129" s="191">
        <v>37</v>
      </c>
      <c r="B129" s="255" t="str">
        <f>'Chấm công KT'!D130</f>
        <v>03623</v>
      </c>
      <c r="C129" s="201" t="str">
        <f>'Chấm công KT'!C130</f>
        <v>T. Khăm...</v>
      </c>
      <c r="D129" s="191" t="s">
        <v>30</v>
      </c>
      <c r="E129" s="265">
        <f t="shared" si="16"/>
        <v>3.2</v>
      </c>
      <c r="F129" s="1108">
        <f t="shared" si="17"/>
        <v>24</v>
      </c>
      <c r="G129" s="265">
        <v>7</v>
      </c>
      <c r="H129" s="265">
        <v>24</v>
      </c>
      <c r="I129" s="265"/>
      <c r="J129" s="256"/>
      <c r="K129" s="203"/>
      <c r="L129" s="203"/>
      <c r="M129" s="128"/>
      <c r="N129" s="124"/>
      <c r="O129" s="217"/>
      <c r="P129" s="192"/>
      <c r="Q129" s="199">
        <f t="shared" si="20"/>
        <v>58.2</v>
      </c>
      <c r="R129" s="194">
        <f>VLOOKUP(C129,'BTH mủ tạp'!$C$99:$AI$160,33,0)</f>
        <v>2289</v>
      </c>
      <c r="S129" s="202"/>
      <c r="T129" s="193">
        <f t="shared" si="21"/>
        <v>0</v>
      </c>
      <c r="U129" s="259">
        <f t="shared" si="18"/>
        <v>2289</v>
      </c>
      <c r="V129" s="595">
        <f>VLOOKUP(C129,'Chấm công KT'!$C$94:$AJ$155,34,0)</f>
        <v>27</v>
      </c>
      <c r="W129" s="595">
        <f>VLOOKUP(C129,'Chấm công KT'!$C$94:$AK$155,35,0)</f>
        <v>4</v>
      </c>
      <c r="X129" s="595">
        <f>VLOOKUP(C129,'Chấm công KT'!C130:AL155,36,0)</f>
        <v>0</v>
      </c>
      <c r="Y129" s="673"/>
      <c r="Z129" s="673"/>
      <c r="AA129" s="673"/>
      <c r="AB129" s="204"/>
      <c r="AC129" s="200">
        <f t="shared" si="19"/>
        <v>58.2</v>
      </c>
      <c r="AD129" s="125" t="str">
        <f>VLOOKUP(C129,'BTH mủ tạp'!$C$17:$AL$160,36,0)</f>
        <v>A</v>
      </c>
      <c r="AE129" s="201"/>
      <c r="AF129" s="104"/>
    </row>
    <row r="130" spans="1:33" ht="18.75" customHeight="1">
      <c r="A130" s="191">
        <v>38</v>
      </c>
      <c r="B130" s="255" t="str">
        <f>'Chấm công KT'!D131</f>
        <v>03532</v>
      </c>
      <c r="C130" s="201" t="str">
        <f>'Chấm công KT'!C131</f>
        <v>N. Túc</v>
      </c>
      <c r="D130" s="191" t="s">
        <v>30</v>
      </c>
      <c r="E130" s="265">
        <f t="shared" si="16"/>
        <v>3.2</v>
      </c>
      <c r="F130" s="1108">
        <f t="shared" si="17"/>
        <v>24</v>
      </c>
      <c r="G130" s="265">
        <v>7</v>
      </c>
      <c r="H130" s="265">
        <v>24</v>
      </c>
      <c r="I130" s="265"/>
      <c r="J130" s="256"/>
      <c r="K130" s="203"/>
      <c r="L130" s="203"/>
      <c r="M130" s="128"/>
      <c r="N130" s="124"/>
      <c r="O130" s="217"/>
      <c r="P130" s="192"/>
      <c r="Q130" s="199">
        <f t="shared" si="20"/>
        <v>58.2</v>
      </c>
      <c r="R130" s="194">
        <f>VLOOKUP(C130,'BTH mủ tạp'!$C$99:$AI$160,33,0)</f>
        <v>2339</v>
      </c>
      <c r="S130" s="202"/>
      <c r="T130" s="193">
        <f t="shared" si="21"/>
        <v>0</v>
      </c>
      <c r="U130" s="259">
        <f t="shared" si="18"/>
        <v>2339</v>
      </c>
      <c r="V130" s="595">
        <f>VLOOKUP(C130,'Chấm công KT'!$C$94:$AJ$155,34,0)</f>
        <v>27</v>
      </c>
      <c r="W130" s="595">
        <f>VLOOKUP(C130,'Chấm công KT'!$C$94:$AK$155,35,0)</f>
        <v>4</v>
      </c>
      <c r="X130" s="595">
        <f>VLOOKUP(C130,'Chấm công KT'!C131:AL155,36,0)</f>
        <v>0</v>
      </c>
      <c r="Y130" s="673"/>
      <c r="Z130" s="673"/>
      <c r="AA130" s="673"/>
      <c r="AB130" s="204"/>
      <c r="AC130" s="200">
        <f t="shared" si="19"/>
        <v>58.2</v>
      </c>
      <c r="AD130" s="125" t="str">
        <f>VLOOKUP(C130,'BTH mủ tạp'!$C$17:$AL$160,36,0)</f>
        <v>A</v>
      </c>
      <c r="AE130" s="201"/>
      <c r="AF130" s="104"/>
    </row>
    <row r="131" spans="1:33" ht="18.75" customHeight="1">
      <c r="A131" s="191">
        <v>39</v>
      </c>
      <c r="B131" s="255" t="str">
        <f>'Chấm công KT'!D132</f>
        <v>03625</v>
      </c>
      <c r="C131" s="201" t="str">
        <f>'Chấm công KT'!C132</f>
        <v>N. Pheng</v>
      </c>
      <c r="D131" s="191" t="s">
        <v>30</v>
      </c>
      <c r="E131" s="265">
        <f t="shared" si="16"/>
        <v>3.2</v>
      </c>
      <c r="F131" s="1108">
        <f t="shared" si="17"/>
        <v>24</v>
      </c>
      <c r="G131" s="265">
        <v>7</v>
      </c>
      <c r="H131" s="265">
        <v>24</v>
      </c>
      <c r="I131" s="265"/>
      <c r="J131" s="256"/>
      <c r="K131" s="203"/>
      <c r="L131" s="203"/>
      <c r="M131" s="128"/>
      <c r="N131" s="198"/>
      <c r="O131" s="278"/>
      <c r="P131" s="192"/>
      <c r="Q131" s="199">
        <f t="shared" si="20"/>
        <v>58.2</v>
      </c>
      <c r="R131" s="194">
        <f>VLOOKUP(C131,'BTH mủ tạp'!$C$99:$AI$160,33,0)</f>
        <v>2198</v>
      </c>
      <c r="S131" s="202"/>
      <c r="T131" s="193">
        <f t="shared" si="21"/>
        <v>0</v>
      </c>
      <c r="U131" s="259">
        <f t="shared" si="18"/>
        <v>2198</v>
      </c>
      <c r="V131" s="595">
        <f>VLOOKUP(C131,'Chấm công KT'!$C$94:$AJ$155,34,0)</f>
        <v>27</v>
      </c>
      <c r="W131" s="595">
        <f>VLOOKUP(C131,'Chấm công KT'!$C$94:$AK$155,35,0)</f>
        <v>4</v>
      </c>
      <c r="X131" s="595">
        <f>VLOOKUP(C131,'Chấm công KT'!C132:AL155,36,0)</f>
        <v>0</v>
      </c>
      <c r="Y131" s="673"/>
      <c r="Z131" s="673"/>
      <c r="AA131" s="673"/>
      <c r="AB131" s="204"/>
      <c r="AC131" s="200">
        <f t="shared" si="19"/>
        <v>58.2</v>
      </c>
      <c r="AD131" s="125" t="str">
        <f>VLOOKUP(C131,'BTH mủ tạp'!$C$17:$AL$160,36,0)</f>
        <v>A</v>
      </c>
      <c r="AE131" s="201"/>
      <c r="AF131" s="104"/>
    </row>
    <row r="132" spans="1:33" ht="18.75" customHeight="1">
      <c r="A132" s="191">
        <v>40</v>
      </c>
      <c r="B132" s="255" t="str">
        <f>'Chấm công KT'!D133</f>
        <v>03587</v>
      </c>
      <c r="C132" s="201" t="str">
        <f>'Chấm công KT'!C133</f>
        <v>N. Mom</v>
      </c>
      <c r="D132" s="191" t="s">
        <v>30</v>
      </c>
      <c r="E132" s="265">
        <f t="shared" si="16"/>
        <v>3.2</v>
      </c>
      <c r="F132" s="1108">
        <f t="shared" si="17"/>
        <v>24</v>
      </c>
      <c r="G132" s="265">
        <v>7</v>
      </c>
      <c r="H132" s="265">
        <v>24</v>
      </c>
      <c r="I132" s="265"/>
      <c r="J132" s="256"/>
      <c r="K132" s="203"/>
      <c r="L132" s="203"/>
      <c r="M132" s="128"/>
      <c r="N132" s="198"/>
      <c r="O132" s="278"/>
      <c r="P132" s="192"/>
      <c r="Q132" s="199">
        <f t="shared" si="20"/>
        <v>58.2</v>
      </c>
      <c r="R132" s="194">
        <f>VLOOKUP(C132,'BTH mủ tạp'!$C$99:$AI$160,33,0)</f>
        <v>2348</v>
      </c>
      <c r="S132" s="202"/>
      <c r="T132" s="193">
        <f t="shared" si="21"/>
        <v>0</v>
      </c>
      <c r="U132" s="259">
        <f t="shared" si="18"/>
        <v>2348</v>
      </c>
      <c r="V132" s="595">
        <f>VLOOKUP(C132,'Chấm công KT'!$C$94:$AJ$155,34,0)</f>
        <v>27</v>
      </c>
      <c r="W132" s="595">
        <f>VLOOKUP(C132,'Chấm công KT'!$C$94:$AK$155,35,0)</f>
        <v>4</v>
      </c>
      <c r="X132" s="595">
        <f>VLOOKUP(C132,'Chấm công KT'!C133:AL155,36,0)</f>
        <v>0</v>
      </c>
      <c r="Y132" s="673"/>
      <c r="Z132" s="673"/>
      <c r="AA132" s="673"/>
      <c r="AB132" s="204"/>
      <c r="AC132" s="200">
        <f t="shared" si="19"/>
        <v>58.2</v>
      </c>
      <c r="AD132" s="125" t="str">
        <f>VLOOKUP(C132,'BTH mủ tạp'!$C$17:$AL$160,36,0)</f>
        <v>A</v>
      </c>
      <c r="AE132" s="201"/>
      <c r="AF132" s="104"/>
    </row>
    <row r="133" spans="1:33" ht="18.75" customHeight="1">
      <c r="A133" s="191">
        <v>41</v>
      </c>
      <c r="B133" s="255" t="e">
        <f>'Chấm công KT'!D134</f>
        <v>#N/A</v>
      </c>
      <c r="C133" s="201" t="str">
        <f>'Chấm công KT'!C134</f>
        <v>T. Môn</v>
      </c>
      <c r="D133" s="191" t="s">
        <v>30</v>
      </c>
      <c r="E133" s="265">
        <f t="shared" si="16"/>
        <v>3.2</v>
      </c>
      <c r="F133" s="1108">
        <f t="shared" si="17"/>
        <v>24</v>
      </c>
      <c r="G133" s="265">
        <v>7</v>
      </c>
      <c r="H133" s="265">
        <v>24</v>
      </c>
      <c r="I133" s="265"/>
      <c r="J133" s="256"/>
      <c r="K133" s="203"/>
      <c r="L133" s="203"/>
      <c r="M133" s="256"/>
      <c r="N133" s="198"/>
      <c r="O133" s="278"/>
      <c r="P133" s="192"/>
      <c r="Q133" s="199">
        <f t="shared" si="20"/>
        <v>58.2</v>
      </c>
      <c r="R133" s="194">
        <f>VLOOKUP(C133,'BTH mủ tạp'!$C$99:$AI$160,33,0)</f>
        <v>1370</v>
      </c>
      <c r="S133" s="202"/>
      <c r="T133" s="193">
        <f t="shared" si="21"/>
        <v>0</v>
      </c>
      <c r="U133" s="259">
        <f t="shared" si="18"/>
        <v>1370</v>
      </c>
      <c r="V133" s="595">
        <f>VLOOKUP(C133,'Chấm công KT'!$C$94:$AJ$155,34,0)</f>
        <v>27</v>
      </c>
      <c r="W133" s="595">
        <f>VLOOKUP(C133,'Chấm công KT'!$C$94:$AK$155,35,0)</f>
        <v>4</v>
      </c>
      <c r="X133" s="595">
        <f>VLOOKUP(C133,'Chấm công KT'!C134:AL155,36,0)</f>
        <v>0</v>
      </c>
      <c r="Y133" s="673"/>
      <c r="Z133" s="673"/>
      <c r="AA133" s="673"/>
      <c r="AB133" s="204"/>
      <c r="AC133" s="200">
        <f t="shared" si="19"/>
        <v>58.2</v>
      </c>
      <c r="AD133" s="125" t="str">
        <f>VLOOKUP(C133,'BTH mủ tạp'!$C$17:$AL$160,36,0)</f>
        <v>B</v>
      </c>
      <c r="AE133" s="201"/>
      <c r="AF133" s="104"/>
    </row>
    <row r="134" spans="1:33" ht="18.75" customHeight="1">
      <c r="A134" s="191">
        <v>42</v>
      </c>
      <c r="B134" s="255" t="str">
        <f>'Chấm công KT'!D135</f>
        <v>03628</v>
      </c>
      <c r="C134" s="201" t="str">
        <f>'Chấm công KT'!C135</f>
        <v>Khăn Hạ</v>
      </c>
      <c r="D134" s="191" t="s">
        <v>30</v>
      </c>
      <c r="E134" s="265">
        <f t="shared" si="16"/>
        <v>3.2</v>
      </c>
      <c r="F134" s="1108">
        <f t="shared" si="17"/>
        <v>24</v>
      </c>
      <c r="G134" s="265">
        <v>7</v>
      </c>
      <c r="H134" s="265">
        <v>24</v>
      </c>
      <c r="I134" s="265"/>
      <c r="J134" s="256"/>
      <c r="K134" s="203"/>
      <c r="L134" s="203"/>
      <c r="M134" s="128"/>
      <c r="N134" s="124"/>
      <c r="O134" s="217"/>
      <c r="P134" s="192"/>
      <c r="Q134" s="199">
        <f t="shared" si="20"/>
        <v>58.2</v>
      </c>
      <c r="R134" s="194">
        <f>VLOOKUP(C134,'BTH mủ tạp'!$C$99:$AI$160,33,0)</f>
        <v>1122</v>
      </c>
      <c r="S134" s="202"/>
      <c r="T134" s="193">
        <f t="shared" si="21"/>
        <v>0</v>
      </c>
      <c r="U134" s="259">
        <f t="shared" si="18"/>
        <v>1122</v>
      </c>
      <c r="V134" s="595">
        <f>VLOOKUP(C134,'Chấm công KT'!$C$94:$AJ$155,34,0)</f>
        <v>27</v>
      </c>
      <c r="W134" s="595">
        <f>VLOOKUP(C134,'Chấm công KT'!$C$94:$AK$155,35,0)</f>
        <v>4</v>
      </c>
      <c r="X134" s="595">
        <f>VLOOKUP(C134,'Chấm công KT'!C135:AL155,36,0)</f>
        <v>0</v>
      </c>
      <c r="Y134" s="673"/>
      <c r="Z134" s="673"/>
      <c r="AA134" s="673"/>
      <c r="AB134" s="204"/>
      <c r="AC134" s="200">
        <f t="shared" si="19"/>
        <v>58.2</v>
      </c>
      <c r="AD134" s="125" t="str">
        <f>VLOOKUP(C134,'BTH mủ tạp'!$C$17:$AL$160,36,0)</f>
        <v>B</v>
      </c>
      <c r="AE134" s="201"/>
      <c r="AF134" s="104"/>
    </row>
    <row r="135" spans="1:33" ht="18.75" customHeight="1">
      <c r="A135" s="191">
        <v>43</v>
      </c>
      <c r="B135" s="255" t="str">
        <f>'Chấm công KT'!D136</f>
        <v>03629</v>
      </c>
      <c r="C135" s="201" t="str">
        <f>'Chấm công KT'!C136</f>
        <v>T. Chăn La .</v>
      </c>
      <c r="D135" s="191" t="s">
        <v>30</v>
      </c>
      <c r="E135" s="265">
        <f t="shared" si="16"/>
        <v>3.2</v>
      </c>
      <c r="F135" s="1108">
        <f t="shared" si="17"/>
        <v>24</v>
      </c>
      <c r="G135" s="265">
        <v>7</v>
      </c>
      <c r="H135" s="265">
        <v>24</v>
      </c>
      <c r="I135" s="265"/>
      <c r="J135" s="256"/>
      <c r="K135" s="203"/>
      <c r="L135" s="203"/>
      <c r="M135" s="128"/>
      <c r="N135" s="198"/>
      <c r="O135" s="278"/>
      <c r="P135" s="192"/>
      <c r="Q135" s="199">
        <f t="shared" si="20"/>
        <v>58.2</v>
      </c>
      <c r="R135" s="194">
        <f>VLOOKUP(C135,'BTH mủ tạp'!$C$99:$AI$160,33,0)</f>
        <v>1421</v>
      </c>
      <c r="S135" s="202"/>
      <c r="T135" s="193">
        <f t="shared" si="21"/>
        <v>0</v>
      </c>
      <c r="U135" s="259">
        <f t="shared" si="18"/>
        <v>1421</v>
      </c>
      <c r="V135" s="595">
        <f>VLOOKUP(C135,'Chấm công KT'!$C$94:$AJ$155,34,0)</f>
        <v>27</v>
      </c>
      <c r="W135" s="595">
        <f>VLOOKUP(C135,'Chấm công KT'!$C$94:$AK$155,35,0)</f>
        <v>4</v>
      </c>
      <c r="X135" s="595">
        <f>VLOOKUP(C135,'Chấm công KT'!C136:AL155,36,0)</f>
        <v>0</v>
      </c>
      <c r="Y135" s="673"/>
      <c r="Z135" s="673"/>
      <c r="AA135" s="673"/>
      <c r="AB135" s="204"/>
      <c r="AC135" s="200">
        <f t="shared" si="19"/>
        <v>58.2</v>
      </c>
      <c r="AD135" s="125" t="str">
        <f>VLOOKUP(C135,'BTH mủ tạp'!$C$17:$AL$160,36,0)</f>
        <v>B</v>
      </c>
      <c r="AE135" s="201"/>
      <c r="AF135" s="104"/>
    </row>
    <row r="136" spans="1:33" ht="18.75" customHeight="1">
      <c r="A136" s="191">
        <v>44</v>
      </c>
      <c r="B136" s="255" t="str">
        <f>'Chấm công KT'!D137</f>
        <v>03630</v>
      </c>
      <c r="C136" s="201" t="str">
        <f>'Chấm công KT'!C137</f>
        <v>T. Nú</v>
      </c>
      <c r="D136" s="191" t="s">
        <v>30</v>
      </c>
      <c r="E136" s="265">
        <f t="shared" si="16"/>
        <v>3.2</v>
      </c>
      <c r="F136" s="1108">
        <f t="shared" si="17"/>
        <v>24</v>
      </c>
      <c r="G136" s="265">
        <v>7</v>
      </c>
      <c r="H136" s="265">
        <v>24</v>
      </c>
      <c r="I136" s="265"/>
      <c r="J136" s="256"/>
      <c r="K136" s="203"/>
      <c r="L136" s="203"/>
      <c r="M136" s="128"/>
      <c r="N136" s="124"/>
      <c r="O136" s="217"/>
      <c r="P136" s="192"/>
      <c r="Q136" s="199">
        <f t="shared" si="20"/>
        <v>58.2</v>
      </c>
      <c r="R136" s="194">
        <f>VLOOKUP(C136,'BTH mủ tạp'!$C$99:$AI$160,33,0)</f>
        <v>1091</v>
      </c>
      <c r="S136" s="202"/>
      <c r="T136" s="193">
        <f t="shared" si="21"/>
        <v>0</v>
      </c>
      <c r="U136" s="259">
        <f t="shared" si="18"/>
        <v>1091</v>
      </c>
      <c r="V136" s="595">
        <f>VLOOKUP(C136,'Chấm công KT'!$C$94:$AJ$155,34,0)</f>
        <v>27</v>
      </c>
      <c r="W136" s="595">
        <f>VLOOKUP(C136,'Chấm công KT'!$C$94:$AK$155,35,0)</f>
        <v>4</v>
      </c>
      <c r="X136" s="595">
        <f>VLOOKUP(C136,'Chấm công KT'!C137:AL155,36,0)</f>
        <v>0</v>
      </c>
      <c r="Y136" s="673"/>
      <c r="Z136" s="673"/>
      <c r="AA136" s="673"/>
      <c r="AB136" s="204"/>
      <c r="AC136" s="200">
        <f t="shared" si="19"/>
        <v>58.2</v>
      </c>
      <c r="AD136" s="125" t="str">
        <f>VLOOKUP(C136,'BTH mủ tạp'!$C$17:$AL$160,36,0)</f>
        <v>B</v>
      </c>
      <c r="AE136" s="201"/>
      <c r="AF136" s="104" t="s">
        <v>159</v>
      </c>
      <c r="AG136" s="2">
        <f>1.1-3.19</f>
        <v>-2.09</v>
      </c>
    </row>
    <row r="137" spans="1:33" ht="18.75" customHeight="1">
      <c r="A137" s="191">
        <v>45</v>
      </c>
      <c r="B137" s="255" t="str">
        <f>'Chấm công KT'!D138</f>
        <v>03631</v>
      </c>
      <c r="C137" s="201" t="str">
        <f>'Chấm công KT'!C138</f>
        <v>T. Xan Nha</v>
      </c>
      <c r="D137" s="191" t="s">
        <v>30</v>
      </c>
      <c r="E137" s="265">
        <f t="shared" si="16"/>
        <v>3.2</v>
      </c>
      <c r="F137" s="1108">
        <f t="shared" si="17"/>
        <v>24</v>
      </c>
      <c r="G137" s="265">
        <v>7</v>
      </c>
      <c r="H137" s="265">
        <v>24</v>
      </c>
      <c r="I137" s="265"/>
      <c r="J137" s="256"/>
      <c r="K137" s="203"/>
      <c r="L137" s="203"/>
      <c r="M137" s="128"/>
      <c r="N137" s="198"/>
      <c r="O137" s="278"/>
      <c r="P137" s="192"/>
      <c r="Q137" s="199">
        <f t="shared" si="20"/>
        <v>58.2</v>
      </c>
      <c r="R137" s="194">
        <f>VLOOKUP(C137,'BTH mủ tạp'!$C$99:$AI$160,33,0)</f>
        <v>1438</v>
      </c>
      <c r="S137" s="202"/>
      <c r="T137" s="193">
        <f t="shared" si="21"/>
        <v>0</v>
      </c>
      <c r="U137" s="259">
        <f t="shared" si="18"/>
        <v>1438</v>
      </c>
      <c r="V137" s="595">
        <f>VLOOKUP(C137,'Chấm công KT'!$C$94:$AJ$155,34,0)</f>
        <v>27</v>
      </c>
      <c r="W137" s="595">
        <f>VLOOKUP(C137,'Chấm công KT'!$C$94:$AK$155,35,0)</f>
        <v>4</v>
      </c>
      <c r="X137" s="595">
        <f>VLOOKUP(C137,'Chấm công KT'!C138:AL155,36,0)</f>
        <v>0</v>
      </c>
      <c r="Y137" s="673"/>
      <c r="Z137" s="673"/>
      <c r="AA137" s="673"/>
      <c r="AB137" s="204"/>
      <c r="AC137" s="200">
        <f t="shared" si="19"/>
        <v>58.2</v>
      </c>
      <c r="AD137" s="125" t="str">
        <f>VLOOKUP(C137,'BTH mủ tạp'!$C$17:$AL$160,36,0)</f>
        <v>A</v>
      </c>
      <c r="AE137" s="201"/>
      <c r="AF137" s="104"/>
    </row>
    <row r="138" spans="1:33" ht="18.75" customHeight="1">
      <c r="A138" s="191">
        <v>46</v>
      </c>
      <c r="B138" s="255" t="str">
        <f>'Chấm công KT'!D139</f>
        <v>03632</v>
      </c>
      <c r="C138" s="201" t="str">
        <f>'Chấm công KT'!C139</f>
        <v>T. A lem</v>
      </c>
      <c r="D138" s="191" t="s">
        <v>30</v>
      </c>
      <c r="E138" s="265">
        <f t="shared" si="16"/>
        <v>3.2</v>
      </c>
      <c r="F138" s="1108">
        <f t="shared" si="17"/>
        <v>24</v>
      </c>
      <c r="G138" s="265">
        <v>7</v>
      </c>
      <c r="H138" s="265">
        <v>24</v>
      </c>
      <c r="I138" s="265"/>
      <c r="J138" s="256"/>
      <c r="K138" s="203"/>
      <c r="L138" s="203"/>
      <c r="M138" s="128"/>
      <c r="N138" s="198"/>
      <c r="O138" s="278"/>
      <c r="P138" s="192"/>
      <c r="Q138" s="199">
        <f t="shared" si="20"/>
        <v>58.2</v>
      </c>
      <c r="R138" s="194">
        <f>VLOOKUP(C138,'BTH mủ tạp'!$C$99:$AI$160,33,0)</f>
        <v>1695</v>
      </c>
      <c r="S138" s="202"/>
      <c r="T138" s="193">
        <f t="shared" si="21"/>
        <v>0</v>
      </c>
      <c r="U138" s="259">
        <f t="shared" si="18"/>
        <v>1695</v>
      </c>
      <c r="V138" s="595">
        <f>VLOOKUP(C138,'Chấm công KT'!$C$94:$AJ$155,34,0)</f>
        <v>26</v>
      </c>
      <c r="W138" s="595">
        <f>VLOOKUP(C138,'Chấm công KT'!$C$94:$AK$155,35,0)</f>
        <v>4</v>
      </c>
      <c r="X138" s="595">
        <f>VLOOKUP(C138,'Chấm công KT'!C139:AL155,36,0)</f>
        <v>0</v>
      </c>
      <c r="Y138" s="673"/>
      <c r="Z138" s="673"/>
      <c r="AA138" s="673"/>
      <c r="AB138" s="204"/>
      <c r="AC138" s="200">
        <f t="shared" si="19"/>
        <v>58.2</v>
      </c>
      <c r="AD138" s="125" t="str">
        <f>VLOOKUP(C138,'BTH mủ tạp'!$C$17:$AL$160,36,0)</f>
        <v>B</v>
      </c>
      <c r="AE138" s="201"/>
      <c r="AF138" s="104"/>
    </row>
    <row r="139" spans="1:33" ht="18.75" customHeight="1">
      <c r="A139" s="191">
        <v>47</v>
      </c>
      <c r="B139" s="255" t="e">
        <f>'Chấm công KT'!D140</f>
        <v>#N/A</v>
      </c>
      <c r="C139" s="201" t="str">
        <f>'Chấm công KT'!C140</f>
        <v>T. Phan</v>
      </c>
      <c r="D139" s="191" t="s">
        <v>30</v>
      </c>
      <c r="E139" s="265">
        <f t="shared" si="16"/>
        <v>3.2</v>
      </c>
      <c r="F139" s="1108">
        <f t="shared" si="17"/>
        <v>24</v>
      </c>
      <c r="G139" s="265">
        <v>7</v>
      </c>
      <c r="H139" s="265">
        <v>24</v>
      </c>
      <c r="I139" s="265"/>
      <c r="J139" s="256"/>
      <c r="K139" s="203"/>
      <c r="L139" s="203"/>
      <c r="M139" s="128"/>
      <c r="N139" s="198"/>
      <c r="O139" s="278"/>
      <c r="P139" s="192"/>
      <c r="Q139" s="199">
        <f t="shared" si="20"/>
        <v>58.2</v>
      </c>
      <c r="R139" s="194">
        <f>VLOOKUP(C139,'BTH mủ tạp'!$C$99:$AI$160,33,0)</f>
        <v>1623</v>
      </c>
      <c r="S139" s="202"/>
      <c r="T139" s="193">
        <f t="shared" si="21"/>
        <v>0</v>
      </c>
      <c r="U139" s="259">
        <f t="shared" si="18"/>
        <v>1623</v>
      </c>
      <c r="V139" s="595">
        <f>VLOOKUP(C139,'Chấm công KT'!$C$94:$AJ$155,34,0)</f>
        <v>27</v>
      </c>
      <c r="W139" s="595">
        <f>VLOOKUP(C139,'Chấm công KT'!$C$94:$AK$155,35,0)</f>
        <v>4</v>
      </c>
      <c r="X139" s="595">
        <f>VLOOKUP(C139,'Chấm công KT'!C140:AL155,36,0)</f>
        <v>0</v>
      </c>
      <c r="Y139" s="673"/>
      <c r="Z139" s="673"/>
      <c r="AA139" s="673"/>
      <c r="AB139" s="204"/>
      <c r="AC139" s="200">
        <f t="shared" si="19"/>
        <v>58.2</v>
      </c>
      <c r="AD139" s="125" t="str">
        <f>VLOOKUP(C139,'BTH mủ tạp'!$C$17:$AL$160,36,0)</f>
        <v>B</v>
      </c>
      <c r="AE139" s="218"/>
      <c r="AF139" s="104"/>
      <c r="AG139" s="1109">
        <f>Q9+98.52</f>
        <v>9290.3999999999905</v>
      </c>
    </row>
    <row r="140" spans="1:33" ht="18.75" customHeight="1">
      <c r="A140" s="191">
        <v>48</v>
      </c>
      <c r="B140" s="255" t="str">
        <f>'Chấm công KT'!D141</f>
        <v>03634</v>
      </c>
      <c r="C140" s="201" t="str">
        <f>'Chấm công KT'!C141</f>
        <v>T . Cổ</v>
      </c>
      <c r="D140" s="191" t="s">
        <v>30</v>
      </c>
      <c r="E140" s="265">
        <f t="shared" si="16"/>
        <v>3.2</v>
      </c>
      <c r="F140" s="1108">
        <f t="shared" si="17"/>
        <v>24</v>
      </c>
      <c r="G140" s="265">
        <v>7</v>
      </c>
      <c r="H140" s="265">
        <v>24</v>
      </c>
      <c r="I140" s="265"/>
      <c r="J140" s="256"/>
      <c r="K140" s="203"/>
      <c r="L140" s="203"/>
      <c r="M140" s="128"/>
      <c r="N140" s="198"/>
      <c r="O140" s="278"/>
      <c r="P140" s="192"/>
      <c r="Q140" s="199">
        <f t="shared" si="20"/>
        <v>58.2</v>
      </c>
      <c r="R140" s="194">
        <f>VLOOKUP(C140,'BTH mủ tạp'!$C$99:$AI$160,33,0)</f>
        <v>1835</v>
      </c>
      <c r="S140" s="202"/>
      <c r="T140" s="193">
        <f t="shared" si="21"/>
        <v>0</v>
      </c>
      <c r="U140" s="259">
        <f t="shared" si="18"/>
        <v>1835</v>
      </c>
      <c r="V140" s="595">
        <f>VLOOKUP(C140,'Chấm công KT'!$C$94:$AJ$155,34,0)</f>
        <v>22</v>
      </c>
      <c r="W140" s="595">
        <f>VLOOKUP(C140,'Chấm công KT'!$C$94:$AK$155,35,0)</f>
        <v>2</v>
      </c>
      <c r="X140" s="595">
        <f>VLOOKUP(C140,'Chấm công KT'!C141:AL155,36,0)</f>
        <v>0</v>
      </c>
      <c r="Y140" s="673"/>
      <c r="Z140" s="673"/>
      <c r="AA140" s="673"/>
      <c r="AB140" s="204"/>
      <c r="AC140" s="200">
        <f t="shared" si="19"/>
        <v>58.2</v>
      </c>
      <c r="AD140" s="125" t="str">
        <f>VLOOKUP(C140,'BTH mủ tạp'!$C$17:$AL$160,36,0)</f>
        <v>A</v>
      </c>
      <c r="AE140" s="218"/>
      <c r="AF140" s="104"/>
    </row>
    <row r="141" spans="1:33" ht="18.75" customHeight="1">
      <c r="A141" s="191">
        <v>49</v>
      </c>
      <c r="B141" s="255" t="str">
        <f>'Chấm công KT'!D142</f>
        <v>03635</v>
      </c>
      <c r="C141" s="201" t="str">
        <f>'Chấm công KT'!C142</f>
        <v>N. Phim Pha</v>
      </c>
      <c r="D141" s="191" t="s">
        <v>30</v>
      </c>
      <c r="E141" s="265">
        <f t="shared" si="16"/>
        <v>3.2</v>
      </c>
      <c r="F141" s="1108">
        <f t="shared" si="17"/>
        <v>24</v>
      </c>
      <c r="G141" s="265">
        <v>7</v>
      </c>
      <c r="H141" s="265">
        <v>24</v>
      </c>
      <c r="I141" s="265"/>
      <c r="J141" s="256"/>
      <c r="K141" s="203"/>
      <c r="L141" s="203"/>
      <c r="M141" s="128"/>
      <c r="N141" s="124"/>
      <c r="O141" s="217"/>
      <c r="P141" s="192"/>
      <c r="Q141" s="199">
        <f t="shared" si="20"/>
        <v>58.2</v>
      </c>
      <c r="R141" s="194">
        <f>VLOOKUP(C141,'BTH mủ tạp'!$C$99:$AI$160,33,0)</f>
        <v>1313</v>
      </c>
      <c r="S141" s="202"/>
      <c r="T141" s="193">
        <f t="shared" si="21"/>
        <v>0</v>
      </c>
      <c r="U141" s="259">
        <f t="shared" si="18"/>
        <v>1313</v>
      </c>
      <c r="V141" s="595">
        <f>VLOOKUP(C141,'Chấm công KT'!$C$94:$AJ$155,34,0)</f>
        <v>26</v>
      </c>
      <c r="W141" s="595">
        <f>VLOOKUP(C141,'Chấm công KT'!$C$94:$AK$155,35,0)</f>
        <v>4</v>
      </c>
      <c r="X141" s="595">
        <f>VLOOKUP(C141,'Chấm công KT'!C142:AL155,36,0)</f>
        <v>0</v>
      </c>
      <c r="Y141" s="673"/>
      <c r="Z141" s="673"/>
      <c r="AA141" s="673"/>
      <c r="AB141" s="204"/>
      <c r="AC141" s="200">
        <f t="shared" si="19"/>
        <v>58.2</v>
      </c>
      <c r="AD141" s="125" t="str">
        <f>VLOOKUP(C141,'BTH mủ tạp'!$C$17:$AL$160,36,0)</f>
        <v>C</v>
      </c>
      <c r="AE141" s="218"/>
      <c r="AF141" s="104"/>
    </row>
    <row r="142" spans="1:33" ht="18.75" customHeight="1">
      <c r="A142" s="191">
        <v>50</v>
      </c>
      <c r="B142" s="255" t="e">
        <f>'Chấm công KT'!D143</f>
        <v>#N/A</v>
      </c>
      <c r="C142" s="201" t="str">
        <f>'Chấm công KT'!C143</f>
        <v xml:space="preserve">T. Xeng </v>
      </c>
      <c r="D142" s="191" t="s">
        <v>30</v>
      </c>
      <c r="E142" s="265">
        <f t="shared" si="16"/>
        <v>3.2</v>
      </c>
      <c r="F142" s="1108">
        <f t="shared" si="17"/>
        <v>24</v>
      </c>
      <c r="G142" s="265">
        <v>7</v>
      </c>
      <c r="H142" s="265">
        <v>24</v>
      </c>
      <c r="I142" s="265"/>
      <c r="J142" s="256"/>
      <c r="K142" s="203"/>
      <c r="L142" s="203"/>
      <c r="M142" s="128"/>
      <c r="N142" s="198"/>
      <c r="O142" s="278"/>
      <c r="P142" s="192"/>
      <c r="Q142" s="199">
        <f t="shared" si="20"/>
        <v>58.2</v>
      </c>
      <c r="R142" s="194">
        <f>VLOOKUP(C142,'BTH mủ tạp'!$C$99:$AI$160,33,0)</f>
        <v>1913</v>
      </c>
      <c r="S142" s="202"/>
      <c r="T142" s="193">
        <f t="shared" si="21"/>
        <v>0</v>
      </c>
      <c r="U142" s="259">
        <f t="shared" si="18"/>
        <v>1913</v>
      </c>
      <c r="V142" s="595">
        <f>VLOOKUP(C142,'Chấm công KT'!$C$94:$AJ$155,34,0)</f>
        <v>27</v>
      </c>
      <c r="W142" s="595">
        <f>VLOOKUP(C142,'Chấm công KT'!$C$94:$AK$155,35,0)</f>
        <v>4</v>
      </c>
      <c r="X142" s="595">
        <f>VLOOKUP(C142,'Chấm công KT'!C143:AL155,36,0)</f>
        <v>0</v>
      </c>
      <c r="Y142" s="673"/>
      <c r="Z142" s="673"/>
      <c r="AA142" s="673"/>
      <c r="AB142" s="204"/>
      <c r="AC142" s="200">
        <f t="shared" si="19"/>
        <v>58.2</v>
      </c>
      <c r="AD142" s="125" t="str">
        <f>VLOOKUP(C142,'BTH mủ tạp'!$C$17:$AL$160,36,0)</f>
        <v>A</v>
      </c>
      <c r="AE142" s="218"/>
      <c r="AF142" s="104"/>
    </row>
    <row r="143" spans="1:33" ht="18.75" customHeight="1">
      <c r="A143" s="191">
        <v>51</v>
      </c>
      <c r="B143" s="255" t="str">
        <f>'Chấm công KT'!D144</f>
        <v>03637</v>
      </c>
      <c r="C143" s="201" t="str">
        <f>'Chấm công KT'!C144</f>
        <v>T. Vạt</v>
      </c>
      <c r="D143" s="191" t="s">
        <v>30</v>
      </c>
      <c r="E143" s="265">
        <f t="shared" si="16"/>
        <v>3.2</v>
      </c>
      <c r="F143" s="1108">
        <f t="shared" si="17"/>
        <v>24</v>
      </c>
      <c r="G143" s="265">
        <v>7</v>
      </c>
      <c r="H143" s="265">
        <v>24</v>
      </c>
      <c r="I143" s="265"/>
      <c r="J143" s="256"/>
      <c r="K143" s="203"/>
      <c r="L143" s="203"/>
      <c r="M143" s="128"/>
      <c r="N143" s="198"/>
      <c r="O143" s="278"/>
      <c r="P143" s="192"/>
      <c r="Q143" s="199">
        <f t="shared" si="20"/>
        <v>58.2</v>
      </c>
      <c r="R143" s="194">
        <f>VLOOKUP(C143,'BTH mủ tạp'!$C$99:$AI$160,33,0)</f>
        <v>2028</v>
      </c>
      <c r="S143" s="202"/>
      <c r="T143" s="193">
        <f t="shared" si="21"/>
        <v>0</v>
      </c>
      <c r="U143" s="259">
        <f t="shared" si="18"/>
        <v>2028</v>
      </c>
      <c r="V143" s="595">
        <f>VLOOKUP(C143,'Chấm công KT'!$C$94:$AJ$155,34,0)</f>
        <v>24</v>
      </c>
      <c r="W143" s="595">
        <f>VLOOKUP(C143,'Chấm công KT'!$C$94:$AK$155,35,0)</f>
        <v>4</v>
      </c>
      <c r="X143" s="595">
        <f>VLOOKUP(C143,'Chấm công KT'!C144:AL155,36,0)</f>
        <v>0</v>
      </c>
      <c r="Y143" s="673"/>
      <c r="Z143" s="673"/>
      <c r="AA143" s="673"/>
      <c r="AB143" s="204"/>
      <c r="AC143" s="200">
        <f t="shared" si="19"/>
        <v>58.2</v>
      </c>
      <c r="AD143" s="125" t="str">
        <f>VLOOKUP(C143,'BTH mủ tạp'!$C$17:$AL$160,36,0)</f>
        <v>A</v>
      </c>
      <c r="AE143" s="218"/>
      <c r="AF143" s="104"/>
    </row>
    <row r="144" spans="1:33" ht="18.75" customHeight="1">
      <c r="A144" s="191">
        <v>52</v>
      </c>
      <c r="B144" s="255" t="str">
        <f>'Chấm công KT'!D145</f>
        <v>03638</v>
      </c>
      <c r="C144" s="201" t="str">
        <f>'Chấm công KT'!C145</f>
        <v>T. Lay</v>
      </c>
      <c r="D144" s="191" t="s">
        <v>30</v>
      </c>
      <c r="E144" s="265">
        <f t="shared" si="16"/>
        <v>3.2</v>
      </c>
      <c r="F144" s="1108">
        <f t="shared" si="17"/>
        <v>24</v>
      </c>
      <c r="G144" s="265">
        <v>7</v>
      </c>
      <c r="H144" s="265">
        <v>24</v>
      </c>
      <c r="I144" s="265"/>
      <c r="J144" s="256"/>
      <c r="K144" s="203"/>
      <c r="L144" s="203"/>
      <c r="M144" s="128"/>
      <c r="N144" s="198"/>
      <c r="O144" s="278"/>
      <c r="P144" s="192"/>
      <c r="Q144" s="199">
        <f t="shared" si="20"/>
        <v>58.2</v>
      </c>
      <c r="R144" s="194">
        <f>VLOOKUP(C144,'BTH mủ tạp'!$C$99:$AI$160,33,0)</f>
        <v>2454</v>
      </c>
      <c r="S144" s="202"/>
      <c r="T144" s="193">
        <f t="shared" si="21"/>
        <v>0</v>
      </c>
      <c r="U144" s="259">
        <f t="shared" si="18"/>
        <v>2454</v>
      </c>
      <c r="V144" s="595">
        <f>VLOOKUP(C144,'Chấm công KT'!$C$94:$AJ$155,34,0)</f>
        <v>27</v>
      </c>
      <c r="W144" s="595">
        <f>VLOOKUP(C144,'Chấm công KT'!$C$94:$AK$155,35,0)</f>
        <v>4</v>
      </c>
      <c r="X144" s="595">
        <f>VLOOKUP(C144,'Chấm công KT'!C145:AL155,36,0)</f>
        <v>0</v>
      </c>
      <c r="Y144" s="673"/>
      <c r="Z144" s="673"/>
      <c r="AA144" s="673"/>
      <c r="AB144" s="204"/>
      <c r="AC144" s="200">
        <f t="shared" si="19"/>
        <v>58.2</v>
      </c>
      <c r="AD144" s="125" t="str">
        <f>VLOOKUP(C144,'BTH mủ tạp'!$C$17:$AL$160,36,0)</f>
        <v>A</v>
      </c>
      <c r="AE144" s="218"/>
      <c r="AF144" s="104"/>
    </row>
    <row r="145" spans="1:41" ht="18.75" customHeight="1">
      <c r="A145" s="191">
        <v>53</v>
      </c>
      <c r="B145" s="255" t="e">
        <f>'Chấm công KT'!D146</f>
        <v>#N/A</v>
      </c>
      <c r="C145" s="201" t="str">
        <f>'Chấm công KT'!C146</f>
        <v>N. Nọi</v>
      </c>
      <c r="D145" s="191" t="s">
        <v>30</v>
      </c>
      <c r="E145" s="265">
        <f t="shared" si="16"/>
        <v>3.2</v>
      </c>
      <c r="F145" s="1108">
        <f t="shared" si="17"/>
        <v>24</v>
      </c>
      <c r="G145" s="265">
        <v>7</v>
      </c>
      <c r="H145" s="265">
        <v>24</v>
      </c>
      <c r="I145" s="265"/>
      <c r="J145" s="256"/>
      <c r="K145" s="203"/>
      <c r="L145" s="203"/>
      <c r="M145" s="128"/>
      <c r="N145" s="198"/>
      <c r="O145" s="278"/>
      <c r="P145" s="192"/>
      <c r="Q145" s="199">
        <f t="shared" si="20"/>
        <v>58.2</v>
      </c>
      <c r="R145" s="194">
        <f>VLOOKUP(C145,'BTH mủ tạp'!$C$99:$AI$160,33,0)</f>
        <v>2291</v>
      </c>
      <c r="S145" s="202"/>
      <c r="T145" s="193">
        <f t="shared" si="21"/>
        <v>0</v>
      </c>
      <c r="U145" s="259">
        <f t="shared" si="18"/>
        <v>2291</v>
      </c>
      <c r="V145" s="595">
        <f>VLOOKUP(C145,'Chấm công KT'!$C$94:$AJ$155,34,0)</f>
        <v>27</v>
      </c>
      <c r="W145" s="595">
        <f>VLOOKUP(C145,'Chấm công KT'!$C$94:$AK$155,35,0)</f>
        <v>4</v>
      </c>
      <c r="X145" s="595">
        <f>VLOOKUP(C145,'Chấm công KT'!C146:AL155,36,0)</f>
        <v>0</v>
      </c>
      <c r="Y145" s="673"/>
      <c r="Z145" s="673"/>
      <c r="AA145" s="673"/>
      <c r="AB145" s="204"/>
      <c r="AC145" s="200">
        <f t="shared" si="19"/>
        <v>58.2</v>
      </c>
      <c r="AD145" s="125" t="str">
        <f>VLOOKUP(C145,'BTH mủ tạp'!$C$17:$AL$160,36,0)</f>
        <v>A</v>
      </c>
      <c r="AE145" s="218"/>
      <c r="AF145" s="104"/>
    </row>
    <row r="146" spans="1:41" ht="18.75" customHeight="1">
      <c r="A146" s="191">
        <v>54</v>
      </c>
      <c r="B146" s="255">
        <f>'Chấm công KT'!D147</f>
        <v>0</v>
      </c>
      <c r="C146" s="201" t="str">
        <f>'Chấm công KT'!C147</f>
        <v>T Bun Xi</v>
      </c>
      <c r="D146" s="191" t="s">
        <v>30</v>
      </c>
      <c r="E146" s="265">
        <f t="shared" si="16"/>
        <v>3.2</v>
      </c>
      <c r="F146" s="1108">
        <f t="shared" si="17"/>
        <v>24</v>
      </c>
      <c r="G146" s="265">
        <v>7</v>
      </c>
      <c r="H146" s="265">
        <v>24</v>
      </c>
      <c r="I146" s="265"/>
      <c r="J146" s="256"/>
      <c r="K146" s="203"/>
      <c r="L146" s="203"/>
      <c r="M146" s="256"/>
      <c r="N146" s="198"/>
      <c r="O146" s="278"/>
      <c r="P146" s="192"/>
      <c r="Q146" s="199">
        <f t="shared" si="20"/>
        <v>58.2</v>
      </c>
      <c r="R146" s="194">
        <f>VLOOKUP(C146,'BTH mủ tạp'!$C$99:$AI$160,33,0)</f>
        <v>1372</v>
      </c>
      <c r="S146" s="202"/>
      <c r="T146" s="193">
        <f t="shared" si="21"/>
        <v>0</v>
      </c>
      <c r="U146" s="259">
        <f t="shared" si="18"/>
        <v>1372</v>
      </c>
      <c r="V146" s="595">
        <f>VLOOKUP(C146,'Chấm công KT'!$C$94:$AJ$155,34,0)</f>
        <v>21</v>
      </c>
      <c r="W146" s="595">
        <f>VLOOKUP(C146,'Chấm công KT'!$C$94:$AK$155,35,0)</f>
        <v>4</v>
      </c>
      <c r="X146" s="595">
        <f>VLOOKUP(C146,'Chấm công KT'!C147:AL155,36,0)</f>
        <v>0</v>
      </c>
      <c r="Y146" s="673"/>
      <c r="Z146" s="673"/>
      <c r="AA146" s="673"/>
      <c r="AB146" s="204"/>
      <c r="AC146" s="200">
        <f t="shared" si="19"/>
        <v>58.2</v>
      </c>
      <c r="AD146" s="125" t="str">
        <f>VLOOKUP(C146,'BTH mủ tạp'!$C$17:$AL$160,36,0)</f>
        <v>B</v>
      </c>
      <c r="AE146" s="218"/>
      <c r="AF146" s="104"/>
    </row>
    <row r="147" spans="1:41" ht="18.75" customHeight="1">
      <c r="A147" s="191">
        <v>55</v>
      </c>
      <c r="B147" s="255" t="e">
        <f>'Chấm công KT'!D148</f>
        <v>#N/A</v>
      </c>
      <c r="C147" s="201" t="str">
        <f>'Chấm công KT'!C148</f>
        <v>N. Bù</v>
      </c>
      <c r="D147" s="191" t="s">
        <v>30</v>
      </c>
      <c r="E147" s="265">
        <f t="shared" si="16"/>
        <v>3.2</v>
      </c>
      <c r="F147" s="1108">
        <f t="shared" si="17"/>
        <v>24</v>
      </c>
      <c r="G147" s="265">
        <v>7</v>
      </c>
      <c r="H147" s="265">
        <v>24</v>
      </c>
      <c r="I147" s="265"/>
      <c r="J147" s="256"/>
      <c r="K147" s="203"/>
      <c r="L147" s="203"/>
      <c r="M147" s="128"/>
      <c r="N147" s="198"/>
      <c r="O147" s="278"/>
      <c r="P147" s="192"/>
      <c r="Q147" s="199">
        <f t="shared" si="20"/>
        <v>58.2</v>
      </c>
      <c r="R147" s="194">
        <f>VLOOKUP(C147,'BTH mủ tạp'!$C$99:$AI$160,33,0)</f>
        <v>1815</v>
      </c>
      <c r="S147" s="202"/>
      <c r="T147" s="193">
        <f t="shared" si="21"/>
        <v>0</v>
      </c>
      <c r="U147" s="259">
        <f t="shared" si="18"/>
        <v>1815</v>
      </c>
      <c r="V147" s="595">
        <f>VLOOKUP(C147,'Chấm công KT'!$C$94:$AJ$155,34,0)</f>
        <v>27</v>
      </c>
      <c r="W147" s="595">
        <f>VLOOKUP(C147,'Chấm công KT'!$C$94:$AK$155,35,0)</f>
        <v>4</v>
      </c>
      <c r="X147" s="595">
        <f>VLOOKUP(C147,'Chấm công KT'!C148:AL155,36,0)</f>
        <v>0</v>
      </c>
      <c r="Y147" s="673"/>
      <c r="Z147" s="673"/>
      <c r="AA147" s="673"/>
      <c r="AB147" s="204"/>
      <c r="AC147" s="200">
        <f t="shared" si="19"/>
        <v>58.2</v>
      </c>
      <c r="AD147" s="125" t="str">
        <f>VLOOKUP(C147,'BTH mủ tạp'!$C$17:$AL$160,36,0)</f>
        <v>B</v>
      </c>
      <c r="AE147" s="218"/>
      <c r="AF147" s="104"/>
    </row>
    <row r="148" spans="1:41" ht="18.75" customHeight="1">
      <c r="A148" s="191">
        <v>56</v>
      </c>
      <c r="B148" s="255" t="str">
        <f>'Chấm công KT'!D149</f>
        <v>03642</v>
      </c>
      <c r="C148" s="201" t="str">
        <f>'Chấm công KT'!C149</f>
        <v>T. Xơn</v>
      </c>
      <c r="D148" s="191" t="s">
        <v>30</v>
      </c>
      <c r="E148" s="265">
        <f t="shared" si="16"/>
        <v>3.2</v>
      </c>
      <c r="F148" s="1108">
        <f t="shared" si="17"/>
        <v>24</v>
      </c>
      <c r="G148" s="265">
        <v>7</v>
      </c>
      <c r="H148" s="265">
        <v>24</v>
      </c>
      <c r="I148" s="265"/>
      <c r="J148" s="256"/>
      <c r="K148" s="203"/>
      <c r="L148" s="203"/>
      <c r="M148" s="256"/>
      <c r="N148" s="217"/>
      <c r="O148" s="217"/>
      <c r="P148" s="217"/>
      <c r="Q148" s="199">
        <f t="shared" si="20"/>
        <v>58.2</v>
      </c>
      <c r="R148" s="194">
        <f>VLOOKUP(C148,'BTH mủ tạp'!$C$99:$AI$160,33,0)</f>
        <v>1379</v>
      </c>
      <c r="S148" s="202"/>
      <c r="T148" s="193">
        <f t="shared" si="21"/>
        <v>0</v>
      </c>
      <c r="U148" s="259">
        <f t="shared" si="18"/>
        <v>1379</v>
      </c>
      <c r="V148" s="595">
        <f>VLOOKUP(C148,'Chấm công KT'!$C$94:$AJ$155,34,0)</f>
        <v>21</v>
      </c>
      <c r="W148" s="595">
        <f>VLOOKUP(C148,'Chấm công KT'!$C$94:$AK$155,35,0)</f>
        <v>4</v>
      </c>
      <c r="X148" s="595">
        <f>VLOOKUP(C148,'Chấm công KT'!C149:AL155,36,0)</f>
        <v>0</v>
      </c>
      <c r="Y148" s="673"/>
      <c r="Z148" s="673"/>
      <c r="AA148" s="673"/>
      <c r="AB148" s="204"/>
      <c r="AC148" s="200">
        <f t="shared" si="19"/>
        <v>58.2</v>
      </c>
      <c r="AD148" s="125" t="str">
        <f>VLOOKUP(C148,'BTH mủ tạp'!$C$17:$AL$160,36,0)</f>
        <v>B</v>
      </c>
      <c r="AE148" s="218"/>
      <c r="AF148" s="104"/>
    </row>
    <row r="149" spans="1:41" ht="18.75" customHeight="1">
      <c r="A149" s="191">
        <v>57</v>
      </c>
      <c r="B149" s="255" t="e">
        <f>'Chấm công KT'!D150</f>
        <v>#N/A</v>
      </c>
      <c r="C149" s="201" t="str">
        <f>'Chấm công KT'!C150</f>
        <v>T. Thi</v>
      </c>
      <c r="D149" s="191" t="s">
        <v>30</v>
      </c>
      <c r="E149" s="265">
        <f t="shared" si="16"/>
        <v>3.2</v>
      </c>
      <c r="F149" s="1108">
        <f t="shared" si="17"/>
        <v>24</v>
      </c>
      <c r="G149" s="265">
        <v>7</v>
      </c>
      <c r="H149" s="265">
        <v>24</v>
      </c>
      <c r="I149" s="265"/>
      <c r="J149" s="256"/>
      <c r="K149" s="203"/>
      <c r="L149" s="203"/>
      <c r="M149" s="256"/>
      <c r="N149" s="217"/>
      <c r="O149" s="217"/>
      <c r="P149" s="217"/>
      <c r="Q149" s="199">
        <f t="shared" si="20"/>
        <v>58.2</v>
      </c>
      <c r="R149" s="194">
        <f>VLOOKUP(C149,'BTH mủ tạp'!$C$99:$AI$160,33,0)</f>
        <v>1816</v>
      </c>
      <c r="S149" s="202"/>
      <c r="T149" s="193">
        <f t="shared" si="21"/>
        <v>0</v>
      </c>
      <c r="U149" s="259">
        <f t="shared" si="18"/>
        <v>1816</v>
      </c>
      <c r="V149" s="595">
        <f>VLOOKUP(C149,'Chấm công KT'!$C$94:$AJ$155,34,0)</f>
        <v>27</v>
      </c>
      <c r="W149" s="595">
        <f>VLOOKUP(C149,'Chấm công KT'!$C$94:$AK$155,35,0)</f>
        <v>4</v>
      </c>
      <c r="X149" s="595">
        <f>VLOOKUP(C149,'Chấm công KT'!C150:AL155,36,0)</f>
        <v>0</v>
      </c>
      <c r="Y149" s="673"/>
      <c r="Z149" s="673"/>
      <c r="AA149" s="673"/>
      <c r="AB149" s="204"/>
      <c r="AC149" s="200">
        <f t="shared" si="19"/>
        <v>58.2</v>
      </c>
      <c r="AD149" s="125" t="str">
        <f>VLOOKUP(C149,'BTH mủ tạp'!$C$17:$AL$160,36,0)</f>
        <v>B</v>
      </c>
      <c r="AE149" s="218"/>
      <c r="AF149" s="104"/>
    </row>
    <row r="150" spans="1:41" ht="18.75" customHeight="1">
      <c r="A150" s="191">
        <v>58</v>
      </c>
      <c r="B150" s="255" t="e">
        <f>'Chấm công KT'!D151</f>
        <v>#N/A</v>
      </c>
      <c r="C150" s="201" t="str">
        <f>'Chấm công KT'!C151</f>
        <v>On chay</v>
      </c>
      <c r="D150" s="191" t="s">
        <v>30</v>
      </c>
      <c r="E150" s="265">
        <f t="shared" si="16"/>
        <v>3.2</v>
      </c>
      <c r="F150" s="1108">
        <f t="shared" si="17"/>
        <v>24</v>
      </c>
      <c r="G150" s="265">
        <v>7</v>
      </c>
      <c r="H150" s="265">
        <v>24</v>
      </c>
      <c r="I150" s="265"/>
      <c r="J150" s="256"/>
      <c r="K150" s="203"/>
      <c r="L150" s="203"/>
      <c r="M150" s="256"/>
      <c r="N150" s="217"/>
      <c r="O150" s="217"/>
      <c r="P150" s="217"/>
      <c r="Q150" s="199">
        <f t="shared" si="20"/>
        <v>58.2</v>
      </c>
      <c r="R150" s="194">
        <f>VLOOKUP(C150,'BTH mủ tạp'!$C$99:$AI$160,33,0)</f>
        <v>1362</v>
      </c>
      <c r="S150" s="202"/>
      <c r="T150" s="193">
        <f t="shared" si="21"/>
        <v>0</v>
      </c>
      <c r="U150" s="259">
        <f t="shared" si="18"/>
        <v>1362</v>
      </c>
      <c r="V150" s="595">
        <f>VLOOKUP(C150,'Chấm công KT'!$C$94:$AJ$155,34,0)</f>
        <v>27</v>
      </c>
      <c r="W150" s="595">
        <f>VLOOKUP(C150,'Chấm công KT'!$C$94:$AK$155,35,0)</f>
        <v>4</v>
      </c>
      <c r="X150" s="595">
        <f>VLOOKUP(C150,'Chấm công KT'!C151:AL155,36,0)</f>
        <v>0</v>
      </c>
      <c r="Y150" s="673"/>
      <c r="Z150" s="673"/>
      <c r="AA150" s="673"/>
      <c r="AB150" s="204"/>
      <c r="AC150" s="200">
        <f t="shared" ref="AC150:AC157" si="22">Q150</f>
        <v>58.2</v>
      </c>
      <c r="AD150" s="125" t="str">
        <f>VLOOKUP(C150,'BTH mủ tạp'!$C$17:$AL$160,36,0)</f>
        <v>A</v>
      </c>
      <c r="AE150" s="218"/>
      <c r="AF150" s="104"/>
    </row>
    <row r="151" spans="1:41" ht="18.75" customHeight="1">
      <c r="A151" s="191">
        <v>59</v>
      </c>
      <c r="B151" s="619"/>
      <c r="C151" s="201" t="str">
        <f>'Chấm công KT'!C152</f>
        <v>T. Thong</v>
      </c>
      <c r="D151" s="191" t="s">
        <v>30</v>
      </c>
      <c r="E151" s="203"/>
      <c r="F151" s="1100"/>
      <c r="G151" s="265"/>
      <c r="H151" s="265"/>
      <c r="I151" s="265"/>
      <c r="J151" s="256"/>
      <c r="K151" s="216"/>
      <c r="L151" s="216"/>
      <c r="M151" s="256"/>
      <c r="N151" s="217"/>
      <c r="O151" s="217"/>
      <c r="P151" s="217"/>
      <c r="Q151" s="199">
        <f t="shared" si="20"/>
        <v>0</v>
      </c>
      <c r="R151" s="194">
        <f>VLOOKUP(C151,'BTH mủ tạp'!$C$99:$AI$160,33,0)</f>
        <v>889</v>
      </c>
      <c r="S151" s="202"/>
      <c r="T151" s="193">
        <f t="shared" si="21"/>
        <v>0</v>
      </c>
      <c r="U151" s="259">
        <f t="shared" si="18"/>
        <v>889</v>
      </c>
      <c r="V151" s="595">
        <f>VLOOKUP(C151,'Chấm công KT'!$C$94:$AJ$155,34,0)</f>
        <v>15</v>
      </c>
      <c r="W151" s="595">
        <f>VLOOKUP(C151,'Chấm công KT'!$C$94:$AK$155,35,0)</f>
        <v>3</v>
      </c>
      <c r="X151" s="595">
        <f>VLOOKUP(C151,'Chấm công KT'!C152:AL155,36,0)</f>
        <v>0</v>
      </c>
      <c r="Y151" s="673"/>
      <c r="Z151" s="673"/>
      <c r="AA151" s="673"/>
      <c r="AB151" s="204"/>
      <c r="AC151" s="200">
        <f t="shared" si="22"/>
        <v>0</v>
      </c>
      <c r="AD151" s="125" t="str">
        <f>VLOOKUP(C151,'BTH mủ tạp'!$C$17:$AL$160,36,0)</f>
        <v>C</v>
      </c>
      <c r="AE151" s="218"/>
      <c r="AF151" s="104"/>
    </row>
    <row r="152" spans="1:41" ht="18.75" customHeight="1">
      <c r="A152" s="191">
        <v>60</v>
      </c>
      <c r="B152" s="619"/>
      <c r="C152" s="201" t="str">
        <f>'Chấm công KT'!C153</f>
        <v>T. Khách</v>
      </c>
      <c r="D152" s="191" t="s">
        <v>30</v>
      </c>
      <c r="E152" s="203"/>
      <c r="F152" s="1100"/>
      <c r="G152" s="265"/>
      <c r="H152" s="265"/>
      <c r="I152" s="265"/>
      <c r="J152" s="256"/>
      <c r="K152" s="216"/>
      <c r="L152" s="216"/>
      <c r="M152" s="256"/>
      <c r="N152" s="217"/>
      <c r="O152" s="217"/>
      <c r="P152" s="217"/>
      <c r="Q152" s="199">
        <f t="shared" si="20"/>
        <v>0</v>
      </c>
      <c r="R152" s="194">
        <f>VLOOKUP(C152,'BTH mủ tạp'!$C$99:$AI$160,33,0)</f>
        <v>255</v>
      </c>
      <c r="S152" s="202"/>
      <c r="T152" s="193">
        <f t="shared" si="21"/>
        <v>0</v>
      </c>
      <c r="U152" s="259">
        <f t="shared" si="18"/>
        <v>255</v>
      </c>
      <c r="V152" s="595">
        <f>VLOOKUP(C152,'Chấm công KT'!$C$94:$AJ$155,34,0)</f>
        <v>11</v>
      </c>
      <c r="W152" s="595">
        <f>VLOOKUP(C152,'Chấm công KT'!$C$94:$AK$155,35,0)</f>
        <v>2</v>
      </c>
      <c r="X152" s="595">
        <f>VLOOKUP(C152,'Chấm công KT'!C153:AL155,36,0)</f>
        <v>0</v>
      </c>
      <c r="Y152" s="673"/>
      <c r="Z152" s="673"/>
      <c r="AA152" s="673"/>
      <c r="AB152" s="204"/>
      <c r="AC152" s="200">
        <f t="shared" si="22"/>
        <v>0</v>
      </c>
      <c r="AD152" s="125" t="str">
        <f>VLOOKUP(C152,'BTH mủ tạp'!$C$17:$AL$160,36,0)</f>
        <v>C.</v>
      </c>
      <c r="AE152" s="218"/>
      <c r="AF152" s="104"/>
    </row>
    <row r="153" spans="1:41" ht="18.75" customHeight="1">
      <c r="A153" s="191">
        <v>61</v>
      </c>
      <c r="B153" s="619"/>
      <c r="C153" s="201" t="str">
        <f>'Chấm công KT'!C154</f>
        <v>Nang On Xi</v>
      </c>
      <c r="D153" s="191" t="s">
        <v>30</v>
      </c>
      <c r="E153" s="203"/>
      <c r="F153" s="1100"/>
      <c r="G153" s="265"/>
      <c r="H153" s="265"/>
      <c r="I153" s="265"/>
      <c r="J153" s="256"/>
      <c r="K153" s="216"/>
      <c r="L153" s="216"/>
      <c r="M153" s="256"/>
      <c r="N153" s="217"/>
      <c r="O153" s="217"/>
      <c r="P153" s="217"/>
      <c r="Q153" s="199">
        <f t="shared" si="20"/>
        <v>0</v>
      </c>
      <c r="R153" s="194">
        <f>VLOOKUP(C153,'BTH mủ tạp'!$C$99:$AI$160,33,0)</f>
        <v>0</v>
      </c>
      <c r="S153" s="202"/>
      <c r="T153" s="193">
        <f t="shared" si="21"/>
        <v>0</v>
      </c>
      <c r="U153" s="259">
        <f t="shared" si="18"/>
        <v>0</v>
      </c>
      <c r="V153" s="595">
        <f>VLOOKUP(C153,'Chấm công KT'!$C$94:$AJ$155,34,0)</f>
        <v>0</v>
      </c>
      <c r="W153" s="595">
        <f>VLOOKUP(C153,'Chấm công KT'!$C$94:$AK$155,35,0)</f>
        <v>0</v>
      </c>
      <c r="X153" s="595">
        <f>VLOOKUP(C153,'Chấm công KT'!C154:AL155,36,0)</f>
        <v>0</v>
      </c>
      <c r="Y153" s="673"/>
      <c r="Z153" s="673"/>
      <c r="AA153" s="673"/>
      <c r="AB153" s="204"/>
      <c r="AC153" s="200">
        <f t="shared" si="22"/>
        <v>0</v>
      </c>
      <c r="AD153" s="125">
        <f>VLOOKUP(C153,'BTH mủ tạp'!$C$17:$AL$160,36,0)</f>
        <v>0</v>
      </c>
      <c r="AE153" s="218"/>
      <c r="AF153" s="104"/>
    </row>
    <row r="154" spans="1:41" ht="18.75" customHeight="1">
      <c r="A154" s="191">
        <v>62</v>
      </c>
      <c r="B154" s="619"/>
      <c r="C154" s="201" t="str">
        <f>'Chấm công KT'!C155</f>
        <v>Thảo Túc</v>
      </c>
      <c r="D154" s="613"/>
      <c r="E154" s="216"/>
      <c r="F154" s="1104"/>
      <c r="G154" s="656"/>
      <c r="H154" s="656"/>
      <c r="I154" s="656"/>
      <c r="J154" s="655"/>
      <c r="K154" s="216"/>
      <c r="L154" s="216"/>
      <c r="M154" s="1008"/>
      <c r="N154" s="217"/>
      <c r="O154" s="217"/>
      <c r="P154" s="217"/>
      <c r="Q154" s="199">
        <f t="shared" si="20"/>
        <v>0</v>
      </c>
      <c r="R154" s="194">
        <f>VLOOKUP(C154,'BTH mủ tạp'!$C$99:$AI$160,33,0)</f>
        <v>0</v>
      </c>
      <c r="S154" s="202"/>
      <c r="T154" s="193"/>
      <c r="U154" s="259">
        <f t="shared" si="18"/>
        <v>0</v>
      </c>
      <c r="V154" s="595">
        <f>VLOOKUP(C154,'Chấm công KT'!$C$94:$AJ$155,34,0)</f>
        <v>0</v>
      </c>
      <c r="W154" s="595">
        <f>VLOOKUP(C154,'Chấm công KT'!$C$94:$AK$155,35,0)</f>
        <v>0</v>
      </c>
      <c r="X154" s="595">
        <f>VLOOKUP(C154,'Chấm công KT'!C155:AL155,36,0)</f>
        <v>0</v>
      </c>
      <c r="Y154" s="673"/>
      <c r="Z154" s="673"/>
      <c r="AA154" s="673"/>
      <c r="AB154" s="204"/>
      <c r="AC154" s="200">
        <f t="shared" si="22"/>
        <v>0</v>
      </c>
      <c r="AD154" s="125">
        <f>VLOOKUP(C154,'BTH mủ tạp'!$C$17:$AL$160,36,0)</f>
        <v>0</v>
      </c>
      <c r="AE154" s="218"/>
      <c r="AF154" s="104"/>
    </row>
    <row r="155" spans="1:41" s="589" customFormat="1" ht="18.75" customHeight="1">
      <c r="A155" s="191">
        <v>63</v>
      </c>
      <c r="B155" s="755"/>
      <c r="C155" s="587" t="s">
        <v>528</v>
      </c>
      <c r="D155" s="590"/>
      <c r="E155" s="581"/>
      <c r="F155" s="1102"/>
      <c r="G155" s="591"/>
      <c r="H155" s="591"/>
      <c r="I155" s="591"/>
      <c r="J155" s="592"/>
      <c r="K155" s="581"/>
      <c r="L155" s="581"/>
      <c r="M155" s="610"/>
      <c r="N155" s="582"/>
      <c r="O155" s="582"/>
      <c r="P155" s="582"/>
      <c r="Q155" s="583">
        <f t="shared" si="20"/>
        <v>0</v>
      </c>
      <c r="R155" s="756"/>
      <c r="S155" s="584"/>
      <c r="T155" s="585"/>
      <c r="U155" s="751"/>
      <c r="V155" s="595"/>
      <c r="W155" s="595"/>
      <c r="X155" s="674"/>
      <c r="Y155" s="673"/>
      <c r="Z155" s="673"/>
      <c r="AA155" s="673"/>
      <c r="AB155" s="586"/>
      <c r="AC155" s="757">
        <f>Q155</f>
        <v>0</v>
      </c>
      <c r="AD155" s="752"/>
      <c r="AE155" s="587"/>
      <c r="AF155" s="588"/>
    </row>
    <row r="156" spans="1:41" s="589" customFormat="1" ht="18.75" customHeight="1">
      <c r="A156" s="191">
        <v>64</v>
      </c>
      <c r="B156" s="577"/>
      <c r="C156" s="593" t="s">
        <v>653</v>
      </c>
      <c r="D156" s="590"/>
      <c r="E156" s="581"/>
      <c r="F156" s="1102"/>
      <c r="G156" s="591"/>
      <c r="H156" s="591"/>
      <c r="I156" s="591"/>
      <c r="J156" s="592"/>
      <c r="K156" s="581"/>
      <c r="L156" s="581"/>
      <c r="M156" s="581">
        <v>593.4</v>
      </c>
      <c r="N156" s="582"/>
      <c r="O156" s="582"/>
      <c r="P156" s="582"/>
      <c r="Q156" s="583">
        <f t="shared" si="20"/>
        <v>593.4</v>
      </c>
      <c r="R156" s="756"/>
      <c r="S156" s="584"/>
      <c r="T156" s="585"/>
      <c r="U156" s="751"/>
      <c r="V156" s="595"/>
      <c r="W156" s="595"/>
      <c r="X156" s="674"/>
      <c r="Y156" s="673"/>
      <c r="Z156" s="729"/>
      <c r="AA156" s="729"/>
      <c r="AB156" s="586"/>
      <c r="AC156" s="757">
        <f t="shared" si="22"/>
        <v>593.4</v>
      </c>
      <c r="AD156" s="752"/>
      <c r="AE156" s="587"/>
      <c r="AF156" s="588"/>
    </row>
    <row r="157" spans="1:41" s="589" customFormat="1" ht="18.75" customHeight="1">
      <c r="A157" s="191">
        <v>65</v>
      </c>
      <c r="B157" s="577"/>
      <c r="C157" s="753" t="s">
        <v>521</v>
      </c>
      <c r="D157" s="590"/>
      <c r="E157" s="581"/>
      <c r="F157" s="1102"/>
      <c r="G157" s="591"/>
      <c r="H157" s="591"/>
      <c r="I157" s="591"/>
      <c r="J157" s="592"/>
      <c r="K157" s="581"/>
      <c r="L157" s="581"/>
      <c r="M157" s="592"/>
      <c r="N157" s="582"/>
      <c r="O157" s="582"/>
      <c r="P157" s="582"/>
      <c r="Q157" s="583">
        <f t="shared" si="20"/>
        <v>0</v>
      </c>
      <c r="R157" s="756"/>
      <c r="S157" s="666"/>
      <c r="T157" s="599"/>
      <c r="U157" s="754"/>
      <c r="V157" s="600"/>
      <c r="W157" s="600"/>
      <c r="X157" s="601"/>
      <c r="Y157" s="600"/>
      <c r="Z157" s="729"/>
      <c r="AA157" s="729"/>
      <c r="AB157" s="602"/>
      <c r="AC157" s="757">
        <f t="shared" si="22"/>
        <v>0</v>
      </c>
      <c r="AD157" s="752"/>
      <c r="AE157" s="587"/>
      <c r="AF157" s="588"/>
    </row>
    <row r="158" spans="1:41" ht="18.75" customHeight="1">
      <c r="A158" s="1444" t="s">
        <v>61</v>
      </c>
      <c r="B158" s="1444"/>
      <c r="C158" s="1444"/>
      <c r="D158" s="1444"/>
      <c r="E158" s="277">
        <f t="shared" ref="E158:AC158" si="23">E9</f>
        <v>419.19999999999953</v>
      </c>
      <c r="F158" s="1105">
        <f t="shared" si="23"/>
        <v>3144</v>
      </c>
      <c r="G158" s="277">
        <f t="shared" si="23"/>
        <v>441</v>
      </c>
      <c r="H158" s="277">
        <f t="shared" si="23"/>
        <v>3688</v>
      </c>
      <c r="I158" s="277">
        <f t="shared" si="23"/>
        <v>0</v>
      </c>
      <c r="J158" s="277">
        <f t="shared" si="23"/>
        <v>0</v>
      </c>
      <c r="K158" s="277">
        <f t="shared" si="23"/>
        <v>0</v>
      </c>
      <c r="L158" s="277">
        <f t="shared" si="23"/>
        <v>0</v>
      </c>
      <c r="M158" s="277">
        <f t="shared" si="23"/>
        <v>1499.6799999999998</v>
      </c>
      <c r="N158" s="277">
        <f t="shared" si="23"/>
        <v>0</v>
      </c>
      <c r="O158" s="277">
        <f t="shared" si="23"/>
        <v>0</v>
      </c>
      <c r="P158" s="183">
        <f t="shared" si="23"/>
        <v>0</v>
      </c>
      <c r="Q158" s="183">
        <f t="shared" si="23"/>
        <v>9191.8799999999901</v>
      </c>
      <c r="R158" s="277">
        <f t="shared" si="23"/>
        <v>207339</v>
      </c>
      <c r="S158" s="183">
        <f t="shared" si="23"/>
        <v>0</v>
      </c>
      <c r="T158" s="183">
        <f t="shared" si="23"/>
        <v>0</v>
      </c>
      <c r="U158" s="277">
        <f t="shared" si="23"/>
        <v>207339</v>
      </c>
      <c r="V158" s="277">
        <f t="shared" si="23"/>
        <v>3352</v>
      </c>
      <c r="W158" s="277">
        <f t="shared" si="23"/>
        <v>491</v>
      </c>
      <c r="X158" s="277">
        <f t="shared" si="23"/>
        <v>0</v>
      </c>
      <c r="Y158" s="277">
        <f t="shared" si="23"/>
        <v>0</v>
      </c>
      <c r="Z158" s="277">
        <f t="shared" si="23"/>
        <v>0</v>
      </c>
      <c r="AA158" s="277">
        <f t="shared" si="23"/>
        <v>0</v>
      </c>
      <c r="AB158" s="277">
        <f t="shared" si="23"/>
        <v>0</v>
      </c>
      <c r="AC158" s="183">
        <f t="shared" si="23"/>
        <v>9191.8799999999901</v>
      </c>
      <c r="AD158" s="184"/>
      <c r="AE158" s="170"/>
      <c r="AF158" s="171">
        <f>6262+211</f>
        <v>6473</v>
      </c>
      <c r="AG158" s="100"/>
      <c r="AO158" s="2">
        <v>64.900000000000006</v>
      </c>
    </row>
    <row r="159" spans="1:41" ht="18" customHeight="1">
      <c r="Q159" s="47"/>
      <c r="R159" s="136"/>
      <c r="V159" s="92" t="s">
        <v>196</v>
      </c>
      <c r="W159" s="92"/>
      <c r="AC159" s="115"/>
      <c r="AD159" s="116"/>
      <c r="AE159" s="116"/>
      <c r="AF159" s="117"/>
      <c r="AG159" s="101">
        <f>89-22</f>
        <v>67</v>
      </c>
      <c r="AO159" s="2">
        <v>27.48</v>
      </c>
    </row>
    <row r="160" spans="1:41" ht="15.75">
      <c r="C160" s="1443" t="s">
        <v>124</v>
      </c>
      <c r="D160" s="1443"/>
      <c r="E160" s="1443"/>
      <c r="F160" s="1106"/>
      <c r="G160" s="3"/>
      <c r="H160" s="3"/>
      <c r="I160" s="3"/>
      <c r="J160" s="3"/>
      <c r="K160" s="3"/>
      <c r="L160" s="3"/>
      <c r="M160" s="3"/>
      <c r="N160" s="3"/>
      <c r="O160" s="1457"/>
      <c r="P160" s="1457"/>
      <c r="Q160" s="1457"/>
      <c r="R160" s="136"/>
      <c r="S160" s="68"/>
      <c r="T160" s="5"/>
      <c r="U160" s="1443" t="s">
        <v>142</v>
      </c>
      <c r="V160" s="1443"/>
      <c r="W160" s="1443"/>
      <c r="X160" s="1443"/>
      <c r="Y160" s="1443"/>
      <c r="Z160" s="1443"/>
      <c r="AA160" s="1443"/>
      <c r="AB160" s="1443"/>
      <c r="AC160" s="1443"/>
      <c r="AD160" s="3"/>
      <c r="AE160" s="3"/>
      <c r="AF160" s="56">
        <f>SUM(COUNTIF(AD12:AD157,"A"))</f>
        <v>88</v>
      </c>
      <c r="AG160" s="54"/>
      <c r="AH160" s="2">
        <v>2.21</v>
      </c>
      <c r="AI160" s="2">
        <v>4.6100000000000003</v>
      </c>
      <c r="AJ160" s="2">
        <v>34.04</v>
      </c>
      <c r="AK160" s="2">
        <v>19.05</v>
      </c>
      <c r="AO160" s="2">
        <v>103.6</v>
      </c>
    </row>
    <row r="161" spans="3:41">
      <c r="Q161" s="47"/>
      <c r="R161" s="136"/>
      <c r="AF161" s="56">
        <f>SUM(COUNTIF(AD12:AD157,"B"))</f>
        <v>39</v>
      </c>
      <c r="AG161" s="54"/>
      <c r="AH161" s="2">
        <v>2.4900000000000002</v>
      </c>
      <c r="AI161" s="2">
        <v>4.9000000000000004</v>
      </c>
      <c r="AO161" s="2">
        <v>1329.51</v>
      </c>
    </row>
    <row r="162" spans="3:41">
      <c r="G162" s="1456" t="e">
        <f>#REF!*25000</f>
        <v>#REF!</v>
      </c>
      <c r="H162" s="1456"/>
      <c r="I162" s="1456" t="e">
        <f>#REF!*25000</f>
        <v>#REF!</v>
      </c>
      <c r="J162" s="1456"/>
      <c r="Q162" s="47"/>
      <c r="R162" s="136"/>
      <c r="AF162" s="56">
        <f>SUM(COUNTIF(AD14:AD159,"C"))</f>
        <v>5</v>
      </c>
      <c r="AG162" s="54"/>
      <c r="AH162" s="2">
        <v>1.64</v>
      </c>
      <c r="AI162" s="2">
        <v>20.7</v>
      </c>
      <c r="AO162" s="2">
        <v>204.12</v>
      </c>
    </row>
    <row r="163" spans="3:41">
      <c r="Q163" s="79">
        <f>P158-13726.58</f>
        <v>-13726.58</v>
      </c>
      <c r="R163" s="467"/>
      <c r="AG163" s="54"/>
      <c r="AH163" s="2">
        <v>9.7799999999999994</v>
      </c>
      <c r="AO163" s="2">
        <v>927.08</v>
      </c>
    </row>
    <row r="164" spans="3:41">
      <c r="Q164" s="47"/>
      <c r="R164" s="136"/>
      <c r="AG164" s="54"/>
      <c r="AH164" s="2">
        <f>SUM(AH160:AH163)</f>
        <v>16.119999999999997</v>
      </c>
      <c r="AI164" s="2">
        <f>SUM(AI160:AI163)</f>
        <v>30.21</v>
      </c>
      <c r="AJ164" s="2">
        <f>SUM(AJ160:AJ163)</f>
        <v>34.04</v>
      </c>
      <c r="AK164" s="2">
        <f>SUM(AK160:AK163)</f>
        <v>19.05</v>
      </c>
      <c r="AO164" s="2">
        <v>90.76</v>
      </c>
    </row>
    <row r="165" spans="3:41">
      <c r="C165" s="1438" t="s">
        <v>137</v>
      </c>
      <c r="D165" s="1438"/>
      <c r="E165" s="1438"/>
      <c r="F165" s="1107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137"/>
      <c r="R165" s="136"/>
      <c r="S165" s="93"/>
      <c r="T165" s="46"/>
      <c r="U165" s="1438" t="s">
        <v>45</v>
      </c>
      <c r="V165" s="1438"/>
      <c r="W165" s="1438"/>
      <c r="X165" s="1438"/>
      <c r="Y165" s="1438"/>
      <c r="Z165" s="1438"/>
      <c r="AA165" s="1438"/>
      <c r="AB165" s="1438"/>
      <c r="AC165" s="1438"/>
      <c r="AD165" s="50"/>
      <c r="AE165" s="50"/>
      <c r="AH165" s="2">
        <f>AH164/0.17</f>
        <v>94.823529411764682</v>
      </c>
      <c r="AI165" s="2">
        <f>AI164/0.2</f>
        <v>151.04999999999998</v>
      </c>
      <c r="AJ165" s="2">
        <f>AJ164/0.25</f>
        <v>136.16</v>
      </c>
      <c r="AK165" s="2">
        <f>AK164/0.18</f>
        <v>105.83333333333334</v>
      </c>
      <c r="AO165" s="2">
        <v>32.67</v>
      </c>
    </row>
    <row r="166" spans="3:41">
      <c r="Q166" s="47"/>
      <c r="R166" s="136"/>
      <c r="AO166" s="2">
        <v>11.24</v>
      </c>
    </row>
    <row r="167" spans="3:41">
      <c r="Q167" s="47"/>
      <c r="R167" s="136"/>
      <c r="AO167" s="2">
        <f>SUM(AO158:AO166)</f>
        <v>2791.36</v>
      </c>
    </row>
    <row r="168" spans="3:41">
      <c r="Q168" s="47"/>
      <c r="R168" s="136"/>
    </row>
    <row r="169" spans="3:41">
      <c r="Q169" s="47"/>
      <c r="R169" s="136"/>
    </row>
    <row r="170" spans="3:41">
      <c r="Q170" s="47"/>
      <c r="R170" s="136"/>
    </row>
    <row r="171" spans="3:41">
      <c r="Q171" s="378"/>
      <c r="R171" s="136"/>
    </row>
    <row r="172" spans="3:41">
      <c r="Q172" s="47"/>
      <c r="R172" s="136"/>
    </row>
    <row r="173" spans="3:41">
      <c r="Q173" s="47"/>
      <c r="R173" s="136"/>
    </row>
    <row r="174" spans="3:41">
      <c r="Q174" s="47"/>
      <c r="R174" s="136"/>
    </row>
    <row r="175" spans="3:41">
      <c r="Q175" s="47"/>
      <c r="R175" s="136"/>
    </row>
    <row r="176" spans="3:41">
      <c r="Q176" s="47"/>
      <c r="R176" s="136"/>
    </row>
    <row r="177" spans="17:18">
      <c r="Q177" s="47"/>
      <c r="R177" s="136"/>
    </row>
    <row r="178" spans="17:18">
      <c r="Q178" s="378"/>
      <c r="R178" s="136"/>
    </row>
    <row r="179" spans="17:18">
      <c r="Q179" s="47"/>
      <c r="R179" s="136"/>
    </row>
    <row r="180" spans="17:18">
      <c r="Q180" s="47"/>
      <c r="R180" s="136"/>
    </row>
    <row r="181" spans="17:18">
      <c r="Q181" s="47"/>
      <c r="R181" s="136"/>
    </row>
    <row r="182" spans="17:18">
      <c r="Q182" s="47"/>
      <c r="R182" s="136"/>
    </row>
    <row r="183" spans="17:18">
      <c r="Q183" s="47"/>
      <c r="R183" s="136"/>
    </row>
    <row r="184" spans="17:18">
      <c r="Q184" s="47"/>
      <c r="R184" s="136"/>
    </row>
    <row r="185" spans="17:18">
      <c r="Q185" s="47"/>
      <c r="R185" s="136"/>
    </row>
    <row r="186" spans="17:18">
      <c r="Q186" s="47"/>
      <c r="R186" s="136"/>
    </row>
    <row r="187" spans="17:18">
      <c r="Q187" s="47"/>
      <c r="R187" s="136"/>
    </row>
    <row r="188" spans="17:18">
      <c r="Q188" s="47"/>
      <c r="R188" s="136"/>
    </row>
    <row r="189" spans="17:18">
      <c r="Q189" s="47"/>
      <c r="R189" s="136"/>
    </row>
    <row r="190" spans="17:18">
      <c r="Q190" s="47"/>
      <c r="R190" s="136"/>
    </row>
    <row r="191" spans="17:18">
      <c r="Q191" s="47"/>
      <c r="R191" s="136"/>
    </row>
    <row r="192" spans="17:18">
      <c r="Q192" s="47"/>
      <c r="R192" s="136"/>
    </row>
    <row r="193" spans="17:18">
      <c r="Q193" s="47"/>
      <c r="R193" s="136"/>
    </row>
    <row r="194" spans="17:18">
      <c r="Q194" s="47"/>
      <c r="R194" s="136"/>
    </row>
    <row r="195" spans="17:18">
      <c r="Q195" s="47"/>
      <c r="R195" s="136"/>
    </row>
    <row r="196" spans="17:18">
      <c r="Q196" s="47"/>
      <c r="R196" s="136"/>
    </row>
    <row r="197" spans="17:18">
      <c r="Q197" s="47"/>
      <c r="R197" s="136"/>
    </row>
    <row r="198" spans="17:18">
      <c r="Q198" s="47"/>
      <c r="R198" s="136"/>
    </row>
    <row r="199" spans="17:18">
      <c r="Q199" s="47"/>
      <c r="R199" s="136"/>
    </row>
    <row r="200" spans="17:18">
      <c r="Q200" s="47"/>
      <c r="R200" s="136"/>
    </row>
    <row r="201" spans="17:18">
      <c r="Q201" s="47"/>
      <c r="R201" s="136"/>
    </row>
    <row r="202" spans="17:18">
      <c r="Q202" s="47"/>
      <c r="R202" s="136"/>
    </row>
    <row r="203" spans="17:18">
      <c r="Q203" s="47"/>
      <c r="R203" s="136"/>
    </row>
    <row r="204" spans="17:18">
      <c r="Q204" s="47"/>
      <c r="R204" s="136"/>
    </row>
    <row r="205" spans="17:18">
      <c r="Q205" s="47"/>
      <c r="R205" s="136"/>
    </row>
    <row r="206" spans="17:18">
      <c r="Q206" s="47"/>
      <c r="R206" s="138"/>
    </row>
  </sheetData>
  <mergeCells count="39">
    <mergeCell ref="G162:H162"/>
    <mergeCell ref="I162:J162"/>
    <mergeCell ref="O160:Q160"/>
    <mergeCell ref="V7:X7"/>
    <mergeCell ref="J7:J8"/>
    <mergeCell ref="K7:K8"/>
    <mergeCell ref="P7:P8"/>
    <mergeCell ref="Q7:Q8"/>
    <mergeCell ref="L7:L8"/>
    <mergeCell ref="I7:I8"/>
    <mergeCell ref="E7:E8"/>
    <mergeCell ref="R2:AE2"/>
    <mergeCell ref="A2:G2"/>
    <mergeCell ref="A3:G3"/>
    <mergeCell ref="A4:G4"/>
    <mergeCell ref="R3:AE3"/>
    <mergeCell ref="A5:AE5"/>
    <mergeCell ref="R7:T7"/>
    <mergeCell ref="H7:H8"/>
    <mergeCell ref="AE7:AE8"/>
    <mergeCell ref="N7:N8"/>
    <mergeCell ref="AC7:AC8"/>
    <mergeCell ref="M7:M8"/>
    <mergeCell ref="C165:E165"/>
    <mergeCell ref="E6:AE6"/>
    <mergeCell ref="G7:G8"/>
    <mergeCell ref="C6:C8"/>
    <mergeCell ref="AD7:AD8"/>
    <mergeCell ref="U160:AC160"/>
    <mergeCell ref="C160:E160"/>
    <mergeCell ref="U165:AC165"/>
    <mergeCell ref="F7:F8"/>
    <mergeCell ref="B9:D9"/>
    <mergeCell ref="A158:D158"/>
    <mergeCell ref="B6:B8"/>
    <mergeCell ref="A6:A8"/>
    <mergeCell ref="D6:D8"/>
    <mergeCell ref="B92:D92"/>
    <mergeCell ref="B10:D10"/>
  </mergeCells>
  <phoneticPr fontId="25" type="noConversion"/>
  <pageMargins left="0.35433070866141736" right="0.19685039370078741" top="0.15748031496062992" bottom="0.15748031496062992" header="0.15748031496062992" footer="0.19685039370078741"/>
  <pageSetup paperSize="9" scale="41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92D050"/>
  </sheetPr>
  <dimension ref="A2:AE196"/>
  <sheetViews>
    <sheetView topLeftCell="A88" zoomScale="55" zoomScaleNormal="55" zoomScaleSheetLayoutView="50" workbookViewId="0">
      <selection activeCell="W97" activeCellId="1" sqref="L97 W97"/>
    </sheetView>
  </sheetViews>
  <sheetFormatPr defaultColWidth="9.42578125" defaultRowHeight="23.25"/>
  <cols>
    <col min="1" max="1" width="8.7109375" style="354" customWidth="1"/>
    <col min="2" max="2" width="15.5703125" style="354" customWidth="1"/>
    <col min="3" max="3" width="23" style="355" customWidth="1"/>
    <col min="4" max="4" width="28.7109375" style="358" customWidth="1"/>
    <col min="5" max="5" width="17.85546875" style="422" customWidth="1"/>
    <col min="6" max="6" width="21.85546875" style="358" customWidth="1"/>
    <col min="7" max="7" width="21" style="358" customWidth="1"/>
    <col min="8" max="9" width="16" style="358" hidden="1" customWidth="1"/>
    <col min="10" max="10" width="20.140625" style="359" customWidth="1"/>
    <col min="11" max="11" width="12.42578125" style="360" customWidth="1"/>
    <col min="12" max="12" width="23.7109375" style="361" customWidth="1"/>
    <col min="13" max="13" width="18" style="358" customWidth="1"/>
    <col min="14" max="14" width="16.28515625" style="358" customWidth="1"/>
    <col min="15" max="15" width="19.85546875" style="358" hidden="1" customWidth="1"/>
    <col min="16" max="16" width="16.7109375" style="358" hidden="1" customWidth="1"/>
    <col min="17" max="17" width="17.85546875" style="358" hidden="1" customWidth="1"/>
    <col min="18" max="18" width="14.140625" style="358" hidden="1" customWidth="1"/>
    <col min="19" max="19" width="19.85546875" style="358" customWidth="1"/>
    <col min="20" max="20" width="15.5703125" style="358" hidden="1" customWidth="1"/>
    <col min="21" max="22" width="16" style="358" hidden="1" customWidth="1"/>
    <col min="23" max="23" width="28.28515625" style="358" customWidth="1"/>
    <col min="24" max="24" width="21.42578125" style="358" customWidth="1"/>
    <col min="25" max="25" width="16.7109375" style="358" hidden="1" customWidth="1"/>
    <col min="26" max="26" width="24.28515625" style="358" customWidth="1"/>
    <col min="27" max="27" width="25.28515625" style="358" customWidth="1"/>
    <col min="28" max="28" width="25.5703125" style="358" customWidth="1"/>
    <col min="29" max="29" width="22.28515625" style="358" bestFit="1" customWidth="1"/>
    <col min="30" max="33" width="9.42578125" style="358"/>
    <col min="34" max="34" width="9.5703125" style="358" bestFit="1" customWidth="1"/>
    <col min="35" max="16384" width="9.42578125" style="358"/>
  </cols>
  <sheetData>
    <row r="2" spans="1:29" ht="21.75" customHeight="1">
      <c r="A2" s="1463" t="s">
        <v>56</v>
      </c>
      <c r="B2" s="1463"/>
      <c r="C2" s="1463"/>
      <c r="D2" s="1463"/>
      <c r="E2" s="1463"/>
      <c r="F2" s="1463"/>
      <c r="G2" s="1463"/>
      <c r="H2" s="1463"/>
      <c r="I2" s="1463"/>
      <c r="J2" s="1463"/>
      <c r="K2" s="1463"/>
      <c r="L2" s="1463"/>
      <c r="M2" s="1463"/>
      <c r="N2" s="1463"/>
      <c r="O2" s="1463"/>
      <c r="P2" s="1463"/>
      <c r="Q2" s="1463"/>
      <c r="R2" s="1463"/>
      <c r="S2" s="1463"/>
      <c r="T2" s="1463"/>
      <c r="U2" s="1463"/>
      <c r="V2" s="1463"/>
      <c r="W2" s="1463"/>
      <c r="X2" s="1463"/>
      <c r="Y2" s="1463"/>
      <c r="Z2" s="1463"/>
    </row>
    <row r="3" spans="1:29" ht="26.25" customHeight="1">
      <c r="A3" s="1463" t="s">
        <v>42</v>
      </c>
      <c r="B3" s="1463"/>
      <c r="C3" s="1463"/>
      <c r="D3" s="1463"/>
      <c r="E3" s="1463"/>
      <c r="F3" s="1463"/>
      <c r="G3" s="1463"/>
      <c r="H3" s="1463"/>
      <c r="I3" s="1463"/>
      <c r="J3" s="1463"/>
      <c r="K3" s="1463"/>
      <c r="L3" s="1463"/>
      <c r="M3" s="1463"/>
      <c r="N3" s="1463"/>
      <c r="O3" s="1463"/>
      <c r="P3" s="1463"/>
      <c r="Q3" s="1463"/>
      <c r="R3" s="1463"/>
      <c r="S3" s="1463"/>
      <c r="T3" s="1463"/>
      <c r="U3" s="1463"/>
      <c r="V3" s="1463"/>
      <c r="W3" s="1463"/>
      <c r="X3" s="1463"/>
      <c r="Y3" s="1463"/>
      <c r="Z3" s="1463"/>
    </row>
    <row r="4" spans="1:29" ht="26.25" customHeight="1">
      <c r="A4" s="1471" t="s">
        <v>294</v>
      </c>
      <c r="B4" s="1471"/>
      <c r="C4" s="1472"/>
      <c r="D4" s="1472"/>
      <c r="E4" s="1472"/>
      <c r="F4" s="1472"/>
      <c r="G4" s="1472"/>
      <c r="H4" s="1472"/>
      <c r="I4" s="1472"/>
      <c r="J4" s="1472"/>
      <c r="K4" s="1472"/>
      <c r="L4" s="1472"/>
      <c r="M4" s="1472"/>
      <c r="N4" s="1472"/>
      <c r="O4" s="1472"/>
      <c r="P4" s="1472"/>
      <c r="Q4" s="1472"/>
      <c r="R4" s="1472"/>
      <c r="S4" s="1472"/>
      <c r="T4" s="1472"/>
      <c r="U4" s="1472"/>
      <c r="V4" s="1472"/>
      <c r="W4" s="1472"/>
      <c r="X4" s="1472"/>
      <c r="Y4" s="1472"/>
      <c r="Z4" s="1472"/>
    </row>
    <row r="5" spans="1:29" ht="26.25" customHeight="1">
      <c r="A5" s="1138"/>
      <c r="B5" s="1138"/>
      <c r="C5" s="1138"/>
      <c r="D5" s="1138"/>
      <c r="E5" s="1138"/>
      <c r="F5" s="1138"/>
      <c r="G5" s="1138"/>
      <c r="H5" s="1138"/>
      <c r="I5" s="1138"/>
      <c r="J5" s="1138"/>
      <c r="K5" s="1138"/>
      <c r="L5" s="1138"/>
      <c r="M5" s="1138"/>
      <c r="N5" s="1138"/>
      <c r="O5" s="1138"/>
      <c r="P5" s="1138"/>
      <c r="Q5" s="1138"/>
      <c r="R5" s="1138"/>
      <c r="S5" s="1138"/>
      <c r="T5" s="1138"/>
      <c r="U5" s="1138"/>
      <c r="V5" s="1138"/>
      <c r="W5" s="1138"/>
      <c r="X5" s="1138"/>
      <c r="Y5" s="1138"/>
      <c r="Z5" s="1138"/>
    </row>
    <row r="6" spans="1:29" ht="26.25">
      <c r="A6" s="1469" t="s">
        <v>0</v>
      </c>
      <c r="B6" s="1469"/>
      <c r="C6" s="1469"/>
      <c r="D6" s="1469"/>
      <c r="E6" s="1469"/>
      <c r="F6" s="1469"/>
      <c r="G6" s="1469"/>
      <c r="H6" s="1469"/>
      <c r="I6" s="1469"/>
      <c r="J6" s="1469"/>
      <c r="K6" s="663"/>
      <c r="L6" s="663"/>
      <c r="M6" s="663"/>
      <c r="N6" s="663"/>
      <c r="O6" s="663"/>
      <c r="P6" s="663"/>
      <c r="Q6" s="663"/>
      <c r="R6" s="663"/>
      <c r="S6" s="663"/>
      <c r="T6" s="663"/>
      <c r="U6" s="663"/>
      <c r="V6" s="663"/>
      <c r="W6" s="664"/>
      <c r="X6" s="664"/>
      <c r="Y6" s="664"/>
      <c r="Z6" s="664"/>
    </row>
    <row r="7" spans="1:29" ht="25.5">
      <c r="A7" s="1462" t="s">
        <v>643</v>
      </c>
      <c r="B7" s="1462"/>
      <c r="C7" s="1462"/>
      <c r="D7" s="1462"/>
      <c r="E7" s="1462"/>
      <c r="F7" s="1462"/>
      <c r="G7" s="1462"/>
      <c r="H7" s="1462"/>
      <c r="I7" s="1462"/>
      <c r="J7" s="1462"/>
      <c r="K7" s="663"/>
      <c r="L7" s="663"/>
      <c r="M7" s="663"/>
      <c r="N7" s="663"/>
      <c r="O7" s="663"/>
      <c r="P7" s="663"/>
      <c r="Q7" s="663"/>
      <c r="R7" s="663"/>
      <c r="S7" s="663"/>
      <c r="T7" s="663"/>
      <c r="U7" s="663"/>
      <c r="V7" s="663"/>
      <c r="W7" s="664"/>
      <c r="X7" s="664"/>
      <c r="Y7" s="664"/>
      <c r="Z7" s="664"/>
    </row>
    <row r="8" spans="1:29" ht="25.5">
      <c r="A8" s="1137"/>
      <c r="B8" s="1137"/>
      <c r="C8" s="1137"/>
      <c r="D8" s="1137"/>
      <c r="E8" s="1137"/>
      <c r="F8" s="1137"/>
      <c r="G8" s="1137"/>
      <c r="H8" s="1137"/>
      <c r="I8" s="1137"/>
      <c r="J8" s="1137"/>
      <c r="K8" s="663"/>
      <c r="L8" s="663"/>
      <c r="M8" s="663"/>
      <c r="N8" s="663"/>
      <c r="O8" s="663"/>
      <c r="P8" s="663"/>
      <c r="Q8" s="663"/>
      <c r="R8" s="663"/>
      <c r="S8" s="663"/>
      <c r="T8" s="663"/>
      <c r="U8" s="663"/>
      <c r="V8" s="663"/>
      <c r="W8" s="664"/>
      <c r="X8" s="664"/>
      <c r="Y8" s="664"/>
      <c r="Z8" s="664"/>
      <c r="AA8" s="358" t="s">
        <v>509</v>
      </c>
      <c r="AB8" s="362">
        <v>0.4</v>
      </c>
    </row>
    <row r="9" spans="1:29" s="367" customFormat="1" ht="27.75" customHeight="1">
      <c r="A9" s="1465" t="s">
        <v>659</v>
      </c>
      <c r="B9" s="1465"/>
      <c r="C9" s="1465"/>
      <c r="D9" s="1465"/>
      <c r="E9" s="1465"/>
      <c r="F9" s="1465"/>
      <c r="G9" s="1465"/>
      <c r="H9" s="1465"/>
      <c r="I9" s="1465"/>
      <c r="J9" s="1465"/>
      <c r="K9" s="1465"/>
      <c r="L9" s="1465"/>
      <c r="M9" s="1465"/>
      <c r="N9" s="1465"/>
      <c r="O9" s="1465"/>
      <c r="P9" s="1465"/>
      <c r="Q9" s="1465"/>
      <c r="R9" s="1465"/>
      <c r="S9" s="1465"/>
      <c r="T9" s="1465"/>
      <c r="U9" s="1465"/>
      <c r="V9" s="1465"/>
      <c r="W9" s="1465"/>
      <c r="X9" s="1465"/>
      <c r="Y9" s="1465"/>
      <c r="Z9" s="1465"/>
      <c r="AA9" s="1025" t="s">
        <v>36</v>
      </c>
      <c r="AB9" s="1026">
        <f>'BTH mủ tạp'!$AI$16</f>
        <v>107359</v>
      </c>
    </row>
    <row r="10" spans="1:29" s="367" customFormat="1" ht="27.75" customHeight="1">
      <c r="A10" s="1466"/>
      <c r="B10" s="1466"/>
      <c r="C10" s="1466"/>
      <c r="D10" s="1466"/>
      <c r="E10" s="1466"/>
      <c r="F10" s="1466"/>
      <c r="G10" s="1466"/>
      <c r="H10" s="1466"/>
      <c r="I10" s="1466"/>
      <c r="J10" s="1466"/>
      <c r="K10" s="1466"/>
      <c r="L10" s="1466"/>
      <c r="M10" s="1466"/>
      <c r="N10" s="1466"/>
      <c r="O10" s="1466"/>
      <c r="P10" s="1466"/>
      <c r="Q10" s="1466"/>
      <c r="R10" s="1466"/>
      <c r="S10" s="1466"/>
      <c r="T10" s="1466"/>
      <c r="U10" s="1466"/>
      <c r="V10" s="1466"/>
      <c r="W10" s="1466"/>
      <c r="X10" s="1466"/>
      <c r="Y10" s="1466"/>
      <c r="Z10" s="1466"/>
      <c r="AA10" s="1025" t="s">
        <v>418</v>
      </c>
      <c r="AB10" s="1026">
        <f>'BTH mủ tạp'!$AK$16</f>
        <v>55127.006999999976</v>
      </c>
    </row>
    <row r="11" spans="1:29" s="367" customFormat="1" ht="17.25" customHeight="1">
      <c r="A11" s="364"/>
      <c r="B11" s="364"/>
      <c r="C11" s="417"/>
      <c r="D11" s="417"/>
      <c r="E11" s="419"/>
      <c r="F11" s="410"/>
      <c r="G11" s="410"/>
      <c r="H11" s="410"/>
      <c r="I11" s="410"/>
      <c r="J11" s="411"/>
      <c r="K11" s="1270"/>
      <c r="L11" s="1270"/>
      <c r="M11" s="1270"/>
      <c r="N11" s="1270"/>
      <c r="O11" s="1270"/>
      <c r="P11" s="1270"/>
      <c r="Q11" s="1270"/>
      <c r="R11" s="1270"/>
      <c r="S11" s="1270"/>
      <c r="T11" s="1270"/>
      <c r="U11" s="1270"/>
      <c r="V11" s="1270"/>
      <c r="W11" s="1270"/>
      <c r="X11" s="1270"/>
      <c r="Y11" s="1270"/>
      <c r="Z11" s="1270"/>
      <c r="AA11" s="1027" t="s">
        <v>419</v>
      </c>
      <c r="AB11" s="1028">
        <v>0.5</v>
      </c>
    </row>
    <row r="12" spans="1:29" ht="30.75" customHeight="1">
      <c r="A12" s="412"/>
      <c r="B12" s="412"/>
      <c r="C12" s="1473" t="s">
        <v>299</v>
      </c>
      <c r="D12" s="1473"/>
      <c r="E12" s="1280">
        <f>'CNKT '!E11</f>
        <v>668.23</v>
      </c>
      <c r="F12" s="1281">
        <f>'CNKT '!F11</f>
        <v>603.28</v>
      </c>
      <c r="G12" s="1281"/>
      <c r="H12" s="1281"/>
      <c r="I12" s="1281"/>
      <c r="J12" s="1282"/>
      <c r="K12" s="1283"/>
      <c r="L12" s="1284"/>
      <c r="M12" s="1285"/>
      <c r="N12" s="1285"/>
      <c r="O12" s="1285"/>
      <c r="P12" s="1285"/>
      <c r="Q12" s="1285"/>
      <c r="R12" s="1285"/>
      <c r="S12" s="1285"/>
      <c r="T12" s="1285"/>
      <c r="U12" s="1285"/>
      <c r="V12" s="1285"/>
      <c r="W12" s="1285"/>
      <c r="X12" s="1474"/>
      <c r="Y12" s="1474"/>
      <c r="Z12" s="1286">
        <f>AB10/AB9</f>
        <v>0.5134828658985271</v>
      </c>
      <c r="AA12" s="1027" t="s">
        <v>420</v>
      </c>
      <c r="AB12" s="1028">
        <v>0.2</v>
      </c>
    </row>
    <row r="13" spans="1:29" s="1270" customFormat="1" ht="26.25" customHeight="1">
      <c r="A13" s="1464" t="s">
        <v>6</v>
      </c>
      <c r="B13" s="1464" t="s">
        <v>97</v>
      </c>
      <c r="C13" s="1487" t="s">
        <v>17</v>
      </c>
      <c r="D13" s="1464" t="s">
        <v>237</v>
      </c>
      <c r="E13" s="1486" t="s">
        <v>22</v>
      </c>
      <c r="F13" s="1486"/>
      <c r="G13" s="1486"/>
      <c r="H13" s="1486"/>
      <c r="I13" s="1486"/>
      <c r="J13" s="1486"/>
      <c r="K13" s="1486"/>
      <c r="L13" s="1486"/>
      <c r="M13" s="1486"/>
      <c r="N13" s="1486"/>
      <c r="O13" s="1486"/>
      <c r="P13" s="1486"/>
      <c r="Q13" s="1486"/>
      <c r="R13" s="1486"/>
      <c r="S13" s="1486"/>
      <c r="T13" s="1486"/>
      <c r="U13" s="1486"/>
      <c r="V13" s="1486"/>
      <c r="W13" s="1486"/>
      <c r="X13" s="1470" t="s">
        <v>365</v>
      </c>
      <c r="Y13" s="1470" t="s">
        <v>166</v>
      </c>
      <c r="Z13" s="1470" t="s">
        <v>367</v>
      </c>
    </row>
    <row r="14" spans="1:29" s="1139" customFormat="1" ht="57" customHeight="1">
      <c r="A14" s="1464"/>
      <c r="B14" s="1464"/>
      <c r="C14" s="1487"/>
      <c r="D14" s="1464"/>
      <c r="E14" s="1467" t="s">
        <v>366</v>
      </c>
      <c r="F14" s="1468"/>
      <c r="G14" s="526"/>
      <c r="H14" s="526"/>
      <c r="I14" s="526"/>
      <c r="J14" s="1470" t="s">
        <v>25</v>
      </c>
      <c r="K14" s="1470"/>
      <c r="L14" s="1470"/>
      <c r="M14" s="1470" t="s">
        <v>26</v>
      </c>
      <c r="N14" s="1470"/>
      <c r="O14" s="1470"/>
      <c r="P14" s="1470"/>
      <c r="Q14" s="1470"/>
      <c r="R14" s="1470"/>
      <c r="S14" s="1470"/>
      <c r="T14" s="1470"/>
      <c r="U14" s="1470"/>
      <c r="V14" s="1470"/>
      <c r="W14" s="1470"/>
      <c r="X14" s="1470"/>
      <c r="Y14" s="1470"/>
      <c r="Z14" s="1470"/>
    </row>
    <row r="15" spans="1:29" s="1134" customFormat="1" ht="90.75" customHeight="1">
      <c r="A15" s="1464"/>
      <c r="B15" s="1464"/>
      <c r="C15" s="1487"/>
      <c r="D15" s="1464"/>
      <c r="E15" s="428" t="s">
        <v>74</v>
      </c>
      <c r="F15" s="1133" t="s">
        <v>27</v>
      </c>
      <c r="G15" s="1133" t="s">
        <v>364</v>
      </c>
      <c r="H15" s="1133" t="s">
        <v>413</v>
      </c>
      <c r="I15" s="707" t="s">
        <v>421</v>
      </c>
      <c r="J15" s="626" t="s">
        <v>414</v>
      </c>
      <c r="K15" s="1132" t="s">
        <v>28</v>
      </c>
      <c r="L15" s="1132" t="s">
        <v>29</v>
      </c>
      <c r="M15" s="677" t="s">
        <v>442</v>
      </c>
      <c r="N15" s="676" t="s">
        <v>472</v>
      </c>
      <c r="O15" s="676" t="s">
        <v>473</v>
      </c>
      <c r="P15" s="676" t="s">
        <v>474</v>
      </c>
      <c r="Q15" s="676" t="s">
        <v>600</v>
      </c>
      <c r="R15" s="676" t="s">
        <v>476</v>
      </c>
      <c r="S15" s="676" t="s">
        <v>600</v>
      </c>
      <c r="T15" s="916" t="s">
        <v>523</v>
      </c>
      <c r="U15" s="916" t="s">
        <v>593</v>
      </c>
      <c r="V15" s="916"/>
      <c r="W15" s="1132" t="s">
        <v>20</v>
      </c>
      <c r="X15" s="1470"/>
      <c r="Y15" s="1470"/>
      <c r="Z15" s="1470"/>
      <c r="AB15" s="1134">
        <f>5.5*E12</f>
        <v>3675.2650000000003</v>
      </c>
      <c r="AC15" s="1134">
        <f>265*AB15</f>
        <v>973945.22500000009</v>
      </c>
    </row>
    <row r="16" spans="1:29" s="1134" customFormat="1" ht="46.5" customHeight="1">
      <c r="A16" s="413">
        <v>1</v>
      </c>
      <c r="B16" s="413" t="str">
        <f>'Chấm công KT'!D13</f>
        <v>03456</v>
      </c>
      <c r="C16" s="414" t="str">
        <f>TONGHOPCONGDOI!C11</f>
        <v>T. Vôn</v>
      </c>
      <c r="D16" s="414"/>
      <c r="E16" s="415"/>
      <c r="F16" s="414">
        <f>E16*25000</f>
        <v>0</v>
      </c>
      <c r="G16" s="414">
        <f>VLOOKUP(C16,TONGHOPCONGDOI!C11:AE91,16,0)</f>
        <v>776</v>
      </c>
      <c r="H16" s="414">
        <f>VLOOKUP(C16,TONGHOPCONGDOI!C11:AE91,17,0)</f>
        <v>0</v>
      </c>
      <c r="I16" s="414"/>
      <c r="J16" s="708">
        <f>$AB$10/$AB$9*G16+H16*$AB$11+I16*$AB$12</f>
        <v>398.462703937257</v>
      </c>
      <c r="K16" s="413" t="str">
        <f>VLOOKUP(C16,'BTH mủ tạp'!C17:AL95,36,0)</f>
        <v>C</v>
      </c>
      <c r="L16" s="1294">
        <f>ROUND((IF(K16="A",(G16*$Z$12*6.1),IF(K16="B",(G16*$Z$12*5.8),IF(K16="C",(G16*$Z$12*5.5),IF(K16="D",(G16*$Z$12*5.2),0))))*$F$12+(H16*$AB$11*$F$12*6.1)+I16*$F$12*$AB$12*6.1),0)</f>
        <v>1322115</v>
      </c>
      <c r="M16" s="414">
        <f>VLOOKUP(C16,TONGHOPCONGDOI!$C$11:$AD$91,20,0)</f>
        <v>23</v>
      </c>
      <c r="N16" s="414">
        <f>VLOOKUP(C16,TONGHOPCONGDOI!$C$11:$AD$91,21,0)</f>
        <v>4</v>
      </c>
      <c r="O16" s="414">
        <f>VLOOKUP(C16,TONGHOPCONGDOI!$C$11:$AD$91,22,0)</f>
        <v>0</v>
      </c>
      <c r="P16" s="414">
        <f>VLOOKUP(C16,TONGHOPCONGDOI!$C$11:$AD$91,23,0)</f>
        <v>0</v>
      </c>
      <c r="Q16" s="414">
        <f>VLOOKUP(C16,TONGHOPCONGDOI!$C$11:$AD$91,24,0)</f>
        <v>0</v>
      </c>
      <c r="R16" s="414">
        <f>VLOOKUP(C16,TONGHOPCONGDOI!$C$11:$AD$91,25,0)</f>
        <v>0</v>
      </c>
      <c r="S16" s="414">
        <f>500000/25000</f>
        <v>20</v>
      </c>
      <c r="T16" s="415"/>
      <c r="U16" s="415"/>
      <c r="V16" s="415"/>
      <c r="W16" s="1029">
        <f>ROUND(((M16*46.1)+(N16*76.9)+(O16*92.2)+(P16*153.8)+(Q16*92.2)+(R16*153.8))*$E$12+(S16*25000)+(T16*10000)+(U16*30000),0)</f>
        <v>1414072</v>
      </c>
      <c r="X16" s="414">
        <f>F16+L16+W16</f>
        <v>2736187</v>
      </c>
      <c r="Y16" s="414"/>
      <c r="Z16" s="414">
        <f>VLOOKUP(C16,'CNKT '!C16:Z93,24,0)</f>
        <v>2736187</v>
      </c>
      <c r="AA16" s="1134">
        <f>Z16-X16</f>
        <v>0</v>
      </c>
    </row>
    <row r="17" spans="1:27" s="1134" customFormat="1" ht="46.5" customHeight="1">
      <c r="A17" s="413">
        <v>2</v>
      </c>
      <c r="B17" s="413"/>
      <c r="C17" s="414" t="str">
        <f>TONGHOPCONGDOI!C12</f>
        <v>T. Feng</v>
      </c>
      <c r="D17" s="414"/>
      <c r="E17" s="415"/>
      <c r="F17" s="414">
        <f t="shared" ref="F17:F80" si="0">E17*25000</f>
        <v>0</v>
      </c>
      <c r="G17" s="414">
        <f>VLOOKUP(C17,TONGHOPCONGDOI!C12:AE91,16,0)</f>
        <v>654</v>
      </c>
      <c r="H17" s="414">
        <f>VLOOKUP(C17,TONGHOPCONGDOI!C12:AE91,17,0)</f>
        <v>0</v>
      </c>
      <c r="I17" s="414"/>
      <c r="J17" s="708">
        <f>$AB$10/$AB$9*G17+H17*$AB$11+I17*$AB$12</f>
        <v>335.81779429763674</v>
      </c>
      <c r="K17" s="413" t="str">
        <f>VLOOKUP(C17,'BTH mủ tạp'!C18:AL96,36,0)</f>
        <v>B</v>
      </c>
      <c r="L17" s="1294">
        <f t="shared" ref="L17:L80" si="1">ROUND((IF(K17="A",(G17*$Z$12*6.1),IF(K17="B",(G17*$Z$12*5.8),IF(K17="C",(G17*$Z$12*5.5),IF(K17="D",(G17*$Z$12*5.2),0))))*$F$12+(H17*$AB$11*$F$12*6.1)+I17*$F$12*$AB$12*6.1),0)</f>
        <v>1175035</v>
      </c>
      <c r="M17" s="414">
        <f>VLOOKUP(C17,TONGHOPCONGDOI!$C$11:$AD$91,20,0)</f>
        <v>23</v>
      </c>
      <c r="N17" s="414">
        <f>VLOOKUP(C17,TONGHOPCONGDOI!$C$11:$AD$91,21,0)</f>
        <v>4</v>
      </c>
      <c r="O17" s="414">
        <f>VLOOKUP(C17,TONGHOPCONGDOI!$C$11:$AD$91,22,0)</f>
        <v>0</v>
      </c>
      <c r="P17" s="414">
        <f>VLOOKUP(C17,TONGHOPCONGDOI!$C$11:$AD$91,23,0)</f>
        <v>0</v>
      </c>
      <c r="Q17" s="414">
        <f>VLOOKUP(C17,TONGHOPCONGDOI!$C$11:$AD$91,24,0)</f>
        <v>0</v>
      </c>
      <c r="R17" s="414">
        <f>VLOOKUP(C17,TONGHOPCONGDOI!$C$11:$AD$91,25,0)</f>
        <v>0</v>
      </c>
      <c r="S17" s="414">
        <f t="shared" ref="S17:S80" si="2">500000/25000</f>
        <v>20</v>
      </c>
      <c r="T17" s="415"/>
      <c r="U17" s="415"/>
      <c r="V17" s="415"/>
      <c r="W17" s="1029">
        <f t="shared" ref="W17:W80" si="3">ROUND(((M17*46.1)+(N17*76.9)+(O17*92.2)+(P17*153.8)+(Q17*92.2)+(R17*153.8))*$E$12+(S17*25000)+(T17*10000)+(U17*30000),0)</f>
        <v>1414072</v>
      </c>
      <c r="X17" s="414">
        <f t="shared" ref="X17:X47" si="4">F17+L17+W17</f>
        <v>2589107</v>
      </c>
      <c r="Y17" s="414"/>
      <c r="Z17" s="414">
        <f>VLOOKUP(C17,'CNKT '!C17:Z94,24,0)</f>
        <v>2589107</v>
      </c>
      <c r="AA17" s="1134">
        <f t="shared" ref="AA17:AA79" si="5">Z17-X17</f>
        <v>0</v>
      </c>
    </row>
    <row r="18" spans="1:27" s="1134" customFormat="1" ht="46.5" customHeight="1">
      <c r="A18" s="413">
        <v>3</v>
      </c>
      <c r="B18" s="413" t="str">
        <f>'Chấm công KT'!D15</f>
        <v>02725</v>
      </c>
      <c r="C18" s="414" t="str">
        <f>TONGHOPCONGDOI!C13</f>
        <v>T. Sa Văn</v>
      </c>
      <c r="D18" s="414"/>
      <c r="E18" s="415"/>
      <c r="F18" s="414">
        <f t="shared" si="0"/>
        <v>0</v>
      </c>
      <c r="G18" s="414">
        <f>VLOOKUP(C18,TONGHOPCONGDOI!C13:AE91,16,0)</f>
        <v>2011</v>
      </c>
      <c r="H18" s="414">
        <f>VLOOKUP(C18,TONGHOPCONGDOI!C13:AE91,17,0)</f>
        <v>0</v>
      </c>
      <c r="I18" s="414"/>
      <c r="J18" s="708">
        <f t="shared" ref="J18:J47" si="6">$AB$10/$AB$9*G18+H18*$AB$11+I18*$AB$12</f>
        <v>1032.614043321938</v>
      </c>
      <c r="K18" s="413" t="str">
        <f>VLOOKUP(C18,'BTH mủ tạp'!C19:AL96,36,0)</f>
        <v>B</v>
      </c>
      <c r="L18" s="1294">
        <f t="shared" si="1"/>
        <v>3613141</v>
      </c>
      <c r="M18" s="414">
        <f>VLOOKUP(C18,TONGHOPCONGDOI!$C$11:$AD$91,20,0)</f>
        <v>26</v>
      </c>
      <c r="N18" s="414">
        <f>VLOOKUP(C18,TONGHOPCONGDOI!$C$11:$AD$91,21,0)</f>
        <v>4</v>
      </c>
      <c r="O18" s="414">
        <f>VLOOKUP(C18,TONGHOPCONGDOI!$C$11:$AD$91,22,0)</f>
        <v>0</v>
      </c>
      <c r="P18" s="414">
        <f>VLOOKUP(C18,TONGHOPCONGDOI!$C$11:$AD$91,23,0)</f>
        <v>0</v>
      </c>
      <c r="Q18" s="414">
        <f>VLOOKUP(C18,TONGHOPCONGDOI!$C$11:$AD$91,24,0)</f>
        <v>0</v>
      </c>
      <c r="R18" s="414">
        <f>VLOOKUP(C18,TONGHOPCONGDOI!$C$11:$AD$91,25,0)</f>
        <v>0</v>
      </c>
      <c r="S18" s="414">
        <f t="shared" si="2"/>
        <v>20</v>
      </c>
      <c r="T18" s="415"/>
      <c r="U18" s="415"/>
      <c r="V18" s="415"/>
      <c r="W18" s="1029">
        <f t="shared" si="3"/>
        <v>1506488</v>
      </c>
      <c r="X18" s="414">
        <f t="shared" si="4"/>
        <v>5119629</v>
      </c>
      <c r="Y18" s="414"/>
      <c r="Z18" s="414">
        <f>VLOOKUP(C18,'CNKT '!C18:Z95,24,0)</f>
        <v>5119629</v>
      </c>
      <c r="AA18" s="1134">
        <f t="shared" si="5"/>
        <v>0</v>
      </c>
    </row>
    <row r="19" spans="1:27" s="1134" customFormat="1" ht="46.5" customHeight="1">
      <c r="A19" s="413">
        <v>4</v>
      </c>
      <c r="B19" s="413"/>
      <c r="C19" s="414" t="str">
        <f>TONGHOPCONGDOI!C14</f>
        <v>Lăm Ma Thu</v>
      </c>
      <c r="D19" s="414"/>
      <c r="E19" s="415"/>
      <c r="F19" s="414">
        <f t="shared" si="0"/>
        <v>0</v>
      </c>
      <c r="G19" s="414">
        <f>VLOOKUP(C19,TONGHOPCONGDOI!C14:AE91,16,0)</f>
        <v>1414</v>
      </c>
      <c r="H19" s="414">
        <f>VLOOKUP(C19,TONGHOPCONGDOI!C14:AE91,17,0)</f>
        <v>0</v>
      </c>
      <c r="I19" s="414"/>
      <c r="J19" s="708">
        <f t="shared" si="6"/>
        <v>726.0647723805173</v>
      </c>
      <c r="K19" s="413" t="str">
        <f>VLOOKUP(C19,'BTH mủ tạp'!C20:AL96,36,0)</f>
        <v>B</v>
      </c>
      <c r="L19" s="1294">
        <f t="shared" si="1"/>
        <v>2540518</v>
      </c>
      <c r="M19" s="414">
        <f>VLOOKUP(C19,TONGHOPCONGDOI!$C$11:$AD$91,20,0)</f>
        <v>25</v>
      </c>
      <c r="N19" s="414">
        <f>VLOOKUP(C19,TONGHOPCONGDOI!$C$11:$AD$91,21,0)</f>
        <v>4</v>
      </c>
      <c r="O19" s="414">
        <f>VLOOKUP(C19,TONGHOPCONGDOI!$C$11:$AD$91,22,0)</f>
        <v>0</v>
      </c>
      <c r="P19" s="414">
        <f>VLOOKUP(C19,TONGHOPCONGDOI!$C$11:$AD$91,23,0)</f>
        <v>0</v>
      </c>
      <c r="Q19" s="414">
        <f>VLOOKUP(C19,TONGHOPCONGDOI!$C$11:$AD$91,24,0)</f>
        <v>0</v>
      </c>
      <c r="R19" s="414">
        <f>VLOOKUP(C19,TONGHOPCONGDOI!$C$11:$AD$91,25,0)</f>
        <v>0</v>
      </c>
      <c r="S19" s="414">
        <f t="shared" si="2"/>
        <v>20</v>
      </c>
      <c r="T19" s="415"/>
      <c r="U19" s="415"/>
      <c r="V19" s="415"/>
      <c r="W19" s="1029">
        <f t="shared" si="3"/>
        <v>1475683</v>
      </c>
      <c r="X19" s="414">
        <f t="shared" si="4"/>
        <v>4016201</v>
      </c>
      <c r="Y19" s="414"/>
      <c r="Z19" s="414">
        <f>VLOOKUP(C19,'CNKT '!C19:Z96,24,0)</f>
        <v>4016201</v>
      </c>
      <c r="AA19" s="1134">
        <f t="shared" si="5"/>
        <v>0</v>
      </c>
    </row>
    <row r="20" spans="1:27" s="1134" customFormat="1" ht="46.5" customHeight="1">
      <c r="A20" s="413">
        <v>5</v>
      </c>
      <c r="B20" s="413" t="str">
        <f>'Chấm công KT'!D17</f>
        <v>03459</v>
      </c>
      <c r="C20" s="414" t="str">
        <f>TONGHOPCONGDOI!C15</f>
        <v>N. Vạt</v>
      </c>
      <c r="D20" s="414"/>
      <c r="E20" s="415"/>
      <c r="F20" s="414">
        <f t="shared" si="0"/>
        <v>0</v>
      </c>
      <c r="G20" s="414">
        <f>VLOOKUP(C20,TONGHOPCONGDOI!C15:AE91,16,0)</f>
        <v>860</v>
      </c>
      <c r="H20" s="414">
        <f>VLOOKUP(C20,TONGHOPCONGDOI!C15:AE91,17,0)</f>
        <v>0</v>
      </c>
      <c r="I20" s="414"/>
      <c r="J20" s="708">
        <f t="shared" si="6"/>
        <v>441.59526467273332</v>
      </c>
      <c r="K20" s="413" t="str">
        <f>VLOOKUP(C20,'BTH mủ tạp'!C21:AL96,36,0)</f>
        <v>B</v>
      </c>
      <c r="L20" s="1294">
        <f t="shared" si="1"/>
        <v>1545152</v>
      </c>
      <c r="M20" s="414">
        <f>VLOOKUP(C20,TONGHOPCONGDOI!$C$11:$AD$91,20,0)</f>
        <v>20</v>
      </c>
      <c r="N20" s="414">
        <f>VLOOKUP(C20,TONGHOPCONGDOI!$C$11:$AD$91,21,0)</f>
        <v>3</v>
      </c>
      <c r="O20" s="414">
        <f>VLOOKUP(C20,TONGHOPCONGDOI!$C$11:$AD$91,22,0)</f>
        <v>0</v>
      </c>
      <c r="P20" s="414">
        <f>VLOOKUP(C20,TONGHOPCONGDOI!$C$11:$AD$91,23,0)</f>
        <v>0</v>
      </c>
      <c r="Q20" s="414">
        <f>VLOOKUP(C20,TONGHOPCONGDOI!$C$11:$AD$91,24,0)</f>
        <v>0</v>
      </c>
      <c r="R20" s="414">
        <f>VLOOKUP(C20,TONGHOPCONGDOI!$C$11:$AD$91,25,0)</f>
        <v>0</v>
      </c>
      <c r="S20" s="414"/>
      <c r="T20" s="415"/>
      <c r="U20" s="415"/>
      <c r="V20" s="415"/>
      <c r="W20" s="1029">
        <f t="shared" si="3"/>
        <v>770269</v>
      </c>
      <c r="X20" s="414">
        <f t="shared" si="4"/>
        <v>2315421</v>
      </c>
      <c r="Y20" s="414"/>
      <c r="Z20" s="414">
        <f>VLOOKUP(C20,'CNKT '!C20:Z96,24,0)</f>
        <v>2315421</v>
      </c>
      <c r="AA20" s="1134">
        <f t="shared" si="5"/>
        <v>0</v>
      </c>
    </row>
    <row r="21" spans="1:27" s="1134" customFormat="1" ht="46.5" customHeight="1">
      <c r="A21" s="413">
        <v>6</v>
      </c>
      <c r="B21" s="413"/>
      <c r="C21" s="414" t="str">
        <f>TONGHOPCONGDOI!C16</f>
        <v>N. Kay Son</v>
      </c>
      <c r="D21" s="414"/>
      <c r="E21" s="415"/>
      <c r="F21" s="414">
        <f t="shared" si="0"/>
        <v>0</v>
      </c>
      <c r="G21" s="414">
        <f>VLOOKUP(C21,TONGHOPCONGDOI!C16:AE91,16,0)</f>
        <v>1098</v>
      </c>
      <c r="H21" s="414">
        <f>VLOOKUP(C21,TONGHOPCONGDOI!C16:AE91,17,0)</f>
        <v>0</v>
      </c>
      <c r="I21" s="414"/>
      <c r="J21" s="708">
        <f t="shared" si="6"/>
        <v>563.80418675658279</v>
      </c>
      <c r="K21" s="413" t="str">
        <f>VLOOKUP(C21,'BTH mủ tạp'!C22:AL96,36,0)</f>
        <v>C</v>
      </c>
      <c r="L21" s="1294">
        <f t="shared" si="1"/>
        <v>1870725</v>
      </c>
      <c r="M21" s="414">
        <f>VLOOKUP(C21,TONGHOPCONGDOI!$C$11:$AD$91,20,0)</f>
        <v>22</v>
      </c>
      <c r="N21" s="414">
        <f>VLOOKUP(C21,TONGHOPCONGDOI!$C$11:$AD$91,21,0)</f>
        <v>3</v>
      </c>
      <c r="O21" s="414">
        <f>VLOOKUP(C21,TONGHOPCONGDOI!$C$11:$AD$91,22,0)</f>
        <v>0</v>
      </c>
      <c r="P21" s="414">
        <f>VLOOKUP(C21,TONGHOPCONGDOI!$C$11:$AD$91,23,0)</f>
        <v>0</v>
      </c>
      <c r="Q21" s="414">
        <f>VLOOKUP(C21,TONGHOPCONGDOI!$C$11:$AD$91,24,0)</f>
        <v>0</v>
      </c>
      <c r="R21" s="414">
        <f>VLOOKUP(C21,TONGHOPCONGDOI!$C$11:$AD$91,25,0)</f>
        <v>0</v>
      </c>
      <c r="S21" s="414">
        <f t="shared" si="2"/>
        <v>20</v>
      </c>
      <c r="T21" s="415"/>
      <c r="U21" s="415"/>
      <c r="V21" s="415"/>
      <c r="W21" s="1029">
        <f t="shared" si="3"/>
        <v>1331880</v>
      </c>
      <c r="X21" s="414">
        <f t="shared" si="4"/>
        <v>3202605</v>
      </c>
      <c r="Y21" s="414"/>
      <c r="Z21" s="414">
        <f>VLOOKUP(C21,'CNKT '!C21:Z96,24,0)</f>
        <v>3202605</v>
      </c>
      <c r="AA21" s="1134">
        <f t="shared" si="5"/>
        <v>0</v>
      </c>
    </row>
    <row r="22" spans="1:27" s="1134" customFormat="1" ht="46.5" customHeight="1">
      <c r="A22" s="413">
        <v>7</v>
      </c>
      <c r="B22" s="413"/>
      <c r="C22" s="414" t="str">
        <f>TONGHOPCONGDOI!C17</f>
        <v>T. Đèng 1</v>
      </c>
      <c r="D22" s="414"/>
      <c r="E22" s="415"/>
      <c r="F22" s="414">
        <f t="shared" si="0"/>
        <v>0</v>
      </c>
      <c r="G22" s="414">
        <f>VLOOKUP(C22,TONGHOPCONGDOI!C17:AE91,16,0)</f>
        <v>1441</v>
      </c>
      <c r="H22" s="414">
        <f>VLOOKUP(C22,TONGHOPCONGDOI!C17:AE91,17,0)</f>
        <v>0</v>
      </c>
      <c r="I22" s="414"/>
      <c r="J22" s="708">
        <f t="shared" si="6"/>
        <v>739.92880975977755</v>
      </c>
      <c r="K22" s="413" t="str">
        <f>VLOOKUP(C22,'BTH mủ tạp'!C23:AL96,36,0)</f>
        <v>A</v>
      </c>
      <c r="L22" s="1294">
        <f t="shared" si="1"/>
        <v>2722944</v>
      </c>
      <c r="M22" s="414">
        <f>VLOOKUP(C22,TONGHOPCONGDOI!$C$11:$AD$91,20,0)</f>
        <v>27</v>
      </c>
      <c r="N22" s="414">
        <f>VLOOKUP(C22,TONGHOPCONGDOI!$C$11:$AD$91,21,0)</f>
        <v>4</v>
      </c>
      <c r="O22" s="414">
        <f>VLOOKUP(C22,TONGHOPCONGDOI!$C$11:$AD$91,22,0)</f>
        <v>0</v>
      </c>
      <c r="P22" s="414">
        <f>VLOOKUP(C22,TONGHOPCONGDOI!$C$11:$AD$91,23,0)</f>
        <v>0</v>
      </c>
      <c r="Q22" s="414">
        <f>VLOOKUP(C22,TONGHOPCONGDOI!$C$11:$AD$91,24,0)</f>
        <v>0</v>
      </c>
      <c r="R22" s="414">
        <f>VLOOKUP(C22,TONGHOPCONGDOI!$C$11:$AD$91,25,0)</f>
        <v>0</v>
      </c>
      <c r="S22" s="414">
        <f t="shared" si="2"/>
        <v>20</v>
      </c>
      <c r="T22" s="415"/>
      <c r="U22" s="415"/>
      <c r="V22" s="415"/>
      <c r="W22" s="1029">
        <f t="shared" si="3"/>
        <v>1537293</v>
      </c>
      <c r="X22" s="414">
        <f t="shared" si="4"/>
        <v>4260237</v>
      </c>
      <c r="Y22" s="414"/>
      <c r="Z22" s="414">
        <f>VLOOKUP(C22,'CNKT '!C22:Z96,24,0)</f>
        <v>4260237</v>
      </c>
      <c r="AA22" s="1134">
        <f t="shared" si="5"/>
        <v>0</v>
      </c>
    </row>
    <row r="23" spans="1:27" s="1134" customFormat="1" ht="46.5" customHeight="1">
      <c r="A23" s="413">
        <v>8</v>
      </c>
      <c r="B23" s="413" t="str">
        <f>'Chấm công KT'!D20</f>
        <v>03462</v>
      </c>
      <c r="C23" s="414" t="str">
        <f>TONGHOPCONGDOI!C18</f>
        <v>T . Bua Ngân</v>
      </c>
      <c r="D23" s="414"/>
      <c r="E23" s="415"/>
      <c r="F23" s="414">
        <f t="shared" si="0"/>
        <v>0</v>
      </c>
      <c r="G23" s="414">
        <f>VLOOKUP(C23,TONGHOPCONGDOI!C18:AE91,16,0)</f>
        <v>1674</v>
      </c>
      <c r="H23" s="414">
        <f>VLOOKUP(C23,TONGHOPCONGDOI!C18:AE91,17,0)</f>
        <v>0</v>
      </c>
      <c r="I23" s="414"/>
      <c r="J23" s="708">
        <f t="shared" si="6"/>
        <v>859.57031751413433</v>
      </c>
      <c r="K23" s="413" t="str">
        <f>VLOOKUP(C23,'BTH mủ tạp'!C24:AL96,36,0)</f>
        <v>A</v>
      </c>
      <c r="L23" s="1294">
        <f t="shared" si="1"/>
        <v>3163226</v>
      </c>
      <c r="M23" s="414">
        <f>VLOOKUP(C23,TONGHOPCONGDOI!$C$11:$AD$91,20,0)</f>
        <v>26</v>
      </c>
      <c r="N23" s="414">
        <f>VLOOKUP(C23,TONGHOPCONGDOI!$C$11:$AD$91,21,0)</f>
        <v>3</v>
      </c>
      <c r="O23" s="414">
        <f>VLOOKUP(C23,TONGHOPCONGDOI!$C$11:$AD$91,22,0)</f>
        <v>0</v>
      </c>
      <c r="P23" s="414">
        <f>VLOOKUP(C23,TONGHOPCONGDOI!$C$11:$AD$91,23,0)</f>
        <v>0</v>
      </c>
      <c r="Q23" s="414">
        <f>VLOOKUP(C23,TONGHOPCONGDOI!$C$11:$AD$91,24,0)</f>
        <v>0</v>
      </c>
      <c r="R23" s="414">
        <f>VLOOKUP(C23,TONGHOPCONGDOI!$C$11:$AD$91,25,0)</f>
        <v>0</v>
      </c>
      <c r="S23" s="414">
        <f t="shared" si="2"/>
        <v>20</v>
      </c>
      <c r="T23" s="415"/>
      <c r="U23" s="415"/>
      <c r="V23" s="415"/>
      <c r="W23" s="1029">
        <f t="shared" si="3"/>
        <v>1455101</v>
      </c>
      <c r="X23" s="414">
        <f t="shared" si="4"/>
        <v>4618327</v>
      </c>
      <c r="Y23" s="414"/>
      <c r="Z23" s="414">
        <f>VLOOKUP(C23,'CNKT '!C23:Z96,24,0)</f>
        <v>4618327</v>
      </c>
      <c r="AA23" s="1134">
        <f t="shared" si="5"/>
        <v>0</v>
      </c>
    </row>
    <row r="24" spans="1:27" s="1134" customFormat="1" ht="46.5" customHeight="1">
      <c r="A24" s="413">
        <v>9</v>
      </c>
      <c r="B24" s="413" t="str">
        <f>'Chấm công KT'!D21</f>
        <v>03463</v>
      </c>
      <c r="C24" s="414" t="str">
        <f>TONGHOPCONGDOI!C19</f>
        <v>T Căng</v>
      </c>
      <c r="D24" s="414"/>
      <c r="E24" s="415"/>
      <c r="F24" s="414">
        <f t="shared" si="0"/>
        <v>0</v>
      </c>
      <c r="G24" s="414">
        <f>VLOOKUP(C24,TONGHOPCONGDOI!C19:AE91,16,0)</f>
        <v>2121</v>
      </c>
      <c r="H24" s="414">
        <f>VLOOKUP(C24,TONGHOPCONGDOI!C19:AE91,17,0)</f>
        <v>0</v>
      </c>
      <c r="I24" s="414"/>
      <c r="J24" s="708">
        <f t="shared" si="6"/>
        <v>1089.0971585707759</v>
      </c>
      <c r="K24" s="413" t="str">
        <f>VLOOKUP(C24,'BTH mủ tạp'!C25:AL96,36,0)</f>
        <v>B</v>
      </c>
      <c r="L24" s="1294">
        <f t="shared" si="1"/>
        <v>3810777</v>
      </c>
      <c r="M24" s="414">
        <f>VLOOKUP(C24,TONGHOPCONGDOI!$C$11:$AD$91,20,0)</f>
        <v>27</v>
      </c>
      <c r="N24" s="414">
        <f>VLOOKUP(C24,TONGHOPCONGDOI!$C$11:$AD$91,21,0)</f>
        <v>3</v>
      </c>
      <c r="O24" s="414">
        <f>VLOOKUP(C24,TONGHOPCONGDOI!$C$11:$AD$91,22,0)</f>
        <v>0</v>
      </c>
      <c r="P24" s="414">
        <f>VLOOKUP(C24,TONGHOPCONGDOI!$C$11:$AD$91,23,0)</f>
        <v>0</v>
      </c>
      <c r="Q24" s="414">
        <f>VLOOKUP(C24,TONGHOPCONGDOI!$C$11:$AD$91,24,0)</f>
        <v>0</v>
      </c>
      <c r="R24" s="414">
        <f>VLOOKUP(C24,TONGHOPCONGDOI!$C$11:$AD$91,25,0)</f>
        <v>0</v>
      </c>
      <c r="S24" s="414">
        <f t="shared" si="2"/>
        <v>20</v>
      </c>
      <c r="T24" s="415"/>
      <c r="U24" s="415"/>
      <c r="V24" s="415"/>
      <c r="W24" s="1029">
        <f t="shared" si="3"/>
        <v>1485907</v>
      </c>
      <c r="X24" s="414">
        <f t="shared" si="4"/>
        <v>5296684</v>
      </c>
      <c r="Y24" s="414"/>
      <c r="Z24" s="414">
        <f>VLOOKUP(C24,'CNKT '!C24:Z96,24,0)</f>
        <v>5296684</v>
      </c>
      <c r="AA24" s="1134">
        <f t="shared" si="5"/>
        <v>0</v>
      </c>
    </row>
    <row r="25" spans="1:27" s="1134" customFormat="1" ht="46.5" customHeight="1">
      <c r="A25" s="413">
        <v>10</v>
      </c>
      <c r="B25" s="413" t="str">
        <f>'Chấm công KT'!D22</f>
        <v>03464</v>
      </c>
      <c r="C25" s="414" t="str">
        <f>TONGHOPCONGDOI!C20</f>
        <v>N. Phôn 1</v>
      </c>
      <c r="D25" s="414"/>
      <c r="E25" s="415"/>
      <c r="F25" s="414">
        <f t="shared" si="0"/>
        <v>0</v>
      </c>
      <c r="G25" s="414">
        <f>VLOOKUP(C25,TONGHOPCONGDOI!C20:AE91,16,0)</f>
        <v>2102</v>
      </c>
      <c r="H25" s="414">
        <f>VLOOKUP(C25,TONGHOPCONGDOI!C20:AE91,17,0)</f>
        <v>0</v>
      </c>
      <c r="I25" s="414"/>
      <c r="J25" s="708">
        <f t="shared" si="6"/>
        <v>1079.340984118704</v>
      </c>
      <c r="K25" s="413" t="str">
        <f>VLOOKUP(C25,'BTH mủ tạp'!C26:AL96,36,0)</f>
        <v>A</v>
      </c>
      <c r="L25" s="1294">
        <f t="shared" si="1"/>
        <v>3971983</v>
      </c>
      <c r="M25" s="414">
        <f>VLOOKUP(C25,TONGHOPCONGDOI!$C$11:$AD$91,20,0)</f>
        <v>27</v>
      </c>
      <c r="N25" s="414">
        <f>VLOOKUP(C25,TONGHOPCONGDOI!$C$11:$AD$91,21,0)</f>
        <v>3</v>
      </c>
      <c r="O25" s="414">
        <f>VLOOKUP(C25,TONGHOPCONGDOI!$C$11:$AD$91,22,0)</f>
        <v>0</v>
      </c>
      <c r="P25" s="414">
        <f>VLOOKUP(C25,TONGHOPCONGDOI!$C$11:$AD$91,23,0)</f>
        <v>0</v>
      </c>
      <c r="Q25" s="414">
        <f>VLOOKUP(C25,TONGHOPCONGDOI!$C$11:$AD$91,24,0)</f>
        <v>0</v>
      </c>
      <c r="R25" s="414">
        <f>VLOOKUP(C25,TONGHOPCONGDOI!$C$11:$AD$91,25,0)</f>
        <v>0</v>
      </c>
      <c r="S25" s="414">
        <f t="shared" si="2"/>
        <v>20</v>
      </c>
      <c r="T25" s="415"/>
      <c r="U25" s="415"/>
      <c r="V25" s="415"/>
      <c r="W25" s="1029">
        <f t="shared" si="3"/>
        <v>1485907</v>
      </c>
      <c r="X25" s="414">
        <f t="shared" si="4"/>
        <v>5457890</v>
      </c>
      <c r="Y25" s="414"/>
      <c r="Z25" s="414">
        <f>VLOOKUP(C25,'CNKT '!C25:Z96,24,0)</f>
        <v>5457890</v>
      </c>
      <c r="AA25" s="1134">
        <f t="shared" si="5"/>
        <v>0</v>
      </c>
    </row>
    <row r="26" spans="1:27" s="1134" customFormat="1" ht="46.5" customHeight="1">
      <c r="A26" s="413">
        <v>11</v>
      </c>
      <c r="B26" s="413" t="str">
        <f>'Chấm công KT'!D23</f>
        <v>03465</v>
      </c>
      <c r="C26" s="414" t="str">
        <f>TONGHOPCONGDOI!C21</f>
        <v>T. In Păn</v>
      </c>
      <c r="D26" s="414"/>
      <c r="E26" s="415"/>
      <c r="F26" s="414">
        <f t="shared" si="0"/>
        <v>0</v>
      </c>
      <c r="G26" s="414">
        <f>VLOOKUP(C26,TONGHOPCONGDOI!C21:AE91,16,0)</f>
        <v>1057</v>
      </c>
      <c r="H26" s="414">
        <f>VLOOKUP(C26,TONGHOPCONGDOI!C21:AE91,17,0)</f>
        <v>0</v>
      </c>
      <c r="I26" s="414"/>
      <c r="J26" s="708">
        <f t="shared" si="6"/>
        <v>542.75138925474312</v>
      </c>
      <c r="K26" s="413" t="str">
        <f>VLOOKUP(C26,'BTH mủ tạp'!C27:AL96,36,0)</f>
        <v>A</v>
      </c>
      <c r="L26" s="1294">
        <f t="shared" si="1"/>
        <v>1997329</v>
      </c>
      <c r="M26" s="414">
        <f>VLOOKUP(C26,TONGHOPCONGDOI!$C$11:$AD$91,20,0)</f>
        <v>23</v>
      </c>
      <c r="N26" s="414">
        <f>VLOOKUP(C26,TONGHOPCONGDOI!$C$11:$AD$91,21,0)</f>
        <v>4</v>
      </c>
      <c r="O26" s="414">
        <f>VLOOKUP(C26,TONGHOPCONGDOI!$C$11:$AD$91,22,0)</f>
        <v>0</v>
      </c>
      <c r="P26" s="414">
        <f>VLOOKUP(C26,TONGHOPCONGDOI!$C$11:$AD$91,23,0)</f>
        <v>0</v>
      </c>
      <c r="Q26" s="414">
        <f>VLOOKUP(C26,TONGHOPCONGDOI!$C$11:$AD$91,24,0)</f>
        <v>0</v>
      </c>
      <c r="R26" s="414">
        <f>VLOOKUP(C26,TONGHOPCONGDOI!$C$11:$AD$91,25,0)</f>
        <v>0</v>
      </c>
      <c r="S26" s="414">
        <f t="shared" si="2"/>
        <v>20</v>
      </c>
      <c r="T26" s="415"/>
      <c r="U26" s="415"/>
      <c r="V26" s="415"/>
      <c r="W26" s="1029">
        <f t="shared" si="3"/>
        <v>1414072</v>
      </c>
      <c r="X26" s="414">
        <f t="shared" si="4"/>
        <v>3411401</v>
      </c>
      <c r="Y26" s="414"/>
      <c r="Z26" s="414">
        <f>VLOOKUP(C26,'CNKT '!C26:Z96,24,0)</f>
        <v>3411401</v>
      </c>
      <c r="AA26" s="1134">
        <f t="shared" si="5"/>
        <v>0</v>
      </c>
    </row>
    <row r="27" spans="1:27" s="1134" customFormat="1" ht="46.5" customHeight="1">
      <c r="A27" s="413">
        <v>12</v>
      </c>
      <c r="B27" s="413" t="str">
        <f>'Chấm công KT'!D24</f>
        <v>03466</v>
      </c>
      <c r="C27" s="414" t="str">
        <f>TONGHOPCONGDOI!C22</f>
        <v>N. Keo</v>
      </c>
      <c r="D27" s="414"/>
      <c r="E27" s="415"/>
      <c r="F27" s="414">
        <f t="shared" si="0"/>
        <v>0</v>
      </c>
      <c r="G27" s="414">
        <f>VLOOKUP(C27,TONGHOPCONGDOI!C22:AE91,16,0)</f>
        <v>2025</v>
      </c>
      <c r="H27" s="414">
        <f>VLOOKUP(C27,TONGHOPCONGDOI!C22:AE91,17,0)</f>
        <v>0</v>
      </c>
      <c r="I27" s="414"/>
      <c r="J27" s="708">
        <f t="shared" si="6"/>
        <v>1039.8028034445174</v>
      </c>
      <c r="K27" s="413" t="str">
        <f>VLOOKUP(C27,'BTH mủ tạp'!C28:AL96,36,0)</f>
        <v>B</v>
      </c>
      <c r="L27" s="1294">
        <f t="shared" si="1"/>
        <v>3638295</v>
      </c>
      <c r="M27" s="414">
        <f>VLOOKUP(C27,TONGHOPCONGDOI!$C$11:$AD$91,20,0)</f>
        <v>26</v>
      </c>
      <c r="N27" s="414">
        <f>VLOOKUP(C27,TONGHOPCONGDOI!$C$11:$AD$91,21,0)</f>
        <v>4</v>
      </c>
      <c r="O27" s="414">
        <f>VLOOKUP(C27,TONGHOPCONGDOI!$C$11:$AD$91,22,0)</f>
        <v>0</v>
      </c>
      <c r="P27" s="414">
        <f>VLOOKUP(C27,TONGHOPCONGDOI!$C$11:$AD$91,23,0)</f>
        <v>0</v>
      </c>
      <c r="Q27" s="414">
        <f>VLOOKUP(C27,TONGHOPCONGDOI!$C$11:$AD$91,24,0)</f>
        <v>0</v>
      </c>
      <c r="R27" s="414">
        <f>VLOOKUP(C27,TONGHOPCONGDOI!$C$11:$AD$91,25,0)</f>
        <v>0</v>
      </c>
      <c r="S27" s="414">
        <f t="shared" si="2"/>
        <v>20</v>
      </c>
      <c r="T27" s="415"/>
      <c r="U27" s="415"/>
      <c r="V27" s="415"/>
      <c r="W27" s="1029">
        <f t="shared" si="3"/>
        <v>1506488</v>
      </c>
      <c r="X27" s="414">
        <f t="shared" si="4"/>
        <v>5144783</v>
      </c>
      <c r="Y27" s="414"/>
      <c r="Z27" s="414">
        <f>VLOOKUP(C27,'CNKT '!C27:Z96,24,0)</f>
        <v>5144783</v>
      </c>
      <c r="AA27" s="1134">
        <f t="shared" si="5"/>
        <v>0</v>
      </c>
    </row>
    <row r="28" spans="1:27" s="1134" customFormat="1" ht="46.5" customHeight="1">
      <c r="A28" s="413">
        <v>13</v>
      </c>
      <c r="B28" s="413" t="str">
        <f>'Chấm công KT'!D25</f>
        <v>02727</v>
      </c>
      <c r="C28" s="414" t="str">
        <f>TONGHOPCONGDOI!C23</f>
        <v>T. Thong Đon</v>
      </c>
      <c r="D28" s="414"/>
      <c r="E28" s="415"/>
      <c r="F28" s="414">
        <f t="shared" si="0"/>
        <v>0</v>
      </c>
      <c r="G28" s="414">
        <f>VLOOKUP(C28,TONGHOPCONGDOI!C23:AE91,16,0)</f>
        <v>1825</v>
      </c>
      <c r="H28" s="414">
        <f>VLOOKUP(C28,TONGHOPCONGDOI!C23:AE91,17,0)</f>
        <v>0</v>
      </c>
      <c r="I28" s="414"/>
      <c r="J28" s="708">
        <f t="shared" si="6"/>
        <v>937.10623026481198</v>
      </c>
      <c r="K28" s="413" t="str">
        <f>VLOOKUP(C28,'BTH mủ tạp'!C29:AL96,36,0)</f>
        <v>B</v>
      </c>
      <c r="L28" s="1294">
        <f t="shared" si="1"/>
        <v>3278957</v>
      </c>
      <c r="M28" s="414">
        <f>VLOOKUP(C28,TONGHOPCONGDOI!$C$11:$AD$91,20,0)</f>
        <v>24</v>
      </c>
      <c r="N28" s="414">
        <f>VLOOKUP(C28,TONGHOPCONGDOI!$C$11:$AD$91,21,0)</f>
        <v>3</v>
      </c>
      <c r="O28" s="414">
        <f>VLOOKUP(C28,TONGHOPCONGDOI!$C$11:$AD$91,22,0)</f>
        <v>0</v>
      </c>
      <c r="P28" s="414">
        <f>VLOOKUP(C28,TONGHOPCONGDOI!$C$11:$AD$91,23,0)</f>
        <v>0</v>
      </c>
      <c r="Q28" s="414">
        <f>VLOOKUP(C28,TONGHOPCONGDOI!$C$11:$AD$91,24,0)</f>
        <v>0</v>
      </c>
      <c r="R28" s="414">
        <f>VLOOKUP(C28,TONGHOPCONGDOI!$C$11:$AD$91,25,0)</f>
        <v>0</v>
      </c>
      <c r="S28" s="414">
        <f t="shared" si="2"/>
        <v>20</v>
      </c>
      <c r="T28" s="415"/>
      <c r="U28" s="415"/>
      <c r="V28" s="415"/>
      <c r="W28" s="1029">
        <f t="shared" si="3"/>
        <v>1393490</v>
      </c>
      <c r="X28" s="414">
        <f t="shared" si="4"/>
        <v>4672447</v>
      </c>
      <c r="Y28" s="414"/>
      <c r="Z28" s="414">
        <f>VLOOKUP(C28,'CNKT '!C28:Z96,24,0)</f>
        <v>4672447</v>
      </c>
      <c r="AA28" s="1134">
        <f t="shared" si="5"/>
        <v>0</v>
      </c>
    </row>
    <row r="29" spans="1:27" s="1134" customFormat="1" ht="46.5" customHeight="1">
      <c r="A29" s="413">
        <v>14</v>
      </c>
      <c r="B29" s="413" t="str">
        <f>'Chấm công KT'!D26</f>
        <v>03467</v>
      </c>
      <c r="C29" s="414" t="str">
        <f>TONGHOPCONGDOI!C24</f>
        <v>T. Hin</v>
      </c>
      <c r="D29" s="414"/>
      <c r="E29" s="415"/>
      <c r="F29" s="414">
        <f t="shared" si="0"/>
        <v>0</v>
      </c>
      <c r="G29" s="414">
        <f>VLOOKUP(C29,TONGHOPCONGDOI!C24:AE91,16,0)</f>
        <v>1407</v>
      </c>
      <c r="H29" s="414">
        <f>VLOOKUP(C29,TONGHOPCONGDOI!C24:AE91,17,0)</f>
        <v>0</v>
      </c>
      <c r="I29" s="414"/>
      <c r="J29" s="708">
        <f t="shared" si="6"/>
        <v>722.47039231922759</v>
      </c>
      <c r="K29" s="413" t="str">
        <f>VLOOKUP(C29,'BTH mủ tạp'!C30:AL96,36,0)</f>
        <v>A</v>
      </c>
      <c r="L29" s="1294">
        <f t="shared" si="1"/>
        <v>2658697</v>
      </c>
      <c r="M29" s="414">
        <f>VLOOKUP(C29,TONGHOPCONGDOI!$C$11:$AD$91,20,0)</f>
        <v>27</v>
      </c>
      <c r="N29" s="414">
        <f>VLOOKUP(C29,TONGHOPCONGDOI!$C$11:$AD$91,21,0)</f>
        <v>4</v>
      </c>
      <c r="O29" s="414">
        <f>VLOOKUP(C29,TONGHOPCONGDOI!$C$11:$AD$91,22,0)</f>
        <v>0</v>
      </c>
      <c r="P29" s="414">
        <f>VLOOKUP(C29,TONGHOPCONGDOI!$C$11:$AD$91,23,0)</f>
        <v>0</v>
      </c>
      <c r="Q29" s="414">
        <f>VLOOKUP(C29,TONGHOPCONGDOI!$C$11:$AD$91,24,0)</f>
        <v>0</v>
      </c>
      <c r="R29" s="414">
        <f>VLOOKUP(C29,TONGHOPCONGDOI!$C$11:$AD$91,25,0)</f>
        <v>0</v>
      </c>
      <c r="S29" s="414">
        <f t="shared" si="2"/>
        <v>20</v>
      </c>
      <c r="T29" s="415"/>
      <c r="U29" s="415"/>
      <c r="V29" s="415"/>
      <c r="W29" s="1029">
        <f t="shared" si="3"/>
        <v>1537293</v>
      </c>
      <c r="X29" s="414">
        <f t="shared" si="4"/>
        <v>4195990</v>
      </c>
      <c r="Y29" s="414"/>
      <c r="Z29" s="414">
        <f>VLOOKUP(C29,'CNKT '!C29:Z96,24,0)</f>
        <v>4195990</v>
      </c>
      <c r="AA29" s="1134">
        <f t="shared" si="5"/>
        <v>0</v>
      </c>
    </row>
    <row r="30" spans="1:27" s="1134" customFormat="1" ht="46.5" customHeight="1">
      <c r="A30" s="413">
        <v>15</v>
      </c>
      <c r="B30" s="413"/>
      <c r="C30" s="414" t="str">
        <f>TONGHOPCONGDOI!C25</f>
        <v>N. Ly Phon</v>
      </c>
      <c r="D30" s="414"/>
      <c r="E30" s="415"/>
      <c r="F30" s="414">
        <f t="shared" si="0"/>
        <v>0</v>
      </c>
      <c r="G30" s="414">
        <f>VLOOKUP(C30,TONGHOPCONGDOI!C25:AE91,16,0)</f>
        <v>1562</v>
      </c>
      <c r="H30" s="414">
        <f>VLOOKUP(C30,TONGHOPCONGDOI!C25:AE91,17,0)</f>
        <v>0</v>
      </c>
      <c r="I30" s="414"/>
      <c r="J30" s="708">
        <f t="shared" si="6"/>
        <v>802.06023653349928</v>
      </c>
      <c r="K30" s="413" t="str">
        <f>VLOOKUP(C30,'BTH mủ tạp'!C31:AL96,36,0)</f>
        <v>A</v>
      </c>
      <c r="L30" s="1294">
        <f t="shared" si="1"/>
        <v>2951588</v>
      </c>
      <c r="M30" s="414">
        <f>VLOOKUP(C30,TONGHOPCONGDOI!$C$11:$AD$91,20,0)</f>
        <v>27</v>
      </c>
      <c r="N30" s="414">
        <f>VLOOKUP(C30,TONGHOPCONGDOI!$C$11:$AD$91,21,0)</f>
        <v>4</v>
      </c>
      <c r="O30" s="414">
        <f>VLOOKUP(C30,TONGHOPCONGDOI!$C$11:$AD$91,22,0)</f>
        <v>0</v>
      </c>
      <c r="P30" s="414">
        <f>VLOOKUP(C30,TONGHOPCONGDOI!$C$11:$AD$91,23,0)</f>
        <v>0</v>
      </c>
      <c r="Q30" s="414">
        <f>VLOOKUP(C30,TONGHOPCONGDOI!$C$11:$AD$91,24,0)</f>
        <v>0</v>
      </c>
      <c r="R30" s="414">
        <f>VLOOKUP(C30,TONGHOPCONGDOI!$C$11:$AD$91,25,0)</f>
        <v>0</v>
      </c>
      <c r="S30" s="414">
        <f t="shared" si="2"/>
        <v>20</v>
      </c>
      <c r="T30" s="415"/>
      <c r="U30" s="415"/>
      <c r="V30" s="415"/>
      <c r="W30" s="1029">
        <f t="shared" si="3"/>
        <v>1537293</v>
      </c>
      <c r="X30" s="414">
        <f t="shared" si="4"/>
        <v>4488881</v>
      </c>
      <c r="Y30" s="414"/>
      <c r="Z30" s="414">
        <f>VLOOKUP(C30,'CNKT '!C30:Z96,24,0)</f>
        <v>4488881</v>
      </c>
      <c r="AA30" s="1134">
        <f t="shared" si="5"/>
        <v>0</v>
      </c>
    </row>
    <row r="31" spans="1:27" s="1134" customFormat="1" ht="46.5" customHeight="1">
      <c r="A31" s="413">
        <v>16</v>
      </c>
      <c r="B31" s="413" t="str">
        <f>'Chấm công KT'!D28</f>
        <v>03469</v>
      </c>
      <c r="C31" s="414" t="str">
        <f>TONGHOPCONGDOI!C26</f>
        <v>T. Xôm Va Nít</v>
      </c>
      <c r="D31" s="414"/>
      <c r="E31" s="415"/>
      <c r="F31" s="414">
        <f t="shared" si="0"/>
        <v>0</v>
      </c>
      <c r="G31" s="414">
        <f>VLOOKUP(C31,TONGHOPCONGDOI!C26:AE91,16,0)</f>
        <v>1985</v>
      </c>
      <c r="H31" s="414">
        <f>VLOOKUP(C31,TONGHOPCONGDOI!C26:AE91,17,0)</f>
        <v>0</v>
      </c>
      <c r="I31" s="414"/>
      <c r="J31" s="708">
        <f t="shared" si="6"/>
        <v>1019.2634888085763</v>
      </c>
      <c r="K31" s="413" t="str">
        <f>VLOOKUP(C31,'BTH mủ tạp'!C32:AL96,36,0)</f>
        <v>A</v>
      </c>
      <c r="L31" s="1294">
        <f t="shared" si="1"/>
        <v>3750898</v>
      </c>
      <c r="M31" s="414">
        <f>VLOOKUP(C31,TONGHOPCONGDOI!$C$11:$AD$91,20,0)</f>
        <v>26</v>
      </c>
      <c r="N31" s="414">
        <f>VLOOKUP(C31,TONGHOPCONGDOI!$C$11:$AD$91,21,0)</f>
        <v>4</v>
      </c>
      <c r="O31" s="414">
        <f>VLOOKUP(C31,TONGHOPCONGDOI!$C$11:$AD$91,22,0)</f>
        <v>0</v>
      </c>
      <c r="P31" s="414">
        <f>VLOOKUP(C31,TONGHOPCONGDOI!$C$11:$AD$91,23,0)</f>
        <v>0</v>
      </c>
      <c r="Q31" s="414">
        <f>VLOOKUP(C31,TONGHOPCONGDOI!$C$11:$AD$91,24,0)</f>
        <v>0</v>
      </c>
      <c r="R31" s="414">
        <f>VLOOKUP(C31,TONGHOPCONGDOI!$C$11:$AD$91,25,0)</f>
        <v>0</v>
      </c>
      <c r="S31" s="414">
        <f t="shared" si="2"/>
        <v>20</v>
      </c>
      <c r="T31" s="415"/>
      <c r="U31" s="415"/>
      <c r="V31" s="415"/>
      <c r="W31" s="1029">
        <f t="shared" si="3"/>
        <v>1506488</v>
      </c>
      <c r="X31" s="414">
        <f t="shared" si="4"/>
        <v>5257386</v>
      </c>
      <c r="Y31" s="414"/>
      <c r="Z31" s="414">
        <f>VLOOKUP(C31,'CNKT '!C31:Z96,24,0)</f>
        <v>5257386</v>
      </c>
      <c r="AA31" s="1134">
        <f t="shared" si="5"/>
        <v>0</v>
      </c>
    </row>
    <row r="32" spans="1:27" s="1134" customFormat="1" ht="46.5" customHeight="1">
      <c r="A32" s="413">
        <v>17</v>
      </c>
      <c r="B32" s="413" t="str">
        <f>'Chấm công KT'!D29</f>
        <v>03470</v>
      </c>
      <c r="C32" s="414" t="str">
        <f>TONGHOPCONGDOI!C27</f>
        <v>T. Lọi</v>
      </c>
      <c r="D32" s="414"/>
      <c r="E32" s="415"/>
      <c r="F32" s="414">
        <f t="shared" si="0"/>
        <v>0</v>
      </c>
      <c r="G32" s="414">
        <f>VLOOKUP(C32,TONGHOPCONGDOI!C27:AE91,16,0)</f>
        <v>673</v>
      </c>
      <c r="H32" s="414">
        <f>VLOOKUP(C32,TONGHOPCONGDOI!C27:AE91,17,0)</f>
        <v>0</v>
      </c>
      <c r="I32" s="414"/>
      <c r="J32" s="708">
        <f t="shared" si="6"/>
        <v>345.57396874970874</v>
      </c>
      <c r="K32" s="413" t="str">
        <f>VLOOKUP(C32,'BTH mủ tạp'!C33:AL96,36,0)</f>
        <v>A</v>
      </c>
      <c r="L32" s="1294">
        <f t="shared" si="1"/>
        <v>1271715</v>
      </c>
      <c r="M32" s="414">
        <f>VLOOKUP(C32,TONGHOPCONGDOI!$C$11:$AD$91,20,0)</f>
        <v>20</v>
      </c>
      <c r="N32" s="414">
        <f>VLOOKUP(C32,TONGHOPCONGDOI!$C$11:$AD$91,21,0)</f>
        <v>3</v>
      </c>
      <c r="O32" s="414">
        <f>VLOOKUP(C32,TONGHOPCONGDOI!$C$11:$AD$91,22,0)</f>
        <v>0</v>
      </c>
      <c r="P32" s="414">
        <f>VLOOKUP(C32,TONGHOPCONGDOI!$C$11:$AD$91,23,0)</f>
        <v>0</v>
      </c>
      <c r="Q32" s="414">
        <f>VLOOKUP(C32,TONGHOPCONGDOI!$C$11:$AD$91,24,0)</f>
        <v>0</v>
      </c>
      <c r="R32" s="414">
        <f>VLOOKUP(C32,TONGHOPCONGDOI!$C$11:$AD$91,25,0)</f>
        <v>0</v>
      </c>
      <c r="S32" s="414">
        <f t="shared" si="2"/>
        <v>20</v>
      </c>
      <c r="T32" s="415"/>
      <c r="U32" s="415"/>
      <c r="V32" s="415"/>
      <c r="W32" s="1029">
        <f t="shared" si="3"/>
        <v>1270269</v>
      </c>
      <c r="X32" s="414">
        <f t="shared" si="4"/>
        <v>2541984</v>
      </c>
      <c r="Y32" s="414"/>
      <c r="Z32" s="414">
        <f>VLOOKUP(C32,'CNKT '!C32:Z96,24,0)</f>
        <v>2541984</v>
      </c>
      <c r="AA32" s="1134">
        <f t="shared" si="5"/>
        <v>0</v>
      </c>
    </row>
    <row r="33" spans="1:27" s="1134" customFormat="1" ht="46.5" customHeight="1">
      <c r="A33" s="413">
        <v>18</v>
      </c>
      <c r="B33" s="413" t="str">
        <f>'Chấm công KT'!D30</f>
        <v>03471</v>
      </c>
      <c r="C33" s="414" t="str">
        <f>TONGHOPCONGDOI!C28</f>
        <v>T. Phô Thong</v>
      </c>
      <c r="D33" s="414"/>
      <c r="E33" s="415"/>
      <c r="F33" s="414">
        <f t="shared" si="0"/>
        <v>0</v>
      </c>
      <c r="G33" s="414">
        <f>VLOOKUP(C33,TONGHOPCONGDOI!C28:AE91,16,0)</f>
        <v>1929</v>
      </c>
      <c r="H33" s="414">
        <f>VLOOKUP(C33,TONGHOPCONGDOI!C28:AE91,17,0)</f>
        <v>0</v>
      </c>
      <c r="I33" s="414"/>
      <c r="J33" s="708">
        <f t="shared" si="6"/>
        <v>990.50844831825873</v>
      </c>
      <c r="K33" s="413" t="str">
        <f>VLOOKUP(C33,'BTH mủ tạp'!C34:AL96,36,0)</f>
        <v>A</v>
      </c>
      <c r="L33" s="1294">
        <f t="shared" si="1"/>
        <v>3645079</v>
      </c>
      <c r="M33" s="414">
        <f>VLOOKUP(C33,TONGHOPCONGDOI!$C$11:$AD$91,20,0)</f>
        <v>27</v>
      </c>
      <c r="N33" s="414">
        <f>VLOOKUP(C33,TONGHOPCONGDOI!$C$11:$AD$91,21,0)</f>
        <v>4</v>
      </c>
      <c r="O33" s="414">
        <f>VLOOKUP(C33,TONGHOPCONGDOI!$C$11:$AD$91,22,0)</f>
        <v>0</v>
      </c>
      <c r="P33" s="414">
        <f>VLOOKUP(C33,TONGHOPCONGDOI!$C$11:$AD$91,23,0)</f>
        <v>0</v>
      </c>
      <c r="Q33" s="414">
        <f>VLOOKUP(C33,TONGHOPCONGDOI!$C$11:$AD$91,24,0)</f>
        <v>0</v>
      </c>
      <c r="R33" s="414">
        <f>VLOOKUP(C33,TONGHOPCONGDOI!$C$11:$AD$91,25,0)</f>
        <v>0</v>
      </c>
      <c r="S33" s="414">
        <f t="shared" si="2"/>
        <v>20</v>
      </c>
      <c r="T33" s="415"/>
      <c r="U33" s="415"/>
      <c r="V33" s="415"/>
      <c r="W33" s="1029">
        <f t="shared" si="3"/>
        <v>1537293</v>
      </c>
      <c r="X33" s="414">
        <f t="shared" si="4"/>
        <v>5182372</v>
      </c>
      <c r="Y33" s="414"/>
      <c r="Z33" s="414">
        <f>VLOOKUP(C33,'CNKT '!C33:Z96,24,0)</f>
        <v>5182372</v>
      </c>
      <c r="AA33" s="1134">
        <f t="shared" si="5"/>
        <v>0</v>
      </c>
    </row>
    <row r="34" spans="1:27" s="1134" customFormat="1" ht="46.5" customHeight="1">
      <c r="A34" s="413">
        <v>19</v>
      </c>
      <c r="B34" s="413" t="str">
        <f>'Chấm công KT'!D31</f>
        <v>03472</v>
      </c>
      <c r="C34" s="414" t="str">
        <f>TONGHOPCONGDOI!C29</f>
        <v>N. Soi</v>
      </c>
      <c r="D34" s="414"/>
      <c r="E34" s="415"/>
      <c r="F34" s="414">
        <f t="shared" si="0"/>
        <v>0</v>
      </c>
      <c r="G34" s="414">
        <f>VLOOKUP(C34,TONGHOPCONGDOI!C29:AE91,16,0)</f>
        <v>1261</v>
      </c>
      <c r="H34" s="414">
        <f>VLOOKUP(C34,TONGHOPCONGDOI!C29:AE91,17,0)</f>
        <v>0</v>
      </c>
      <c r="I34" s="414"/>
      <c r="J34" s="708">
        <f t="shared" si="6"/>
        <v>647.50189389804268</v>
      </c>
      <c r="K34" s="413" t="str">
        <f>VLOOKUP(C34,'BTH mủ tạp'!C35:AL96,36,0)</f>
        <v>A</v>
      </c>
      <c r="L34" s="1294">
        <f t="shared" si="1"/>
        <v>2382812</v>
      </c>
      <c r="M34" s="414">
        <f>VLOOKUP(C34,TONGHOPCONGDOI!$C$11:$AD$91,20,0)</f>
        <v>27</v>
      </c>
      <c r="N34" s="414">
        <f>VLOOKUP(C34,TONGHOPCONGDOI!$C$11:$AD$91,21,0)</f>
        <v>3</v>
      </c>
      <c r="O34" s="414">
        <f>VLOOKUP(C34,TONGHOPCONGDOI!$C$11:$AD$91,22,0)</f>
        <v>0</v>
      </c>
      <c r="P34" s="414">
        <f>VLOOKUP(C34,TONGHOPCONGDOI!$C$11:$AD$91,23,0)</f>
        <v>0</v>
      </c>
      <c r="Q34" s="414">
        <f>VLOOKUP(C34,TONGHOPCONGDOI!$C$11:$AD$91,24,0)</f>
        <v>0</v>
      </c>
      <c r="R34" s="414">
        <f>VLOOKUP(C34,TONGHOPCONGDOI!$C$11:$AD$91,25,0)</f>
        <v>0</v>
      </c>
      <c r="S34" s="414">
        <f t="shared" si="2"/>
        <v>20</v>
      </c>
      <c r="T34" s="415"/>
      <c r="U34" s="415"/>
      <c r="V34" s="415"/>
      <c r="W34" s="1029">
        <f t="shared" si="3"/>
        <v>1485907</v>
      </c>
      <c r="X34" s="414">
        <f t="shared" si="4"/>
        <v>3868719</v>
      </c>
      <c r="Y34" s="414"/>
      <c r="Z34" s="414">
        <f>VLOOKUP(C34,'CNKT '!C34:Z96,24,0)</f>
        <v>3868719</v>
      </c>
      <c r="AA34" s="1134">
        <f t="shared" si="5"/>
        <v>0</v>
      </c>
    </row>
    <row r="35" spans="1:27" s="1134" customFormat="1" ht="46.5" customHeight="1">
      <c r="A35" s="413">
        <v>20</v>
      </c>
      <c r="B35" s="413" t="str">
        <f>'Chấm công KT'!D32</f>
        <v>03473</v>
      </c>
      <c r="C35" s="414" t="str">
        <f>TONGHOPCONGDOI!C30</f>
        <v>N. Me Kha La</v>
      </c>
      <c r="D35" s="414"/>
      <c r="E35" s="415"/>
      <c r="F35" s="414">
        <f t="shared" si="0"/>
        <v>0</v>
      </c>
      <c r="G35" s="414">
        <f>VLOOKUP(C35,TONGHOPCONGDOI!C30:AE91,16,0)</f>
        <v>2186</v>
      </c>
      <c r="H35" s="414">
        <f>VLOOKUP(C35,TONGHOPCONGDOI!C30:AE91,17,0)</f>
        <v>0</v>
      </c>
      <c r="I35" s="414"/>
      <c r="J35" s="708">
        <f t="shared" si="6"/>
        <v>1122.4735448541803</v>
      </c>
      <c r="K35" s="413" t="str">
        <f>VLOOKUP(C35,'BTH mủ tạp'!C36:AL96,36,0)</f>
        <v>A</v>
      </c>
      <c r="L35" s="1294">
        <f t="shared" si="1"/>
        <v>4130712</v>
      </c>
      <c r="M35" s="414">
        <f>VLOOKUP(C35,TONGHOPCONGDOI!$C$11:$AD$91,20,0)</f>
        <v>26</v>
      </c>
      <c r="N35" s="414">
        <f>VLOOKUP(C35,TONGHOPCONGDOI!$C$11:$AD$91,21,0)</f>
        <v>4</v>
      </c>
      <c r="O35" s="414">
        <f>VLOOKUP(C35,TONGHOPCONGDOI!$C$11:$AD$91,22,0)</f>
        <v>0</v>
      </c>
      <c r="P35" s="414">
        <f>VLOOKUP(C35,TONGHOPCONGDOI!$C$11:$AD$91,23,0)</f>
        <v>0</v>
      </c>
      <c r="Q35" s="414">
        <f>VLOOKUP(C35,TONGHOPCONGDOI!$C$11:$AD$91,24,0)</f>
        <v>0</v>
      </c>
      <c r="R35" s="414">
        <f>VLOOKUP(C35,TONGHOPCONGDOI!$C$11:$AD$91,25,0)</f>
        <v>0</v>
      </c>
      <c r="S35" s="414">
        <f t="shared" si="2"/>
        <v>20</v>
      </c>
      <c r="T35" s="415"/>
      <c r="U35" s="415"/>
      <c r="V35" s="415"/>
      <c r="W35" s="1029">
        <f t="shared" si="3"/>
        <v>1506488</v>
      </c>
      <c r="X35" s="414">
        <f t="shared" si="4"/>
        <v>5637200</v>
      </c>
      <c r="Y35" s="414"/>
      <c r="Z35" s="414">
        <f>VLOOKUP(C35,'CNKT '!C35:Z96,24,0)</f>
        <v>5637200</v>
      </c>
      <c r="AA35" s="1134">
        <f t="shared" si="5"/>
        <v>0</v>
      </c>
    </row>
    <row r="36" spans="1:27" s="1134" customFormat="1" ht="46.5" customHeight="1">
      <c r="A36" s="413">
        <v>21</v>
      </c>
      <c r="B36" s="413" t="str">
        <f>'Chấm công KT'!D33</f>
        <v>03474</v>
      </c>
      <c r="C36" s="414" t="str">
        <f>TONGHOPCONGDOI!C31</f>
        <v>N. Mon Khăm</v>
      </c>
      <c r="D36" s="414"/>
      <c r="E36" s="415"/>
      <c r="F36" s="414">
        <f t="shared" si="0"/>
        <v>0</v>
      </c>
      <c r="G36" s="414">
        <f>VLOOKUP(C36,TONGHOPCONGDOI!C31:AE91,16,0)</f>
        <v>1011</v>
      </c>
      <c r="H36" s="414">
        <f>VLOOKUP(C36,TONGHOPCONGDOI!C31:AE91,17,0)</f>
        <v>0</v>
      </c>
      <c r="I36" s="414"/>
      <c r="J36" s="708">
        <f t="shared" si="6"/>
        <v>519.13117742341092</v>
      </c>
      <c r="K36" s="413" t="str">
        <f>VLOOKUP(C36,'BTH mủ tạp'!C37:AL96,36,0)</f>
        <v>A</v>
      </c>
      <c r="L36" s="1294">
        <f t="shared" si="1"/>
        <v>1910407</v>
      </c>
      <c r="M36" s="414">
        <f>VLOOKUP(C36,TONGHOPCONGDOI!$C$11:$AD$91,20,0)</f>
        <v>24</v>
      </c>
      <c r="N36" s="414">
        <f>VLOOKUP(C36,TONGHOPCONGDOI!$C$11:$AD$91,21,0)</f>
        <v>4</v>
      </c>
      <c r="O36" s="414">
        <f>VLOOKUP(C36,TONGHOPCONGDOI!$C$11:$AD$91,22,0)</f>
        <v>0</v>
      </c>
      <c r="P36" s="414">
        <f>VLOOKUP(C36,TONGHOPCONGDOI!$C$11:$AD$91,23,0)</f>
        <v>0</v>
      </c>
      <c r="Q36" s="414">
        <f>VLOOKUP(C36,TONGHOPCONGDOI!$C$11:$AD$91,24,0)</f>
        <v>0</v>
      </c>
      <c r="R36" s="414">
        <f>VLOOKUP(C36,TONGHOPCONGDOI!$C$11:$AD$91,25,0)</f>
        <v>0</v>
      </c>
      <c r="S36" s="414">
        <f t="shared" si="2"/>
        <v>20</v>
      </c>
      <c r="T36" s="415"/>
      <c r="U36" s="415"/>
      <c r="V36" s="415"/>
      <c r="W36" s="1029">
        <f t="shared" si="3"/>
        <v>1444877</v>
      </c>
      <c r="X36" s="414">
        <f t="shared" si="4"/>
        <v>3355284</v>
      </c>
      <c r="Y36" s="414"/>
      <c r="Z36" s="414">
        <f>VLOOKUP(C36,'CNKT '!C36:Z96,24,0)</f>
        <v>3355284</v>
      </c>
      <c r="AA36" s="1134">
        <f t="shared" si="5"/>
        <v>0</v>
      </c>
    </row>
    <row r="37" spans="1:27" s="1134" customFormat="1" ht="46.5" customHeight="1">
      <c r="A37" s="413">
        <v>22</v>
      </c>
      <c r="B37" s="413"/>
      <c r="C37" s="414" t="str">
        <f>TONGHOPCONGDOI!C32</f>
        <v>N. Bua Lay</v>
      </c>
      <c r="D37" s="414"/>
      <c r="E37" s="415"/>
      <c r="F37" s="414">
        <f t="shared" si="0"/>
        <v>0</v>
      </c>
      <c r="G37" s="414">
        <f>VLOOKUP(C37,TONGHOPCONGDOI!C32:AE91,16,0)</f>
        <v>1305</v>
      </c>
      <c r="H37" s="414">
        <f>VLOOKUP(C37,TONGHOPCONGDOI!C32:AE91,17,0)</f>
        <v>0</v>
      </c>
      <c r="I37" s="414"/>
      <c r="J37" s="708">
        <f t="shared" si="6"/>
        <v>670.09513999757792</v>
      </c>
      <c r="K37" s="413" t="str">
        <f>VLOOKUP(C37,'BTH mủ tạp'!C38:AL96,36,0)</f>
        <v>B</v>
      </c>
      <c r="L37" s="1294">
        <f t="shared" si="1"/>
        <v>2344679</v>
      </c>
      <c r="M37" s="414">
        <f>VLOOKUP(C37,TONGHOPCONGDOI!$C$11:$AD$91,20,0)</f>
        <v>23</v>
      </c>
      <c r="N37" s="414">
        <f>VLOOKUP(C37,TONGHOPCONGDOI!$C$11:$AD$91,21,0)</f>
        <v>4</v>
      </c>
      <c r="O37" s="414">
        <f>VLOOKUP(C37,TONGHOPCONGDOI!$C$11:$AD$91,22,0)</f>
        <v>0</v>
      </c>
      <c r="P37" s="414">
        <f>VLOOKUP(C37,TONGHOPCONGDOI!$C$11:$AD$91,23,0)</f>
        <v>0</v>
      </c>
      <c r="Q37" s="414">
        <f>VLOOKUP(C37,TONGHOPCONGDOI!$C$11:$AD$91,24,0)</f>
        <v>0</v>
      </c>
      <c r="R37" s="414">
        <f>VLOOKUP(C37,TONGHOPCONGDOI!$C$11:$AD$91,25,0)</f>
        <v>0</v>
      </c>
      <c r="S37" s="414"/>
      <c r="T37" s="415"/>
      <c r="U37" s="415"/>
      <c r="V37" s="415"/>
      <c r="W37" s="1029">
        <f t="shared" si="3"/>
        <v>914072</v>
      </c>
      <c r="X37" s="414">
        <f t="shared" si="4"/>
        <v>3258751</v>
      </c>
      <c r="Y37" s="414"/>
      <c r="Z37" s="414">
        <f>VLOOKUP(C37,'CNKT '!C37:Z96,24,0)</f>
        <v>3258751</v>
      </c>
      <c r="AA37" s="1134">
        <f t="shared" si="5"/>
        <v>0</v>
      </c>
    </row>
    <row r="38" spans="1:27" s="1134" customFormat="1" ht="46.5" customHeight="1">
      <c r="A38" s="413">
        <v>23</v>
      </c>
      <c r="B38" s="413" t="str">
        <f>'Chấm công KT'!D35</f>
        <v>03476</v>
      </c>
      <c r="C38" s="414" t="str">
        <f>TONGHOPCONGDOI!C33</f>
        <v>T. Bin Ly.</v>
      </c>
      <c r="D38" s="414"/>
      <c r="E38" s="415"/>
      <c r="F38" s="414">
        <f t="shared" si="0"/>
        <v>0</v>
      </c>
      <c r="G38" s="414">
        <f>VLOOKUP(C38,TONGHOPCONGDOI!C33:AE91,16,0)</f>
        <v>1795</v>
      </c>
      <c r="H38" s="414">
        <f>VLOOKUP(C38,TONGHOPCONGDOI!C33:AE91,17,0)</f>
        <v>0</v>
      </c>
      <c r="I38" s="414"/>
      <c r="J38" s="708">
        <f t="shared" si="6"/>
        <v>921.70174428785617</v>
      </c>
      <c r="K38" s="413" t="str">
        <f>VLOOKUP(C38,'BTH mủ tạp'!C39:AL96,36,0)</f>
        <v>A</v>
      </c>
      <c r="L38" s="1294">
        <f t="shared" si="1"/>
        <v>3391870</v>
      </c>
      <c r="M38" s="414">
        <f>VLOOKUP(C38,TONGHOPCONGDOI!$C$11:$AD$91,20,0)</f>
        <v>27</v>
      </c>
      <c r="N38" s="414">
        <f>VLOOKUP(C38,TONGHOPCONGDOI!$C$11:$AD$91,21,0)</f>
        <v>4</v>
      </c>
      <c r="O38" s="414">
        <f>VLOOKUP(C38,TONGHOPCONGDOI!$C$11:$AD$91,22,0)</f>
        <v>0</v>
      </c>
      <c r="P38" s="414">
        <f>VLOOKUP(C38,TONGHOPCONGDOI!$C$11:$AD$91,23,0)</f>
        <v>0</v>
      </c>
      <c r="Q38" s="414">
        <f>VLOOKUP(C38,TONGHOPCONGDOI!$C$11:$AD$91,24,0)</f>
        <v>0</v>
      </c>
      <c r="R38" s="414">
        <f>VLOOKUP(C38,TONGHOPCONGDOI!$C$11:$AD$91,25,0)</f>
        <v>0</v>
      </c>
      <c r="S38" s="414">
        <f t="shared" si="2"/>
        <v>20</v>
      </c>
      <c r="T38" s="415"/>
      <c r="U38" s="415"/>
      <c r="V38" s="415"/>
      <c r="W38" s="1029">
        <f t="shared" si="3"/>
        <v>1537293</v>
      </c>
      <c r="X38" s="414">
        <f t="shared" si="4"/>
        <v>4929163</v>
      </c>
      <c r="Y38" s="414"/>
      <c r="Z38" s="414">
        <f>VLOOKUP(C38,'CNKT '!C38:Z96,24,0)</f>
        <v>4929163</v>
      </c>
      <c r="AA38" s="1134">
        <f t="shared" si="5"/>
        <v>0</v>
      </c>
    </row>
    <row r="39" spans="1:27" s="1134" customFormat="1" ht="46.5" customHeight="1">
      <c r="A39" s="413">
        <v>24</v>
      </c>
      <c r="B39" s="413" t="str">
        <f>'Chấm công KT'!D36</f>
        <v>03477</v>
      </c>
      <c r="C39" s="414" t="str">
        <f>TONGHOPCONGDOI!C34</f>
        <v>N. Phim Phon.</v>
      </c>
      <c r="D39" s="414"/>
      <c r="E39" s="415"/>
      <c r="F39" s="414">
        <f t="shared" si="0"/>
        <v>0</v>
      </c>
      <c r="G39" s="414">
        <f>VLOOKUP(C39,TONGHOPCONGDOI!C34:AE91,16,0)</f>
        <v>1083</v>
      </c>
      <c r="H39" s="414">
        <f>VLOOKUP(C39,TONGHOPCONGDOI!C34:AE91,17,0)</f>
        <v>0</v>
      </c>
      <c r="I39" s="414"/>
      <c r="J39" s="708">
        <f t="shared" si="6"/>
        <v>556.10194376810489</v>
      </c>
      <c r="K39" s="413" t="str">
        <f>VLOOKUP(C39,'BTH mủ tạp'!C40:AL96,36,0)</f>
        <v>B</v>
      </c>
      <c r="L39" s="1294">
        <f t="shared" si="1"/>
        <v>1945814</v>
      </c>
      <c r="M39" s="414">
        <f>VLOOKUP(C39,TONGHOPCONGDOI!$C$11:$AD$91,20,0)</f>
        <v>23</v>
      </c>
      <c r="N39" s="414">
        <f>VLOOKUP(C39,TONGHOPCONGDOI!$C$11:$AD$91,21,0)</f>
        <v>3</v>
      </c>
      <c r="O39" s="414">
        <f>VLOOKUP(C39,TONGHOPCONGDOI!$C$11:$AD$91,22,0)</f>
        <v>0</v>
      </c>
      <c r="P39" s="414">
        <f>VLOOKUP(C39,TONGHOPCONGDOI!$C$11:$AD$91,23,0)</f>
        <v>0</v>
      </c>
      <c r="Q39" s="414">
        <f>VLOOKUP(C39,TONGHOPCONGDOI!$C$11:$AD$91,24,0)</f>
        <v>0</v>
      </c>
      <c r="R39" s="414">
        <f>VLOOKUP(C39,TONGHOPCONGDOI!$C$11:$AD$91,25,0)</f>
        <v>0</v>
      </c>
      <c r="S39" s="414">
        <f t="shared" si="2"/>
        <v>20</v>
      </c>
      <c r="T39" s="415"/>
      <c r="U39" s="415"/>
      <c r="V39" s="415"/>
      <c r="W39" s="1029">
        <f t="shared" si="3"/>
        <v>1362685</v>
      </c>
      <c r="X39" s="414">
        <f t="shared" si="4"/>
        <v>3308499</v>
      </c>
      <c r="Y39" s="414"/>
      <c r="Z39" s="414">
        <f>VLOOKUP(C39,'CNKT '!C39:Z96,24,0)</f>
        <v>3308499</v>
      </c>
      <c r="AA39" s="1134">
        <f t="shared" si="5"/>
        <v>0</v>
      </c>
    </row>
    <row r="40" spans="1:27" s="1134" customFormat="1" ht="46.5" customHeight="1">
      <c r="A40" s="413">
        <v>25</v>
      </c>
      <c r="B40" s="413" t="str">
        <f>'Chấm công KT'!D37</f>
        <v>03478</v>
      </c>
      <c r="C40" s="414" t="str">
        <f>TONGHOPCONGDOI!C35</f>
        <v>N. Nong</v>
      </c>
      <c r="D40" s="414"/>
      <c r="E40" s="415"/>
      <c r="F40" s="414">
        <f t="shared" si="0"/>
        <v>0</v>
      </c>
      <c r="G40" s="414">
        <f>VLOOKUP(C40,TONGHOPCONGDOI!C35:AE91,16,0)</f>
        <v>1798</v>
      </c>
      <c r="H40" s="414">
        <f>VLOOKUP(C40,TONGHOPCONGDOI!C35:AE91,17,0)</f>
        <v>0</v>
      </c>
      <c r="I40" s="414"/>
      <c r="J40" s="708">
        <f t="shared" si="6"/>
        <v>923.24219288555173</v>
      </c>
      <c r="K40" s="413" t="str">
        <f>VLOOKUP(C40,'BTH mủ tạp'!C41:AL96,36,0)</f>
        <v>A</v>
      </c>
      <c r="L40" s="1294">
        <f t="shared" si="1"/>
        <v>3397539</v>
      </c>
      <c r="M40" s="414">
        <f>VLOOKUP(C40,TONGHOPCONGDOI!$C$11:$AD$91,20,0)</f>
        <v>27</v>
      </c>
      <c r="N40" s="414">
        <f>VLOOKUP(C40,TONGHOPCONGDOI!$C$11:$AD$91,21,0)</f>
        <v>3</v>
      </c>
      <c r="O40" s="414">
        <f>VLOOKUP(C40,TONGHOPCONGDOI!$C$11:$AD$91,22,0)</f>
        <v>0</v>
      </c>
      <c r="P40" s="414">
        <f>VLOOKUP(C40,TONGHOPCONGDOI!$C$11:$AD$91,23,0)</f>
        <v>0</v>
      </c>
      <c r="Q40" s="414">
        <f>VLOOKUP(C40,TONGHOPCONGDOI!$C$11:$AD$91,24,0)</f>
        <v>0</v>
      </c>
      <c r="R40" s="414">
        <f>VLOOKUP(C40,TONGHOPCONGDOI!$C$11:$AD$91,25,0)</f>
        <v>0</v>
      </c>
      <c r="S40" s="414">
        <f t="shared" si="2"/>
        <v>20</v>
      </c>
      <c r="T40" s="415"/>
      <c r="U40" s="415"/>
      <c r="V40" s="415"/>
      <c r="W40" s="1029">
        <f t="shared" si="3"/>
        <v>1485907</v>
      </c>
      <c r="X40" s="414">
        <f t="shared" si="4"/>
        <v>4883446</v>
      </c>
      <c r="Y40" s="414"/>
      <c r="Z40" s="414">
        <f>VLOOKUP(C40,'CNKT '!C40:Z96,24,0)</f>
        <v>4883446</v>
      </c>
      <c r="AA40" s="1134">
        <f t="shared" si="5"/>
        <v>0</v>
      </c>
    </row>
    <row r="41" spans="1:27" s="1134" customFormat="1" ht="46.5" customHeight="1">
      <c r="A41" s="413">
        <v>26</v>
      </c>
      <c r="B41" s="413" t="str">
        <f>'Chấm công KT'!D38</f>
        <v>03479</v>
      </c>
      <c r="C41" s="414" t="str">
        <f>TONGHOPCONGDOI!C36</f>
        <v>N. Tun 1</v>
      </c>
      <c r="D41" s="414"/>
      <c r="E41" s="415"/>
      <c r="F41" s="414">
        <f t="shared" si="0"/>
        <v>0</v>
      </c>
      <c r="G41" s="414">
        <f>VLOOKUP(C41,TONGHOPCONGDOI!C36:AE91,16,0)</f>
        <v>1356</v>
      </c>
      <c r="H41" s="414">
        <f>VLOOKUP(C41,TONGHOPCONGDOI!C36:AE91,17,0)</f>
        <v>0</v>
      </c>
      <c r="I41" s="414"/>
      <c r="J41" s="708">
        <f t="shared" si="6"/>
        <v>696.28276615840275</v>
      </c>
      <c r="K41" s="413" t="str">
        <f>VLOOKUP(C41,'BTH mủ tạp'!C42:AL96,36,0)</f>
        <v>A</v>
      </c>
      <c r="L41" s="1294">
        <f t="shared" si="1"/>
        <v>2562326</v>
      </c>
      <c r="M41" s="414">
        <f>VLOOKUP(C41,TONGHOPCONGDOI!$C$11:$AD$91,20,0)</f>
        <v>26</v>
      </c>
      <c r="N41" s="414">
        <f>VLOOKUP(C41,TONGHOPCONGDOI!$C$11:$AD$91,21,0)</f>
        <v>4</v>
      </c>
      <c r="O41" s="414">
        <f>VLOOKUP(C41,TONGHOPCONGDOI!$C$11:$AD$91,22,0)</f>
        <v>0</v>
      </c>
      <c r="P41" s="414">
        <f>VLOOKUP(C41,TONGHOPCONGDOI!$C$11:$AD$91,23,0)</f>
        <v>0</v>
      </c>
      <c r="Q41" s="414">
        <f>VLOOKUP(C41,TONGHOPCONGDOI!$C$11:$AD$91,24,0)</f>
        <v>0</v>
      </c>
      <c r="R41" s="414">
        <f>VLOOKUP(C41,TONGHOPCONGDOI!$C$11:$AD$91,25,0)</f>
        <v>0</v>
      </c>
      <c r="S41" s="414">
        <f t="shared" si="2"/>
        <v>20</v>
      </c>
      <c r="T41" s="415"/>
      <c r="U41" s="415"/>
      <c r="V41" s="415"/>
      <c r="W41" s="1029">
        <f t="shared" si="3"/>
        <v>1506488</v>
      </c>
      <c r="X41" s="414">
        <f t="shared" si="4"/>
        <v>4068814</v>
      </c>
      <c r="Y41" s="414"/>
      <c r="Z41" s="414">
        <f>VLOOKUP(C41,'CNKT '!C41:Z96,24,0)</f>
        <v>4068814</v>
      </c>
      <c r="AA41" s="1134">
        <f t="shared" si="5"/>
        <v>0</v>
      </c>
    </row>
    <row r="42" spans="1:27" s="1134" customFormat="1" ht="46.5" customHeight="1">
      <c r="A42" s="413">
        <v>27</v>
      </c>
      <c r="B42" s="413" t="str">
        <f>'Chấm công KT'!D39</f>
        <v>03480</v>
      </c>
      <c r="C42" s="414" t="str">
        <f>TONGHOPCONGDOI!C37</f>
        <v>T . Lốc</v>
      </c>
      <c r="D42" s="414"/>
      <c r="E42" s="415"/>
      <c r="F42" s="414">
        <f t="shared" si="0"/>
        <v>0</v>
      </c>
      <c r="G42" s="414">
        <f>VLOOKUP(C42,TONGHOPCONGDOI!C37:AE91,16,0)</f>
        <v>1357</v>
      </c>
      <c r="H42" s="414">
        <f>VLOOKUP(C42,TONGHOPCONGDOI!C37:AE91,17,0)</f>
        <v>0</v>
      </c>
      <c r="I42" s="414"/>
      <c r="J42" s="708">
        <f t="shared" si="6"/>
        <v>696.79624902430123</v>
      </c>
      <c r="K42" s="413" t="str">
        <f>VLOOKUP(C42,'BTH mủ tạp'!C43:AL96,36,0)</f>
        <v>B</v>
      </c>
      <c r="L42" s="1294">
        <f t="shared" si="1"/>
        <v>2438107</v>
      </c>
      <c r="M42" s="414">
        <f>VLOOKUP(C42,TONGHOPCONGDOI!$C$11:$AD$91,20,0)</f>
        <v>26</v>
      </c>
      <c r="N42" s="414">
        <f>VLOOKUP(C42,TONGHOPCONGDOI!$C$11:$AD$91,21,0)</f>
        <v>4</v>
      </c>
      <c r="O42" s="414">
        <f>VLOOKUP(C42,TONGHOPCONGDOI!$C$11:$AD$91,22,0)</f>
        <v>0</v>
      </c>
      <c r="P42" s="414">
        <f>VLOOKUP(C42,TONGHOPCONGDOI!$C$11:$AD$91,23,0)</f>
        <v>0</v>
      </c>
      <c r="Q42" s="414">
        <f>VLOOKUP(C42,TONGHOPCONGDOI!$C$11:$AD$91,24,0)</f>
        <v>0</v>
      </c>
      <c r="R42" s="414">
        <f>VLOOKUP(C42,TONGHOPCONGDOI!$C$11:$AD$91,25,0)</f>
        <v>0</v>
      </c>
      <c r="S42" s="414">
        <f t="shared" si="2"/>
        <v>20</v>
      </c>
      <c r="T42" s="415"/>
      <c r="U42" s="415"/>
      <c r="V42" s="415"/>
      <c r="W42" s="1029">
        <f t="shared" si="3"/>
        <v>1506488</v>
      </c>
      <c r="X42" s="414">
        <f t="shared" si="4"/>
        <v>3944595</v>
      </c>
      <c r="Y42" s="414"/>
      <c r="Z42" s="414">
        <f>VLOOKUP(C42,'CNKT '!C42:Z96,24,0)</f>
        <v>3944595</v>
      </c>
      <c r="AA42" s="1134">
        <f t="shared" si="5"/>
        <v>0</v>
      </c>
    </row>
    <row r="43" spans="1:27" s="1134" customFormat="1" ht="46.5" customHeight="1">
      <c r="A43" s="413">
        <v>28</v>
      </c>
      <c r="B43" s="413" t="str">
        <f>'Chấm công KT'!D40</f>
        <v>03481</v>
      </c>
      <c r="C43" s="414" t="str">
        <f>TONGHOPCONGDOI!C38</f>
        <v>N . Khâm (1)</v>
      </c>
      <c r="D43" s="414"/>
      <c r="E43" s="415"/>
      <c r="F43" s="414">
        <f t="shared" si="0"/>
        <v>0</v>
      </c>
      <c r="G43" s="414">
        <f>VLOOKUP(C43,TONGHOPCONGDOI!C38:AE91,16,0)</f>
        <v>1772</v>
      </c>
      <c r="H43" s="414">
        <f>VLOOKUP(C43,TONGHOPCONGDOI!C38:AE91,17,0)</f>
        <v>0</v>
      </c>
      <c r="I43" s="414"/>
      <c r="J43" s="708">
        <f t="shared" si="6"/>
        <v>909.89163837218996</v>
      </c>
      <c r="K43" s="413" t="str">
        <f>VLOOKUP(C43,'BTH mủ tạp'!C44:AL96,36,0)</f>
        <v>A</v>
      </c>
      <c r="L43" s="1294">
        <f t="shared" si="1"/>
        <v>3348409</v>
      </c>
      <c r="M43" s="414">
        <f>VLOOKUP(C43,TONGHOPCONGDOI!$C$11:$AD$91,20,0)</f>
        <v>24</v>
      </c>
      <c r="N43" s="414">
        <f>VLOOKUP(C43,TONGHOPCONGDOI!$C$11:$AD$91,21,0)</f>
        <v>4</v>
      </c>
      <c r="O43" s="414">
        <f>VLOOKUP(C43,TONGHOPCONGDOI!$C$11:$AD$91,22,0)</f>
        <v>0</v>
      </c>
      <c r="P43" s="414">
        <f>VLOOKUP(C43,TONGHOPCONGDOI!$C$11:$AD$91,23,0)</f>
        <v>0</v>
      </c>
      <c r="Q43" s="414">
        <f>VLOOKUP(C43,TONGHOPCONGDOI!$C$11:$AD$91,24,0)</f>
        <v>0</v>
      </c>
      <c r="R43" s="414">
        <f>VLOOKUP(C43,TONGHOPCONGDOI!$C$11:$AD$91,25,0)</f>
        <v>0</v>
      </c>
      <c r="S43" s="414">
        <f t="shared" si="2"/>
        <v>20</v>
      </c>
      <c r="T43" s="415"/>
      <c r="U43" s="415"/>
      <c r="V43" s="415"/>
      <c r="W43" s="1029">
        <f t="shared" si="3"/>
        <v>1444877</v>
      </c>
      <c r="X43" s="414">
        <f t="shared" si="4"/>
        <v>4793286</v>
      </c>
      <c r="Y43" s="414"/>
      <c r="Z43" s="414">
        <f>VLOOKUP(C43,'CNKT '!C43:Z96,24,0)</f>
        <v>4793286</v>
      </c>
      <c r="AA43" s="1134">
        <f t="shared" si="5"/>
        <v>0</v>
      </c>
    </row>
    <row r="44" spans="1:27" s="1134" customFormat="1" ht="46.5" customHeight="1">
      <c r="A44" s="413">
        <v>29</v>
      </c>
      <c r="B44" s="413" t="str">
        <f>'Chấm công KT'!D41</f>
        <v>03482</v>
      </c>
      <c r="C44" s="414" t="str">
        <f>TONGHOPCONGDOI!C39</f>
        <v>T . Phết</v>
      </c>
      <c r="D44" s="414"/>
      <c r="E44" s="415"/>
      <c r="F44" s="414">
        <f t="shared" si="0"/>
        <v>0</v>
      </c>
      <c r="G44" s="414">
        <f>VLOOKUP(C44,TONGHOPCONGDOI!C39:AE91,16,0)</f>
        <v>1753</v>
      </c>
      <c r="H44" s="414">
        <f>VLOOKUP(C44,TONGHOPCONGDOI!C39:AE91,17,0)</f>
        <v>0</v>
      </c>
      <c r="I44" s="414"/>
      <c r="J44" s="708">
        <f t="shared" si="6"/>
        <v>900.13546392011801</v>
      </c>
      <c r="K44" s="413" t="str">
        <f>VLOOKUP(C44,'BTH mủ tạp'!C45:AL96,36,0)</f>
        <v>A</v>
      </c>
      <c r="L44" s="1294">
        <f t="shared" si="1"/>
        <v>3312506</v>
      </c>
      <c r="M44" s="414">
        <f>VLOOKUP(C44,TONGHOPCONGDOI!$C$11:$AD$91,20,0)</f>
        <v>24</v>
      </c>
      <c r="N44" s="414">
        <f>VLOOKUP(C44,TONGHOPCONGDOI!$C$11:$AD$91,21,0)</f>
        <v>4</v>
      </c>
      <c r="O44" s="414">
        <f>VLOOKUP(C44,TONGHOPCONGDOI!$C$11:$AD$91,22,0)</f>
        <v>0</v>
      </c>
      <c r="P44" s="414">
        <f>VLOOKUP(C44,TONGHOPCONGDOI!$C$11:$AD$91,23,0)</f>
        <v>0</v>
      </c>
      <c r="Q44" s="414">
        <f>VLOOKUP(C44,TONGHOPCONGDOI!$C$11:$AD$91,24,0)</f>
        <v>0</v>
      </c>
      <c r="R44" s="414">
        <f>VLOOKUP(C44,TONGHOPCONGDOI!$C$11:$AD$91,25,0)</f>
        <v>0</v>
      </c>
      <c r="S44" s="414">
        <f t="shared" si="2"/>
        <v>20</v>
      </c>
      <c r="T44" s="415"/>
      <c r="U44" s="415"/>
      <c r="V44" s="415"/>
      <c r="W44" s="1029">
        <f t="shared" si="3"/>
        <v>1444877</v>
      </c>
      <c r="X44" s="414">
        <f t="shared" si="4"/>
        <v>4757383</v>
      </c>
      <c r="Y44" s="414"/>
      <c r="Z44" s="414">
        <f>VLOOKUP(C44,'CNKT '!C44:Z96,24,0)</f>
        <v>4757383</v>
      </c>
      <c r="AA44" s="1134">
        <f t="shared" si="5"/>
        <v>0</v>
      </c>
    </row>
    <row r="45" spans="1:27" s="1134" customFormat="1" ht="46.5" customHeight="1">
      <c r="A45" s="413">
        <v>30</v>
      </c>
      <c r="B45" s="413" t="str">
        <f>'Chấm công KT'!D42</f>
        <v>03483</v>
      </c>
      <c r="C45" s="414" t="str">
        <f>TONGHOPCONGDOI!C40</f>
        <v>T. Viêng Sa Văn</v>
      </c>
      <c r="D45" s="414"/>
      <c r="E45" s="415"/>
      <c r="F45" s="414">
        <f t="shared" si="0"/>
        <v>0</v>
      </c>
      <c r="G45" s="414">
        <f>VLOOKUP(C45,TONGHOPCONGDOI!C40:AE91,16,0)</f>
        <v>2002</v>
      </c>
      <c r="H45" s="414">
        <f>VLOOKUP(C45,TONGHOPCONGDOI!C40:AE91,17,0)</f>
        <v>0</v>
      </c>
      <c r="I45" s="414"/>
      <c r="J45" s="708">
        <f t="shared" si="6"/>
        <v>1027.9926975288513</v>
      </c>
      <c r="K45" s="413" t="str">
        <f>VLOOKUP(C45,'BTH mủ tạp'!C46:AL96,36,0)</f>
        <v>A</v>
      </c>
      <c r="L45" s="1294">
        <f t="shared" si="1"/>
        <v>3783021</v>
      </c>
      <c r="M45" s="414">
        <f>VLOOKUP(C45,TONGHOPCONGDOI!$C$11:$AD$91,20,0)</f>
        <v>25</v>
      </c>
      <c r="N45" s="414">
        <f>VLOOKUP(C45,TONGHOPCONGDOI!$C$11:$AD$91,21,0)</f>
        <v>4</v>
      </c>
      <c r="O45" s="414">
        <f>VLOOKUP(C45,TONGHOPCONGDOI!$C$11:$AD$91,22,0)</f>
        <v>0</v>
      </c>
      <c r="P45" s="414">
        <f>VLOOKUP(C45,TONGHOPCONGDOI!$C$11:$AD$91,23,0)</f>
        <v>0</v>
      </c>
      <c r="Q45" s="414">
        <f>VLOOKUP(C45,TONGHOPCONGDOI!$C$11:$AD$91,24,0)</f>
        <v>0</v>
      </c>
      <c r="R45" s="414">
        <f>VLOOKUP(C45,TONGHOPCONGDOI!$C$11:$AD$91,25,0)</f>
        <v>0</v>
      </c>
      <c r="S45" s="414">
        <f t="shared" si="2"/>
        <v>20</v>
      </c>
      <c r="T45" s="415"/>
      <c r="U45" s="415"/>
      <c r="V45" s="415"/>
      <c r="W45" s="1029">
        <f t="shared" si="3"/>
        <v>1475683</v>
      </c>
      <c r="X45" s="414">
        <f t="shared" si="4"/>
        <v>5258704</v>
      </c>
      <c r="Y45" s="414"/>
      <c r="Z45" s="414">
        <f>VLOOKUP(C45,'CNKT '!C45:Z96,24,0)</f>
        <v>5258704</v>
      </c>
      <c r="AA45" s="1134">
        <f t="shared" si="5"/>
        <v>0</v>
      </c>
    </row>
    <row r="46" spans="1:27" s="1134" customFormat="1" ht="46.5" customHeight="1">
      <c r="A46" s="413">
        <v>31</v>
      </c>
      <c r="B46" s="413" t="str">
        <f>'Chấm công KT'!D43</f>
        <v>03484</v>
      </c>
      <c r="C46" s="414" t="str">
        <f>TONGHOPCONGDOI!C41</f>
        <v>T. Ca Te</v>
      </c>
      <c r="D46" s="414"/>
      <c r="E46" s="415"/>
      <c r="F46" s="414">
        <f t="shared" si="0"/>
        <v>0</v>
      </c>
      <c r="G46" s="414">
        <f>VLOOKUP(C46,TONGHOPCONGDOI!C41:AE91,16,0)</f>
        <v>1866</v>
      </c>
      <c r="H46" s="414">
        <f>VLOOKUP(C46,TONGHOPCONGDOI!C41:AE91,17,0)</f>
        <v>0</v>
      </c>
      <c r="I46" s="414"/>
      <c r="J46" s="708">
        <f t="shared" si="6"/>
        <v>958.15902776665155</v>
      </c>
      <c r="K46" s="413" t="str">
        <f>VLOOKUP(C46,'BTH mủ tạp'!C47:AL96,36,0)</f>
        <v>B</v>
      </c>
      <c r="L46" s="1294">
        <f t="shared" si="1"/>
        <v>3352621</v>
      </c>
      <c r="M46" s="414">
        <f>VLOOKUP(C46,TONGHOPCONGDOI!$C$11:$AD$91,20,0)</f>
        <v>27</v>
      </c>
      <c r="N46" s="414">
        <f>VLOOKUP(C46,TONGHOPCONGDOI!$C$11:$AD$91,21,0)</f>
        <v>3</v>
      </c>
      <c r="O46" s="414">
        <f>VLOOKUP(C46,TONGHOPCONGDOI!$C$11:$AD$91,22,0)</f>
        <v>0</v>
      </c>
      <c r="P46" s="414">
        <f>VLOOKUP(C46,TONGHOPCONGDOI!$C$11:$AD$91,23,0)</f>
        <v>0</v>
      </c>
      <c r="Q46" s="414">
        <f>VLOOKUP(C46,TONGHOPCONGDOI!$C$11:$AD$91,24,0)</f>
        <v>0</v>
      </c>
      <c r="R46" s="414">
        <f>VLOOKUP(C46,TONGHOPCONGDOI!$C$11:$AD$91,25,0)</f>
        <v>0</v>
      </c>
      <c r="S46" s="414">
        <f t="shared" si="2"/>
        <v>20</v>
      </c>
      <c r="T46" s="415"/>
      <c r="U46" s="415"/>
      <c r="V46" s="415"/>
      <c r="W46" s="1029">
        <f t="shared" si="3"/>
        <v>1485907</v>
      </c>
      <c r="X46" s="414">
        <f t="shared" si="4"/>
        <v>4838528</v>
      </c>
      <c r="Y46" s="414"/>
      <c r="Z46" s="414">
        <f>VLOOKUP(C46,'CNKT '!C46:Z96,24,0)</f>
        <v>4838528</v>
      </c>
      <c r="AA46" s="1134">
        <f t="shared" si="5"/>
        <v>0</v>
      </c>
    </row>
    <row r="47" spans="1:27" s="1134" customFormat="1" ht="46.5" customHeight="1">
      <c r="A47" s="413">
        <v>32</v>
      </c>
      <c r="B47" s="413" t="str">
        <f>'Chấm công KT'!D44</f>
        <v>03485</v>
      </c>
      <c r="C47" s="414" t="str">
        <f>TONGHOPCONGDOI!C42</f>
        <v>T. Lâm Phon</v>
      </c>
      <c r="D47" s="414"/>
      <c r="E47" s="415"/>
      <c r="F47" s="414">
        <f t="shared" si="0"/>
        <v>0</v>
      </c>
      <c r="G47" s="414">
        <f>VLOOKUP(C47,TONGHOPCONGDOI!C42:AE91,16,0)</f>
        <v>1402</v>
      </c>
      <c r="H47" s="414">
        <f>VLOOKUP(C47,TONGHOPCONGDOI!C42:AE91,17,0)</f>
        <v>0</v>
      </c>
      <c r="I47" s="414"/>
      <c r="J47" s="708">
        <f t="shared" si="6"/>
        <v>719.90297798973495</v>
      </c>
      <c r="K47" s="413" t="str">
        <f>VLOOKUP(C47,'BTH mủ tạp'!C48:AL96,36,0)</f>
        <v>A</v>
      </c>
      <c r="L47" s="1294">
        <f t="shared" si="1"/>
        <v>2649249</v>
      </c>
      <c r="M47" s="414">
        <f>VLOOKUP(C47,TONGHOPCONGDOI!$C$11:$AD$91,20,0)</f>
        <v>26</v>
      </c>
      <c r="N47" s="414">
        <f>VLOOKUP(C47,TONGHOPCONGDOI!$C$11:$AD$91,21,0)</f>
        <v>4</v>
      </c>
      <c r="O47" s="414">
        <f>VLOOKUP(C47,TONGHOPCONGDOI!$C$11:$AD$91,22,0)</f>
        <v>0</v>
      </c>
      <c r="P47" s="414">
        <f>VLOOKUP(C47,TONGHOPCONGDOI!$C$11:$AD$91,23,0)</f>
        <v>0</v>
      </c>
      <c r="Q47" s="414">
        <f>VLOOKUP(C47,TONGHOPCONGDOI!$C$11:$AD$91,24,0)</f>
        <v>0</v>
      </c>
      <c r="R47" s="414">
        <f>VLOOKUP(C47,TONGHOPCONGDOI!$C$11:$AD$91,25,0)</f>
        <v>0</v>
      </c>
      <c r="S47" s="414">
        <f t="shared" si="2"/>
        <v>20</v>
      </c>
      <c r="T47" s="415"/>
      <c r="U47" s="415"/>
      <c r="V47" s="415"/>
      <c r="W47" s="1029">
        <f t="shared" si="3"/>
        <v>1506488</v>
      </c>
      <c r="X47" s="414">
        <f t="shared" si="4"/>
        <v>4155737</v>
      </c>
      <c r="Y47" s="414"/>
      <c r="Z47" s="414">
        <f>VLOOKUP(C47,'CNKT '!C47:Z96,24,0)</f>
        <v>4155737</v>
      </c>
      <c r="AA47" s="1134">
        <f t="shared" si="5"/>
        <v>0</v>
      </c>
    </row>
    <row r="48" spans="1:27" s="1134" customFormat="1" ht="46.5" customHeight="1">
      <c r="A48" s="413">
        <v>33</v>
      </c>
      <c r="B48" s="413" t="str">
        <f>'Chấm công KT'!D45</f>
        <v>02712</v>
      </c>
      <c r="C48" s="414" t="str">
        <f>TONGHOPCONGDOI!C43</f>
        <v>T. Sô Đa</v>
      </c>
      <c r="D48" s="414"/>
      <c r="E48" s="415"/>
      <c r="F48" s="414">
        <f t="shared" si="0"/>
        <v>0</v>
      </c>
      <c r="G48" s="414">
        <f>VLOOKUP(C48,TONGHOPCONGDOI!C43:AE91,16,0)</f>
        <v>1867</v>
      </c>
      <c r="H48" s="414">
        <f>VLOOKUP(C48,TONGHOPCONGDOI!C43:AE91,17,0)</f>
        <v>0</v>
      </c>
      <c r="I48" s="414"/>
      <c r="J48" s="708">
        <f t="shared" ref="J48:J79" si="7">$AB$10/$AB$9*G48+H48*$AB$11+I48*$AB$12</f>
        <v>958.67251063255014</v>
      </c>
      <c r="K48" s="413" t="str">
        <f>VLOOKUP(C48,'BTH mủ tạp'!C49:AL96,36,0)</f>
        <v>A</v>
      </c>
      <c r="L48" s="1294">
        <f t="shared" si="1"/>
        <v>3527923</v>
      </c>
      <c r="M48" s="414">
        <f>VLOOKUP(C48,TONGHOPCONGDOI!$C$11:$AD$91,20,0)</f>
        <v>26</v>
      </c>
      <c r="N48" s="414">
        <f>VLOOKUP(C48,TONGHOPCONGDOI!$C$11:$AD$91,21,0)</f>
        <v>3</v>
      </c>
      <c r="O48" s="414">
        <f>VLOOKUP(C48,TONGHOPCONGDOI!$C$11:$AD$91,22,0)</f>
        <v>0</v>
      </c>
      <c r="P48" s="414">
        <f>VLOOKUP(C48,TONGHOPCONGDOI!$C$11:$AD$91,23,0)</f>
        <v>0</v>
      </c>
      <c r="Q48" s="414">
        <f>VLOOKUP(C48,TONGHOPCONGDOI!$C$11:$AD$91,24,0)</f>
        <v>0</v>
      </c>
      <c r="R48" s="414">
        <f>VLOOKUP(C48,TONGHOPCONGDOI!$C$11:$AD$91,25,0)</f>
        <v>0</v>
      </c>
      <c r="S48" s="414">
        <f t="shared" si="2"/>
        <v>20</v>
      </c>
      <c r="T48" s="415"/>
      <c r="U48" s="415"/>
      <c r="V48" s="415"/>
      <c r="W48" s="1029">
        <f t="shared" si="3"/>
        <v>1455101</v>
      </c>
      <c r="X48" s="414">
        <f t="shared" ref="X48:X79" si="8">F48+L48+W48</f>
        <v>4983024</v>
      </c>
      <c r="Y48" s="414"/>
      <c r="Z48" s="414">
        <f>VLOOKUP(C48,'CNKT '!C48:Z96,24,0)</f>
        <v>4983024</v>
      </c>
      <c r="AA48" s="1134">
        <f t="shared" si="5"/>
        <v>0</v>
      </c>
    </row>
    <row r="49" spans="1:27" s="1134" customFormat="1" ht="46.5" customHeight="1">
      <c r="A49" s="413">
        <v>34</v>
      </c>
      <c r="B49" s="413" t="str">
        <f>'Chấm công KT'!D46</f>
        <v>02722</v>
      </c>
      <c r="C49" s="414" t="str">
        <f>TONGHOPCONGDOI!C44</f>
        <v>T. Phu Ngân</v>
      </c>
      <c r="D49" s="414"/>
      <c r="E49" s="415"/>
      <c r="F49" s="414">
        <f t="shared" si="0"/>
        <v>0</v>
      </c>
      <c r="G49" s="414">
        <f>VLOOKUP(C49,TONGHOPCONGDOI!C44:AE91,16,0)</f>
        <v>2221</v>
      </c>
      <c r="H49" s="414">
        <f>VLOOKUP(C49,TONGHOPCONGDOI!C44:AE91,17,0)</f>
        <v>0</v>
      </c>
      <c r="I49" s="414"/>
      <c r="J49" s="708">
        <f t="shared" si="7"/>
        <v>1140.4454451606287</v>
      </c>
      <c r="K49" s="413" t="str">
        <f>VLOOKUP(C49,'BTH mủ tạp'!C50:AL96,36,0)</f>
        <v>A</v>
      </c>
      <c r="L49" s="1294">
        <f t="shared" si="1"/>
        <v>4196848</v>
      </c>
      <c r="M49" s="414">
        <f>VLOOKUP(C49,TONGHOPCONGDOI!$C$11:$AD$91,20,0)</f>
        <v>26</v>
      </c>
      <c r="N49" s="414">
        <f>VLOOKUP(C49,TONGHOPCONGDOI!$C$11:$AD$91,21,0)</f>
        <v>4</v>
      </c>
      <c r="O49" s="414">
        <f>VLOOKUP(C49,TONGHOPCONGDOI!$C$11:$AD$91,22,0)</f>
        <v>0</v>
      </c>
      <c r="P49" s="414">
        <f>VLOOKUP(C49,TONGHOPCONGDOI!$C$11:$AD$91,23,0)</f>
        <v>0</v>
      </c>
      <c r="Q49" s="414">
        <f>VLOOKUP(C49,TONGHOPCONGDOI!$C$11:$AD$91,24,0)</f>
        <v>0</v>
      </c>
      <c r="R49" s="414">
        <f>VLOOKUP(C49,TONGHOPCONGDOI!$C$11:$AD$91,25,0)</f>
        <v>0</v>
      </c>
      <c r="S49" s="414">
        <f t="shared" si="2"/>
        <v>20</v>
      </c>
      <c r="T49" s="415"/>
      <c r="U49" s="415"/>
      <c r="V49" s="415"/>
      <c r="W49" s="1029">
        <f t="shared" si="3"/>
        <v>1506488</v>
      </c>
      <c r="X49" s="414">
        <f t="shared" si="8"/>
        <v>5703336</v>
      </c>
      <c r="Y49" s="414"/>
      <c r="Z49" s="414">
        <f>VLOOKUP(C49,'CNKT '!C49:Z96,24,0)</f>
        <v>5703336</v>
      </c>
      <c r="AA49" s="1134">
        <f t="shared" si="5"/>
        <v>0</v>
      </c>
    </row>
    <row r="50" spans="1:27" s="1134" customFormat="1" ht="46.5" customHeight="1">
      <c r="A50" s="413">
        <v>35</v>
      </c>
      <c r="B50" s="413" t="str">
        <f>'Chấm công KT'!D47</f>
        <v>02714</v>
      </c>
      <c r="C50" s="414" t="str">
        <f>TONGHOPCONGDOI!C45</f>
        <v>N. Tủn</v>
      </c>
      <c r="D50" s="414"/>
      <c r="E50" s="415"/>
      <c r="F50" s="414">
        <f t="shared" si="0"/>
        <v>0</v>
      </c>
      <c r="G50" s="414">
        <f>VLOOKUP(C50,TONGHOPCONGDOI!C45:AE91,16,0)</f>
        <v>1435</v>
      </c>
      <c r="H50" s="414">
        <f>VLOOKUP(C50,TONGHOPCONGDOI!C45:AE91,17,0)</f>
        <v>0</v>
      </c>
      <c r="I50" s="414"/>
      <c r="J50" s="708">
        <f t="shared" si="7"/>
        <v>736.84791256438643</v>
      </c>
      <c r="K50" s="413" t="str">
        <f>VLOOKUP(C50,'BTH mủ tạp'!C51:AL96,36,0)</f>
        <v>A</v>
      </c>
      <c r="L50" s="1294">
        <f t="shared" si="1"/>
        <v>2711606</v>
      </c>
      <c r="M50" s="414">
        <f>VLOOKUP(C50,TONGHOPCONGDOI!$C$11:$AD$91,20,0)</f>
        <v>27</v>
      </c>
      <c r="N50" s="414">
        <f>VLOOKUP(C50,TONGHOPCONGDOI!$C$11:$AD$91,21,0)</f>
        <v>4</v>
      </c>
      <c r="O50" s="414">
        <f>VLOOKUP(C50,TONGHOPCONGDOI!$C$11:$AD$91,22,0)</f>
        <v>0</v>
      </c>
      <c r="P50" s="414">
        <f>VLOOKUP(C50,TONGHOPCONGDOI!$C$11:$AD$91,23,0)</f>
        <v>0</v>
      </c>
      <c r="Q50" s="414">
        <f>VLOOKUP(C50,TONGHOPCONGDOI!$C$11:$AD$91,24,0)</f>
        <v>0</v>
      </c>
      <c r="R50" s="414">
        <f>VLOOKUP(C50,TONGHOPCONGDOI!$C$11:$AD$91,25,0)</f>
        <v>0</v>
      </c>
      <c r="S50" s="414">
        <f t="shared" si="2"/>
        <v>20</v>
      </c>
      <c r="T50" s="415"/>
      <c r="U50" s="415"/>
      <c r="V50" s="415"/>
      <c r="W50" s="1029">
        <f t="shared" si="3"/>
        <v>1537293</v>
      </c>
      <c r="X50" s="414">
        <f t="shared" si="8"/>
        <v>4248899</v>
      </c>
      <c r="Y50" s="414"/>
      <c r="Z50" s="414">
        <f>VLOOKUP(C50,'CNKT '!C50:Z96,24,0)</f>
        <v>4248899</v>
      </c>
      <c r="AA50" s="1134">
        <f t="shared" si="5"/>
        <v>0</v>
      </c>
    </row>
    <row r="51" spans="1:27" s="1134" customFormat="1" ht="46.5" customHeight="1">
      <c r="A51" s="413">
        <v>36</v>
      </c>
      <c r="B51" s="413" t="str">
        <f>'Chấm công KT'!D48</f>
        <v>02713</v>
      </c>
      <c r="C51" s="414" t="str">
        <f>TONGHOPCONGDOI!C46</f>
        <v>T. Lung</v>
      </c>
      <c r="D51" s="414"/>
      <c r="E51" s="415"/>
      <c r="F51" s="414">
        <f t="shared" si="0"/>
        <v>0</v>
      </c>
      <c r="G51" s="414">
        <f>VLOOKUP(C51,TONGHOPCONGDOI!C46:AE91,16,0)</f>
        <v>1422</v>
      </c>
      <c r="H51" s="414">
        <f>VLOOKUP(C51,TONGHOPCONGDOI!C46:AE91,17,0)</f>
        <v>0</v>
      </c>
      <c r="I51" s="414"/>
      <c r="J51" s="708">
        <f t="shared" si="7"/>
        <v>730.17263530770549</v>
      </c>
      <c r="K51" s="413" t="str">
        <f>VLOOKUP(C51,'BTH mủ tạp'!C52:AL96,36,0)</f>
        <v>A</v>
      </c>
      <c r="L51" s="1294">
        <f t="shared" si="1"/>
        <v>2687041</v>
      </c>
      <c r="M51" s="414">
        <f>VLOOKUP(C51,TONGHOPCONGDOI!$C$11:$AD$91,20,0)</f>
        <v>27</v>
      </c>
      <c r="N51" s="414">
        <f>VLOOKUP(C51,TONGHOPCONGDOI!$C$11:$AD$91,21,0)</f>
        <v>4</v>
      </c>
      <c r="O51" s="414">
        <f>VLOOKUP(C51,TONGHOPCONGDOI!$C$11:$AD$91,22,0)</f>
        <v>0</v>
      </c>
      <c r="P51" s="414">
        <f>VLOOKUP(C51,TONGHOPCONGDOI!$C$11:$AD$91,23,0)</f>
        <v>0</v>
      </c>
      <c r="Q51" s="414">
        <f>VLOOKUP(C51,TONGHOPCONGDOI!$C$11:$AD$91,24,0)</f>
        <v>0</v>
      </c>
      <c r="R51" s="414">
        <f>VLOOKUP(C51,TONGHOPCONGDOI!$C$11:$AD$91,25,0)</f>
        <v>0</v>
      </c>
      <c r="S51" s="414">
        <f t="shared" si="2"/>
        <v>20</v>
      </c>
      <c r="T51" s="415"/>
      <c r="U51" s="415"/>
      <c r="V51" s="415"/>
      <c r="W51" s="1029">
        <f t="shared" si="3"/>
        <v>1537293</v>
      </c>
      <c r="X51" s="414">
        <f t="shared" si="8"/>
        <v>4224334</v>
      </c>
      <c r="Y51" s="414"/>
      <c r="Z51" s="414">
        <f>VLOOKUP(C51,'CNKT '!C51:Z96,24,0)</f>
        <v>4224334</v>
      </c>
      <c r="AA51" s="1134">
        <f t="shared" si="5"/>
        <v>0</v>
      </c>
    </row>
    <row r="52" spans="1:27" s="1134" customFormat="1" ht="46.5" customHeight="1">
      <c r="A52" s="413">
        <v>37</v>
      </c>
      <c r="B52" s="413" t="e">
        <f>'Chấm công KT'!D49</f>
        <v>#N/A</v>
      </c>
      <c r="C52" s="414" t="str">
        <f>TONGHOPCONGDOI!C47</f>
        <v>T. Bi Ly (2)</v>
      </c>
      <c r="D52" s="414"/>
      <c r="E52" s="415"/>
      <c r="F52" s="414">
        <f t="shared" si="0"/>
        <v>0</v>
      </c>
      <c r="G52" s="414">
        <f>VLOOKUP(C52,TONGHOPCONGDOI!C47:AE91,16,0)</f>
        <v>1581</v>
      </c>
      <c r="H52" s="414">
        <f>VLOOKUP(C52,TONGHOPCONGDOI!C47:AE91,17,0)</f>
        <v>0</v>
      </c>
      <c r="I52" s="414"/>
      <c r="J52" s="708">
        <f t="shared" si="7"/>
        <v>811.81641098557134</v>
      </c>
      <c r="K52" s="413" t="str">
        <f>VLOOKUP(C52,'BTH mủ tạp'!C53:AL96,36,0)</f>
        <v>A</v>
      </c>
      <c r="L52" s="1294">
        <f t="shared" si="1"/>
        <v>2987491</v>
      </c>
      <c r="M52" s="414">
        <f>VLOOKUP(C52,TONGHOPCONGDOI!$C$11:$AD$91,20,0)</f>
        <v>27</v>
      </c>
      <c r="N52" s="414">
        <f>VLOOKUP(C52,TONGHOPCONGDOI!$C$11:$AD$91,21,0)</f>
        <v>4</v>
      </c>
      <c r="O52" s="414">
        <f>VLOOKUP(C52,TONGHOPCONGDOI!$C$11:$AD$91,22,0)</f>
        <v>0</v>
      </c>
      <c r="P52" s="414">
        <f>VLOOKUP(C52,TONGHOPCONGDOI!$C$11:$AD$91,23,0)</f>
        <v>0</v>
      </c>
      <c r="Q52" s="414">
        <f>VLOOKUP(C52,TONGHOPCONGDOI!$C$11:$AD$91,24,0)</f>
        <v>0</v>
      </c>
      <c r="R52" s="414">
        <f>VLOOKUP(C52,TONGHOPCONGDOI!$C$11:$AD$91,25,0)</f>
        <v>0</v>
      </c>
      <c r="S52" s="414">
        <f t="shared" si="2"/>
        <v>20</v>
      </c>
      <c r="T52" s="415"/>
      <c r="U52" s="415"/>
      <c r="V52" s="415"/>
      <c r="W52" s="1029">
        <f t="shared" si="3"/>
        <v>1537293</v>
      </c>
      <c r="X52" s="414">
        <f t="shared" si="8"/>
        <v>4524784</v>
      </c>
      <c r="Y52" s="414"/>
      <c r="Z52" s="414">
        <f>VLOOKUP(C52,'CNKT '!C52:Z96,24,0)</f>
        <v>4524784</v>
      </c>
      <c r="AA52" s="1134">
        <f t="shared" si="5"/>
        <v>0</v>
      </c>
    </row>
    <row r="53" spans="1:27" s="1134" customFormat="1" ht="46.5" customHeight="1">
      <c r="A53" s="413">
        <v>38</v>
      </c>
      <c r="B53" s="413" t="str">
        <f>'Chấm công KT'!D50</f>
        <v>03487</v>
      </c>
      <c r="C53" s="414" t="str">
        <f>TONGHOPCONGDOI!C48</f>
        <v>N. Ba Say</v>
      </c>
      <c r="D53" s="414"/>
      <c r="E53" s="415"/>
      <c r="F53" s="414">
        <f t="shared" si="0"/>
        <v>0</v>
      </c>
      <c r="G53" s="414">
        <f>VLOOKUP(C53,TONGHOPCONGDOI!C48:AE91,16,0)</f>
        <v>884</v>
      </c>
      <c r="H53" s="414">
        <f>VLOOKUP(C53,TONGHOPCONGDOI!C48:AE91,17,0)</f>
        <v>0</v>
      </c>
      <c r="I53" s="414"/>
      <c r="J53" s="708">
        <f t="shared" si="7"/>
        <v>453.91885345429796</v>
      </c>
      <c r="K53" s="413" t="str">
        <f>VLOOKUP(C53,'BTH mủ tạp'!C54:AL96,36,0)</f>
        <v>B</v>
      </c>
      <c r="L53" s="1294">
        <f t="shared" si="1"/>
        <v>1588273</v>
      </c>
      <c r="M53" s="414">
        <f>VLOOKUP(C53,TONGHOPCONGDOI!$C$11:$AD$91,20,0)</f>
        <v>22</v>
      </c>
      <c r="N53" s="414">
        <f>VLOOKUP(C53,TONGHOPCONGDOI!$C$11:$AD$91,21,0)</f>
        <v>3</v>
      </c>
      <c r="O53" s="414">
        <f>VLOOKUP(C53,TONGHOPCONGDOI!$C$11:$AD$91,22,0)</f>
        <v>0</v>
      </c>
      <c r="P53" s="414">
        <f>VLOOKUP(C53,TONGHOPCONGDOI!$C$11:$AD$91,23,0)</f>
        <v>0</v>
      </c>
      <c r="Q53" s="414">
        <f>VLOOKUP(C53,TONGHOPCONGDOI!$C$11:$AD$91,24,0)</f>
        <v>0</v>
      </c>
      <c r="R53" s="414">
        <f>VLOOKUP(C53,TONGHOPCONGDOI!$C$11:$AD$91,25,0)</f>
        <v>0</v>
      </c>
      <c r="S53" s="414"/>
      <c r="T53" s="415"/>
      <c r="U53" s="415"/>
      <c r="V53" s="415"/>
      <c r="W53" s="1029">
        <f t="shared" si="3"/>
        <v>831880</v>
      </c>
      <c r="X53" s="414">
        <f t="shared" si="8"/>
        <v>2420153</v>
      </c>
      <c r="Y53" s="414"/>
      <c r="Z53" s="414">
        <f>VLOOKUP(C53,'CNKT '!C53:Z96,24,0)</f>
        <v>2420153</v>
      </c>
      <c r="AA53" s="1134">
        <f t="shared" si="5"/>
        <v>0</v>
      </c>
    </row>
    <row r="54" spans="1:27" s="1134" customFormat="1" ht="46.5" customHeight="1">
      <c r="A54" s="413">
        <v>39</v>
      </c>
      <c r="B54" s="413" t="str">
        <f>'Chấm công KT'!D51</f>
        <v>03488</v>
      </c>
      <c r="C54" s="414" t="str">
        <f>TONGHOPCONGDOI!C49</f>
        <v>N. Đeng</v>
      </c>
      <c r="D54" s="414"/>
      <c r="E54" s="415"/>
      <c r="F54" s="414">
        <f t="shared" si="0"/>
        <v>0</v>
      </c>
      <c r="G54" s="414">
        <f>VLOOKUP(C54,TONGHOPCONGDOI!C49:AE91,16,0)</f>
        <v>1897</v>
      </c>
      <c r="H54" s="414">
        <f>VLOOKUP(C54,TONGHOPCONGDOI!C49:AE91,17,0)</f>
        <v>0</v>
      </c>
      <c r="I54" s="414"/>
      <c r="J54" s="708">
        <f t="shared" si="7"/>
        <v>974.07699660950595</v>
      </c>
      <c r="K54" s="413" t="str">
        <f>VLOOKUP(C54,'BTH mủ tạp'!C55:AL96,36,0)</f>
        <v>A</v>
      </c>
      <c r="L54" s="1294">
        <f t="shared" si="1"/>
        <v>3584611</v>
      </c>
      <c r="M54" s="414">
        <f>VLOOKUP(C54,TONGHOPCONGDOI!$C$11:$AD$91,20,0)</f>
        <v>27</v>
      </c>
      <c r="N54" s="414">
        <f>VLOOKUP(C54,TONGHOPCONGDOI!$C$11:$AD$91,21,0)</f>
        <v>4</v>
      </c>
      <c r="O54" s="414">
        <f>VLOOKUP(C54,TONGHOPCONGDOI!$C$11:$AD$91,22,0)</f>
        <v>0</v>
      </c>
      <c r="P54" s="414">
        <f>VLOOKUP(C54,TONGHOPCONGDOI!$C$11:$AD$91,23,0)</f>
        <v>0</v>
      </c>
      <c r="Q54" s="414">
        <f>VLOOKUP(C54,TONGHOPCONGDOI!$C$11:$AD$91,24,0)</f>
        <v>0</v>
      </c>
      <c r="R54" s="414">
        <f>VLOOKUP(C54,TONGHOPCONGDOI!$C$11:$AD$91,25,0)</f>
        <v>0</v>
      </c>
      <c r="S54" s="414">
        <f t="shared" si="2"/>
        <v>20</v>
      </c>
      <c r="T54" s="415"/>
      <c r="U54" s="415"/>
      <c r="V54" s="415"/>
      <c r="W54" s="1029">
        <f t="shared" si="3"/>
        <v>1537293</v>
      </c>
      <c r="X54" s="414">
        <f t="shared" si="8"/>
        <v>5121904</v>
      </c>
      <c r="Y54" s="414"/>
      <c r="Z54" s="414">
        <f>VLOOKUP(C54,'CNKT '!C54:Z96,24,0)</f>
        <v>5121904</v>
      </c>
      <c r="AA54" s="1134">
        <f t="shared" si="5"/>
        <v>0</v>
      </c>
    </row>
    <row r="55" spans="1:27" s="1134" customFormat="1" ht="46.5" customHeight="1">
      <c r="A55" s="413">
        <v>40</v>
      </c>
      <c r="B55" s="413" t="str">
        <f>'Chấm công KT'!D52</f>
        <v>03489</v>
      </c>
      <c r="C55" s="414" t="str">
        <f>TONGHOPCONGDOI!C50</f>
        <v>T. Tinh</v>
      </c>
      <c r="D55" s="414"/>
      <c r="E55" s="415"/>
      <c r="F55" s="414">
        <f t="shared" si="0"/>
        <v>0</v>
      </c>
      <c r="G55" s="414">
        <f>VLOOKUP(C55,TONGHOPCONGDOI!C50:AE91,16,0)</f>
        <v>912</v>
      </c>
      <c r="H55" s="414">
        <f>VLOOKUP(C55,TONGHOPCONGDOI!C50:AE91,17,0)</f>
        <v>0</v>
      </c>
      <c r="I55" s="414"/>
      <c r="J55" s="708">
        <f t="shared" si="7"/>
        <v>468.29637369945669</v>
      </c>
      <c r="K55" s="413" t="str">
        <f>VLOOKUP(C55,'BTH mủ tạp'!C56:AL96,36,0)</f>
        <v>B</v>
      </c>
      <c r="L55" s="1294">
        <f t="shared" si="1"/>
        <v>1638580</v>
      </c>
      <c r="M55" s="414">
        <f>VLOOKUP(C55,TONGHOPCONGDOI!$C$11:$AD$91,20,0)</f>
        <v>23</v>
      </c>
      <c r="N55" s="414">
        <f>VLOOKUP(C55,TONGHOPCONGDOI!$C$11:$AD$91,21,0)</f>
        <v>3</v>
      </c>
      <c r="O55" s="414">
        <f>VLOOKUP(C55,TONGHOPCONGDOI!$C$11:$AD$91,22,0)</f>
        <v>0</v>
      </c>
      <c r="P55" s="414">
        <f>VLOOKUP(C55,TONGHOPCONGDOI!$C$11:$AD$91,23,0)</f>
        <v>0</v>
      </c>
      <c r="Q55" s="414">
        <f>VLOOKUP(C55,TONGHOPCONGDOI!$C$11:$AD$91,24,0)</f>
        <v>0</v>
      </c>
      <c r="R55" s="414">
        <f>VLOOKUP(C55,TONGHOPCONGDOI!$C$11:$AD$91,25,0)</f>
        <v>0</v>
      </c>
      <c r="S55" s="414">
        <f t="shared" si="2"/>
        <v>20</v>
      </c>
      <c r="T55" s="415"/>
      <c r="U55" s="415"/>
      <c r="V55" s="415"/>
      <c r="W55" s="1029">
        <f t="shared" si="3"/>
        <v>1362685</v>
      </c>
      <c r="X55" s="414">
        <f t="shared" si="8"/>
        <v>3001265</v>
      </c>
      <c r="Y55" s="414"/>
      <c r="Z55" s="414">
        <f>VLOOKUP(C55,'CNKT '!C55:Z96,24,0)</f>
        <v>3001265</v>
      </c>
      <c r="AA55" s="1134">
        <f t="shared" si="5"/>
        <v>0</v>
      </c>
    </row>
    <row r="56" spans="1:27" s="1134" customFormat="1" ht="46.5" customHeight="1">
      <c r="A56" s="413">
        <v>41</v>
      </c>
      <c r="B56" s="413">
        <f>'Chấm công KT'!D53</f>
        <v>0</v>
      </c>
      <c r="C56" s="414" t="str">
        <f>TONGHOPCONGDOI!C51</f>
        <v>T. Khăm Pỏi</v>
      </c>
      <c r="D56" s="414"/>
      <c r="E56" s="415"/>
      <c r="F56" s="414">
        <f t="shared" si="0"/>
        <v>0</v>
      </c>
      <c r="G56" s="414">
        <f>VLOOKUP(C56,TONGHOPCONGDOI!C51:AE91,16,0)</f>
        <v>1578</v>
      </c>
      <c r="H56" s="414">
        <f>VLOOKUP(C56,TONGHOPCONGDOI!C51:AE91,17,0)</f>
        <v>0</v>
      </c>
      <c r="I56" s="414"/>
      <c r="J56" s="708">
        <f t="shared" si="7"/>
        <v>810.27596238787578</v>
      </c>
      <c r="K56" s="413" t="str">
        <f>VLOOKUP(C56,'BTH mủ tạp'!C57:AL96,36,0)</f>
        <v>A</v>
      </c>
      <c r="L56" s="1294">
        <f t="shared" si="1"/>
        <v>2981822</v>
      </c>
      <c r="M56" s="414">
        <f>VLOOKUP(C56,TONGHOPCONGDOI!$C$11:$AD$91,20,0)</f>
        <v>27</v>
      </c>
      <c r="N56" s="414">
        <f>VLOOKUP(C56,TONGHOPCONGDOI!$C$11:$AD$91,21,0)</f>
        <v>4</v>
      </c>
      <c r="O56" s="414">
        <f>VLOOKUP(C56,TONGHOPCONGDOI!$C$11:$AD$91,22,0)</f>
        <v>0</v>
      </c>
      <c r="P56" s="414">
        <f>VLOOKUP(C56,TONGHOPCONGDOI!$C$11:$AD$91,23,0)</f>
        <v>0</v>
      </c>
      <c r="Q56" s="414">
        <f>VLOOKUP(C56,TONGHOPCONGDOI!$C$11:$AD$91,24,0)</f>
        <v>0</v>
      </c>
      <c r="R56" s="414">
        <f>VLOOKUP(C56,TONGHOPCONGDOI!$C$11:$AD$91,25,0)</f>
        <v>0</v>
      </c>
      <c r="S56" s="414">
        <f t="shared" si="2"/>
        <v>20</v>
      </c>
      <c r="T56" s="415"/>
      <c r="U56" s="415"/>
      <c r="V56" s="415"/>
      <c r="W56" s="1029">
        <f t="shared" si="3"/>
        <v>1537293</v>
      </c>
      <c r="X56" s="414">
        <f t="shared" si="8"/>
        <v>4519115</v>
      </c>
      <c r="Y56" s="414"/>
      <c r="Z56" s="414">
        <f>VLOOKUP(C56,'CNKT '!C56:Z96,24,0)</f>
        <v>4519115</v>
      </c>
      <c r="AA56" s="1134">
        <f t="shared" si="5"/>
        <v>0</v>
      </c>
    </row>
    <row r="57" spans="1:27" s="1134" customFormat="1" ht="46.5" customHeight="1">
      <c r="A57" s="413">
        <v>42</v>
      </c>
      <c r="B57" s="413" t="str">
        <f>'Chấm công KT'!D54</f>
        <v>03491</v>
      </c>
      <c r="C57" s="414" t="str">
        <f>TONGHOPCONGDOI!C52</f>
        <v>Lăm Ngân</v>
      </c>
      <c r="D57" s="414"/>
      <c r="E57" s="415"/>
      <c r="F57" s="414">
        <f t="shared" si="0"/>
        <v>0</v>
      </c>
      <c r="G57" s="414">
        <f>VLOOKUP(C57,TONGHOPCONGDOI!C52:AE91,16,0)</f>
        <v>1904</v>
      </c>
      <c r="H57" s="414">
        <f>VLOOKUP(C57,TONGHOPCONGDOI!C52:AE91,17,0)</f>
        <v>0</v>
      </c>
      <c r="I57" s="414"/>
      <c r="J57" s="708">
        <f t="shared" si="7"/>
        <v>977.67137667079555</v>
      </c>
      <c r="K57" s="413" t="str">
        <f>VLOOKUP(C57,'BTH mủ tạp'!C58:AL96,36,0)</f>
        <v>A</v>
      </c>
      <c r="L57" s="1294">
        <f t="shared" si="1"/>
        <v>3597838</v>
      </c>
      <c r="M57" s="414">
        <f>VLOOKUP(C57,TONGHOPCONGDOI!$C$11:$AD$91,20,0)</f>
        <v>27</v>
      </c>
      <c r="N57" s="414">
        <f>VLOOKUP(C57,TONGHOPCONGDOI!$C$11:$AD$91,21,0)</f>
        <v>4</v>
      </c>
      <c r="O57" s="414">
        <f>VLOOKUP(C57,TONGHOPCONGDOI!$C$11:$AD$91,22,0)</f>
        <v>0</v>
      </c>
      <c r="P57" s="414">
        <f>VLOOKUP(C57,TONGHOPCONGDOI!$C$11:$AD$91,23,0)</f>
        <v>0</v>
      </c>
      <c r="Q57" s="414">
        <f>VLOOKUP(C57,TONGHOPCONGDOI!$C$11:$AD$91,24,0)</f>
        <v>0</v>
      </c>
      <c r="R57" s="414">
        <f>VLOOKUP(C57,TONGHOPCONGDOI!$C$11:$AD$91,25,0)</f>
        <v>0</v>
      </c>
      <c r="S57" s="414">
        <f t="shared" si="2"/>
        <v>20</v>
      </c>
      <c r="T57" s="415"/>
      <c r="U57" s="415"/>
      <c r="V57" s="415"/>
      <c r="W57" s="1029">
        <f t="shared" si="3"/>
        <v>1537293</v>
      </c>
      <c r="X57" s="414">
        <f t="shared" si="8"/>
        <v>5135131</v>
      </c>
      <c r="Y57" s="414"/>
      <c r="Z57" s="414">
        <f>VLOOKUP(C57,'CNKT '!C57:Z96,24,0)</f>
        <v>5135131</v>
      </c>
      <c r="AA57" s="1134">
        <f t="shared" si="5"/>
        <v>0</v>
      </c>
    </row>
    <row r="58" spans="1:27" s="1134" customFormat="1" ht="46.5" customHeight="1">
      <c r="A58" s="413">
        <v>43</v>
      </c>
      <c r="B58" s="413"/>
      <c r="C58" s="414" t="str">
        <f>TONGHOPCONGDOI!C53</f>
        <v>T. Không</v>
      </c>
      <c r="D58" s="414"/>
      <c r="E58" s="415"/>
      <c r="F58" s="414">
        <f t="shared" si="0"/>
        <v>0</v>
      </c>
      <c r="G58" s="414">
        <f>VLOOKUP(C58,TONGHOPCONGDOI!C53:AE91,16,0)</f>
        <v>1847</v>
      </c>
      <c r="H58" s="414">
        <f>VLOOKUP(C58,TONGHOPCONGDOI!C53:AE91,17,0)</f>
        <v>0</v>
      </c>
      <c r="I58" s="414"/>
      <c r="J58" s="708">
        <f t="shared" si="7"/>
        <v>948.4028533145796</v>
      </c>
      <c r="K58" s="413" t="str">
        <f>VLOOKUP(C58,'BTH mủ tạp'!C59:AL96,36,0)</f>
        <v>B</v>
      </c>
      <c r="L58" s="1294">
        <f t="shared" si="1"/>
        <v>3318484</v>
      </c>
      <c r="M58" s="414">
        <f>VLOOKUP(C58,TONGHOPCONGDOI!$C$11:$AD$91,20,0)</f>
        <v>27</v>
      </c>
      <c r="N58" s="414">
        <f>VLOOKUP(C58,TONGHOPCONGDOI!$C$11:$AD$91,21,0)</f>
        <v>4</v>
      </c>
      <c r="O58" s="414">
        <f>VLOOKUP(C58,TONGHOPCONGDOI!$C$11:$AD$91,22,0)</f>
        <v>0</v>
      </c>
      <c r="P58" s="414">
        <f>VLOOKUP(C58,TONGHOPCONGDOI!$C$11:$AD$91,23,0)</f>
        <v>0</v>
      </c>
      <c r="Q58" s="414">
        <f>VLOOKUP(C58,TONGHOPCONGDOI!$C$11:$AD$91,24,0)</f>
        <v>0</v>
      </c>
      <c r="R58" s="414">
        <f>VLOOKUP(C58,TONGHOPCONGDOI!$C$11:$AD$91,25,0)</f>
        <v>0</v>
      </c>
      <c r="S58" s="414">
        <f t="shared" si="2"/>
        <v>20</v>
      </c>
      <c r="T58" s="415"/>
      <c r="U58" s="415"/>
      <c r="V58" s="415"/>
      <c r="W58" s="1029">
        <f t="shared" si="3"/>
        <v>1537293</v>
      </c>
      <c r="X58" s="414">
        <f t="shared" si="8"/>
        <v>4855777</v>
      </c>
      <c r="Y58" s="414"/>
      <c r="Z58" s="414">
        <f>VLOOKUP(C58,'CNKT '!C58:Z96,24,0)</f>
        <v>4855777</v>
      </c>
      <c r="AA58" s="1134">
        <f t="shared" si="5"/>
        <v>0</v>
      </c>
    </row>
    <row r="59" spans="1:27" s="1134" customFormat="1" ht="46.5" customHeight="1">
      <c r="A59" s="413">
        <v>44</v>
      </c>
      <c r="B59" s="413" t="str">
        <f>'Chấm công KT'!D56</f>
        <v>03492</v>
      </c>
      <c r="C59" s="414" t="str">
        <f>TONGHOPCONGDOI!C54</f>
        <v>T. Lem</v>
      </c>
      <c r="D59" s="414"/>
      <c r="E59" s="415"/>
      <c r="F59" s="414">
        <f t="shared" si="0"/>
        <v>0</v>
      </c>
      <c r="G59" s="414">
        <f>VLOOKUP(C59,TONGHOPCONGDOI!C54:AE91,16,0)</f>
        <v>1332</v>
      </c>
      <c r="H59" s="414">
        <f>VLOOKUP(C59,TONGHOPCONGDOI!C54:AE91,17,0)</f>
        <v>0</v>
      </c>
      <c r="I59" s="414"/>
      <c r="J59" s="708">
        <f t="shared" si="7"/>
        <v>683.95917737683806</v>
      </c>
      <c r="K59" s="413" t="str">
        <f>VLOOKUP(C59,'BTH mủ tạp'!C60:AL96,36,0)</f>
        <v>A</v>
      </c>
      <c r="L59" s="1294">
        <f t="shared" si="1"/>
        <v>2516975</v>
      </c>
      <c r="M59" s="414">
        <f>VLOOKUP(C59,TONGHOPCONGDOI!$C$11:$AD$91,20,0)</f>
        <v>25</v>
      </c>
      <c r="N59" s="414">
        <f>VLOOKUP(C59,TONGHOPCONGDOI!$C$11:$AD$91,21,0)</f>
        <v>4</v>
      </c>
      <c r="O59" s="414">
        <f>VLOOKUP(C59,TONGHOPCONGDOI!$C$11:$AD$91,22,0)</f>
        <v>0</v>
      </c>
      <c r="P59" s="414">
        <f>VLOOKUP(C59,TONGHOPCONGDOI!$C$11:$AD$91,23,0)</f>
        <v>0</v>
      </c>
      <c r="Q59" s="414">
        <f>VLOOKUP(C59,TONGHOPCONGDOI!$C$11:$AD$91,24,0)</f>
        <v>0</v>
      </c>
      <c r="R59" s="414">
        <f>VLOOKUP(C59,TONGHOPCONGDOI!$C$11:$AD$91,25,0)</f>
        <v>0</v>
      </c>
      <c r="S59" s="414">
        <f t="shared" si="2"/>
        <v>20</v>
      </c>
      <c r="T59" s="415"/>
      <c r="U59" s="415"/>
      <c r="V59" s="415"/>
      <c r="W59" s="1029">
        <f t="shared" si="3"/>
        <v>1475683</v>
      </c>
      <c r="X59" s="414">
        <f t="shared" si="8"/>
        <v>3992658</v>
      </c>
      <c r="Y59" s="414"/>
      <c r="Z59" s="414">
        <f>VLOOKUP(C59,'CNKT '!C59:Z96,24,0)</f>
        <v>3992658</v>
      </c>
      <c r="AA59" s="1134">
        <f t="shared" si="5"/>
        <v>0</v>
      </c>
    </row>
    <row r="60" spans="1:27" s="1134" customFormat="1" ht="46.5" customHeight="1">
      <c r="A60" s="413">
        <v>45</v>
      </c>
      <c r="B60" s="413" t="str">
        <f>'Chấm công KT'!D57</f>
        <v>03493</v>
      </c>
      <c r="C60" s="414" t="str">
        <f>TONGHOPCONGDOI!C55</f>
        <v>T. Pông</v>
      </c>
      <c r="D60" s="414"/>
      <c r="E60" s="415"/>
      <c r="F60" s="414">
        <f t="shared" si="0"/>
        <v>0</v>
      </c>
      <c r="G60" s="414">
        <f>VLOOKUP(C60,TONGHOPCONGDOI!C55:AE91,16,0)</f>
        <v>2263</v>
      </c>
      <c r="H60" s="414">
        <f>VLOOKUP(C60,TONGHOPCONGDOI!C55:AE91,17,0)</f>
        <v>0</v>
      </c>
      <c r="I60" s="414"/>
      <c r="J60" s="708">
        <f t="shared" si="7"/>
        <v>1162.0117255283669</v>
      </c>
      <c r="K60" s="413" t="str">
        <f>VLOOKUP(C60,'BTH mủ tạp'!C61:AL96,36,0)</f>
        <v>A</v>
      </c>
      <c r="L60" s="1294">
        <f t="shared" si="1"/>
        <v>4276212</v>
      </c>
      <c r="M60" s="414">
        <f>VLOOKUP(C60,TONGHOPCONGDOI!$C$11:$AD$91,20,0)</f>
        <v>26</v>
      </c>
      <c r="N60" s="414">
        <f>VLOOKUP(C60,TONGHOPCONGDOI!$C$11:$AD$91,21,0)</f>
        <v>4</v>
      </c>
      <c r="O60" s="414">
        <f>VLOOKUP(C60,TONGHOPCONGDOI!$C$11:$AD$91,22,0)</f>
        <v>0</v>
      </c>
      <c r="P60" s="414">
        <f>VLOOKUP(C60,TONGHOPCONGDOI!$C$11:$AD$91,23,0)</f>
        <v>0</v>
      </c>
      <c r="Q60" s="414">
        <f>VLOOKUP(C60,TONGHOPCONGDOI!$C$11:$AD$91,24,0)</f>
        <v>0</v>
      </c>
      <c r="R60" s="414">
        <f>VLOOKUP(C60,TONGHOPCONGDOI!$C$11:$AD$91,25,0)</f>
        <v>0</v>
      </c>
      <c r="S60" s="414">
        <f t="shared" si="2"/>
        <v>20</v>
      </c>
      <c r="T60" s="415"/>
      <c r="U60" s="415"/>
      <c r="V60" s="415"/>
      <c r="W60" s="1029">
        <f t="shared" si="3"/>
        <v>1506488</v>
      </c>
      <c r="X60" s="414">
        <f t="shared" si="8"/>
        <v>5782700</v>
      </c>
      <c r="Y60" s="414"/>
      <c r="Z60" s="414">
        <f>VLOOKUP(C60,'CNKT '!C60:Z96,24,0)</f>
        <v>5782700</v>
      </c>
      <c r="AA60" s="1134">
        <f t="shared" si="5"/>
        <v>0</v>
      </c>
    </row>
    <row r="61" spans="1:27" s="1134" customFormat="1" ht="46.5" customHeight="1">
      <c r="A61" s="413">
        <v>46</v>
      </c>
      <c r="B61" s="413" t="str">
        <f>'Chấm công KT'!D58</f>
        <v>03496</v>
      </c>
      <c r="C61" s="414" t="str">
        <f>TONGHOPCONGDOI!C56</f>
        <v>T. Lốp</v>
      </c>
      <c r="D61" s="414"/>
      <c r="E61" s="415"/>
      <c r="F61" s="414">
        <f t="shared" si="0"/>
        <v>0</v>
      </c>
      <c r="G61" s="414">
        <f>VLOOKUP(C61,TONGHOPCONGDOI!C56:AE91,16,0)</f>
        <v>2111</v>
      </c>
      <c r="H61" s="414">
        <f>VLOOKUP(C61,TONGHOPCONGDOI!C56:AE91,17,0)</f>
        <v>0</v>
      </c>
      <c r="I61" s="414"/>
      <c r="J61" s="708">
        <f t="shared" si="7"/>
        <v>1083.9623299117907</v>
      </c>
      <c r="K61" s="413" t="str">
        <f>VLOOKUP(C61,'BTH mủ tạp'!C62:AL96,36,0)</f>
        <v>B</v>
      </c>
      <c r="L61" s="1294">
        <f t="shared" si="1"/>
        <v>3792810</v>
      </c>
      <c r="M61" s="414">
        <f>VLOOKUP(C61,TONGHOPCONGDOI!$C$11:$AD$91,20,0)</f>
        <v>24</v>
      </c>
      <c r="N61" s="414">
        <f>VLOOKUP(C61,TONGHOPCONGDOI!$C$11:$AD$91,21,0)</f>
        <v>4</v>
      </c>
      <c r="O61" s="414">
        <f>VLOOKUP(C61,TONGHOPCONGDOI!$C$11:$AD$91,22,0)</f>
        <v>0</v>
      </c>
      <c r="P61" s="414">
        <f>VLOOKUP(C61,TONGHOPCONGDOI!$C$11:$AD$91,23,0)</f>
        <v>0</v>
      </c>
      <c r="Q61" s="414">
        <f>VLOOKUP(C61,TONGHOPCONGDOI!$C$11:$AD$91,24,0)</f>
        <v>0</v>
      </c>
      <c r="R61" s="414">
        <f>VLOOKUP(C61,TONGHOPCONGDOI!$C$11:$AD$91,25,0)</f>
        <v>0</v>
      </c>
      <c r="S61" s="414">
        <f t="shared" si="2"/>
        <v>20</v>
      </c>
      <c r="T61" s="415"/>
      <c r="U61" s="415"/>
      <c r="V61" s="415"/>
      <c r="W61" s="1029">
        <f t="shared" si="3"/>
        <v>1444877</v>
      </c>
      <c r="X61" s="414">
        <f t="shared" si="8"/>
        <v>5237687</v>
      </c>
      <c r="Y61" s="414"/>
      <c r="Z61" s="414">
        <f>VLOOKUP(C61,'CNKT '!C61:Z96,24,0)</f>
        <v>5237687</v>
      </c>
      <c r="AA61" s="1134">
        <f t="shared" si="5"/>
        <v>0</v>
      </c>
    </row>
    <row r="62" spans="1:27" s="1134" customFormat="1" ht="46.5" customHeight="1">
      <c r="A62" s="413">
        <v>47</v>
      </c>
      <c r="B62" s="413" t="e">
        <f>'Chấm công KT'!D59</f>
        <v>#N/A</v>
      </c>
      <c r="C62" s="414" t="str">
        <f>TONGHOPCONGDOI!C57</f>
        <v>N. Nu Ni</v>
      </c>
      <c r="D62" s="414"/>
      <c r="E62" s="415"/>
      <c r="F62" s="414">
        <f t="shared" si="0"/>
        <v>0</v>
      </c>
      <c r="G62" s="414">
        <f>VLOOKUP(C62,TONGHOPCONGDOI!C57:AE91,16,0)</f>
        <v>2148</v>
      </c>
      <c r="H62" s="414">
        <f>VLOOKUP(C62,TONGHOPCONGDOI!C57:AE91,17,0)</f>
        <v>0</v>
      </c>
      <c r="I62" s="414"/>
      <c r="J62" s="708">
        <f t="shared" si="7"/>
        <v>1102.9611959500362</v>
      </c>
      <c r="K62" s="413" t="str">
        <f>VLOOKUP(C62,'BTH mủ tạp'!C63:AL96,36,0)</f>
        <v>B</v>
      </c>
      <c r="L62" s="1294">
        <f t="shared" si="1"/>
        <v>3859288</v>
      </c>
      <c r="M62" s="414">
        <f>VLOOKUP(C62,TONGHOPCONGDOI!$C$11:$AD$91,20,0)</f>
        <v>24</v>
      </c>
      <c r="N62" s="414">
        <f>VLOOKUP(C62,TONGHOPCONGDOI!$C$11:$AD$91,21,0)</f>
        <v>4</v>
      </c>
      <c r="O62" s="414">
        <f>VLOOKUP(C62,TONGHOPCONGDOI!$C$11:$AD$91,22,0)</f>
        <v>0</v>
      </c>
      <c r="P62" s="414">
        <f>VLOOKUP(C62,TONGHOPCONGDOI!$C$11:$AD$91,23,0)</f>
        <v>0</v>
      </c>
      <c r="Q62" s="414">
        <f>VLOOKUP(C62,TONGHOPCONGDOI!$C$11:$AD$91,24,0)</f>
        <v>0</v>
      </c>
      <c r="R62" s="414">
        <f>VLOOKUP(C62,TONGHOPCONGDOI!$C$11:$AD$91,25,0)</f>
        <v>0</v>
      </c>
      <c r="S62" s="414">
        <f t="shared" si="2"/>
        <v>20</v>
      </c>
      <c r="T62" s="415"/>
      <c r="U62" s="415"/>
      <c r="V62" s="415"/>
      <c r="W62" s="1029">
        <f t="shared" si="3"/>
        <v>1444877</v>
      </c>
      <c r="X62" s="414">
        <f t="shared" si="8"/>
        <v>5304165</v>
      </c>
      <c r="Y62" s="414"/>
      <c r="Z62" s="414">
        <f>VLOOKUP(C62,'CNKT '!C62:Z96,24,0)</f>
        <v>5304165</v>
      </c>
      <c r="AA62" s="1134">
        <f t="shared" si="5"/>
        <v>0</v>
      </c>
    </row>
    <row r="63" spans="1:27" s="1134" customFormat="1" ht="46.5" customHeight="1">
      <c r="A63" s="413">
        <v>48</v>
      </c>
      <c r="B63" s="413" t="str">
        <f>'Chấm công KT'!D60</f>
        <v>03494</v>
      </c>
      <c r="C63" s="414" t="str">
        <f>TONGHOPCONGDOI!C58</f>
        <v>T. Đi</v>
      </c>
      <c r="D63" s="414"/>
      <c r="E63" s="415"/>
      <c r="F63" s="414">
        <f t="shared" si="0"/>
        <v>0</v>
      </c>
      <c r="G63" s="414">
        <f>VLOOKUP(C63,TONGHOPCONGDOI!C58:AE91,16,0)</f>
        <v>1454</v>
      </c>
      <c r="H63" s="414">
        <f>VLOOKUP(C63,TONGHOPCONGDOI!C58:AE91,17,0)</f>
        <v>0</v>
      </c>
      <c r="I63" s="414"/>
      <c r="J63" s="708">
        <f t="shared" si="7"/>
        <v>746.60408701645838</v>
      </c>
      <c r="K63" s="413" t="str">
        <f>VLOOKUP(C63,'BTH mủ tạp'!C64:AL96,36,0)</f>
        <v>C</v>
      </c>
      <c r="L63" s="1294">
        <f t="shared" si="1"/>
        <v>2477262</v>
      </c>
      <c r="M63" s="414">
        <f>VLOOKUP(C63,TONGHOPCONGDOI!$C$11:$AD$91,20,0)</f>
        <v>25</v>
      </c>
      <c r="N63" s="414">
        <f>VLOOKUP(C63,TONGHOPCONGDOI!$C$11:$AD$91,21,0)</f>
        <v>4</v>
      </c>
      <c r="O63" s="414">
        <f>VLOOKUP(C63,TONGHOPCONGDOI!$C$11:$AD$91,22,0)</f>
        <v>0</v>
      </c>
      <c r="P63" s="414">
        <f>VLOOKUP(C63,TONGHOPCONGDOI!$C$11:$AD$91,23,0)</f>
        <v>0</v>
      </c>
      <c r="Q63" s="414">
        <f>VLOOKUP(C63,TONGHOPCONGDOI!$C$11:$AD$91,24,0)</f>
        <v>0</v>
      </c>
      <c r="R63" s="414">
        <f>VLOOKUP(C63,TONGHOPCONGDOI!$C$11:$AD$91,25,0)</f>
        <v>0</v>
      </c>
      <c r="S63" s="414">
        <f t="shared" si="2"/>
        <v>20</v>
      </c>
      <c r="T63" s="415"/>
      <c r="U63" s="415"/>
      <c r="V63" s="415"/>
      <c r="W63" s="1029">
        <f t="shared" si="3"/>
        <v>1475683</v>
      </c>
      <c r="X63" s="414">
        <f t="shared" si="8"/>
        <v>3952945</v>
      </c>
      <c r="Y63" s="414"/>
      <c r="Z63" s="414">
        <f>VLOOKUP(C63,'CNKT '!C63:Z96,24,0)</f>
        <v>3952945</v>
      </c>
      <c r="AA63" s="1134">
        <f t="shared" si="5"/>
        <v>0</v>
      </c>
    </row>
    <row r="64" spans="1:27" s="1134" customFormat="1" ht="46.5" customHeight="1">
      <c r="A64" s="413">
        <v>49</v>
      </c>
      <c r="B64" s="413" t="str">
        <f>'Chấm công KT'!D61</f>
        <v>03495</v>
      </c>
      <c r="C64" s="414" t="str">
        <f>TONGHOPCONGDOI!C59</f>
        <v>N. On Xi</v>
      </c>
      <c r="D64" s="414"/>
      <c r="E64" s="415"/>
      <c r="F64" s="414">
        <f t="shared" si="0"/>
        <v>0</v>
      </c>
      <c r="G64" s="414">
        <f>VLOOKUP(C64,TONGHOPCONGDOI!C59:AE91,16,0)</f>
        <v>666</v>
      </c>
      <c r="H64" s="414">
        <f>VLOOKUP(C64,TONGHOPCONGDOI!C59:AE91,17,0)</f>
        <v>0</v>
      </c>
      <c r="I64" s="414"/>
      <c r="J64" s="708">
        <f t="shared" si="7"/>
        <v>341.97958868841903</v>
      </c>
      <c r="K64" s="413" t="str">
        <f>VLOOKUP(C64,'BTH mủ tạp'!C65:AL96,36,0)</f>
        <v>A</v>
      </c>
      <c r="L64" s="1294">
        <f t="shared" si="1"/>
        <v>1258488</v>
      </c>
      <c r="M64" s="414">
        <f>VLOOKUP(C64,TONGHOPCONGDOI!$C$11:$AD$91,20,0)</f>
        <v>22</v>
      </c>
      <c r="N64" s="414">
        <f>VLOOKUP(C64,TONGHOPCONGDOI!$C$11:$AD$91,21,0)</f>
        <v>4</v>
      </c>
      <c r="O64" s="414">
        <f>VLOOKUP(C64,TONGHOPCONGDOI!$C$11:$AD$91,22,0)</f>
        <v>0</v>
      </c>
      <c r="P64" s="414">
        <f>VLOOKUP(C64,TONGHOPCONGDOI!$C$11:$AD$91,23,0)</f>
        <v>0</v>
      </c>
      <c r="Q64" s="414">
        <f>VLOOKUP(C64,TONGHOPCONGDOI!$C$11:$AD$91,24,0)</f>
        <v>0</v>
      </c>
      <c r="R64" s="414">
        <f>VLOOKUP(C64,TONGHOPCONGDOI!$C$11:$AD$91,25,0)</f>
        <v>0</v>
      </c>
      <c r="S64" s="414">
        <f t="shared" si="2"/>
        <v>20</v>
      </c>
      <c r="T64" s="415"/>
      <c r="U64" s="415"/>
      <c r="V64" s="415"/>
      <c r="W64" s="1029">
        <f t="shared" si="3"/>
        <v>1383266</v>
      </c>
      <c r="X64" s="414">
        <f t="shared" si="8"/>
        <v>2641754</v>
      </c>
      <c r="Y64" s="414"/>
      <c r="Z64" s="414">
        <f>VLOOKUP(C64,'CNKT '!C64:Z96,24,0)</f>
        <v>2641754</v>
      </c>
      <c r="AA64" s="1134">
        <f t="shared" si="5"/>
        <v>0</v>
      </c>
    </row>
    <row r="65" spans="1:27" s="1134" customFormat="1" ht="46.5" customHeight="1">
      <c r="A65" s="413">
        <v>50</v>
      </c>
      <c r="B65" s="413"/>
      <c r="C65" s="414" t="str">
        <f>TONGHOPCONGDOI!C60</f>
        <v>N. Thông La</v>
      </c>
      <c r="D65" s="414"/>
      <c r="E65" s="415"/>
      <c r="F65" s="414">
        <f t="shared" si="0"/>
        <v>0</v>
      </c>
      <c r="G65" s="414">
        <f>VLOOKUP(C65,TONGHOPCONGDOI!C60:AE91,16,0)</f>
        <v>1646</v>
      </c>
      <c r="H65" s="414">
        <f>VLOOKUP(C65,TONGHOPCONGDOI!C60:AE91,17,0)</f>
        <v>0</v>
      </c>
      <c r="I65" s="414"/>
      <c r="J65" s="708">
        <f t="shared" si="7"/>
        <v>845.1927972689756</v>
      </c>
      <c r="K65" s="413" t="str">
        <f>VLOOKUP(C65,'BTH mủ tạp'!C66:AL96,36,0)</f>
        <v>A</v>
      </c>
      <c r="L65" s="1294">
        <f t="shared" si="1"/>
        <v>3110316</v>
      </c>
      <c r="M65" s="414">
        <f>VLOOKUP(C65,TONGHOPCONGDOI!$C$11:$AD$91,20,0)</f>
        <v>27</v>
      </c>
      <c r="N65" s="414">
        <f>VLOOKUP(C65,TONGHOPCONGDOI!$C$11:$AD$91,21,0)</f>
        <v>4</v>
      </c>
      <c r="O65" s="414">
        <f>VLOOKUP(C65,TONGHOPCONGDOI!$C$11:$AD$91,22,0)</f>
        <v>0</v>
      </c>
      <c r="P65" s="414">
        <f>VLOOKUP(C65,TONGHOPCONGDOI!$C$11:$AD$91,23,0)</f>
        <v>0</v>
      </c>
      <c r="Q65" s="414">
        <f>VLOOKUP(C65,TONGHOPCONGDOI!$C$11:$AD$91,24,0)</f>
        <v>0</v>
      </c>
      <c r="R65" s="414">
        <f>VLOOKUP(C65,TONGHOPCONGDOI!$C$11:$AD$91,25,0)</f>
        <v>0</v>
      </c>
      <c r="S65" s="414">
        <f t="shared" si="2"/>
        <v>20</v>
      </c>
      <c r="T65" s="415"/>
      <c r="U65" s="415"/>
      <c r="V65" s="415"/>
      <c r="W65" s="1029">
        <f t="shared" si="3"/>
        <v>1537293</v>
      </c>
      <c r="X65" s="414">
        <f t="shared" si="8"/>
        <v>4647609</v>
      </c>
      <c r="Y65" s="414"/>
      <c r="Z65" s="414">
        <f>VLOOKUP(C65,'CNKT '!C65:Z96,24,0)</f>
        <v>4647609</v>
      </c>
      <c r="AA65" s="1134">
        <f t="shared" si="5"/>
        <v>0</v>
      </c>
    </row>
    <row r="66" spans="1:27" s="1134" customFormat="1" ht="46.5" customHeight="1">
      <c r="A66" s="413">
        <v>51</v>
      </c>
      <c r="B66" s="413" t="str">
        <f>'Chấm công KT'!D63</f>
        <v>03497</v>
      </c>
      <c r="C66" s="414" t="str">
        <f>TONGHOPCONGDOI!C61</f>
        <v>T. Son Xay</v>
      </c>
      <c r="D66" s="414"/>
      <c r="E66" s="415"/>
      <c r="F66" s="414">
        <f t="shared" si="0"/>
        <v>0</v>
      </c>
      <c r="G66" s="414">
        <f>VLOOKUP(C66,TONGHOPCONGDOI!C61:AE91,16,0)</f>
        <v>1770</v>
      </c>
      <c r="H66" s="414">
        <f>VLOOKUP(C66,TONGHOPCONGDOI!C61:AE91,17,0)</f>
        <v>0</v>
      </c>
      <c r="I66" s="414"/>
      <c r="J66" s="708">
        <f t="shared" si="7"/>
        <v>908.864672640393</v>
      </c>
      <c r="K66" s="413" t="str">
        <f>VLOOKUP(C66,'BTH mủ tạp'!C67:AL96,36,0)</f>
        <v>A</v>
      </c>
      <c r="L66" s="1294">
        <f t="shared" si="1"/>
        <v>3344629</v>
      </c>
      <c r="M66" s="414">
        <f>VLOOKUP(C66,TONGHOPCONGDOI!$C$11:$AD$91,20,0)</f>
        <v>25</v>
      </c>
      <c r="N66" s="414">
        <f>VLOOKUP(C66,TONGHOPCONGDOI!$C$11:$AD$91,21,0)</f>
        <v>4</v>
      </c>
      <c r="O66" s="414">
        <f>VLOOKUP(C66,TONGHOPCONGDOI!$C$11:$AD$91,22,0)</f>
        <v>0</v>
      </c>
      <c r="P66" s="414">
        <f>VLOOKUP(C66,TONGHOPCONGDOI!$C$11:$AD$91,23,0)</f>
        <v>0</v>
      </c>
      <c r="Q66" s="414">
        <f>VLOOKUP(C66,TONGHOPCONGDOI!$C$11:$AD$91,24,0)</f>
        <v>0</v>
      </c>
      <c r="R66" s="414">
        <f>VLOOKUP(C66,TONGHOPCONGDOI!$C$11:$AD$91,25,0)</f>
        <v>0</v>
      </c>
      <c r="S66" s="414">
        <f t="shared" si="2"/>
        <v>20</v>
      </c>
      <c r="T66" s="415"/>
      <c r="U66" s="415"/>
      <c r="V66" s="415"/>
      <c r="W66" s="1029">
        <f t="shared" si="3"/>
        <v>1475683</v>
      </c>
      <c r="X66" s="414">
        <f t="shared" si="8"/>
        <v>4820312</v>
      </c>
      <c r="Y66" s="414"/>
      <c r="Z66" s="414">
        <f>VLOOKUP(C66,'CNKT '!C66:Z96,24,0)</f>
        <v>4820312</v>
      </c>
      <c r="AA66" s="1134">
        <f t="shared" si="5"/>
        <v>0</v>
      </c>
    </row>
    <row r="67" spans="1:27" s="1134" customFormat="1" ht="46.5" customHeight="1">
      <c r="A67" s="413">
        <v>52</v>
      </c>
      <c r="B67" s="413" t="str">
        <f>'Chấm công KT'!D64</f>
        <v>03498</v>
      </c>
      <c r="C67" s="414" t="str">
        <f>TONGHOPCONGDOI!C62</f>
        <v>N. Lăm Phay</v>
      </c>
      <c r="D67" s="414"/>
      <c r="E67" s="415"/>
      <c r="F67" s="414">
        <f t="shared" si="0"/>
        <v>0</v>
      </c>
      <c r="G67" s="414">
        <f>VLOOKUP(C67,TONGHOPCONGDOI!C62:AE91,16,0)</f>
        <v>1752</v>
      </c>
      <c r="H67" s="414">
        <f>VLOOKUP(C67,TONGHOPCONGDOI!C62:AE91,17,0)</f>
        <v>0</v>
      </c>
      <c r="I67" s="414"/>
      <c r="J67" s="708">
        <f t="shared" si="7"/>
        <v>899.62198105421942</v>
      </c>
      <c r="K67" s="413" t="str">
        <f>VLOOKUP(C67,'BTH mủ tạp'!C68:AL96,36,0)</f>
        <v>A</v>
      </c>
      <c r="L67" s="1294">
        <f t="shared" si="1"/>
        <v>3310616</v>
      </c>
      <c r="M67" s="414">
        <f>VLOOKUP(C67,TONGHOPCONGDOI!$C$11:$AD$91,20,0)</f>
        <v>25</v>
      </c>
      <c r="N67" s="414">
        <f>VLOOKUP(C67,TONGHOPCONGDOI!$C$11:$AD$91,21,0)</f>
        <v>4</v>
      </c>
      <c r="O67" s="414">
        <f>VLOOKUP(C67,TONGHOPCONGDOI!$C$11:$AD$91,22,0)</f>
        <v>0</v>
      </c>
      <c r="P67" s="414">
        <f>VLOOKUP(C67,TONGHOPCONGDOI!$C$11:$AD$91,23,0)</f>
        <v>0</v>
      </c>
      <c r="Q67" s="414">
        <f>VLOOKUP(C67,TONGHOPCONGDOI!$C$11:$AD$91,24,0)</f>
        <v>0</v>
      </c>
      <c r="R67" s="414">
        <f>VLOOKUP(C67,TONGHOPCONGDOI!$C$11:$AD$91,25,0)</f>
        <v>0</v>
      </c>
      <c r="S67" s="414">
        <f t="shared" si="2"/>
        <v>20</v>
      </c>
      <c r="T67" s="415"/>
      <c r="U67" s="415"/>
      <c r="V67" s="415"/>
      <c r="W67" s="1029">
        <f t="shared" si="3"/>
        <v>1475683</v>
      </c>
      <c r="X67" s="414">
        <f t="shared" si="8"/>
        <v>4786299</v>
      </c>
      <c r="Y67" s="414"/>
      <c r="Z67" s="414">
        <f>VLOOKUP(C67,'CNKT '!C67:Z96,24,0)</f>
        <v>4786299</v>
      </c>
      <c r="AA67" s="1134">
        <f t="shared" si="5"/>
        <v>0</v>
      </c>
    </row>
    <row r="68" spans="1:27" s="1134" customFormat="1" ht="46.5" customHeight="1">
      <c r="A68" s="413">
        <v>53</v>
      </c>
      <c r="B68" s="413" t="str">
        <f>'Chấm công KT'!D65</f>
        <v>02706</v>
      </c>
      <c r="C68" s="414" t="str">
        <f>TONGHOPCONGDOI!C63</f>
        <v>T. Nhung</v>
      </c>
      <c r="D68" s="414"/>
      <c r="E68" s="415"/>
      <c r="F68" s="414">
        <f t="shared" si="0"/>
        <v>0</v>
      </c>
      <c r="G68" s="414">
        <f>VLOOKUP(C68,TONGHOPCONGDOI!C63:AE91,16,0)</f>
        <v>1702</v>
      </c>
      <c r="H68" s="414">
        <f>VLOOKUP(C68,TONGHOPCONGDOI!C63:AE91,17,0)</f>
        <v>0</v>
      </c>
      <c r="I68" s="414"/>
      <c r="J68" s="708">
        <f t="shared" si="7"/>
        <v>873.94783775929307</v>
      </c>
      <c r="K68" s="413" t="str">
        <f>VLOOKUP(C68,'BTH mủ tạp'!C69:AL96,36,0)</f>
        <v>A</v>
      </c>
      <c r="L68" s="1294">
        <f t="shared" si="1"/>
        <v>3216135</v>
      </c>
      <c r="M68" s="414">
        <f>VLOOKUP(C68,TONGHOPCONGDOI!$C$11:$AD$91,20,0)</f>
        <v>25</v>
      </c>
      <c r="N68" s="414">
        <f>VLOOKUP(C68,TONGHOPCONGDOI!$C$11:$AD$91,21,0)</f>
        <v>4</v>
      </c>
      <c r="O68" s="414">
        <f>VLOOKUP(C68,TONGHOPCONGDOI!$C$11:$AD$91,22,0)</f>
        <v>0</v>
      </c>
      <c r="P68" s="414">
        <f>VLOOKUP(C68,TONGHOPCONGDOI!$C$11:$AD$91,23,0)</f>
        <v>0</v>
      </c>
      <c r="Q68" s="414">
        <f>VLOOKUP(C68,TONGHOPCONGDOI!$C$11:$AD$91,24,0)</f>
        <v>0</v>
      </c>
      <c r="R68" s="414">
        <f>VLOOKUP(C68,TONGHOPCONGDOI!$C$11:$AD$91,25,0)</f>
        <v>0</v>
      </c>
      <c r="S68" s="414">
        <f t="shared" si="2"/>
        <v>20</v>
      </c>
      <c r="T68" s="415"/>
      <c r="U68" s="415"/>
      <c r="V68" s="415"/>
      <c r="W68" s="1029">
        <f t="shared" si="3"/>
        <v>1475683</v>
      </c>
      <c r="X68" s="414">
        <f t="shared" si="8"/>
        <v>4691818</v>
      </c>
      <c r="Y68" s="414"/>
      <c r="Z68" s="414">
        <f>VLOOKUP(C68,'CNKT '!C68:Z96,24,0)</f>
        <v>4691818</v>
      </c>
      <c r="AA68" s="1134">
        <f t="shared" si="5"/>
        <v>0</v>
      </c>
    </row>
    <row r="69" spans="1:27" s="1134" customFormat="1" ht="46.5" customHeight="1">
      <c r="A69" s="413">
        <v>54</v>
      </c>
      <c r="B69" s="413"/>
      <c r="C69" s="414" t="str">
        <f>TONGHOPCONGDOI!C64</f>
        <v>T. Khay Khăm</v>
      </c>
      <c r="D69" s="414"/>
      <c r="E69" s="415"/>
      <c r="F69" s="414">
        <f t="shared" si="0"/>
        <v>0</v>
      </c>
      <c r="G69" s="414">
        <f>VLOOKUP(C69,TONGHOPCONGDOI!C64:AE91,16,0)</f>
        <v>838</v>
      </c>
      <c r="H69" s="414">
        <f>VLOOKUP(C69,TONGHOPCONGDOI!C64:AE91,17,0)</f>
        <v>0</v>
      </c>
      <c r="I69" s="414"/>
      <c r="J69" s="708">
        <f t="shared" si="7"/>
        <v>430.2986416229657</v>
      </c>
      <c r="K69" s="413" t="str">
        <f>VLOOKUP(C69,'BTH mủ tạp'!C70:AL96,36,0)</f>
        <v>B</v>
      </c>
      <c r="L69" s="1294">
        <f t="shared" si="1"/>
        <v>1505625</v>
      </c>
      <c r="M69" s="414">
        <f>VLOOKUP(C69,TONGHOPCONGDOI!$C$11:$AD$91,20,0)</f>
        <v>23</v>
      </c>
      <c r="N69" s="414">
        <f>VLOOKUP(C69,TONGHOPCONGDOI!$C$11:$AD$91,21,0)</f>
        <v>2</v>
      </c>
      <c r="O69" s="414">
        <f>VLOOKUP(C69,TONGHOPCONGDOI!$C$11:$AD$91,22,0)</f>
        <v>0</v>
      </c>
      <c r="P69" s="414">
        <f>VLOOKUP(C69,TONGHOPCONGDOI!$C$11:$AD$91,23,0)</f>
        <v>0</v>
      </c>
      <c r="Q69" s="414">
        <f>VLOOKUP(C69,TONGHOPCONGDOI!$C$11:$AD$91,24,0)</f>
        <v>0</v>
      </c>
      <c r="R69" s="414">
        <f>VLOOKUP(C69,TONGHOPCONGDOI!$C$11:$AD$91,25,0)</f>
        <v>0</v>
      </c>
      <c r="S69" s="414">
        <f t="shared" si="2"/>
        <v>20</v>
      </c>
      <c r="T69" s="415"/>
      <c r="U69" s="415"/>
      <c r="V69" s="415"/>
      <c r="W69" s="1029">
        <f t="shared" si="3"/>
        <v>1311298</v>
      </c>
      <c r="X69" s="414">
        <f t="shared" si="8"/>
        <v>2816923</v>
      </c>
      <c r="Y69" s="414"/>
      <c r="Z69" s="414">
        <f>VLOOKUP(C69,'CNKT '!C69:Z96,24,0)</f>
        <v>2816923</v>
      </c>
      <c r="AA69" s="1134">
        <f t="shared" si="5"/>
        <v>0</v>
      </c>
    </row>
    <row r="70" spans="1:27" s="1134" customFormat="1" ht="46.5" customHeight="1">
      <c r="A70" s="413">
        <v>55</v>
      </c>
      <c r="B70" s="413"/>
      <c r="C70" s="414" t="str">
        <f>TONGHOPCONGDOI!C65</f>
        <v>N. Khay Chăn</v>
      </c>
      <c r="D70" s="414"/>
      <c r="E70" s="415"/>
      <c r="F70" s="414">
        <f t="shared" si="0"/>
        <v>0</v>
      </c>
      <c r="G70" s="414">
        <f>VLOOKUP(C70,TONGHOPCONGDOI!C65:AE91,16,0)</f>
        <v>1981</v>
      </c>
      <c r="H70" s="414">
        <f>VLOOKUP(C70,TONGHOPCONGDOI!C65:AE91,17,0)</f>
        <v>0</v>
      </c>
      <c r="I70" s="414"/>
      <c r="J70" s="708">
        <f t="shared" si="7"/>
        <v>1017.2095573449822</v>
      </c>
      <c r="K70" s="413" t="str">
        <f>VLOOKUP(C70,'BTH mủ tạp'!C71:AL96,36,0)</f>
        <v>A</v>
      </c>
      <c r="L70" s="1294">
        <f t="shared" si="1"/>
        <v>3743339</v>
      </c>
      <c r="M70" s="414">
        <f>VLOOKUP(C70,TONGHOPCONGDOI!$C$11:$AD$91,20,0)</f>
        <v>27</v>
      </c>
      <c r="N70" s="414">
        <f>VLOOKUP(C70,TONGHOPCONGDOI!$C$11:$AD$91,21,0)</f>
        <v>4</v>
      </c>
      <c r="O70" s="414">
        <f>VLOOKUP(C70,TONGHOPCONGDOI!$C$11:$AD$91,22,0)</f>
        <v>0</v>
      </c>
      <c r="P70" s="414">
        <f>VLOOKUP(C70,TONGHOPCONGDOI!$C$11:$AD$91,23,0)</f>
        <v>0</v>
      </c>
      <c r="Q70" s="414">
        <f>VLOOKUP(C70,TONGHOPCONGDOI!$C$11:$AD$91,24,0)</f>
        <v>0</v>
      </c>
      <c r="R70" s="414">
        <f>VLOOKUP(C70,TONGHOPCONGDOI!$C$11:$AD$91,25,0)</f>
        <v>0</v>
      </c>
      <c r="S70" s="414">
        <f t="shared" si="2"/>
        <v>20</v>
      </c>
      <c r="T70" s="415"/>
      <c r="U70" s="415"/>
      <c r="V70" s="415"/>
      <c r="W70" s="1029">
        <f t="shared" si="3"/>
        <v>1537293</v>
      </c>
      <c r="X70" s="414">
        <f t="shared" si="8"/>
        <v>5280632</v>
      </c>
      <c r="Y70" s="414"/>
      <c r="Z70" s="414">
        <f>VLOOKUP(C70,'CNKT '!C70:Z96,24,0)</f>
        <v>5280632</v>
      </c>
      <c r="AA70" s="1134">
        <f t="shared" si="5"/>
        <v>0</v>
      </c>
    </row>
    <row r="71" spans="1:27" s="1134" customFormat="1" ht="46.5" customHeight="1">
      <c r="A71" s="413">
        <v>56</v>
      </c>
      <c r="B71" s="413" t="str">
        <f>'Chấm công KT'!D68</f>
        <v>03501</v>
      </c>
      <c r="C71" s="414" t="str">
        <f>TONGHOPCONGDOI!C66</f>
        <v>T Dăn</v>
      </c>
      <c r="D71" s="414"/>
      <c r="E71" s="415"/>
      <c r="F71" s="414">
        <f t="shared" si="0"/>
        <v>0</v>
      </c>
      <c r="G71" s="414">
        <f>VLOOKUP(C71,TONGHOPCONGDOI!C66:AE91,16,0)</f>
        <v>1407</v>
      </c>
      <c r="H71" s="414">
        <f>VLOOKUP(C71,TONGHOPCONGDOI!C66:AE91,17,0)</f>
        <v>0</v>
      </c>
      <c r="I71" s="414"/>
      <c r="J71" s="708">
        <f t="shared" si="7"/>
        <v>722.47039231922759</v>
      </c>
      <c r="K71" s="413" t="str">
        <f>VLOOKUP(C71,'BTH mủ tạp'!C72:AL96,36,0)</f>
        <v>B</v>
      </c>
      <c r="L71" s="1294">
        <f t="shared" si="1"/>
        <v>2527941</v>
      </c>
      <c r="M71" s="414">
        <f>VLOOKUP(C71,TONGHOPCONGDOI!$C$11:$AD$91,20,0)</f>
        <v>26</v>
      </c>
      <c r="N71" s="414">
        <f>VLOOKUP(C71,TONGHOPCONGDOI!$C$11:$AD$91,21,0)</f>
        <v>3</v>
      </c>
      <c r="O71" s="414">
        <f>VLOOKUP(C71,TONGHOPCONGDOI!$C$11:$AD$91,22,0)</f>
        <v>0</v>
      </c>
      <c r="P71" s="414">
        <f>VLOOKUP(C71,TONGHOPCONGDOI!$C$11:$AD$91,23,0)</f>
        <v>0</v>
      </c>
      <c r="Q71" s="414">
        <f>VLOOKUP(C71,TONGHOPCONGDOI!$C$11:$AD$91,24,0)</f>
        <v>0</v>
      </c>
      <c r="R71" s="414">
        <f>VLOOKUP(C71,TONGHOPCONGDOI!$C$11:$AD$91,25,0)</f>
        <v>0</v>
      </c>
      <c r="S71" s="414">
        <f t="shared" si="2"/>
        <v>20</v>
      </c>
      <c r="T71" s="415"/>
      <c r="U71" s="415"/>
      <c r="V71" s="415"/>
      <c r="W71" s="1029">
        <f t="shared" si="3"/>
        <v>1455101</v>
      </c>
      <c r="X71" s="414">
        <f t="shared" si="8"/>
        <v>3983042</v>
      </c>
      <c r="Y71" s="414"/>
      <c r="Z71" s="414">
        <f>VLOOKUP(C71,'CNKT '!C71:Z96,24,0)</f>
        <v>3983042</v>
      </c>
      <c r="AA71" s="1134">
        <f t="shared" si="5"/>
        <v>0</v>
      </c>
    </row>
    <row r="72" spans="1:27" s="1134" customFormat="1" ht="46.5" customHeight="1">
      <c r="A72" s="413">
        <v>57</v>
      </c>
      <c r="B72" s="413" t="str">
        <f>'Chấm công KT'!D69</f>
        <v>03502</v>
      </c>
      <c r="C72" s="414" t="str">
        <f>TONGHOPCONGDOI!C67</f>
        <v>T. Xợt</v>
      </c>
      <c r="D72" s="414"/>
      <c r="E72" s="415"/>
      <c r="F72" s="414">
        <f t="shared" si="0"/>
        <v>0</v>
      </c>
      <c r="G72" s="414">
        <f>VLOOKUP(C72,TONGHOPCONGDOI!C67:AE91,16,0)</f>
        <v>1654</v>
      </c>
      <c r="H72" s="414">
        <f>VLOOKUP(C72,TONGHOPCONGDOI!C67:AE91,17,0)</f>
        <v>0</v>
      </c>
      <c r="I72" s="414"/>
      <c r="J72" s="708">
        <f t="shared" si="7"/>
        <v>849.30066019616379</v>
      </c>
      <c r="K72" s="413" t="str">
        <f>VLOOKUP(C72,'BTH mủ tạp'!C73:AL96,36,0)</f>
        <v>A</v>
      </c>
      <c r="L72" s="1294">
        <f t="shared" si="1"/>
        <v>3125433</v>
      </c>
      <c r="M72" s="414">
        <f>VLOOKUP(C72,TONGHOPCONGDOI!$C$11:$AD$91,20,0)</f>
        <v>26</v>
      </c>
      <c r="N72" s="414">
        <f>VLOOKUP(C72,TONGHOPCONGDOI!$C$11:$AD$91,21,0)</f>
        <v>4</v>
      </c>
      <c r="O72" s="414">
        <f>VLOOKUP(C72,TONGHOPCONGDOI!$C$11:$AD$91,22,0)</f>
        <v>0</v>
      </c>
      <c r="P72" s="414">
        <f>VLOOKUP(C72,TONGHOPCONGDOI!$C$11:$AD$91,23,0)</f>
        <v>0</v>
      </c>
      <c r="Q72" s="414">
        <f>VLOOKUP(C72,TONGHOPCONGDOI!$C$11:$AD$91,24,0)</f>
        <v>0</v>
      </c>
      <c r="R72" s="414">
        <f>VLOOKUP(C72,TONGHOPCONGDOI!$C$11:$AD$91,25,0)</f>
        <v>0</v>
      </c>
      <c r="S72" s="414">
        <f t="shared" si="2"/>
        <v>20</v>
      </c>
      <c r="T72" s="415"/>
      <c r="U72" s="415"/>
      <c r="V72" s="415"/>
      <c r="W72" s="1029">
        <f t="shared" si="3"/>
        <v>1506488</v>
      </c>
      <c r="X72" s="414">
        <f t="shared" si="8"/>
        <v>4631921</v>
      </c>
      <c r="Y72" s="414"/>
      <c r="Z72" s="414">
        <f>VLOOKUP(C72,'CNKT '!C72:Z96,24,0)</f>
        <v>4631921</v>
      </c>
      <c r="AA72" s="1134">
        <f t="shared" si="5"/>
        <v>0</v>
      </c>
    </row>
    <row r="73" spans="1:27" s="1134" customFormat="1" ht="46.5" customHeight="1">
      <c r="A73" s="413">
        <v>58</v>
      </c>
      <c r="B73" s="413"/>
      <c r="C73" s="414" t="str">
        <f>TONGHOPCONGDOI!C68</f>
        <v>N. Phết 2</v>
      </c>
      <c r="D73" s="414"/>
      <c r="E73" s="415"/>
      <c r="F73" s="414">
        <f t="shared" si="0"/>
        <v>0</v>
      </c>
      <c r="G73" s="414">
        <f>VLOOKUP(C73,TONGHOPCONGDOI!C68:AE91,16,0)</f>
        <v>1444</v>
      </c>
      <c r="H73" s="414">
        <f>VLOOKUP(C73,TONGHOPCONGDOI!C68:AE91,17,0)</f>
        <v>0</v>
      </c>
      <c r="I73" s="414"/>
      <c r="J73" s="708">
        <f t="shared" si="7"/>
        <v>741.46925835747311</v>
      </c>
      <c r="K73" s="413" t="str">
        <f>VLOOKUP(C73,'BTH mủ tạp'!C74:AL96,36,0)</f>
        <v>A</v>
      </c>
      <c r="L73" s="1294">
        <f t="shared" si="1"/>
        <v>2728613</v>
      </c>
      <c r="M73" s="414">
        <f>VLOOKUP(C73,TONGHOPCONGDOI!$C$11:$AD$91,20,0)</f>
        <v>26</v>
      </c>
      <c r="N73" s="414">
        <f>VLOOKUP(C73,TONGHOPCONGDOI!$C$11:$AD$91,21,0)</f>
        <v>4</v>
      </c>
      <c r="O73" s="414">
        <f>VLOOKUP(C73,TONGHOPCONGDOI!$C$11:$AD$91,22,0)</f>
        <v>0</v>
      </c>
      <c r="P73" s="414">
        <f>VLOOKUP(C73,TONGHOPCONGDOI!$C$11:$AD$91,23,0)</f>
        <v>0</v>
      </c>
      <c r="Q73" s="414">
        <f>VLOOKUP(C73,TONGHOPCONGDOI!$C$11:$AD$91,24,0)</f>
        <v>0</v>
      </c>
      <c r="R73" s="414">
        <f>VLOOKUP(C73,TONGHOPCONGDOI!$C$11:$AD$91,25,0)</f>
        <v>0</v>
      </c>
      <c r="S73" s="414">
        <f t="shared" si="2"/>
        <v>20</v>
      </c>
      <c r="T73" s="415"/>
      <c r="U73" s="415"/>
      <c r="V73" s="415"/>
      <c r="W73" s="1029">
        <f t="shared" si="3"/>
        <v>1506488</v>
      </c>
      <c r="X73" s="414">
        <f t="shared" si="8"/>
        <v>4235101</v>
      </c>
      <c r="Y73" s="414"/>
      <c r="Z73" s="414">
        <f>VLOOKUP(C73,'CNKT '!C73:Z96,24,0)</f>
        <v>4235101</v>
      </c>
      <c r="AA73" s="1134">
        <f t="shared" si="5"/>
        <v>0</v>
      </c>
    </row>
    <row r="74" spans="1:27" s="1134" customFormat="1" ht="46.5" customHeight="1">
      <c r="A74" s="413">
        <v>59</v>
      </c>
      <c r="B74" s="413" t="str">
        <f>'Chấm công KT'!D71</f>
        <v>03504</v>
      </c>
      <c r="C74" s="414" t="str">
        <f>TONGHOPCONGDOI!C69</f>
        <v>T. Cạp</v>
      </c>
      <c r="D74" s="414"/>
      <c r="E74" s="415"/>
      <c r="F74" s="414">
        <f t="shared" si="0"/>
        <v>0</v>
      </c>
      <c r="G74" s="414">
        <f>VLOOKUP(C74,TONGHOPCONGDOI!C69:AE91,16,0)</f>
        <v>1476</v>
      </c>
      <c r="H74" s="414">
        <f>VLOOKUP(C74,TONGHOPCONGDOI!C69:AE91,17,0)</f>
        <v>0</v>
      </c>
      <c r="I74" s="414"/>
      <c r="J74" s="708">
        <f t="shared" si="7"/>
        <v>757.900710066226</v>
      </c>
      <c r="K74" s="413" t="str">
        <f>VLOOKUP(C74,'BTH mủ tạp'!C75:AL96,36,0)</f>
        <v>B</v>
      </c>
      <c r="L74" s="1294">
        <f t="shared" si="1"/>
        <v>2651913</v>
      </c>
      <c r="M74" s="414">
        <f>VLOOKUP(C74,TONGHOPCONGDOI!$C$11:$AD$91,20,0)</f>
        <v>26</v>
      </c>
      <c r="N74" s="414">
        <f>VLOOKUP(C74,TONGHOPCONGDOI!$C$11:$AD$91,21,0)</f>
        <v>4</v>
      </c>
      <c r="O74" s="414">
        <f>VLOOKUP(C74,TONGHOPCONGDOI!$C$11:$AD$91,22,0)</f>
        <v>0</v>
      </c>
      <c r="P74" s="414">
        <f>VLOOKUP(C74,TONGHOPCONGDOI!$C$11:$AD$91,23,0)</f>
        <v>0</v>
      </c>
      <c r="Q74" s="414">
        <f>VLOOKUP(C74,TONGHOPCONGDOI!$C$11:$AD$91,24,0)</f>
        <v>0</v>
      </c>
      <c r="R74" s="414">
        <f>VLOOKUP(C74,TONGHOPCONGDOI!$C$11:$AD$91,25,0)</f>
        <v>0</v>
      </c>
      <c r="S74" s="414">
        <f t="shared" si="2"/>
        <v>20</v>
      </c>
      <c r="T74" s="415"/>
      <c r="U74" s="415"/>
      <c r="V74" s="415"/>
      <c r="W74" s="1029">
        <f t="shared" si="3"/>
        <v>1506488</v>
      </c>
      <c r="X74" s="414">
        <f t="shared" si="8"/>
        <v>4158401</v>
      </c>
      <c r="Y74" s="414"/>
      <c r="Z74" s="414">
        <f>VLOOKUP(C74,'CNKT '!C74:Z96,24,0)</f>
        <v>4158401</v>
      </c>
      <c r="AA74" s="1134">
        <f t="shared" si="5"/>
        <v>0</v>
      </c>
    </row>
    <row r="75" spans="1:27" s="1134" customFormat="1" ht="46.5" customHeight="1">
      <c r="A75" s="413">
        <v>60</v>
      </c>
      <c r="B75" s="413"/>
      <c r="C75" s="414" t="str">
        <f>TONGHOPCONGDOI!C70</f>
        <v>T. Toi</v>
      </c>
      <c r="D75" s="414"/>
      <c r="E75" s="415"/>
      <c r="F75" s="414">
        <f t="shared" si="0"/>
        <v>0</v>
      </c>
      <c r="G75" s="414">
        <f>VLOOKUP(C75,TONGHOPCONGDOI!C70:AE91,16,0)</f>
        <v>1332</v>
      </c>
      <c r="H75" s="414">
        <f>VLOOKUP(C75,TONGHOPCONGDOI!C70:AE91,17,0)</f>
        <v>0</v>
      </c>
      <c r="I75" s="414"/>
      <c r="J75" s="708">
        <f t="shared" si="7"/>
        <v>683.95917737683806</v>
      </c>
      <c r="K75" s="413" t="str">
        <f>VLOOKUP(C75,'BTH mủ tạp'!C76:AL96,36,0)</f>
        <v>A</v>
      </c>
      <c r="L75" s="1294">
        <f t="shared" si="1"/>
        <v>2516975</v>
      </c>
      <c r="M75" s="414">
        <f>VLOOKUP(C75,TONGHOPCONGDOI!$C$11:$AD$91,20,0)</f>
        <v>25</v>
      </c>
      <c r="N75" s="414">
        <f>VLOOKUP(C75,TONGHOPCONGDOI!$C$11:$AD$91,21,0)</f>
        <v>4</v>
      </c>
      <c r="O75" s="414">
        <f>VLOOKUP(C75,TONGHOPCONGDOI!$C$11:$AD$91,22,0)</f>
        <v>0</v>
      </c>
      <c r="P75" s="414">
        <f>VLOOKUP(C75,TONGHOPCONGDOI!$C$11:$AD$91,23,0)</f>
        <v>0</v>
      </c>
      <c r="Q75" s="414">
        <f>VLOOKUP(C75,TONGHOPCONGDOI!$C$11:$AD$91,24,0)</f>
        <v>0</v>
      </c>
      <c r="R75" s="414">
        <f>VLOOKUP(C75,TONGHOPCONGDOI!$C$11:$AD$91,25,0)</f>
        <v>0</v>
      </c>
      <c r="S75" s="414"/>
      <c r="T75" s="415"/>
      <c r="U75" s="415"/>
      <c r="V75" s="415"/>
      <c r="W75" s="1029">
        <f t="shared" si="3"/>
        <v>975683</v>
      </c>
      <c r="X75" s="414">
        <f t="shared" si="8"/>
        <v>3492658</v>
      </c>
      <c r="Y75" s="414"/>
      <c r="Z75" s="414">
        <f>VLOOKUP(C75,'CNKT '!C75:Z96,24,0)</f>
        <v>3492658</v>
      </c>
      <c r="AA75" s="1134">
        <f t="shared" si="5"/>
        <v>0</v>
      </c>
    </row>
    <row r="76" spans="1:27" s="1134" customFormat="1" ht="46.5" customHeight="1">
      <c r="A76" s="413">
        <v>61</v>
      </c>
      <c r="B76" s="413" t="str">
        <f>'Chấm công KT'!D73</f>
        <v>03506</v>
      </c>
      <c r="C76" s="414" t="str">
        <f>TONGHOPCONGDOI!C71</f>
        <v>N. Bua Hom</v>
      </c>
      <c r="D76" s="414"/>
      <c r="E76" s="415"/>
      <c r="F76" s="414">
        <f t="shared" si="0"/>
        <v>0</v>
      </c>
      <c r="G76" s="414">
        <f>VLOOKUP(C76,TONGHOPCONGDOI!C71:AE91,16,0)</f>
        <v>1582</v>
      </c>
      <c r="H76" s="414">
        <f>VLOOKUP(C76,TONGHOPCONGDOI!C71:AE91,17,0)</f>
        <v>0</v>
      </c>
      <c r="I76" s="414"/>
      <c r="J76" s="708">
        <f t="shared" si="7"/>
        <v>812.32989385146982</v>
      </c>
      <c r="K76" s="413" t="str">
        <f>VLOOKUP(C76,'BTH mủ tạp'!C77:AL96,36,0)</f>
        <v>B</v>
      </c>
      <c r="L76" s="1294">
        <f t="shared" si="1"/>
        <v>2842362</v>
      </c>
      <c r="M76" s="414">
        <f>VLOOKUP(C76,TONGHOPCONGDOI!$C$11:$AD$91,20,0)</f>
        <v>25</v>
      </c>
      <c r="N76" s="414">
        <f>VLOOKUP(C76,TONGHOPCONGDOI!$C$11:$AD$91,21,0)</f>
        <v>4</v>
      </c>
      <c r="O76" s="414">
        <f>VLOOKUP(C76,TONGHOPCONGDOI!$C$11:$AD$91,22,0)</f>
        <v>0</v>
      </c>
      <c r="P76" s="414">
        <f>VLOOKUP(C76,TONGHOPCONGDOI!$C$11:$AD$91,23,0)</f>
        <v>0</v>
      </c>
      <c r="Q76" s="414">
        <f>VLOOKUP(C76,TONGHOPCONGDOI!$C$11:$AD$91,24,0)</f>
        <v>0</v>
      </c>
      <c r="R76" s="414">
        <f>VLOOKUP(C76,TONGHOPCONGDOI!$C$11:$AD$91,25,0)</f>
        <v>0</v>
      </c>
      <c r="S76" s="414">
        <f t="shared" si="2"/>
        <v>20</v>
      </c>
      <c r="T76" s="415"/>
      <c r="U76" s="415"/>
      <c r="V76" s="415"/>
      <c r="W76" s="1029">
        <f t="shared" si="3"/>
        <v>1475683</v>
      </c>
      <c r="X76" s="414">
        <f t="shared" si="8"/>
        <v>4318045</v>
      </c>
      <c r="Y76" s="414"/>
      <c r="Z76" s="414">
        <f>VLOOKUP(C76,'CNKT '!C76:Z96,24,0)</f>
        <v>4318045</v>
      </c>
      <c r="AA76" s="1134">
        <f t="shared" si="5"/>
        <v>0</v>
      </c>
    </row>
    <row r="77" spans="1:27" s="1134" customFormat="1" ht="46.5" customHeight="1">
      <c r="A77" s="413">
        <v>62</v>
      </c>
      <c r="B77" s="413"/>
      <c r="C77" s="414" t="str">
        <f>TONGHOPCONGDOI!C72</f>
        <v>N. Lăm Phay (2)</v>
      </c>
      <c r="D77" s="414"/>
      <c r="E77" s="415"/>
      <c r="F77" s="414">
        <f t="shared" si="0"/>
        <v>0</v>
      </c>
      <c r="G77" s="414">
        <f>VLOOKUP(C77,TONGHOPCONGDOI!C72:AE91,16,0)</f>
        <v>1386</v>
      </c>
      <c r="H77" s="414">
        <f>VLOOKUP(C77,TONGHOPCONGDOI!C72:AE91,17,0)</f>
        <v>0</v>
      </c>
      <c r="I77" s="414"/>
      <c r="J77" s="708">
        <f t="shared" si="7"/>
        <v>711.68725213535856</v>
      </c>
      <c r="K77" s="413" t="str">
        <f>VLOOKUP(C77,'BTH mủ tạp'!C78:AL96,36,0)</f>
        <v>A</v>
      </c>
      <c r="L77" s="1294">
        <f t="shared" si="1"/>
        <v>2619015</v>
      </c>
      <c r="M77" s="414">
        <f>VLOOKUP(C77,TONGHOPCONGDOI!$C$11:$AD$91,20,0)</f>
        <v>25</v>
      </c>
      <c r="N77" s="414">
        <f>VLOOKUP(C77,TONGHOPCONGDOI!$C$11:$AD$91,21,0)</f>
        <v>4</v>
      </c>
      <c r="O77" s="414">
        <f>VLOOKUP(C77,TONGHOPCONGDOI!$C$11:$AD$91,22,0)</f>
        <v>0</v>
      </c>
      <c r="P77" s="414">
        <f>VLOOKUP(C77,TONGHOPCONGDOI!$C$11:$AD$91,23,0)</f>
        <v>0</v>
      </c>
      <c r="Q77" s="414">
        <f>VLOOKUP(C77,TONGHOPCONGDOI!$C$11:$AD$91,24,0)</f>
        <v>0</v>
      </c>
      <c r="R77" s="414">
        <f>VLOOKUP(C77,TONGHOPCONGDOI!$C$11:$AD$91,25,0)</f>
        <v>0</v>
      </c>
      <c r="S77" s="414">
        <f t="shared" si="2"/>
        <v>20</v>
      </c>
      <c r="T77" s="415"/>
      <c r="U77" s="415"/>
      <c r="V77" s="415"/>
      <c r="W77" s="1029">
        <f t="shared" si="3"/>
        <v>1475683</v>
      </c>
      <c r="X77" s="414">
        <f t="shared" si="8"/>
        <v>4094698</v>
      </c>
      <c r="Y77" s="414"/>
      <c r="Z77" s="414">
        <f>VLOOKUP(C77,'CNKT '!C77:Z96,24,0)</f>
        <v>4094698</v>
      </c>
      <c r="AA77" s="1134">
        <f t="shared" si="5"/>
        <v>0</v>
      </c>
    </row>
    <row r="78" spans="1:27" s="1134" customFormat="1" ht="46.5" customHeight="1">
      <c r="A78" s="413">
        <v>63</v>
      </c>
      <c r="B78" s="413" t="str">
        <f>'Chấm công KT'!D75</f>
        <v>03508</v>
      </c>
      <c r="C78" s="414" t="str">
        <f>TONGHOPCONGDOI!C73</f>
        <v>T. Đèng</v>
      </c>
      <c r="D78" s="414"/>
      <c r="E78" s="415"/>
      <c r="F78" s="414">
        <f t="shared" si="0"/>
        <v>0</v>
      </c>
      <c r="G78" s="414">
        <f>VLOOKUP(C78,TONGHOPCONGDOI!C73:AE91,16,0)</f>
        <v>433</v>
      </c>
      <c r="H78" s="414">
        <f>VLOOKUP(C78,TONGHOPCONGDOI!C73:AE91,17,0)</f>
        <v>0</v>
      </c>
      <c r="I78" s="414"/>
      <c r="J78" s="708">
        <f t="shared" si="7"/>
        <v>222.33808093406222</v>
      </c>
      <c r="K78" s="413" t="str">
        <f>VLOOKUP(C78,'BTH mủ tạp'!C79:AL96,36,0)</f>
        <v>A</v>
      </c>
      <c r="L78" s="1294">
        <f t="shared" si="1"/>
        <v>818206</v>
      </c>
      <c r="M78" s="414">
        <f>VLOOKUP(C78,TONGHOPCONGDOI!$C$11:$AD$91,20,0)</f>
        <v>18</v>
      </c>
      <c r="N78" s="414">
        <f>VLOOKUP(C78,TONGHOPCONGDOI!$C$11:$AD$91,21,0)</f>
        <v>3</v>
      </c>
      <c r="O78" s="414">
        <f>VLOOKUP(C78,TONGHOPCONGDOI!$C$11:$AD$91,22,0)</f>
        <v>0</v>
      </c>
      <c r="P78" s="414">
        <f>VLOOKUP(C78,TONGHOPCONGDOI!$C$11:$AD$91,23,0)</f>
        <v>0</v>
      </c>
      <c r="Q78" s="414">
        <f>VLOOKUP(C78,TONGHOPCONGDOI!$C$11:$AD$91,24,0)</f>
        <v>0</v>
      </c>
      <c r="R78" s="414">
        <f>VLOOKUP(C78,TONGHOPCONGDOI!$C$11:$AD$91,25,0)</f>
        <v>0</v>
      </c>
      <c r="S78" s="414">
        <f t="shared" si="2"/>
        <v>20</v>
      </c>
      <c r="T78" s="415"/>
      <c r="U78" s="415"/>
      <c r="V78" s="415"/>
      <c r="W78" s="1029">
        <f t="shared" si="3"/>
        <v>1208658</v>
      </c>
      <c r="X78" s="414">
        <f t="shared" si="8"/>
        <v>2026864</v>
      </c>
      <c r="Y78" s="414"/>
      <c r="Z78" s="414">
        <f>VLOOKUP(C78,'CNKT '!C78:Z96,24,0)</f>
        <v>2026864</v>
      </c>
      <c r="AA78" s="1134">
        <f t="shared" si="5"/>
        <v>0</v>
      </c>
    </row>
    <row r="79" spans="1:27" s="1134" customFormat="1" ht="46.5" customHeight="1">
      <c r="A79" s="413">
        <v>64</v>
      </c>
      <c r="B79" s="413" t="str">
        <f>'Chấm công KT'!D76</f>
        <v>03512</v>
      </c>
      <c r="C79" s="414" t="str">
        <f>TONGHOPCONGDOI!C74</f>
        <v>N. Đon</v>
      </c>
      <c r="D79" s="414"/>
      <c r="E79" s="415"/>
      <c r="F79" s="414">
        <f t="shared" si="0"/>
        <v>0</v>
      </c>
      <c r="G79" s="414">
        <f>VLOOKUP(C79,TONGHOPCONGDOI!C74:AE91,16,0)</f>
        <v>763</v>
      </c>
      <c r="H79" s="414">
        <f>VLOOKUP(C79,TONGHOPCONGDOI!C74:AE91,17,0)</f>
        <v>0</v>
      </c>
      <c r="I79" s="414"/>
      <c r="J79" s="708">
        <f t="shared" si="7"/>
        <v>391.78742668057617</v>
      </c>
      <c r="K79" s="413" t="str">
        <f>VLOOKUP(C79,'BTH mủ tạp'!C80:AL96,36,0)</f>
        <v>B</v>
      </c>
      <c r="L79" s="1294">
        <f t="shared" si="1"/>
        <v>1370874</v>
      </c>
      <c r="M79" s="414">
        <f>VLOOKUP(C79,TONGHOPCONGDOI!$C$11:$AD$91,20,0)</f>
        <v>24</v>
      </c>
      <c r="N79" s="414">
        <f>VLOOKUP(C79,TONGHOPCONGDOI!$C$11:$AD$91,21,0)</f>
        <v>4</v>
      </c>
      <c r="O79" s="414">
        <f>VLOOKUP(C79,TONGHOPCONGDOI!$C$11:$AD$91,22,0)</f>
        <v>0</v>
      </c>
      <c r="P79" s="414">
        <f>VLOOKUP(C79,TONGHOPCONGDOI!$C$11:$AD$91,23,0)</f>
        <v>0</v>
      </c>
      <c r="Q79" s="414">
        <f>VLOOKUP(C79,TONGHOPCONGDOI!$C$11:$AD$91,24,0)</f>
        <v>0</v>
      </c>
      <c r="R79" s="414">
        <f>VLOOKUP(C79,TONGHOPCONGDOI!$C$11:$AD$91,25,0)</f>
        <v>0</v>
      </c>
      <c r="S79" s="414">
        <f t="shared" si="2"/>
        <v>20</v>
      </c>
      <c r="T79" s="415"/>
      <c r="U79" s="415"/>
      <c r="V79" s="415"/>
      <c r="W79" s="1029">
        <f t="shared" si="3"/>
        <v>1444877</v>
      </c>
      <c r="X79" s="414">
        <f t="shared" si="8"/>
        <v>2815751</v>
      </c>
      <c r="Y79" s="414"/>
      <c r="Z79" s="414">
        <f>VLOOKUP(C79,'CNKT '!C79:Z96,24,0)</f>
        <v>2815751</v>
      </c>
      <c r="AA79" s="1134">
        <f t="shared" si="5"/>
        <v>0</v>
      </c>
    </row>
    <row r="80" spans="1:27" s="1134" customFormat="1" ht="46.5" customHeight="1">
      <c r="A80" s="413">
        <v>65</v>
      </c>
      <c r="B80" s="413"/>
      <c r="C80" s="414" t="str">
        <f>TONGHOPCONGDOI!C75</f>
        <v xml:space="preserve">T. La </v>
      </c>
      <c r="D80" s="414"/>
      <c r="E80" s="415"/>
      <c r="F80" s="414">
        <f t="shared" si="0"/>
        <v>0</v>
      </c>
      <c r="G80" s="414">
        <f>VLOOKUP(C80,TONGHOPCONGDOI!C75:AE91,16,0)</f>
        <v>967</v>
      </c>
      <c r="H80" s="414">
        <f>VLOOKUP(C80,TONGHOPCONGDOI!C75:AE91,17,0)</f>
        <v>0</v>
      </c>
      <c r="I80" s="414"/>
      <c r="J80" s="708">
        <f>$AB$10/$AB$9*G80+H80*$AB$11+I80*$AB$12</f>
        <v>496.53793132387568</v>
      </c>
      <c r="K80" s="413" t="str">
        <f>VLOOKUP(C80,'BTH mủ tạp'!C81:AL96,36,0)</f>
        <v>A</v>
      </c>
      <c r="L80" s="1294">
        <f t="shared" si="1"/>
        <v>1827264</v>
      </c>
      <c r="M80" s="414">
        <f>VLOOKUP(C80,TONGHOPCONGDOI!$C$11:$AD$91,20,0)</f>
        <v>26</v>
      </c>
      <c r="N80" s="414">
        <f>VLOOKUP(C80,TONGHOPCONGDOI!$C$11:$AD$91,21,0)</f>
        <v>3</v>
      </c>
      <c r="O80" s="414">
        <f>VLOOKUP(C80,TONGHOPCONGDOI!$C$11:$AD$91,22,0)</f>
        <v>0</v>
      </c>
      <c r="P80" s="414">
        <f>VLOOKUP(C80,TONGHOPCONGDOI!$C$11:$AD$91,23,0)</f>
        <v>0</v>
      </c>
      <c r="Q80" s="414">
        <f>VLOOKUP(C80,TONGHOPCONGDOI!$C$11:$AD$91,24,0)</f>
        <v>0</v>
      </c>
      <c r="R80" s="414">
        <f>VLOOKUP(C80,TONGHOPCONGDOI!$C$11:$AD$91,25,0)</f>
        <v>0</v>
      </c>
      <c r="S80" s="414">
        <f t="shared" si="2"/>
        <v>20</v>
      </c>
      <c r="T80" s="415"/>
      <c r="U80" s="415"/>
      <c r="V80" s="415"/>
      <c r="W80" s="1029">
        <f t="shared" si="3"/>
        <v>1455101</v>
      </c>
      <c r="X80" s="414">
        <f t="shared" ref="X80:X95" si="9">F80+L80+W80</f>
        <v>3282365</v>
      </c>
      <c r="Y80" s="414"/>
      <c r="Z80" s="414">
        <f>VLOOKUP(C80,'CNKT '!C80:Z96,24,0)</f>
        <v>3282365</v>
      </c>
      <c r="AA80" s="1134">
        <f t="shared" ref="AA80:AA87" si="10">Z80-X80</f>
        <v>0</v>
      </c>
    </row>
    <row r="81" spans="1:31" s="1134" customFormat="1" ht="46.5" customHeight="1">
      <c r="A81" s="413">
        <v>66</v>
      </c>
      <c r="B81" s="413"/>
      <c r="C81" s="414" t="str">
        <f>TONGHOPCONGDOI!C76</f>
        <v>T. Bờm</v>
      </c>
      <c r="D81" s="414"/>
      <c r="E81" s="415"/>
      <c r="F81" s="414">
        <f t="shared" ref="F81:F96" si="11">E81*25000</f>
        <v>0</v>
      </c>
      <c r="G81" s="414">
        <f>VLOOKUP(C81,TONGHOPCONGDOI!C76:AE91,16,0)</f>
        <v>756</v>
      </c>
      <c r="H81" s="414">
        <f>VLOOKUP(C81,TONGHOPCONGDOI!C76:AE91,17,0)</f>
        <v>0</v>
      </c>
      <c r="I81" s="414"/>
      <c r="J81" s="708">
        <f t="shared" ref="J81:J93" si="12">$AB$10/$AB$9*G81+H81*$AB$11+I81*$AB$12</f>
        <v>388.19304661928646</v>
      </c>
      <c r="K81" s="413" t="str">
        <f>VLOOKUP(C81,'BTH mủ tạp'!C82:AL96,36,0)</f>
        <v>B</v>
      </c>
      <c r="L81" s="1294">
        <f t="shared" ref="L81:L95" si="13">ROUND((IF(K81="A",(G81*$Z$12*6.1),IF(K81="B",(G81*$Z$12*5.8),IF(K81="C",(G81*$Z$12*5.5),IF(K81="D",(G81*$Z$12*5.2),0))))*$F$12+(H81*$AB$11*$F$12*6.1)+I81*$F$12*$AB$12*6.1),0)</f>
        <v>1358297</v>
      </c>
      <c r="M81" s="414">
        <f>VLOOKUP(C81,TONGHOPCONGDOI!$C$11:$AD$91,20,0)</f>
        <v>24</v>
      </c>
      <c r="N81" s="414">
        <f>VLOOKUP(C81,TONGHOPCONGDOI!$C$11:$AD$91,21,0)</f>
        <v>4</v>
      </c>
      <c r="O81" s="414">
        <f>VLOOKUP(C81,TONGHOPCONGDOI!$C$11:$AD$91,22,0)</f>
        <v>0</v>
      </c>
      <c r="P81" s="414">
        <f>VLOOKUP(C81,TONGHOPCONGDOI!$C$11:$AD$91,23,0)</f>
        <v>0</v>
      </c>
      <c r="Q81" s="414">
        <f>VLOOKUP(C81,TONGHOPCONGDOI!$C$11:$AD$91,24,0)</f>
        <v>0</v>
      </c>
      <c r="R81" s="414">
        <f>VLOOKUP(C81,TONGHOPCONGDOI!$C$11:$AD$91,25,0)</f>
        <v>0</v>
      </c>
      <c r="S81" s="414"/>
      <c r="T81" s="415"/>
      <c r="U81" s="415"/>
      <c r="V81" s="415"/>
      <c r="W81" s="1029">
        <f t="shared" ref="W81:W96" si="14">ROUND(((M81*46.1)+(N81*76.9)+(O81*92.2)+(P81*153.8)+(Q81*92.2)+(R81*153.8))*$E$12+(S81*25000)+(T81*10000)+(U81*30000),0)</f>
        <v>944877</v>
      </c>
      <c r="X81" s="414">
        <f t="shared" si="9"/>
        <v>2303174</v>
      </c>
      <c r="Y81" s="414"/>
      <c r="Z81" s="414">
        <f>VLOOKUP(C81,'CNKT '!C81:Z96,24,0)</f>
        <v>2303174</v>
      </c>
      <c r="AA81" s="1134">
        <f t="shared" si="10"/>
        <v>0</v>
      </c>
    </row>
    <row r="82" spans="1:31" s="1134" customFormat="1" ht="46.5" customHeight="1">
      <c r="A82" s="413">
        <v>67</v>
      </c>
      <c r="B82" s="413" t="str">
        <f>'Chấm công KT'!D79</f>
        <v>03546</v>
      </c>
      <c r="C82" s="414" t="str">
        <f>TONGHOPCONGDOI!C77</f>
        <v>T. Nọi</v>
      </c>
      <c r="D82" s="414"/>
      <c r="E82" s="415"/>
      <c r="F82" s="414">
        <f t="shared" si="11"/>
        <v>0</v>
      </c>
      <c r="G82" s="414">
        <f>VLOOKUP(C82,TONGHOPCONGDOI!C77:AE91,16,0)</f>
        <v>1264</v>
      </c>
      <c r="H82" s="414">
        <f>VLOOKUP(C82,TONGHOPCONGDOI!C77:AE91,17,0)</f>
        <v>0</v>
      </c>
      <c r="I82" s="414"/>
      <c r="J82" s="708">
        <f t="shared" si="12"/>
        <v>649.04234249573824</v>
      </c>
      <c r="K82" s="413" t="str">
        <f>VLOOKUP(C82,'BTH mủ tạp'!C83:AL96,36,0)</f>
        <v>A</v>
      </c>
      <c r="L82" s="1294">
        <f t="shared" si="13"/>
        <v>2388481</v>
      </c>
      <c r="M82" s="414">
        <f>VLOOKUP(C82,TONGHOPCONGDOI!$C$11:$AD$91,20,0)</f>
        <v>27</v>
      </c>
      <c r="N82" s="414">
        <f>VLOOKUP(C82,TONGHOPCONGDOI!$C$11:$AD$91,21,0)</f>
        <v>4</v>
      </c>
      <c r="O82" s="414">
        <f>VLOOKUP(C82,TONGHOPCONGDOI!$C$11:$AD$91,22,0)</f>
        <v>0</v>
      </c>
      <c r="P82" s="414">
        <f>VLOOKUP(C82,TONGHOPCONGDOI!$C$11:$AD$91,23,0)</f>
        <v>0</v>
      </c>
      <c r="Q82" s="414">
        <f>VLOOKUP(C82,TONGHOPCONGDOI!$C$11:$AD$91,24,0)</f>
        <v>0</v>
      </c>
      <c r="R82" s="414">
        <f>VLOOKUP(C82,TONGHOPCONGDOI!$C$11:$AD$91,25,0)</f>
        <v>0</v>
      </c>
      <c r="S82" s="414">
        <f t="shared" ref="S82:S88" si="15">500000/25000</f>
        <v>20</v>
      </c>
      <c r="T82" s="415"/>
      <c r="U82" s="415"/>
      <c r="V82" s="415"/>
      <c r="W82" s="1029">
        <f t="shared" si="14"/>
        <v>1537293</v>
      </c>
      <c r="X82" s="414">
        <f t="shared" si="9"/>
        <v>3925774</v>
      </c>
      <c r="Y82" s="414"/>
      <c r="Z82" s="414">
        <f>VLOOKUP(C82,'CNKT '!C82:Z96,24,0)</f>
        <v>3925774</v>
      </c>
      <c r="AA82" s="1134">
        <f t="shared" si="10"/>
        <v>0</v>
      </c>
    </row>
    <row r="83" spans="1:31" s="1134" customFormat="1" ht="46.5" customHeight="1">
      <c r="A83" s="413">
        <v>68</v>
      </c>
      <c r="B83" s="413" t="str">
        <f>'Chấm công KT'!D80</f>
        <v>03571</v>
      </c>
      <c r="C83" s="414" t="str">
        <f>TONGHOPCONGDOI!C78</f>
        <v>T. Ê</v>
      </c>
      <c r="D83" s="414"/>
      <c r="E83" s="415"/>
      <c r="F83" s="414">
        <f t="shared" si="11"/>
        <v>0</v>
      </c>
      <c r="G83" s="414">
        <f>VLOOKUP(C83,TONGHOPCONGDOI!C78:AE91,16,0)</f>
        <v>409</v>
      </c>
      <c r="H83" s="414">
        <f>VLOOKUP(C83,TONGHOPCONGDOI!C78:AE91,17,0)</f>
        <v>0</v>
      </c>
      <c r="I83" s="414"/>
      <c r="J83" s="708">
        <f t="shared" si="12"/>
        <v>210.01449215249758</v>
      </c>
      <c r="K83" s="413" t="str">
        <f>VLOOKUP(C83,'BTH mủ tạp'!C84:AL96,36,0)</f>
        <v>B</v>
      </c>
      <c r="L83" s="1294">
        <f t="shared" si="13"/>
        <v>734846</v>
      </c>
      <c r="M83" s="414">
        <f>VLOOKUP(C83,TONGHOPCONGDOI!$C$11:$AD$91,20,0)</f>
        <v>18</v>
      </c>
      <c r="N83" s="414">
        <f>VLOOKUP(C83,TONGHOPCONGDOI!$C$11:$AD$91,21,0)</f>
        <v>3</v>
      </c>
      <c r="O83" s="414">
        <f>VLOOKUP(C83,TONGHOPCONGDOI!$C$11:$AD$91,22,0)</f>
        <v>0</v>
      </c>
      <c r="P83" s="414">
        <f>VLOOKUP(C83,TONGHOPCONGDOI!$C$11:$AD$91,23,0)</f>
        <v>0</v>
      </c>
      <c r="Q83" s="414">
        <f>VLOOKUP(C83,TONGHOPCONGDOI!$C$11:$AD$91,24,0)</f>
        <v>0</v>
      </c>
      <c r="R83" s="414">
        <f>VLOOKUP(C83,TONGHOPCONGDOI!$C$11:$AD$91,25,0)</f>
        <v>0</v>
      </c>
      <c r="S83" s="414">
        <f t="shared" si="15"/>
        <v>20</v>
      </c>
      <c r="T83" s="415"/>
      <c r="U83" s="415"/>
      <c r="V83" s="415"/>
      <c r="W83" s="1029">
        <f t="shared" si="14"/>
        <v>1208658</v>
      </c>
      <c r="X83" s="414">
        <f t="shared" si="9"/>
        <v>1943504</v>
      </c>
      <c r="Y83" s="414"/>
      <c r="Z83" s="414">
        <f>VLOOKUP(C83,'CNKT '!C83:Z96,24,0)</f>
        <v>1943504</v>
      </c>
      <c r="AA83" s="1134">
        <f t="shared" si="10"/>
        <v>0</v>
      </c>
    </row>
    <row r="84" spans="1:31" s="1134" customFormat="1" ht="46.5" customHeight="1">
      <c r="A84" s="413">
        <v>69</v>
      </c>
      <c r="B84" s="413"/>
      <c r="C84" s="414" t="str">
        <f>TONGHOPCONGDOI!C79</f>
        <v>T Bun</v>
      </c>
      <c r="D84" s="414"/>
      <c r="E84" s="415"/>
      <c r="F84" s="414">
        <f t="shared" si="11"/>
        <v>0</v>
      </c>
      <c r="G84" s="414">
        <f>VLOOKUP(C84,TONGHOPCONGDOI!C79:AE91,16,0)</f>
        <v>1422</v>
      </c>
      <c r="H84" s="414">
        <f>VLOOKUP(C84,TONGHOPCONGDOI!C79:AE91,17,0)</f>
        <v>0</v>
      </c>
      <c r="I84" s="414"/>
      <c r="J84" s="708">
        <f t="shared" si="12"/>
        <v>730.17263530770549</v>
      </c>
      <c r="K84" s="413" t="str">
        <f>VLOOKUP(C84,'BTH mủ tạp'!C85:AL96,36,0)</f>
        <v>A</v>
      </c>
      <c r="L84" s="1294">
        <f t="shared" si="13"/>
        <v>2687041</v>
      </c>
      <c r="M84" s="414">
        <f>VLOOKUP(C84,TONGHOPCONGDOI!$C$11:$AD$91,20,0)</f>
        <v>23</v>
      </c>
      <c r="N84" s="414">
        <f>VLOOKUP(C84,TONGHOPCONGDOI!$C$11:$AD$91,21,0)</f>
        <v>3</v>
      </c>
      <c r="O84" s="414">
        <f>VLOOKUP(C84,TONGHOPCONGDOI!$C$11:$AD$91,22,0)</f>
        <v>0</v>
      </c>
      <c r="P84" s="414">
        <f>VLOOKUP(C84,TONGHOPCONGDOI!$C$11:$AD$91,23,0)</f>
        <v>0</v>
      </c>
      <c r="Q84" s="414">
        <f>VLOOKUP(C84,TONGHOPCONGDOI!$C$11:$AD$91,24,0)</f>
        <v>0</v>
      </c>
      <c r="R84" s="414">
        <f>VLOOKUP(C84,TONGHOPCONGDOI!$C$11:$AD$91,25,0)</f>
        <v>0</v>
      </c>
      <c r="S84" s="414">
        <f t="shared" si="15"/>
        <v>20</v>
      </c>
      <c r="T84" s="415"/>
      <c r="U84" s="415"/>
      <c r="V84" s="415"/>
      <c r="W84" s="1029">
        <f t="shared" si="14"/>
        <v>1362685</v>
      </c>
      <c r="X84" s="414">
        <f t="shared" si="9"/>
        <v>4049726</v>
      </c>
      <c r="Y84" s="414"/>
      <c r="Z84" s="414">
        <f>VLOOKUP(C84,'CNKT '!C84:Z96,24,0)</f>
        <v>4049726</v>
      </c>
      <c r="AA84" s="1134">
        <f t="shared" si="10"/>
        <v>0</v>
      </c>
    </row>
    <row r="85" spans="1:31" s="1134" customFormat="1" ht="46.5" customHeight="1">
      <c r="A85" s="413">
        <v>70</v>
      </c>
      <c r="B85" s="413" t="str">
        <f>'Chấm công KT'!D82</f>
        <v>03515</v>
      </c>
      <c r="C85" s="414" t="str">
        <f>TONGHOPCONGDOI!C80</f>
        <v>N. Xi</v>
      </c>
      <c r="D85" s="414"/>
      <c r="E85" s="415"/>
      <c r="F85" s="414">
        <f t="shared" si="11"/>
        <v>0</v>
      </c>
      <c r="G85" s="414">
        <f>VLOOKUP(C85,TONGHOPCONGDOI!C80:AE91,16,0)</f>
        <v>1644</v>
      </c>
      <c r="H85" s="414">
        <f>VLOOKUP(C85,TONGHOPCONGDOI!C80:AE91,17,0)</f>
        <v>0</v>
      </c>
      <c r="I85" s="414"/>
      <c r="J85" s="708">
        <f t="shared" si="12"/>
        <v>844.16583153717852</v>
      </c>
      <c r="K85" s="413" t="str">
        <f>VLOOKUP(C85,'BTH mủ tạp'!C86:AL96,36,0)</f>
        <v>A</v>
      </c>
      <c r="L85" s="1294">
        <f t="shared" si="13"/>
        <v>3106537</v>
      </c>
      <c r="M85" s="414">
        <f>VLOOKUP(C85,TONGHOPCONGDOI!$C$11:$AD$91,20,0)</f>
        <v>26</v>
      </c>
      <c r="N85" s="414">
        <f>VLOOKUP(C85,TONGHOPCONGDOI!$C$11:$AD$91,21,0)</f>
        <v>4</v>
      </c>
      <c r="O85" s="414">
        <f>VLOOKUP(C85,TONGHOPCONGDOI!$C$11:$AD$91,22,0)</f>
        <v>0</v>
      </c>
      <c r="P85" s="414">
        <f>VLOOKUP(C85,TONGHOPCONGDOI!$C$11:$AD$91,23,0)</f>
        <v>0</v>
      </c>
      <c r="Q85" s="414">
        <f>VLOOKUP(C85,TONGHOPCONGDOI!$C$11:$AD$91,24,0)</f>
        <v>0</v>
      </c>
      <c r="R85" s="414">
        <f>VLOOKUP(C85,TONGHOPCONGDOI!$C$11:$AD$91,25,0)</f>
        <v>0</v>
      </c>
      <c r="S85" s="414">
        <f t="shared" si="15"/>
        <v>20</v>
      </c>
      <c r="T85" s="415"/>
      <c r="U85" s="415"/>
      <c r="V85" s="415"/>
      <c r="W85" s="1029">
        <f t="shared" si="14"/>
        <v>1506488</v>
      </c>
      <c r="X85" s="414">
        <f t="shared" si="9"/>
        <v>4613025</v>
      </c>
      <c r="Y85" s="414"/>
      <c r="Z85" s="414">
        <f>VLOOKUP(C85,'CNKT '!C85:Z96,24,0)</f>
        <v>4613025</v>
      </c>
      <c r="AA85" s="1134">
        <f t="shared" si="10"/>
        <v>0</v>
      </c>
    </row>
    <row r="86" spans="1:31" s="1134" customFormat="1" ht="46.5" customHeight="1">
      <c r="A86" s="413">
        <v>71</v>
      </c>
      <c r="B86" s="413" t="str">
        <f>'Chấm công KT'!D83</f>
        <v>03516</v>
      </c>
      <c r="C86" s="414" t="str">
        <f>TONGHOPCONGDOI!C81</f>
        <v>N. Chay</v>
      </c>
      <c r="D86" s="414"/>
      <c r="E86" s="415"/>
      <c r="F86" s="414">
        <f t="shared" si="11"/>
        <v>0</v>
      </c>
      <c r="G86" s="414">
        <f>VLOOKUP(C86,TONGHOPCONGDOI!C81:AE91,16,0)</f>
        <v>1139</v>
      </c>
      <c r="H86" s="414">
        <f>VLOOKUP(C86,TONGHOPCONGDOI!C81:AE91,17,0)</f>
        <v>0</v>
      </c>
      <c r="I86" s="414"/>
      <c r="J86" s="708">
        <f t="shared" si="12"/>
        <v>584.85698425842236</v>
      </c>
      <c r="K86" s="413" t="str">
        <f>VLOOKUP(C86,'BTH mủ tạp'!C87:AL96,36,0)</f>
        <v>A</v>
      </c>
      <c r="L86" s="1294">
        <f t="shared" si="13"/>
        <v>2152278</v>
      </c>
      <c r="M86" s="414">
        <f>VLOOKUP(C86,TONGHOPCONGDOI!$C$11:$AD$91,20,0)</f>
        <v>25</v>
      </c>
      <c r="N86" s="414">
        <f>VLOOKUP(C86,TONGHOPCONGDOI!$C$11:$AD$91,21,0)</f>
        <v>4</v>
      </c>
      <c r="O86" s="414">
        <f>VLOOKUP(C86,TONGHOPCONGDOI!$C$11:$AD$91,22,0)</f>
        <v>0</v>
      </c>
      <c r="P86" s="414">
        <f>VLOOKUP(C86,TONGHOPCONGDOI!$C$11:$AD$91,23,0)</f>
        <v>0</v>
      </c>
      <c r="Q86" s="414">
        <f>VLOOKUP(C86,TONGHOPCONGDOI!$C$11:$AD$91,24,0)</f>
        <v>0</v>
      </c>
      <c r="R86" s="414">
        <f>VLOOKUP(C86,TONGHOPCONGDOI!$C$11:$AD$91,25,0)</f>
        <v>0</v>
      </c>
      <c r="S86" s="414">
        <f t="shared" si="15"/>
        <v>20</v>
      </c>
      <c r="T86" s="415"/>
      <c r="U86" s="415"/>
      <c r="V86" s="415"/>
      <c r="W86" s="1029">
        <f t="shared" si="14"/>
        <v>1475683</v>
      </c>
      <c r="X86" s="414">
        <f t="shared" si="9"/>
        <v>3627961</v>
      </c>
      <c r="Y86" s="414"/>
      <c r="Z86" s="414">
        <f>VLOOKUP(C86,'CNKT '!C86:Z96,24,0)</f>
        <v>3627961</v>
      </c>
      <c r="AA86" s="1134">
        <f>Z86-X86</f>
        <v>0</v>
      </c>
    </row>
    <row r="87" spans="1:31" s="1134" customFormat="1" ht="46.5" customHeight="1">
      <c r="A87" s="413">
        <v>72</v>
      </c>
      <c r="B87" s="413" t="str">
        <f>'Chấm công KT'!D84</f>
        <v>03544</v>
      </c>
      <c r="C87" s="414" t="str">
        <f>TONGHOPCONGDOI!C82</f>
        <v>T. Ta</v>
      </c>
      <c r="D87" s="414"/>
      <c r="E87" s="415"/>
      <c r="F87" s="414">
        <f t="shared" si="11"/>
        <v>0</v>
      </c>
      <c r="G87" s="414">
        <f>VLOOKUP(C87,TONGHOPCONGDOI!C82:AE91,16,0)</f>
        <v>1080</v>
      </c>
      <c r="H87" s="414">
        <f>VLOOKUP(C87,TONGHOPCONGDOI!C82:AE91,17,0)</f>
        <v>0</v>
      </c>
      <c r="I87" s="414"/>
      <c r="J87" s="708">
        <f t="shared" si="12"/>
        <v>554.56149517040922</v>
      </c>
      <c r="K87" s="413" t="str">
        <f>VLOOKUP(C87,'BTH mủ tạp'!C88:AL96,36,0)</f>
        <v>A</v>
      </c>
      <c r="L87" s="1294">
        <f t="shared" si="13"/>
        <v>2040791</v>
      </c>
      <c r="M87" s="414">
        <f>VLOOKUP(C87,TONGHOPCONGDOI!$C$11:$AD$91,20,0)</f>
        <v>27</v>
      </c>
      <c r="N87" s="414">
        <f>VLOOKUP(C87,TONGHOPCONGDOI!$C$11:$AD$91,21,0)</f>
        <v>4</v>
      </c>
      <c r="O87" s="414">
        <f>VLOOKUP(C87,TONGHOPCONGDOI!$C$11:$AD$91,22,0)</f>
        <v>0</v>
      </c>
      <c r="P87" s="414">
        <f>VLOOKUP(C87,TONGHOPCONGDOI!$C$11:$AD$91,23,0)</f>
        <v>0</v>
      </c>
      <c r="Q87" s="414">
        <f>VLOOKUP(C87,TONGHOPCONGDOI!$C$11:$AD$91,24,0)</f>
        <v>0</v>
      </c>
      <c r="R87" s="414">
        <f>VLOOKUP(C87,TONGHOPCONGDOI!$C$11:$AD$91,25,0)</f>
        <v>0</v>
      </c>
      <c r="S87" s="414">
        <f t="shared" si="15"/>
        <v>20</v>
      </c>
      <c r="T87" s="415"/>
      <c r="U87" s="415"/>
      <c r="V87" s="415"/>
      <c r="W87" s="1029">
        <f t="shared" si="14"/>
        <v>1537293</v>
      </c>
      <c r="X87" s="414">
        <f t="shared" si="9"/>
        <v>3578084</v>
      </c>
      <c r="Y87" s="414"/>
      <c r="Z87" s="414">
        <f>VLOOKUP(C87,'CNKT '!C87:Z96,24,0)</f>
        <v>3578084</v>
      </c>
      <c r="AA87" s="1134">
        <f t="shared" si="10"/>
        <v>0</v>
      </c>
    </row>
    <row r="88" spans="1:31" s="1134" customFormat="1" ht="46.5" customHeight="1">
      <c r="A88" s="413">
        <v>73</v>
      </c>
      <c r="B88" s="413"/>
      <c r="C88" s="414" t="str">
        <f>TONGHOPCONGDOI!C83</f>
        <v>T. Ne</v>
      </c>
      <c r="D88" s="414"/>
      <c r="E88" s="415"/>
      <c r="F88" s="414">
        <f t="shared" si="11"/>
        <v>0</v>
      </c>
      <c r="G88" s="414">
        <f>VLOOKUP(C88,TONGHOPCONGDOI!C83:AE91,16,0)</f>
        <v>1063</v>
      </c>
      <c r="H88" s="414">
        <f>VLOOKUP(C88,TONGHOPCONGDOI!C83:AE91,17,0)</f>
        <v>0</v>
      </c>
      <c r="I88" s="414"/>
      <c r="J88" s="708">
        <f t="shared" si="12"/>
        <v>545.83228645013435</v>
      </c>
      <c r="K88" s="413" t="str">
        <f>VLOOKUP(C88,'BTH mủ tạp'!C89:AL96,36,0)</f>
        <v>A</v>
      </c>
      <c r="L88" s="1294">
        <f t="shared" si="13"/>
        <v>2008667</v>
      </c>
      <c r="M88" s="414">
        <f>VLOOKUP(C88,TONGHOPCONGDOI!$C$11:$AD$91,20,0)</f>
        <v>27</v>
      </c>
      <c r="N88" s="414">
        <f>VLOOKUP(C88,TONGHOPCONGDOI!$C$11:$AD$91,21,0)</f>
        <v>4</v>
      </c>
      <c r="O88" s="414">
        <f>VLOOKUP(C88,TONGHOPCONGDOI!$C$11:$AD$91,22,0)</f>
        <v>0</v>
      </c>
      <c r="P88" s="414">
        <f>VLOOKUP(C88,TONGHOPCONGDOI!$C$11:$AD$91,23,0)</f>
        <v>0</v>
      </c>
      <c r="Q88" s="414">
        <f>VLOOKUP(C88,TONGHOPCONGDOI!$C$11:$AD$91,24,0)</f>
        <v>0</v>
      </c>
      <c r="R88" s="414">
        <f>VLOOKUP(C88,TONGHOPCONGDOI!$C$11:$AD$91,25,0)</f>
        <v>0</v>
      </c>
      <c r="S88" s="414">
        <f t="shared" si="15"/>
        <v>20</v>
      </c>
      <c r="T88" s="415"/>
      <c r="U88" s="415"/>
      <c r="V88" s="415"/>
      <c r="W88" s="1029">
        <f t="shared" si="14"/>
        <v>1537293</v>
      </c>
      <c r="X88" s="414">
        <f t="shared" si="9"/>
        <v>3545960</v>
      </c>
      <c r="Y88" s="414"/>
      <c r="Z88" s="414">
        <f>VLOOKUP(C88,'CNKT '!C88:Z96,24,0)</f>
        <v>3545960</v>
      </c>
      <c r="AA88" s="1134">
        <f t="shared" ref="AA88:AA96" si="16">Z88-X88</f>
        <v>0</v>
      </c>
    </row>
    <row r="89" spans="1:31" s="1134" customFormat="1" ht="46.5" customHeight="1">
      <c r="A89" s="413">
        <v>74</v>
      </c>
      <c r="B89" s="413">
        <f>'Chấm công KT'!D86</f>
        <v>0</v>
      </c>
      <c r="C89" s="414" t="str">
        <f>TONGHOPCONGDOI!C84</f>
        <v>T. Tý</v>
      </c>
      <c r="D89" s="414"/>
      <c r="E89" s="415"/>
      <c r="F89" s="414">
        <f t="shared" si="11"/>
        <v>0</v>
      </c>
      <c r="G89" s="414">
        <f>VLOOKUP(C89,TONGHOPCONGDOI!C84:AE91,16,0)</f>
        <v>0</v>
      </c>
      <c r="H89" s="414">
        <f>VLOOKUP(C89,TONGHOPCONGDOI!C84:AE91,17,0)</f>
        <v>0</v>
      </c>
      <c r="I89" s="414"/>
      <c r="J89" s="708">
        <f t="shared" si="12"/>
        <v>0</v>
      </c>
      <c r="K89" s="413"/>
      <c r="L89" s="1294">
        <f t="shared" si="13"/>
        <v>0</v>
      </c>
      <c r="M89" s="414">
        <f>VLOOKUP(C89,TONGHOPCONGDOI!$C$11:$AD$91,20,0)</f>
        <v>0</v>
      </c>
      <c r="N89" s="414">
        <f>VLOOKUP(C89,TONGHOPCONGDOI!$C$11:$AD$91,21,0)</f>
        <v>0</v>
      </c>
      <c r="O89" s="414">
        <f>VLOOKUP(C89,TONGHOPCONGDOI!$C$11:$AD$91,22,0)</f>
        <v>0</v>
      </c>
      <c r="P89" s="414">
        <f>VLOOKUP(C89,TONGHOPCONGDOI!$C$11:$AD$91,23,0)</f>
        <v>0</v>
      </c>
      <c r="Q89" s="414">
        <f>VLOOKUP(C89,TONGHOPCONGDOI!$C$11:$AD$91,24,0)</f>
        <v>0</v>
      </c>
      <c r="R89" s="414">
        <f>VLOOKUP(C89,TONGHOPCONGDOI!$C$11:$AD$91,25,0)</f>
        <v>0</v>
      </c>
      <c r="S89" s="414"/>
      <c r="T89" s="415">
        <f t="shared" ref="T89:T95" si="17">SUM(M89:R89)</f>
        <v>0</v>
      </c>
      <c r="U89" s="415">
        <f t="shared" ref="U89:U95" si="18">SUM(M89:R89)</f>
        <v>0</v>
      </c>
      <c r="V89" s="415"/>
      <c r="W89" s="1029">
        <f t="shared" si="14"/>
        <v>0</v>
      </c>
      <c r="X89" s="414">
        <f t="shared" si="9"/>
        <v>0</v>
      </c>
      <c r="Y89" s="414"/>
      <c r="Z89" s="414">
        <f>VLOOKUP(C89,'CNKT '!C89:Z96,24,0)</f>
        <v>0</v>
      </c>
      <c r="AA89" s="1134">
        <f t="shared" si="16"/>
        <v>0</v>
      </c>
    </row>
    <row r="90" spans="1:31" s="1134" customFormat="1" ht="46.5" customHeight="1">
      <c r="A90" s="413">
        <v>74</v>
      </c>
      <c r="B90" s="413">
        <f>'Chấm công KT'!D87</f>
        <v>0</v>
      </c>
      <c r="C90" s="414" t="str">
        <f>TONGHOPCONGDOI!C85</f>
        <v>T.Lã</v>
      </c>
      <c r="D90" s="414"/>
      <c r="E90" s="415"/>
      <c r="F90" s="414">
        <f t="shared" si="11"/>
        <v>0</v>
      </c>
      <c r="G90" s="414">
        <f>VLOOKUP(C90,TONGHOPCONGDOI!C85:AE91,16,0)</f>
        <v>207</v>
      </c>
      <c r="H90" s="414">
        <f>VLOOKUP(C90,TONGHOPCONGDOI!C85:AE91,17,0)</f>
        <v>0</v>
      </c>
      <c r="I90" s="414"/>
      <c r="J90" s="708">
        <f t="shared" si="12"/>
        <v>106.29095324099511</v>
      </c>
      <c r="K90" s="413" t="s">
        <v>449</v>
      </c>
      <c r="L90" s="1294">
        <f t="shared" si="13"/>
        <v>352678</v>
      </c>
      <c r="M90" s="414">
        <f>VLOOKUP(C90,TONGHOPCONGDOI!$C$11:$AD$91,20,0)</f>
        <v>5</v>
      </c>
      <c r="N90" s="414">
        <f>VLOOKUP(C90,TONGHOPCONGDOI!$C$11:$AD$91,21,0)</f>
        <v>0</v>
      </c>
      <c r="O90" s="414">
        <f>VLOOKUP(C90,TONGHOPCONGDOI!$C$11:$AD$91,22,0)</f>
        <v>0</v>
      </c>
      <c r="P90" s="414">
        <f>VLOOKUP(C90,TONGHOPCONGDOI!$C$11:$AD$91,23,0)</f>
        <v>0</v>
      </c>
      <c r="Q90" s="414">
        <f>VLOOKUP(C90,TONGHOPCONGDOI!$C$11:$AD$91,24,0)</f>
        <v>0</v>
      </c>
      <c r="R90" s="414">
        <f>VLOOKUP(C90,TONGHOPCONGDOI!$C$11:$AD$91,25,0)</f>
        <v>0</v>
      </c>
      <c r="S90" s="414"/>
      <c r="T90" s="415"/>
      <c r="U90" s="415"/>
      <c r="V90" s="415"/>
      <c r="W90" s="1029">
        <f>ROUND(((M90*46.1)+(N90*76.9)+(O90*92.2)+(P90*153.8)+(Q90*92.2)+(R90*153.8))*$E$12+(S90*25000)+(T90*10000)+(U90*30000),0)</f>
        <v>154027</v>
      </c>
      <c r="X90" s="414">
        <f>F90+L90+W90</f>
        <v>506705</v>
      </c>
      <c r="Y90" s="414"/>
      <c r="Z90" s="414">
        <f>VLOOKUP(C90,'CNKT '!C90:Z96,24,0)</f>
        <v>506705</v>
      </c>
      <c r="AA90" s="1134">
        <f>Z90-X90</f>
        <v>0</v>
      </c>
    </row>
    <row r="91" spans="1:31" s="1134" customFormat="1" ht="46.5" customHeight="1">
      <c r="A91" s="413">
        <v>75</v>
      </c>
      <c r="B91" s="413">
        <f>'Chấm công KT'!D88</f>
        <v>0</v>
      </c>
      <c r="C91" s="414" t="str">
        <f>TONGHOPCONGDOI!C86</f>
        <v>N. Veo</v>
      </c>
      <c r="D91" s="414"/>
      <c r="E91" s="415"/>
      <c r="F91" s="414">
        <f t="shared" si="11"/>
        <v>0</v>
      </c>
      <c r="G91" s="414">
        <f>VLOOKUP(C91,TONGHOPCONGDOI!C86:AE91,16,0)</f>
        <v>124</v>
      </c>
      <c r="H91" s="414">
        <f>VLOOKUP(C91,TONGHOPCONGDOI!C86:AE91,17,0)</f>
        <v>0</v>
      </c>
      <c r="I91" s="414"/>
      <c r="J91" s="708">
        <f t="shared" si="12"/>
        <v>63.671875371417357</v>
      </c>
      <c r="K91" s="413" t="s">
        <v>449</v>
      </c>
      <c r="L91" s="1294">
        <f t="shared" si="13"/>
        <v>211266</v>
      </c>
      <c r="M91" s="414">
        <f>VLOOKUP(C91,TONGHOPCONGDOI!$C$11:$AD$91,20,0)</f>
        <v>5</v>
      </c>
      <c r="N91" s="414">
        <f>VLOOKUP(C91,TONGHOPCONGDOI!$C$11:$AD$91,21,0)</f>
        <v>0</v>
      </c>
      <c r="O91" s="414">
        <f>VLOOKUP(C91,TONGHOPCONGDOI!$C$11:$AD$91,22,0)</f>
        <v>0</v>
      </c>
      <c r="P91" s="414">
        <f>VLOOKUP(C91,TONGHOPCONGDOI!$C$11:$AD$91,23,0)</f>
        <v>0</v>
      </c>
      <c r="Q91" s="414">
        <f>VLOOKUP(C91,TONGHOPCONGDOI!$C$11:$AD$91,24,0)</f>
        <v>0</v>
      </c>
      <c r="R91" s="414">
        <f>VLOOKUP(C91,TONGHOPCONGDOI!$C$11:$AD$91,25,0)</f>
        <v>0</v>
      </c>
      <c r="S91" s="414"/>
      <c r="T91" s="415"/>
      <c r="U91" s="415"/>
      <c r="V91" s="415"/>
      <c r="W91" s="1029">
        <f t="shared" si="14"/>
        <v>154027</v>
      </c>
      <c r="X91" s="414">
        <f t="shared" si="9"/>
        <v>365293</v>
      </c>
      <c r="Y91" s="414"/>
      <c r="Z91" s="414">
        <f>VLOOKUP(C91,'CNKT '!C91:Z96,24,0)</f>
        <v>365293</v>
      </c>
      <c r="AA91" s="1134">
        <f t="shared" si="16"/>
        <v>0</v>
      </c>
    </row>
    <row r="92" spans="1:31" s="1134" customFormat="1" ht="46.5" customHeight="1">
      <c r="A92" s="413">
        <v>76</v>
      </c>
      <c r="B92" s="413">
        <f>'Chấm công KT'!D90</f>
        <v>0</v>
      </c>
      <c r="C92" s="414" t="str">
        <f>TONGHOPCONGDOI!C87</f>
        <v>T.Pu</v>
      </c>
      <c r="D92" s="414"/>
      <c r="E92" s="415"/>
      <c r="F92" s="414">
        <f t="shared" si="11"/>
        <v>0</v>
      </c>
      <c r="G92" s="414">
        <f>VLOOKUP(C92,TONGHOPCONGDOI!C87:AE91,16,0)</f>
        <v>35</v>
      </c>
      <c r="H92" s="414"/>
      <c r="I92" s="414"/>
      <c r="J92" s="708">
        <f t="shared" si="12"/>
        <v>17.971900306448447</v>
      </c>
      <c r="K92" s="413" t="s">
        <v>449</v>
      </c>
      <c r="L92" s="1294">
        <f>ROUND((IF(K92="A",(G92*$Z$12*6.1),IF(K92="B",(G92*$Z$12*5.8),IF(K92="C",(G92*$Z$12*5.5),IF(K92="D",(G92*$Z$12*5.2),0))))*$F$12+(H92*$AB$11*$F$12*6.1)+I92*$F$12*$AB$12*6.1),0)-39097</f>
        <v>20534</v>
      </c>
      <c r="M92" s="414">
        <f>VLOOKUP(C92,TONGHOPCONGDOI!$C$11:$AD$91,20,0)</f>
        <v>3</v>
      </c>
      <c r="N92" s="414">
        <f>VLOOKUP(C92,TONGHOPCONGDOI!$C$11:$AD$91,21,0)</f>
        <v>0</v>
      </c>
      <c r="O92" s="414">
        <f>VLOOKUP(C92,TONGHOPCONGDOI!$C$11:$AD$91,22,0)</f>
        <v>0</v>
      </c>
      <c r="P92" s="414">
        <f>VLOOKUP(C92,TONGHOPCONGDOI!$C$11:$AD$91,23,0)</f>
        <v>0</v>
      </c>
      <c r="Q92" s="414">
        <f>VLOOKUP(C92,TONGHOPCONGDOI!$C$11:$AD$91,24,0)</f>
        <v>0</v>
      </c>
      <c r="R92" s="414">
        <f>VLOOKUP(C92,TONGHOPCONGDOI!$C$11:$AD$91,25,0)</f>
        <v>0</v>
      </c>
      <c r="S92" s="414"/>
      <c r="T92" s="415"/>
      <c r="U92" s="415"/>
      <c r="V92" s="415"/>
      <c r="W92" s="1029">
        <f>ROUND(((M92*46.1)+(N92*76.9)+(O92*92.2)+(P92*153.8)+(Q92*92.2)+(R92*153.8))*$E$12+(S92*25000)+(T92*10000)+(U92*30000),0)+6</f>
        <v>92422</v>
      </c>
      <c r="X92" s="414">
        <f>F92+L92+W92</f>
        <v>112956</v>
      </c>
      <c r="Y92" s="414"/>
      <c r="Z92" s="414">
        <f>VLOOKUP(C92,'CNKT '!C92:Z96,24,0)</f>
        <v>112956</v>
      </c>
      <c r="AA92" s="1134">
        <f t="shared" si="16"/>
        <v>0</v>
      </c>
      <c r="AB92" s="1134">
        <f>SUBTOTAL(9,L16:L92)</f>
        <v>199200470</v>
      </c>
    </row>
    <row r="93" spans="1:31" s="1134" customFormat="1" ht="46.5" customHeight="1">
      <c r="A93" s="413">
        <v>78</v>
      </c>
      <c r="B93" s="413">
        <f>'Chấm công KT'!D91</f>
        <v>0</v>
      </c>
      <c r="C93" s="414" t="str">
        <f>TONGHOPCONGDOI!C88</f>
        <v>T.Ta</v>
      </c>
      <c r="D93" s="414"/>
      <c r="E93" s="415"/>
      <c r="F93" s="414">
        <f t="shared" si="11"/>
        <v>0</v>
      </c>
      <c r="G93" s="414">
        <f>VLOOKUP(C93,TONGHOPCONGDOI!C88:AE91,16,0)</f>
        <v>0</v>
      </c>
      <c r="H93" s="414"/>
      <c r="I93" s="414"/>
      <c r="J93" s="708">
        <f t="shared" si="12"/>
        <v>0</v>
      </c>
      <c r="K93" s="413" t="s">
        <v>449</v>
      </c>
      <c r="L93" s="1294">
        <f t="shared" si="13"/>
        <v>0</v>
      </c>
      <c r="M93" s="414">
        <f>VLOOKUP(C93,TONGHOPCONGDOI!$C$11:$AD$91,20,0)</f>
        <v>0</v>
      </c>
      <c r="N93" s="414">
        <f>VLOOKUP(C93,TONGHOPCONGDOI!$C$11:$AD$91,21,0)</f>
        <v>0</v>
      </c>
      <c r="O93" s="414">
        <f>VLOOKUP(C93,TONGHOPCONGDOI!$C$11:$AD$91,22,0)</f>
        <v>0</v>
      </c>
      <c r="P93" s="414">
        <f>VLOOKUP(C93,TONGHOPCONGDOI!$C$11:$AD$91,23,0)</f>
        <v>0</v>
      </c>
      <c r="Q93" s="414">
        <f>VLOOKUP(C93,TONGHOPCONGDOI!$C$11:$AD$91,24,0)</f>
        <v>0</v>
      </c>
      <c r="R93" s="414">
        <f>VLOOKUP(C93,TONGHOPCONGDOI!$C$11:$AD$91,25,0)</f>
        <v>0</v>
      </c>
      <c r="S93" s="414"/>
      <c r="T93" s="415">
        <f t="shared" si="17"/>
        <v>0</v>
      </c>
      <c r="U93" s="415">
        <f t="shared" si="18"/>
        <v>0</v>
      </c>
      <c r="V93" s="415"/>
      <c r="W93" s="1029">
        <f t="shared" si="14"/>
        <v>0</v>
      </c>
      <c r="X93" s="414">
        <f t="shared" si="9"/>
        <v>0</v>
      </c>
      <c r="Y93" s="414"/>
      <c r="Z93" s="414">
        <f>VLOOKUP(C93,'CNKT '!C93:Z96,24,0)</f>
        <v>0</v>
      </c>
      <c r="AA93" s="1134">
        <f t="shared" si="16"/>
        <v>0</v>
      </c>
    </row>
    <row r="94" spans="1:31" s="1134" customFormat="1" ht="46.5" customHeight="1">
      <c r="A94" s="413">
        <v>79</v>
      </c>
      <c r="B94" s="658"/>
      <c r="C94" s="414" t="str">
        <f>TONGHOPCONGDOI!C89</f>
        <v>N.Nang</v>
      </c>
      <c r="D94" s="659"/>
      <c r="E94" s="415"/>
      <c r="F94" s="414">
        <f t="shared" si="11"/>
        <v>0</v>
      </c>
      <c r="G94" s="414">
        <f>VLOOKUP(C94,TONGHOPCONGDOI!C89:AE91,16,0)</f>
        <v>0</v>
      </c>
      <c r="H94" s="414"/>
      <c r="I94" s="414"/>
      <c r="J94" s="708">
        <f>$AB$10/$AB$9*G94+H94*$AB$11+I94*$AB$12</f>
        <v>0</v>
      </c>
      <c r="K94" s="413" t="s">
        <v>449</v>
      </c>
      <c r="L94" s="1294">
        <f t="shared" si="13"/>
        <v>0</v>
      </c>
      <c r="M94" s="414">
        <f>VLOOKUP(C94,TONGHOPCONGDOI!$C$11:$AD$91,20,0)</f>
        <v>0</v>
      </c>
      <c r="N94" s="414">
        <f>VLOOKUP(C94,TONGHOPCONGDOI!$C$11:$AD$91,21,0)</f>
        <v>0</v>
      </c>
      <c r="O94" s="414">
        <f>VLOOKUP(C94,TONGHOPCONGDOI!$C$11:$AD$91,22,0)</f>
        <v>0</v>
      </c>
      <c r="P94" s="414">
        <f>VLOOKUP(C94,TONGHOPCONGDOI!$C$11:$AD$91,23,0)</f>
        <v>0</v>
      </c>
      <c r="Q94" s="414">
        <f>VLOOKUP(C94,TONGHOPCONGDOI!$C$11:$AD$91,24,0)</f>
        <v>0</v>
      </c>
      <c r="R94" s="414">
        <f>VLOOKUP(C94,TONGHOPCONGDOI!$C$11:$AD$91,25,0)</f>
        <v>0</v>
      </c>
      <c r="S94" s="414"/>
      <c r="T94" s="415">
        <f t="shared" si="17"/>
        <v>0</v>
      </c>
      <c r="U94" s="415">
        <f t="shared" si="18"/>
        <v>0</v>
      </c>
      <c r="V94" s="415"/>
      <c r="W94" s="1029">
        <f t="shared" si="14"/>
        <v>0</v>
      </c>
      <c r="X94" s="414">
        <f t="shared" si="9"/>
        <v>0</v>
      </c>
      <c r="Y94" s="414"/>
      <c r="Z94" s="414">
        <f>VLOOKUP(C94,'CNKT '!C94:Z96,24,0)</f>
        <v>0</v>
      </c>
      <c r="AA94" s="1134">
        <f t="shared" si="16"/>
        <v>0</v>
      </c>
      <c r="AE94" s="1134" t="s">
        <v>681</v>
      </c>
    </row>
    <row r="95" spans="1:31" s="1134" customFormat="1" ht="46.5" customHeight="1">
      <c r="A95" s="413">
        <v>80</v>
      </c>
      <c r="B95" s="658"/>
      <c r="C95" s="414" t="str">
        <f>TONGHOPCONGDOI!C90</f>
        <v>T. Tan</v>
      </c>
      <c r="D95" s="659"/>
      <c r="E95" s="415"/>
      <c r="F95" s="414">
        <f t="shared" si="11"/>
        <v>0</v>
      </c>
      <c r="G95" s="414">
        <f>VLOOKUP(C95,TONGHOPCONGDOI!C90:AE91,16,0)</f>
        <v>0</v>
      </c>
      <c r="H95" s="414"/>
      <c r="I95" s="414"/>
      <c r="J95" s="708">
        <f>$AB$10/$AB$9*G95+H95*$AB$11+I95*$AB$12</f>
        <v>0</v>
      </c>
      <c r="K95" s="413" t="s">
        <v>449</v>
      </c>
      <c r="L95" s="1294">
        <f t="shared" si="13"/>
        <v>0</v>
      </c>
      <c r="M95" s="414">
        <f>VLOOKUP(C95,TONGHOPCONGDOI!$C$11:$AD$91,20,0)</f>
        <v>0</v>
      </c>
      <c r="N95" s="414">
        <f>VLOOKUP(C95,TONGHOPCONGDOI!$C$11:$AD$91,21,0)</f>
        <v>0</v>
      </c>
      <c r="O95" s="414">
        <f>VLOOKUP(C95,TONGHOPCONGDOI!$C$11:$AD$91,22,0)</f>
        <v>0</v>
      </c>
      <c r="P95" s="414">
        <f>VLOOKUP(C95,TONGHOPCONGDOI!$C$11:$AD$91,23,0)</f>
        <v>0</v>
      </c>
      <c r="Q95" s="414">
        <f>VLOOKUP(C95,TONGHOPCONGDOI!$C$11:$AD$91,24,0)</f>
        <v>0</v>
      </c>
      <c r="R95" s="414">
        <f>VLOOKUP(C95,TONGHOPCONGDOI!$C$11:$AD$91,25,0)</f>
        <v>0</v>
      </c>
      <c r="S95" s="414"/>
      <c r="T95" s="415">
        <f t="shared" si="17"/>
        <v>0</v>
      </c>
      <c r="U95" s="415">
        <f t="shared" si="18"/>
        <v>0</v>
      </c>
      <c r="V95" s="415"/>
      <c r="W95" s="1029">
        <f t="shared" si="14"/>
        <v>0</v>
      </c>
      <c r="X95" s="414">
        <f t="shared" si="9"/>
        <v>0</v>
      </c>
      <c r="Y95" s="414"/>
      <c r="Z95" s="414">
        <f>VLOOKUP(C95,'CNKT '!C95:Z96,24,0)</f>
        <v>0</v>
      </c>
      <c r="AA95" s="1134">
        <f t="shared" si="16"/>
        <v>0</v>
      </c>
    </row>
    <row r="96" spans="1:31" s="1134" customFormat="1" ht="46.5" customHeight="1">
      <c r="A96" s="413">
        <v>77</v>
      </c>
      <c r="B96" s="658"/>
      <c r="C96" s="915" t="str">
        <f>TONGHOPCONGDOI!C91</f>
        <v>T.Say</v>
      </c>
      <c r="D96" s="659"/>
      <c r="E96" s="415"/>
      <c r="F96" s="414">
        <f t="shared" si="11"/>
        <v>0</v>
      </c>
      <c r="G96" s="414"/>
      <c r="H96" s="414"/>
      <c r="I96" s="414">
        <f>'BTH mủ Sỉum'!AH13</f>
        <v>0</v>
      </c>
      <c r="J96" s="708"/>
      <c r="K96" s="413"/>
      <c r="L96" s="709"/>
      <c r="M96" s="414"/>
      <c r="N96" s="414"/>
      <c r="O96" s="414"/>
      <c r="P96" s="414"/>
      <c r="Q96" s="414"/>
      <c r="R96" s="414"/>
      <c r="S96" s="414"/>
      <c r="T96" s="415"/>
      <c r="U96" s="415"/>
      <c r="V96" s="415"/>
      <c r="W96" s="1029">
        <f t="shared" si="14"/>
        <v>0</v>
      </c>
      <c r="X96" s="414">
        <f>F96+L96+W96</f>
        <v>0</v>
      </c>
      <c r="Y96" s="414"/>
      <c r="Z96" s="414">
        <f>VLOOKUP(C96,'CNKT '!C96:Z96,24,0)</f>
        <v>0</v>
      </c>
      <c r="AA96" s="1134">
        <f t="shared" si="16"/>
        <v>0</v>
      </c>
    </row>
    <row r="97" spans="1:29" s="1134" customFormat="1" ht="46.5" customHeight="1">
      <c r="A97" s="1483" t="s">
        <v>385</v>
      </c>
      <c r="B97" s="1484"/>
      <c r="C97" s="1484"/>
      <c r="D97" s="1485"/>
      <c r="E97" s="416">
        <f t="shared" ref="E97:U97" si="19">SUM(E16:E96)</f>
        <v>0</v>
      </c>
      <c r="F97" s="416">
        <f t="shared" si="19"/>
        <v>0</v>
      </c>
      <c r="G97" s="416">
        <f t="shared" si="19"/>
        <v>107359</v>
      </c>
      <c r="H97" s="416">
        <f t="shared" si="19"/>
        <v>0</v>
      </c>
      <c r="I97" s="416">
        <f t="shared" si="19"/>
        <v>0</v>
      </c>
      <c r="J97" s="416">
        <f t="shared" si="19"/>
        <v>55127.006999999969</v>
      </c>
      <c r="K97" s="416">
        <f t="shared" si="19"/>
        <v>0</v>
      </c>
      <c r="L97" s="416">
        <f t="shared" si="19"/>
        <v>199200470</v>
      </c>
      <c r="M97" s="416">
        <f t="shared" si="19"/>
        <v>1842</v>
      </c>
      <c r="N97" s="416">
        <f t="shared" si="19"/>
        <v>271</v>
      </c>
      <c r="O97" s="416">
        <f t="shared" si="19"/>
        <v>0</v>
      </c>
      <c r="P97" s="416">
        <f t="shared" si="19"/>
        <v>0</v>
      </c>
      <c r="Q97" s="416">
        <f t="shared" si="19"/>
        <v>0</v>
      </c>
      <c r="R97" s="416">
        <f t="shared" si="19"/>
        <v>0</v>
      </c>
      <c r="S97" s="416">
        <f t="shared" si="19"/>
        <v>1360</v>
      </c>
      <c r="T97" s="416">
        <f t="shared" si="19"/>
        <v>0</v>
      </c>
      <c r="U97" s="416">
        <f t="shared" si="19"/>
        <v>0</v>
      </c>
      <c r="V97" s="416"/>
      <c r="W97" s="416">
        <f>SUM(W16:W96)</f>
        <v>104669403</v>
      </c>
      <c r="X97" s="416">
        <f>SUM(X16:X96)</f>
        <v>303869873</v>
      </c>
      <c r="Y97" s="416">
        <f>SUM(Y16:Y96)</f>
        <v>0</v>
      </c>
      <c r="Z97" s="1299">
        <f>SUM(Z16:Z96)</f>
        <v>303869873</v>
      </c>
      <c r="AA97" s="1134">
        <f>X97-Z97</f>
        <v>0</v>
      </c>
      <c r="AB97" s="1134">
        <v>97959067</v>
      </c>
    </row>
    <row r="98" spans="1:29" ht="50.25" customHeight="1">
      <c r="A98" s="1476" t="s">
        <v>744</v>
      </c>
      <c r="B98" s="1476"/>
      <c r="C98" s="1476"/>
      <c r="D98" s="1476"/>
      <c r="E98" s="1476"/>
      <c r="F98" s="1476"/>
      <c r="G98" s="1476"/>
      <c r="H98" s="1476"/>
      <c r="I98" s="1476"/>
      <c r="J98" s="1476"/>
      <c r="K98" s="1476"/>
      <c r="L98" s="1476"/>
      <c r="M98" s="1476"/>
      <c r="N98" s="1476"/>
      <c r="O98" s="1476"/>
      <c r="P98" s="1476"/>
      <c r="Q98" s="1476"/>
      <c r="R98" s="1476"/>
      <c r="S98" s="1476"/>
      <c r="T98" s="1476"/>
      <c r="U98" s="1476"/>
      <c r="V98" s="1476"/>
      <c r="W98" s="1476"/>
      <c r="X98" s="1476"/>
      <c r="Y98" s="1476"/>
      <c r="Z98" s="1476"/>
      <c r="AB98" s="625">
        <f>G97*Z12/1000</f>
        <v>55.127006999999971</v>
      </c>
    </row>
    <row r="99" spans="1:29" ht="12.75" customHeight="1">
      <c r="A99" s="1030"/>
      <c r="B99" s="1030"/>
      <c r="C99" s="1030"/>
      <c r="D99" s="1030"/>
      <c r="E99" s="1030"/>
      <c r="F99" s="1030"/>
      <c r="G99" s="1030"/>
      <c r="H99" s="1030"/>
      <c r="I99" s="1030"/>
      <c r="J99" s="1030"/>
      <c r="K99" s="1030"/>
      <c r="L99" s="1030"/>
      <c r="M99" s="1030"/>
      <c r="N99" s="1030"/>
      <c r="O99" s="1030"/>
      <c r="P99" s="1030"/>
      <c r="Q99" s="1030"/>
      <c r="R99" s="1030"/>
      <c r="S99" s="1030"/>
      <c r="T99" s="1030"/>
      <c r="U99" s="1030"/>
      <c r="V99" s="1030"/>
      <c r="W99" s="1030"/>
      <c r="X99" s="1030"/>
      <c r="Y99" s="1030"/>
      <c r="Z99" s="1030"/>
    </row>
    <row r="100" spans="1:29" ht="29.25" customHeight="1">
      <c r="A100" s="468"/>
      <c r="B100" s="468"/>
      <c r="C100" s="469"/>
      <c r="D100" s="470"/>
      <c r="E100" s="471"/>
      <c r="F100" s="472"/>
      <c r="G100" s="472"/>
      <c r="H100" s="472"/>
      <c r="I100" s="472"/>
      <c r="J100" s="473"/>
      <c r="K100" s="474"/>
      <c r="L100" s="475"/>
      <c r="M100" s="476"/>
      <c r="N100" s="476"/>
      <c r="O100" s="476"/>
      <c r="P100" s="476"/>
      <c r="Q100" s="476"/>
      <c r="R100" s="476"/>
      <c r="S100" s="476"/>
      <c r="T100" s="1481" t="s">
        <v>702</v>
      </c>
      <c r="U100" s="1481"/>
      <c r="V100" s="1481"/>
      <c r="W100" s="1481"/>
      <c r="X100" s="1481"/>
      <c r="Y100" s="1481"/>
      <c r="Z100" s="1481"/>
      <c r="AB100" s="358" t="e">
        <f>Z97-#REF!</f>
        <v>#REF!</v>
      </c>
    </row>
    <row r="101" spans="1:29" ht="7.5" customHeight="1">
      <c r="D101" s="356"/>
      <c r="E101" s="357"/>
      <c r="M101" s="362"/>
      <c r="N101" s="362"/>
      <c r="O101" s="362"/>
      <c r="P101" s="362"/>
      <c r="Q101" s="362"/>
      <c r="R101" s="362"/>
      <c r="S101" s="362"/>
      <c r="Y101" s="363"/>
      <c r="Z101" s="363"/>
    </row>
    <row r="102" spans="1:29" ht="6.75" customHeight="1">
      <c r="D102" s="356"/>
      <c r="E102" s="357"/>
      <c r="M102" s="362"/>
      <c r="N102" s="362"/>
      <c r="O102" s="362"/>
      <c r="P102" s="362"/>
      <c r="Q102" s="362"/>
      <c r="R102" s="362"/>
      <c r="S102" s="362"/>
      <c r="Y102" s="363"/>
      <c r="Z102" s="363"/>
    </row>
    <row r="103" spans="1:29" s="365" customFormat="1" ht="34.15" customHeight="1">
      <c r="A103" s="1482" t="s">
        <v>660</v>
      </c>
      <c r="B103" s="1482"/>
      <c r="C103" s="1482"/>
      <c r="D103" s="1482"/>
      <c r="E103" s="1482"/>
      <c r="F103" s="1482"/>
      <c r="G103" s="1482"/>
      <c r="H103" s="1482"/>
      <c r="I103" s="1482"/>
      <c r="J103" s="1482"/>
      <c r="K103" s="1482"/>
      <c r="L103" s="1482"/>
      <c r="M103" s="1482"/>
      <c r="N103" s="1482"/>
      <c r="O103" s="1482"/>
      <c r="P103" s="1482"/>
      <c r="Q103" s="1482"/>
      <c r="R103" s="1482"/>
      <c r="S103" s="1482"/>
      <c r="T103" s="1482"/>
      <c r="U103" s="1482"/>
      <c r="V103" s="1482"/>
      <c r="W103" s="1482"/>
      <c r="X103" s="1482"/>
      <c r="Y103" s="1482"/>
      <c r="Z103" s="1482"/>
      <c r="AB103" s="365">
        <f>X97-Z97</f>
        <v>0</v>
      </c>
    </row>
    <row r="104" spans="1:29" s="365" customFormat="1" ht="19.5" customHeight="1">
      <c r="A104" s="364"/>
      <c r="B104" s="364"/>
      <c r="C104" s="1139"/>
      <c r="D104" s="1139"/>
      <c r="E104" s="1139"/>
      <c r="F104" s="1139"/>
      <c r="G104" s="1139"/>
      <c r="H104" s="1139"/>
      <c r="I104" s="1139"/>
      <c r="J104" s="366"/>
      <c r="K104" s="1139"/>
      <c r="L104" s="367"/>
      <c r="O104" s="367"/>
      <c r="P104" s="367"/>
      <c r="Q104" s="367"/>
      <c r="R104" s="367"/>
      <c r="S104" s="367"/>
      <c r="T104" s="367"/>
      <c r="U104" s="367"/>
      <c r="V104" s="367"/>
      <c r="W104" s="368"/>
      <c r="X104" s="1139"/>
      <c r="Y104" s="1139"/>
      <c r="Z104" s="1139"/>
      <c r="AC104" s="365">
        <f>1442+5382</f>
        <v>6824</v>
      </c>
    </row>
    <row r="105" spans="1:29" s="365" customFormat="1" ht="19.5" customHeight="1">
      <c r="A105" s="364"/>
      <c r="B105" s="364"/>
      <c r="C105" s="1139"/>
      <c r="D105" s="1139"/>
      <c r="E105" s="1139"/>
      <c r="F105" s="1139"/>
      <c r="G105" s="1139"/>
      <c r="H105" s="1139"/>
      <c r="I105" s="1139"/>
      <c r="J105" s="366"/>
      <c r="K105" s="1139"/>
      <c r="L105" s="367"/>
      <c r="O105" s="367"/>
      <c r="P105" s="367"/>
      <c r="Q105" s="367"/>
      <c r="R105" s="367"/>
      <c r="S105" s="367"/>
      <c r="T105" s="367"/>
      <c r="U105" s="367"/>
      <c r="V105" s="367"/>
      <c r="W105" s="368"/>
      <c r="X105" s="1139"/>
      <c r="Y105" s="1139"/>
      <c r="Z105" s="1139"/>
    </row>
    <row r="106" spans="1:29" s="365" customFormat="1" ht="19.5" customHeight="1">
      <c r="A106" s="364"/>
      <c r="B106" s="364"/>
      <c r="C106" s="1139"/>
      <c r="D106" s="1139"/>
      <c r="E106" s="1139"/>
      <c r="F106" s="1139"/>
      <c r="G106" s="1139"/>
      <c r="H106" s="1139"/>
      <c r="I106" s="1139"/>
      <c r="J106" s="366"/>
      <c r="K106" s="1139"/>
      <c r="L106" s="367"/>
      <c r="O106" s="367"/>
      <c r="P106" s="367"/>
      <c r="Q106" s="367"/>
      <c r="R106" s="367"/>
      <c r="S106" s="367"/>
      <c r="T106" s="367"/>
      <c r="U106" s="367"/>
      <c r="V106" s="367"/>
      <c r="W106" s="368"/>
      <c r="X106" s="1139"/>
      <c r="Y106" s="1139"/>
      <c r="Z106" s="1139"/>
    </row>
    <row r="107" spans="1:29" s="365" customFormat="1" ht="19.5" customHeight="1">
      <c r="A107" s="364"/>
      <c r="B107" s="364"/>
      <c r="C107" s="1139"/>
      <c r="D107" s="1139"/>
      <c r="E107" s="1139"/>
      <c r="F107" s="1139"/>
      <c r="G107" s="1139"/>
      <c r="H107" s="1139"/>
      <c r="I107" s="1139"/>
      <c r="J107" s="366"/>
      <c r="K107" s="1139"/>
      <c r="L107" s="367"/>
      <c r="O107" s="367"/>
      <c r="P107" s="367"/>
      <c r="Q107" s="367"/>
      <c r="R107" s="367"/>
      <c r="S107" s="367"/>
      <c r="T107" s="367"/>
      <c r="U107" s="367"/>
      <c r="V107" s="367"/>
      <c r="W107" s="368"/>
      <c r="X107" s="1139"/>
      <c r="Y107" s="1139"/>
      <c r="Z107" s="1139">
        <f>AB92+'TRẠM 2'!AB77</f>
        <v>233202970</v>
      </c>
    </row>
    <row r="108" spans="1:29" s="365" customFormat="1" ht="19.5" customHeight="1">
      <c r="A108" s="364"/>
      <c r="B108" s="364"/>
      <c r="C108" s="1139"/>
      <c r="D108" s="1139"/>
      <c r="E108" s="1139"/>
      <c r="F108" s="1139"/>
      <c r="G108" s="1139"/>
      <c r="H108" s="1139"/>
      <c r="I108" s="1139"/>
      <c r="J108" s="366"/>
      <c r="K108" s="1139"/>
      <c r="L108" s="367"/>
      <c r="O108" s="367"/>
      <c r="P108" s="367"/>
      <c r="Q108" s="367"/>
      <c r="R108" s="367"/>
      <c r="S108" s="367"/>
      <c r="T108" s="367"/>
      <c r="U108" s="367"/>
      <c r="V108" s="367"/>
      <c r="W108" s="368"/>
      <c r="X108" s="1139"/>
      <c r="Y108" s="1139"/>
      <c r="Z108" s="1139"/>
    </row>
    <row r="109" spans="1:29" s="365" customFormat="1" ht="19.5" customHeight="1">
      <c r="A109" s="364"/>
      <c r="B109" s="364"/>
      <c r="C109" s="1139"/>
      <c r="D109" s="1139"/>
      <c r="E109" s="1139"/>
      <c r="F109" s="1139"/>
      <c r="G109" s="1139"/>
      <c r="H109" s="1139"/>
      <c r="I109" s="1139"/>
      <c r="J109" s="366"/>
      <c r="K109" s="1139"/>
      <c r="L109" s="367"/>
      <c r="O109" s="367"/>
      <c r="P109" s="367"/>
      <c r="Q109" s="367"/>
      <c r="R109" s="367"/>
      <c r="S109" s="367"/>
      <c r="T109" s="367"/>
      <c r="U109" s="367"/>
      <c r="V109" s="367"/>
      <c r="W109" s="368"/>
      <c r="X109" s="1139"/>
      <c r="Y109" s="1139"/>
      <c r="Z109" s="1139"/>
      <c r="AA109" s="1309">
        <f>L97-'[3]TRẠM 1'!$L$97</f>
        <v>0</v>
      </c>
    </row>
    <row r="110" spans="1:29" s="365" customFormat="1" ht="19.5" customHeight="1">
      <c r="A110" s="364"/>
      <c r="B110" s="364"/>
      <c r="C110" s="1139"/>
      <c r="D110" s="1139"/>
      <c r="E110" s="1139"/>
      <c r="F110" s="1139"/>
      <c r="G110" s="1139"/>
      <c r="H110" s="1139"/>
      <c r="I110" s="1139"/>
      <c r="J110" s="366"/>
      <c r="K110" s="1139"/>
      <c r="L110" s="367"/>
      <c r="O110" s="367"/>
      <c r="P110" s="367"/>
      <c r="Q110" s="367"/>
      <c r="R110" s="367"/>
      <c r="S110" s="367"/>
      <c r="T110" s="367"/>
      <c r="U110" s="367"/>
      <c r="V110" s="367"/>
      <c r="W110" s="368">
        <f>SUBTOTAL(9,W16:W92)</f>
        <v>104669403</v>
      </c>
      <c r="X110" s="1139"/>
      <c r="Y110" s="1139"/>
      <c r="Z110" s="1139"/>
    </row>
    <row r="111" spans="1:29" s="365" customFormat="1" ht="19.5" customHeight="1">
      <c r="A111" s="364"/>
      <c r="B111" s="364"/>
      <c r="C111" s="1139"/>
      <c r="D111" s="1139"/>
      <c r="E111" s="1139"/>
      <c r="F111" s="1139"/>
      <c r="G111" s="1139"/>
      <c r="H111" s="1139"/>
      <c r="I111" s="1139"/>
      <c r="J111" s="366"/>
      <c r="K111" s="1139"/>
      <c r="L111" s="367"/>
      <c r="O111" s="367"/>
      <c r="P111" s="367"/>
      <c r="Q111" s="367"/>
      <c r="R111" s="367"/>
      <c r="S111" s="367"/>
      <c r="T111" s="367"/>
      <c r="U111" s="367"/>
      <c r="V111" s="367"/>
      <c r="W111" s="368"/>
      <c r="X111" s="1139"/>
      <c r="Y111" s="1139"/>
      <c r="Z111" s="1139"/>
    </row>
    <row r="112" spans="1:29" s="365" customFormat="1" ht="19.5" customHeight="1">
      <c r="A112" s="364"/>
      <c r="B112" s="364"/>
      <c r="C112" s="1139"/>
      <c r="D112" s="1139"/>
      <c r="E112" s="1139"/>
      <c r="F112" s="1139"/>
      <c r="G112" s="1139"/>
      <c r="H112" s="1139"/>
      <c r="I112" s="1139"/>
      <c r="J112" s="366"/>
      <c r="K112" s="1139"/>
      <c r="L112" s="369"/>
      <c r="O112" s="367"/>
      <c r="P112" s="367"/>
      <c r="Q112" s="367"/>
      <c r="R112" s="367"/>
      <c r="S112" s="367"/>
      <c r="T112" s="367"/>
      <c r="U112" s="367"/>
      <c r="V112" s="367"/>
      <c r="W112" s="367"/>
      <c r="X112" s="1139"/>
      <c r="Y112" s="1139"/>
      <c r="Z112" s="1139"/>
      <c r="AC112" s="365">
        <f>+AC104*25000</f>
        <v>170600000</v>
      </c>
    </row>
    <row r="113" spans="1:26" s="365" customFormat="1" ht="55.5" customHeight="1">
      <c r="A113" s="364"/>
      <c r="B113" s="364"/>
      <c r="C113" s="364"/>
      <c r="D113" s="364"/>
      <c r="E113" s="364"/>
      <c r="F113" s="364"/>
      <c r="G113" s="364"/>
      <c r="H113" s="364"/>
      <c r="I113" s="364"/>
      <c r="J113" s="1482" t="s">
        <v>720</v>
      </c>
      <c r="K113" s="1482"/>
      <c r="L113" s="1482"/>
      <c r="M113" s="1482"/>
      <c r="N113" s="364"/>
      <c r="O113" s="364"/>
      <c r="P113" s="364"/>
      <c r="Q113" s="364"/>
      <c r="R113" s="364"/>
      <c r="S113" s="364" t="s">
        <v>363</v>
      </c>
      <c r="T113" s="364"/>
      <c r="U113" s="364"/>
      <c r="V113" s="364"/>
      <c r="W113" s="364"/>
      <c r="X113" s="1482" t="s">
        <v>45</v>
      </c>
      <c r="Y113" s="1482"/>
      <c r="Z113" s="1482"/>
    </row>
    <row r="114" spans="1:26" s="365" customFormat="1" ht="19.5" customHeight="1">
      <c r="A114" s="364"/>
      <c r="B114" s="364"/>
      <c r="C114" s="1139"/>
      <c r="D114" s="1139"/>
      <c r="E114" s="369"/>
      <c r="F114" s="1139"/>
      <c r="G114" s="1139"/>
      <c r="H114" s="1139"/>
      <c r="I114" s="1139"/>
      <c r="J114" s="366"/>
      <c r="K114" s="1139"/>
      <c r="L114" s="367"/>
      <c r="O114" s="367"/>
      <c r="P114" s="367"/>
      <c r="Q114" s="367"/>
      <c r="R114" s="367"/>
      <c r="S114" s="367"/>
      <c r="T114" s="367"/>
      <c r="U114" s="367"/>
      <c r="V114" s="367"/>
      <c r="W114" s="368"/>
      <c r="X114" s="370"/>
      <c r="Y114" s="1139"/>
      <c r="Z114" s="1139"/>
    </row>
    <row r="115" spans="1:26" s="365" customFormat="1" ht="19.5" customHeight="1">
      <c r="A115" s="364"/>
      <c r="B115" s="364"/>
      <c r="C115" s="1139"/>
      <c r="D115" s="370"/>
      <c r="E115" s="369"/>
      <c r="F115" s="371"/>
      <c r="G115" s="371"/>
      <c r="H115" s="371"/>
      <c r="I115" s="371"/>
      <c r="J115" s="366"/>
      <c r="K115" s="1139"/>
      <c r="L115" s="369"/>
      <c r="O115" s="367"/>
      <c r="P115" s="367"/>
      <c r="Q115" s="367"/>
      <c r="R115" s="367"/>
      <c r="S115" s="367"/>
      <c r="T115" s="367"/>
      <c r="U115" s="367"/>
      <c r="V115" s="367"/>
      <c r="W115" s="358"/>
      <c r="X115" s="369"/>
      <c r="Y115" s="367"/>
      <c r="Z115" s="367"/>
    </row>
    <row r="116" spans="1:26">
      <c r="C116" s="358"/>
      <c r="E116" s="362"/>
      <c r="F116" s="362"/>
      <c r="G116" s="362"/>
      <c r="H116" s="362"/>
      <c r="I116" s="362"/>
      <c r="J116" s="373"/>
      <c r="K116" s="373"/>
      <c r="L116" s="362"/>
      <c r="W116" s="358">
        <f>W110+'TRẠM 2'!W91</f>
        <v>191490673</v>
      </c>
    </row>
    <row r="117" spans="1:26">
      <c r="C117" s="358"/>
      <c r="E117" s="362"/>
      <c r="F117" s="418"/>
      <c r="G117" s="418"/>
      <c r="H117" s="418"/>
      <c r="I117" s="418"/>
      <c r="J117" s="373"/>
      <c r="K117" s="373"/>
      <c r="L117" s="419"/>
      <c r="M117" s="1477"/>
      <c r="N117" s="1477"/>
      <c r="O117" s="1477"/>
      <c r="P117" s="1135"/>
      <c r="Q117" s="1135"/>
      <c r="R117" s="1135"/>
      <c r="S117" s="1135"/>
      <c r="W117" s="417"/>
      <c r="X117" s="417"/>
    </row>
    <row r="118" spans="1:26">
      <c r="C118" s="358"/>
      <c r="E118" s="362"/>
      <c r="F118" s="418"/>
      <c r="G118" s="418"/>
      <c r="H118" s="418"/>
      <c r="I118" s="418"/>
      <c r="J118" s="373"/>
      <c r="K118" s="373"/>
      <c r="L118" s="419"/>
      <c r="M118" s="1135"/>
      <c r="N118" s="1135"/>
      <c r="O118" s="1135"/>
      <c r="P118" s="1135"/>
      <c r="Q118" s="1135"/>
      <c r="R118" s="1135"/>
      <c r="S118" s="1135"/>
      <c r="W118" s="417"/>
      <c r="X118" s="417"/>
    </row>
    <row r="119" spans="1:26">
      <c r="C119" s="358"/>
      <c r="E119" s="362"/>
      <c r="F119" s="418"/>
      <c r="G119" s="418"/>
      <c r="H119" s="418"/>
      <c r="I119" s="418"/>
      <c r="J119" s="373"/>
      <c r="K119" s="373"/>
      <c r="L119" s="419"/>
      <c r="M119" s="1135"/>
      <c r="N119" s="1135"/>
      <c r="O119" s="1135"/>
      <c r="P119" s="1135"/>
      <c r="Q119" s="1135"/>
      <c r="R119" s="1135"/>
      <c r="S119" s="1135"/>
      <c r="W119" s="417"/>
      <c r="X119" s="417"/>
    </row>
    <row r="120" spans="1:26">
      <c r="C120" s="358"/>
      <c r="E120" s="362"/>
      <c r="F120" s="418"/>
      <c r="G120" s="418"/>
      <c r="H120" s="418"/>
      <c r="I120" s="418"/>
      <c r="J120" s="373"/>
      <c r="K120" s="373"/>
      <c r="L120" s="419"/>
      <c r="M120" s="1135"/>
      <c r="N120" s="1135"/>
      <c r="O120" s="1135"/>
      <c r="P120" s="1135"/>
      <c r="Q120" s="1135"/>
      <c r="R120" s="1135"/>
      <c r="S120" s="1135"/>
      <c r="W120" s="417"/>
      <c r="X120" s="417"/>
    </row>
    <row r="121" spans="1:26">
      <c r="C121" s="358"/>
      <c r="E121" s="362"/>
      <c r="F121" s="418"/>
      <c r="G121" s="418"/>
      <c r="H121" s="418"/>
      <c r="I121" s="418"/>
      <c r="J121" s="373"/>
      <c r="K121" s="373"/>
      <c r="L121" s="419"/>
      <c r="M121" s="1135"/>
      <c r="N121" s="1135"/>
      <c r="O121" s="1135"/>
      <c r="P121" s="1135"/>
      <c r="Q121" s="1135"/>
      <c r="R121" s="1135"/>
      <c r="S121" s="1135"/>
      <c r="W121" s="417"/>
      <c r="X121" s="417"/>
    </row>
    <row r="122" spans="1:26">
      <c r="C122" s="358"/>
      <c r="E122" s="362"/>
      <c r="F122" s="418"/>
      <c r="G122" s="418"/>
      <c r="H122" s="418"/>
      <c r="I122" s="418"/>
      <c r="J122" s="373"/>
      <c r="K122" s="373"/>
      <c r="L122" s="419"/>
      <c r="M122" s="1135"/>
      <c r="N122" s="1135"/>
      <c r="O122" s="1135"/>
      <c r="P122" s="1135"/>
      <c r="Q122" s="1135"/>
      <c r="R122" s="1135"/>
      <c r="S122" s="1135"/>
      <c r="W122" s="417"/>
      <c r="X122" s="417"/>
    </row>
    <row r="123" spans="1:26">
      <c r="C123" s="358"/>
      <c r="E123" s="362"/>
      <c r="F123" s="418"/>
      <c r="G123" s="418"/>
      <c r="H123" s="418"/>
      <c r="I123" s="418"/>
      <c r="J123" s="373"/>
      <c r="K123" s="373"/>
      <c r="L123" s="419"/>
      <c r="M123" s="1135"/>
      <c r="N123" s="1135"/>
      <c r="O123" s="1135"/>
      <c r="P123" s="1135"/>
      <c r="Q123" s="1135"/>
      <c r="R123" s="1135"/>
      <c r="S123" s="1135"/>
      <c r="W123" s="417"/>
      <c r="X123" s="417"/>
    </row>
    <row r="124" spans="1:26">
      <c r="C124" s="358"/>
      <c r="E124" s="362"/>
      <c r="F124" s="418"/>
      <c r="G124" s="418"/>
      <c r="H124" s="418"/>
      <c r="I124" s="418"/>
      <c r="J124" s="373"/>
      <c r="K124" s="373"/>
      <c r="L124" s="419"/>
      <c r="M124" s="1135"/>
      <c r="N124" s="1135"/>
      <c r="O124" s="1135"/>
      <c r="P124" s="1135"/>
      <c r="Q124" s="1135"/>
      <c r="R124" s="1135"/>
      <c r="S124" s="1135"/>
      <c r="W124" s="417"/>
      <c r="X124" s="417"/>
    </row>
    <row r="125" spans="1:26">
      <c r="C125" s="358"/>
      <c r="E125" s="362"/>
      <c r="F125" s="418"/>
      <c r="G125" s="418"/>
      <c r="H125" s="418"/>
      <c r="I125" s="418"/>
      <c r="J125" s="373"/>
      <c r="K125" s="373"/>
      <c r="L125" s="419"/>
      <c r="M125" s="1135"/>
      <c r="N125" s="1135"/>
      <c r="O125" s="1135"/>
      <c r="P125" s="1135"/>
      <c r="Q125" s="1135"/>
      <c r="R125" s="1135"/>
      <c r="S125" s="1135"/>
      <c r="W125" s="417"/>
      <c r="X125" s="417"/>
    </row>
    <row r="126" spans="1:26">
      <c r="C126" s="358"/>
      <c r="E126" s="362"/>
      <c r="F126" s="418"/>
      <c r="G126" s="418"/>
      <c r="H126" s="418"/>
      <c r="I126" s="418"/>
      <c r="J126" s="373"/>
      <c r="K126" s="373"/>
      <c r="L126" s="419"/>
      <c r="M126" s="1135"/>
      <c r="N126" s="1135"/>
      <c r="O126" s="1135"/>
      <c r="P126" s="1135"/>
      <c r="Q126" s="1135"/>
      <c r="R126" s="1135"/>
      <c r="S126" s="1135"/>
      <c r="W126" s="417"/>
      <c r="X126" s="417"/>
    </row>
    <row r="127" spans="1:26">
      <c r="C127" s="358"/>
      <c r="E127" s="362"/>
      <c r="F127" s="418"/>
      <c r="G127" s="418"/>
      <c r="H127" s="418"/>
      <c r="I127" s="418"/>
      <c r="J127" s="373"/>
      <c r="K127" s="373"/>
      <c r="L127" s="419"/>
      <c r="M127" s="1135"/>
      <c r="N127" s="1135"/>
      <c r="O127" s="1135"/>
      <c r="P127" s="1135"/>
      <c r="Q127" s="1135"/>
      <c r="R127" s="1135"/>
      <c r="S127" s="1135"/>
      <c r="W127" s="417"/>
      <c r="X127" s="417"/>
    </row>
    <row r="128" spans="1:26">
      <c r="C128" s="358"/>
      <c r="E128" s="362"/>
      <c r="F128" s="418"/>
      <c r="G128" s="418"/>
      <c r="H128" s="418"/>
      <c r="I128" s="418"/>
      <c r="J128" s="373"/>
      <c r="K128" s="373"/>
      <c r="L128" s="419"/>
      <c r="M128" s="1135"/>
      <c r="N128" s="1135"/>
      <c r="O128" s="1135"/>
      <c r="P128" s="1135"/>
      <c r="Q128" s="1135"/>
      <c r="R128" s="1135"/>
      <c r="S128" s="1135"/>
      <c r="W128" s="417"/>
      <c r="X128" s="417"/>
    </row>
    <row r="129" spans="3:24">
      <c r="C129" s="358"/>
      <c r="E129" s="362"/>
      <c r="F129" s="418"/>
      <c r="G129" s="418"/>
      <c r="H129" s="418"/>
      <c r="I129" s="418"/>
      <c r="J129" s="373"/>
      <c r="K129" s="373"/>
      <c r="L129" s="419"/>
      <c r="M129" s="1135"/>
      <c r="N129" s="1135"/>
      <c r="O129" s="1135"/>
      <c r="P129" s="1135"/>
      <c r="Q129" s="1135"/>
      <c r="R129" s="1135"/>
      <c r="S129" s="1135"/>
      <c r="W129" s="417"/>
      <c r="X129" s="417"/>
    </row>
    <row r="130" spans="3:24">
      <c r="C130" s="358"/>
      <c r="E130" s="362"/>
      <c r="F130" s="418"/>
      <c r="G130" s="418"/>
      <c r="H130" s="418"/>
      <c r="I130" s="418"/>
      <c r="J130" s="373"/>
      <c r="K130" s="373"/>
      <c r="L130" s="419"/>
      <c r="M130" s="1135"/>
      <c r="N130" s="1135"/>
      <c r="O130" s="1135"/>
      <c r="P130" s="1135"/>
      <c r="Q130" s="1135"/>
      <c r="R130" s="1135"/>
      <c r="S130" s="1135"/>
      <c r="W130" s="417"/>
      <c r="X130" s="417"/>
    </row>
    <row r="131" spans="3:24">
      <c r="C131" s="358"/>
      <c r="E131" s="362"/>
      <c r="F131" s="418"/>
      <c r="G131" s="418"/>
      <c r="H131" s="418"/>
      <c r="I131" s="418"/>
      <c r="J131" s="373"/>
      <c r="K131" s="373"/>
      <c r="L131" s="419"/>
      <c r="M131" s="1135"/>
      <c r="N131" s="1135"/>
      <c r="O131" s="1135"/>
      <c r="P131" s="1135"/>
      <c r="Q131" s="1135"/>
      <c r="R131" s="1135"/>
      <c r="S131" s="1135"/>
      <c r="W131" s="417"/>
      <c r="X131" s="417"/>
    </row>
    <row r="132" spans="3:24">
      <c r="C132" s="358"/>
      <c r="E132" s="362"/>
      <c r="F132" s="418"/>
      <c r="G132" s="418"/>
      <c r="H132" s="418"/>
      <c r="I132" s="418"/>
      <c r="J132" s="373"/>
      <c r="K132" s="373"/>
      <c r="L132" s="419"/>
      <c r="M132" s="1135"/>
      <c r="N132" s="1135"/>
      <c r="O132" s="1135"/>
      <c r="P132" s="1135"/>
      <c r="Q132" s="1135"/>
      <c r="R132" s="1135"/>
      <c r="S132" s="1135"/>
      <c r="W132" s="417"/>
      <c r="X132" s="417"/>
    </row>
    <row r="133" spans="3:24">
      <c r="C133" s="358"/>
      <c r="E133" s="362"/>
      <c r="F133" s="418"/>
      <c r="G133" s="418"/>
      <c r="H133" s="418"/>
      <c r="I133" s="418"/>
      <c r="J133" s="373"/>
      <c r="K133" s="373"/>
      <c r="L133" s="419"/>
      <c r="M133" s="1135"/>
      <c r="N133" s="1135"/>
      <c r="O133" s="1135"/>
      <c r="P133" s="1135"/>
      <c r="Q133" s="1135"/>
      <c r="R133" s="1135"/>
      <c r="S133" s="1135"/>
      <c r="W133" s="417"/>
      <c r="X133" s="417"/>
    </row>
    <row r="134" spans="3:24">
      <c r="C134" s="358"/>
      <c r="E134" s="362"/>
      <c r="F134" s="418"/>
      <c r="G134" s="418"/>
      <c r="H134" s="418"/>
      <c r="I134" s="418"/>
      <c r="J134" s="373"/>
      <c r="K134" s="373"/>
      <c r="L134" s="419"/>
      <c r="M134" s="1135"/>
      <c r="N134" s="1135"/>
      <c r="O134" s="1135"/>
      <c r="P134" s="1135"/>
      <c r="Q134" s="1135"/>
      <c r="R134" s="1135"/>
      <c r="S134" s="1135"/>
      <c r="W134" s="417"/>
      <c r="X134" s="417"/>
    </row>
    <row r="135" spans="3:24">
      <c r="C135" s="358"/>
      <c r="E135" s="362"/>
      <c r="F135" s="418"/>
      <c r="G135" s="418"/>
      <c r="H135" s="418"/>
      <c r="I135" s="418"/>
      <c r="J135" s="373"/>
      <c r="K135" s="373"/>
      <c r="L135" s="419"/>
      <c r="M135" s="1135"/>
      <c r="N135" s="1135"/>
      <c r="O135" s="1135"/>
      <c r="P135" s="1135"/>
      <c r="Q135" s="1135"/>
      <c r="R135" s="1135"/>
      <c r="S135" s="1135"/>
      <c r="W135" s="417"/>
      <c r="X135" s="417"/>
    </row>
    <row r="136" spans="3:24">
      <c r="C136" s="358"/>
      <c r="E136" s="362"/>
      <c r="F136" s="418"/>
      <c r="G136" s="418"/>
      <c r="H136" s="418"/>
      <c r="I136" s="418"/>
      <c r="J136" s="373"/>
      <c r="K136" s="373"/>
      <c r="L136" s="419"/>
      <c r="M136" s="1135"/>
      <c r="N136" s="1135"/>
      <c r="O136" s="1135"/>
      <c r="P136" s="1135"/>
      <c r="Q136" s="1135"/>
      <c r="R136" s="1135"/>
      <c r="S136" s="1135"/>
      <c r="W136" s="417"/>
      <c r="X136" s="417"/>
    </row>
    <row r="137" spans="3:24">
      <c r="C137" s="358"/>
      <c r="E137" s="362"/>
      <c r="F137" s="418"/>
      <c r="G137" s="418"/>
      <c r="H137" s="418"/>
      <c r="I137" s="418"/>
      <c r="J137" s="373"/>
      <c r="K137" s="373"/>
      <c r="L137" s="419"/>
      <c r="M137" s="1135"/>
      <c r="N137" s="1135"/>
      <c r="O137" s="1135"/>
      <c r="P137" s="1135"/>
      <c r="Q137" s="1135"/>
      <c r="R137" s="1135"/>
      <c r="S137" s="1135"/>
      <c r="W137" s="417"/>
      <c r="X137" s="417"/>
    </row>
    <row r="138" spans="3:24">
      <c r="C138" s="358"/>
      <c r="E138" s="362"/>
      <c r="F138" s="418"/>
      <c r="G138" s="418"/>
      <c r="H138" s="418"/>
      <c r="I138" s="418"/>
      <c r="J138" s="373"/>
      <c r="K138" s="373"/>
      <c r="L138" s="419"/>
      <c r="M138" s="1135"/>
      <c r="N138" s="1135"/>
      <c r="O138" s="1135"/>
      <c r="P138" s="1135"/>
      <c r="Q138" s="1135"/>
      <c r="R138" s="1135"/>
      <c r="S138" s="1135"/>
      <c r="W138" s="417"/>
      <c r="X138" s="417"/>
    </row>
    <row r="139" spans="3:24">
      <c r="C139" s="358"/>
      <c r="E139" s="362"/>
      <c r="F139" s="418"/>
      <c r="G139" s="418"/>
      <c r="H139" s="418"/>
      <c r="I139" s="418"/>
      <c r="J139" s="373"/>
      <c r="K139" s="373"/>
      <c r="L139" s="419"/>
      <c r="M139" s="1135"/>
      <c r="N139" s="1135"/>
      <c r="O139" s="1135"/>
      <c r="P139" s="1135"/>
      <c r="Q139" s="1135"/>
      <c r="R139" s="1135"/>
      <c r="S139" s="1135"/>
      <c r="W139" s="417"/>
      <c r="X139" s="417"/>
    </row>
    <row r="140" spans="3:24">
      <c r="C140" s="358"/>
      <c r="E140" s="362"/>
      <c r="F140" s="418"/>
      <c r="G140" s="418"/>
      <c r="H140" s="418"/>
      <c r="I140" s="418"/>
      <c r="J140" s="373"/>
      <c r="K140" s="373"/>
      <c r="L140" s="419"/>
      <c r="M140" s="1135"/>
      <c r="N140" s="1135"/>
      <c r="O140" s="1135"/>
      <c r="P140" s="1135"/>
      <c r="Q140" s="1135"/>
      <c r="R140" s="1135"/>
      <c r="S140" s="1135"/>
      <c r="W140" s="417"/>
      <c r="X140" s="417"/>
    </row>
    <row r="141" spans="3:24">
      <c r="C141" s="358"/>
      <c r="E141" s="362"/>
      <c r="F141" s="418"/>
      <c r="G141" s="418"/>
      <c r="H141" s="418"/>
      <c r="I141" s="418"/>
      <c r="J141" s="373"/>
      <c r="K141" s="373"/>
      <c r="L141" s="419"/>
      <c r="M141" s="1135"/>
      <c r="N141" s="1135"/>
      <c r="O141" s="1135"/>
      <c r="P141" s="1135"/>
      <c r="Q141" s="1135"/>
      <c r="R141" s="1135"/>
      <c r="S141" s="1135"/>
      <c r="W141" s="417"/>
      <c r="X141" s="417"/>
    </row>
    <row r="142" spans="3:24">
      <c r="C142" s="358"/>
      <c r="E142" s="362"/>
      <c r="F142" s="418"/>
      <c r="G142" s="418"/>
      <c r="H142" s="418"/>
      <c r="I142" s="418"/>
      <c r="J142" s="373"/>
      <c r="K142" s="373"/>
      <c r="L142" s="419"/>
      <c r="M142" s="1135"/>
      <c r="N142" s="1135"/>
      <c r="O142" s="1135"/>
      <c r="P142" s="1135"/>
      <c r="Q142" s="1135"/>
      <c r="R142" s="1135"/>
      <c r="S142" s="1135"/>
      <c r="W142" s="417"/>
      <c r="X142" s="417"/>
    </row>
    <row r="143" spans="3:24">
      <c r="C143" s="358"/>
      <c r="E143" s="362"/>
      <c r="F143" s="418"/>
      <c r="G143" s="418"/>
      <c r="H143" s="418"/>
      <c r="I143" s="418"/>
      <c r="J143" s="373"/>
      <c r="K143" s="373"/>
      <c r="L143" s="419"/>
      <c r="M143" s="1135"/>
      <c r="N143" s="1135"/>
      <c r="O143" s="1135"/>
      <c r="P143" s="1135"/>
      <c r="Q143" s="1135"/>
      <c r="R143" s="1135"/>
      <c r="S143" s="1135"/>
      <c r="W143" s="417"/>
      <c r="X143" s="417"/>
    </row>
    <row r="144" spans="3:24">
      <c r="C144" s="358"/>
      <c r="E144" s="362"/>
      <c r="F144" s="418"/>
      <c r="G144" s="418"/>
      <c r="H144" s="418"/>
      <c r="I144" s="418"/>
      <c r="J144" s="373"/>
      <c r="K144" s="373"/>
      <c r="L144" s="419"/>
      <c r="M144" s="1135"/>
      <c r="N144" s="1135"/>
      <c r="O144" s="1135"/>
      <c r="P144" s="1135"/>
      <c r="Q144" s="1135"/>
      <c r="R144" s="1135"/>
      <c r="S144" s="1135"/>
      <c r="W144" s="417"/>
      <c r="X144" s="417"/>
    </row>
    <row r="145" spans="3:26">
      <c r="C145" s="358"/>
      <c r="E145" s="362"/>
      <c r="F145" s="418"/>
      <c r="G145" s="418"/>
      <c r="H145" s="418"/>
      <c r="I145" s="418"/>
      <c r="J145" s="373"/>
      <c r="K145" s="373"/>
      <c r="L145" s="419"/>
      <c r="M145" s="1135"/>
      <c r="N145" s="1135"/>
      <c r="O145" s="1135"/>
      <c r="P145" s="1135"/>
      <c r="Q145" s="1135"/>
      <c r="R145" s="1135"/>
      <c r="S145" s="1135"/>
      <c r="W145" s="417"/>
      <c r="X145" s="417"/>
    </row>
    <row r="146" spans="3:26">
      <c r="C146" s="358"/>
      <c r="E146" s="362"/>
      <c r="F146" s="418"/>
      <c r="G146" s="418"/>
      <c r="H146" s="418"/>
      <c r="I146" s="418"/>
      <c r="J146" s="373"/>
      <c r="K146" s="373"/>
      <c r="L146" s="419"/>
      <c r="M146" s="1135"/>
      <c r="N146" s="1135"/>
      <c r="O146" s="1135"/>
      <c r="P146" s="1135"/>
      <c r="Q146" s="1135"/>
      <c r="R146" s="1135"/>
      <c r="S146" s="1135"/>
      <c r="W146" s="417"/>
      <c r="X146" s="417"/>
    </row>
    <row r="147" spans="3:26">
      <c r="C147" s="358"/>
      <c r="E147" s="362"/>
      <c r="F147" s="418"/>
      <c r="G147" s="418"/>
      <c r="H147" s="418"/>
      <c r="I147" s="418"/>
      <c r="J147" s="373"/>
      <c r="K147" s="373"/>
      <c r="L147" s="419"/>
      <c r="M147" s="1135"/>
      <c r="N147" s="1135"/>
      <c r="O147" s="1135"/>
      <c r="P147" s="1135"/>
      <c r="Q147" s="1135"/>
      <c r="R147" s="1135"/>
      <c r="S147" s="1135"/>
      <c r="W147" s="417"/>
      <c r="X147" s="417"/>
    </row>
    <row r="148" spans="3:26">
      <c r="C148" s="358"/>
      <c r="E148" s="362"/>
      <c r="F148" s="418"/>
      <c r="G148" s="418"/>
      <c r="H148" s="418"/>
      <c r="I148" s="418"/>
      <c r="J148" s="373"/>
      <c r="K148" s="373"/>
      <c r="L148" s="419"/>
      <c r="M148" s="1135"/>
      <c r="N148" s="1135"/>
      <c r="O148" s="1135"/>
      <c r="P148" s="1135"/>
      <c r="Q148" s="1135"/>
      <c r="R148" s="1135"/>
      <c r="S148" s="1135"/>
      <c r="W148" s="417"/>
      <c r="X148" s="417"/>
    </row>
    <row r="149" spans="3:26">
      <c r="C149" s="358"/>
      <c r="E149" s="362"/>
      <c r="F149" s="418"/>
      <c r="G149" s="418"/>
      <c r="H149" s="418"/>
      <c r="I149" s="418"/>
      <c r="J149" s="373"/>
      <c r="K149" s="373"/>
      <c r="L149" s="419"/>
      <c r="M149" s="1135"/>
      <c r="N149" s="1135"/>
      <c r="O149" s="1135"/>
      <c r="P149" s="1135"/>
      <c r="Q149" s="1135"/>
      <c r="R149" s="1135"/>
      <c r="S149" s="1135"/>
      <c r="W149" s="417"/>
      <c r="X149" s="417"/>
    </row>
    <row r="150" spans="3:26">
      <c r="C150" s="358"/>
      <c r="E150" s="362"/>
      <c r="J150" s="373"/>
      <c r="K150" s="373"/>
      <c r="L150" s="358"/>
      <c r="W150" s="420"/>
    </row>
    <row r="151" spans="3:26">
      <c r="C151" s="362"/>
      <c r="E151" s="372"/>
      <c r="J151" s="373"/>
      <c r="K151" s="373"/>
      <c r="L151" s="358"/>
      <c r="M151" s="417"/>
      <c r="N151" s="417"/>
      <c r="O151" s="417"/>
      <c r="P151" s="417"/>
      <c r="Q151" s="417"/>
      <c r="R151" s="417"/>
      <c r="S151" s="417"/>
      <c r="T151" s="417"/>
      <c r="U151" s="417"/>
      <c r="V151" s="417"/>
      <c r="Y151" s="417"/>
      <c r="Z151" s="417"/>
    </row>
    <row r="152" spans="3:26">
      <c r="C152" s="358"/>
      <c r="D152" s="362"/>
      <c r="E152" s="362"/>
      <c r="K152" s="1136"/>
      <c r="L152" s="358"/>
      <c r="Y152" s="417"/>
      <c r="Z152" s="417"/>
    </row>
    <row r="153" spans="3:26">
      <c r="C153" s="362" t="e">
        <f>#REF!+#REF!+#REF!+#REF!</f>
        <v>#REF!</v>
      </c>
      <c r="D153" s="421"/>
      <c r="E153" s="1478" t="s">
        <v>282</v>
      </c>
      <c r="F153" s="362">
        <f>SUMIF(K16:K97,"A",J16:J97)</f>
        <v>36976.414656218833</v>
      </c>
      <c r="G153" s="362"/>
      <c r="H153" s="362"/>
      <c r="I153" s="362"/>
      <c r="J153" s="373">
        <f>F153*2500</f>
        <v>92441036.640547082</v>
      </c>
      <c r="K153" s="373"/>
      <c r="L153" s="418"/>
      <c r="O153" s="358">
        <f>7.2+0.6+21+5+70</f>
        <v>103.8</v>
      </c>
    </row>
    <row r="154" spans="3:26">
      <c r="C154" s="358"/>
      <c r="E154" s="1478"/>
      <c r="F154" s="362">
        <f>SUMIF(K16:K97,"B",J16:J97)</f>
        <v>16253.786637151974</v>
      </c>
      <c r="G154" s="362"/>
      <c r="H154" s="362"/>
      <c r="I154" s="362"/>
      <c r="J154" s="373">
        <f>F154*2400</f>
        <v>39009087.929164737</v>
      </c>
      <c r="K154" s="373"/>
      <c r="L154" s="362"/>
    </row>
    <row r="155" spans="3:26">
      <c r="C155" s="358"/>
      <c r="E155" s="1478"/>
      <c r="F155" s="362">
        <f>SUMIF(K16:K97,"C",J16:J97)</f>
        <v>1896.805706629159</v>
      </c>
      <c r="G155" s="362"/>
      <c r="H155" s="362"/>
      <c r="I155" s="362"/>
      <c r="J155" s="373">
        <f>F155*2300</f>
        <v>4362653.1252470659</v>
      </c>
      <c r="K155" s="373"/>
      <c r="L155" s="358"/>
      <c r="M155" s="419"/>
      <c r="N155" s="419"/>
      <c r="O155" s="419"/>
      <c r="P155" s="419"/>
      <c r="Q155" s="419"/>
      <c r="R155" s="419"/>
      <c r="S155" s="419"/>
      <c r="T155" s="419"/>
      <c r="U155" s="419"/>
      <c r="V155" s="419"/>
      <c r="W155" s="419"/>
      <c r="Z155" s="362"/>
    </row>
    <row r="156" spans="3:26">
      <c r="C156" s="358"/>
      <c r="E156" s="1478"/>
      <c r="F156" s="362">
        <f>SUMIF(K16:K97,"D",J16:J97)</f>
        <v>0</v>
      </c>
      <c r="G156" s="362"/>
      <c r="H156" s="362"/>
      <c r="I156" s="362"/>
      <c r="J156" s="373">
        <f>F156*2200</f>
        <v>0</v>
      </c>
      <c r="K156" s="373"/>
      <c r="L156" s="358"/>
      <c r="M156" s="1135"/>
      <c r="N156" s="1135"/>
      <c r="O156" s="1135"/>
      <c r="P156" s="1135"/>
      <c r="Q156" s="1135"/>
      <c r="R156" s="1135"/>
      <c r="S156" s="1135"/>
      <c r="T156" s="1135"/>
      <c r="U156" s="1135"/>
      <c r="V156" s="1135"/>
      <c r="W156" s="1135"/>
      <c r="Z156" s="362"/>
    </row>
    <row r="157" spans="3:26">
      <c r="C157" s="358"/>
      <c r="E157" s="362"/>
      <c r="F157" s="362"/>
      <c r="G157" s="362"/>
      <c r="H157" s="362"/>
      <c r="I157" s="362"/>
      <c r="J157" s="373"/>
      <c r="K157" s="373"/>
      <c r="L157" s="358"/>
      <c r="M157" s="1135"/>
      <c r="N157" s="1135"/>
      <c r="O157" s="1135"/>
      <c r="P157" s="1135"/>
      <c r="Q157" s="1135"/>
      <c r="R157" s="1135"/>
      <c r="S157" s="1135"/>
      <c r="T157" s="1135"/>
      <c r="U157" s="1135"/>
      <c r="V157" s="1135"/>
      <c r="W157" s="1135"/>
      <c r="Z157" s="362"/>
    </row>
    <row r="158" spans="3:26">
      <c r="C158" s="358"/>
      <c r="E158" s="362"/>
      <c r="F158" s="362"/>
      <c r="G158" s="362"/>
      <c r="H158" s="362"/>
      <c r="I158" s="362"/>
      <c r="J158" s="373"/>
      <c r="K158" s="373"/>
      <c r="L158" s="358"/>
      <c r="M158" s="1135"/>
      <c r="N158" s="1135"/>
      <c r="O158" s="1135"/>
      <c r="P158" s="1135"/>
      <c r="Q158" s="1135"/>
      <c r="R158" s="1135"/>
      <c r="S158" s="1135"/>
      <c r="T158" s="1135"/>
      <c r="U158" s="1135"/>
      <c r="V158" s="1135"/>
      <c r="W158" s="1135"/>
      <c r="Z158" s="362"/>
    </row>
    <row r="159" spans="3:26">
      <c r="C159" s="358"/>
      <c r="E159" s="362"/>
      <c r="F159" s="362"/>
      <c r="G159" s="362"/>
      <c r="H159" s="362"/>
      <c r="I159" s="362"/>
      <c r="J159" s="373"/>
      <c r="K159" s="373"/>
      <c r="L159" s="358"/>
      <c r="M159" s="1135"/>
      <c r="N159" s="1135"/>
      <c r="O159" s="1135"/>
      <c r="P159" s="1135"/>
      <c r="Q159" s="1135"/>
      <c r="R159" s="1135"/>
      <c r="S159" s="1135"/>
      <c r="T159" s="1135"/>
      <c r="U159" s="1135"/>
      <c r="V159" s="1135"/>
      <c r="W159" s="1135"/>
      <c r="Z159" s="362"/>
    </row>
    <row r="160" spans="3:26">
      <c r="C160" s="358"/>
      <c r="E160" s="362"/>
      <c r="F160" s="362"/>
      <c r="G160" s="362"/>
      <c r="H160" s="362"/>
      <c r="I160" s="362"/>
      <c r="J160" s="373"/>
      <c r="K160" s="373"/>
      <c r="L160" s="358"/>
      <c r="M160" s="1135"/>
      <c r="N160" s="1135"/>
      <c r="O160" s="1135"/>
      <c r="P160" s="1135"/>
      <c r="Q160" s="1135"/>
      <c r="R160" s="1135"/>
      <c r="S160" s="1135"/>
      <c r="T160" s="1135"/>
      <c r="U160" s="1135"/>
      <c r="V160" s="1135"/>
      <c r="W160" s="1135"/>
      <c r="Z160" s="362"/>
    </row>
    <row r="161" spans="1:26">
      <c r="C161" s="358"/>
      <c r="E161" s="362"/>
      <c r="F161" s="362"/>
      <c r="G161" s="362"/>
      <c r="H161" s="362"/>
      <c r="I161" s="362"/>
      <c r="J161" s="373"/>
      <c r="K161" s="373"/>
      <c r="L161" s="358"/>
      <c r="M161" s="1135"/>
      <c r="N161" s="1135"/>
      <c r="O161" s="1135"/>
      <c r="P161" s="1135"/>
      <c r="Q161" s="1135"/>
      <c r="R161" s="1135"/>
      <c r="S161" s="1135"/>
      <c r="T161" s="1135"/>
      <c r="U161" s="1135"/>
      <c r="V161" s="1135"/>
      <c r="W161" s="1135"/>
      <c r="Z161" s="362"/>
    </row>
    <row r="162" spans="1:26">
      <c r="C162" s="358"/>
      <c r="E162" s="362"/>
      <c r="F162" s="362"/>
      <c r="G162" s="362"/>
      <c r="H162" s="362"/>
      <c r="I162" s="362"/>
      <c r="J162" s="373"/>
      <c r="K162" s="373"/>
      <c r="L162" s="358"/>
      <c r="M162" s="1135"/>
      <c r="N162" s="1135"/>
      <c r="O162" s="1135"/>
      <c r="P162" s="1135"/>
      <c r="Q162" s="1135"/>
      <c r="R162" s="1135"/>
      <c r="S162" s="1135"/>
      <c r="T162" s="1135"/>
      <c r="U162" s="1135"/>
      <c r="V162" s="1135"/>
      <c r="W162" s="1135"/>
      <c r="Z162" s="362"/>
    </row>
    <row r="163" spans="1:26">
      <c r="C163" s="358"/>
      <c r="E163" s="358"/>
      <c r="F163" s="358">
        <f>SUM(F153:F161)</f>
        <v>55127.006999999961</v>
      </c>
      <c r="J163" s="373">
        <f>SUM(J153:J161)</f>
        <v>135812777.6949589</v>
      </c>
      <c r="K163" s="373"/>
      <c r="L163" s="358"/>
      <c r="M163" s="1479" t="e">
        <f>J163+J173+F178</f>
        <v>#REF!</v>
      </c>
      <c r="N163" s="1479"/>
      <c r="O163" s="1479"/>
      <c r="P163" s="1136"/>
      <c r="Q163" s="1136"/>
      <c r="R163" s="1136"/>
      <c r="S163" s="1136"/>
      <c r="W163" s="358" t="e">
        <f>M163-#REF!</f>
        <v>#REF!</v>
      </c>
    </row>
    <row r="164" spans="1:26">
      <c r="C164" s="358"/>
      <c r="E164" s="358"/>
      <c r="J164" s="1131"/>
      <c r="K164" s="1131"/>
      <c r="L164" s="358"/>
      <c r="O164" s="417"/>
      <c r="P164" s="417"/>
      <c r="Q164" s="417"/>
      <c r="R164" s="417"/>
      <c r="S164" s="417"/>
      <c r="T164" s="417"/>
      <c r="U164" s="417"/>
      <c r="V164" s="417"/>
      <c r="W164" s="417"/>
    </row>
    <row r="165" spans="1:26">
      <c r="C165" s="358"/>
      <c r="E165" s="362"/>
      <c r="F165" s="358">
        <v>5422</v>
      </c>
      <c r="J165" s="373">
        <f>F165*30000</f>
        <v>162660000</v>
      </c>
      <c r="K165" s="373"/>
      <c r="L165" s="358"/>
    </row>
    <row r="166" spans="1:26">
      <c r="C166" s="358"/>
      <c r="E166" s="362"/>
      <c r="F166" s="358">
        <v>20</v>
      </c>
      <c r="J166" s="373">
        <f>F166*60000</f>
        <v>1200000</v>
      </c>
      <c r="K166" s="373"/>
      <c r="L166" s="358"/>
    </row>
    <row r="167" spans="1:26">
      <c r="C167" s="358"/>
      <c r="E167" s="362"/>
      <c r="F167" s="358">
        <v>230</v>
      </c>
      <c r="J167" s="373">
        <f>F167*80000</f>
        <v>18400000</v>
      </c>
      <c r="K167" s="373"/>
      <c r="L167" s="358"/>
    </row>
    <row r="168" spans="1:26">
      <c r="A168" s="358"/>
      <c r="B168" s="358"/>
      <c r="F168" s="358">
        <v>998</v>
      </c>
      <c r="J168" s="373">
        <f>F168*50000</f>
        <v>49900000</v>
      </c>
      <c r="K168" s="373"/>
      <c r="Z168" s="417"/>
    </row>
    <row r="169" spans="1:26">
      <c r="A169" s="358"/>
      <c r="B169" s="358"/>
      <c r="F169" s="358">
        <v>2</v>
      </c>
      <c r="J169" s="373">
        <f>F169*80000</f>
        <v>160000</v>
      </c>
      <c r="K169" s="373"/>
      <c r="Z169" s="417"/>
    </row>
    <row r="170" spans="1:26">
      <c r="A170" s="358"/>
      <c r="B170" s="358"/>
      <c r="F170" s="358">
        <v>89</v>
      </c>
      <c r="J170" s="373">
        <f>F170*100000</f>
        <v>8900000</v>
      </c>
      <c r="K170" s="373"/>
      <c r="Z170" s="1136"/>
    </row>
    <row r="171" spans="1:26">
      <c r="A171" s="358"/>
      <c r="B171" s="358"/>
      <c r="F171" s="358">
        <v>301.56000000000006</v>
      </c>
      <c r="J171" s="373">
        <f>F171*25000</f>
        <v>7539000.0000000019</v>
      </c>
      <c r="K171" s="373"/>
      <c r="Z171" s="1136"/>
    </row>
    <row r="172" spans="1:26">
      <c r="A172" s="358"/>
      <c r="B172" s="358"/>
      <c r="F172" s="358">
        <v>2965</v>
      </c>
      <c r="J172" s="373">
        <f>F172*20000</f>
        <v>59300000</v>
      </c>
      <c r="K172" s="373"/>
      <c r="Z172" s="1136"/>
    </row>
    <row r="173" spans="1:26" ht="28.5" customHeight="1">
      <c r="A173" s="358"/>
      <c r="B173" s="358"/>
      <c r="F173" s="358">
        <f>SUM(F165:F172)</f>
        <v>10027.560000000001</v>
      </c>
      <c r="J173" s="1480">
        <f>SUM(J165:J172)</f>
        <v>308059000</v>
      </c>
      <c r="K173" s="1480"/>
      <c r="T173" s="1479" t="e">
        <f>J173-#REF!</f>
        <v>#REF!</v>
      </c>
      <c r="U173" s="1479"/>
      <c r="V173" s="1479"/>
      <c r="W173" s="1479"/>
      <c r="X173" s="417"/>
    </row>
    <row r="174" spans="1:26">
      <c r="A174" s="358"/>
      <c r="B174" s="358"/>
      <c r="F174" s="362" t="e">
        <f>#REF!+#REF!+#REF!+E97</f>
        <v>#REF!</v>
      </c>
      <c r="G174" s="362"/>
      <c r="H174" s="362"/>
      <c r="I174" s="362"/>
      <c r="J174" s="373" t="e">
        <f>F174*25000</f>
        <v>#REF!</v>
      </c>
      <c r="K174" s="373"/>
    </row>
    <row r="175" spans="1:26">
      <c r="A175" s="358"/>
      <c r="B175" s="358"/>
      <c r="E175" s="417" t="s">
        <v>174</v>
      </c>
      <c r="F175" s="358" t="e">
        <f>#REF!+#REF!</f>
        <v>#REF!</v>
      </c>
      <c r="J175" s="373" t="e">
        <f>#REF!+#REF!</f>
        <v>#REF!</v>
      </c>
      <c r="K175" s="424"/>
    </row>
    <row r="176" spans="1:26">
      <c r="A176" s="358"/>
      <c r="B176" s="358"/>
      <c r="F176" s="358" t="e">
        <f>#REF!</f>
        <v>#REF!</v>
      </c>
      <c r="J176" s="373" t="e">
        <f>#REF!</f>
        <v>#REF!</v>
      </c>
      <c r="K176" s="424"/>
    </row>
    <row r="177" spans="1:14">
      <c r="A177" s="358"/>
      <c r="B177" s="358"/>
      <c r="F177" s="358" t="e">
        <f>#REF!+#REF!+#REF!+#REF!</f>
        <v>#REF!</v>
      </c>
      <c r="J177" s="373" t="e">
        <f>#REF!+#REF!+#REF!+#REF!</f>
        <v>#REF!</v>
      </c>
      <c r="K177" s="424"/>
    </row>
    <row r="178" spans="1:14">
      <c r="A178" s="358"/>
      <c r="B178" s="358"/>
      <c r="F178" s="1480" t="e">
        <f>SUM(J174:K177)</f>
        <v>#REF!</v>
      </c>
      <c r="G178" s="1480"/>
      <c r="H178" s="1480"/>
      <c r="I178" s="1480"/>
      <c r="J178" s="1480"/>
      <c r="K178" s="424"/>
      <c r="L178" s="361" t="e">
        <f>F178-#REF!</f>
        <v>#REF!</v>
      </c>
    </row>
    <row r="180" spans="1:14">
      <c r="A180" s="358"/>
      <c r="B180" s="358"/>
      <c r="J180" s="1475" t="e">
        <f>+#REF!+#REF!+#REF!+#REF!+1000000</f>
        <v>#REF!</v>
      </c>
      <c r="K180" s="1475"/>
    </row>
    <row r="182" spans="1:14">
      <c r="A182" s="358"/>
      <c r="B182" s="358"/>
      <c r="F182" s="362"/>
      <c r="G182" s="362"/>
      <c r="H182" s="362"/>
      <c r="I182" s="362"/>
      <c r="J182" s="373"/>
    </row>
    <row r="183" spans="1:14">
      <c r="A183" s="358"/>
      <c r="B183" s="358"/>
      <c r="M183" s="362"/>
      <c r="N183" s="362"/>
    </row>
    <row r="187" spans="1:14">
      <c r="A187" s="358"/>
      <c r="B187" s="358"/>
      <c r="F187" s="362">
        <v>2551.8899999999994</v>
      </c>
      <c r="G187" s="362"/>
      <c r="H187" s="362"/>
      <c r="I187" s="362"/>
    </row>
    <row r="188" spans="1:14">
      <c r="A188" s="358"/>
      <c r="B188" s="358"/>
      <c r="C188" s="358"/>
      <c r="E188" s="358"/>
      <c r="F188" s="362" t="e">
        <f>+F174-F187</f>
        <v>#REF!</v>
      </c>
      <c r="G188" s="362"/>
      <c r="H188" s="362"/>
      <c r="I188" s="362"/>
    </row>
    <row r="194" spans="1:23">
      <c r="A194" s="358"/>
      <c r="B194" s="358"/>
      <c r="C194" s="358"/>
      <c r="E194" s="358"/>
      <c r="K194" s="360">
        <v>1678</v>
      </c>
      <c r="L194" s="361">
        <v>1573</v>
      </c>
      <c r="M194" s="358">
        <v>1187</v>
      </c>
      <c r="O194" s="358">
        <v>1183</v>
      </c>
      <c r="W194" s="358">
        <f>SUM(K194:O194)</f>
        <v>5621</v>
      </c>
    </row>
    <row r="195" spans="1:23">
      <c r="A195" s="358"/>
      <c r="B195" s="358"/>
      <c r="C195" s="358"/>
      <c r="E195" s="358"/>
      <c r="K195" s="360">
        <v>257</v>
      </c>
      <c r="L195" s="361">
        <v>244</v>
      </c>
      <c r="M195" s="358">
        <v>183</v>
      </c>
      <c r="O195" s="358">
        <v>182</v>
      </c>
      <c r="W195" s="358">
        <f>SUM(K195:O195)</f>
        <v>866</v>
      </c>
    </row>
    <row r="196" spans="1:23">
      <c r="A196" s="358"/>
      <c r="B196" s="358"/>
      <c r="C196" s="358"/>
      <c r="E196" s="358"/>
      <c r="K196" s="360">
        <v>1935</v>
      </c>
      <c r="L196" s="361">
        <v>1817</v>
      </c>
      <c r="M196" s="358">
        <v>1370</v>
      </c>
      <c r="O196" s="358">
        <v>1365</v>
      </c>
      <c r="W196" s="358">
        <f>SUM(K196:O196)</f>
        <v>6487</v>
      </c>
    </row>
  </sheetData>
  <autoFilter ref="A16:AH98"/>
  <mergeCells count="33">
    <mergeCell ref="A97:D97"/>
    <mergeCell ref="E13:W13"/>
    <mergeCell ref="F178:J178"/>
    <mergeCell ref="Y13:Y15"/>
    <mergeCell ref="A13:A15"/>
    <mergeCell ref="C13:C15"/>
    <mergeCell ref="X13:X15"/>
    <mergeCell ref="B13:B15"/>
    <mergeCell ref="A103:Z103"/>
    <mergeCell ref="J180:K180"/>
    <mergeCell ref="A98:Z98"/>
    <mergeCell ref="M117:O117"/>
    <mergeCell ref="E153:E156"/>
    <mergeCell ref="M163:O163"/>
    <mergeCell ref="J173:K173"/>
    <mergeCell ref="T173:W173"/>
    <mergeCell ref="T100:Z100"/>
    <mergeCell ref="X113:Z113"/>
    <mergeCell ref="J113:M113"/>
    <mergeCell ref="A7:J7"/>
    <mergeCell ref="A2:Z2"/>
    <mergeCell ref="D13:D15"/>
    <mergeCell ref="A3:Z3"/>
    <mergeCell ref="A9:Z9"/>
    <mergeCell ref="A10:Z10"/>
    <mergeCell ref="E14:F14"/>
    <mergeCell ref="A6:J6"/>
    <mergeCell ref="J14:L14"/>
    <mergeCell ref="M14:W14"/>
    <mergeCell ref="A4:Z4"/>
    <mergeCell ref="Z13:Z15"/>
    <mergeCell ref="C12:D12"/>
    <mergeCell ref="X12:Y12"/>
  </mergeCells>
  <printOptions horizontalCentered="1"/>
  <pageMargins left="0.35433070866141736" right="0.15748031496062992" top="0.23622047244094491" bottom="0.19685039370078741" header="0.15748031496062992" footer="0.19685039370078741"/>
  <pageSetup paperSize="9" scale="45" fitToHeight="0" orientation="landscape" r:id="rId1"/>
  <headerFooter>
    <oddFooter>&amp;R&amp;P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rgb="FF92D050"/>
  </sheetPr>
  <dimension ref="A2:AB147"/>
  <sheetViews>
    <sheetView topLeftCell="A7" zoomScale="55" zoomScaleNormal="55" zoomScaleSheetLayoutView="55" workbookViewId="0">
      <selection activeCell="W92" sqref="W92"/>
    </sheetView>
  </sheetViews>
  <sheetFormatPr defaultColWidth="9.42578125" defaultRowHeight="23.25"/>
  <cols>
    <col min="1" max="1" width="7.28515625" style="354" customWidth="1"/>
    <col min="2" max="2" width="7.5703125" style="1166" hidden="1" customWidth="1"/>
    <col min="3" max="3" width="22.7109375" style="355" customWidth="1"/>
    <col min="4" max="4" width="29.85546875" style="358" customWidth="1"/>
    <col min="5" max="5" width="17.140625" style="422" customWidth="1"/>
    <col min="6" max="6" width="21.42578125" style="358" customWidth="1"/>
    <col min="7" max="7" width="19" style="358" customWidth="1"/>
    <col min="8" max="8" width="15.85546875" style="358" hidden="1" customWidth="1"/>
    <col min="9" max="9" width="19" style="358" hidden="1" customWidth="1"/>
    <col min="10" max="10" width="16" style="359" customWidth="1"/>
    <col min="11" max="11" width="12.5703125" style="360" customWidth="1"/>
    <col min="12" max="12" width="22.7109375" style="361" customWidth="1"/>
    <col min="13" max="13" width="17.5703125" style="358" customWidth="1"/>
    <col min="14" max="14" width="15.28515625" style="358" customWidth="1"/>
    <col min="15" max="18" width="16.7109375" style="358" hidden="1" customWidth="1"/>
    <col min="19" max="19" width="16.42578125" style="358" customWidth="1"/>
    <col min="20" max="20" width="16.42578125" style="358" hidden="1" customWidth="1"/>
    <col min="21" max="22" width="17.28515625" style="358" hidden="1" customWidth="1"/>
    <col min="23" max="24" width="22.5703125" style="358" customWidth="1"/>
    <col min="25" max="25" width="16.28515625" style="358" hidden="1" customWidth="1"/>
    <col min="26" max="26" width="21.42578125" style="358" customWidth="1"/>
    <col min="27" max="27" width="25" style="358" customWidth="1"/>
    <col min="28" max="28" width="25.28515625" style="358" customWidth="1"/>
    <col min="29" max="29" width="13.85546875" style="358" bestFit="1" customWidth="1"/>
    <col min="30" max="33" width="9.42578125" style="358"/>
    <col min="34" max="34" width="9.5703125" style="358" bestFit="1" customWidth="1"/>
    <col min="35" max="16384" width="9.42578125" style="358"/>
  </cols>
  <sheetData>
    <row r="2" spans="1:28">
      <c r="A2" s="1488" t="s">
        <v>56</v>
      </c>
      <c r="B2" s="1488"/>
      <c r="C2" s="1488"/>
      <c r="D2" s="1488"/>
      <c r="E2" s="1488"/>
      <c r="F2" s="1488"/>
      <c r="G2" s="1488"/>
      <c r="H2" s="1488"/>
      <c r="I2" s="1488"/>
      <c r="J2" s="1488"/>
      <c r="K2" s="1488"/>
      <c r="L2" s="1488"/>
      <c r="M2" s="1488"/>
      <c r="N2" s="1488"/>
      <c r="O2" s="1488"/>
      <c r="P2" s="1488"/>
      <c r="Q2" s="1488"/>
      <c r="R2" s="1488"/>
      <c r="S2" s="1488"/>
      <c r="T2" s="1488"/>
      <c r="U2" s="1488"/>
      <c r="V2" s="1488"/>
      <c r="W2" s="1488"/>
      <c r="X2" s="1488"/>
      <c r="Y2" s="1488"/>
      <c r="Z2" s="1488"/>
    </row>
    <row r="3" spans="1:28">
      <c r="A3" s="1488" t="s">
        <v>42</v>
      </c>
      <c r="B3" s="1488"/>
      <c r="C3" s="1488"/>
      <c r="D3" s="1488"/>
      <c r="E3" s="1488"/>
      <c r="F3" s="1488"/>
      <c r="G3" s="1488"/>
      <c r="H3" s="1488"/>
      <c r="I3" s="1488"/>
      <c r="J3" s="1488"/>
      <c r="K3" s="1488"/>
      <c r="L3" s="1488"/>
      <c r="M3" s="1488"/>
      <c r="N3" s="1488"/>
      <c r="O3" s="1488"/>
      <c r="P3" s="1488"/>
      <c r="Q3" s="1488"/>
      <c r="R3" s="1488"/>
      <c r="S3" s="1488"/>
      <c r="T3" s="1488"/>
      <c r="U3" s="1488"/>
      <c r="V3" s="1488"/>
      <c r="W3" s="1488"/>
      <c r="X3" s="1488"/>
      <c r="Y3" s="1488"/>
      <c r="Z3" s="1488"/>
    </row>
    <row r="4" spans="1:28" ht="26.25" customHeight="1">
      <c r="A4" s="1489" t="s">
        <v>294</v>
      </c>
      <c r="B4" s="1488"/>
      <c r="C4" s="1488"/>
      <c r="D4" s="1488"/>
      <c r="E4" s="1488"/>
      <c r="F4" s="1488"/>
      <c r="G4" s="1488"/>
      <c r="H4" s="1488"/>
      <c r="I4" s="1488"/>
      <c r="J4" s="1488"/>
      <c r="K4" s="1488"/>
      <c r="L4" s="1488"/>
      <c r="M4" s="1488"/>
      <c r="N4" s="1488"/>
      <c r="O4" s="1488"/>
      <c r="P4" s="1488"/>
      <c r="Q4" s="1488"/>
      <c r="R4" s="1488"/>
      <c r="S4" s="1488"/>
      <c r="T4" s="1488"/>
      <c r="U4" s="1488"/>
      <c r="V4" s="1488"/>
      <c r="W4" s="1488"/>
      <c r="X4" s="1488"/>
      <c r="Y4" s="1488"/>
      <c r="Z4" s="1488"/>
    </row>
    <row r="5" spans="1:28">
      <c r="A5" s="1168"/>
      <c r="B5" s="1168"/>
      <c r="C5" s="1168"/>
      <c r="D5" s="1168"/>
      <c r="E5" s="1168"/>
      <c r="F5" s="1168"/>
      <c r="G5" s="1168"/>
      <c r="H5" s="1168"/>
      <c r="I5" s="1168"/>
      <c r="J5" s="1168"/>
      <c r="K5" s="1168"/>
      <c r="L5" s="1168"/>
      <c r="M5" s="1168"/>
      <c r="N5" s="1168"/>
      <c r="O5" s="1168"/>
      <c r="P5" s="1168"/>
      <c r="Q5" s="1168"/>
      <c r="R5" s="1168"/>
      <c r="S5" s="1168"/>
      <c r="T5" s="1168"/>
      <c r="U5" s="1168"/>
      <c r="V5" s="1168"/>
      <c r="W5" s="1168"/>
      <c r="X5" s="1168"/>
      <c r="Y5" s="1168"/>
      <c r="Z5" s="1168"/>
    </row>
    <row r="6" spans="1:28" ht="24.75" customHeight="1">
      <c r="A6" s="1479" t="s">
        <v>0</v>
      </c>
      <c r="B6" s="1479"/>
      <c r="C6" s="1479"/>
      <c r="D6" s="1479"/>
      <c r="E6" s="1479"/>
      <c r="F6" s="1479"/>
      <c r="G6" s="1479"/>
      <c r="H6" s="1479"/>
      <c r="I6" s="1479"/>
      <c r="J6" s="1479"/>
      <c r="K6" s="408"/>
      <c r="L6" s="408"/>
      <c r="M6" s="408"/>
      <c r="N6" s="408"/>
      <c r="O6" s="408"/>
      <c r="P6" s="408"/>
      <c r="Q6" s="408"/>
      <c r="R6" s="408"/>
      <c r="S6" s="408"/>
      <c r="T6" s="408"/>
      <c r="U6" s="408"/>
      <c r="V6" s="408"/>
      <c r="W6" s="409"/>
      <c r="X6" s="409"/>
      <c r="Y6" s="409"/>
      <c r="Z6" s="409"/>
    </row>
    <row r="7" spans="1:28">
      <c r="A7" s="1466" t="s">
        <v>658</v>
      </c>
      <c r="B7" s="1466"/>
      <c r="C7" s="1466"/>
      <c r="D7" s="1466"/>
      <c r="E7" s="1466"/>
      <c r="F7" s="1466"/>
      <c r="G7" s="1466"/>
      <c r="H7" s="1466"/>
      <c r="I7" s="1466"/>
      <c r="J7" s="1466"/>
      <c r="K7" s="408"/>
      <c r="L7" s="408"/>
      <c r="M7" s="408"/>
      <c r="N7" s="408"/>
      <c r="O7" s="408"/>
      <c r="P7" s="408"/>
      <c r="Q7" s="408"/>
      <c r="R7" s="408"/>
      <c r="S7" s="408"/>
      <c r="T7" s="408"/>
      <c r="U7" s="408"/>
      <c r="V7" s="408"/>
      <c r="W7" s="409"/>
      <c r="X7" s="409"/>
      <c r="Y7" s="409"/>
      <c r="Z7" s="409"/>
    </row>
    <row r="8" spans="1:28">
      <c r="A8" s="1167"/>
      <c r="B8" s="1167"/>
      <c r="C8" s="1167"/>
      <c r="D8" s="1167"/>
      <c r="E8" s="1167"/>
      <c r="F8" s="425"/>
      <c r="G8" s="425"/>
      <c r="H8" s="425"/>
      <c r="I8" s="425"/>
      <c r="J8" s="408"/>
      <c r="K8" s="408"/>
      <c r="L8" s="408"/>
      <c r="M8" s="408"/>
      <c r="N8" s="408"/>
      <c r="O8" s="408"/>
      <c r="P8" s="408"/>
      <c r="Q8" s="408"/>
      <c r="R8" s="408"/>
      <c r="S8" s="408"/>
      <c r="T8" s="408"/>
      <c r="U8" s="408"/>
      <c r="V8" s="408"/>
      <c r="W8" s="409"/>
      <c r="X8" s="409"/>
      <c r="Y8" s="409"/>
      <c r="Z8" s="409"/>
    </row>
    <row r="9" spans="1:28">
      <c r="A9" s="1167"/>
      <c r="B9" s="1167"/>
      <c r="C9" s="1167"/>
      <c r="D9" s="1167"/>
      <c r="E9" s="1167"/>
      <c r="F9" s="425"/>
      <c r="G9" s="425"/>
      <c r="H9" s="425"/>
      <c r="I9" s="425"/>
      <c r="J9" s="408"/>
      <c r="K9" s="408"/>
      <c r="L9" s="408"/>
      <c r="M9" s="408"/>
      <c r="N9" s="408"/>
      <c r="O9" s="408"/>
      <c r="P9" s="408"/>
      <c r="Q9" s="408"/>
      <c r="R9" s="408"/>
      <c r="S9" s="408"/>
      <c r="T9" s="408"/>
      <c r="U9" s="408"/>
      <c r="V9" s="408"/>
      <c r="W9" s="409"/>
      <c r="X9" s="409"/>
      <c r="Y9" s="409"/>
      <c r="Z9" s="409"/>
    </row>
    <row r="10" spans="1:28" ht="30">
      <c r="A10" s="1465" t="s">
        <v>661</v>
      </c>
      <c r="B10" s="1465"/>
      <c r="C10" s="1465"/>
      <c r="D10" s="1465"/>
      <c r="E10" s="1465"/>
      <c r="F10" s="1465"/>
      <c r="G10" s="1465"/>
      <c r="H10" s="1465"/>
      <c r="I10" s="1465"/>
      <c r="J10" s="1465"/>
      <c r="K10" s="1465"/>
      <c r="L10" s="1465"/>
      <c r="M10" s="1465"/>
      <c r="N10" s="1465"/>
      <c r="O10" s="1465"/>
      <c r="P10" s="1465"/>
      <c r="Q10" s="1465"/>
      <c r="R10" s="1465"/>
      <c r="S10" s="1465"/>
      <c r="T10" s="1465"/>
      <c r="U10" s="1465"/>
      <c r="V10" s="1465"/>
      <c r="W10" s="1465"/>
      <c r="X10" s="1465"/>
      <c r="Y10" s="1465"/>
      <c r="Z10" s="1465"/>
      <c r="AA10" s="1025" t="s">
        <v>36</v>
      </c>
      <c r="AB10" s="1026">
        <f>'BTH mủ tạp'!$AI$98</f>
        <v>99980</v>
      </c>
    </row>
    <row r="11" spans="1:28" s="367" customFormat="1" ht="18" customHeight="1">
      <c r="A11" s="1466"/>
      <c r="B11" s="1466"/>
      <c r="C11" s="1466"/>
      <c r="D11" s="1466"/>
      <c r="E11" s="1466"/>
      <c r="F11" s="1466"/>
      <c r="G11" s="1466"/>
      <c r="H11" s="1466"/>
      <c r="I11" s="1466"/>
      <c r="J11" s="1466"/>
      <c r="K11" s="1466"/>
      <c r="L11" s="1466"/>
      <c r="M11" s="1466"/>
      <c r="N11" s="1466"/>
      <c r="O11" s="1466"/>
      <c r="P11" s="1466"/>
      <c r="Q11" s="1466"/>
      <c r="R11" s="1466"/>
      <c r="S11" s="1466"/>
      <c r="T11" s="1466"/>
      <c r="U11" s="1466"/>
      <c r="V11" s="1466"/>
      <c r="W11" s="1466"/>
      <c r="X11" s="1466"/>
      <c r="Y11" s="1466"/>
      <c r="Z11" s="1466"/>
      <c r="AA11" s="1025" t="s">
        <v>418</v>
      </c>
      <c r="AB11" s="1026">
        <f>'BTH mủ tạp'!$AK$98</f>
        <v>50774.636000000028</v>
      </c>
    </row>
    <row r="12" spans="1:28" s="367" customFormat="1" ht="36.75" customHeight="1">
      <c r="A12" s="364"/>
      <c r="B12" s="1270"/>
      <c r="C12" s="1490"/>
      <c r="D12" s="1490"/>
      <c r="E12" s="419"/>
      <c r="F12" s="410"/>
      <c r="G12" s="410"/>
      <c r="H12" s="410"/>
      <c r="I12" s="410"/>
      <c r="J12" s="411"/>
      <c r="K12" s="1270"/>
      <c r="L12" s="1270"/>
      <c r="M12" s="1270"/>
      <c r="N12" s="1270"/>
      <c r="O12" s="1270"/>
      <c r="P12" s="1270"/>
      <c r="Q12" s="1270"/>
      <c r="R12" s="1270"/>
      <c r="S12" s="1270"/>
      <c r="T12" s="1270"/>
      <c r="U12" s="1270"/>
      <c r="V12" s="1270"/>
      <c r="W12" s="1270"/>
      <c r="X12" s="1270"/>
      <c r="Y12" s="1270"/>
      <c r="Z12" s="1270"/>
      <c r="AA12" s="1027" t="s">
        <v>419</v>
      </c>
      <c r="AB12" s="1028">
        <v>0.5</v>
      </c>
    </row>
    <row r="13" spans="1:28" ht="27" customHeight="1">
      <c r="A13" s="412"/>
      <c r="B13" s="1269"/>
      <c r="C13" s="1491" t="s">
        <v>299</v>
      </c>
      <c r="D13" s="1491"/>
      <c r="E13" s="1287">
        <f>'CNKT '!E11</f>
        <v>668.23</v>
      </c>
      <c r="F13" s="1288">
        <f>'CNKT '!F11</f>
        <v>603.28</v>
      </c>
      <c r="G13" s="1288"/>
      <c r="H13" s="1288"/>
      <c r="I13" s="1288"/>
      <c r="J13" s="1289"/>
      <c r="K13" s="1290"/>
      <c r="L13" s="1291"/>
      <c r="M13" s="1292"/>
      <c r="N13" s="1292"/>
      <c r="O13" s="1292"/>
      <c r="P13" s="1292"/>
      <c r="Q13" s="1292"/>
      <c r="R13" s="1292"/>
      <c r="S13" s="1292"/>
      <c r="T13" s="1292"/>
      <c r="U13" s="1292"/>
      <c r="V13" s="1292"/>
      <c r="W13" s="1292"/>
      <c r="X13" s="1498" t="s">
        <v>416</v>
      </c>
      <c r="Y13" s="1498"/>
      <c r="Z13" s="623">
        <f>AB11/AB10</f>
        <v>0.50784792958591751</v>
      </c>
      <c r="AA13" s="1027" t="s">
        <v>420</v>
      </c>
      <c r="AB13" s="1028">
        <v>0.2</v>
      </c>
    </row>
    <row r="14" spans="1:28" s="1270" customFormat="1" ht="26.25" customHeight="1">
      <c r="A14" s="1464" t="s">
        <v>6</v>
      </c>
      <c r="B14" s="1464" t="s">
        <v>97</v>
      </c>
      <c r="C14" s="1487" t="s">
        <v>17</v>
      </c>
      <c r="D14" s="1464" t="s">
        <v>237</v>
      </c>
      <c r="E14" s="1486" t="s">
        <v>22</v>
      </c>
      <c r="F14" s="1486"/>
      <c r="G14" s="1486"/>
      <c r="H14" s="1486"/>
      <c r="I14" s="1486"/>
      <c r="J14" s="1486"/>
      <c r="K14" s="1486"/>
      <c r="L14" s="1486"/>
      <c r="M14" s="1486"/>
      <c r="N14" s="1486"/>
      <c r="O14" s="1486"/>
      <c r="P14" s="1486"/>
      <c r="Q14" s="1486"/>
      <c r="R14" s="1486"/>
      <c r="S14" s="1486"/>
      <c r="T14" s="1486"/>
      <c r="U14" s="1486"/>
      <c r="V14" s="1486"/>
      <c r="W14" s="1486"/>
      <c r="X14" s="1495" t="s">
        <v>368</v>
      </c>
      <c r="Y14" s="1470" t="s">
        <v>166</v>
      </c>
      <c r="Z14" s="1470" t="s">
        <v>367</v>
      </c>
    </row>
    <row r="15" spans="1:28" s="1270" customFormat="1" ht="52.5" customHeight="1">
      <c r="A15" s="1464"/>
      <c r="B15" s="1464"/>
      <c r="C15" s="1487"/>
      <c r="D15" s="1464"/>
      <c r="E15" s="1467" t="s">
        <v>366</v>
      </c>
      <c r="F15" s="1468"/>
      <c r="G15" s="1492" t="s">
        <v>25</v>
      </c>
      <c r="H15" s="1493"/>
      <c r="I15" s="1493"/>
      <c r="J15" s="1493"/>
      <c r="K15" s="1493"/>
      <c r="L15" s="1494"/>
      <c r="M15" s="1470" t="s">
        <v>26</v>
      </c>
      <c r="N15" s="1470"/>
      <c r="O15" s="1470"/>
      <c r="P15" s="1470"/>
      <c r="Q15" s="1470"/>
      <c r="R15" s="1470"/>
      <c r="S15" s="1470"/>
      <c r="T15" s="1470"/>
      <c r="U15" s="1470"/>
      <c r="V15" s="1470"/>
      <c r="W15" s="1470"/>
      <c r="X15" s="1496"/>
      <c r="Y15" s="1470"/>
      <c r="Z15" s="1470"/>
    </row>
    <row r="16" spans="1:28" s="1164" customFormat="1" ht="121.5" customHeight="1">
      <c r="A16" s="1464"/>
      <c r="B16" s="1464"/>
      <c r="C16" s="1487"/>
      <c r="D16" s="1464"/>
      <c r="E16" s="428" t="s">
        <v>74</v>
      </c>
      <c r="F16" s="1163" t="s">
        <v>27</v>
      </c>
      <c r="G16" s="1163" t="s">
        <v>364</v>
      </c>
      <c r="H16" s="1163" t="s">
        <v>413</v>
      </c>
      <c r="I16" s="707" t="s">
        <v>421</v>
      </c>
      <c r="J16" s="626" t="s">
        <v>414</v>
      </c>
      <c r="K16" s="1162" t="s">
        <v>28</v>
      </c>
      <c r="L16" s="1162" t="s">
        <v>29</v>
      </c>
      <c r="M16" s="677" t="s">
        <v>442</v>
      </c>
      <c r="N16" s="676" t="s">
        <v>472</v>
      </c>
      <c r="O16" s="676" t="s">
        <v>473</v>
      </c>
      <c r="P16" s="676" t="s">
        <v>474</v>
      </c>
      <c r="Q16" s="676" t="s">
        <v>475</v>
      </c>
      <c r="R16" s="676" t="s">
        <v>476</v>
      </c>
      <c r="S16" s="676" t="s">
        <v>600</v>
      </c>
      <c r="T16" s="916" t="s">
        <v>523</v>
      </c>
      <c r="U16" s="916" t="s">
        <v>593</v>
      </c>
      <c r="V16" s="916" t="s">
        <v>523</v>
      </c>
      <c r="W16" s="1162" t="s">
        <v>20</v>
      </c>
      <c r="X16" s="1497"/>
      <c r="Y16" s="1470"/>
      <c r="Z16" s="1470"/>
      <c r="AB16" s="1164" t="s">
        <v>721</v>
      </c>
    </row>
    <row r="17" spans="1:27" s="354" customFormat="1" ht="49.5" customHeight="1">
      <c r="A17" s="413">
        <v>1</v>
      </c>
      <c r="B17" s="426"/>
      <c r="C17" s="426" t="str">
        <f>TONGHOPCONGDOI!C93</f>
        <v xml:space="preserve">T. Lun </v>
      </c>
      <c r="D17" s="426"/>
      <c r="E17" s="427"/>
      <c r="F17" s="426">
        <f>E17*25000</f>
        <v>0</v>
      </c>
      <c r="G17" s="426">
        <f>VLOOKUP(C17,TONGHOPCONGDOI!C93:AD156,16,0)</f>
        <v>2006</v>
      </c>
      <c r="H17" s="426">
        <f>VLOOKUP(C17,TONGHOPCONGDOI!C93:AD156,17,0)</f>
        <v>0</v>
      </c>
      <c r="I17" s="426"/>
      <c r="J17" s="942">
        <f t="shared" ref="J17:J48" si="0">$AB$11/$AB$10*G17+H17*$AB$12+I17*$AB$13</f>
        <v>1018.7429467493505</v>
      </c>
      <c r="K17" s="413" t="str">
        <f>VLOOKUP(C17,'BTH mủ tạp'!C99:AL160,36,0)</f>
        <v>A</v>
      </c>
      <c r="L17" s="1294">
        <f>ROUND((IF(K17="A",(G17*$Z$13*6.1),IF(K17="B",(G17*$Z$13*5.8),IF(K17="C",(G17*$Z$13*5.5),IF(K17="D",(G17*$Z$13*5.2),0))))*$F$13+(H17*$AB$12*$F$13*6.1)+I17*$F$13*$AB$13*6.1),0)</f>
        <v>3748982</v>
      </c>
      <c r="M17" s="426">
        <f>VLOOKUP(C17,TONGHOPCONGDOI!$C$93:$AD$156,20,0)</f>
        <v>26</v>
      </c>
      <c r="N17" s="426">
        <f>VLOOKUP(C17,TONGHOPCONGDOI!$C$93:$AD$156,21,0)</f>
        <v>4</v>
      </c>
      <c r="O17" s="426">
        <f>VLOOKUP(C17,TONGHOPCONGDOI!$C$93:$AD$156,22,0)</f>
        <v>0</v>
      </c>
      <c r="P17" s="426">
        <f>VLOOKUP(C17,TONGHOPCONGDOI!$C$93:$AD$156,23,0)</f>
        <v>0</v>
      </c>
      <c r="Q17" s="426">
        <f>VLOOKUP(C17,TONGHOPCONGDOI!$C$93:$AD$156,24,0)</f>
        <v>0</v>
      </c>
      <c r="R17" s="426">
        <f>VLOOKUP(C17,TONGHOPCONGDOI!$C$93:$AD$156,25,0)</f>
        <v>0</v>
      </c>
      <c r="S17" s="426">
        <f>500000/25000</f>
        <v>20</v>
      </c>
      <c r="T17" s="415"/>
      <c r="U17" s="415"/>
      <c r="V17" s="415"/>
      <c r="W17" s="1029">
        <f>ROUND(((M17*46.1)+(N17*76.9)+(O17*92.2)+(P17*153.8)+(Q17*92.2)+(R17*153.8))*$E$13+(S17*25000)+(T17*10000)+(U17*30000),0)</f>
        <v>1506488</v>
      </c>
      <c r="X17" s="426">
        <f t="shared" ref="X17:X48" si="1">F17+L17+W17</f>
        <v>5255470</v>
      </c>
      <c r="Y17" s="426"/>
      <c r="Z17" s="426">
        <f>VLOOKUP(C17,'CNKT '!$C$98:$Z$161,24,0)</f>
        <v>5255470</v>
      </c>
      <c r="AA17" s="354">
        <f>X17-Z17</f>
        <v>0</v>
      </c>
    </row>
    <row r="18" spans="1:27" s="354" customFormat="1" ht="49.5" customHeight="1">
      <c r="A18" s="413">
        <v>2</v>
      </c>
      <c r="B18" s="426" t="e">
        <f>'Chấm công KT'!#REF!</f>
        <v>#REF!</v>
      </c>
      <c r="C18" s="426" t="str">
        <f>TONGHOPCONGDOI!C94</f>
        <v>N. Keo</v>
      </c>
      <c r="D18" s="426"/>
      <c r="E18" s="427"/>
      <c r="F18" s="426">
        <f t="shared" ref="F18:F80" si="2">E18*25000</f>
        <v>0</v>
      </c>
      <c r="G18" s="426">
        <f>VLOOKUP(C18,TONGHOPCONGDOI!C94:AD157,16,0)</f>
        <v>1788</v>
      </c>
      <c r="H18" s="426">
        <f>VLOOKUP(C18,TONGHOPCONGDOI!C94:AD157,17,0)</f>
        <v>0</v>
      </c>
      <c r="I18" s="426"/>
      <c r="J18" s="942">
        <f t="shared" si="0"/>
        <v>908.0320980996205</v>
      </c>
      <c r="K18" s="413" t="str">
        <f>VLOOKUP(C18,'BTH mủ tạp'!C100:AL160,36,0)</f>
        <v>A</v>
      </c>
      <c r="L18" s="1294">
        <f t="shared" ref="L18:L74" si="3">ROUND((IF(K18="A",(G18*$Z$13*6.1),IF(K18="B",(G18*$Z$13*5.8),IF(K18="C",(G18*$Z$13*5.5),IF(K18="D",(G18*$Z$13*5.2),0))))*$F$13+(H18*$AB$12*$F$13*6.1)+I18*$F$13*$AB$13*6.1),0)</f>
        <v>3341565</v>
      </c>
      <c r="M18" s="426">
        <f>VLOOKUP(C18,TONGHOPCONGDOI!$C$93:$AD$156,20,0)</f>
        <v>26</v>
      </c>
      <c r="N18" s="426">
        <f>VLOOKUP(C18,TONGHOPCONGDOI!$C$93:$AD$156,21,0)</f>
        <v>3</v>
      </c>
      <c r="O18" s="426">
        <f>VLOOKUP(C18,TONGHOPCONGDOI!$C$93:$AD$156,22,0)</f>
        <v>0</v>
      </c>
      <c r="P18" s="426">
        <f>VLOOKUP(C18,TONGHOPCONGDOI!$C$93:$AD$156,23,0)</f>
        <v>0</v>
      </c>
      <c r="Q18" s="426">
        <f>VLOOKUP(C18,TONGHOPCONGDOI!$C$93:$AD$156,24,0)</f>
        <v>0</v>
      </c>
      <c r="R18" s="426">
        <f>VLOOKUP(C18,TONGHOPCONGDOI!$C$93:$AD$156,25,0)</f>
        <v>0</v>
      </c>
      <c r="S18" s="426">
        <f t="shared" ref="S18:S74" si="4">500000/25000</f>
        <v>20</v>
      </c>
      <c r="T18" s="415"/>
      <c r="U18" s="415"/>
      <c r="V18" s="415"/>
      <c r="W18" s="1029">
        <f t="shared" ref="W18:W79" si="5">ROUND(((M18*46.1)+(N18*76.9)+(O18*92.2)+(P18*153.8)+(Q18*92.2)+(R18*153.8))*$E$13+(S18*25000)+(T18*10000)+(U18*30000),0)</f>
        <v>1455101</v>
      </c>
      <c r="X18" s="426">
        <f t="shared" si="1"/>
        <v>4796666</v>
      </c>
      <c r="Y18" s="426"/>
      <c r="Z18" s="426">
        <f>VLOOKUP(C18,'CNKT '!$C$98:$Z$161,24,0)</f>
        <v>4796666</v>
      </c>
      <c r="AA18" s="354">
        <f t="shared" ref="AA18:AA83" si="6">X18-Z18</f>
        <v>0</v>
      </c>
    </row>
    <row r="19" spans="1:27" s="354" customFormat="1" ht="49.5" customHeight="1">
      <c r="A19" s="413">
        <v>3</v>
      </c>
      <c r="B19" s="426" t="e">
        <f>'Chấm công KT'!#REF!</f>
        <v>#REF!</v>
      </c>
      <c r="C19" s="426" t="str">
        <f>TONGHOPCONGDOI!C95</f>
        <v>T .Nhum</v>
      </c>
      <c r="D19" s="426"/>
      <c r="E19" s="427"/>
      <c r="F19" s="426">
        <f t="shared" si="2"/>
        <v>0</v>
      </c>
      <c r="G19" s="426">
        <f>VLOOKUP(C19,TONGHOPCONGDOI!C95:AD157,16,0)</f>
        <v>1344</v>
      </c>
      <c r="H19" s="426">
        <f>VLOOKUP(C19,TONGHOPCONGDOI!C95:AD157,17,0)</f>
        <v>0</v>
      </c>
      <c r="I19" s="426"/>
      <c r="J19" s="942">
        <f t="shared" si="0"/>
        <v>682.54761736347314</v>
      </c>
      <c r="K19" s="413" t="str">
        <f>VLOOKUP(C19,'BTH mủ tạp'!C101:AL160,36,0)</f>
        <v>A</v>
      </c>
      <c r="L19" s="1294">
        <f t="shared" si="3"/>
        <v>2511781</v>
      </c>
      <c r="M19" s="426">
        <f>VLOOKUP(C19,TONGHOPCONGDOI!$C$93:$AD$156,20,0)</f>
        <v>26</v>
      </c>
      <c r="N19" s="426">
        <f>VLOOKUP(C19,TONGHOPCONGDOI!$C$93:$AD$156,21,0)</f>
        <v>4</v>
      </c>
      <c r="O19" s="426">
        <f>VLOOKUP(C19,TONGHOPCONGDOI!$C$93:$AD$156,22,0)</f>
        <v>0</v>
      </c>
      <c r="P19" s="426">
        <f>VLOOKUP(C19,TONGHOPCONGDOI!$C$93:$AD$156,23,0)</f>
        <v>0</v>
      </c>
      <c r="Q19" s="426">
        <f>VLOOKUP(C19,TONGHOPCONGDOI!$C$93:$AD$156,24,0)</f>
        <v>0</v>
      </c>
      <c r="R19" s="426">
        <f>VLOOKUP(C19,TONGHOPCONGDOI!$C$93:$AD$156,25,0)</f>
        <v>0</v>
      </c>
      <c r="S19" s="426">
        <f t="shared" si="4"/>
        <v>20</v>
      </c>
      <c r="T19" s="415"/>
      <c r="U19" s="415"/>
      <c r="V19" s="415"/>
      <c r="W19" s="1029">
        <f t="shared" si="5"/>
        <v>1506488</v>
      </c>
      <c r="X19" s="426">
        <f t="shared" si="1"/>
        <v>4018269</v>
      </c>
      <c r="Y19" s="426"/>
      <c r="Z19" s="426">
        <f>VLOOKUP(C19,'CNKT '!$C$98:$Z$161,24,0)</f>
        <v>4018269</v>
      </c>
      <c r="AA19" s="354">
        <f t="shared" si="6"/>
        <v>0</v>
      </c>
    </row>
    <row r="20" spans="1:27" s="354" customFormat="1" ht="49.5" customHeight="1">
      <c r="A20" s="413">
        <v>4</v>
      </c>
      <c r="B20" s="426"/>
      <c r="C20" s="426" t="str">
        <f>TONGHOPCONGDOI!C96</f>
        <v>N.Vông Ma Ni</v>
      </c>
      <c r="D20" s="426"/>
      <c r="E20" s="427"/>
      <c r="F20" s="426">
        <f t="shared" si="2"/>
        <v>0</v>
      </c>
      <c r="G20" s="426">
        <f>VLOOKUP(C20,TONGHOPCONGDOI!C96:AD157,16,0)</f>
        <v>1906</v>
      </c>
      <c r="H20" s="426">
        <f>VLOOKUP(C20,TONGHOPCONGDOI!C96:AD157,17,0)</f>
        <v>0</v>
      </c>
      <c r="I20" s="426"/>
      <c r="J20" s="942">
        <f t="shared" si="0"/>
        <v>967.95815379075873</v>
      </c>
      <c r="K20" s="413" t="str">
        <f>VLOOKUP(C20,'BTH mủ tạp'!C102:AL160,36,0)</f>
        <v>A</v>
      </c>
      <c r="L20" s="1294">
        <f t="shared" si="3"/>
        <v>3562094</v>
      </c>
      <c r="M20" s="426">
        <f>VLOOKUP(C20,TONGHOPCONGDOI!$C$93:$AD$156,20,0)</f>
        <v>26</v>
      </c>
      <c r="N20" s="426">
        <f>VLOOKUP(C20,TONGHOPCONGDOI!$C$93:$AD$156,21,0)</f>
        <v>4</v>
      </c>
      <c r="O20" s="426">
        <f>VLOOKUP(C20,TONGHOPCONGDOI!$C$93:$AD$156,22,0)</f>
        <v>0</v>
      </c>
      <c r="P20" s="426">
        <f>VLOOKUP(C20,TONGHOPCONGDOI!$C$93:$AD$156,23,0)</f>
        <v>0</v>
      </c>
      <c r="Q20" s="426">
        <f>VLOOKUP(C20,TONGHOPCONGDOI!$C$93:$AD$156,24,0)</f>
        <v>0</v>
      </c>
      <c r="R20" s="426">
        <f>VLOOKUP(C20,TONGHOPCONGDOI!$C$93:$AD$156,25,0)</f>
        <v>0</v>
      </c>
      <c r="S20" s="426">
        <f t="shared" si="4"/>
        <v>20</v>
      </c>
      <c r="T20" s="415"/>
      <c r="U20" s="415"/>
      <c r="V20" s="415"/>
      <c r="W20" s="1029">
        <f t="shared" si="5"/>
        <v>1506488</v>
      </c>
      <c r="X20" s="426">
        <f t="shared" si="1"/>
        <v>5068582</v>
      </c>
      <c r="Y20" s="426"/>
      <c r="Z20" s="426">
        <f>VLOOKUP(C20,'CNKT '!$C$98:$Z$161,24,0)</f>
        <v>5068582</v>
      </c>
      <c r="AA20" s="354">
        <f t="shared" si="6"/>
        <v>0</v>
      </c>
    </row>
    <row r="21" spans="1:27" s="354" customFormat="1" ht="49.5" customHeight="1">
      <c r="A21" s="413">
        <v>5</v>
      </c>
      <c r="B21" s="426"/>
      <c r="C21" s="426" t="str">
        <f>TONGHOPCONGDOI!C97</f>
        <v>Đao Hương</v>
      </c>
      <c r="D21" s="426"/>
      <c r="E21" s="427"/>
      <c r="F21" s="426">
        <f t="shared" si="2"/>
        <v>0</v>
      </c>
      <c r="G21" s="426">
        <f>VLOOKUP(C21,TONGHOPCONGDOI!C97:AD157,16,0)</f>
        <v>1846</v>
      </c>
      <c r="H21" s="426">
        <f>VLOOKUP(C21,TONGHOPCONGDOI!C97:AD157,17,0)</f>
        <v>0</v>
      </c>
      <c r="I21" s="426"/>
      <c r="J21" s="942">
        <f t="shared" si="0"/>
        <v>937.48727801560369</v>
      </c>
      <c r="K21" s="413" t="str">
        <f>VLOOKUP(C21,'BTH mủ tạp'!C103:AL160,36,0)</f>
        <v>A</v>
      </c>
      <c r="L21" s="1294">
        <f t="shared" si="3"/>
        <v>3449961</v>
      </c>
      <c r="M21" s="426">
        <f>VLOOKUP(C21,TONGHOPCONGDOI!$C$93:$AD$156,20,0)</f>
        <v>26</v>
      </c>
      <c r="N21" s="426">
        <f>VLOOKUP(C21,TONGHOPCONGDOI!$C$93:$AD$156,21,0)</f>
        <v>4</v>
      </c>
      <c r="O21" s="426">
        <f>VLOOKUP(C21,TONGHOPCONGDOI!$C$93:$AD$156,22,0)</f>
        <v>0</v>
      </c>
      <c r="P21" s="426">
        <f>VLOOKUP(C21,TONGHOPCONGDOI!$C$93:$AD$156,23,0)</f>
        <v>0</v>
      </c>
      <c r="Q21" s="426">
        <f>VLOOKUP(C21,TONGHOPCONGDOI!$C$93:$AD$156,24,0)</f>
        <v>0</v>
      </c>
      <c r="R21" s="426">
        <f>VLOOKUP(C21,TONGHOPCONGDOI!$C$93:$AD$156,25,0)</f>
        <v>0</v>
      </c>
      <c r="S21" s="426">
        <f t="shared" si="4"/>
        <v>20</v>
      </c>
      <c r="T21" s="415"/>
      <c r="U21" s="415"/>
      <c r="V21" s="415"/>
      <c r="W21" s="1029">
        <f t="shared" si="5"/>
        <v>1506488</v>
      </c>
      <c r="X21" s="426">
        <f t="shared" si="1"/>
        <v>4956449</v>
      </c>
      <c r="Y21" s="426"/>
      <c r="Z21" s="426">
        <f>VLOOKUP(C21,'CNKT '!$C$98:$Z$161,24,0)</f>
        <v>4956449</v>
      </c>
      <c r="AA21" s="354">
        <f t="shared" si="6"/>
        <v>0</v>
      </c>
    </row>
    <row r="22" spans="1:27" s="354" customFormat="1" ht="49.5" customHeight="1">
      <c r="A22" s="413">
        <v>6</v>
      </c>
      <c r="B22" s="426" t="e">
        <f>'Chấm công KT'!#REF!</f>
        <v>#REF!</v>
      </c>
      <c r="C22" s="426" t="str">
        <f>TONGHOPCONGDOI!C98</f>
        <v>T. Xi Nun</v>
      </c>
      <c r="D22" s="426"/>
      <c r="E22" s="427"/>
      <c r="F22" s="426">
        <f t="shared" si="2"/>
        <v>0</v>
      </c>
      <c r="G22" s="426">
        <f>VLOOKUP(C22,TONGHOPCONGDOI!C98:AD157,16,0)</f>
        <v>884</v>
      </c>
      <c r="H22" s="426">
        <f>VLOOKUP(C22,TONGHOPCONGDOI!C98:AD157,17,0)</f>
        <v>0</v>
      </c>
      <c r="I22" s="426"/>
      <c r="J22" s="942">
        <f t="shared" si="0"/>
        <v>448.9375697539511</v>
      </c>
      <c r="K22" s="413" t="str">
        <f>VLOOKUP(C22,'BTH mủ tạp'!C104:AL160,36,0)</f>
        <v>B</v>
      </c>
      <c r="L22" s="1294">
        <f t="shared" si="3"/>
        <v>1570843</v>
      </c>
      <c r="M22" s="426">
        <f>VLOOKUP(C22,TONGHOPCONGDOI!$C$93:$AD$156,20,0)</f>
        <v>21</v>
      </c>
      <c r="N22" s="426">
        <f>VLOOKUP(C22,TONGHOPCONGDOI!$C$93:$AD$156,21,0)</f>
        <v>1</v>
      </c>
      <c r="O22" s="426">
        <f>VLOOKUP(C22,TONGHOPCONGDOI!$C$93:$AD$156,22,0)</f>
        <v>0</v>
      </c>
      <c r="P22" s="426">
        <f>VLOOKUP(C22,TONGHOPCONGDOI!$C$93:$AD$156,23,0)</f>
        <v>0</v>
      </c>
      <c r="Q22" s="426">
        <f>VLOOKUP(C22,TONGHOPCONGDOI!$C$93:$AD$156,24,0)</f>
        <v>0</v>
      </c>
      <c r="R22" s="426">
        <f>VLOOKUP(C22,TONGHOPCONGDOI!$C$93:$AD$156,25,0)</f>
        <v>0</v>
      </c>
      <c r="S22" s="426">
        <f t="shared" si="4"/>
        <v>20</v>
      </c>
      <c r="T22" s="415"/>
      <c r="U22" s="415"/>
      <c r="V22" s="415"/>
      <c r="W22" s="1029">
        <f t="shared" si="5"/>
        <v>1198300</v>
      </c>
      <c r="X22" s="426">
        <f t="shared" si="1"/>
        <v>2769143</v>
      </c>
      <c r="Y22" s="426"/>
      <c r="Z22" s="426">
        <f>VLOOKUP(C22,'CNKT '!$C$98:$Z$161,24,0)</f>
        <v>2769143</v>
      </c>
      <c r="AA22" s="354">
        <f t="shared" si="6"/>
        <v>0</v>
      </c>
    </row>
    <row r="23" spans="1:27" s="354" customFormat="1" ht="49.5" customHeight="1">
      <c r="A23" s="413">
        <v>7</v>
      </c>
      <c r="B23" s="426"/>
      <c r="C23" s="426" t="str">
        <f>TONGHOPCONGDOI!C99</f>
        <v>T. Bun Hinh</v>
      </c>
      <c r="D23" s="426"/>
      <c r="E23" s="427"/>
      <c r="F23" s="426">
        <f t="shared" si="2"/>
        <v>0</v>
      </c>
      <c r="G23" s="426">
        <f>VLOOKUP(C23,TONGHOPCONGDOI!C99:AD157,16,0)</f>
        <v>2068</v>
      </c>
      <c r="H23" s="426">
        <f>VLOOKUP(C23,TONGHOPCONGDOI!C99:AD157,17,0)</f>
        <v>0</v>
      </c>
      <c r="I23" s="426"/>
      <c r="J23" s="942">
        <f t="shared" si="0"/>
        <v>1050.2295183836775</v>
      </c>
      <c r="K23" s="413" t="str">
        <f>VLOOKUP(C23,'BTH mủ tạp'!C105:AL160,36,0)</f>
        <v>A</v>
      </c>
      <c r="L23" s="1294">
        <f t="shared" si="3"/>
        <v>3864853</v>
      </c>
      <c r="M23" s="426">
        <f>VLOOKUP(C23,TONGHOPCONGDOI!$C$93:$AD$156,20,0)</f>
        <v>27</v>
      </c>
      <c r="N23" s="426">
        <f>VLOOKUP(C23,TONGHOPCONGDOI!$C$93:$AD$156,21,0)</f>
        <v>4</v>
      </c>
      <c r="O23" s="426">
        <f>VLOOKUP(C23,TONGHOPCONGDOI!$C$93:$AD$156,22,0)</f>
        <v>0</v>
      </c>
      <c r="P23" s="426">
        <f>VLOOKUP(C23,TONGHOPCONGDOI!$C$93:$AD$156,23,0)</f>
        <v>0</v>
      </c>
      <c r="Q23" s="426">
        <f>VLOOKUP(C23,TONGHOPCONGDOI!$C$93:$AD$156,24,0)</f>
        <v>0</v>
      </c>
      <c r="R23" s="426">
        <f>VLOOKUP(C23,TONGHOPCONGDOI!$C$93:$AD$156,25,0)</f>
        <v>0</v>
      </c>
      <c r="S23" s="426">
        <f t="shared" si="4"/>
        <v>20</v>
      </c>
      <c r="T23" s="415"/>
      <c r="U23" s="415"/>
      <c r="V23" s="415"/>
      <c r="W23" s="1029">
        <f t="shared" si="5"/>
        <v>1537293</v>
      </c>
      <c r="X23" s="426">
        <f t="shared" si="1"/>
        <v>5402146</v>
      </c>
      <c r="Y23" s="426"/>
      <c r="Z23" s="426">
        <f>VLOOKUP(C23,'CNKT '!$C$98:$Z$161,24,0)</f>
        <v>5402146</v>
      </c>
      <c r="AA23" s="354">
        <f t="shared" si="6"/>
        <v>0</v>
      </c>
    </row>
    <row r="24" spans="1:27" s="354" customFormat="1" ht="49.5" customHeight="1">
      <c r="A24" s="413">
        <v>8</v>
      </c>
      <c r="B24" s="426" t="e">
        <f>'Chấm công KT'!#REF!</f>
        <v>#REF!</v>
      </c>
      <c r="C24" s="426" t="str">
        <f>TONGHOPCONGDOI!C100</f>
        <v>T. Miềng</v>
      </c>
      <c r="D24" s="426"/>
      <c r="E24" s="427"/>
      <c r="F24" s="426">
        <f t="shared" si="2"/>
        <v>0</v>
      </c>
      <c r="G24" s="426">
        <f>VLOOKUP(C24,TONGHOPCONGDOI!C100:AD157,16,0)</f>
        <v>1585</v>
      </c>
      <c r="H24" s="426">
        <f>VLOOKUP(C24,TONGHOPCONGDOI!C100:AD157,17,0)</f>
        <v>0</v>
      </c>
      <c r="I24" s="426"/>
      <c r="J24" s="942">
        <f t="shared" si="0"/>
        <v>804.93896839367926</v>
      </c>
      <c r="K24" s="413" t="str">
        <f>VLOOKUP(C24,'BTH mủ tạp'!C106:AL160,36,0)</f>
        <v>A</v>
      </c>
      <c r="L24" s="1294">
        <f t="shared" si="3"/>
        <v>2962182</v>
      </c>
      <c r="M24" s="426">
        <f>VLOOKUP(C24,TONGHOPCONGDOI!$C$93:$AD$156,20,0)</f>
        <v>26</v>
      </c>
      <c r="N24" s="426">
        <f>VLOOKUP(C24,TONGHOPCONGDOI!$C$93:$AD$156,21,0)</f>
        <v>4</v>
      </c>
      <c r="O24" s="426">
        <f>VLOOKUP(C24,TONGHOPCONGDOI!$C$93:$AD$156,22,0)</f>
        <v>0</v>
      </c>
      <c r="P24" s="426">
        <f>VLOOKUP(C24,TONGHOPCONGDOI!$C$93:$AD$156,23,0)</f>
        <v>0</v>
      </c>
      <c r="Q24" s="426">
        <f>VLOOKUP(C24,TONGHOPCONGDOI!$C$93:$AD$156,24,0)</f>
        <v>0</v>
      </c>
      <c r="R24" s="426">
        <f>VLOOKUP(C24,TONGHOPCONGDOI!$C$93:$AD$156,25,0)</f>
        <v>0</v>
      </c>
      <c r="S24" s="426">
        <f t="shared" si="4"/>
        <v>20</v>
      </c>
      <c r="T24" s="415"/>
      <c r="U24" s="415"/>
      <c r="V24" s="415"/>
      <c r="W24" s="1029">
        <f t="shared" si="5"/>
        <v>1506488</v>
      </c>
      <c r="X24" s="426">
        <f t="shared" si="1"/>
        <v>4468670</v>
      </c>
      <c r="Y24" s="426"/>
      <c r="Z24" s="426">
        <f>VLOOKUP(C24,'CNKT '!$C$98:$Z$161,24,0)</f>
        <v>4468670</v>
      </c>
      <c r="AA24" s="354">
        <f t="shared" si="6"/>
        <v>0</v>
      </c>
    </row>
    <row r="25" spans="1:27" s="354" customFormat="1" ht="49.5" customHeight="1">
      <c r="A25" s="413">
        <v>9</v>
      </c>
      <c r="B25" s="426" t="e">
        <f>'Chấm công KT'!#REF!</f>
        <v>#REF!</v>
      </c>
      <c r="C25" s="426" t="str">
        <f>TONGHOPCONGDOI!C101</f>
        <v>N. Xúc</v>
      </c>
      <c r="D25" s="426"/>
      <c r="E25" s="427"/>
      <c r="F25" s="426">
        <f t="shared" si="2"/>
        <v>0</v>
      </c>
      <c r="G25" s="426">
        <f>VLOOKUP(C25,TONGHOPCONGDOI!C101:AD157,16,0)</f>
        <v>2110</v>
      </c>
      <c r="H25" s="426">
        <f>VLOOKUP(C25,TONGHOPCONGDOI!C101:AD157,17,0)</f>
        <v>0</v>
      </c>
      <c r="I25" s="426"/>
      <c r="J25" s="942">
        <f t="shared" si="0"/>
        <v>1071.5591314262861</v>
      </c>
      <c r="K25" s="413" t="str">
        <f>VLOOKUP(C25,'BTH mủ tạp'!C107:AL160,36,0)</f>
        <v>B</v>
      </c>
      <c r="L25" s="1294">
        <f t="shared" si="3"/>
        <v>3749411</v>
      </c>
      <c r="M25" s="426">
        <f>VLOOKUP(C25,TONGHOPCONGDOI!$C$93:$AD$156,20,0)</f>
        <v>27</v>
      </c>
      <c r="N25" s="426">
        <f>VLOOKUP(C25,TONGHOPCONGDOI!$C$93:$AD$156,21,0)</f>
        <v>4</v>
      </c>
      <c r="O25" s="426">
        <f>VLOOKUP(C25,TONGHOPCONGDOI!$C$93:$AD$156,22,0)</f>
        <v>0</v>
      </c>
      <c r="P25" s="426">
        <f>VLOOKUP(C25,TONGHOPCONGDOI!$C$93:$AD$156,23,0)</f>
        <v>0</v>
      </c>
      <c r="Q25" s="426">
        <f>VLOOKUP(C25,TONGHOPCONGDOI!$C$93:$AD$156,24,0)</f>
        <v>0</v>
      </c>
      <c r="R25" s="426">
        <f>VLOOKUP(C25,TONGHOPCONGDOI!$C$93:$AD$156,25,0)</f>
        <v>0</v>
      </c>
      <c r="S25" s="426">
        <f t="shared" si="4"/>
        <v>20</v>
      </c>
      <c r="T25" s="415"/>
      <c r="U25" s="415"/>
      <c r="V25" s="415"/>
      <c r="W25" s="1029">
        <f t="shared" si="5"/>
        <v>1537293</v>
      </c>
      <c r="X25" s="426">
        <f t="shared" si="1"/>
        <v>5286704</v>
      </c>
      <c r="Y25" s="426"/>
      <c r="Z25" s="426">
        <f>VLOOKUP(C25,'CNKT '!$C$98:$Z$161,24,0)</f>
        <v>5286704</v>
      </c>
      <c r="AA25" s="354">
        <f t="shared" si="6"/>
        <v>0</v>
      </c>
    </row>
    <row r="26" spans="1:27" s="354" customFormat="1" ht="49.5" customHeight="1">
      <c r="A26" s="413">
        <v>10</v>
      </c>
      <c r="B26" s="426"/>
      <c r="C26" s="426" t="str">
        <f>TONGHOPCONGDOI!C102</f>
        <v>N. Lẹ</v>
      </c>
      <c r="D26" s="426"/>
      <c r="E26" s="427"/>
      <c r="F26" s="426">
        <f t="shared" si="2"/>
        <v>0</v>
      </c>
      <c r="G26" s="426">
        <f>VLOOKUP(C26,TONGHOPCONGDOI!C102:AD157,16,0)</f>
        <v>1374</v>
      </c>
      <c r="H26" s="426">
        <f>VLOOKUP(C26,TONGHOPCONGDOI!C102:AD157,17,0)</f>
        <v>0</v>
      </c>
      <c r="I26" s="426"/>
      <c r="J26" s="942">
        <f t="shared" si="0"/>
        <v>697.78305525105065</v>
      </c>
      <c r="K26" s="413" t="str">
        <f>VLOOKUP(C26,'BTH mủ tạp'!C108:AL160,36,0)</f>
        <v>A</v>
      </c>
      <c r="L26" s="1294">
        <f t="shared" si="3"/>
        <v>2567847</v>
      </c>
      <c r="M26" s="426">
        <f>VLOOKUP(C26,TONGHOPCONGDOI!$C$93:$AD$156,20,0)</f>
        <v>26</v>
      </c>
      <c r="N26" s="426">
        <f>VLOOKUP(C26,TONGHOPCONGDOI!$C$93:$AD$156,21,0)</f>
        <v>4</v>
      </c>
      <c r="O26" s="426">
        <f>VLOOKUP(C26,TONGHOPCONGDOI!$C$93:$AD$156,22,0)</f>
        <v>0</v>
      </c>
      <c r="P26" s="426">
        <f>VLOOKUP(C26,TONGHOPCONGDOI!$C$93:$AD$156,23,0)</f>
        <v>0</v>
      </c>
      <c r="Q26" s="426">
        <f>VLOOKUP(C26,TONGHOPCONGDOI!$C$93:$AD$156,24,0)</f>
        <v>0</v>
      </c>
      <c r="R26" s="426">
        <f>VLOOKUP(C26,TONGHOPCONGDOI!$C$93:$AD$156,25,0)</f>
        <v>0</v>
      </c>
      <c r="S26" s="426">
        <f t="shared" si="4"/>
        <v>20</v>
      </c>
      <c r="T26" s="415"/>
      <c r="U26" s="415"/>
      <c r="V26" s="415"/>
      <c r="W26" s="1029">
        <f t="shared" si="5"/>
        <v>1506488</v>
      </c>
      <c r="X26" s="426">
        <f t="shared" si="1"/>
        <v>4074335</v>
      </c>
      <c r="Y26" s="426"/>
      <c r="Z26" s="426">
        <f>VLOOKUP(C26,'CNKT '!$C$98:$Z$161,24,0)</f>
        <v>4074335</v>
      </c>
      <c r="AA26" s="354">
        <f t="shared" si="6"/>
        <v>0</v>
      </c>
    </row>
    <row r="27" spans="1:27" s="354" customFormat="1" ht="49.5" customHeight="1">
      <c r="A27" s="413">
        <v>11</v>
      </c>
      <c r="B27" s="426" t="e">
        <f>'Chấm công KT'!#REF!</f>
        <v>#REF!</v>
      </c>
      <c r="C27" s="426" t="str">
        <f>TONGHOPCONGDOI!C103</f>
        <v>N . Thích</v>
      </c>
      <c r="D27" s="426"/>
      <c r="E27" s="427"/>
      <c r="F27" s="426">
        <f t="shared" si="2"/>
        <v>0</v>
      </c>
      <c r="G27" s="426">
        <f>VLOOKUP(C27,TONGHOPCONGDOI!C103:AD157,16,0)</f>
        <v>1734</v>
      </c>
      <c r="H27" s="426">
        <f>VLOOKUP(C27,TONGHOPCONGDOI!C103:AD157,17,0)</f>
        <v>0</v>
      </c>
      <c r="I27" s="426"/>
      <c r="J27" s="942">
        <f t="shared" si="0"/>
        <v>880.60830990198099</v>
      </c>
      <c r="K27" s="413" t="str">
        <f>VLOOKUP(C27,'BTH mủ tạp'!C109:AL160,36,0)</f>
        <v>A</v>
      </c>
      <c r="L27" s="1294">
        <f t="shared" si="3"/>
        <v>3240646</v>
      </c>
      <c r="M27" s="426">
        <f>VLOOKUP(C27,TONGHOPCONGDOI!$C$93:$AD$156,20,0)</f>
        <v>26</v>
      </c>
      <c r="N27" s="426">
        <f>VLOOKUP(C27,TONGHOPCONGDOI!$C$93:$AD$156,21,0)</f>
        <v>4</v>
      </c>
      <c r="O27" s="426">
        <f>VLOOKUP(C27,TONGHOPCONGDOI!$C$93:$AD$156,22,0)</f>
        <v>0</v>
      </c>
      <c r="P27" s="426">
        <f>VLOOKUP(C27,TONGHOPCONGDOI!$C$93:$AD$156,23,0)</f>
        <v>0</v>
      </c>
      <c r="Q27" s="426">
        <f>VLOOKUP(C27,TONGHOPCONGDOI!$C$93:$AD$156,24,0)</f>
        <v>0</v>
      </c>
      <c r="R27" s="426">
        <f>VLOOKUP(C27,TONGHOPCONGDOI!$C$93:$AD$156,25,0)</f>
        <v>0</v>
      </c>
      <c r="S27" s="426">
        <f t="shared" si="4"/>
        <v>20</v>
      </c>
      <c r="T27" s="415"/>
      <c r="U27" s="415"/>
      <c r="V27" s="415"/>
      <c r="W27" s="1029">
        <f t="shared" si="5"/>
        <v>1506488</v>
      </c>
      <c r="X27" s="426">
        <f t="shared" si="1"/>
        <v>4747134</v>
      </c>
      <c r="Y27" s="426"/>
      <c r="Z27" s="426">
        <f>VLOOKUP(C27,'CNKT '!$C$98:$Z$161,24,0)</f>
        <v>4747134</v>
      </c>
      <c r="AA27" s="354">
        <f t="shared" si="6"/>
        <v>0</v>
      </c>
    </row>
    <row r="28" spans="1:27" s="354" customFormat="1" ht="49.5" customHeight="1">
      <c r="A28" s="413">
        <v>12</v>
      </c>
      <c r="B28" s="426"/>
      <c r="C28" s="426" t="str">
        <f>TONGHOPCONGDOI!C104</f>
        <v>N. Cong Mi</v>
      </c>
      <c r="D28" s="426"/>
      <c r="E28" s="427"/>
      <c r="F28" s="426">
        <f t="shared" si="2"/>
        <v>0</v>
      </c>
      <c r="G28" s="426">
        <f>VLOOKUP(C28,TONGHOPCONGDOI!C104:AD157,16,0)</f>
        <v>2002</v>
      </c>
      <c r="H28" s="426">
        <f>VLOOKUP(C28,TONGHOPCONGDOI!C104:AD157,17,0)</f>
        <v>0</v>
      </c>
      <c r="I28" s="426"/>
      <c r="J28" s="942">
        <f t="shared" si="0"/>
        <v>1016.7115550310068</v>
      </c>
      <c r="K28" s="413" t="str">
        <f>VLOOKUP(C28,'BTH mủ tạp'!C110:AL160,36,0)</f>
        <v>A</v>
      </c>
      <c r="L28" s="1294">
        <f t="shared" si="3"/>
        <v>3741507</v>
      </c>
      <c r="M28" s="426">
        <f>VLOOKUP(C28,TONGHOPCONGDOI!$C$93:$AD$156,20,0)</f>
        <v>27</v>
      </c>
      <c r="N28" s="426">
        <f>VLOOKUP(C28,TONGHOPCONGDOI!$C$93:$AD$156,21,0)</f>
        <v>4</v>
      </c>
      <c r="O28" s="426">
        <f>VLOOKUP(C28,TONGHOPCONGDOI!$C$93:$AD$156,22,0)</f>
        <v>0</v>
      </c>
      <c r="P28" s="426">
        <f>VLOOKUP(C28,TONGHOPCONGDOI!$C$93:$AD$156,23,0)</f>
        <v>0</v>
      </c>
      <c r="Q28" s="426">
        <f>VLOOKUP(C28,TONGHOPCONGDOI!$C$93:$AD$156,24,0)</f>
        <v>0</v>
      </c>
      <c r="R28" s="426">
        <f>VLOOKUP(C28,TONGHOPCONGDOI!$C$93:$AD$156,25,0)</f>
        <v>0</v>
      </c>
      <c r="S28" s="426">
        <f t="shared" si="4"/>
        <v>20</v>
      </c>
      <c r="T28" s="415"/>
      <c r="U28" s="415"/>
      <c r="V28" s="415"/>
      <c r="W28" s="1029">
        <f t="shared" si="5"/>
        <v>1537293</v>
      </c>
      <c r="X28" s="426">
        <f t="shared" si="1"/>
        <v>5278800</v>
      </c>
      <c r="Y28" s="426"/>
      <c r="Z28" s="426">
        <f>VLOOKUP(C28,'CNKT '!$C$98:$Z$161,24,0)</f>
        <v>5278800</v>
      </c>
      <c r="AA28" s="354">
        <f t="shared" si="6"/>
        <v>0</v>
      </c>
    </row>
    <row r="29" spans="1:27" s="354" customFormat="1" ht="49.5" customHeight="1">
      <c r="A29" s="413">
        <v>13</v>
      </c>
      <c r="B29" s="426" t="e">
        <f>'Chấm công KT'!#REF!</f>
        <v>#REF!</v>
      </c>
      <c r="C29" s="426" t="str">
        <f>TONGHOPCONGDOI!C105</f>
        <v>T. Na</v>
      </c>
      <c r="D29" s="426"/>
      <c r="E29" s="427"/>
      <c r="F29" s="426">
        <f t="shared" si="2"/>
        <v>0</v>
      </c>
      <c r="G29" s="426">
        <f>VLOOKUP(C29,TONGHOPCONGDOI!C105:AD157,16,0)</f>
        <v>1498</v>
      </c>
      <c r="H29" s="426">
        <f>VLOOKUP(C29,TONGHOPCONGDOI!C105:AD157,17,0)</f>
        <v>0</v>
      </c>
      <c r="I29" s="426"/>
      <c r="J29" s="942">
        <f t="shared" si="0"/>
        <v>760.75619851970441</v>
      </c>
      <c r="K29" s="413" t="str">
        <f>VLOOKUP(C29,'BTH mủ tạp'!C111:AL160,36,0)</f>
        <v>B</v>
      </c>
      <c r="L29" s="1294">
        <f t="shared" si="3"/>
        <v>2661904</v>
      </c>
      <c r="M29" s="426">
        <f>VLOOKUP(C29,TONGHOPCONGDOI!$C$93:$AD$156,20,0)</f>
        <v>26</v>
      </c>
      <c r="N29" s="426">
        <f>VLOOKUP(C29,TONGHOPCONGDOI!$C$93:$AD$156,21,0)</f>
        <v>4</v>
      </c>
      <c r="O29" s="426">
        <f>VLOOKUP(C29,TONGHOPCONGDOI!$C$93:$AD$156,22,0)</f>
        <v>0</v>
      </c>
      <c r="P29" s="426">
        <f>VLOOKUP(C29,TONGHOPCONGDOI!$C$93:$AD$156,23,0)</f>
        <v>0</v>
      </c>
      <c r="Q29" s="426">
        <f>VLOOKUP(C29,TONGHOPCONGDOI!$C$93:$AD$156,24,0)</f>
        <v>0</v>
      </c>
      <c r="R29" s="426">
        <f>VLOOKUP(C29,TONGHOPCONGDOI!$C$93:$AD$156,25,0)</f>
        <v>0</v>
      </c>
      <c r="S29" s="426">
        <f t="shared" si="4"/>
        <v>20</v>
      </c>
      <c r="T29" s="415"/>
      <c r="U29" s="415"/>
      <c r="V29" s="415"/>
      <c r="W29" s="1029">
        <f t="shared" si="5"/>
        <v>1506488</v>
      </c>
      <c r="X29" s="426">
        <f t="shared" si="1"/>
        <v>4168392</v>
      </c>
      <c r="Y29" s="426"/>
      <c r="Z29" s="426">
        <f>VLOOKUP(C29,'CNKT '!$C$98:$Z$161,24,0)</f>
        <v>4168392</v>
      </c>
      <c r="AA29" s="354">
        <f t="shared" si="6"/>
        <v>0</v>
      </c>
    </row>
    <row r="30" spans="1:27" s="354" customFormat="1" ht="49.5" customHeight="1">
      <c r="A30" s="413">
        <v>14</v>
      </c>
      <c r="B30" s="426" t="e">
        <f>'Chấm công KT'!#REF!</f>
        <v>#REF!</v>
      </c>
      <c r="C30" s="426" t="str">
        <f>TONGHOPCONGDOI!C106</f>
        <v>T. Khăm Mặn</v>
      </c>
      <c r="D30" s="426"/>
      <c r="E30" s="427"/>
      <c r="F30" s="426">
        <f t="shared" si="2"/>
        <v>0</v>
      </c>
      <c r="G30" s="426">
        <f>VLOOKUP(C30,TONGHOPCONGDOI!C106:AD157,16,0)</f>
        <v>2247</v>
      </c>
      <c r="H30" s="426">
        <f>VLOOKUP(C30,TONGHOPCONGDOI!C106:AD157,17,0)</f>
        <v>0</v>
      </c>
      <c r="I30" s="426"/>
      <c r="J30" s="942">
        <f t="shared" si="0"/>
        <v>1141.1342977795566</v>
      </c>
      <c r="K30" s="413" t="str">
        <f>VLOOKUP(C30,'BTH mủ tạp'!C112:AL160,36,0)</f>
        <v>A</v>
      </c>
      <c r="L30" s="1294">
        <f t="shared" si="3"/>
        <v>4199383</v>
      </c>
      <c r="M30" s="426">
        <f>VLOOKUP(C30,TONGHOPCONGDOI!$C$93:$AD$156,20,0)</f>
        <v>27</v>
      </c>
      <c r="N30" s="426">
        <f>VLOOKUP(C30,TONGHOPCONGDOI!$C$93:$AD$156,21,0)</f>
        <v>4</v>
      </c>
      <c r="O30" s="426">
        <f>VLOOKUP(C30,TONGHOPCONGDOI!$C$93:$AD$156,22,0)</f>
        <v>0</v>
      </c>
      <c r="P30" s="426">
        <f>VLOOKUP(C30,TONGHOPCONGDOI!$C$93:$AD$156,23,0)</f>
        <v>0</v>
      </c>
      <c r="Q30" s="426">
        <f>VLOOKUP(C30,TONGHOPCONGDOI!$C$93:$AD$156,24,0)</f>
        <v>0</v>
      </c>
      <c r="R30" s="426">
        <f>VLOOKUP(C30,TONGHOPCONGDOI!$C$93:$AD$156,25,0)</f>
        <v>0</v>
      </c>
      <c r="S30" s="426">
        <f t="shared" si="4"/>
        <v>20</v>
      </c>
      <c r="T30" s="415"/>
      <c r="U30" s="415"/>
      <c r="V30" s="415"/>
      <c r="W30" s="1029">
        <f t="shared" si="5"/>
        <v>1537293</v>
      </c>
      <c r="X30" s="426">
        <f t="shared" si="1"/>
        <v>5736676</v>
      </c>
      <c r="Y30" s="426"/>
      <c r="Z30" s="426">
        <f>VLOOKUP(C30,'CNKT '!$C$98:$Z$161,24,0)</f>
        <v>5736676</v>
      </c>
      <c r="AA30" s="354">
        <f t="shared" si="6"/>
        <v>0</v>
      </c>
    </row>
    <row r="31" spans="1:27" s="354" customFormat="1" ht="49.5" customHeight="1">
      <c r="A31" s="413">
        <v>15</v>
      </c>
      <c r="B31" s="426" t="e">
        <f>'Chấm công KT'!#REF!</f>
        <v>#REF!</v>
      </c>
      <c r="C31" s="426" t="str">
        <f>TONGHOPCONGDOI!C107</f>
        <v>T . In Tong</v>
      </c>
      <c r="D31" s="426"/>
      <c r="E31" s="427"/>
      <c r="F31" s="426">
        <f t="shared" si="2"/>
        <v>0</v>
      </c>
      <c r="G31" s="426">
        <f>VLOOKUP(C31,TONGHOPCONGDOI!C107:AD157,16,0)</f>
        <v>1661</v>
      </c>
      <c r="H31" s="426">
        <f>VLOOKUP(C31,TONGHOPCONGDOI!C107:AD157,17,0)</f>
        <v>0</v>
      </c>
      <c r="I31" s="426"/>
      <c r="J31" s="942">
        <f t="shared" si="0"/>
        <v>843.53541104220903</v>
      </c>
      <c r="K31" s="413" t="str">
        <f>VLOOKUP(C31,'BTH mủ tạp'!C113:AL160,36,0)</f>
        <v>A</v>
      </c>
      <c r="L31" s="1294">
        <f t="shared" si="3"/>
        <v>3104217</v>
      </c>
      <c r="M31" s="426">
        <f>VLOOKUP(C31,TONGHOPCONGDOI!$C$93:$AD$156,20,0)</f>
        <v>26</v>
      </c>
      <c r="N31" s="426">
        <f>VLOOKUP(C31,TONGHOPCONGDOI!$C$93:$AD$156,21,0)</f>
        <v>4</v>
      </c>
      <c r="O31" s="426">
        <f>VLOOKUP(C31,TONGHOPCONGDOI!$C$93:$AD$156,22,0)</f>
        <v>0</v>
      </c>
      <c r="P31" s="426">
        <f>VLOOKUP(C31,TONGHOPCONGDOI!$C$93:$AD$156,23,0)</f>
        <v>0</v>
      </c>
      <c r="Q31" s="426">
        <f>VLOOKUP(C31,TONGHOPCONGDOI!$C$93:$AD$156,24,0)</f>
        <v>0</v>
      </c>
      <c r="R31" s="426">
        <f>VLOOKUP(C31,TONGHOPCONGDOI!$C$93:$AD$156,25,0)</f>
        <v>0</v>
      </c>
      <c r="S31" s="426">
        <f t="shared" si="4"/>
        <v>20</v>
      </c>
      <c r="T31" s="415"/>
      <c r="U31" s="415"/>
      <c r="V31" s="415"/>
      <c r="W31" s="1029">
        <f t="shared" si="5"/>
        <v>1506488</v>
      </c>
      <c r="X31" s="426">
        <f t="shared" si="1"/>
        <v>4610705</v>
      </c>
      <c r="Y31" s="426"/>
      <c r="Z31" s="426">
        <f>VLOOKUP(C31,'CNKT '!$C$98:$Z$161,24,0)</f>
        <v>4610705</v>
      </c>
      <c r="AA31" s="354">
        <f t="shared" si="6"/>
        <v>0</v>
      </c>
    </row>
    <row r="32" spans="1:27" s="354" customFormat="1" ht="49.5" customHeight="1">
      <c r="A32" s="413">
        <v>16</v>
      </c>
      <c r="B32" s="426" t="e">
        <f>'Chấm công KT'!#REF!</f>
        <v>#REF!</v>
      </c>
      <c r="C32" s="426" t="str">
        <f>TONGHOPCONGDOI!C108</f>
        <v>T. Lốp</v>
      </c>
      <c r="D32" s="426"/>
      <c r="E32" s="427"/>
      <c r="F32" s="426">
        <f t="shared" si="2"/>
        <v>0</v>
      </c>
      <c r="G32" s="426">
        <f>VLOOKUP(C32,TONGHOPCONGDOI!C108:AD157,16,0)</f>
        <v>1272</v>
      </c>
      <c r="H32" s="426">
        <f>VLOOKUP(C32,TONGHOPCONGDOI!C108:AD157,17,0)</f>
        <v>0</v>
      </c>
      <c r="I32" s="426"/>
      <c r="J32" s="942">
        <f t="shared" si="0"/>
        <v>645.98256643328705</v>
      </c>
      <c r="K32" s="413" t="str">
        <f>VLOOKUP(C32,'BTH mủ tạp'!C114:AL160,36,0)</f>
        <v>B</v>
      </c>
      <c r="L32" s="1294">
        <f t="shared" si="3"/>
        <v>2260309</v>
      </c>
      <c r="M32" s="426">
        <f>VLOOKUP(C32,TONGHOPCONGDOI!$C$93:$AD$156,20,0)</f>
        <v>21</v>
      </c>
      <c r="N32" s="426">
        <f>VLOOKUP(C32,TONGHOPCONGDOI!$C$93:$AD$156,21,0)</f>
        <v>4</v>
      </c>
      <c r="O32" s="426">
        <f>VLOOKUP(C32,TONGHOPCONGDOI!$C$93:$AD$156,22,0)</f>
        <v>0</v>
      </c>
      <c r="P32" s="426">
        <f>VLOOKUP(C32,TONGHOPCONGDOI!$C$93:$AD$156,23,0)</f>
        <v>0</v>
      </c>
      <c r="Q32" s="426">
        <f>VLOOKUP(C32,TONGHOPCONGDOI!$C$93:$AD$156,24,0)</f>
        <v>0</v>
      </c>
      <c r="R32" s="426">
        <f>VLOOKUP(C32,TONGHOPCONGDOI!$C$93:$AD$156,25,0)</f>
        <v>0</v>
      </c>
      <c r="S32" s="426">
        <f t="shared" si="4"/>
        <v>20</v>
      </c>
      <c r="T32" s="415"/>
      <c r="U32" s="415"/>
      <c r="V32" s="415"/>
      <c r="W32" s="1029">
        <f t="shared" si="5"/>
        <v>1352461</v>
      </c>
      <c r="X32" s="426">
        <f t="shared" si="1"/>
        <v>3612770</v>
      </c>
      <c r="Y32" s="426"/>
      <c r="Z32" s="426">
        <f>VLOOKUP(C32,'CNKT '!$C$98:$Z$161,24,0)</f>
        <v>3612770</v>
      </c>
      <c r="AA32" s="354">
        <f t="shared" si="6"/>
        <v>0</v>
      </c>
    </row>
    <row r="33" spans="1:27" s="354" customFormat="1" ht="49.5" customHeight="1">
      <c r="A33" s="413">
        <v>17</v>
      </c>
      <c r="B33" s="426"/>
      <c r="C33" s="426" t="str">
        <f>TONGHOPCONGDOI!C109</f>
        <v>T. Lăm Phêng</v>
      </c>
      <c r="D33" s="426"/>
      <c r="E33" s="427"/>
      <c r="F33" s="426">
        <f t="shared" si="2"/>
        <v>0</v>
      </c>
      <c r="G33" s="426">
        <f>VLOOKUP(C33,TONGHOPCONGDOI!C109:AD157,16,0)</f>
        <v>2314</v>
      </c>
      <c r="H33" s="426">
        <f>VLOOKUP(C33,TONGHOPCONGDOI!C109:AD157,17,0)</f>
        <v>0</v>
      </c>
      <c r="I33" s="426"/>
      <c r="J33" s="942">
        <f t="shared" si="0"/>
        <v>1175.160109061813</v>
      </c>
      <c r="K33" s="413" t="str">
        <f>VLOOKUP(C33,'BTH mủ tạp'!C115:AL160,36,0)</f>
        <v>A</v>
      </c>
      <c r="L33" s="1294">
        <f t="shared" si="3"/>
        <v>4324599</v>
      </c>
      <c r="M33" s="426">
        <f>VLOOKUP(C33,TONGHOPCONGDOI!$C$93:$AD$156,20,0)</f>
        <v>27</v>
      </c>
      <c r="N33" s="426">
        <f>VLOOKUP(C33,TONGHOPCONGDOI!$C$93:$AD$156,21,0)</f>
        <v>4</v>
      </c>
      <c r="O33" s="426">
        <f>VLOOKUP(C33,TONGHOPCONGDOI!$C$93:$AD$156,22,0)</f>
        <v>0</v>
      </c>
      <c r="P33" s="426">
        <f>VLOOKUP(C33,TONGHOPCONGDOI!$C$93:$AD$156,23,0)</f>
        <v>0</v>
      </c>
      <c r="Q33" s="426">
        <f>VLOOKUP(C33,TONGHOPCONGDOI!$C$93:$AD$156,24,0)</f>
        <v>0</v>
      </c>
      <c r="R33" s="426">
        <f>VLOOKUP(C33,TONGHOPCONGDOI!$C$93:$AD$156,25,0)</f>
        <v>0</v>
      </c>
      <c r="S33" s="426">
        <f t="shared" si="4"/>
        <v>20</v>
      </c>
      <c r="T33" s="415"/>
      <c r="U33" s="415"/>
      <c r="V33" s="415"/>
      <c r="W33" s="1029">
        <f t="shared" si="5"/>
        <v>1537293</v>
      </c>
      <c r="X33" s="426">
        <f t="shared" si="1"/>
        <v>5861892</v>
      </c>
      <c r="Y33" s="426"/>
      <c r="Z33" s="426">
        <f>VLOOKUP(C33,'CNKT '!$C$98:$Z$161,24,0)</f>
        <v>5861892</v>
      </c>
      <c r="AA33" s="354">
        <f t="shared" si="6"/>
        <v>0</v>
      </c>
    </row>
    <row r="34" spans="1:27" s="354" customFormat="1" ht="49.5" customHeight="1">
      <c r="A34" s="413">
        <v>18</v>
      </c>
      <c r="B34" s="426"/>
      <c r="C34" s="426" t="str">
        <f>TONGHOPCONGDOI!C110</f>
        <v>T Xèng</v>
      </c>
      <c r="D34" s="426"/>
      <c r="E34" s="427"/>
      <c r="F34" s="426">
        <f t="shared" si="2"/>
        <v>0</v>
      </c>
      <c r="G34" s="426">
        <f>VLOOKUP(C34,TONGHOPCONGDOI!C110:AD157,16,0)</f>
        <v>2232</v>
      </c>
      <c r="H34" s="426">
        <f>VLOOKUP(C34,TONGHOPCONGDOI!C110:AD157,17,0)</f>
        <v>0</v>
      </c>
      <c r="I34" s="426"/>
      <c r="J34" s="942">
        <f t="shared" si="0"/>
        <v>1133.5165788357679</v>
      </c>
      <c r="K34" s="413" t="str">
        <f>VLOOKUP(C34,'BTH mủ tạp'!C116:AL160,36,0)</f>
        <v>A</v>
      </c>
      <c r="L34" s="1294">
        <f t="shared" si="3"/>
        <v>4171350</v>
      </c>
      <c r="M34" s="426">
        <f>VLOOKUP(C34,TONGHOPCONGDOI!$C$93:$AD$156,20,0)</f>
        <v>27</v>
      </c>
      <c r="N34" s="426">
        <f>VLOOKUP(C34,TONGHOPCONGDOI!$C$93:$AD$156,21,0)</f>
        <v>4</v>
      </c>
      <c r="O34" s="426">
        <f>VLOOKUP(C34,TONGHOPCONGDOI!$C$93:$AD$156,22,0)</f>
        <v>0</v>
      </c>
      <c r="P34" s="426">
        <f>VLOOKUP(C34,TONGHOPCONGDOI!$C$93:$AD$156,23,0)</f>
        <v>0</v>
      </c>
      <c r="Q34" s="426">
        <f>VLOOKUP(C34,TONGHOPCONGDOI!$C$93:$AD$156,24,0)</f>
        <v>0</v>
      </c>
      <c r="R34" s="426">
        <f>VLOOKUP(C34,TONGHOPCONGDOI!$C$93:$AD$156,25,0)</f>
        <v>0</v>
      </c>
      <c r="S34" s="426">
        <f t="shared" si="4"/>
        <v>20</v>
      </c>
      <c r="T34" s="415"/>
      <c r="U34" s="415"/>
      <c r="V34" s="415"/>
      <c r="W34" s="1029">
        <f t="shared" si="5"/>
        <v>1537293</v>
      </c>
      <c r="X34" s="426">
        <f t="shared" si="1"/>
        <v>5708643</v>
      </c>
      <c r="Y34" s="426"/>
      <c r="Z34" s="426">
        <f>VLOOKUP(C34,'CNKT '!$C$98:$Z$161,24,0)</f>
        <v>5708643</v>
      </c>
      <c r="AA34" s="354">
        <f t="shared" si="6"/>
        <v>0</v>
      </c>
    </row>
    <row r="35" spans="1:27" s="354" customFormat="1" ht="49.5" customHeight="1">
      <c r="A35" s="413">
        <v>19</v>
      </c>
      <c r="B35" s="426" t="e">
        <f>'Chấm công KT'!#REF!</f>
        <v>#REF!</v>
      </c>
      <c r="C35" s="426" t="str">
        <f>TONGHOPCONGDOI!C111</f>
        <v>T. May</v>
      </c>
      <c r="D35" s="426"/>
      <c r="E35" s="427"/>
      <c r="F35" s="426">
        <f t="shared" si="2"/>
        <v>0</v>
      </c>
      <c r="G35" s="426">
        <f>VLOOKUP(C35,TONGHOPCONGDOI!C111:AD157,16,0)</f>
        <v>1791</v>
      </c>
      <c r="H35" s="426">
        <f>VLOOKUP(C35,TONGHOPCONGDOI!C111:AD157,17,0)</f>
        <v>0</v>
      </c>
      <c r="I35" s="426"/>
      <c r="J35" s="942">
        <f t="shared" si="0"/>
        <v>909.55564188837832</v>
      </c>
      <c r="K35" s="413" t="str">
        <f>VLOOKUP(C35,'BTH mủ tạp'!C117:AL160,36,0)</f>
        <v>A</v>
      </c>
      <c r="L35" s="1294">
        <f t="shared" si="3"/>
        <v>3347172</v>
      </c>
      <c r="M35" s="426">
        <f>VLOOKUP(C35,TONGHOPCONGDOI!$C$93:$AD$156,20,0)</f>
        <v>27</v>
      </c>
      <c r="N35" s="426">
        <f>VLOOKUP(C35,TONGHOPCONGDOI!$C$93:$AD$156,21,0)</f>
        <v>3</v>
      </c>
      <c r="O35" s="426">
        <f>VLOOKUP(C35,TONGHOPCONGDOI!$C$93:$AD$156,22,0)</f>
        <v>0</v>
      </c>
      <c r="P35" s="426">
        <f>VLOOKUP(C35,TONGHOPCONGDOI!$C$93:$AD$156,23,0)</f>
        <v>0</v>
      </c>
      <c r="Q35" s="426">
        <f>VLOOKUP(C35,TONGHOPCONGDOI!$C$93:$AD$156,24,0)</f>
        <v>0</v>
      </c>
      <c r="R35" s="426">
        <f>VLOOKUP(C35,TONGHOPCONGDOI!$C$93:$AD$156,25,0)</f>
        <v>0</v>
      </c>
      <c r="S35" s="426">
        <f t="shared" si="4"/>
        <v>20</v>
      </c>
      <c r="T35" s="415"/>
      <c r="U35" s="415"/>
      <c r="V35" s="415"/>
      <c r="W35" s="1029">
        <f t="shared" si="5"/>
        <v>1485907</v>
      </c>
      <c r="X35" s="426">
        <f t="shared" si="1"/>
        <v>4833079</v>
      </c>
      <c r="Y35" s="426"/>
      <c r="Z35" s="426">
        <f>VLOOKUP(C35,'CNKT '!$C$98:$Z$161,24,0)</f>
        <v>4833079</v>
      </c>
      <c r="AA35" s="354">
        <f t="shared" si="6"/>
        <v>0</v>
      </c>
    </row>
    <row r="36" spans="1:27" s="354" customFormat="1" ht="49.5" customHeight="1">
      <c r="A36" s="413">
        <v>20</v>
      </c>
      <c r="B36" s="426"/>
      <c r="C36" s="426" t="str">
        <f>TONGHOPCONGDOI!C112</f>
        <v>T. Huôn</v>
      </c>
      <c r="D36" s="426"/>
      <c r="E36" s="427"/>
      <c r="F36" s="426">
        <f t="shared" si="2"/>
        <v>0</v>
      </c>
      <c r="G36" s="426">
        <f>VLOOKUP(C36,TONGHOPCONGDOI!C112:AD157,16,0)</f>
        <v>1482</v>
      </c>
      <c r="H36" s="426">
        <f>VLOOKUP(C36,TONGHOPCONGDOI!C112:AD157,17,0)</f>
        <v>0</v>
      </c>
      <c r="I36" s="426"/>
      <c r="J36" s="942">
        <f t="shared" si="0"/>
        <v>752.63063164632979</v>
      </c>
      <c r="K36" s="413" t="str">
        <f>VLOOKUP(C36,'BTH mủ tạp'!C118:AL160,36,0)</f>
        <v>A</v>
      </c>
      <c r="L36" s="1294">
        <f t="shared" si="3"/>
        <v>2769687</v>
      </c>
      <c r="M36" s="426">
        <f>VLOOKUP(C36,TONGHOPCONGDOI!$C$93:$AD$156,20,0)</f>
        <v>27</v>
      </c>
      <c r="N36" s="426">
        <f>VLOOKUP(C36,TONGHOPCONGDOI!$C$93:$AD$156,21,0)</f>
        <v>3</v>
      </c>
      <c r="O36" s="426">
        <f>VLOOKUP(C36,TONGHOPCONGDOI!$C$93:$AD$156,22,0)</f>
        <v>0</v>
      </c>
      <c r="P36" s="426">
        <f>VLOOKUP(C36,TONGHOPCONGDOI!$C$93:$AD$156,23,0)</f>
        <v>0</v>
      </c>
      <c r="Q36" s="426">
        <f>VLOOKUP(C36,TONGHOPCONGDOI!$C$93:$AD$156,24,0)</f>
        <v>0</v>
      </c>
      <c r="R36" s="426">
        <f>VLOOKUP(C36,TONGHOPCONGDOI!$C$93:$AD$156,25,0)</f>
        <v>0</v>
      </c>
      <c r="S36" s="426">
        <f t="shared" si="4"/>
        <v>20</v>
      </c>
      <c r="T36" s="415"/>
      <c r="U36" s="415"/>
      <c r="V36" s="415"/>
      <c r="W36" s="1029">
        <f t="shared" si="5"/>
        <v>1485907</v>
      </c>
      <c r="X36" s="426">
        <f t="shared" si="1"/>
        <v>4255594</v>
      </c>
      <c r="Y36" s="426"/>
      <c r="Z36" s="426">
        <f>VLOOKUP(C36,'CNKT '!$C$98:$Z$161,24,0)</f>
        <v>4255594</v>
      </c>
      <c r="AA36" s="354">
        <f t="shared" si="6"/>
        <v>0</v>
      </c>
    </row>
    <row r="37" spans="1:27" s="354" customFormat="1" ht="49.5" customHeight="1">
      <c r="A37" s="413">
        <v>21</v>
      </c>
      <c r="B37" s="426" t="e">
        <f>'Chấm công KT'!#REF!</f>
        <v>#REF!</v>
      </c>
      <c r="C37" s="426" t="str">
        <f>TONGHOPCONGDOI!C113</f>
        <v>N. Lay</v>
      </c>
      <c r="D37" s="426"/>
      <c r="E37" s="427"/>
      <c r="F37" s="426">
        <f t="shared" si="2"/>
        <v>0</v>
      </c>
      <c r="G37" s="426">
        <f>VLOOKUP(C37,TONGHOPCONGDOI!C113:AD157,16,0)</f>
        <v>1425</v>
      </c>
      <c r="H37" s="426">
        <f>VLOOKUP(C37,TONGHOPCONGDOI!C113:AD157,17,0)</f>
        <v>0</v>
      </c>
      <c r="I37" s="426"/>
      <c r="J37" s="942">
        <f t="shared" si="0"/>
        <v>723.68329965993246</v>
      </c>
      <c r="K37" s="413" t="str">
        <f>VLOOKUP(C37,'BTH mủ tạp'!C119:AL160,36,0)</f>
        <v>A</v>
      </c>
      <c r="L37" s="1294">
        <f t="shared" si="3"/>
        <v>2663160</v>
      </c>
      <c r="M37" s="426">
        <f>VLOOKUP(C37,TONGHOPCONGDOI!$C$93:$AD$156,20,0)</f>
        <v>27</v>
      </c>
      <c r="N37" s="426">
        <f>VLOOKUP(C37,TONGHOPCONGDOI!$C$93:$AD$156,21,0)</f>
        <v>3</v>
      </c>
      <c r="O37" s="426">
        <f>VLOOKUP(C37,TONGHOPCONGDOI!$C$93:$AD$156,22,0)</f>
        <v>0</v>
      </c>
      <c r="P37" s="426">
        <f>VLOOKUP(C37,TONGHOPCONGDOI!$C$93:$AD$156,23,0)</f>
        <v>0</v>
      </c>
      <c r="Q37" s="426">
        <f>VLOOKUP(C37,TONGHOPCONGDOI!$C$93:$AD$156,24,0)</f>
        <v>0</v>
      </c>
      <c r="R37" s="426">
        <f>VLOOKUP(C37,TONGHOPCONGDOI!$C$93:$AD$156,25,0)</f>
        <v>0</v>
      </c>
      <c r="S37" s="426">
        <f t="shared" si="4"/>
        <v>20</v>
      </c>
      <c r="T37" s="415"/>
      <c r="U37" s="415"/>
      <c r="V37" s="415"/>
      <c r="W37" s="1029">
        <f t="shared" si="5"/>
        <v>1485907</v>
      </c>
      <c r="X37" s="426">
        <f t="shared" si="1"/>
        <v>4149067</v>
      </c>
      <c r="Y37" s="426"/>
      <c r="Z37" s="426">
        <f>VLOOKUP(C37,'CNKT '!$C$98:$Z$161,24,0)</f>
        <v>4149067</v>
      </c>
      <c r="AA37" s="354">
        <f t="shared" si="6"/>
        <v>0</v>
      </c>
    </row>
    <row r="38" spans="1:27" s="354" customFormat="1" ht="49.5" customHeight="1">
      <c r="A38" s="413">
        <v>22</v>
      </c>
      <c r="B38" s="426"/>
      <c r="C38" s="426" t="str">
        <f>TONGHOPCONGDOI!C114</f>
        <v>N. Pon</v>
      </c>
      <c r="D38" s="426"/>
      <c r="E38" s="427"/>
      <c r="F38" s="426">
        <f t="shared" si="2"/>
        <v>0</v>
      </c>
      <c r="G38" s="426">
        <f>VLOOKUP(C38,TONGHOPCONGDOI!C114:AD157,16,0)</f>
        <v>2212</v>
      </c>
      <c r="H38" s="426">
        <f>VLOOKUP(C38,TONGHOPCONGDOI!C114:AD157,17,0)</f>
        <v>0</v>
      </c>
      <c r="I38" s="426"/>
      <c r="J38" s="942">
        <f t="shared" si="0"/>
        <v>1123.3596202440494</v>
      </c>
      <c r="K38" s="413" t="str">
        <f>VLOOKUP(C38,'BTH mủ tạp'!C120:AL160,36,0)</f>
        <v>A</v>
      </c>
      <c r="L38" s="1294">
        <f t="shared" si="3"/>
        <v>4133972</v>
      </c>
      <c r="M38" s="426">
        <f>VLOOKUP(C38,TONGHOPCONGDOI!$C$93:$AD$156,20,0)</f>
        <v>27</v>
      </c>
      <c r="N38" s="426">
        <f>VLOOKUP(C38,TONGHOPCONGDOI!$C$93:$AD$156,21,0)</f>
        <v>4</v>
      </c>
      <c r="O38" s="426">
        <f>VLOOKUP(C38,TONGHOPCONGDOI!$C$93:$AD$156,22,0)</f>
        <v>0</v>
      </c>
      <c r="P38" s="426">
        <f>VLOOKUP(C38,TONGHOPCONGDOI!$C$93:$AD$156,23,0)</f>
        <v>0</v>
      </c>
      <c r="Q38" s="426">
        <f>VLOOKUP(C38,TONGHOPCONGDOI!$C$93:$AD$156,24,0)</f>
        <v>0</v>
      </c>
      <c r="R38" s="426">
        <f>VLOOKUP(C38,TONGHOPCONGDOI!$C$93:$AD$156,25,0)</f>
        <v>0</v>
      </c>
      <c r="S38" s="426">
        <f t="shared" si="4"/>
        <v>20</v>
      </c>
      <c r="T38" s="415"/>
      <c r="U38" s="415"/>
      <c r="V38" s="415"/>
      <c r="W38" s="1029">
        <f t="shared" si="5"/>
        <v>1537293</v>
      </c>
      <c r="X38" s="426">
        <f t="shared" si="1"/>
        <v>5671265</v>
      </c>
      <c r="Y38" s="426"/>
      <c r="Z38" s="426">
        <f>VLOOKUP(C38,'CNKT '!$C$98:$Z$161,24,0)</f>
        <v>5671265</v>
      </c>
      <c r="AA38" s="354">
        <f t="shared" si="6"/>
        <v>0</v>
      </c>
    </row>
    <row r="39" spans="1:27" s="354" customFormat="1" ht="49.5" customHeight="1">
      <c r="A39" s="413">
        <v>23</v>
      </c>
      <c r="B39" s="426"/>
      <c r="C39" s="426" t="str">
        <f>TONGHOPCONGDOI!C115</f>
        <v>N. Bun Đi</v>
      </c>
      <c r="D39" s="426"/>
      <c r="E39" s="427"/>
      <c r="F39" s="426">
        <f t="shared" si="2"/>
        <v>0</v>
      </c>
      <c r="G39" s="426">
        <f>VLOOKUP(C39,TONGHOPCONGDOI!C115:AD157,16,0)</f>
        <v>1530</v>
      </c>
      <c r="H39" s="426">
        <f>VLOOKUP(C39,TONGHOPCONGDOI!C115:AD157,17,0)</f>
        <v>0</v>
      </c>
      <c r="I39" s="426"/>
      <c r="J39" s="942">
        <f t="shared" si="0"/>
        <v>777.00733226645377</v>
      </c>
      <c r="K39" s="413" t="str">
        <f>VLOOKUP(C39,'BTH mủ tạp'!C121:AL160,36,0)</f>
        <v>A</v>
      </c>
      <c r="L39" s="1294">
        <f t="shared" si="3"/>
        <v>2859393</v>
      </c>
      <c r="M39" s="426">
        <f>VLOOKUP(C39,TONGHOPCONGDOI!$C$93:$AD$156,20,0)</f>
        <v>27</v>
      </c>
      <c r="N39" s="426">
        <f>VLOOKUP(C39,TONGHOPCONGDOI!$C$93:$AD$156,21,0)</f>
        <v>4</v>
      </c>
      <c r="O39" s="426">
        <f>VLOOKUP(C39,TONGHOPCONGDOI!$C$93:$AD$156,22,0)</f>
        <v>0</v>
      </c>
      <c r="P39" s="426">
        <f>VLOOKUP(C39,TONGHOPCONGDOI!$C$93:$AD$156,23,0)</f>
        <v>0</v>
      </c>
      <c r="Q39" s="426">
        <f>VLOOKUP(C39,TONGHOPCONGDOI!$C$93:$AD$156,24,0)</f>
        <v>0</v>
      </c>
      <c r="R39" s="426">
        <f>VLOOKUP(C39,TONGHOPCONGDOI!$C$93:$AD$156,25,0)</f>
        <v>0</v>
      </c>
      <c r="S39" s="426">
        <f t="shared" si="4"/>
        <v>20</v>
      </c>
      <c r="T39" s="415"/>
      <c r="U39" s="415"/>
      <c r="V39" s="415"/>
      <c r="W39" s="1029">
        <f t="shared" si="5"/>
        <v>1537293</v>
      </c>
      <c r="X39" s="426">
        <f t="shared" si="1"/>
        <v>4396686</v>
      </c>
      <c r="Y39" s="426"/>
      <c r="Z39" s="426">
        <f>VLOOKUP(C39,'CNKT '!$C$98:$Z$161,24,0)</f>
        <v>4396686</v>
      </c>
      <c r="AA39" s="354">
        <f t="shared" si="6"/>
        <v>0</v>
      </c>
    </row>
    <row r="40" spans="1:27" s="354" customFormat="1" ht="49.5" customHeight="1">
      <c r="A40" s="413">
        <v>24</v>
      </c>
      <c r="B40" s="426" t="e">
        <f>'Chấm công KT'!#REF!</f>
        <v>#REF!</v>
      </c>
      <c r="C40" s="426" t="str">
        <f>TONGHOPCONGDOI!C116</f>
        <v>N. Phon</v>
      </c>
      <c r="D40" s="426"/>
      <c r="E40" s="427"/>
      <c r="F40" s="426">
        <f t="shared" si="2"/>
        <v>0</v>
      </c>
      <c r="G40" s="426">
        <f>VLOOKUP(C40,TONGHOPCONGDOI!C116:AD157,16,0)</f>
        <v>1556</v>
      </c>
      <c r="H40" s="426">
        <f>VLOOKUP(C40,TONGHOPCONGDOI!C116:AD157,17,0)</f>
        <v>0</v>
      </c>
      <c r="I40" s="426"/>
      <c r="J40" s="942">
        <f t="shared" si="0"/>
        <v>790.21137843568761</v>
      </c>
      <c r="K40" s="413" t="str">
        <f>VLOOKUP(C40,'BTH mủ tạp'!C122:AL160,36,0)</f>
        <v>A</v>
      </c>
      <c r="L40" s="1294">
        <f t="shared" si="3"/>
        <v>2907984</v>
      </c>
      <c r="M40" s="426">
        <f>VLOOKUP(C40,TONGHOPCONGDOI!$C$93:$AD$156,20,0)</f>
        <v>27</v>
      </c>
      <c r="N40" s="426">
        <f>VLOOKUP(C40,TONGHOPCONGDOI!$C$93:$AD$156,21,0)</f>
        <v>4</v>
      </c>
      <c r="O40" s="426">
        <f>VLOOKUP(C40,TONGHOPCONGDOI!$C$93:$AD$156,22,0)</f>
        <v>0</v>
      </c>
      <c r="P40" s="426">
        <f>VLOOKUP(C40,TONGHOPCONGDOI!$C$93:$AD$156,23,0)</f>
        <v>0</v>
      </c>
      <c r="Q40" s="426">
        <f>VLOOKUP(C40,TONGHOPCONGDOI!$C$93:$AD$156,24,0)</f>
        <v>0</v>
      </c>
      <c r="R40" s="426">
        <f>VLOOKUP(C40,TONGHOPCONGDOI!$C$93:$AD$156,25,0)</f>
        <v>0</v>
      </c>
      <c r="S40" s="426">
        <f t="shared" si="4"/>
        <v>20</v>
      </c>
      <c r="T40" s="415"/>
      <c r="U40" s="415"/>
      <c r="V40" s="415"/>
      <c r="W40" s="1029">
        <f t="shared" si="5"/>
        <v>1537293</v>
      </c>
      <c r="X40" s="426">
        <f t="shared" si="1"/>
        <v>4445277</v>
      </c>
      <c r="Y40" s="426"/>
      <c r="Z40" s="426">
        <f>VLOOKUP(C40,'CNKT '!$C$98:$Z$161,24,0)</f>
        <v>4445277</v>
      </c>
      <c r="AA40" s="354">
        <f t="shared" si="6"/>
        <v>0</v>
      </c>
    </row>
    <row r="41" spans="1:27" s="354" customFormat="1" ht="49.5" customHeight="1">
      <c r="A41" s="413">
        <v>25</v>
      </c>
      <c r="B41" s="426"/>
      <c r="C41" s="426" t="str">
        <f>TONGHOPCONGDOI!C117</f>
        <v xml:space="preserve">N. Bun </v>
      </c>
      <c r="D41" s="426"/>
      <c r="E41" s="427"/>
      <c r="F41" s="426">
        <f t="shared" si="2"/>
        <v>0</v>
      </c>
      <c r="G41" s="426">
        <f>VLOOKUP(C41,TONGHOPCONGDOI!C117:AD157,16,0)</f>
        <v>2106</v>
      </c>
      <c r="H41" s="426">
        <f>VLOOKUP(C41,TONGHOPCONGDOI!C117:AD157,17,0)</f>
        <v>0</v>
      </c>
      <c r="I41" s="426"/>
      <c r="J41" s="942">
        <f t="shared" si="0"/>
        <v>1069.5277397079424</v>
      </c>
      <c r="K41" s="413" t="str">
        <f>VLOOKUP(C41,'BTH mủ tạp'!C123:AL160,36,0)</f>
        <v>A</v>
      </c>
      <c r="L41" s="1294">
        <f t="shared" si="3"/>
        <v>3935871</v>
      </c>
      <c r="M41" s="426">
        <f>VLOOKUP(C41,TONGHOPCONGDOI!$C$93:$AD$156,20,0)</f>
        <v>27</v>
      </c>
      <c r="N41" s="426">
        <f>VLOOKUP(C41,TONGHOPCONGDOI!$C$93:$AD$156,21,0)</f>
        <v>4</v>
      </c>
      <c r="O41" s="426">
        <f>VLOOKUP(C41,TONGHOPCONGDOI!$C$93:$AD$156,22,0)</f>
        <v>0</v>
      </c>
      <c r="P41" s="426">
        <f>VLOOKUP(C41,TONGHOPCONGDOI!$C$93:$AD$156,23,0)</f>
        <v>0</v>
      </c>
      <c r="Q41" s="426">
        <f>VLOOKUP(C41,TONGHOPCONGDOI!$C$93:$AD$156,24,0)</f>
        <v>0</v>
      </c>
      <c r="R41" s="426">
        <f>VLOOKUP(C41,TONGHOPCONGDOI!$C$93:$AD$156,25,0)</f>
        <v>0</v>
      </c>
      <c r="S41" s="426">
        <f t="shared" si="4"/>
        <v>20</v>
      </c>
      <c r="T41" s="415"/>
      <c r="U41" s="415"/>
      <c r="V41" s="415"/>
      <c r="W41" s="1029">
        <f t="shared" si="5"/>
        <v>1537293</v>
      </c>
      <c r="X41" s="426">
        <f t="shared" si="1"/>
        <v>5473164</v>
      </c>
      <c r="Y41" s="426"/>
      <c r="Z41" s="426">
        <f>VLOOKUP(C41,'CNKT '!$C$98:$Z$161,24,0)</f>
        <v>5473164</v>
      </c>
      <c r="AA41" s="354">
        <f t="shared" si="6"/>
        <v>0</v>
      </c>
    </row>
    <row r="42" spans="1:27" s="354" customFormat="1" ht="49.5" customHeight="1">
      <c r="A42" s="413">
        <v>26</v>
      </c>
      <c r="B42" s="426"/>
      <c r="C42" s="426" t="str">
        <f>TONGHOPCONGDOI!C118</f>
        <v>N. Phu Văn</v>
      </c>
      <c r="D42" s="426"/>
      <c r="E42" s="427"/>
      <c r="F42" s="426">
        <f t="shared" si="2"/>
        <v>0</v>
      </c>
      <c r="G42" s="426">
        <f>VLOOKUP(C42,TONGHOPCONGDOI!C118:AD157,16,0)</f>
        <v>2254</v>
      </c>
      <c r="H42" s="426">
        <f>VLOOKUP(C42,TONGHOPCONGDOI!C118:AD157,17,0)</f>
        <v>0</v>
      </c>
      <c r="I42" s="426"/>
      <c r="J42" s="942">
        <f t="shared" si="0"/>
        <v>1144.689233286658</v>
      </c>
      <c r="K42" s="413" t="str">
        <f>VLOOKUP(C42,'BTH mủ tạp'!C124:AL160,36,0)</f>
        <v>A</v>
      </c>
      <c r="L42" s="1294">
        <f t="shared" si="3"/>
        <v>4212466</v>
      </c>
      <c r="M42" s="426">
        <f>VLOOKUP(C42,TONGHOPCONGDOI!$C$93:$AD$156,20,0)</f>
        <v>27</v>
      </c>
      <c r="N42" s="426">
        <f>VLOOKUP(C42,TONGHOPCONGDOI!$C$93:$AD$156,21,0)</f>
        <v>4</v>
      </c>
      <c r="O42" s="426">
        <f>VLOOKUP(C42,TONGHOPCONGDOI!$C$93:$AD$156,22,0)</f>
        <v>0</v>
      </c>
      <c r="P42" s="426">
        <f>VLOOKUP(C42,TONGHOPCONGDOI!$C$93:$AD$156,23,0)</f>
        <v>0</v>
      </c>
      <c r="Q42" s="426">
        <f>VLOOKUP(C42,TONGHOPCONGDOI!$C$93:$AD$156,24,0)</f>
        <v>0</v>
      </c>
      <c r="R42" s="426">
        <f>VLOOKUP(C42,TONGHOPCONGDOI!$C$93:$AD$156,25,0)</f>
        <v>0</v>
      </c>
      <c r="S42" s="426">
        <f t="shared" si="4"/>
        <v>20</v>
      </c>
      <c r="T42" s="415"/>
      <c r="U42" s="415"/>
      <c r="V42" s="415"/>
      <c r="W42" s="1029">
        <f t="shared" si="5"/>
        <v>1537293</v>
      </c>
      <c r="X42" s="426">
        <f t="shared" si="1"/>
        <v>5749759</v>
      </c>
      <c r="Y42" s="426"/>
      <c r="Z42" s="426">
        <f>VLOOKUP(C42,'CNKT '!$C$98:$Z$161,24,0)</f>
        <v>5749759</v>
      </c>
      <c r="AA42" s="354">
        <f t="shared" si="6"/>
        <v>0</v>
      </c>
    </row>
    <row r="43" spans="1:27" s="354" customFormat="1" ht="49.5" customHeight="1">
      <c r="A43" s="413">
        <v>27</v>
      </c>
      <c r="B43" s="426" t="e">
        <f>'Chấm công KT'!#REF!</f>
        <v>#REF!</v>
      </c>
      <c r="C43" s="426" t="str">
        <f>TONGHOPCONGDOI!C119</f>
        <v>N. Lỷ</v>
      </c>
      <c r="D43" s="426"/>
      <c r="E43" s="427"/>
      <c r="F43" s="426">
        <f t="shared" si="2"/>
        <v>0</v>
      </c>
      <c r="G43" s="426">
        <f>VLOOKUP(C43,TONGHOPCONGDOI!C119:AD157,16,0)</f>
        <v>201</v>
      </c>
      <c r="H43" s="426">
        <f>VLOOKUP(C43,TONGHOPCONGDOI!C119:AD157,17,0)</f>
        <v>0</v>
      </c>
      <c r="I43" s="426"/>
      <c r="J43" s="942">
        <f t="shared" si="0"/>
        <v>102.07743384676942</v>
      </c>
      <c r="K43" s="413" t="str">
        <f>VLOOKUP(C43,'BTH mủ tạp'!C125:AL160,36,0)</f>
        <v>A</v>
      </c>
      <c r="L43" s="1294">
        <f t="shared" si="3"/>
        <v>375646</v>
      </c>
      <c r="M43" s="426">
        <f>VLOOKUP(C43,TONGHOPCONGDOI!$C$93:$AD$156,20,0)</f>
        <v>17</v>
      </c>
      <c r="N43" s="426">
        <f>VLOOKUP(C43,TONGHOPCONGDOI!$C$93:$AD$156,21,0)</f>
        <v>3</v>
      </c>
      <c r="O43" s="426">
        <f>VLOOKUP(C43,TONGHOPCONGDOI!$C$93:$AD$156,22,0)</f>
        <v>0</v>
      </c>
      <c r="P43" s="426">
        <f>VLOOKUP(C43,TONGHOPCONGDOI!$C$93:$AD$156,23,0)</f>
        <v>0</v>
      </c>
      <c r="Q43" s="426">
        <f>VLOOKUP(C43,TONGHOPCONGDOI!$C$93:$AD$156,24,0)</f>
        <v>0</v>
      </c>
      <c r="R43" s="426">
        <f>VLOOKUP(C43,TONGHOPCONGDOI!$C$93:$AD$156,25,0)</f>
        <v>0</v>
      </c>
      <c r="S43" s="426">
        <f t="shared" si="4"/>
        <v>20</v>
      </c>
      <c r="T43" s="415"/>
      <c r="U43" s="415"/>
      <c r="V43" s="415"/>
      <c r="W43" s="1029">
        <f t="shared" si="5"/>
        <v>1177853</v>
      </c>
      <c r="X43" s="426">
        <f t="shared" si="1"/>
        <v>1553499</v>
      </c>
      <c r="Y43" s="426"/>
      <c r="Z43" s="426">
        <f>VLOOKUP(C43,'CNKT '!$C$98:$Z$161,24,0)</f>
        <v>1553499</v>
      </c>
      <c r="AA43" s="354">
        <f t="shared" si="6"/>
        <v>0</v>
      </c>
    </row>
    <row r="44" spans="1:27" s="354" customFormat="1" ht="49.5" customHeight="1">
      <c r="A44" s="413">
        <v>28</v>
      </c>
      <c r="B44" s="426" t="e">
        <f>'Chấm công KT'!#REF!</f>
        <v>#REF!</v>
      </c>
      <c r="C44" s="426" t="str">
        <f>TONGHOPCONGDOI!C120</f>
        <v>N. Quen</v>
      </c>
      <c r="D44" s="426"/>
      <c r="E44" s="427"/>
      <c r="F44" s="426">
        <f t="shared" si="2"/>
        <v>0</v>
      </c>
      <c r="G44" s="426">
        <f>VLOOKUP(C44,TONGHOPCONGDOI!C120:AD157,16,0)</f>
        <v>1795</v>
      </c>
      <c r="H44" s="426">
        <f>VLOOKUP(C44,TONGHOPCONGDOI!C120:AD157,17,0)</f>
        <v>0</v>
      </c>
      <c r="I44" s="426"/>
      <c r="J44" s="942">
        <f t="shared" si="0"/>
        <v>911.58703360672189</v>
      </c>
      <c r="K44" s="413" t="str">
        <f>VLOOKUP(C44,'BTH mủ tạp'!C126:AL160,36,0)</f>
        <v>A</v>
      </c>
      <c r="L44" s="1294">
        <f t="shared" si="3"/>
        <v>3354648</v>
      </c>
      <c r="M44" s="426">
        <f>VLOOKUP(C44,TONGHOPCONGDOI!$C$93:$AD$156,20,0)</f>
        <v>27</v>
      </c>
      <c r="N44" s="426">
        <f>VLOOKUP(C44,TONGHOPCONGDOI!$C$93:$AD$156,21,0)</f>
        <v>4</v>
      </c>
      <c r="O44" s="426">
        <f>VLOOKUP(C44,TONGHOPCONGDOI!$C$93:$AD$156,22,0)</f>
        <v>0</v>
      </c>
      <c r="P44" s="426">
        <f>VLOOKUP(C44,TONGHOPCONGDOI!$C$93:$AD$156,23,0)</f>
        <v>0</v>
      </c>
      <c r="Q44" s="426">
        <f>VLOOKUP(C44,TONGHOPCONGDOI!$C$93:$AD$156,24,0)</f>
        <v>0</v>
      </c>
      <c r="R44" s="426">
        <f>VLOOKUP(C44,TONGHOPCONGDOI!$C$93:$AD$156,25,0)</f>
        <v>0</v>
      </c>
      <c r="S44" s="426">
        <f t="shared" si="4"/>
        <v>20</v>
      </c>
      <c r="T44" s="415"/>
      <c r="U44" s="415"/>
      <c r="V44" s="415"/>
      <c r="W44" s="1029">
        <f t="shared" si="5"/>
        <v>1537293</v>
      </c>
      <c r="X44" s="426">
        <f t="shared" si="1"/>
        <v>4891941</v>
      </c>
      <c r="Y44" s="426"/>
      <c r="Z44" s="426">
        <f>VLOOKUP(C44,'CNKT '!$C$98:$Z$161,24,0)</f>
        <v>4891941</v>
      </c>
      <c r="AA44" s="354">
        <f t="shared" si="6"/>
        <v>0</v>
      </c>
    </row>
    <row r="45" spans="1:27" s="354" customFormat="1" ht="49.5" customHeight="1">
      <c r="A45" s="413">
        <v>29</v>
      </c>
      <c r="B45" s="426" t="e">
        <f>'Chấm công KT'!#REF!</f>
        <v>#REF!</v>
      </c>
      <c r="C45" s="426" t="str">
        <f>TONGHOPCONGDOI!C121</f>
        <v>T. Xi Nuôn</v>
      </c>
      <c r="D45" s="426"/>
      <c r="E45" s="427"/>
      <c r="F45" s="426">
        <f t="shared" si="2"/>
        <v>0</v>
      </c>
      <c r="G45" s="426">
        <f>VLOOKUP(C45,TONGHOPCONGDOI!C121:AD157,16,0)</f>
        <v>1206</v>
      </c>
      <c r="H45" s="426">
        <f>VLOOKUP(C45,TONGHOPCONGDOI!C121:AD157,17,0)</f>
        <v>0</v>
      </c>
      <c r="I45" s="426"/>
      <c r="J45" s="942">
        <f t="shared" si="0"/>
        <v>612.46460308061648</v>
      </c>
      <c r="K45" s="413" t="str">
        <f>VLOOKUP(C45,'BTH mủ tạp'!C127:AL160,36,0)</f>
        <v>B</v>
      </c>
      <c r="L45" s="1294">
        <f t="shared" si="3"/>
        <v>2143028</v>
      </c>
      <c r="M45" s="426">
        <f>VLOOKUP(C45,TONGHOPCONGDOI!$C$93:$AD$156,20,0)</f>
        <v>20</v>
      </c>
      <c r="N45" s="426">
        <f>VLOOKUP(C45,TONGHOPCONGDOI!$C$93:$AD$156,21,0)</f>
        <v>1</v>
      </c>
      <c r="O45" s="426">
        <f>VLOOKUP(C45,TONGHOPCONGDOI!$C$93:$AD$156,22,0)</f>
        <v>0</v>
      </c>
      <c r="P45" s="426">
        <f>VLOOKUP(C45,TONGHOPCONGDOI!$C$93:$AD$156,23,0)</f>
        <v>0</v>
      </c>
      <c r="Q45" s="426">
        <f>VLOOKUP(C45,TONGHOPCONGDOI!$C$93:$AD$156,24,0)</f>
        <v>0</v>
      </c>
      <c r="R45" s="426">
        <f>VLOOKUP(C45,TONGHOPCONGDOI!$C$93:$AD$156,25,0)</f>
        <v>0</v>
      </c>
      <c r="S45" s="426">
        <f t="shared" si="4"/>
        <v>20</v>
      </c>
      <c r="T45" s="415"/>
      <c r="U45" s="415"/>
      <c r="V45" s="415"/>
      <c r="W45" s="1029">
        <f t="shared" si="5"/>
        <v>1167495</v>
      </c>
      <c r="X45" s="426">
        <f t="shared" si="1"/>
        <v>3310523</v>
      </c>
      <c r="Y45" s="426"/>
      <c r="Z45" s="426">
        <f>VLOOKUP(C45,'CNKT '!$C$98:$Z$161,24,0)</f>
        <v>3310523</v>
      </c>
      <c r="AA45" s="354">
        <f t="shared" si="6"/>
        <v>0</v>
      </c>
    </row>
    <row r="46" spans="1:27" s="354" customFormat="1" ht="49.5" customHeight="1">
      <c r="A46" s="413">
        <v>30</v>
      </c>
      <c r="B46" s="426" t="e">
        <f>'Chấm công KT'!#REF!</f>
        <v>#REF!</v>
      </c>
      <c r="C46" s="426" t="str">
        <f>TONGHOPCONGDOI!C122</f>
        <v>N. Ốc</v>
      </c>
      <c r="D46" s="426"/>
      <c r="E46" s="427"/>
      <c r="F46" s="426">
        <f t="shared" si="2"/>
        <v>0</v>
      </c>
      <c r="G46" s="426">
        <f>VLOOKUP(C46,TONGHOPCONGDOI!C122:AD157,16,0)</f>
        <v>217</v>
      </c>
      <c r="H46" s="426">
        <f>VLOOKUP(C46,TONGHOPCONGDOI!C122:AD157,17,0)</f>
        <v>0</v>
      </c>
      <c r="I46" s="426"/>
      <c r="J46" s="942">
        <f t="shared" si="0"/>
        <v>110.2030007201441</v>
      </c>
      <c r="K46" s="413" t="str">
        <f>VLOOKUP(C46,'BTH mủ tạp'!C128:AL160,36,0)</f>
        <v>A</v>
      </c>
      <c r="L46" s="1294">
        <f t="shared" si="3"/>
        <v>405548</v>
      </c>
      <c r="M46" s="426">
        <f>VLOOKUP(C46,TONGHOPCONGDOI!$C$93:$AD$156,20,0)</f>
        <v>17</v>
      </c>
      <c r="N46" s="426">
        <f>VLOOKUP(C46,TONGHOPCONGDOI!$C$93:$AD$156,21,0)</f>
        <v>3</v>
      </c>
      <c r="O46" s="426">
        <f>VLOOKUP(C46,TONGHOPCONGDOI!$C$93:$AD$156,22,0)</f>
        <v>0</v>
      </c>
      <c r="P46" s="426">
        <f>VLOOKUP(C46,TONGHOPCONGDOI!$C$93:$AD$156,23,0)</f>
        <v>0</v>
      </c>
      <c r="Q46" s="426">
        <f>VLOOKUP(C46,TONGHOPCONGDOI!$C$93:$AD$156,24,0)</f>
        <v>0</v>
      </c>
      <c r="R46" s="426">
        <f>VLOOKUP(C46,TONGHOPCONGDOI!$C$93:$AD$156,25,0)</f>
        <v>0</v>
      </c>
      <c r="S46" s="426">
        <f t="shared" si="4"/>
        <v>20</v>
      </c>
      <c r="T46" s="415"/>
      <c r="U46" s="415"/>
      <c r="V46" s="415"/>
      <c r="W46" s="1029">
        <f t="shared" si="5"/>
        <v>1177853</v>
      </c>
      <c r="X46" s="426">
        <f t="shared" si="1"/>
        <v>1583401</v>
      </c>
      <c r="Y46" s="426"/>
      <c r="Z46" s="426">
        <f>VLOOKUP(C46,'CNKT '!$C$98:$Z$161,24,0)</f>
        <v>1583401</v>
      </c>
      <c r="AA46" s="354">
        <f t="shared" si="6"/>
        <v>0</v>
      </c>
    </row>
    <row r="47" spans="1:27" s="354" customFormat="1" ht="49.5" customHeight="1">
      <c r="A47" s="413">
        <v>31</v>
      </c>
      <c r="B47" s="426" t="e">
        <f>'Chấm công KT'!#REF!</f>
        <v>#REF!</v>
      </c>
      <c r="C47" s="426" t="str">
        <f>TONGHOPCONGDOI!C123</f>
        <v>T. Văn Nô</v>
      </c>
      <c r="D47" s="426"/>
      <c r="E47" s="427"/>
      <c r="F47" s="426">
        <f t="shared" si="2"/>
        <v>0</v>
      </c>
      <c r="G47" s="426">
        <f>VLOOKUP(C47,TONGHOPCONGDOI!C123:AD157,16,0)</f>
        <v>2286</v>
      </c>
      <c r="H47" s="426">
        <f>VLOOKUP(C47,TONGHOPCONGDOI!C123:AD157,17,0)</f>
        <v>0</v>
      </c>
      <c r="I47" s="426"/>
      <c r="J47" s="942">
        <f t="shared" si="0"/>
        <v>1160.9403670334075</v>
      </c>
      <c r="K47" s="413" t="str">
        <f>VLOOKUP(C47,'BTH mủ tạp'!C129:AL160,36,0)</f>
        <v>A</v>
      </c>
      <c r="L47" s="1294">
        <f t="shared" si="3"/>
        <v>4272270</v>
      </c>
      <c r="M47" s="426">
        <f>VLOOKUP(C47,TONGHOPCONGDOI!$C$93:$AD$156,20,0)</f>
        <v>27</v>
      </c>
      <c r="N47" s="426">
        <f>VLOOKUP(C47,TONGHOPCONGDOI!$C$93:$AD$156,21,0)</f>
        <v>4</v>
      </c>
      <c r="O47" s="426">
        <f>VLOOKUP(C47,TONGHOPCONGDOI!$C$93:$AD$156,22,0)</f>
        <v>0</v>
      </c>
      <c r="P47" s="426">
        <f>VLOOKUP(C47,TONGHOPCONGDOI!$C$93:$AD$156,23,0)</f>
        <v>0</v>
      </c>
      <c r="Q47" s="426">
        <f>VLOOKUP(C47,TONGHOPCONGDOI!$C$93:$AD$156,24,0)</f>
        <v>0</v>
      </c>
      <c r="R47" s="426">
        <f>VLOOKUP(C47,TONGHOPCONGDOI!$C$93:$AD$156,25,0)</f>
        <v>0</v>
      </c>
      <c r="S47" s="426">
        <f t="shared" si="4"/>
        <v>20</v>
      </c>
      <c r="T47" s="415"/>
      <c r="U47" s="415"/>
      <c r="V47" s="415"/>
      <c r="W47" s="1029">
        <f t="shared" si="5"/>
        <v>1537293</v>
      </c>
      <c r="X47" s="426">
        <f t="shared" si="1"/>
        <v>5809563</v>
      </c>
      <c r="Y47" s="426"/>
      <c r="Z47" s="426">
        <f>VLOOKUP(C47,'CNKT '!$C$98:$Z$161,24,0)</f>
        <v>5809563</v>
      </c>
      <c r="AA47" s="354">
        <f t="shared" si="6"/>
        <v>0</v>
      </c>
    </row>
    <row r="48" spans="1:27" s="354" customFormat="1" ht="49.5" customHeight="1">
      <c r="A48" s="413">
        <v>32</v>
      </c>
      <c r="B48" s="426" t="e">
        <f>'Chấm công KT'!#REF!</f>
        <v>#REF!</v>
      </c>
      <c r="C48" s="426" t="str">
        <f>TONGHOPCONGDOI!C124</f>
        <v>N. Văn Ta</v>
      </c>
      <c r="D48" s="426"/>
      <c r="E48" s="427"/>
      <c r="F48" s="426">
        <f t="shared" si="2"/>
        <v>0</v>
      </c>
      <c r="G48" s="426">
        <f>VLOOKUP(C48,TONGHOPCONGDOI!C124:AD157,16,0)</f>
        <v>1612</v>
      </c>
      <c r="H48" s="426">
        <f>VLOOKUP(C48,TONGHOPCONGDOI!C124:AD157,17,0)</f>
        <v>0</v>
      </c>
      <c r="I48" s="426"/>
      <c r="J48" s="942">
        <f t="shared" si="0"/>
        <v>818.65086249249907</v>
      </c>
      <c r="K48" s="413" t="str">
        <f>VLOOKUP(C48,'BTH mủ tạp'!C130:AL160,36,0)</f>
        <v>A</v>
      </c>
      <c r="L48" s="1294">
        <f t="shared" si="3"/>
        <v>3012642</v>
      </c>
      <c r="M48" s="426">
        <f>VLOOKUP(C48,TONGHOPCONGDOI!$C$93:$AD$156,20,0)</f>
        <v>25</v>
      </c>
      <c r="N48" s="426">
        <f>VLOOKUP(C48,TONGHOPCONGDOI!$C$93:$AD$156,21,0)</f>
        <v>4</v>
      </c>
      <c r="O48" s="426">
        <f>VLOOKUP(C48,TONGHOPCONGDOI!$C$93:$AD$156,22,0)</f>
        <v>0</v>
      </c>
      <c r="P48" s="426">
        <f>VLOOKUP(C48,TONGHOPCONGDOI!$C$93:$AD$156,23,0)</f>
        <v>0</v>
      </c>
      <c r="Q48" s="426">
        <f>VLOOKUP(C48,TONGHOPCONGDOI!$C$93:$AD$156,24,0)</f>
        <v>0</v>
      </c>
      <c r="R48" s="426">
        <f>VLOOKUP(C48,TONGHOPCONGDOI!$C$93:$AD$156,25,0)</f>
        <v>0</v>
      </c>
      <c r="S48" s="426">
        <f t="shared" si="4"/>
        <v>20</v>
      </c>
      <c r="T48" s="415"/>
      <c r="U48" s="415"/>
      <c r="V48" s="415"/>
      <c r="W48" s="1029">
        <f t="shared" si="5"/>
        <v>1475683</v>
      </c>
      <c r="X48" s="426">
        <f t="shared" si="1"/>
        <v>4488325</v>
      </c>
      <c r="Y48" s="426"/>
      <c r="Z48" s="426">
        <f>VLOOKUP(C48,'CNKT '!$C$98:$Z$161,24,0)</f>
        <v>4488325</v>
      </c>
      <c r="AA48" s="354">
        <f t="shared" si="6"/>
        <v>0</v>
      </c>
    </row>
    <row r="49" spans="1:27" s="354" customFormat="1" ht="49.5" customHeight="1">
      <c r="A49" s="413">
        <v>33</v>
      </c>
      <c r="B49" s="426"/>
      <c r="C49" s="426" t="str">
        <f>TONGHOPCONGDOI!C125</f>
        <v>T. Thon</v>
      </c>
      <c r="D49" s="426"/>
      <c r="E49" s="427"/>
      <c r="F49" s="426">
        <f t="shared" si="2"/>
        <v>0</v>
      </c>
      <c r="G49" s="426">
        <f>VLOOKUP(C49,TONGHOPCONGDOI!C125:AD157,16,0)</f>
        <v>1797</v>
      </c>
      <c r="H49" s="426">
        <f>VLOOKUP(C49,TONGHOPCONGDOI!C125:AD157,17,0)</f>
        <v>0</v>
      </c>
      <c r="I49" s="426"/>
      <c r="J49" s="942">
        <f t="shared" ref="J49:J78" si="7">$AB$11/$AB$10*G49+H49*$AB$12+I49*$AB$13</f>
        <v>912.60272946589373</v>
      </c>
      <c r="K49" s="413" t="str">
        <f>VLOOKUP(C49,'BTH mủ tạp'!C131:AL160,36,0)</f>
        <v>A</v>
      </c>
      <c r="L49" s="1294">
        <f t="shared" si="3"/>
        <v>3358385</v>
      </c>
      <c r="M49" s="426">
        <f>VLOOKUP(C49,TONGHOPCONGDOI!$C$93:$AD$156,20,0)</f>
        <v>25</v>
      </c>
      <c r="N49" s="426">
        <f>VLOOKUP(C49,TONGHOPCONGDOI!$C$93:$AD$156,21,0)</f>
        <v>3</v>
      </c>
      <c r="O49" s="426">
        <f>VLOOKUP(C49,TONGHOPCONGDOI!$C$93:$AD$156,22,0)</f>
        <v>0</v>
      </c>
      <c r="P49" s="426">
        <f>VLOOKUP(C49,TONGHOPCONGDOI!$C$93:$AD$156,23,0)</f>
        <v>0</v>
      </c>
      <c r="Q49" s="426">
        <f>VLOOKUP(C49,TONGHOPCONGDOI!$C$93:$AD$156,24,0)</f>
        <v>0</v>
      </c>
      <c r="R49" s="426">
        <f>VLOOKUP(C49,TONGHOPCONGDOI!$C$93:$AD$156,25,0)</f>
        <v>0</v>
      </c>
      <c r="S49" s="426">
        <f t="shared" si="4"/>
        <v>20</v>
      </c>
      <c r="T49" s="415"/>
      <c r="U49" s="415"/>
      <c r="V49" s="415"/>
      <c r="W49" s="1029">
        <f t="shared" si="5"/>
        <v>1424296</v>
      </c>
      <c r="X49" s="426">
        <f t="shared" ref="X49:X80" si="8">F49+L49+W49</f>
        <v>4782681</v>
      </c>
      <c r="Y49" s="426"/>
      <c r="Z49" s="426">
        <f>VLOOKUP(C49,'CNKT '!$C$98:$Z$161,24,0)</f>
        <v>4782681</v>
      </c>
      <c r="AA49" s="354">
        <f t="shared" si="6"/>
        <v>0</v>
      </c>
    </row>
    <row r="50" spans="1:27" s="354" customFormat="1" ht="49.5" customHeight="1">
      <c r="A50" s="413">
        <v>34</v>
      </c>
      <c r="B50" s="426" t="e">
        <f>'Chấm công KT'!#REF!</f>
        <v>#REF!</v>
      </c>
      <c r="C50" s="426" t="str">
        <f>TONGHOPCONGDOI!C126</f>
        <v>Bun Thon</v>
      </c>
      <c r="D50" s="426"/>
      <c r="E50" s="427"/>
      <c r="F50" s="426">
        <f t="shared" si="2"/>
        <v>0</v>
      </c>
      <c r="G50" s="426">
        <f>VLOOKUP(C50,TONGHOPCONGDOI!C126:AD157,16,0)</f>
        <v>1723</v>
      </c>
      <c r="H50" s="426">
        <f>VLOOKUP(C50,TONGHOPCONGDOI!C126:AD157,17,0)</f>
        <v>0</v>
      </c>
      <c r="I50" s="426"/>
      <c r="J50" s="942">
        <f t="shared" si="7"/>
        <v>875.02198267653591</v>
      </c>
      <c r="K50" s="413" t="str">
        <f>VLOOKUP(C50,'BTH mủ tạp'!C132:AL160,36,0)</f>
        <v>A</v>
      </c>
      <c r="L50" s="1294">
        <f t="shared" si="3"/>
        <v>3220088</v>
      </c>
      <c r="M50" s="426">
        <f>VLOOKUP(C50,TONGHOPCONGDOI!$C$93:$AD$156,20,0)</f>
        <v>27</v>
      </c>
      <c r="N50" s="426">
        <f>VLOOKUP(C50,TONGHOPCONGDOI!$C$93:$AD$156,21,0)</f>
        <v>4</v>
      </c>
      <c r="O50" s="426">
        <f>VLOOKUP(C50,TONGHOPCONGDOI!$C$93:$AD$156,22,0)</f>
        <v>0</v>
      </c>
      <c r="P50" s="426">
        <f>VLOOKUP(C50,TONGHOPCONGDOI!$C$93:$AD$156,23,0)</f>
        <v>0</v>
      </c>
      <c r="Q50" s="426">
        <f>VLOOKUP(C50,TONGHOPCONGDOI!$C$93:$AD$156,24,0)</f>
        <v>0</v>
      </c>
      <c r="R50" s="426">
        <f>VLOOKUP(C50,TONGHOPCONGDOI!$C$93:$AD$156,25,0)</f>
        <v>0</v>
      </c>
      <c r="S50" s="426">
        <f t="shared" si="4"/>
        <v>20</v>
      </c>
      <c r="T50" s="415"/>
      <c r="U50" s="415"/>
      <c r="V50" s="415"/>
      <c r="W50" s="1029">
        <f t="shared" si="5"/>
        <v>1537293</v>
      </c>
      <c r="X50" s="426">
        <f t="shared" si="8"/>
        <v>4757381</v>
      </c>
      <c r="Y50" s="426"/>
      <c r="Z50" s="426">
        <f>VLOOKUP(C50,'CNKT '!$C$98:$Z$161,24,0)</f>
        <v>4757381</v>
      </c>
      <c r="AA50" s="354">
        <f t="shared" si="6"/>
        <v>0</v>
      </c>
    </row>
    <row r="51" spans="1:27" s="354" customFormat="1" ht="49.5" customHeight="1">
      <c r="A51" s="413">
        <v>35</v>
      </c>
      <c r="B51" s="426"/>
      <c r="C51" s="426" t="str">
        <f>TONGHOPCONGDOI!C127</f>
        <v>Lăm Thong</v>
      </c>
      <c r="D51" s="426"/>
      <c r="E51" s="427"/>
      <c r="F51" s="426">
        <f t="shared" si="2"/>
        <v>0</v>
      </c>
      <c r="G51" s="426">
        <f>VLOOKUP(C51,TONGHOPCONGDOI!C127:AD157,16,0)</f>
        <v>1814</v>
      </c>
      <c r="H51" s="426">
        <f>VLOOKUP(C51,TONGHOPCONGDOI!C127:AD157,17,0)</f>
        <v>0</v>
      </c>
      <c r="I51" s="426"/>
      <c r="J51" s="942">
        <f t="shared" si="7"/>
        <v>921.23614426885433</v>
      </c>
      <c r="K51" s="413" t="str">
        <f>VLOOKUP(C51,'BTH mủ tạp'!C133:AL160,36,0)</f>
        <v>A</v>
      </c>
      <c r="L51" s="1294">
        <f t="shared" si="3"/>
        <v>3390156</v>
      </c>
      <c r="M51" s="426">
        <f>VLOOKUP(C51,TONGHOPCONGDOI!$C$93:$AD$156,20,0)</f>
        <v>27</v>
      </c>
      <c r="N51" s="426">
        <f>VLOOKUP(C51,TONGHOPCONGDOI!$C$93:$AD$156,21,0)</f>
        <v>4</v>
      </c>
      <c r="O51" s="426">
        <f>VLOOKUP(C51,TONGHOPCONGDOI!$C$93:$AD$156,22,0)</f>
        <v>0</v>
      </c>
      <c r="P51" s="426">
        <f>VLOOKUP(C51,TONGHOPCONGDOI!$C$93:$AD$156,23,0)</f>
        <v>0</v>
      </c>
      <c r="Q51" s="426">
        <f>VLOOKUP(C51,TONGHOPCONGDOI!$C$93:$AD$156,24,0)</f>
        <v>0</v>
      </c>
      <c r="R51" s="426">
        <f>VLOOKUP(C51,TONGHOPCONGDOI!$C$93:$AD$156,25,0)</f>
        <v>0</v>
      </c>
      <c r="S51" s="426">
        <f t="shared" si="4"/>
        <v>20</v>
      </c>
      <c r="T51" s="415"/>
      <c r="U51" s="415"/>
      <c r="V51" s="415"/>
      <c r="W51" s="1029">
        <f t="shared" si="5"/>
        <v>1537293</v>
      </c>
      <c r="X51" s="426">
        <f t="shared" si="8"/>
        <v>4927449</v>
      </c>
      <c r="Y51" s="426"/>
      <c r="Z51" s="426">
        <f>VLOOKUP(C51,'CNKT '!$C$98:$Z$161,24,0)</f>
        <v>4927449</v>
      </c>
      <c r="AA51" s="354">
        <f t="shared" si="6"/>
        <v>0</v>
      </c>
    </row>
    <row r="52" spans="1:27" s="354" customFormat="1" ht="49.5" customHeight="1">
      <c r="A52" s="413">
        <v>36</v>
      </c>
      <c r="B52" s="426" t="e">
        <f>'Chấm công KT'!#REF!</f>
        <v>#REF!</v>
      </c>
      <c r="C52" s="426" t="str">
        <f>TONGHOPCONGDOI!C128</f>
        <v>N. Xeo Khăm</v>
      </c>
      <c r="D52" s="426"/>
      <c r="E52" s="427"/>
      <c r="F52" s="426">
        <f t="shared" si="2"/>
        <v>0</v>
      </c>
      <c r="G52" s="426">
        <f>VLOOKUP(C52,TONGHOPCONGDOI!C128:AD157,16,0)</f>
        <v>1446</v>
      </c>
      <c r="H52" s="426">
        <f>VLOOKUP(C52,TONGHOPCONGDOI!C128:AD157,17,0)</f>
        <v>0</v>
      </c>
      <c r="I52" s="426"/>
      <c r="J52" s="942">
        <f t="shared" si="7"/>
        <v>734.34810618123674</v>
      </c>
      <c r="K52" s="413" t="str">
        <f>VLOOKUP(C52,'BTH mủ tạp'!C134:AL160,36,0)</f>
        <v>A</v>
      </c>
      <c r="L52" s="1294">
        <f t="shared" si="3"/>
        <v>2702407</v>
      </c>
      <c r="M52" s="426">
        <f>VLOOKUP(C52,TONGHOPCONGDOI!$C$93:$AD$156,20,0)</f>
        <v>20</v>
      </c>
      <c r="N52" s="426">
        <f>VLOOKUP(C52,TONGHOPCONGDOI!$C$93:$AD$156,21,0)</f>
        <v>2</v>
      </c>
      <c r="O52" s="426">
        <f>VLOOKUP(C52,TONGHOPCONGDOI!$C$93:$AD$156,22,0)</f>
        <v>0</v>
      </c>
      <c r="P52" s="426">
        <f>VLOOKUP(C52,TONGHOPCONGDOI!$C$93:$AD$156,23,0)</f>
        <v>0</v>
      </c>
      <c r="Q52" s="426">
        <f>VLOOKUP(C52,TONGHOPCONGDOI!$C$93:$AD$156,24,0)</f>
        <v>0</v>
      </c>
      <c r="R52" s="426">
        <f>VLOOKUP(C52,TONGHOPCONGDOI!$C$93:$AD$156,25,0)</f>
        <v>0</v>
      </c>
      <c r="S52" s="426">
        <f t="shared" si="4"/>
        <v>20</v>
      </c>
      <c r="T52" s="415"/>
      <c r="U52" s="415"/>
      <c r="V52" s="415"/>
      <c r="W52" s="1029">
        <f t="shared" si="5"/>
        <v>1218882</v>
      </c>
      <c r="X52" s="426">
        <f t="shared" si="8"/>
        <v>3921289</v>
      </c>
      <c r="Y52" s="426"/>
      <c r="Z52" s="426">
        <f>VLOOKUP(C52,'CNKT '!$C$98:$Z$161,24,0)</f>
        <v>3921289</v>
      </c>
      <c r="AA52" s="354">
        <f t="shared" si="6"/>
        <v>0</v>
      </c>
    </row>
    <row r="53" spans="1:27" s="354" customFormat="1" ht="49.5" customHeight="1">
      <c r="A53" s="413">
        <v>37</v>
      </c>
      <c r="B53" s="426"/>
      <c r="C53" s="426" t="str">
        <f>TONGHOPCONGDOI!C129</f>
        <v>T. Khăm...</v>
      </c>
      <c r="D53" s="426"/>
      <c r="E53" s="427"/>
      <c r="F53" s="426">
        <f t="shared" si="2"/>
        <v>0</v>
      </c>
      <c r="G53" s="426">
        <f>VLOOKUP(C53,TONGHOPCONGDOI!C129:AD157,16,0)</f>
        <v>2289</v>
      </c>
      <c r="H53" s="426">
        <f>VLOOKUP(C53,TONGHOPCONGDOI!C129:AD157,17,0)</f>
        <v>0</v>
      </c>
      <c r="I53" s="426"/>
      <c r="J53" s="942">
        <f t="shared" si="7"/>
        <v>1162.4639108221652</v>
      </c>
      <c r="K53" s="413" t="str">
        <f>VLOOKUP(C53,'BTH mủ tạp'!C135:AL160,36,0)</f>
        <v>A</v>
      </c>
      <c r="L53" s="1294">
        <f t="shared" si="3"/>
        <v>4277876</v>
      </c>
      <c r="M53" s="426">
        <f>VLOOKUP(C53,TONGHOPCONGDOI!$C$93:$AD$156,20,0)</f>
        <v>27</v>
      </c>
      <c r="N53" s="426">
        <f>VLOOKUP(C53,TONGHOPCONGDOI!$C$93:$AD$156,21,0)</f>
        <v>4</v>
      </c>
      <c r="O53" s="426">
        <f>VLOOKUP(C53,TONGHOPCONGDOI!$C$93:$AD$156,22,0)</f>
        <v>0</v>
      </c>
      <c r="P53" s="426">
        <f>VLOOKUP(C53,TONGHOPCONGDOI!$C$93:$AD$156,23,0)</f>
        <v>0</v>
      </c>
      <c r="Q53" s="426">
        <f>VLOOKUP(C53,TONGHOPCONGDOI!$C$93:$AD$156,24,0)</f>
        <v>0</v>
      </c>
      <c r="R53" s="426">
        <f>VLOOKUP(C53,TONGHOPCONGDOI!$C$93:$AD$156,25,0)</f>
        <v>0</v>
      </c>
      <c r="S53" s="426">
        <f t="shared" si="4"/>
        <v>20</v>
      </c>
      <c r="T53" s="415"/>
      <c r="U53" s="415"/>
      <c r="V53" s="415"/>
      <c r="W53" s="1029">
        <f t="shared" si="5"/>
        <v>1537293</v>
      </c>
      <c r="X53" s="426">
        <f t="shared" si="8"/>
        <v>5815169</v>
      </c>
      <c r="Y53" s="426"/>
      <c r="Z53" s="426">
        <f>VLOOKUP(C53,'CNKT '!$C$98:$Z$161,24,0)</f>
        <v>5815169</v>
      </c>
      <c r="AA53" s="354">
        <f t="shared" si="6"/>
        <v>0</v>
      </c>
    </row>
    <row r="54" spans="1:27" s="354" customFormat="1" ht="49.5" customHeight="1">
      <c r="A54" s="413">
        <v>38</v>
      </c>
      <c r="B54" s="426" t="e">
        <f>'Chấm công KT'!#REF!</f>
        <v>#REF!</v>
      </c>
      <c r="C54" s="426" t="str">
        <f>TONGHOPCONGDOI!C130</f>
        <v>N. Túc</v>
      </c>
      <c r="D54" s="426"/>
      <c r="E54" s="427"/>
      <c r="F54" s="426">
        <f t="shared" si="2"/>
        <v>0</v>
      </c>
      <c r="G54" s="426">
        <f>VLOOKUP(C54,TONGHOPCONGDOI!C130:AD157,16,0)</f>
        <v>2339</v>
      </c>
      <c r="H54" s="426">
        <f>VLOOKUP(C54,TONGHOPCONGDOI!C130:AD157,17,0)</f>
        <v>0</v>
      </c>
      <c r="I54" s="426"/>
      <c r="J54" s="942">
        <f t="shared" si="7"/>
        <v>1187.8563073014611</v>
      </c>
      <c r="K54" s="413" t="str">
        <f>VLOOKUP(C54,'BTH mủ tạp'!C136:AL160,36,0)</f>
        <v>A</v>
      </c>
      <c r="L54" s="1294">
        <f t="shared" si="3"/>
        <v>4371321</v>
      </c>
      <c r="M54" s="426">
        <f>VLOOKUP(C54,TONGHOPCONGDOI!$C$93:$AD$156,20,0)</f>
        <v>27</v>
      </c>
      <c r="N54" s="426">
        <f>VLOOKUP(C54,TONGHOPCONGDOI!$C$93:$AD$156,21,0)</f>
        <v>4</v>
      </c>
      <c r="O54" s="426">
        <f>VLOOKUP(C54,TONGHOPCONGDOI!$C$93:$AD$156,22,0)</f>
        <v>0</v>
      </c>
      <c r="P54" s="426">
        <f>VLOOKUP(C54,TONGHOPCONGDOI!$C$93:$AD$156,23,0)</f>
        <v>0</v>
      </c>
      <c r="Q54" s="426">
        <f>VLOOKUP(C54,TONGHOPCONGDOI!$C$93:$AD$156,24,0)</f>
        <v>0</v>
      </c>
      <c r="R54" s="426">
        <f>VLOOKUP(C54,TONGHOPCONGDOI!$C$93:$AD$156,25,0)</f>
        <v>0</v>
      </c>
      <c r="S54" s="426">
        <f t="shared" si="4"/>
        <v>20</v>
      </c>
      <c r="T54" s="415"/>
      <c r="U54" s="415"/>
      <c r="V54" s="415"/>
      <c r="W54" s="1029">
        <f t="shared" si="5"/>
        <v>1537293</v>
      </c>
      <c r="X54" s="426">
        <f t="shared" si="8"/>
        <v>5908614</v>
      </c>
      <c r="Y54" s="426"/>
      <c r="Z54" s="426">
        <f>VLOOKUP(C54,'CNKT '!$C$98:$Z$161,24,0)</f>
        <v>5908614</v>
      </c>
      <c r="AA54" s="354">
        <f t="shared" si="6"/>
        <v>0</v>
      </c>
    </row>
    <row r="55" spans="1:27" s="354" customFormat="1" ht="49.5" customHeight="1">
      <c r="A55" s="413">
        <v>39</v>
      </c>
      <c r="B55" s="426"/>
      <c r="C55" s="426" t="str">
        <f>TONGHOPCONGDOI!C131</f>
        <v>N. Pheng</v>
      </c>
      <c r="D55" s="426"/>
      <c r="E55" s="427"/>
      <c r="F55" s="426">
        <f t="shared" si="2"/>
        <v>0</v>
      </c>
      <c r="G55" s="426">
        <f>VLOOKUP(C55,TONGHOPCONGDOI!C131:AD157,16,0)</f>
        <v>2198</v>
      </c>
      <c r="H55" s="426">
        <f>VLOOKUP(C55,TONGHOPCONGDOI!C131:AD157,17,0)</f>
        <v>0</v>
      </c>
      <c r="I55" s="426"/>
      <c r="J55" s="942">
        <f t="shared" si="7"/>
        <v>1116.2497492298467</v>
      </c>
      <c r="K55" s="413" t="str">
        <f>VLOOKUP(C55,'BTH mủ tạp'!C137:AL160,36,0)</f>
        <v>A</v>
      </c>
      <c r="L55" s="1294">
        <f t="shared" si="3"/>
        <v>4107808</v>
      </c>
      <c r="M55" s="426">
        <f>VLOOKUP(C55,TONGHOPCONGDOI!$C$93:$AD$156,20,0)</f>
        <v>27</v>
      </c>
      <c r="N55" s="426">
        <f>VLOOKUP(C55,TONGHOPCONGDOI!$C$93:$AD$156,21,0)</f>
        <v>4</v>
      </c>
      <c r="O55" s="426">
        <f>VLOOKUP(C55,TONGHOPCONGDOI!$C$93:$AD$156,22,0)</f>
        <v>0</v>
      </c>
      <c r="P55" s="426">
        <f>VLOOKUP(C55,TONGHOPCONGDOI!$C$93:$AD$156,23,0)</f>
        <v>0</v>
      </c>
      <c r="Q55" s="426">
        <f>VLOOKUP(C55,TONGHOPCONGDOI!$C$93:$AD$156,24,0)</f>
        <v>0</v>
      </c>
      <c r="R55" s="426">
        <f>VLOOKUP(C55,TONGHOPCONGDOI!$C$93:$AD$156,25,0)</f>
        <v>0</v>
      </c>
      <c r="S55" s="426">
        <f t="shared" si="4"/>
        <v>20</v>
      </c>
      <c r="T55" s="415"/>
      <c r="U55" s="415"/>
      <c r="V55" s="415"/>
      <c r="W55" s="1029">
        <f t="shared" si="5"/>
        <v>1537293</v>
      </c>
      <c r="X55" s="426">
        <f t="shared" si="8"/>
        <v>5645101</v>
      </c>
      <c r="Y55" s="426"/>
      <c r="Z55" s="426">
        <f>VLOOKUP(C55,'CNKT '!$C$98:$Z$161,24,0)</f>
        <v>5645101</v>
      </c>
      <c r="AA55" s="354">
        <f t="shared" si="6"/>
        <v>0</v>
      </c>
    </row>
    <row r="56" spans="1:27" s="354" customFormat="1" ht="49.5" customHeight="1">
      <c r="A56" s="413">
        <v>40</v>
      </c>
      <c r="B56" s="426" t="e">
        <f>'Chấm công KT'!#REF!</f>
        <v>#REF!</v>
      </c>
      <c r="C56" s="426" t="str">
        <f>TONGHOPCONGDOI!C132</f>
        <v>N. Mom</v>
      </c>
      <c r="D56" s="426"/>
      <c r="E56" s="427"/>
      <c r="F56" s="426">
        <f t="shared" si="2"/>
        <v>0</v>
      </c>
      <c r="G56" s="426">
        <f>VLOOKUP(C56,TONGHOPCONGDOI!C132:AD157,16,0)</f>
        <v>2348</v>
      </c>
      <c r="H56" s="426">
        <f>VLOOKUP(C56,TONGHOPCONGDOI!C132:AD157,17,0)</f>
        <v>0</v>
      </c>
      <c r="I56" s="426"/>
      <c r="J56" s="942">
        <f t="shared" si="7"/>
        <v>1192.4269386677342</v>
      </c>
      <c r="K56" s="413" t="str">
        <f>VLOOKUP(C56,'BTH mủ tạp'!C138:AL160,36,0)</f>
        <v>A</v>
      </c>
      <c r="L56" s="1294">
        <f t="shared" si="3"/>
        <v>4388141</v>
      </c>
      <c r="M56" s="426">
        <f>VLOOKUP(C56,TONGHOPCONGDOI!$C$93:$AD$156,20,0)</f>
        <v>27</v>
      </c>
      <c r="N56" s="426">
        <f>VLOOKUP(C56,TONGHOPCONGDOI!$C$93:$AD$156,21,0)</f>
        <v>4</v>
      </c>
      <c r="O56" s="426">
        <f>VLOOKUP(C56,TONGHOPCONGDOI!$C$93:$AD$156,22,0)</f>
        <v>0</v>
      </c>
      <c r="P56" s="426">
        <f>VLOOKUP(C56,TONGHOPCONGDOI!$C$93:$AD$156,23,0)</f>
        <v>0</v>
      </c>
      <c r="Q56" s="426">
        <f>VLOOKUP(C56,TONGHOPCONGDOI!$C$93:$AD$156,24,0)</f>
        <v>0</v>
      </c>
      <c r="R56" s="426">
        <f>VLOOKUP(C56,TONGHOPCONGDOI!$C$93:$AD$156,25,0)</f>
        <v>0</v>
      </c>
      <c r="S56" s="426">
        <f t="shared" si="4"/>
        <v>20</v>
      </c>
      <c r="T56" s="415"/>
      <c r="U56" s="415"/>
      <c r="V56" s="415"/>
      <c r="W56" s="1029">
        <f t="shared" si="5"/>
        <v>1537293</v>
      </c>
      <c r="X56" s="426">
        <f t="shared" si="8"/>
        <v>5925434</v>
      </c>
      <c r="Y56" s="426"/>
      <c r="Z56" s="426">
        <f>VLOOKUP(C56,'CNKT '!$C$98:$Z$161,24,0)</f>
        <v>5925434</v>
      </c>
      <c r="AA56" s="354">
        <f t="shared" si="6"/>
        <v>0</v>
      </c>
    </row>
    <row r="57" spans="1:27" s="354" customFormat="1" ht="49.5" customHeight="1">
      <c r="A57" s="413">
        <v>41</v>
      </c>
      <c r="B57" s="426"/>
      <c r="C57" s="426" t="str">
        <f>TONGHOPCONGDOI!C133</f>
        <v>T. Môn</v>
      </c>
      <c r="D57" s="426"/>
      <c r="E57" s="427"/>
      <c r="F57" s="426">
        <f t="shared" si="2"/>
        <v>0</v>
      </c>
      <c r="G57" s="426">
        <f>VLOOKUP(C57,TONGHOPCONGDOI!C133:AD157,16,0)</f>
        <v>1370</v>
      </c>
      <c r="H57" s="426">
        <f>VLOOKUP(C57,TONGHOPCONGDOI!C133:AD157,17,0)</f>
        <v>0</v>
      </c>
      <c r="I57" s="426"/>
      <c r="J57" s="942">
        <f t="shared" si="7"/>
        <v>695.75166353270697</v>
      </c>
      <c r="K57" s="413" t="str">
        <f>VLOOKUP(C57,'BTH mủ tạp'!C139:AL160,36,0)</f>
        <v>B</v>
      </c>
      <c r="L57" s="1294">
        <f t="shared" si="3"/>
        <v>2434452</v>
      </c>
      <c r="M57" s="426">
        <f>VLOOKUP(C57,TONGHOPCONGDOI!$C$93:$AD$156,20,0)</f>
        <v>27</v>
      </c>
      <c r="N57" s="426">
        <f>VLOOKUP(C57,TONGHOPCONGDOI!$C$93:$AD$156,21,0)</f>
        <v>4</v>
      </c>
      <c r="O57" s="426">
        <f>VLOOKUP(C57,TONGHOPCONGDOI!$C$93:$AD$156,22,0)</f>
        <v>0</v>
      </c>
      <c r="P57" s="426">
        <f>VLOOKUP(C57,TONGHOPCONGDOI!$C$93:$AD$156,23,0)</f>
        <v>0</v>
      </c>
      <c r="Q57" s="426">
        <f>VLOOKUP(C57,TONGHOPCONGDOI!$C$93:$AD$156,24,0)</f>
        <v>0</v>
      </c>
      <c r="R57" s="426">
        <f>VLOOKUP(C57,TONGHOPCONGDOI!$C$93:$AD$156,25,0)</f>
        <v>0</v>
      </c>
      <c r="S57" s="426">
        <f t="shared" si="4"/>
        <v>20</v>
      </c>
      <c r="T57" s="415"/>
      <c r="U57" s="415"/>
      <c r="V57" s="415"/>
      <c r="W57" s="1029">
        <f t="shared" si="5"/>
        <v>1537293</v>
      </c>
      <c r="X57" s="426">
        <f t="shared" si="8"/>
        <v>3971745</v>
      </c>
      <c r="Y57" s="426"/>
      <c r="Z57" s="426">
        <f>VLOOKUP(C57,'CNKT '!$C$98:$Z$161,24,0)</f>
        <v>3971745</v>
      </c>
      <c r="AA57" s="354">
        <f t="shared" si="6"/>
        <v>0</v>
      </c>
    </row>
    <row r="58" spans="1:27" s="354" customFormat="1" ht="49.5" customHeight="1">
      <c r="A58" s="413">
        <v>42</v>
      </c>
      <c r="B58" s="426" t="e">
        <f>'Chấm công KT'!#REF!</f>
        <v>#REF!</v>
      </c>
      <c r="C58" s="426" t="str">
        <f>TONGHOPCONGDOI!C134</f>
        <v>Khăn Hạ</v>
      </c>
      <c r="D58" s="426"/>
      <c r="E58" s="427"/>
      <c r="F58" s="426">
        <f t="shared" si="2"/>
        <v>0</v>
      </c>
      <c r="G58" s="426">
        <f>VLOOKUP(C58,TONGHOPCONGDOI!C134:AD157,16,0)</f>
        <v>1122</v>
      </c>
      <c r="H58" s="426">
        <f>VLOOKUP(C58,TONGHOPCONGDOI!C134:AD157,17,0)</f>
        <v>0</v>
      </c>
      <c r="I58" s="426"/>
      <c r="J58" s="942">
        <f t="shared" si="7"/>
        <v>569.80537699539946</v>
      </c>
      <c r="K58" s="413" t="str">
        <f>VLOOKUP(C58,'BTH mủ tạp'!C140:AL160,36,0)</f>
        <v>B</v>
      </c>
      <c r="L58" s="1294">
        <f t="shared" si="3"/>
        <v>1993763</v>
      </c>
      <c r="M58" s="426">
        <f>VLOOKUP(C58,TONGHOPCONGDOI!$C$93:$AD$156,20,0)</f>
        <v>27</v>
      </c>
      <c r="N58" s="426">
        <f>VLOOKUP(C58,TONGHOPCONGDOI!$C$93:$AD$156,21,0)</f>
        <v>4</v>
      </c>
      <c r="O58" s="426">
        <f>VLOOKUP(C58,TONGHOPCONGDOI!$C$93:$AD$156,22,0)</f>
        <v>0</v>
      </c>
      <c r="P58" s="426">
        <f>VLOOKUP(C58,TONGHOPCONGDOI!$C$93:$AD$156,23,0)</f>
        <v>0</v>
      </c>
      <c r="Q58" s="426">
        <f>VLOOKUP(C58,TONGHOPCONGDOI!$C$93:$AD$156,24,0)</f>
        <v>0</v>
      </c>
      <c r="R58" s="426">
        <f>VLOOKUP(C58,TONGHOPCONGDOI!$C$93:$AD$156,25,0)</f>
        <v>0</v>
      </c>
      <c r="S58" s="426">
        <f t="shared" si="4"/>
        <v>20</v>
      </c>
      <c r="T58" s="415"/>
      <c r="U58" s="415"/>
      <c r="V58" s="415"/>
      <c r="W58" s="1029">
        <f t="shared" si="5"/>
        <v>1537293</v>
      </c>
      <c r="X58" s="426">
        <f t="shared" si="8"/>
        <v>3531056</v>
      </c>
      <c r="Y58" s="426"/>
      <c r="Z58" s="426">
        <f>VLOOKUP(C58,'CNKT '!$C$98:$Z$161,24,0)</f>
        <v>3531056</v>
      </c>
      <c r="AA58" s="354">
        <f t="shared" si="6"/>
        <v>0</v>
      </c>
    </row>
    <row r="59" spans="1:27" s="354" customFormat="1" ht="49.5" customHeight="1">
      <c r="A59" s="413">
        <v>43</v>
      </c>
      <c r="B59" s="426" t="e">
        <f>'Chấm công KT'!#REF!</f>
        <v>#REF!</v>
      </c>
      <c r="C59" s="426" t="str">
        <f>TONGHOPCONGDOI!C135</f>
        <v>T. Chăn La .</v>
      </c>
      <c r="D59" s="426"/>
      <c r="E59" s="427"/>
      <c r="F59" s="426">
        <f t="shared" si="2"/>
        <v>0</v>
      </c>
      <c r="G59" s="426">
        <f>VLOOKUP(C59,TONGHOPCONGDOI!C135:AD157,16,0)</f>
        <v>1421</v>
      </c>
      <c r="H59" s="426">
        <f>VLOOKUP(C59,TONGHOPCONGDOI!C135:AD157,17,0)</f>
        <v>0</v>
      </c>
      <c r="I59" s="426"/>
      <c r="J59" s="942">
        <f t="shared" si="7"/>
        <v>721.65190794158877</v>
      </c>
      <c r="K59" s="413" t="str">
        <f>VLOOKUP(C59,'BTH mủ tạp'!C141:AL160,36,0)</f>
        <v>B</v>
      </c>
      <c r="L59" s="1294">
        <f t="shared" si="3"/>
        <v>2525077</v>
      </c>
      <c r="M59" s="426">
        <f>VLOOKUP(C59,TONGHOPCONGDOI!$C$93:$AD$156,20,0)</f>
        <v>27</v>
      </c>
      <c r="N59" s="426">
        <f>VLOOKUP(C59,TONGHOPCONGDOI!$C$93:$AD$156,21,0)</f>
        <v>4</v>
      </c>
      <c r="O59" s="426">
        <f>VLOOKUP(C59,TONGHOPCONGDOI!$C$93:$AD$156,22,0)</f>
        <v>0</v>
      </c>
      <c r="P59" s="426">
        <f>VLOOKUP(C59,TONGHOPCONGDOI!$C$93:$AD$156,23,0)</f>
        <v>0</v>
      </c>
      <c r="Q59" s="426">
        <f>VLOOKUP(C59,TONGHOPCONGDOI!$C$93:$AD$156,24,0)</f>
        <v>0</v>
      </c>
      <c r="R59" s="426">
        <f>VLOOKUP(C59,TONGHOPCONGDOI!$C$93:$AD$156,25,0)</f>
        <v>0</v>
      </c>
      <c r="S59" s="426">
        <f t="shared" si="4"/>
        <v>20</v>
      </c>
      <c r="T59" s="415"/>
      <c r="U59" s="415"/>
      <c r="V59" s="415"/>
      <c r="W59" s="1029">
        <f t="shared" si="5"/>
        <v>1537293</v>
      </c>
      <c r="X59" s="426">
        <f t="shared" si="8"/>
        <v>4062370</v>
      </c>
      <c r="Y59" s="426"/>
      <c r="Z59" s="426">
        <f>VLOOKUP(C59,'CNKT '!$C$98:$Z$161,24,0)</f>
        <v>4062370</v>
      </c>
      <c r="AA59" s="354">
        <f t="shared" si="6"/>
        <v>0</v>
      </c>
    </row>
    <row r="60" spans="1:27" s="354" customFormat="1" ht="49.5" customHeight="1">
      <c r="A60" s="413">
        <v>44</v>
      </c>
      <c r="B60" s="426"/>
      <c r="C60" s="426" t="str">
        <f>TONGHOPCONGDOI!C136</f>
        <v>T. Nú</v>
      </c>
      <c r="D60" s="426"/>
      <c r="E60" s="427"/>
      <c r="F60" s="426">
        <f t="shared" si="2"/>
        <v>0</v>
      </c>
      <c r="G60" s="426">
        <f>VLOOKUP(C60,TONGHOPCONGDOI!C136:AD157,16,0)</f>
        <v>1091</v>
      </c>
      <c r="H60" s="426">
        <f>VLOOKUP(C60,TONGHOPCONGDOI!C136:AD157,17,0)</f>
        <v>0</v>
      </c>
      <c r="I60" s="426"/>
      <c r="J60" s="942">
        <f t="shared" si="7"/>
        <v>554.06209117823596</v>
      </c>
      <c r="K60" s="413" t="str">
        <f>VLOOKUP(C60,'BTH mủ tạp'!C142:AL160,36,0)</f>
        <v>B</v>
      </c>
      <c r="L60" s="1294">
        <f t="shared" si="3"/>
        <v>1938677</v>
      </c>
      <c r="M60" s="426">
        <f>VLOOKUP(C60,TONGHOPCONGDOI!$C$93:$AD$156,20,0)</f>
        <v>27</v>
      </c>
      <c r="N60" s="426">
        <f>VLOOKUP(C60,TONGHOPCONGDOI!$C$93:$AD$156,21,0)</f>
        <v>4</v>
      </c>
      <c r="O60" s="426">
        <f>VLOOKUP(C60,TONGHOPCONGDOI!$C$93:$AD$156,22,0)</f>
        <v>0</v>
      </c>
      <c r="P60" s="426">
        <f>VLOOKUP(C60,TONGHOPCONGDOI!$C$93:$AD$156,23,0)</f>
        <v>0</v>
      </c>
      <c r="Q60" s="426">
        <f>VLOOKUP(C60,TONGHOPCONGDOI!$C$93:$AD$156,24,0)</f>
        <v>0</v>
      </c>
      <c r="R60" s="426">
        <f>VLOOKUP(C60,TONGHOPCONGDOI!$C$93:$AD$156,25,0)</f>
        <v>0</v>
      </c>
      <c r="S60" s="426">
        <f t="shared" si="4"/>
        <v>20</v>
      </c>
      <c r="T60" s="415"/>
      <c r="U60" s="415"/>
      <c r="V60" s="415"/>
      <c r="W60" s="1029">
        <f t="shared" si="5"/>
        <v>1537293</v>
      </c>
      <c r="X60" s="426">
        <f t="shared" si="8"/>
        <v>3475970</v>
      </c>
      <c r="Y60" s="426"/>
      <c r="Z60" s="426">
        <f>VLOOKUP(C60,'CNKT '!$C$98:$Z$161,24,0)</f>
        <v>3475970</v>
      </c>
      <c r="AA60" s="354">
        <f t="shared" si="6"/>
        <v>0</v>
      </c>
    </row>
    <row r="61" spans="1:27" s="354" customFormat="1" ht="49.5" customHeight="1">
      <c r="A61" s="413">
        <v>45</v>
      </c>
      <c r="B61" s="426"/>
      <c r="C61" s="426" t="str">
        <f>TONGHOPCONGDOI!C137</f>
        <v>T. Xan Nha</v>
      </c>
      <c r="D61" s="426"/>
      <c r="E61" s="427"/>
      <c r="F61" s="426">
        <f t="shared" si="2"/>
        <v>0</v>
      </c>
      <c r="G61" s="426">
        <f>VLOOKUP(C61,TONGHOPCONGDOI!C137:AD157,16,0)</f>
        <v>1438</v>
      </c>
      <c r="H61" s="426">
        <f>VLOOKUP(C61,TONGHOPCONGDOI!C137:AD157,17,0)</f>
        <v>0</v>
      </c>
      <c r="I61" s="426"/>
      <c r="J61" s="942">
        <f t="shared" si="7"/>
        <v>730.28532274454938</v>
      </c>
      <c r="K61" s="413" t="str">
        <f>VLOOKUP(C61,'BTH mủ tạp'!C143:AL160,36,0)</f>
        <v>A</v>
      </c>
      <c r="L61" s="1294">
        <f t="shared" si="3"/>
        <v>2687456</v>
      </c>
      <c r="M61" s="426">
        <f>VLOOKUP(C61,TONGHOPCONGDOI!$C$93:$AD$156,20,0)</f>
        <v>27</v>
      </c>
      <c r="N61" s="426">
        <f>VLOOKUP(C61,TONGHOPCONGDOI!$C$93:$AD$156,21,0)</f>
        <v>4</v>
      </c>
      <c r="O61" s="426">
        <f>VLOOKUP(C61,TONGHOPCONGDOI!$C$93:$AD$156,22,0)</f>
        <v>0</v>
      </c>
      <c r="P61" s="426">
        <f>VLOOKUP(C61,TONGHOPCONGDOI!$C$93:$AD$156,23,0)</f>
        <v>0</v>
      </c>
      <c r="Q61" s="426">
        <f>VLOOKUP(C61,TONGHOPCONGDOI!$C$93:$AD$156,24,0)</f>
        <v>0</v>
      </c>
      <c r="R61" s="426">
        <f>VLOOKUP(C61,TONGHOPCONGDOI!$C$93:$AD$156,25,0)</f>
        <v>0</v>
      </c>
      <c r="S61" s="426">
        <f t="shared" si="4"/>
        <v>20</v>
      </c>
      <c r="T61" s="415"/>
      <c r="U61" s="415"/>
      <c r="V61" s="415"/>
      <c r="W61" s="1029">
        <f t="shared" si="5"/>
        <v>1537293</v>
      </c>
      <c r="X61" s="426">
        <f t="shared" si="8"/>
        <v>4224749</v>
      </c>
      <c r="Y61" s="426"/>
      <c r="Z61" s="426">
        <f>VLOOKUP(C61,'CNKT '!$C$98:$Z$161,24,0)</f>
        <v>4224749</v>
      </c>
      <c r="AA61" s="354">
        <f t="shared" si="6"/>
        <v>0</v>
      </c>
    </row>
    <row r="62" spans="1:27" s="354" customFormat="1" ht="49.5" customHeight="1">
      <c r="A62" s="413">
        <v>46</v>
      </c>
      <c r="B62" s="426" t="e">
        <f>'Chấm công KT'!#REF!</f>
        <v>#REF!</v>
      </c>
      <c r="C62" s="426" t="str">
        <f>TONGHOPCONGDOI!C138</f>
        <v>T. A lem</v>
      </c>
      <c r="D62" s="426"/>
      <c r="E62" s="427"/>
      <c r="F62" s="426">
        <f t="shared" si="2"/>
        <v>0</v>
      </c>
      <c r="G62" s="426">
        <f>VLOOKUP(C62,TONGHOPCONGDOI!C138:AD157,16,0)</f>
        <v>1695</v>
      </c>
      <c r="H62" s="426">
        <f>VLOOKUP(C62,TONGHOPCONGDOI!C138:AD157,17,0)</f>
        <v>0</v>
      </c>
      <c r="I62" s="426"/>
      <c r="J62" s="942">
        <f t="shared" si="7"/>
        <v>860.80224064813024</v>
      </c>
      <c r="K62" s="413" t="str">
        <f>VLOOKUP(C62,'BTH mủ tạp'!C144:AL160,36,0)</f>
        <v>B</v>
      </c>
      <c r="L62" s="1294">
        <f t="shared" si="3"/>
        <v>3011968</v>
      </c>
      <c r="M62" s="426">
        <f>VLOOKUP(C62,TONGHOPCONGDOI!$C$93:$AD$156,20,0)</f>
        <v>26</v>
      </c>
      <c r="N62" s="426">
        <f>VLOOKUP(C62,TONGHOPCONGDOI!$C$93:$AD$156,21,0)</f>
        <v>4</v>
      </c>
      <c r="O62" s="426">
        <f>VLOOKUP(C62,TONGHOPCONGDOI!$C$93:$AD$156,22,0)</f>
        <v>0</v>
      </c>
      <c r="P62" s="426">
        <f>VLOOKUP(C62,TONGHOPCONGDOI!$C$93:$AD$156,23,0)</f>
        <v>0</v>
      </c>
      <c r="Q62" s="426">
        <f>VLOOKUP(C62,TONGHOPCONGDOI!$C$93:$AD$156,24,0)</f>
        <v>0</v>
      </c>
      <c r="R62" s="426">
        <f>VLOOKUP(C62,TONGHOPCONGDOI!$C$93:$AD$156,25,0)</f>
        <v>0</v>
      </c>
      <c r="S62" s="426">
        <f t="shared" si="4"/>
        <v>20</v>
      </c>
      <c r="T62" s="415"/>
      <c r="U62" s="415"/>
      <c r="V62" s="415"/>
      <c r="W62" s="1029">
        <f t="shared" si="5"/>
        <v>1506488</v>
      </c>
      <c r="X62" s="426">
        <f t="shared" si="8"/>
        <v>4518456</v>
      </c>
      <c r="Y62" s="426"/>
      <c r="Z62" s="426">
        <f>VLOOKUP(C62,'CNKT '!$C$98:$Z$161,24,0)</f>
        <v>4518456</v>
      </c>
      <c r="AA62" s="354">
        <f t="shared" si="6"/>
        <v>0</v>
      </c>
    </row>
    <row r="63" spans="1:27" s="354" customFormat="1" ht="49.5" customHeight="1">
      <c r="A63" s="413">
        <v>47</v>
      </c>
      <c r="B63" s="426" t="e">
        <f>'Chấm công KT'!#REF!</f>
        <v>#REF!</v>
      </c>
      <c r="C63" s="426" t="str">
        <f>TONGHOPCONGDOI!C139</f>
        <v>T. Phan</v>
      </c>
      <c r="D63" s="426"/>
      <c r="E63" s="427"/>
      <c r="F63" s="426">
        <f t="shared" si="2"/>
        <v>0</v>
      </c>
      <c r="G63" s="426">
        <f>VLOOKUP(C63,TONGHOPCONGDOI!C139:AD157,16,0)</f>
        <v>1623</v>
      </c>
      <c r="H63" s="426">
        <f>VLOOKUP(C63,TONGHOPCONGDOI!C139:AD157,17,0)</f>
        <v>0</v>
      </c>
      <c r="I63" s="426"/>
      <c r="J63" s="942">
        <f t="shared" si="7"/>
        <v>824.23718971794415</v>
      </c>
      <c r="K63" s="413" t="str">
        <f>VLOOKUP(C63,'BTH mủ tạp'!C145:AL160,36,0)</f>
        <v>B</v>
      </c>
      <c r="L63" s="1294">
        <f t="shared" si="3"/>
        <v>2884026</v>
      </c>
      <c r="M63" s="426">
        <f>VLOOKUP(C63,TONGHOPCONGDOI!$C$93:$AD$156,20,0)</f>
        <v>27</v>
      </c>
      <c r="N63" s="426">
        <f>VLOOKUP(C63,TONGHOPCONGDOI!$C$93:$AD$156,21,0)</f>
        <v>4</v>
      </c>
      <c r="O63" s="426">
        <f>VLOOKUP(C63,TONGHOPCONGDOI!$C$93:$AD$156,22,0)</f>
        <v>0</v>
      </c>
      <c r="P63" s="426">
        <f>VLOOKUP(C63,TONGHOPCONGDOI!$C$93:$AD$156,23,0)</f>
        <v>0</v>
      </c>
      <c r="Q63" s="426">
        <f>VLOOKUP(C63,TONGHOPCONGDOI!$C$93:$AD$156,24,0)</f>
        <v>0</v>
      </c>
      <c r="R63" s="426">
        <f>VLOOKUP(C63,TONGHOPCONGDOI!$C$93:$AD$156,25,0)</f>
        <v>0</v>
      </c>
      <c r="S63" s="426">
        <f t="shared" si="4"/>
        <v>20</v>
      </c>
      <c r="T63" s="415"/>
      <c r="U63" s="415"/>
      <c r="V63" s="415"/>
      <c r="W63" s="1029">
        <f t="shared" si="5"/>
        <v>1537293</v>
      </c>
      <c r="X63" s="426">
        <f t="shared" si="8"/>
        <v>4421319</v>
      </c>
      <c r="Y63" s="426"/>
      <c r="Z63" s="426">
        <f>VLOOKUP(C63,'CNKT '!$C$98:$Z$161,24,0)</f>
        <v>4421319</v>
      </c>
      <c r="AA63" s="354">
        <f t="shared" si="6"/>
        <v>0</v>
      </c>
    </row>
    <row r="64" spans="1:27" s="354" customFormat="1" ht="49.5" customHeight="1">
      <c r="A64" s="413">
        <v>48</v>
      </c>
      <c r="B64" s="426" t="e">
        <f>'Chấm công KT'!#REF!</f>
        <v>#REF!</v>
      </c>
      <c r="C64" s="426" t="str">
        <f>TONGHOPCONGDOI!C140</f>
        <v>T . Cổ</v>
      </c>
      <c r="D64" s="426"/>
      <c r="E64" s="427"/>
      <c r="F64" s="426">
        <f t="shared" si="2"/>
        <v>0</v>
      </c>
      <c r="G64" s="426">
        <f>VLOOKUP(C64,TONGHOPCONGDOI!C140:AD157,16,0)</f>
        <v>1835</v>
      </c>
      <c r="H64" s="426">
        <f>VLOOKUP(C64,TONGHOPCONGDOI!C140:AD157,17,0)</f>
        <v>0</v>
      </c>
      <c r="I64" s="426"/>
      <c r="J64" s="942">
        <f t="shared" si="7"/>
        <v>931.90095079015862</v>
      </c>
      <c r="K64" s="413" t="str">
        <f>VLOOKUP(C64,'BTH mủ tạp'!C146:AL160,36,0)</f>
        <v>A</v>
      </c>
      <c r="L64" s="1294">
        <f t="shared" si="3"/>
        <v>3429403</v>
      </c>
      <c r="M64" s="426">
        <f>VLOOKUP(C64,TONGHOPCONGDOI!$C$93:$AD$156,20,0)</f>
        <v>22</v>
      </c>
      <c r="N64" s="426">
        <f>VLOOKUP(C64,TONGHOPCONGDOI!$C$93:$AD$156,21,0)</f>
        <v>2</v>
      </c>
      <c r="O64" s="426">
        <f>VLOOKUP(C64,TONGHOPCONGDOI!$C$93:$AD$156,22,0)</f>
        <v>0</v>
      </c>
      <c r="P64" s="426">
        <f>VLOOKUP(C64,TONGHOPCONGDOI!$C$93:$AD$156,23,0)</f>
        <v>0</v>
      </c>
      <c r="Q64" s="426">
        <f>VLOOKUP(C64,TONGHOPCONGDOI!$C$93:$AD$156,24,0)</f>
        <v>0</v>
      </c>
      <c r="R64" s="426">
        <f>VLOOKUP(C64,TONGHOPCONGDOI!$C$93:$AD$156,25,0)</f>
        <v>0</v>
      </c>
      <c r="S64" s="426">
        <f t="shared" si="4"/>
        <v>20</v>
      </c>
      <c r="T64" s="415"/>
      <c r="U64" s="415"/>
      <c r="V64" s="415"/>
      <c r="W64" s="1029">
        <f t="shared" si="5"/>
        <v>1280493</v>
      </c>
      <c r="X64" s="426">
        <f t="shared" si="8"/>
        <v>4709896</v>
      </c>
      <c r="Y64" s="426"/>
      <c r="Z64" s="426">
        <f>VLOOKUP(C64,'CNKT '!$C$98:$Z$161,24,0)</f>
        <v>4709896</v>
      </c>
      <c r="AA64" s="354">
        <f t="shared" si="6"/>
        <v>0</v>
      </c>
    </row>
    <row r="65" spans="1:28" s="354" customFormat="1" ht="49.5" customHeight="1">
      <c r="A65" s="413">
        <v>49</v>
      </c>
      <c r="B65" s="426" t="e">
        <f>'Chấm công KT'!#REF!</f>
        <v>#REF!</v>
      </c>
      <c r="C65" s="426" t="str">
        <f>TONGHOPCONGDOI!C141</f>
        <v>N. Phim Pha</v>
      </c>
      <c r="D65" s="426"/>
      <c r="E65" s="427"/>
      <c r="F65" s="426">
        <f t="shared" si="2"/>
        <v>0</v>
      </c>
      <c r="G65" s="426">
        <f>VLOOKUP(C65,TONGHOPCONGDOI!C141:AD157,16,0)</f>
        <v>1313</v>
      </c>
      <c r="H65" s="426">
        <f>VLOOKUP(C65,TONGHOPCONGDOI!C141:AD157,17,0)</f>
        <v>0</v>
      </c>
      <c r="I65" s="426"/>
      <c r="J65" s="942">
        <f t="shared" si="7"/>
        <v>666.80433154630964</v>
      </c>
      <c r="K65" s="413" t="str">
        <f>VLOOKUP(C65,'BTH mủ tạp'!C147:AL160,36,0)</f>
        <v>C</v>
      </c>
      <c r="L65" s="1294">
        <f t="shared" si="3"/>
        <v>2212483</v>
      </c>
      <c r="M65" s="426">
        <f>VLOOKUP(C65,TONGHOPCONGDOI!$C$93:$AD$156,20,0)</f>
        <v>26</v>
      </c>
      <c r="N65" s="426">
        <f>VLOOKUP(C65,TONGHOPCONGDOI!$C$93:$AD$156,21,0)</f>
        <v>4</v>
      </c>
      <c r="O65" s="426">
        <f>VLOOKUP(C65,TONGHOPCONGDOI!$C$93:$AD$156,22,0)</f>
        <v>0</v>
      </c>
      <c r="P65" s="426">
        <f>VLOOKUP(C65,TONGHOPCONGDOI!$C$93:$AD$156,23,0)</f>
        <v>0</v>
      </c>
      <c r="Q65" s="426">
        <f>VLOOKUP(C65,TONGHOPCONGDOI!$C$93:$AD$156,24,0)</f>
        <v>0</v>
      </c>
      <c r="R65" s="426">
        <f>VLOOKUP(C65,TONGHOPCONGDOI!$C$93:$AD$156,25,0)</f>
        <v>0</v>
      </c>
      <c r="S65" s="426">
        <f t="shared" si="4"/>
        <v>20</v>
      </c>
      <c r="T65" s="415"/>
      <c r="U65" s="415"/>
      <c r="V65" s="415"/>
      <c r="W65" s="1029">
        <f t="shared" si="5"/>
        <v>1506488</v>
      </c>
      <c r="X65" s="426">
        <f t="shared" si="8"/>
        <v>3718971</v>
      </c>
      <c r="Y65" s="426"/>
      <c r="Z65" s="426">
        <f>VLOOKUP(C65,'CNKT '!$C$98:$Z$161,24,0)</f>
        <v>3718971</v>
      </c>
      <c r="AA65" s="354">
        <f t="shared" si="6"/>
        <v>0</v>
      </c>
    </row>
    <row r="66" spans="1:28" s="354" customFormat="1" ht="49.5" customHeight="1">
      <c r="A66" s="413">
        <v>50</v>
      </c>
      <c r="B66" s="426" t="e">
        <f>'Chấm công KT'!#REF!</f>
        <v>#REF!</v>
      </c>
      <c r="C66" s="426" t="str">
        <f>TONGHOPCONGDOI!C142</f>
        <v xml:space="preserve">T. Xeng </v>
      </c>
      <c r="D66" s="426"/>
      <c r="E66" s="427"/>
      <c r="F66" s="426">
        <f t="shared" si="2"/>
        <v>0</v>
      </c>
      <c r="G66" s="426">
        <f>VLOOKUP(C66,TONGHOPCONGDOI!C142:AD157,16,0)</f>
        <v>1913</v>
      </c>
      <c r="H66" s="426">
        <f>VLOOKUP(C66,TONGHOPCONGDOI!C142:AD157,17,0)</f>
        <v>0</v>
      </c>
      <c r="I66" s="426"/>
      <c r="J66" s="942">
        <f t="shared" si="7"/>
        <v>971.51308929786023</v>
      </c>
      <c r="K66" s="413" t="str">
        <f>VLOOKUP(C66,'BTH mủ tạp'!C148:AL160,36,0)</f>
        <v>A</v>
      </c>
      <c r="L66" s="1294">
        <f t="shared" si="3"/>
        <v>3575176</v>
      </c>
      <c r="M66" s="426">
        <f>VLOOKUP(C66,TONGHOPCONGDOI!$C$93:$AD$156,20,0)</f>
        <v>27</v>
      </c>
      <c r="N66" s="426">
        <f>VLOOKUP(C66,TONGHOPCONGDOI!$C$93:$AD$156,21,0)</f>
        <v>4</v>
      </c>
      <c r="O66" s="426">
        <f>VLOOKUP(C66,TONGHOPCONGDOI!$C$93:$AD$156,22,0)</f>
        <v>0</v>
      </c>
      <c r="P66" s="426">
        <f>VLOOKUP(C66,TONGHOPCONGDOI!$C$93:$AD$156,23,0)</f>
        <v>0</v>
      </c>
      <c r="Q66" s="426">
        <f>VLOOKUP(C66,TONGHOPCONGDOI!$C$93:$AD$156,24,0)</f>
        <v>0</v>
      </c>
      <c r="R66" s="426">
        <f>VLOOKUP(C66,TONGHOPCONGDOI!$C$93:$AD$156,25,0)</f>
        <v>0</v>
      </c>
      <c r="S66" s="426">
        <f t="shared" si="4"/>
        <v>20</v>
      </c>
      <c r="T66" s="415"/>
      <c r="U66" s="415"/>
      <c r="V66" s="415"/>
      <c r="W66" s="1029">
        <f t="shared" si="5"/>
        <v>1537293</v>
      </c>
      <c r="X66" s="426">
        <f t="shared" si="8"/>
        <v>5112469</v>
      </c>
      <c r="Y66" s="426"/>
      <c r="Z66" s="426">
        <f>VLOOKUP(C66,'CNKT '!$C$98:$Z$161,24,0)</f>
        <v>5112469</v>
      </c>
      <c r="AA66" s="354">
        <f t="shared" si="6"/>
        <v>0</v>
      </c>
    </row>
    <row r="67" spans="1:28" s="354" customFormat="1" ht="49.5" customHeight="1">
      <c r="A67" s="413">
        <v>51</v>
      </c>
      <c r="B67" s="426"/>
      <c r="C67" s="426" t="str">
        <f>TONGHOPCONGDOI!C143</f>
        <v>T. Vạt</v>
      </c>
      <c r="D67" s="426"/>
      <c r="E67" s="427"/>
      <c r="F67" s="426">
        <f t="shared" si="2"/>
        <v>0</v>
      </c>
      <c r="G67" s="426">
        <f>VLOOKUP(C67,TONGHOPCONGDOI!C143:AD157,16,0)</f>
        <v>2028</v>
      </c>
      <c r="H67" s="426">
        <f>VLOOKUP(C67,TONGHOPCONGDOI!C143:AD157,17,0)</f>
        <v>0</v>
      </c>
      <c r="I67" s="426"/>
      <c r="J67" s="942">
        <f t="shared" si="7"/>
        <v>1029.9156012002406</v>
      </c>
      <c r="K67" s="413" t="str">
        <f>VLOOKUP(C67,'BTH mủ tạp'!C149:AL160,36,0)</f>
        <v>A</v>
      </c>
      <c r="L67" s="1294">
        <f t="shared" si="3"/>
        <v>3790098</v>
      </c>
      <c r="M67" s="426">
        <f>VLOOKUP(C67,TONGHOPCONGDOI!$C$93:$AD$156,20,0)</f>
        <v>24</v>
      </c>
      <c r="N67" s="426">
        <f>VLOOKUP(C67,TONGHOPCONGDOI!$C$93:$AD$156,21,0)</f>
        <v>4</v>
      </c>
      <c r="O67" s="426">
        <f>VLOOKUP(C67,TONGHOPCONGDOI!$C$93:$AD$156,22,0)</f>
        <v>0</v>
      </c>
      <c r="P67" s="426">
        <f>VLOOKUP(C67,TONGHOPCONGDOI!$C$93:$AD$156,23,0)</f>
        <v>0</v>
      </c>
      <c r="Q67" s="426">
        <f>VLOOKUP(C67,TONGHOPCONGDOI!$C$93:$AD$156,24,0)</f>
        <v>0</v>
      </c>
      <c r="R67" s="426">
        <f>VLOOKUP(C67,TONGHOPCONGDOI!$C$93:$AD$156,25,0)</f>
        <v>0</v>
      </c>
      <c r="S67" s="426">
        <f t="shared" si="4"/>
        <v>20</v>
      </c>
      <c r="T67" s="415"/>
      <c r="U67" s="415"/>
      <c r="V67" s="415"/>
      <c r="W67" s="1029">
        <f t="shared" si="5"/>
        <v>1444877</v>
      </c>
      <c r="X67" s="426">
        <f t="shared" si="8"/>
        <v>5234975</v>
      </c>
      <c r="Y67" s="426"/>
      <c r="Z67" s="426">
        <f>VLOOKUP(C67,'CNKT '!$C$98:$Z$161,24,0)</f>
        <v>5234975</v>
      </c>
      <c r="AA67" s="354">
        <f t="shared" si="6"/>
        <v>0</v>
      </c>
    </row>
    <row r="68" spans="1:28" s="354" customFormat="1" ht="49.5" customHeight="1">
      <c r="A68" s="413">
        <v>52</v>
      </c>
      <c r="B68" s="426"/>
      <c r="C68" s="426" t="str">
        <f>TONGHOPCONGDOI!C144</f>
        <v>T. Lay</v>
      </c>
      <c r="D68" s="426"/>
      <c r="E68" s="427"/>
      <c r="F68" s="426">
        <f t="shared" si="2"/>
        <v>0</v>
      </c>
      <c r="G68" s="426">
        <f>VLOOKUP(C68,TONGHOPCONGDOI!C144:AD157,16,0)</f>
        <v>2454</v>
      </c>
      <c r="H68" s="426">
        <f>VLOOKUP(C68,TONGHOPCONGDOI!C144:AD157,17,0)</f>
        <v>0</v>
      </c>
      <c r="I68" s="426"/>
      <c r="J68" s="942">
        <f t="shared" si="7"/>
        <v>1246.2588192038415</v>
      </c>
      <c r="K68" s="413" t="str">
        <f>VLOOKUP(C68,'BTH mủ tạp'!C150:AL160,36,0)</f>
        <v>A</v>
      </c>
      <c r="L68" s="1294">
        <f t="shared" si="3"/>
        <v>4586242</v>
      </c>
      <c r="M68" s="426">
        <f>VLOOKUP(C68,TONGHOPCONGDOI!$C$93:$AD$156,20,0)</f>
        <v>27</v>
      </c>
      <c r="N68" s="426">
        <f>VLOOKUP(C68,TONGHOPCONGDOI!$C$93:$AD$156,21,0)</f>
        <v>4</v>
      </c>
      <c r="O68" s="426">
        <f>VLOOKUP(C68,TONGHOPCONGDOI!$C$93:$AD$156,22,0)</f>
        <v>0</v>
      </c>
      <c r="P68" s="426">
        <f>VLOOKUP(C68,TONGHOPCONGDOI!$C$93:$AD$156,23,0)</f>
        <v>0</v>
      </c>
      <c r="Q68" s="426">
        <f>VLOOKUP(C68,TONGHOPCONGDOI!$C$93:$AD$156,24,0)</f>
        <v>0</v>
      </c>
      <c r="R68" s="426">
        <f>VLOOKUP(C68,TONGHOPCONGDOI!$C$93:$AD$156,25,0)</f>
        <v>0</v>
      </c>
      <c r="S68" s="426">
        <f t="shared" si="4"/>
        <v>20</v>
      </c>
      <c r="T68" s="415"/>
      <c r="U68" s="415"/>
      <c r="V68" s="415"/>
      <c r="W68" s="1029">
        <f t="shared" si="5"/>
        <v>1537293</v>
      </c>
      <c r="X68" s="426">
        <f t="shared" si="8"/>
        <v>6123535</v>
      </c>
      <c r="Y68" s="426"/>
      <c r="Z68" s="426">
        <f>VLOOKUP(C68,'CNKT '!$C$98:$Z$161,24,0)</f>
        <v>6123535</v>
      </c>
      <c r="AA68" s="354">
        <f t="shared" si="6"/>
        <v>0</v>
      </c>
    </row>
    <row r="69" spans="1:28" s="354" customFormat="1" ht="49.5" customHeight="1">
      <c r="A69" s="413">
        <v>53</v>
      </c>
      <c r="B69" s="426"/>
      <c r="C69" s="426" t="str">
        <f>TONGHOPCONGDOI!C145</f>
        <v>N. Nọi</v>
      </c>
      <c r="D69" s="426"/>
      <c r="E69" s="427"/>
      <c r="F69" s="426">
        <f t="shared" si="2"/>
        <v>0</v>
      </c>
      <c r="G69" s="426">
        <f>VLOOKUP(C69,TONGHOPCONGDOI!C145:AD157,16,0)</f>
        <v>2291</v>
      </c>
      <c r="H69" s="426">
        <f>VLOOKUP(C69,TONGHOPCONGDOI!C145:AD157,17,0)</f>
        <v>0</v>
      </c>
      <c r="I69" s="426"/>
      <c r="J69" s="942">
        <f t="shared" si="7"/>
        <v>1163.4796066813369</v>
      </c>
      <c r="K69" s="413" t="str">
        <f>VLOOKUP(C69,'BTH mủ tạp'!C151:AL160,36,0)</f>
        <v>A</v>
      </c>
      <c r="L69" s="1294">
        <f t="shared" si="3"/>
        <v>4281614</v>
      </c>
      <c r="M69" s="426">
        <f>VLOOKUP(C69,TONGHOPCONGDOI!$C$93:$AD$156,20,0)</f>
        <v>27</v>
      </c>
      <c r="N69" s="426">
        <f>VLOOKUP(C69,TONGHOPCONGDOI!$C$93:$AD$156,21,0)</f>
        <v>4</v>
      </c>
      <c r="O69" s="426">
        <f>VLOOKUP(C69,TONGHOPCONGDOI!$C$93:$AD$156,22,0)</f>
        <v>0</v>
      </c>
      <c r="P69" s="426">
        <f>VLOOKUP(C69,TONGHOPCONGDOI!$C$93:$AD$156,23,0)</f>
        <v>0</v>
      </c>
      <c r="Q69" s="426">
        <f>VLOOKUP(C69,TONGHOPCONGDOI!$C$93:$AD$156,24,0)</f>
        <v>0</v>
      </c>
      <c r="R69" s="426">
        <f>VLOOKUP(C69,TONGHOPCONGDOI!$C$93:$AD$156,25,0)</f>
        <v>0</v>
      </c>
      <c r="S69" s="426">
        <f t="shared" si="4"/>
        <v>20</v>
      </c>
      <c r="T69" s="415"/>
      <c r="U69" s="415"/>
      <c r="V69" s="415"/>
      <c r="W69" s="1029">
        <f t="shared" si="5"/>
        <v>1537293</v>
      </c>
      <c r="X69" s="426">
        <f t="shared" si="8"/>
        <v>5818907</v>
      </c>
      <c r="Y69" s="426"/>
      <c r="Z69" s="426">
        <f>VLOOKUP(C69,'CNKT '!$C$98:$Z$161,24,0)</f>
        <v>5818907</v>
      </c>
      <c r="AA69" s="354">
        <f t="shared" si="6"/>
        <v>0</v>
      </c>
    </row>
    <row r="70" spans="1:28" s="354" customFormat="1" ht="49.5" customHeight="1">
      <c r="A70" s="413">
        <v>54</v>
      </c>
      <c r="B70" s="426" t="e">
        <f>'Chấm công KT'!#REF!</f>
        <v>#REF!</v>
      </c>
      <c r="C70" s="426" t="str">
        <f>TONGHOPCONGDOI!C146</f>
        <v>T Bun Xi</v>
      </c>
      <c r="D70" s="426"/>
      <c r="E70" s="427"/>
      <c r="F70" s="426">
        <f t="shared" si="2"/>
        <v>0</v>
      </c>
      <c r="G70" s="426">
        <f>VLOOKUP(C70,TONGHOPCONGDOI!C146:AD157,16,0)</f>
        <v>1372</v>
      </c>
      <c r="H70" s="426">
        <f>VLOOKUP(C70,TONGHOPCONGDOI!C146:AD157,17,0)</f>
        <v>0</v>
      </c>
      <c r="I70" s="426"/>
      <c r="J70" s="942">
        <f t="shared" si="7"/>
        <v>696.76735939187881</v>
      </c>
      <c r="K70" s="413" t="str">
        <f>VLOOKUP(C70,'BTH mủ tạp'!C152:AL160,36,0)</f>
        <v>B</v>
      </c>
      <c r="L70" s="1294">
        <f t="shared" si="3"/>
        <v>2438006</v>
      </c>
      <c r="M70" s="426">
        <f>VLOOKUP(C70,TONGHOPCONGDOI!$C$93:$AD$156,20,0)</f>
        <v>21</v>
      </c>
      <c r="N70" s="426">
        <f>VLOOKUP(C70,TONGHOPCONGDOI!$C$93:$AD$156,21,0)</f>
        <v>4</v>
      </c>
      <c r="O70" s="426">
        <f>VLOOKUP(C70,TONGHOPCONGDOI!$C$93:$AD$156,22,0)</f>
        <v>0</v>
      </c>
      <c r="P70" s="426">
        <f>VLOOKUP(C70,TONGHOPCONGDOI!$C$93:$AD$156,23,0)</f>
        <v>0</v>
      </c>
      <c r="Q70" s="426">
        <f>VLOOKUP(C70,TONGHOPCONGDOI!$C$93:$AD$156,24,0)</f>
        <v>0</v>
      </c>
      <c r="R70" s="426">
        <f>VLOOKUP(C70,TONGHOPCONGDOI!$C$93:$AD$156,25,0)</f>
        <v>0</v>
      </c>
      <c r="S70" s="426">
        <f t="shared" si="4"/>
        <v>20</v>
      </c>
      <c r="T70" s="415"/>
      <c r="U70" s="415"/>
      <c r="V70" s="415"/>
      <c r="W70" s="1029">
        <f t="shared" si="5"/>
        <v>1352461</v>
      </c>
      <c r="X70" s="426">
        <f t="shared" si="8"/>
        <v>3790467</v>
      </c>
      <c r="Y70" s="426"/>
      <c r="Z70" s="426">
        <f>VLOOKUP(C70,'CNKT '!$C$98:$Z$161,24,0)</f>
        <v>3790467</v>
      </c>
      <c r="AA70" s="354">
        <f t="shared" si="6"/>
        <v>0</v>
      </c>
    </row>
    <row r="71" spans="1:28" s="354" customFormat="1" ht="49.5" customHeight="1">
      <c r="A71" s="413">
        <v>55</v>
      </c>
      <c r="B71" s="426" t="e">
        <f>'Chấm công KT'!#REF!</f>
        <v>#REF!</v>
      </c>
      <c r="C71" s="426" t="str">
        <f>TONGHOPCONGDOI!C147</f>
        <v>N. Bù</v>
      </c>
      <c r="D71" s="426"/>
      <c r="E71" s="427"/>
      <c r="F71" s="426">
        <f t="shared" si="2"/>
        <v>0</v>
      </c>
      <c r="G71" s="426">
        <f>VLOOKUP(C71,TONGHOPCONGDOI!C147:AD157,16,0)</f>
        <v>1815</v>
      </c>
      <c r="H71" s="426">
        <f>VLOOKUP(C71,TONGHOPCONGDOI!C147:AD157,17,0)</f>
        <v>0</v>
      </c>
      <c r="I71" s="426"/>
      <c r="J71" s="942">
        <f t="shared" si="7"/>
        <v>921.74399219844031</v>
      </c>
      <c r="K71" s="413" t="str">
        <f>VLOOKUP(C71,'BTH mủ tạp'!C153:AL160,36,0)</f>
        <v>B</v>
      </c>
      <c r="L71" s="1294">
        <f t="shared" si="3"/>
        <v>3225204</v>
      </c>
      <c r="M71" s="426">
        <f>VLOOKUP(C71,TONGHOPCONGDOI!$C$93:$AD$156,20,0)</f>
        <v>27</v>
      </c>
      <c r="N71" s="426">
        <f>VLOOKUP(C71,TONGHOPCONGDOI!$C$93:$AD$156,21,0)</f>
        <v>4</v>
      </c>
      <c r="O71" s="426">
        <f>VLOOKUP(C71,TONGHOPCONGDOI!$C$93:$AD$156,22,0)</f>
        <v>0</v>
      </c>
      <c r="P71" s="426">
        <f>VLOOKUP(C71,TONGHOPCONGDOI!$C$93:$AD$156,23,0)</f>
        <v>0</v>
      </c>
      <c r="Q71" s="426">
        <f>VLOOKUP(C71,TONGHOPCONGDOI!$C$93:$AD$156,24,0)</f>
        <v>0</v>
      </c>
      <c r="R71" s="426">
        <f>VLOOKUP(C71,TONGHOPCONGDOI!$C$93:$AD$156,25,0)</f>
        <v>0</v>
      </c>
      <c r="S71" s="426">
        <f t="shared" si="4"/>
        <v>20</v>
      </c>
      <c r="T71" s="415"/>
      <c r="U71" s="415"/>
      <c r="V71" s="415"/>
      <c r="W71" s="1029">
        <f t="shared" si="5"/>
        <v>1537293</v>
      </c>
      <c r="X71" s="426">
        <f t="shared" si="8"/>
        <v>4762497</v>
      </c>
      <c r="Y71" s="426"/>
      <c r="Z71" s="426">
        <f>VLOOKUP(C71,'CNKT '!$C$98:$Z$161,24,0)</f>
        <v>4762497</v>
      </c>
      <c r="AA71" s="354">
        <f t="shared" si="6"/>
        <v>0</v>
      </c>
    </row>
    <row r="72" spans="1:28" s="354" customFormat="1" ht="49.5" customHeight="1">
      <c r="A72" s="413">
        <v>56</v>
      </c>
      <c r="B72" s="426" t="e">
        <f>'Chấm công KT'!#REF!</f>
        <v>#REF!</v>
      </c>
      <c r="C72" s="426" t="str">
        <f>TONGHOPCONGDOI!C148</f>
        <v>T. Xơn</v>
      </c>
      <c r="D72" s="426"/>
      <c r="E72" s="427"/>
      <c r="F72" s="426">
        <f t="shared" si="2"/>
        <v>0</v>
      </c>
      <c r="G72" s="426">
        <f>VLOOKUP(C72,TONGHOPCONGDOI!C148:AD157,16,0)</f>
        <v>1379</v>
      </c>
      <c r="H72" s="426">
        <f>VLOOKUP(C72,TONGHOPCONGDOI!C148:AD157,17,0)</f>
        <v>0</v>
      </c>
      <c r="I72" s="426"/>
      <c r="J72" s="942">
        <f t="shared" si="7"/>
        <v>700.3222948989802</v>
      </c>
      <c r="K72" s="413" t="str">
        <f>VLOOKUP(C72,'BTH mủ tạp'!C154:AL160,36,0)</f>
        <v>B</v>
      </c>
      <c r="L72" s="1294">
        <f t="shared" si="3"/>
        <v>2450445</v>
      </c>
      <c r="M72" s="426">
        <f>VLOOKUP(C72,TONGHOPCONGDOI!$C$93:$AD$156,20,0)</f>
        <v>21</v>
      </c>
      <c r="N72" s="426">
        <f>VLOOKUP(C72,TONGHOPCONGDOI!$C$93:$AD$156,21,0)</f>
        <v>4</v>
      </c>
      <c r="O72" s="426">
        <f>VLOOKUP(C72,TONGHOPCONGDOI!$C$93:$AD$156,22,0)</f>
        <v>0</v>
      </c>
      <c r="P72" s="426">
        <f>VLOOKUP(C72,TONGHOPCONGDOI!$C$93:$AD$156,23,0)</f>
        <v>0</v>
      </c>
      <c r="Q72" s="426">
        <f>VLOOKUP(C72,TONGHOPCONGDOI!$C$93:$AD$156,24,0)</f>
        <v>0</v>
      </c>
      <c r="R72" s="426">
        <f>VLOOKUP(C72,TONGHOPCONGDOI!$C$93:$AD$156,25,0)</f>
        <v>0</v>
      </c>
      <c r="S72" s="426">
        <f t="shared" si="4"/>
        <v>20</v>
      </c>
      <c r="T72" s="415"/>
      <c r="U72" s="415"/>
      <c r="V72" s="415"/>
      <c r="W72" s="1029">
        <f t="shared" si="5"/>
        <v>1352461</v>
      </c>
      <c r="X72" s="426">
        <f t="shared" si="8"/>
        <v>3802906</v>
      </c>
      <c r="Y72" s="426"/>
      <c r="Z72" s="426">
        <f>VLOOKUP(C72,'CNKT '!$C$98:$Z$161,24,0)</f>
        <v>3802906</v>
      </c>
      <c r="AA72" s="354">
        <f t="shared" si="6"/>
        <v>0</v>
      </c>
    </row>
    <row r="73" spans="1:28" s="354" customFormat="1" ht="49.5" customHeight="1">
      <c r="A73" s="413">
        <v>57</v>
      </c>
      <c r="B73" s="426" t="e">
        <f>'Chấm công KT'!#REF!</f>
        <v>#REF!</v>
      </c>
      <c r="C73" s="426" t="str">
        <f>TONGHOPCONGDOI!C149</f>
        <v>T. Thi</v>
      </c>
      <c r="D73" s="426"/>
      <c r="E73" s="427"/>
      <c r="F73" s="426">
        <f t="shared" si="2"/>
        <v>0</v>
      </c>
      <c r="G73" s="426">
        <f>VLOOKUP(C73,TONGHOPCONGDOI!C149:AD157,16,0)</f>
        <v>1816</v>
      </c>
      <c r="H73" s="426">
        <f>VLOOKUP(C73,TONGHOPCONGDOI!C149:AD157,17,0)</f>
        <v>0</v>
      </c>
      <c r="I73" s="426"/>
      <c r="J73" s="942">
        <f t="shared" si="7"/>
        <v>922.25184012802617</v>
      </c>
      <c r="K73" s="413" t="str">
        <f>VLOOKUP(C73,'BTH mủ tạp'!C155:AL160,36,0)</f>
        <v>B</v>
      </c>
      <c r="L73" s="1294">
        <f t="shared" si="3"/>
        <v>3226981</v>
      </c>
      <c r="M73" s="426">
        <f>VLOOKUP(C73,TONGHOPCONGDOI!$C$93:$AD$156,20,0)</f>
        <v>27</v>
      </c>
      <c r="N73" s="426">
        <f>VLOOKUP(C73,TONGHOPCONGDOI!$C$93:$AD$156,21,0)</f>
        <v>4</v>
      </c>
      <c r="O73" s="426">
        <f>VLOOKUP(C73,TONGHOPCONGDOI!$C$93:$AD$156,22,0)</f>
        <v>0</v>
      </c>
      <c r="P73" s="426">
        <f>VLOOKUP(C73,TONGHOPCONGDOI!$C$93:$AD$156,23,0)</f>
        <v>0</v>
      </c>
      <c r="Q73" s="426">
        <f>VLOOKUP(C73,TONGHOPCONGDOI!$C$93:$AD$156,24,0)</f>
        <v>0</v>
      </c>
      <c r="R73" s="426">
        <f>VLOOKUP(C73,TONGHOPCONGDOI!$C$93:$AD$156,25,0)</f>
        <v>0</v>
      </c>
      <c r="S73" s="426">
        <f t="shared" si="4"/>
        <v>20</v>
      </c>
      <c r="T73" s="415"/>
      <c r="U73" s="415"/>
      <c r="V73" s="415"/>
      <c r="W73" s="1029">
        <f t="shared" si="5"/>
        <v>1537293</v>
      </c>
      <c r="X73" s="426">
        <f t="shared" si="8"/>
        <v>4764274</v>
      </c>
      <c r="Y73" s="426"/>
      <c r="Z73" s="426">
        <f>VLOOKUP(C73,'CNKT '!$C$98:$Z$161,24,0)</f>
        <v>4764274</v>
      </c>
      <c r="AA73" s="354">
        <f t="shared" si="6"/>
        <v>0</v>
      </c>
    </row>
    <row r="74" spans="1:28" s="354" customFormat="1" ht="49.5" customHeight="1">
      <c r="A74" s="413">
        <v>58</v>
      </c>
      <c r="B74" s="426" t="e">
        <f>'Chấm công KT'!#REF!</f>
        <v>#REF!</v>
      </c>
      <c r="C74" s="426" t="str">
        <f>TONGHOPCONGDOI!C150</f>
        <v>On chay</v>
      </c>
      <c r="D74" s="426"/>
      <c r="E74" s="427"/>
      <c r="F74" s="426">
        <f t="shared" si="2"/>
        <v>0</v>
      </c>
      <c r="G74" s="426">
        <f>VLOOKUP(C74,TONGHOPCONGDOI!C150:AD157,16,0)</f>
        <v>1362</v>
      </c>
      <c r="H74" s="426">
        <f>VLOOKUP(C74,TONGHOPCONGDOI!C150:AD157,17,0)</f>
        <v>0</v>
      </c>
      <c r="I74" s="426"/>
      <c r="J74" s="942">
        <f t="shared" si="7"/>
        <v>691.6888800960196</v>
      </c>
      <c r="K74" s="413" t="str">
        <f>VLOOKUP(C74,'BTH mủ tạp'!C156:AL160,36,0)</f>
        <v>A</v>
      </c>
      <c r="L74" s="1294">
        <f t="shared" si="3"/>
        <v>2545421</v>
      </c>
      <c r="M74" s="426">
        <f>VLOOKUP(C74,TONGHOPCONGDOI!$C$93:$AD$156,20,0)</f>
        <v>27</v>
      </c>
      <c r="N74" s="426">
        <f>VLOOKUP(C74,TONGHOPCONGDOI!$C$93:$AD$156,21,0)</f>
        <v>4</v>
      </c>
      <c r="O74" s="426">
        <f>VLOOKUP(C74,TONGHOPCONGDOI!$C$93:$AD$156,22,0)</f>
        <v>0</v>
      </c>
      <c r="P74" s="426">
        <f>VLOOKUP(C74,TONGHOPCONGDOI!$C$93:$AD$156,23,0)</f>
        <v>0</v>
      </c>
      <c r="Q74" s="426">
        <f>VLOOKUP(C74,TONGHOPCONGDOI!$C$93:$AD$156,24,0)</f>
        <v>0</v>
      </c>
      <c r="R74" s="426">
        <f>VLOOKUP(C74,TONGHOPCONGDOI!$C$93:$AD$156,25,0)</f>
        <v>0</v>
      </c>
      <c r="S74" s="426">
        <f t="shared" si="4"/>
        <v>20</v>
      </c>
      <c r="T74" s="415"/>
      <c r="U74" s="415"/>
      <c r="V74" s="415"/>
      <c r="W74" s="1029">
        <f t="shared" si="5"/>
        <v>1537293</v>
      </c>
      <c r="X74" s="426">
        <f t="shared" si="8"/>
        <v>4082714</v>
      </c>
      <c r="Y74" s="426"/>
      <c r="Z74" s="426">
        <f>VLOOKUP(C74,'CNKT '!$C$98:$Z$161,24,0)</f>
        <v>4082714</v>
      </c>
      <c r="AA74" s="354">
        <f t="shared" si="6"/>
        <v>0</v>
      </c>
    </row>
    <row r="75" spans="1:28" s="354" customFormat="1" ht="49.5" customHeight="1">
      <c r="A75" s="413">
        <v>59</v>
      </c>
      <c r="B75" s="426"/>
      <c r="C75" s="426" t="str">
        <f>TONGHOPCONGDOI!C151</f>
        <v>T. Thong</v>
      </c>
      <c r="D75" s="426"/>
      <c r="E75" s="427"/>
      <c r="F75" s="426">
        <f t="shared" si="2"/>
        <v>0</v>
      </c>
      <c r="G75" s="426">
        <f>VLOOKUP(C75,TONGHOPCONGDOI!C151:AD157,16,0)</f>
        <v>889</v>
      </c>
      <c r="H75" s="426">
        <f>VLOOKUP(C75,TONGHOPCONGDOI!C151:AD157,17,0)</f>
        <v>0</v>
      </c>
      <c r="I75" s="426"/>
      <c r="J75" s="942">
        <f t="shared" si="7"/>
        <v>451.47680940188064</v>
      </c>
      <c r="K75" s="413" t="s">
        <v>449</v>
      </c>
      <c r="L75" s="1294">
        <f>ROUND((IF(K75="A",(G75*$Z$13*6.1),IF(K75="B",(G75*$Z$13*5.8),IF(K75="C",(G75*$Z$13*5.5),IF(K75="D",(G75*$Z$13*5.2),0))))*$F$13+(H75*$AB$12*$F$13*6.1)+I75*$F$13*$AB$13*6.1),0)</f>
        <v>1498018</v>
      </c>
      <c r="M75" s="426">
        <f>VLOOKUP(C75,TONGHOPCONGDOI!$C$93:$AD$156,20,0)</f>
        <v>15</v>
      </c>
      <c r="N75" s="426">
        <f>VLOOKUP(C75,TONGHOPCONGDOI!$C$93:$AD$156,21,0)</f>
        <v>3</v>
      </c>
      <c r="O75" s="426">
        <f>VLOOKUP(C75,TONGHOPCONGDOI!$C$93:$AD$156,22,0)</f>
        <v>0</v>
      </c>
      <c r="P75" s="426">
        <f>VLOOKUP(C75,TONGHOPCONGDOI!$C$93:$AD$156,23,0)</f>
        <v>0</v>
      </c>
      <c r="Q75" s="426">
        <f>VLOOKUP(C75,TONGHOPCONGDOI!$C$93:$AD$156,24,0)</f>
        <v>0</v>
      </c>
      <c r="R75" s="426">
        <f>VLOOKUP(C75,TONGHOPCONGDOI!$C$93:$AD$156,25,0)</f>
        <v>0</v>
      </c>
      <c r="S75" s="426"/>
      <c r="T75" s="415"/>
      <c r="U75" s="415"/>
      <c r="V75" s="415"/>
      <c r="W75" s="1029">
        <f t="shared" si="5"/>
        <v>616242</v>
      </c>
      <c r="X75" s="426">
        <f t="shared" si="8"/>
        <v>2114260</v>
      </c>
      <c r="Y75" s="426"/>
      <c r="Z75" s="426">
        <f>VLOOKUP(C75,'CNKT '!$C$98:$Z$161,24,0)</f>
        <v>2114260</v>
      </c>
      <c r="AA75" s="354">
        <f t="shared" si="6"/>
        <v>0</v>
      </c>
    </row>
    <row r="76" spans="1:28" s="354" customFormat="1" ht="49.5" customHeight="1">
      <c r="A76" s="413">
        <v>60</v>
      </c>
      <c r="B76" s="426"/>
      <c r="C76" s="426" t="str">
        <f>TONGHOPCONGDOI!C152</f>
        <v>T. Khách</v>
      </c>
      <c r="D76" s="426"/>
      <c r="E76" s="427"/>
      <c r="F76" s="426">
        <f t="shared" si="2"/>
        <v>0</v>
      </c>
      <c r="G76" s="426">
        <f>VLOOKUP(C76,TONGHOPCONGDOI!C152:AD157,16,0)</f>
        <v>255</v>
      </c>
      <c r="H76" s="426">
        <f>VLOOKUP(C76,TONGHOPCONGDOI!C152:AD157,17,0)</f>
        <v>0</v>
      </c>
      <c r="I76" s="426"/>
      <c r="J76" s="942">
        <f t="shared" si="7"/>
        <v>129.50122204440896</v>
      </c>
      <c r="K76" s="413" t="s">
        <v>449</v>
      </c>
      <c r="L76" s="1294">
        <f>ROUND((IF(K76="A",(G76*$Z$13*6.1),IF(K76="B",(G76*$Z$13*5.8),IF(K76="C",(G76*$Z$13*5.5),IF(K76="D",(G76*$Z$13*5.2),0))))*$F$13+(H76*$AB$12*$F$13*6.1)+I76*$F$13*$AB$13*6.1),0)-256878</f>
        <v>172812</v>
      </c>
      <c r="M76" s="426">
        <f>VLOOKUP(C76,TONGHOPCONGDOI!$C$93:$AD$156,20,0)</f>
        <v>11</v>
      </c>
      <c r="N76" s="426">
        <f>VLOOKUP(C76,TONGHOPCONGDOI!$C$93:$AD$156,21,0)</f>
        <v>2</v>
      </c>
      <c r="O76" s="426">
        <f>VLOOKUP(C76,TONGHOPCONGDOI!$C$93:$AD$156,22,0)</f>
        <v>0</v>
      </c>
      <c r="P76" s="426">
        <f>VLOOKUP(C76,TONGHOPCONGDOI!$C$93:$AD$156,23,0)</f>
        <v>0</v>
      </c>
      <c r="Q76" s="426">
        <f>VLOOKUP(C76,TONGHOPCONGDOI!$C$93:$AD$156,24,0)</f>
        <v>0</v>
      </c>
      <c r="R76" s="426">
        <f>VLOOKUP(C76,TONGHOPCONGDOI!$C$93:$AD$156,25,0)</f>
        <v>0</v>
      </c>
      <c r="S76" s="426"/>
      <c r="T76" s="415"/>
      <c r="U76" s="415"/>
      <c r="V76" s="415"/>
      <c r="W76" s="1029">
        <f>ROUND(((M76*46.1)+(N76*76.9)+(O76*92.2)+(P76*153.8)+(Q76*92.2)+(R76*153.8))*$E$13+(S76*25000)+(T76*10000)+(U76*30000),0)+7</f>
        <v>441640</v>
      </c>
      <c r="X76" s="426">
        <f t="shared" si="8"/>
        <v>614452</v>
      </c>
      <c r="Y76" s="426"/>
      <c r="Z76" s="426">
        <f>VLOOKUP(C76,'CNKT '!$C$98:$Z$161,24,0)</f>
        <v>614452</v>
      </c>
      <c r="AA76" s="354">
        <f t="shared" si="6"/>
        <v>0</v>
      </c>
    </row>
    <row r="77" spans="1:28" s="354" customFormat="1" ht="49.5" customHeight="1">
      <c r="A77" s="413">
        <v>61</v>
      </c>
      <c r="B77" s="426"/>
      <c r="C77" s="426" t="str">
        <f>TONGHOPCONGDOI!C153</f>
        <v>Nang On Xi</v>
      </c>
      <c r="D77" s="426"/>
      <c r="E77" s="427"/>
      <c r="F77" s="426">
        <f t="shared" si="2"/>
        <v>0</v>
      </c>
      <c r="G77" s="426">
        <f>VLOOKUP(C77,TONGHOPCONGDOI!C153:AD157,16,0)</f>
        <v>0</v>
      </c>
      <c r="H77" s="426">
        <f>VLOOKUP(C77,TONGHOPCONGDOI!C153:AD157,17,0)</f>
        <v>0</v>
      </c>
      <c r="I77" s="426"/>
      <c r="J77" s="942">
        <f t="shared" si="7"/>
        <v>0</v>
      </c>
      <c r="K77" s="413" t="s">
        <v>449</v>
      </c>
      <c r="L77" s="709">
        <f t="shared" ref="L77:L78" si="9">ROUND((IF(K77="A",(G77*$Z$13*6.1),IF(K77="B",(G77*$Z$13*5.8),IF(K77="C",(G77*$Z$13*5.5),IF(K77="D",(G77*$Z$13*5.2),0))))*$E$13+(H77*$AB$12*$E$13*6.1)+I77*$E$13*$AB$13*6.1),0)</f>
        <v>0</v>
      </c>
      <c r="M77" s="426">
        <f>VLOOKUP(C77,TONGHOPCONGDOI!$C$93:$AD$156,20,0)</f>
        <v>0</v>
      </c>
      <c r="N77" s="426">
        <f>VLOOKUP(C77,TONGHOPCONGDOI!$C$93:$AD$156,21,0)</f>
        <v>0</v>
      </c>
      <c r="O77" s="426">
        <f>VLOOKUP(C77,TONGHOPCONGDOI!$C$93:$AD$156,22,0)</f>
        <v>0</v>
      </c>
      <c r="P77" s="426">
        <f>VLOOKUP(C77,TONGHOPCONGDOI!$C$93:$AD$156,23,0)</f>
        <v>0</v>
      </c>
      <c r="Q77" s="426">
        <f>VLOOKUP(C77,TONGHOPCONGDOI!$C$93:$AD$156,24,0)</f>
        <v>0</v>
      </c>
      <c r="R77" s="426">
        <f>VLOOKUP(C77,TONGHOPCONGDOI!$C$93:$AD$156,25,0)</f>
        <v>0</v>
      </c>
      <c r="S77" s="426"/>
      <c r="T77" s="415"/>
      <c r="U77" s="415"/>
      <c r="V77" s="415"/>
      <c r="W77" s="1029">
        <f t="shared" si="5"/>
        <v>0</v>
      </c>
      <c r="X77" s="426">
        <f t="shared" si="8"/>
        <v>0</v>
      </c>
      <c r="Y77" s="426"/>
      <c r="Z77" s="426">
        <f>VLOOKUP(C77,'CNKT '!$C$98:$Z$161,24,0)</f>
        <v>0</v>
      </c>
      <c r="AA77" s="354">
        <f t="shared" si="6"/>
        <v>0</v>
      </c>
      <c r="AB77" s="354">
        <f>SUBTOTAL(9,L65:L76)</f>
        <v>34002500</v>
      </c>
    </row>
    <row r="78" spans="1:28" s="354" customFormat="1" ht="49.5" customHeight="1">
      <c r="A78" s="413">
        <v>62</v>
      </c>
      <c r="B78" s="620"/>
      <c r="C78" s="426" t="str">
        <f>TONGHOPCONGDOI!C154</f>
        <v>Thảo Túc</v>
      </c>
      <c r="D78" s="621"/>
      <c r="E78" s="427"/>
      <c r="F78" s="426">
        <f t="shared" si="2"/>
        <v>0</v>
      </c>
      <c r="G78" s="426">
        <f>VLOOKUP(C78,TONGHOPCONGDOI!C154:AD157,16,0)</f>
        <v>0</v>
      </c>
      <c r="H78" s="426">
        <f>VLOOKUP(C78,TONGHOPCONGDOI!C154:AD157,17,0)</f>
        <v>0</v>
      </c>
      <c r="I78" s="426"/>
      <c r="J78" s="942">
        <f t="shared" si="7"/>
        <v>0</v>
      </c>
      <c r="K78" s="413" t="s">
        <v>449</v>
      </c>
      <c r="L78" s="709">
        <f t="shared" si="9"/>
        <v>0</v>
      </c>
      <c r="M78" s="426">
        <f>VLOOKUP(C78,TONGHOPCONGDOI!$C$93:$AD$156,20,0)</f>
        <v>0</v>
      </c>
      <c r="N78" s="426">
        <f>VLOOKUP(C78,TONGHOPCONGDOI!$C$93:$AD$156,21,0)</f>
        <v>0</v>
      </c>
      <c r="O78" s="426">
        <f>VLOOKUP(C78,TONGHOPCONGDOI!$C$93:$AD$156,22,0)</f>
        <v>0</v>
      </c>
      <c r="P78" s="426">
        <f>VLOOKUP(C78,TONGHOPCONGDOI!$C$93:$AD$156,23,0)</f>
        <v>0</v>
      </c>
      <c r="Q78" s="426">
        <f>VLOOKUP(C78,TONGHOPCONGDOI!$C$93:$AD$156,24,0)</f>
        <v>0</v>
      </c>
      <c r="R78" s="426">
        <f>VLOOKUP(C78,TONGHOPCONGDOI!$C$93:$AD$156,25,0)</f>
        <v>0</v>
      </c>
      <c r="S78" s="426"/>
      <c r="T78" s="415"/>
      <c r="U78" s="415"/>
      <c r="V78" s="415"/>
      <c r="W78" s="1029">
        <f t="shared" si="5"/>
        <v>0</v>
      </c>
      <c r="X78" s="426">
        <f t="shared" si="8"/>
        <v>0</v>
      </c>
      <c r="Y78" s="426"/>
      <c r="Z78" s="426">
        <f>VLOOKUP(C78,'CNKT '!$C$98:$Z$161,24,0)</f>
        <v>0</v>
      </c>
      <c r="AA78" s="354">
        <f t="shared" si="6"/>
        <v>0</v>
      </c>
    </row>
    <row r="79" spans="1:28" s="354" customFormat="1" ht="49.5" customHeight="1">
      <c r="A79" s="413">
        <v>63</v>
      </c>
      <c r="B79" s="620"/>
      <c r="C79" s="426" t="str">
        <f>TONGHOPCONGDOI!C155</f>
        <v>Mủ Xi Rum</v>
      </c>
      <c r="D79" s="621"/>
      <c r="E79" s="427"/>
      <c r="F79" s="426"/>
      <c r="G79" s="426"/>
      <c r="H79" s="426"/>
      <c r="I79" s="426">
        <f>'BTH mủ Sỉum'!AH18</f>
        <v>0</v>
      </c>
      <c r="J79" s="942">
        <f>'BTH mủ Sỉum'!AJ18</f>
        <v>0</v>
      </c>
      <c r="K79" s="413"/>
      <c r="L79" s="709">
        <f>ROUND((J79*6.1*E13),0)</f>
        <v>0</v>
      </c>
      <c r="M79" s="426"/>
      <c r="N79" s="426"/>
      <c r="O79" s="426"/>
      <c r="P79" s="426"/>
      <c r="Q79" s="426"/>
      <c r="R79" s="426"/>
      <c r="S79" s="426"/>
      <c r="T79" s="415"/>
      <c r="U79" s="415"/>
      <c r="V79" s="415"/>
      <c r="W79" s="1029">
        <f t="shared" si="5"/>
        <v>0</v>
      </c>
      <c r="X79" s="426">
        <f t="shared" si="8"/>
        <v>0</v>
      </c>
      <c r="Y79" s="426"/>
      <c r="Z79" s="426">
        <f>VLOOKUP(C79,'CNKT '!$C$98:$Z$161,24,0)</f>
        <v>0</v>
      </c>
      <c r="AA79" s="354">
        <f t="shared" si="6"/>
        <v>0</v>
      </c>
    </row>
    <row r="80" spans="1:28" s="354" customFormat="1" ht="49.5" customHeight="1">
      <c r="A80" s="413">
        <v>61</v>
      </c>
      <c r="B80" s="620"/>
      <c r="C80" s="426" t="str">
        <f>TONGHOPCONGDOI!C156</f>
        <v>Lun</v>
      </c>
      <c r="D80" s="621"/>
      <c r="E80" s="427"/>
      <c r="F80" s="426">
        <f t="shared" si="2"/>
        <v>0</v>
      </c>
      <c r="G80" s="426"/>
      <c r="H80" s="426"/>
      <c r="I80" s="426"/>
      <c r="J80" s="942"/>
      <c r="K80" s="413"/>
      <c r="L80" s="709"/>
      <c r="M80" s="426"/>
      <c r="N80" s="426"/>
      <c r="O80" s="426">
        <f>VLOOKUP(C80,TONGHOPCONGDOI!$C$93:$AD$156,22,0)</f>
        <v>0</v>
      </c>
      <c r="P80" s="426"/>
      <c r="Q80" s="426"/>
      <c r="R80" s="426"/>
      <c r="S80" s="426"/>
      <c r="T80" s="415"/>
      <c r="U80" s="415"/>
      <c r="V80" s="415"/>
      <c r="W80" s="1029">
        <f>ROUND(((M80*46.1)+(N80*76.9)+(O80*92.2)+(P80*153.8)+(Q80*92.2)+(R80*153.8))*$E$13+(S80*20000)+(T80*10000)+(U80*30000),0)</f>
        <v>0</v>
      </c>
      <c r="X80" s="426">
        <f t="shared" si="8"/>
        <v>0</v>
      </c>
      <c r="Y80" s="426"/>
      <c r="Z80" s="426">
        <f>VLOOKUP(C80,'CNKT '!$C$98:$Z$161,24,0)</f>
        <v>0</v>
      </c>
      <c r="AA80" s="354">
        <f t="shared" si="6"/>
        <v>0</v>
      </c>
    </row>
    <row r="81" spans="1:28" s="354" customFormat="1" ht="42.75" hidden="1" customHeight="1">
      <c r="A81" s="413"/>
      <c r="B81" s="620"/>
      <c r="C81" s="426"/>
      <c r="D81" s="621"/>
      <c r="E81" s="427"/>
      <c r="F81" s="426"/>
      <c r="G81" s="426"/>
      <c r="H81" s="426"/>
      <c r="I81" s="426"/>
      <c r="J81" s="942"/>
      <c r="K81" s="413"/>
      <c r="L81" s="709"/>
      <c r="M81" s="426"/>
      <c r="N81" s="426"/>
      <c r="O81" s="426"/>
      <c r="P81" s="426"/>
      <c r="Q81" s="426"/>
      <c r="R81" s="426"/>
      <c r="S81" s="426"/>
      <c r="T81" s="415"/>
      <c r="U81" s="415"/>
      <c r="V81" s="415"/>
      <c r="W81" s="1029"/>
      <c r="X81" s="426"/>
      <c r="Y81" s="426"/>
      <c r="Z81" s="426"/>
    </row>
    <row r="82" spans="1:28" s="354" customFormat="1" ht="42.75" hidden="1" customHeight="1">
      <c r="A82" s="413">
        <v>65</v>
      </c>
      <c r="B82" s="620"/>
      <c r="C82" s="426" t="str">
        <f>TONGHOPCONGDOI!C157</f>
        <v>T. Tý</v>
      </c>
      <c r="D82" s="621"/>
      <c r="E82" s="427">
        <f>VLOOKUP(C82,TONGHOPCONGDOI!C157:Q159,15,0)</f>
        <v>0</v>
      </c>
      <c r="F82" s="426">
        <f>E82*25000</f>
        <v>0</v>
      </c>
      <c r="G82" s="426"/>
      <c r="H82" s="426"/>
      <c r="I82" s="426"/>
      <c r="J82" s="942"/>
      <c r="K82" s="413"/>
      <c r="L82" s="709"/>
      <c r="M82" s="426"/>
      <c r="N82" s="426"/>
      <c r="O82" s="426"/>
      <c r="P82" s="426"/>
      <c r="Q82" s="426"/>
      <c r="R82" s="426"/>
      <c r="S82" s="426"/>
      <c r="T82" s="415">
        <f>SUM(M82:S82)</f>
        <v>0</v>
      </c>
      <c r="U82" s="415">
        <f>SUM(M82:R82)</f>
        <v>0</v>
      </c>
      <c r="V82" s="415">
        <f>SUM(M82:R82)</f>
        <v>0</v>
      </c>
      <c r="W82" s="1029">
        <f>((M82*46.1)+(N82*76.9)+(O82*92.2)+(P82*153.8)+(Q82*92.2)+(R82*153.8))*$E$13+(S82*20000)+(T82*10000)+(U82*30000)</f>
        <v>0</v>
      </c>
      <c r="X82" s="426">
        <f>F82+L82+W82</f>
        <v>0</v>
      </c>
      <c r="Y82" s="426"/>
      <c r="Z82" s="426"/>
      <c r="AA82" s="354">
        <f t="shared" si="6"/>
        <v>0</v>
      </c>
    </row>
    <row r="83" spans="1:28" s="354" customFormat="1" ht="37.5" customHeight="1">
      <c r="A83" s="1483" t="s">
        <v>385</v>
      </c>
      <c r="B83" s="1484"/>
      <c r="C83" s="1484"/>
      <c r="D83" s="1485"/>
      <c r="E83" s="416">
        <f>SUM(E17:E82)</f>
        <v>0</v>
      </c>
      <c r="F83" s="416">
        <f t="shared" ref="F83:Z83" si="10">SUM(F17:F82)</f>
        <v>0</v>
      </c>
      <c r="G83" s="416">
        <f t="shared" si="10"/>
        <v>99980</v>
      </c>
      <c r="H83" s="416">
        <f t="shared" si="10"/>
        <v>0</v>
      </c>
      <c r="I83" s="416">
        <f t="shared" si="10"/>
        <v>0</v>
      </c>
      <c r="J83" s="416">
        <f t="shared" si="10"/>
        <v>50774.636000000042</v>
      </c>
      <c r="K83" s="416">
        <f t="shared" si="10"/>
        <v>0</v>
      </c>
      <c r="L83" s="416">
        <f t="shared" si="10"/>
        <v>184150425</v>
      </c>
      <c r="M83" s="416">
        <f t="shared" si="10"/>
        <v>1510</v>
      </c>
      <c r="N83" s="416">
        <f t="shared" si="10"/>
        <v>220</v>
      </c>
      <c r="O83" s="416">
        <f t="shared" si="10"/>
        <v>0</v>
      </c>
      <c r="P83" s="416">
        <f t="shared" si="10"/>
        <v>0</v>
      </c>
      <c r="Q83" s="416">
        <f t="shared" si="10"/>
        <v>0</v>
      </c>
      <c r="R83" s="416">
        <f t="shared" si="10"/>
        <v>0</v>
      </c>
      <c r="S83" s="416">
        <f t="shared" si="10"/>
        <v>1160</v>
      </c>
      <c r="T83" s="416">
        <f t="shared" si="10"/>
        <v>0</v>
      </c>
      <c r="U83" s="416">
        <f t="shared" si="10"/>
        <v>0</v>
      </c>
      <c r="V83" s="416"/>
      <c r="W83" s="416">
        <f t="shared" si="10"/>
        <v>86821270</v>
      </c>
      <c r="X83" s="416">
        <f>SUM(X17:X82)</f>
        <v>270971695</v>
      </c>
      <c r="Y83" s="416">
        <f t="shared" si="10"/>
        <v>0</v>
      </c>
      <c r="Z83" s="1299">
        <f t="shared" si="10"/>
        <v>270971695</v>
      </c>
      <c r="AA83" s="354">
        <f t="shared" si="6"/>
        <v>0</v>
      </c>
      <c r="AB83" s="354">
        <v>598630435</v>
      </c>
    </row>
    <row r="84" spans="1:28" ht="51.6" customHeight="1">
      <c r="A84" s="1476" t="s">
        <v>745</v>
      </c>
      <c r="B84" s="1476"/>
      <c r="C84" s="1476"/>
      <c r="D84" s="1476"/>
      <c r="E84" s="1476"/>
      <c r="F84" s="1476"/>
      <c r="G84" s="1476"/>
      <c r="H84" s="1476"/>
      <c r="I84" s="1476"/>
      <c r="J84" s="1476"/>
      <c r="K84" s="1476"/>
      <c r="L84" s="1476"/>
      <c r="M84" s="1476"/>
      <c r="N84" s="1476"/>
      <c r="O84" s="1476"/>
      <c r="P84" s="1476"/>
      <c r="Q84" s="1476"/>
      <c r="R84" s="1476"/>
      <c r="S84" s="1476"/>
      <c r="T84" s="1476"/>
      <c r="U84" s="1476"/>
      <c r="V84" s="1476"/>
      <c r="W84" s="1476"/>
      <c r="X84" s="1476"/>
      <c r="Y84" s="1476"/>
      <c r="Z84" s="1476"/>
    </row>
    <row r="85" spans="1:28" ht="24.75" customHeight="1">
      <c r="D85" s="356"/>
      <c r="E85" s="357"/>
      <c r="M85" s="362"/>
      <c r="N85" s="362"/>
      <c r="O85" s="362"/>
      <c r="P85" s="362"/>
      <c r="Q85" s="362"/>
      <c r="R85" s="362"/>
      <c r="S85" s="362"/>
      <c r="W85" s="1499" t="s">
        <v>702</v>
      </c>
      <c r="X85" s="1499"/>
      <c r="Y85" s="1499"/>
      <c r="Z85" s="1499"/>
    </row>
    <row r="86" spans="1:28" s="365" customFormat="1" ht="19.5" customHeight="1">
      <c r="A86" s="354"/>
      <c r="B86" s="1166"/>
      <c r="C86" s="355"/>
      <c r="D86" s="356"/>
      <c r="E86" s="357"/>
      <c r="F86" s="358"/>
      <c r="G86" s="358"/>
      <c r="H86" s="358"/>
      <c r="I86" s="358"/>
      <c r="J86" s="359"/>
      <c r="K86" s="360"/>
      <c r="L86" s="361"/>
      <c r="M86" s="362"/>
      <c r="N86" s="362"/>
      <c r="O86" s="362"/>
      <c r="P86" s="362"/>
      <c r="Q86" s="362"/>
      <c r="R86" s="362"/>
      <c r="S86" s="362"/>
      <c r="T86" s="358"/>
      <c r="U86" s="358"/>
      <c r="V86" s="358"/>
      <c r="W86" s="358"/>
      <c r="X86" s="358"/>
      <c r="Y86" s="363"/>
      <c r="Z86" s="363"/>
      <c r="AB86" s="365">
        <f>Z83-Z82</f>
        <v>270971695</v>
      </c>
    </row>
    <row r="87" spans="1:28" s="365" customFormat="1" ht="29.25" customHeight="1">
      <c r="A87" s="1482" t="s">
        <v>660</v>
      </c>
      <c r="B87" s="1482"/>
      <c r="C87" s="1482"/>
      <c r="D87" s="1482"/>
      <c r="E87" s="1482"/>
      <c r="F87" s="1482"/>
      <c r="G87" s="1482"/>
      <c r="H87" s="1482"/>
      <c r="I87" s="1482"/>
      <c r="J87" s="1482"/>
      <c r="K87" s="1482"/>
      <c r="L87" s="1482"/>
      <c r="M87" s="1482"/>
      <c r="N87" s="1482"/>
      <c r="O87" s="1482"/>
      <c r="P87" s="1482"/>
      <c r="Q87" s="1482"/>
      <c r="R87" s="1482"/>
      <c r="S87" s="1482"/>
      <c r="T87" s="1482"/>
      <c r="U87" s="1482"/>
      <c r="V87" s="1482"/>
      <c r="W87" s="1482"/>
      <c r="X87" s="1482"/>
      <c r="Y87" s="1482"/>
      <c r="Z87" s="1482"/>
    </row>
    <row r="88" spans="1:28" s="365" customFormat="1" ht="19.5" customHeight="1">
      <c r="A88" s="364"/>
      <c r="B88" s="364"/>
      <c r="C88" s="1167"/>
      <c r="D88" s="1167"/>
      <c r="E88" s="1167"/>
      <c r="F88" s="1167"/>
      <c r="G88" s="1167"/>
      <c r="H88" s="1167"/>
      <c r="I88" s="1167"/>
      <c r="J88" s="366"/>
      <c r="K88" s="1167"/>
      <c r="L88" s="367"/>
      <c r="O88" s="367"/>
      <c r="P88" s="367"/>
      <c r="Q88" s="367"/>
      <c r="R88" s="367"/>
      <c r="S88" s="367"/>
      <c r="T88" s="367"/>
      <c r="U88" s="367"/>
      <c r="V88" s="367"/>
      <c r="W88" s="368"/>
      <c r="X88" s="1167"/>
      <c r="Y88" s="1167"/>
      <c r="Z88" s="1167"/>
    </row>
    <row r="89" spans="1:28" s="365" customFormat="1" ht="19.5" customHeight="1">
      <c r="A89" s="364"/>
      <c r="B89" s="364"/>
      <c r="C89" s="1167"/>
      <c r="D89" s="1167"/>
      <c r="E89" s="1167"/>
      <c r="F89" s="1167"/>
      <c r="G89" s="1167"/>
      <c r="H89" s="1167"/>
      <c r="I89" s="1167"/>
      <c r="J89" s="366"/>
      <c r="K89" s="1167"/>
      <c r="L89" s="367"/>
      <c r="O89" s="367"/>
      <c r="P89" s="367"/>
      <c r="Q89" s="367"/>
      <c r="R89" s="367"/>
      <c r="S89" s="367"/>
      <c r="T89" s="367"/>
      <c r="U89" s="367"/>
      <c r="V89" s="367"/>
      <c r="W89" s="368"/>
      <c r="X89" s="1167"/>
      <c r="Y89" s="1167"/>
      <c r="Z89" s="1167"/>
    </row>
    <row r="90" spans="1:28" s="365" customFormat="1" ht="19.5" customHeight="1">
      <c r="A90" s="364"/>
      <c r="B90" s="364"/>
      <c r="C90" s="1167"/>
      <c r="D90" s="1167"/>
      <c r="E90" s="1167"/>
      <c r="F90" s="1167"/>
      <c r="G90" s="1167"/>
      <c r="H90" s="1167"/>
      <c r="I90" s="1167"/>
      <c r="J90" s="366"/>
      <c r="K90" s="1167"/>
      <c r="L90" s="367"/>
      <c r="O90" s="367"/>
      <c r="P90" s="367"/>
      <c r="Q90" s="367"/>
      <c r="R90" s="367"/>
      <c r="S90" s="367"/>
      <c r="T90" s="367"/>
      <c r="U90" s="367"/>
      <c r="V90" s="367"/>
      <c r="W90" s="368"/>
      <c r="X90" s="1167"/>
      <c r="Y90" s="1167"/>
      <c r="Z90" s="1167"/>
    </row>
    <row r="91" spans="1:28" s="365" customFormat="1" ht="19.5" customHeight="1">
      <c r="A91" s="364"/>
      <c r="B91" s="364"/>
      <c r="C91" s="1167"/>
      <c r="D91" s="1167"/>
      <c r="E91" s="1167"/>
      <c r="F91" s="1167"/>
      <c r="G91" s="1167"/>
      <c r="H91" s="1167"/>
      <c r="I91" s="1167"/>
      <c r="J91" s="366"/>
      <c r="K91" s="1167"/>
      <c r="L91" s="367"/>
      <c r="O91" s="367"/>
      <c r="P91" s="367"/>
      <c r="Q91" s="367"/>
      <c r="R91" s="367"/>
      <c r="S91" s="367"/>
      <c r="T91" s="367"/>
      <c r="U91" s="367"/>
      <c r="V91" s="367"/>
      <c r="W91" s="368">
        <f>SUBTOTAL(9,W17:W76)</f>
        <v>86821270</v>
      </c>
      <c r="X91" s="1167"/>
      <c r="Y91" s="1167"/>
      <c r="Z91" s="1167"/>
    </row>
    <row r="92" spans="1:28" s="365" customFormat="1" ht="19.5" customHeight="1">
      <c r="A92" s="364"/>
      <c r="B92" s="364"/>
      <c r="C92" s="1167"/>
      <c r="D92" s="1167"/>
      <c r="E92" s="1167"/>
      <c r="F92" s="1167"/>
      <c r="G92" s="1167"/>
      <c r="H92" s="1167"/>
      <c r="I92" s="1167"/>
      <c r="J92" s="366"/>
      <c r="K92" s="1167"/>
      <c r="L92" s="367"/>
      <c r="O92" s="367"/>
      <c r="P92" s="367"/>
      <c r="Q92" s="367"/>
      <c r="R92" s="367"/>
      <c r="S92" s="367"/>
      <c r="T92" s="367"/>
      <c r="U92" s="367"/>
      <c r="V92" s="367"/>
      <c r="W92" s="368"/>
      <c r="X92" s="1167"/>
      <c r="Y92" s="1167"/>
      <c r="Z92" s="1167"/>
      <c r="AB92" s="365">
        <f>L83-'[3]TRẠM 2'!$L$82</f>
        <v>0</v>
      </c>
    </row>
    <row r="93" spans="1:28" s="365" customFormat="1" ht="19.5" customHeight="1">
      <c r="A93" s="364"/>
      <c r="B93" s="364"/>
      <c r="C93" s="1167"/>
      <c r="D93" s="1167"/>
      <c r="E93" s="1167"/>
      <c r="F93" s="1167"/>
      <c r="G93" s="1167"/>
      <c r="H93" s="1167"/>
      <c r="I93" s="1167"/>
      <c r="J93" s="366"/>
      <c r="K93" s="1167"/>
      <c r="L93" s="367"/>
      <c r="O93" s="367"/>
      <c r="P93" s="367"/>
      <c r="Q93" s="367"/>
      <c r="R93" s="367"/>
      <c r="S93" s="367"/>
      <c r="T93" s="367"/>
      <c r="U93" s="367"/>
      <c r="V93" s="367"/>
      <c r="W93" s="368"/>
      <c r="X93" s="1167"/>
      <c r="Y93" s="1167"/>
      <c r="Z93" s="1167"/>
    </row>
    <row r="94" spans="1:28" s="365" customFormat="1" ht="19.5" customHeight="1">
      <c r="A94" s="364"/>
      <c r="B94" s="364"/>
      <c r="C94" s="1167"/>
      <c r="D94" s="1167"/>
      <c r="E94" s="1167"/>
      <c r="F94" s="1167"/>
      <c r="G94" s="1167"/>
      <c r="H94" s="1167"/>
      <c r="I94" s="1167"/>
      <c r="J94" s="366"/>
      <c r="K94" s="1167"/>
      <c r="L94" s="367"/>
      <c r="O94" s="367"/>
      <c r="P94" s="367"/>
      <c r="Q94" s="367"/>
      <c r="R94" s="367"/>
      <c r="S94" s="367"/>
      <c r="T94" s="367"/>
      <c r="U94" s="367"/>
      <c r="V94" s="367"/>
      <c r="W94" s="368"/>
      <c r="X94" s="1167"/>
      <c r="Y94" s="1167"/>
      <c r="Z94" s="1167"/>
    </row>
    <row r="95" spans="1:28" s="365" customFormat="1" ht="19.5" customHeight="1">
      <c r="A95" s="364"/>
      <c r="B95" s="364"/>
      <c r="C95" s="1167"/>
      <c r="D95" s="1167"/>
      <c r="E95" s="1167"/>
      <c r="F95" s="1167"/>
      <c r="G95" s="1167"/>
      <c r="H95" s="1167"/>
      <c r="I95" s="1167"/>
      <c r="J95" s="366"/>
      <c r="K95" s="1167"/>
      <c r="L95" s="367"/>
      <c r="O95" s="367"/>
      <c r="P95" s="367"/>
      <c r="Q95" s="367"/>
      <c r="R95" s="367"/>
      <c r="S95" s="367"/>
      <c r="T95" s="367"/>
      <c r="U95" s="367"/>
      <c r="V95" s="367"/>
      <c r="W95" s="368"/>
      <c r="X95" s="1167"/>
      <c r="Y95" s="1167"/>
      <c r="Z95" s="1167"/>
    </row>
    <row r="96" spans="1:28" s="365" customFormat="1" ht="26.25" customHeight="1">
      <c r="A96" s="364"/>
      <c r="B96" s="364"/>
      <c r="C96" s="1167"/>
      <c r="D96" s="1167"/>
      <c r="E96" s="1167"/>
      <c r="F96" s="1167"/>
      <c r="G96" s="1167"/>
      <c r="H96" s="1167"/>
      <c r="I96" s="1167"/>
      <c r="J96" s="366"/>
      <c r="K96" s="1167"/>
      <c r="L96" s="369"/>
      <c r="O96" s="367"/>
      <c r="P96" s="367"/>
      <c r="Q96" s="367"/>
      <c r="R96" s="367"/>
      <c r="S96" s="367"/>
      <c r="T96" s="367"/>
      <c r="U96" s="367"/>
      <c r="V96" s="367"/>
      <c r="W96" s="367"/>
      <c r="X96" s="1167"/>
      <c r="Y96" s="1167"/>
      <c r="Z96" s="1167"/>
    </row>
    <row r="97" spans="1:26" s="365" customFormat="1" ht="19.5" customHeight="1">
      <c r="A97" s="364"/>
      <c r="B97" s="364"/>
      <c r="C97" s="364"/>
      <c r="D97" s="364"/>
      <c r="E97" s="364"/>
      <c r="F97" s="364"/>
      <c r="G97" s="364"/>
      <c r="H97" s="364"/>
      <c r="I97" s="364"/>
      <c r="J97" s="364"/>
      <c r="K97" s="1482" t="s">
        <v>723</v>
      </c>
      <c r="L97" s="1482"/>
      <c r="M97" s="1482"/>
      <c r="N97" s="1482" t="s">
        <v>724</v>
      </c>
      <c r="O97" s="1482"/>
      <c r="P97" s="1482"/>
      <c r="Q97" s="1482"/>
      <c r="R97" s="1482"/>
      <c r="S97" s="1482"/>
      <c r="T97" s="1482"/>
      <c r="U97" s="1482"/>
      <c r="V97" s="1482"/>
      <c r="W97" s="1482"/>
      <c r="X97" s="1482" t="s">
        <v>722</v>
      </c>
      <c r="Y97" s="1482"/>
      <c r="Z97" s="1482"/>
    </row>
    <row r="98" spans="1:26" s="365" customFormat="1" ht="19.5" customHeight="1">
      <c r="A98" s="364"/>
      <c r="C98" s="1167"/>
      <c r="D98" s="370"/>
      <c r="E98" s="369"/>
      <c r="F98" s="371"/>
      <c r="G98" s="371"/>
      <c r="H98" s="371"/>
      <c r="I98" s="371"/>
      <c r="J98" s="366"/>
      <c r="K98" s="1167"/>
      <c r="L98" s="369"/>
      <c r="O98" s="367"/>
      <c r="P98" s="367"/>
      <c r="Q98" s="367"/>
      <c r="R98" s="367"/>
      <c r="S98" s="367"/>
      <c r="T98" s="367"/>
      <c r="U98" s="367"/>
      <c r="V98" s="367"/>
      <c r="W98" s="358"/>
      <c r="X98" s="369"/>
      <c r="Y98" s="367"/>
      <c r="Z98" s="367"/>
    </row>
    <row r="99" spans="1:26">
      <c r="B99" s="358"/>
      <c r="C99" s="358"/>
      <c r="E99" s="362"/>
      <c r="F99" s="362"/>
      <c r="G99" s="362"/>
      <c r="H99" s="362"/>
      <c r="I99" s="362"/>
      <c r="J99" s="373"/>
      <c r="K99" s="373"/>
      <c r="L99" s="362"/>
    </row>
    <row r="100" spans="1:26">
      <c r="B100" s="358"/>
      <c r="C100" s="358"/>
      <c r="E100" s="362"/>
      <c r="F100" s="418"/>
      <c r="G100" s="418"/>
      <c r="H100" s="418"/>
      <c r="I100" s="418"/>
      <c r="J100" s="373"/>
      <c r="K100" s="373"/>
      <c r="L100" s="419"/>
      <c r="M100" s="1477"/>
      <c r="N100" s="1477"/>
      <c r="O100" s="1477"/>
      <c r="P100" s="1165"/>
      <c r="Q100" s="1165"/>
      <c r="R100" s="1165"/>
      <c r="S100" s="1165"/>
      <c r="W100" s="417"/>
      <c r="X100" s="417"/>
    </row>
    <row r="101" spans="1:26">
      <c r="B101" s="358"/>
      <c r="C101" s="358"/>
      <c r="E101" s="362"/>
      <c r="J101" s="373"/>
      <c r="K101" s="373"/>
      <c r="L101" s="358"/>
      <c r="W101" s="420"/>
    </row>
    <row r="102" spans="1:26" ht="409.6" customHeight="1">
      <c r="B102" s="358"/>
      <c r="C102" s="362"/>
      <c r="E102" s="372"/>
      <c r="J102" s="373"/>
      <c r="K102" s="373"/>
      <c r="L102" s="358"/>
      <c r="M102" s="417"/>
      <c r="N102" s="417"/>
      <c r="O102" s="417"/>
      <c r="P102" s="417"/>
      <c r="Q102" s="417"/>
      <c r="R102" s="417"/>
      <c r="S102" s="417"/>
      <c r="T102" s="417"/>
      <c r="U102" s="417"/>
      <c r="V102" s="417"/>
      <c r="Y102" s="417"/>
      <c r="Z102" s="417"/>
    </row>
    <row r="103" spans="1:26">
      <c r="B103" s="358"/>
      <c r="C103" s="358"/>
      <c r="D103" s="362"/>
      <c r="E103" s="362"/>
      <c r="K103" s="1166"/>
      <c r="L103" s="358"/>
      <c r="Y103" s="417"/>
      <c r="Z103" s="417"/>
    </row>
    <row r="104" spans="1:26">
      <c r="B104" s="358"/>
      <c r="C104" s="362"/>
      <c r="D104" s="421"/>
      <c r="E104" s="1478"/>
      <c r="F104" s="362"/>
      <c r="G104" s="362"/>
      <c r="H104" s="362"/>
      <c r="I104" s="362"/>
      <c r="J104" s="373"/>
      <c r="K104" s="373"/>
      <c r="L104" s="418"/>
    </row>
    <row r="105" spans="1:26">
      <c r="B105" s="358"/>
      <c r="C105" s="358"/>
      <c r="E105" s="1478"/>
      <c r="F105" s="362"/>
      <c r="G105" s="362"/>
      <c r="H105" s="362"/>
      <c r="I105" s="362"/>
      <c r="J105" s="373"/>
      <c r="K105" s="373"/>
      <c r="L105" s="362"/>
    </row>
    <row r="106" spans="1:26">
      <c r="B106" s="358"/>
      <c r="C106" s="358"/>
      <c r="E106" s="1478"/>
      <c r="F106" s="362"/>
      <c r="G106" s="362"/>
      <c r="H106" s="362"/>
      <c r="I106" s="362"/>
      <c r="J106" s="373"/>
      <c r="K106" s="373"/>
      <c r="L106" s="358"/>
      <c r="M106" s="419"/>
      <c r="N106" s="419"/>
      <c r="O106" s="419"/>
      <c r="P106" s="419"/>
      <c r="Q106" s="419"/>
      <c r="R106" s="419"/>
      <c r="S106" s="419"/>
      <c r="T106" s="419"/>
      <c r="U106" s="419"/>
      <c r="V106" s="419"/>
      <c r="W106" s="419"/>
      <c r="Z106" s="362"/>
    </row>
    <row r="107" spans="1:26">
      <c r="B107" s="358"/>
      <c r="C107" s="358"/>
      <c r="E107" s="1478"/>
      <c r="F107" s="362"/>
      <c r="G107" s="362"/>
      <c r="H107" s="362"/>
      <c r="I107" s="362"/>
      <c r="J107" s="373"/>
      <c r="K107" s="373"/>
      <c r="L107" s="358"/>
      <c r="M107" s="1165"/>
      <c r="N107" s="1165"/>
      <c r="O107" s="1165"/>
      <c r="P107" s="1165"/>
      <c r="Q107" s="1165"/>
      <c r="R107" s="1165"/>
      <c r="S107" s="1165"/>
      <c r="T107" s="1165"/>
      <c r="U107" s="1165"/>
      <c r="V107" s="1165"/>
      <c r="W107" s="1165"/>
      <c r="Z107" s="362"/>
    </row>
    <row r="108" spans="1:26">
      <c r="B108" s="358"/>
      <c r="C108" s="358"/>
      <c r="E108" s="362"/>
      <c r="F108" s="362"/>
      <c r="G108" s="362"/>
      <c r="H108" s="362"/>
      <c r="I108" s="362"/>
      <c r="J108" s="373"/>
      <c r="K108" s="373"/>
      <c r="L108" s="358"/>
      <c r="M108" s="1165"/>
      <c r="N108" s="1165"/>
      <c r="O108" s="1165"/>
      <c r="P108" s="1165"/>
      <c r="Q108" s="1165"/>
      <c r="R108" s="1165"/>
      <c r="S108" s="1165"/>
      <c r="T108" s="1165"/>
      <c r="U108" s="1165"/>
      <c r="V108" s="1165"/>
      <c r="W108" s="1165"/>
      <c r="Z108" s="362"/>
    </row>
    <row r="109" spans="1:26">
      <c r="B109" s="358"/>
      <c r="C109" s="358"/>
      <c r="E109" s="362"/>
      <c r="F109" s="362"/>
      <c r="G109" s="362"/>
      <c r="H109" s="362"/>
      <c r="I109" s="362"/>
      <c r="J109" s="373"/>
      <c r="K109" s="373"/>
      <c r="L109" s="358"/>
      <c r="M109" s="1165"/>
      <c r="N109" s="1165"/>
      <c r="O109" s="1165"/>
      <c r="P109" s="1165"/>
      <c r="Q109" s="1165"/>
      <c r="R109" s="1165"/>
      <c r="S109" s="1165"/>
      <c r="T109" s="1165"/>
      <c r="U109" s="1165"/>
      <c r="V109" s="1165"/>
      <c r="W109" s="1165"/>
      <c r="Z109" s="362"/>
    </row>
    <row r="110" spans="1:26">
      <c r="B110" s="358"/>
      <c r="C110" s="358"/>
      <c r="E110" s="362"/>
      <c r="F110" s="362"/>
      <c r="G110" s="362"/>
      <c r="H110" s="362"/>
      <c r="I110" s="362"/>
      <c r="J110" s="373"/>
      <c r="K110" s="373"/>
      <c r="L110" s="358"/>
      <c r="M110" s="1165"/>
      <c r="N110" s="1165"/>
      <c r="O110" s="1165"/>
      <c r="P110" s="1165"/>
      <c r="Q110" s="1165"/>
      <c r="R110" s="1165"/>
      <c r="S110" s="1165"/>
      <c r="T110" s="1165"/>
      <c r="U110" s="1165"/>
      <c r="V110" s="1165"/>
      <c r="W110" s="1165"/>
      <c r="Z110" s="362"/>
    </row>
    <row r="111" spans="1:26">
      <c r="B111" s="358"/>
      <c r="C111" s="358"/>
      <c r="E111" s="362"/>
      <c r="F111" s="362"/>
      <c r="G111" s="362"/>
      <c r="H111" s="362"/>
      <c r="I111" s="362"/>
      <c r="J111" s="373"/>
      <c r="K111" s="373"/>
      <c r="L111" s="358"/>
      <c r="M111" s="1165"/>
      <c r="N111" s="1165"/>
      <c r="O111" s="1165"/>
      <c r="P111" s="1165"/>
      <c r="Q111" s="1165"/>
      <c r="R111" s="1165"/>
      <c r="S111" s="1165"/>
      <c r="T111" s="1165"/>
      <c r="U111" s="1165"/>
      <c r="V111" s="1165"/>
      <c r="W111" s="1165"/>
      <c r="Z111" s="362"/>
    </row>
    <row r="112" spans="1:26">
      <c r="B112" s="358"/>
      <c r="C112" s="358"/>
      <c r="E112" s="362"/>
      <c r="F112" s="362"/>
      <c r="G112" s="362"/>
      <c r="H112" s="362"/>
      <c r="I112" s="362"/>
      <c r="J112" s="373"/>
      <c r="K112" s="373"/>
      <c r="L112" s="358"/>
      <c r="M112" s="1165"/>
      <c r="N112" s="1165"/>
      <c r="O112" s="1165"/>
      <c r="P112" s="1165"/>
      <c r="Q112" s="1165"/>
      <c r="R112" s="1165"/>
      <c r="S112" s="1165"/>
      <c r="T112" s="1165"/>
      <c r="U112" s="1165"/>
      <c r="V112" s="1165"/>
      <c r="W112" s="1165"/>
      <c r="Z112" s="362"/>
    </row>
    <row r="113" spans="1:26">
      <c r="B113" s="358"/>
      <c r="C113" s="358"/>
      <c r="E113" s="362"/>
      <c r="F113" s="362"/>
      <c r="G113" s="362"/>
      <c r="H113" s="362"/>
      <c r="I113" s="362"/>
      <c r="J113" s="373"/>
      <c r="K113" s="373"/>
      <c r="L113" s="358"/>
      <c r="M113" s="1165"/>
      <c r="N113" s="1165"/>
      <c r="O113" s="1165"/>
      <c r="P113" s="1165"/>
      <c r="Q113" s="1165"/>
      <c r="R113" s="1165"/>
      <c r="S113" s="1165"/>
      <c r="T113" s="1165"/>
      <c r="U113" s="1165"/>
      <c r="V113" s="1165"/>
      <c r="W113" s="1165"/>
      <c r="Z113" s="362"/>
    </row>
    <row r="114" spans="1:26">
      <c r="B114" s="358"/>
      <c r="C114" s="358"/>
      <c r="E114" s="358"/>
      <c r="J114" s="373"/>
      <c r="K114" s="373"/>
      <c r="L114" s="358"/>
      <c r="M114" s="1479"/>
      <c r="N114" s="1479"/>
      <c r="O114" s="1479"/>
      <c r="P114" s="1166"/>
      <c r="Q114" s="1166"/>
      <c r="R114" s="1166"/>
      <c r="S114" s="1166"/>
    </row>
    <row r="115" spans="1:26">
      <c r="B115" s="358"/>
      <c r="C115" s="358"/>
      <c r="E115" s="358"/>
      <c r="J115" s="1161"/>
      <c r="K115" s="1161"/>
      <c r="L115" s="358"/>
      <c r="O115" s="417"/>
      <c r="P115" s="417"/>
      <c r="Q115" s="417"/>
      <c r="R115" s="417"/>
      <c r="S115" s="417"/>
      <c r="T115" s="417"/>
      <c r="U115" s="417"/>
      <c r="V115" s="417"/>
      <c r="W115" s="417"/>
    </row>
    <row r="116" spans="1:26">
      <c r="B116" s="358"/>
      <c r="C116" s="358"/>
      <c r="E116" s="362"/>
      <c r="J116" s="373"/>
      <c r="K116" s="373"/>
      <c r="L116" s="358"/>
    </row>
    <row r="117" spans="1:26">
      <c r="B117" s="358"/>
      <c r="C117" s="358"/>
      <c r="E117" s="362"/>
      <c r="J117" s="373"/>
      <c r="K117" s="373"/>
      <c r="L117" s="358"/>
    </row>
    <row r="118" spans="1:26">
      <c r="B118" s="358"/>
      <c r="C118" s="358"/>
      <c r="E118" s="362"/>
      <c r="J118" s="373"/>
      <c r="K118" s="373"/>
      <c r="L118" s="358"/>
    </row>
    <row r="119" spans="1:26">
      <c r="A119" s="358"/>
      <c r="J119" s="373"/>
      <c r="K119" s="373"/>
      <c r="Z119" s="417"/>
    </row>
    <row r="120" spans="1:26">
      <c r="A120" s="358"/>
      <c r="J120" s="373"/>
      <c r="K120" s="373"/>
      <c r="Z120" s="417"/>
    </row>
    <row r="121" spans="1:26">
      <c r="A121" s="358"/>
      <c r="J121" s="373"/>
      <c r="K121" s="373"/>
      <c r="Z121" s="1166"/>
    </row>
    <row r="122" spans="1:26">
      <c r="A122" s="358"/>
      <c r="J122" s="373"/>
      <c r="K122" s="373"/>
      <c r="Z122" s="1166"/>
    </row>
    <row r="123" spans="1:26">
      <c r="A123" s="358"/>
      <c r="J123" s="373"/>
      <c r="K123" s="373"/>
      <c r="Z123" s="1166"/>
    </row>
    <row r="124" spans="1:26" ht="28.5" customHeight="1">
      <c r="A124" s="358"/>
      <c r="B124" s="1037"/>
      <c r="J124" s="1480"/>
      <c r="K124" s="1480"/>
      <c r="T124" s="1479"/>
      <c r="U124" s="1479"/>
      <c r="V124" s="1479"/>
      <c r="W124" s="1479"/>
      <c r="X124" s="417"/>
    </row>
    <row r="125" spans="1:26">
      <c r="A125" s="358"/>
      <c r="B125" s="423"/>
      <c r="F125" s="362"/>
      <c r="G125" s="362"/>
      <c r="H125" s="362"/>
      <c r="I125" s="362"/>
      <c r="J125" s="373"/>
      <c r="K125" s="373"/>
    </row>
    <row r="126" spans="1:26">
      <c r="A126" s="358"/>
      <c r="B126" s="423"/>
      <c r="E126" s="417"/>
      <c r="J126" s="373"/>
      <c r="K126" s="424"/>
    </row>
    <row r="127" spans="1:26">
      <c r="A127" s="358"/>
      <c r="B127" s="423"/>
      <c r="J127" s="373"/>
      <c r="K127" s="424"/>
    </row>
    <row r="128" spans="1:26">
      <c r="A128" s="358"/>
      <c r="J128" s="373"/>
      <c r="K128" s="424"/>
    </row>
    <row r="129" spans="1:14">
      <c r="A129" s="358"/>
      <c r="F129" s="1480"/>
      <c r="G129" s="1480"/>
      <c r="H129" s="1480"/>
      <c r="I129" s="1480"/>
      <c r="J129" s="1480"/>
      <c r="K129" s="424"/>
    </row>
    <row r="131" spans="1:14">
      <c r="A131" s="358"/>
      <c r="J131" s="1475"/>
      <c r="K131" s="1475"/>
    </row>
    <row r="133" spans="1:14">
      <c r="A133" s="358"/>
      <c r="F133" s="362"/>
      <c r="G133" s="362"/>
      <c r="H133" s="362"/>
      <c r="I133" s="362"/>
      <c r="J133" s="373"/>
    </row>
    <row r="134" spans="1:14">
      <c r="A134" s="358"/>
      <c r="M134" s="362"/>
      <c r="N134" s="362"/>
    </row>
    <row r="138" spans="1:14">
      <c r="A138" s="358"/>
      <c r="F138" s="362"/>
      <c r="G138" s="362"/>
      <c r="H138" s="362"/>
      <c r="I138" s="362"/>
    </row>
    <row r="139" spans="1:14">
      <c r="A139" s="358"/>
      <c r="B139" s="358"/>
      <c r="C139" s="358"/>
      <c r="E139" s="358"/>
      <c r="F139" s="362"/>
      <c r="G139" s="362"/>
      <c r="H139" s="362"/>
      <c r="I139" s="362"/>
    </row>
    <row r="145" spans="1:23">
      <c r="A145" s="358"/>
      <c r="B145" s="358"/>
      <c r="C145" s="358"/>
      <c r="E145" s="358"/>
      <c r="K145" s="360">
        <v>1678</v>
      </c>
      <c r="L145" s="361">
        <v>1573</v>
      </c>
      <c r="M145" s="358">
        <v>1187</v>
      </c>
      <c r="O145" s="358">
        <v>1183</v>
      </c>
      <c r="W145" s="358">
        <f>SUM(K145:O145)</f>
        <v>5621</v>
      </c>
    </row>
    <row r="146" spans="1:23">
      <c r="A146" s="358"/>
      <c r="B146" s="358"/>
      <c r="C146" s="358"/>
      <c r="E146" s="358"/>
      <c r="K146" s="360">
        <v>257</v>
      </c>
      <c r="L146" s="361">
        <v>244</v>
      </c>
      <c r="M146" s="358">
        <v>183</v>
      </c>
      <c r="O146" s="358">
        <v>182</v>
      </c>
      <c r="W146" s="358">
        <f>SUM(K146:O146)</f>
        <v>866</v>
      </c>
    </row>
    <row r="147" spans="1:23">
      <c r="A147" s="358"/>
      <c r="B147" s="358"/>
      <c r="C147" s="358"/>
      <c r="E147" s="358"/>
      <c r="K147" s="360">
        <v>1935</v>
      </c>
      <c r="L147" s="361">
        <v>1817</v>
      </c>
      <c r="M147" s="358">
        <v>1370</v>
      </c>
      <c r="O147" s="358">
        <v>1365</v>
      </c>
      <c r="W147" s="358">
        <f>SUM(K147:O147)</f>
        <v>6487</v>
      </c>
    </row>
  </sheetData>
  <autoFilter ref="A17:AH80"/>
  <mergeCells count="35">
    <mergeCell ref="A83:D83"/>
    <mergeCell ref="E104:E107"/>
    <mergeCell ref="A84:Z84"/>
    <mergeCell ref="M100:O100"/>
    <mergeCell ref="W85:Z85"/>
    <mergeCell ref="A87:Z87"/>
    <mergeCell ref="X97:Z97"/>
    <mergeCell ref="K97:M97"/>
    <mergeCell ref="N97:W97"/>
    <mergeCell ref="A11:Z11"/>
    <mergeCell ref="C12:D12"/>
    <mergeCell ref="C13:D13"/>
    <mergeCell ref="A14:A16"/>
    <mergeCell ref="B14:B16"/>
    <mergeCell ref="C14:C16"/>
    <mergeCell ref="D14:D16"/>
    <mergeCell ref="E14:W14"/>
    <mergeCell ref="E15:F15"/>
    <mergeCell ref="G15:L15"/>
    <mergeCell ref="M15:W15"/>
    <mergeCell ref="Y14:Y16"/>
    <mergeCell ref="Z14:Z16"/>
    <mergeCell ref="X14:X16"/>
    <mergeCell ref="X13:Y13"/>
    <mergeCell ref="A2:Z2"/>
    <mergeCell ref="A3:Z3"/>
    <mergeCell ref="A6:J6"/>
    <mergeCell ref="A10:Z10"/>
    <mergeCell ref="A4:Z4"/>
    <mergeCell ref="A7:J7"/>
    <mergeCell ref="F129:J129"/>
    <mergeCell ref="J131:K131"/>
    <mergeCell ref="M114:O114"/>
    <mergeCell ref="J124:K124"/>
    <mergeCell ref="T124:W124"/>
  </mergeCells>
  <printOptions horizontalCentered="1"/>
  <pageMargins left="0.19685039370078741" right="0.19685039370078741" top="0.23622047244094491" bottom="0.19685039370078741" header="0.15748031496062992" footer="0.19685039370078741"/>
  <pageSetup paperSize="9" scale="50" fitToHeight="0" orientation="landscape" r:id="rId1"/>
  <headerFooter>
    <oddFooter>&amp;R&amp;P</oddFooter>
  </headerFooter>
  <colBreaks count="1" manualBreakCount="1">
    <brk id="26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K215"/>
  <sheetViews>
    <sheetView topLeftCell="A150" zoomScale="55" zoomScaleNormal="55" zoomScaleSheetLayoutView="55" workbookViewId="0">
      <selection activeCell="AB154" sqref="AB154"/>
    </sheetView>
  </sheetViews>
  <sheetFormatPr defaultColWidth="9.42578125" defaultRowHeight="48" customHeight="1"/>
  <cols>
    <col min="1" max="1" width="6" style="765" customWidth="1"/>
    <col min="2" max="2" width="10.5703125" style="1305" customWidth="1"/>
    <col min="3" max="3" width="15.7109375" style="766" customWidth="1"/>
    <col min="4" max="4" width="10.140625" style="767" customWidth="1"/>
    <col min="5" max="5" width="14.7109375" style="768" customWidth="1"/>
    <col min="6" max="6" width="20.28515625" style="767" customWidth="1"/>
    <col min="7" max="7" width="17.85546875" style="767" customWidth="1"/>
    <col min="8" max="8" width="11.140625" style="767" hidden="1" customWidth="1"/>
    <col min="9" max="9" width="12.42578125" style="767" hidden="1" customWidth="1"/>
    <col min="10" max="10" width="16.42578125" style="769" customWidth="1"/>
    <col min="11" max="11" width="9.140625" style="1307" customWidth="1"/>
    <col min="12" max="12" width="19.28515625" style="770" customWidth="1"/>
    <col min="13" max="14" width="13" style="767" customWidth="1"/>
    <col min="15" max="18" width="12.85546875" style="767" hidden="1" customWidth="1"/>
    <col min="19" max="19" width="16.42578125" style="767" customWidth="1"/>
    <col min="20" max="20" width="12.28515625" style="767" hidden="1" customWidth="1"/>
    <col min="21" max="22" width="11.5703125" style="767" hidden="1" customWidth="1"/>
    <col min="23" max="23" width="21.85546875" style="767" customWidth="1"/>
    <col min="24" max="24" width="21.28515625" style="767" customWidth="1"/>
    <col min="25" max="25" width="15.85546875" style="767" hidden="1" customWidth="1"/>
    <col min="26" max="26" width="21.7109375" style="767" customWidth="1"/>
    <col min="27" max="27" width="13" style="767" hidden="1" customWidth="1"/>
    <col min="28" max="28" width="14.5703125" style="767" customWidth="1"/>
    <col min="29" max="29" width="14.5703125" style="767" hidden="1" customWidth="1"/>
    <col min="30" max="30" width="27.42578125" style="632" hidden="1" customWidth="1"/>
    <col min="31" max="31" width="16.28515625" style="632" hidden="1" customWidth="1"/>
    <col min="32" max="32" width="16" style="632" hidden="1" customWidth="1"/>
    <col min="33" max="33" width="14.5703125" style="632" hidden="1" customWidth="1"/>
    <col min="34" max="34" width="11.5703125" style="632" hidden="1" customWidth="1"/>
    <col min="35" max="35" width="16.140625" style="632" hidden="1" customWidth="1"/>
    <col min="36" max="36" width="0" style="632" hidden="1" customWidth="1"/>
    <col min="37" max="37" width="16" style="632" hidden="1" customWidth="1"/>
    <col min="38" max="16384" width="9.42578125" style="767"/>
  </cols>
  <sheetData>
    <row r="1" spans="1:37" ht="10.5" customHeight="1"/>
    <row r="2" spans="1:37" ht="17.25" customHeight="1">
      <c r="AD2" s="1516" t="s">
        <v>440</v>
      </c>
      <c r="AE2" s="1516"/>
    </row>
    <row r="3" spans="1:37" ht="25.5" customHeight="1">
      <c r="A3" s="1517" t="s">
        <v>56</v>
      </c>
      <c r="B3" s="1517"/>
      <c r="C3" s="1517"/>
      <c r="D3" s="1517"/>
      <c r="E3" s="1517"/>
      <c r="F3" s="1517"/>
      <c r="G3" s="1517"/>
      <c r="H3" s="1517"/>
      <c r="I3" s="1517"/>
      <c r="J3" s="1517"/>
      <c r="K3" s="1517"/>
      <c r="L3" s="1517"/>
      <c r="M3" s="1517"/>
      <c r="N3" s="1517"/>
      <c r="O3" s="1517"/>
      <c r="P3" s="1517"/>
      <c r="Q3" s="1517"/>
      <c r="R3" s="1517"/>
      <c r="S3" s="1517"/>
      <c r="T3" s="1517"/>
      <c r="U3" s="1517"/>
      <c r="V3" s="1517"/>
      <c r="W3" s="1517"/>
      <c r="X3" s="1517"/>
      <c r="Y3" s="1517"/>
      <c r="Z3" s="1517"/>
      <c r="AA3" s="1517"/>
      <c r="AB3" s="1517"/>
      <c r="AC3" s="1308"/>
      <c r="AD3" s="940" t="s">
        <v>36</v>
      </c>
      <c r="AE3" s="771">
        <v>368.4</v>
      </c>
    </row>
    <row r="4" spans="1:37" ht="25.5" customHeight="1">
      <c r="A4" s="1517" t="s">
        <v>42</v>
      </c>
      <c r="B4" s="1517"/>
      <c r="C4" s="1517"/>
      <c r="D4" s="1517"/>
      <c r="E4" s="1517"/>
      <c r="F4" s="1517"/>
      <c r="G4" s="1517"/>
      <c r="H4" s="1517"/>
      <c r="I4" s="1517"/>
      <c r="J4" s="1517"/>
      <c r="K4" s="1517"/>
      <c r="L4" s="1517"/>
      <c r="M4" s="1517"/>
      <c r="N4" s="1517"/>
      <c r="O4" s="1517"/>
      <c r="P4" s="1517"/>
      <c r="Q4" s="1517"/>
      <c r="R4" s="1517"/>
      <c r="S4" s="1517"/>
      <c r="T4" s="1517"/>
      <c r="U4" s="1517"/>
      <c r="V4" s="1517"/>
      <c r="W4" s="1517"/>
      <c r="X4" s="1517"/>
      <c r="Y4" s="1517"/>
      <c r="Z4" s="1517"/>
      <c r="AA4" s="1517"/>
      <c r="AB4" s="1517"/>
      <c r="AC4" s="1308"/>
      <c r="AD4" s="940" t="s">
        <v>418</v>
      </c>
      <c r="AE4" s="772">
        <v>146.995</v>
      </c>
    </row>
    <row r="5" spans="1:37" ht="25.5" customHeight="1">
      <c r="A5" s="1512" t="s">
        <v>294</v>
      </c>
      <c r="B5" s="1512"/>
      <c r="C5" s="1512"/>
      <c r="D5" s="1512"/>
      <c r="E5" s="1512"/>
      <c r="F5" s="1512"/>
      <c r="G5" s="1512"/>
      <c r="H5" s="1512"/>
      <c r="I5" s="1512"/>
      <c r="J5" s="1512"/>
      <c r="K5" s="1512"/>
      <c r="L5" s="1512"/>
      <c r="M5" s="1512"/>
      <c r="N5" s="1512"/>
      <c r="O5" s="1512"/>
      <c r="P5" s="1512"/>
      <c r="Q5" s="1512"/>
      <c r="R5" s="1512"/>
      <c r="S5" s="1512"/>
      <c r="T5" s="1512"/>
      <c r="U5" s="1512"/>
      <c r="V5" s="1512"/>
      <c r="W5" s="1512"/>
      <c r="X5" s="1512"/>
      <c r="Y5" s="1512"/>
      <c r="Z5" s="1512"/>
      <c r="AA5" s="1512"/>
      <c r="AB5" s="1512"/>
      <c r="AC5" s="1301"/>
      <c r="AD5" s="1031" t="s">
        <v>419</v>
      </c>
    </row>
    <row r="6" spans="1:37" ht="25.5" customHeight="1">
      <c r="A6" s="1518" t="s">
        <v>0</v>
      </c>
      <c r="B6" s="1518"/>
      <c r="C6" s="1518"/>
      <c r="D6" s="1518"/>
      <c r="E6" s="1518"/>
      <c r="F6" s="1518"/>
      <c r="G6" s="1518"/>
      <c r="H6" s="1303"/>
      <c r="I6" s="1303"/>
      <c r="J6" s="1244"/>
      <c r="K6" s="1244"/>
      <c r="L6" s="1244"/>
      <c r="M6" s="1244"/>
      <c r="N6" s="1244"/>
      <c r="O6" s="1244"/>
      <c r="P6" s="1244"/>
      <c r="Q6" s="1244"/>
      <c r="R6" s="1244"/>
      <c r="S6" s="1244"/>
      <c r="T6" s="1244"/>
      <c r="U6" s="1244"/>
      <c r="V6" s="1244"/>
      <c r="W6" s="1245"/>
      <c r="X6" s="1245"/>
      <c r="Y6" s="1245"/>
      <c r="Z6" s="1245"/>
      <c r="AA6" s="1245"/>
      <c r="AB6" s="1246"/>
      <c r="AD6" s="1511" t="s">
        <v>145</v>
      </c>
      <c r="AE6" s="1511"/>
      <c r="AF6" s="1511" t="s">
        <v>122</v>
      </c>
      <c r="AG6" s="1511"/>
      <c r="AH6" s="1511" t="s">
        <v>146</v>
      </c>
      <c r="AI6" s="1511"/>
      <c r="AJ6" s="1511" t="s">
        <v>123</v>
      </c>
      <c r="AK6" s="1511"/>
    </row>
    <row r="7" spans="1:37" ht="25.5" customHeight="1">
      <c r="A7" s="1512" t="s">
        <v>658</v>
      </c>
      <c r="B7" s="1512"/>
      <c r="C7" s="1512"/>
      <c r="D7" s="1512"/>
      <c r="E7" s="1512"/>
      <c r="F7" s="1512"/>
      <c r="G7" s="1512"/>
      <c r="H7" s="1303"/>
      <c r="I7" s="1303"/>
      <c r="J7" s="1244"/>
      <c r="K7" s="1244"/>
      <c r="L7" s="1244"/>
      <c r="M7" s="1244"/>
      <c r="N7" s="1244"/>
      <c r="O7" s="1244"/>
      <c r="P7" s="1244"/>
      <c r="Q7" s="1244"/>
      <c r="R7" s="1244"/>
      <c r="S7" s="1244"/>
      <c r="T7" s="1244"/>
      <c r="U7" s="1244"/>
      <c r="V7" s="1244"/>
      <c r="W7" s="1245"/>
      <c r="X7" s="1245"/>
      <c r="Y7" s="1245"/>
      <c r="Z7" s="1245"/>
      <c r="AA7" s="1245"/>
      <c r="AB7" s="1246"/>
      <c r="AD7" s="1032" t="s">
        <v>36</v>
      </c>
      <c r="AE7" s="1026">
        <f>'BTH mủ tạp'!$AI$16</f>
        <v>107359</v>
      </c>
      <c r="AF7" s="1032" t="s">
        <v>36</v>
      </c>
      <c r="AG7" s="1026" t="e">
        <f>'BTH mủ tạp'!#REF!</f>
        <v>#REF!</v>
      </c>
      <c r="AH7" s="1032" t="s">
        <v>36</v>
      </c>
      <c r="AI7" s="1026">
        <f>'BTH mủ tạp'!AI98</f>
        <v>99980</v>
      </c>
      <c r="AJ7" s="1032" t="s">
        <v>36</v>
      </c>
      <c r="AK7" s="1026" t="e">
        <f>'BTH mủ tạp'!#REF!</f>
        <v>#REF!</v>
      </c>
    </row>
    <row r="8" spans="1:37" ht="22.5" customHeight="1">
      <c r="A8" s="1303"/>
      <c r="B8" s="1303"/>
      <c r="C8" s="1303"/>
      <c r="D8" s="1303"/>
      <c r="E8" s="1303"/>
      <c r="F8" s="1247"/>
      <c r="G8" s="1247"/>
      <c r="H8" s="1247"/>
      <c r="I8" s="1247"/>
      <c r="J8" s="1244"/>
      <c r="K8" s="1244"/>
      <c r="L8" s="1244"/>
      <c r="M8" s="1244"/>
      <c r="N8" s="1244"/>
      <c r="O8" s="1244"/>
      <c r="P8" s="1244"/>
      <c r="Q8" s="1244"/>
      <c r="R8" s="1244"/>
      <c r="S8" s="1244"/>
      <c r="T8" s="1244"/>
      <c r="U8" s="1244"/>
      <c r="V8" s="1244"/>
      <c r="W8" s="1245"/>
      <c r="X8" s="1248">
        <f>AE4/AE3</f>
        <v>0.39900922909880571</v>
      </c>
      <c r="Y8" s="1245"/>
      <c r="Z8" s="1245"/>
      <c r="AA8" s="1245"/>
      <c r="AB8" s="1246"/>
      <c r="AD8" s="1032" t="s">
        <v>418</v>
      </c>
      <c r="AE8" s="1026">
        <f>'BTH mủ tạp'!$AK$16</f>
        <v>55127.006999999976</v>
      </c>
      <c r="AF8" s="1032" t="s">
        <v>418</v>
      </c>
      <c r="AG8" s="1026" t="e">
        <f>'BTH mủ tạp'!#REF!</f>
        <v>#REF!</v>
      </c>
      <c r="AH8" s="1032" t="s">
        <v>418</v>
      </c>
      <c r="AI8" s="1026">
        <f>'BTH mủ tạp'!AK98</f>
        <v>50774.636000000028</v>
      </c>
      <c r="AJ8" s="1032" t="s">
        <v>418</v>
      </c>
      <c r="AK8" s="1026" t="e">
        <f>'BTH mủ tạp'!#REF!</f>
        <v>#REF!</v>
      </c>
    </row>
    <row r="9" spans="1:37" s="773" customFormat="1" ht="32.25" customHeight="1">
      <c r="A9" s="1513" t="s">
        <v>662</v>
      </c>
      <c r="B9" s="1513"/>
      <c r="C9" s="1513"/>
      <c r="D9" s="1513"/>
      <c r="E9" s="1513"/>
      <c r="F9" s="1513"/>
      <c r="G9" s="1513"/>
      <c r="H9" s="1513"/>
      <c r="I9" s="1513"/>
      <c r="J9" s="1513"/>
      <c r="K9" s="1513"/>
      <c r="L9" s="1513"/>
      <c r="M9" s="1513"/>
      <c r="N9" s="1513"/>
      <c r="O9" s="1513"/>
      <c r="P9" s="1513"/>
      <c r="Q9" s="1513"/>
      <c r="R9" s="1513"/>
      <c r="S9" s="1513"/>
      <c r="T9" s="1513"/>
      <c r="U9" s="1513"/>
      <c r="V9" s="1513"/>
      <c r="W9" s="1513"/>
      <c r="X9" s="1513"/>
      <c r="Y9" s="1513"/>
      <c r="Z9" s="1513"/>
      <c r="AA9" s="1513"/>
      <c r="AB9" s="1513"/>
      <c r="AC9" s="1300"/>
      <c r="AD9" s="1031" t="s">
        <v>419</v>
      </c>
      <c r="AE9" s="1033">
        <v>0.5</v>
      </c>
      <c r="AF9" s="1034" t="s">
        <v>419</v>
      </c>
      <c r="AG9" s="1033">
        <v>0.5</v>
      </c>
      <c r="AH9" s="1034" t="s">
        <v>419</v>
      </c>
      <c r="AI9" s="1033">
        <v>0.5</v>
      </c>
      <c r="AJ9" s="1034" t="s">
        <v>419</v>
      </c>
      <c r="AK9" s="1033">
        <v>0.5</v>
      </c>
    </row>
    <row r="10" spans="1:37" s="773" customFormat="1" ht="18.75" hidden="1" customHeight="1">
      <c r="A10" s="774"/>
      <c r="B10" s="775"/>
      <c r="E10" s="419"/>
      <c r="F10" s="1271"/>
      <c r="K10" s="775"/>
      <c r="L10" s="775"/>
      <c r="M10" s="775"/>
      <c r="N10" s="775"/>
      <c r="O10" s="775"/>
      <c r="P10" s="775"/>
      <c r="Q10" s="775"/>
      <c r="R10" s="775"/>
      <c r="S10" s="775"/>
      <c r="T10" s="775"/>
      <c r="U10" s="775"/>
      <c r="V10" s="775"/>
      <c r="W10" s="1303" t="s">
        <v>698</v>
      </c>
      <c r="X10" s="1303"/>
      <c r="Y10" s="1303"/>
      <c r="Z10" s="1303" t="s">
        <v>699</v>
      </c>
      <c r="AA10" s="1303" t="s">
        <v>441</v>
      </c>
      <c r="AB10" s="1303"/>
      <c r="AC10" s="1303"/>
      <c r="AD10" s="1031" t="s">
        <v>420</v>
      </c>
      <c r="AE10" s="1033">
        <v>0.2</v>
      </c>
      <c r="AF10" s="1034" t="s">
        <v>420</v>
      </c>
      <c r="AG10" s="1033">
        <v>0.2</v>
      </c>
      <c r="AH10" s="1034" t="s">
        <v>420</v>
      </c>
      <c r="AI10" s="1033">
        <v>0.2</v>
      </c>
      <c r="AJ10" s="1034" t="s">
        <v>420</v>
      </c>
      <c r="AK10" s="1033">
        <v>0.2</v>
      </c>
    </row>
    <row r="11" spans="1:37" ht="24" hidden="1" customHeight="1">
      <c r="A11" s="776"/>
      <c r="B11" s="777"/>
      <c r="C11" s="1514" t="s">
        <v>299</v>
      </c>
      <c r="D11" s="1514"/>
      <c r="E11" s="1272">
        <v>668.23</v>
      </c>
      <c r="F11" s="1322">
        <v>603.28</v>
      </c>
      <c r="G11" s="1273"/>
      <c r="H11" s="1273"/>
      <c r="I11" s="1273"/>
      <c r="J11" s="1274"/>
      <c r="K11" s="1275"/>
      <c r="L11" s="1276"/>
      <c r="M11" s="1277"/>
      <c r="N11" s="1277"/>
      <c r="O11" s="1277"/>
      <c r="P11" s="1277"/>
      <c r="Q11" s="1277"/>
      <c r="R11" s="1277"/>
      <c r="S11" s="1277"/>
      <c r="T11" s="1277"/>
      <c r="U11" s="1277"/>
      <c r="V11" s="1277"/>
      <c r="W11" s="1278">
        <f>AE8/AE7</f>
        <v>0.5134828658985271</v>
      </c>
      <c r="X11" s="1515"/>
      <c r="Y11" s="1515"/>
      <c r="Z11" s="1279">
        <f>AI8/AI7</f>
        <v>0.50784792958591751</v>
      </c>
      <c r="AA11" s="1073"/>
      <c r="AB11" s="1074"/>
      <c r="AC11" s="1074"/>
    </row>
    <row r="12" spans="1:37" s="1169" customFormat="1" ht="24.75" customHeight="1">
      <c r="A12" s="1519" t="s">
        <v>6</v>
      </c>
      <c r="B12" s="1519" t="s">
        <v>97</v>
      </c>
      <c r="C12" s="1505" t="s">
        <v>17</v>
      </c>
      <c r="D12" s="1519" t="s">
        <v>21</v>
      </c>
      <c r="E12" s="1520" t="s">
        <v>22</v>
      </c>
      <c r="F12" s="1520"/>
      <c r="G12" s="1520"/>
      <c r="H12" s="1520"/>
      <c r="I12" s="1520"/>
      <c r="J12" s="1520"/>
      <c r="K12" s="1520"/>
      <c r="L12" s="1520"/>
      <c r="M12" s="1520"/>
      <c r="N12" s="1520"/>
      <c r="O12" s="1520"/>
      <c r="P12" s="1520"/>
      <c r="Q12" s="1520"/>
      <c r="R12" s="1520"/>
      <c r="S12" s="1520"/>
      <c r="T12" s="1520"/>
      <c r="U12" s="1520"/>
      <c r="V12" s="1520"/>
      <c r="W12" s="1520"/>
      <c r="X12" s="1522" t="s">
        <v>365</v>
      </c>
      <c r="Y12" s="1522" t="s">
        <v>166</v>
      </c>
      <c r="Z12" s="1522" t="s">
        <v>367</v>
      </c>
      <c r="AA12" s="1215" t="s">
        <v>23</v>
      </c>
      <c r="AB12" s="1521" t="s">
        <v>70</v>
      </c>
      <c r="AC12" s="901"/>
      <c r="AD12" s="778"/>
      <c r="AE12" s="1144"/>
      <c r="AF12" s="778"/>
      <c r="AG12" s="778"/>
      <c r="AH12" s="778"/>
      <c r="AI12" s="778"/>
      <c r="AJ12" s="778"/>
      <c r="AK12" s="778"/>
    </row>
    <row r="13" spans="1:37" s="1169" customFormat="1" ht="39" customHeight="1">
      <c r="A13" s="1519"/>
      <c r="B13" s="1519"/>
      <c r="C13" s="1505"/>
      <c r="D13" s="1519"/>
      <c r="E13" s="1519" t="s">
        <v>366</v>
      </c>
      <c r="F13" s="1519"/>
      <c r="G13" s="1522" t="s">
        <v>25</v>
      </c>
      <c r="H13" s="1522"/>
      <c r="I13" s="1522"/>
      <c r="J13" s="1522"/>
      <c r="K13" s="1522"/>
      <c r="L13" s="1522"/>
      <c r="M13" s="1522" t="s">
        <v>26</v>
      </c>
      <c r="N13" s="1522"/>
      <c r="O13" s="1522"/>
      <c r="P13" s="1522"/>
      <c r="Q13" s="1522"/>
      <c r="R13" s="1522"/>
      <c r="S13" s="1522"/>
      <c r="T13" s="1522"/>
      <c r="U13" s="1522"/>
      <c r="V13" s="1522"/>
      <c r="W13" s="1522"/>
      <c r="X13" s="1522"/>
      <c r="Y13" s="1522"/>
      <c r="Z13" s="1522"/>
      <c r="AA13" s="1215"/>
      <c r="AB13" s="1521"/>
      <c r="AC13" s="901"/>
      <c r="AD13" s="778"/>
      <c r="AE13" s="778"/>
      <c r="AF13" s="778"/>
      <c r="AG13" s="778"/>
      <c r="AH13" s="778"/>
      <c r="AI13" s="778"/>
      <c r="AJ13" s="778"/>
      <c r="AK13" s="778"/>
    </row>
    <row r="14" spans="1:37" s="780" customFormat="1" ht="84.75" customHeight="1">
      <c r="A14" s="1519"/>
      <c r="B14" s="1519"/>
      <c r="C14" s="1505"/>
      <c r="D14" s="1519"/>
      <c r="E14" s="1216" t="s">
        <v>74</v>
      </c>
      <c r="F14" s="1217" t="s">
        <v>27</v>
      </c>
      <c r="G14" s="1302" t="s">
        <v>364</v>
      </c>
      <c r="H14" s="1302" t="s">
        <v>413</v>
      </c>
      <c r="I14" s="1218" t="s">
        <v>421</v>
      </c>
      <c r="J14" s="1219" t="s">
        <v>414</v>
      </c>
      <c r="K14" s="1220" t="s">
        <v>28</v>
      </c>
      <c r="L14" s="1220" t="s">
        <v>29</v>
      </c>
      <c r="M14" s="1221" t="s">
        <v>442</v>
      </c>
      <c r="N14" s="1222" t="s">
        <v>472</v>
      </c>
      <c r="O14" s="1222" t="s">
        <v>473</v>
      </c>
      <c r="P14" s="1222" t="s">
        <v>474</v>
      </c>
      <c r="Q14" s="1222" t="s">
        <v>475</v>
      </c>
      <c r="R14" s="1222" t="s">
        <v>476</v>
      </c>
      <c r="S14" s="1222" t="s">
        <v>600</v>
      </c>
      <c r="T14" s="1223" t="s">
        <v>523</v>
      </c>
      <c r="U14" s="1223" t="s">
        <v>593</v>
      </c>
      <c r="V14" s="1223"/>
      <c r="W14" s="1224" t="s">
        <v>20</v>
      </c>
      <c r="X14" s="1522"/>
      <c r="Y14" s="1522"/>
      <c r="Z14" s="1522"/>
      <c r="AA14" s="1215"/>
      <c r="AB14" s="1521"/>
      <c r="AC14" s="901"/>
      <c r="AD14" s="779"/>
      <c r="AE14" s="779"/>
      <c r="AF14" s="779"/>
      <c r="AG14" s="779"/>
      <c r="AH14" s="779"/>
      <c r="AI14" s="779"/>
      <c r="AJ14" s="779"/>
      <c r="AK14" s="779"/>
    </row>
    <row r="15" spans="1:37" s="1169" customFormat="1" ht="39.75" customHeight="1">
      <c r="A15" s="1302" t="s">
        <v>73</v>
      </c>
      <c r="B15" s="1521" t="s">
        <v>632</v>
      </c>
      <c r="C15" s="1521"/>
      <c r="D15" s="1521"/>
      <c r="E15" s="1225">
        <f xml:space="preserve"> SUM(E16:E96)</f>
        <v>0</v>
      </c>
      <c r="F15" s="1225">
        <f t="shared" ref="F15:Z15" si="0" xml:space="preserve"> SUM(F16:F96)</f>
        <v>0</v>
      </c>
      <c r="G15" s="1225">
        <f t="shared" si="0"/>
        <v>107359</v>
      </c>
      <c r="H15" s="1225">
        <f t="shared" si="0"/>
        <v>0</v>
      </c>
      <c r="I15" s="1225">
        <f t="shared" si="0"/>
        <v>0</v>
      </c>
      <c r="J15" s="1225">
        <f t="shared" si="0"/>
        <v>55127.006999999969</v>
      </c>
      <c r="K15" s="1225">
        <f t="shared" si="0"/>
        <v>0</v>
      </c>
      <c r="L15" s="1249">
        <f t="shared" si="0"/>
        <v>199200470</v>
      </c>
      <c r="M15" s="1225">
        <f t="shared" si="0"/>
        <v>1842</v>
      </c>
      <c r="N15" s="1225">
        <f t="shared" si="0"/>
        <v>271</v>
      </c>
      <c r="O15" s="1225">
        <f t="shared" si="0"/>
        <v>0</v>
      </c>
      <c r="P15" s="1225">
        <f t="shared" si="0"/>
        <v>0</v>
      </c>
      <c r="Q15" s="1225">
        <f t="shared" si="0"/>
        <v>0</v>
      </c>
      <c r="R15" s="1225">
        <f t="shared" si="0"/>
        <v>0</v>
      </c>
      <c r="S15" s="1225">
        <f t="shared" si="0"/>
        <v>1360</v>
      </c>
      <c r="T15" s="1225">
        <f t="shared" si="0"/>
        <v>0</v>
      </c>
      <c r="U15" s="1225">
        <f t="shared" si="0"/>
        <v>0</v>
      </c>
      <c r="V15" s="1225">
        <f t="shared" si="0"/>
        <v>0</v>
      </c>
      <c r="W15" s="1225">
        <f t="shared" si="0"/>
        <v>104669403</v>
      </c>
      <c r="X15" s="1225">
        <f t="shared" si="0"/>
        <v>303869873</v>
      </c>
      <c r="Y15" s="1225">
        <f t="shared" si="0"/>
        <v>0</v>
      </c>
      <c r="Z15" s="1225">
        <f t="shared" si="0"/>
        <v>303869873</v>
      </c>
      <c r="AA15" s="1225">
        <f xml:space="preserve"> SUM(AA16:AA96)</f>
        <v>0</v>
      </c>
      <c r="AB15" s="1226"/>
      <c r="AC15" s="943"/>
      <c r="AD15" s="778"/>
      <c r="AE15" s="778"/>
      <c r="AF15" s="778"/>
      <c r="AG15" s="778"/>
      <c r="AH15" s="778"/>
      <c r="AI15" s="778"/>
      <c r="AJ15" s="778"/>
      <c r="AK15" s="778"/>
    </row>
    <row r="16" spans="1:37" s="780" customFormat="1" ht="38.25" customHeight="1">
      <c r="A16" s="1227">
        <v>1</v>
      </c>
      <c r="B16" s="1227" t="str">
        <f>'Chấm công KT'!D13</f>
        <v>03456</v>
      </c>
      <c r="C16" s="1228" t="str">
        <f>TONGHOPCONGDOI!C11</f>
        <v>T. Vôn</v>
      </c>
      <c r="D16" s="1227" t="s">
        <v>30</v>
      </c>
      <c r="E16" s="1229"/>
      <c r="F16" s="1230">
        <f>E16*25000</f>
        <v>0</v>
      </c>
      <c r="G16" s="1230">
        <f>VLOOKUP(C16,TONGHOPCONGDOI!C11:AD91,16,0)</f>
        <v>776</v>
      </c>
      <c r="H16" s="1230">
        <f>VLOOKUP(C16,TONGHOPCONGDOI!C11:AD91,18,0)</f>
        <v>0</v>
      </c>
      <c r="I16" s="1230"/>
      <c r="J16" s="1231">
        <f>$AE$8/$AE$7*G16+H16*$AE$9+I16*$AE$10</f>
        <v>398.462703937257</v>
      </c>
      <c r="K16" s="1232" t="str">
        <f>VLOOKUP(C16,'BTH mủ tạp'!$C$17:$AL$95,36,0)</f>
        <v>C</v>
      </c>
      <c r="L16" s="1250">
        <f>ROUND((IF(K16="A",(G16*$W$11*6.1),IF(K16="B",(G16*$W$11*5.8),IF(K16="C",(G16*$W$11*5.5),IF(K16="D",(G16*$W$11*5.2),0))))*$F$11+(H16*$AE$9*$F$11*6.1)+I16*$F$11*$AE$10*6.1),0)</f>
        <v>1322115</v>
      </c>
      <c r="M16" s="1234">
        <f>VLOOKUP(C16,TONGHOPCONGDOI!$C$11:$AD$91,20,0)</f>
        <v>23</v>
      </c>
      <c r="N16" s="1234">
        <f>VLOOKUP(C16,TONGHOPCONGDOI!$C$11:$AD$91,21,0)</f>
        <v>4</v>
      </c>
      <c r="O16" s="1234">
        <f>VLOOKUP(C16,TONGHOPCONGDOI!$C$11:$AC$91,22,0)</f>
        <v>0</v>
      </c>
      <c r="P16" s="1234">
        <f>VLOOKUP(C16,TONGHOPCONGDOI!$C$11:$AC$91,23,0)</f>
        <v>0</v>
      </c>
      <c r="Q16" s="1234">
        <f>VLOOKUP(C16,TONGHOPCONGDOI!$C$11:$AC$91,24,0)</f>
        <v>0</v>
      </c>
      <c r="R16" s="1234">
        <f>VLOOKUP(C16,TONGHOPCONGDOI!$C$11:$AC$91,25,0)</f>
        <v>0</v>
      </c>
      <c r="S16" s="1228">
        <f>500000/25000</f>
        <v>20</v>
      </c>
      <c r="T16" s="1235"/>
      <c r="U16" s="1235"/>
      <c r="V16" s="1235"/>
      <c r="W16" s="1234">
        <f>ROUND(((M16*46.1)+(N16*76.9)+(O16*92.2)+(P16*153.8)+(Q16*92.2)+(R16*153.8))*$E$11+(S16*25000)+(T16*10000)+(U16*30000),0)</f>
        <v>1414072</v>
      </c>
      <c r="X16" s="1234">
        <f>F16+L16+W16</f>
        <v>2736187</v>
      </c>
      <c r="Y16" s="1230"/>
      <c r="Z16" s="1236">
        <f>X16-Y16</f>
        <v>2736187</v>
      </c>
      <c r="AA16" s="1230"/>
      <c r="AB16" s="1236"/>
      <c r="AC16" s="902"/>
      <c r="AD16" s="779">
        <v>6103270</v>
      </c>
      <c r="AE16" s="779"/>
      <c r="AF16" s="779">
        <f>O16*76.9*$E$11</f>
        <v>0</v>
      </c>
      <c r="AG16" s="779"/>
      <c r="AH16" s="779"/>
      <c r="AI16" s="779"/>
      <c r="AJ16" s="779"/>
      <c r="AK16" s="779"/>
    </row>
    <row r="17" spans="1:37" s="780" customFormat="1" ht="38.25" customHeight="1">
      <c r="A17" s="1227">
        <v>2</v>
      </c>
      <c r="B17" s="1227"/>
      <c r="C17" s="1228" t="str">
        <f>TONGHOPCONGDOI!C12</f>
        <v>T. Feng</v>
      </c>
      <c r="D17" s="1227" t="s">
        <v>30</v>
      </c>
      <c r="E17" s="1229"/>
      <c r="F17" s="1230">
        <f t="shared" ref="F17:F80" si="1">E17*25000</f>
        <v>0</v>
      </c>
      <c r="G17" s="1230">
        <f>VLOOKUP(C17,TONGHOPCONGDOI!C12:AD91,16,0)</f>
        <v>654</v>
      </c>
      <c r="H17" s="1230">
        <f>VLOOKUP(C17,TONGHOPCONGDOI!C12:AD91,18,0)</f>
        <v>0</v>
      </c>
      <c r="I17" s="1230"/>
      <c r="J17" s="1231">
        <f t="shared" ref="J17:J47" si="2">$AE$8/$AE$7*G17+H17*$AE$9+I17*$AE$10</f>
        <v>335.81779429763674</v>
      </c>
      <c r="K17" s="1232" t="str">
        <f>VLOOKUP(C17,'BTH mủ tạp'!$C$17:$AL$95,36,0)</f>
        <v>B</v>
      </c>
      <c r="L17" s="1250">
        <f t="shared" ref="L17:L80" si="3">ROUND((IF(K17="A",(G17*$W$11*6.1),IF(K17="B",(G17*$W$11*5.8),IF(K17="C",(G17*$W$11*5.5),IF(K17="D",(G17*$W$11*5.2),0))))*$F$11+(H17*$AE$9*$F$11*6.1)+I17*$F$11*$AE$10*6.1),0)</f>
        <v>1175035</v>
      </c>
      <c r="M17" s="1234">
        <f>VLOOKUP(C17,TONGHOPCONGDOI!$C$11:$AD$91,20,0)</f>
        <v>23</v>
      </c>
      <c r="N17" s="1234">
        <f>VLOOKUP(C17,TONGHOPCONGDOI!$C$11:$AD$91,21,0)</f>
        <v>4</v>
      </c>
      <c r="O17" s="1234">
        <f>VLOOKUP(C17,TONGHOPCONGDOI!$C$11:$AC$91,22,0)</f>
        <v>0</v>
      </c>
      <c r="P17" s="1234">
        <f>VLOOKUP(C17,TONGHOPCONGDOI!$C$11:$AC$91,23,0)</f>
        <v>0</v>
      </c>
      <c r="Q17" s="1234">
        <f>VLOOKUP(C17,TONGHOPCONGDOI!$C$11:$AC$91,24,0)</f>
        <v>0</v>
      </c>
      <c r="R17" s="1234">
        <f>VLOOKUP(C17,TONGHOPCONGDOI!$C$11:$AC$91,25,0)</f>
        <v>0</v>
      </c>
      <c r="S17" s="1228">
        <f t="shared" ref="S17:S80" si="4">500000/25000</f>
        <v>20</v>
      </c>
      <c r="T17" s="1235"/>
      <c r="U17" s="1235"/>
      <c r="V17" s="1235"/>
      <c r="W17" s="1234">
        <f>ROUND(((M17*46.1)+(N17*76.9)+(O17*92.2)+(P17*153.8)+(Q17*92.2)+(R17*153.8))*$E$11+(S17*25000)+(T17*10000)+(U17*30000),0)</f>
        <v>1414072</v>
      </c>
      <c r="X17" s="1234">
        <f t="shared" ref="X17:X47" si="5">F17+L17+W17</f>
        <v>2589107</v>
      </c>
      <c r="Y17" s="1230"/>
      <c r="Z17" s="1237">
        <f>X17-Y17</f>
        <v>2589107</v>
      </c>
      <c r="AA17" s="1230"/>
      <c r="AB17" s="1236"/>
      <c r="AC17" s="902"/>
      <c r="AD17" s="779"/>
      <c r="AE17" s="779"/>
      <c r="AF17" s="779"/>
      <c r="AG17" s="779"/>
      <c r="AH17" s="779"/>
      <c r="AI17" s="779"/>
      <c r="AJ17" s="779"/>
      <c r="AK17" s="779"/>
    </row>
    <row r="18" spans="1:37" s="780" customFormat="1" ht="38.25" customHeight="1">
      <c r="A18" s="1227">
        <v>3</v>
      </c>
      <c r="B18" s="1227" t="str">
        <f>'Chấm công KT'!D15</f>
        <v>02725</v>
      </c>
      <c r="C18" s="1228" t="str">
        <f>TONGHOPCONGDOI!C13</f>
        <v>T. Sa Văn</v>
      </c>
      <c r="D18" s="1227" t="s">
        <v>30</v>
      </c>
      <c r="E18" s="1229"/>
      <c r="F18" s="1230">
        <f t="shared" si="1"/>
        <v>0</v>
      </c>
      <c r="G18" s="1230">
        <f>VLOOKUP(C18,TONGHOPCONGDOI!C13:AD91,16,0)</f>
        <v>2011</v>
      </c>
      <c r="H18" s="1230">
        <f>VLOOKUP(C18,TONGHOPCONGDOI!C13:AD91,18,0)</f>
        <v>0</v>
      </c>
      <c r="I18" s="1230"/>
      <c r="J18" s="1231">
        <f t="shared" si="2"/>
        <v>1032.614043321938</v>
      </c>
      <c r="K18" s="1232" t="str">
        <f>VLOOKUP(C18,'BTH mủ tạp'!$C$17:$AL$95,36,0)</f>
        <v>B</v>
      </c>
      <c r="L18" s="1250">
        <f t="shared" si="3"/>
        <v>3613141</v>
      </c>
      <c r="M18" s="1234">
        <f>VLOOKUP(C18,TONGHOPCONGDOI!$C$11:$AD$91,20,0)</f>
        <v>26</v>
      </c>
      <c r="N18" s="1234">
        <f>VLOOKUP(C18,TONGHOPCONGDOI!$C$11:$AD$91,21,0)</f>
        <v>4</v>
      </c>
      <c r="O18" s="1234">
        <f>VLOOKUP(C18,TONGHOPCONGDOI!$C$11:$AC$91,22,0)</f>
        <v>0</v>
      </c>
      <c r="P18" s="1234">
        <f>VLOOKUP(C18,TONGHOPCONGDOI!$C$11:$AC$91,23,0)</f>
        <v>0</v>
      </c>
      <c r="Q18" s="1234">
        <f>VLOOKUP(C18,TONGHOPCONGDOI!$C$11:$AC$91,24,0)</f>
        <v>0</v>
      </c>
      <c r="R18" s="1234">
        <f>VLOOKUP(C18,TONGHOPCONGDOI!$C$11:$AC$91,25,0)</f>
        <v>0</v>
      </c>
      <c r="S18" s="1228">
        <f t="shared" si="4"/>
        <v>20</v>
      </c>
      <c r="T18" s="1235"/>
      <c r="U18" s="1235"/>
      <c r="V18" s="1235"/>
      <c r="W18" s="1234">
        <f t="shared" ref="W18:W81" si="6">ROUND(((M18*46.1)+(N18*76.9)+(O18*92.2)+(P18*153.8)+(Q18*92.2)+(R18*153.8))*$E$11+(S18*25000)+(T18*10000)+(U18*30000),0)</f>
        <v>1506488</v>
      </c>
      <c r="X18" s="1234">
        <f t="shared" si="5"/>
        <v>5119629</v>
      </c>
      <c r="Y18" s="1230"/>
      <c r="Z18" s="1237">
        <f t="shared" ref="Z18:Z81" si="7">X18-Y18</f>
        <v>5119629</v>
      </c>
      <c r="AA18" s="1230"/>
      <c r="AB18" s="1236"/>
      <c r="AC18" s="902"/>
      <c r="AD18" s="779"/>
      <c r="AE18" s="779"/>
      <c r="AF18" s="779"/>
      <c r="AG18" s="779"/>
      <c r="AH18" s="779"/>
      <c r="AI18" s="779"/>
      <c r="AJ18" s="779"/>
      <c r="AK18" s="779"/>
    </row>
    <row r="19" spans="1:37" s="780" customFormat="1" ht="38.25" customHeight="1">
      <c r="A19" s="1227">
        <v>4</v>
      </c>
      <c r="B19" s="1227"/>
      <c r="C19" s="1228" t="str">
        <f>TONGHOPCONGDOI!C14</f>
        <v>Lăm Ma Thu</v>
      </c>
      <c r="D19" s="1227" t="s">
        <v>30</v>
      </c>
      <c r="E19" s="1229"/>
      <c r="F19" s="1230">
        <f t="shared" si="1"/>
        <v>0</v>
      </c>
      <c r="G19" s="1230">
        <f>VLOOKUP(C19,TONGHOPCONGDOI!C14:AD91,16,0)</f>
        <v>1414</v>
      </c>
      <c r="H19" s="1230">
        <f>VLOOKUP(C19,TONGHOPCONGDOI!C14:AD91,18,0)</f>
        <v>0</v>
      </c>
      <c r="I19" s="1230"/>
      <c r="J19" s="1231">
        <f t="shared" si="2"/>
        <v>726.0647723805173</v>
      </c>
      <c r="K19" s="1232" t="str">
        <f>VLOOKUP(C19,'BTH mủ tạp'!$C$17:$AL$95,36,0)</f>
        <v>B</v>
      </c>
      <c r="L19" s="1250">
        <f t="shared" si="3"/>
        <v>2540518</v>
      </c>
      <c r="M19" s="1234">
        <f>VLOOKUP(C19,TONGHOPCONGDOI!$C$11:$AD$91,20,0)</f>
        <v>25</v>
      </c>
      <c r="N19" s="1234">
        <f>VLOOKUP(C19,TONGHOPCONGDOI!$C$11:$AD$91,21,0)</f>
        <v>4</v>
      </c>
      <c r="O19" s="1234">
        <f>VLOOKUP(C19,TONGHOPCONGDOI!$C$11:$AC$91,22,0)</f>
        <v>0</v>
      </c>
      <c r="P19" s="1234">
        <f>VLOOKUP(C19,TONGHOPCONGDOI!$C$11:$AC$91,23,0)</f>
        <v>0</v>
      </c>
      <c r="Q19" s="1234">
        <f>VLOOKUP(C19,TONGHOPCONGDOI!$C$11:$AC$91,24,0)</f>
        <v>0</v>
      </c>
      <c r="R19" s="1234">
        <f>VLOOKUP(C19,TONGHOPCONGDOI!$C$11:$AC$91,25,0)</f>
        <v>0</v>
      </c>
      <c r="S19" s="1228">
        <f t="shared" si="4"/>
        <v>20</v>
      </c>
      <c r="T19" s="1235"/>
      <c r="U19" s="1235"/>
      <c r="V19" s="1235"/>
      <c r="W19" s="1234">
        <f t="shared" si="6"/>
        <v>1475683</v>
      </c>
      <c r="X19" s="1234">
        <f t="shared" si="5"/>
        <v>4016201</v>
      </c>
      <c r="Y19" s="1230"/>
      <c r="Z19" s="1237">
        <f t="shared" si="7"/>
        <v>4016201</v>
      </c>
      <c r="AA19" s="1230"/>
      <c r="AB19" s="1236"/>
      <c r="AC19" s="902"/>
      <c r="AD19" s="779"/>
      <c r="AE19" s="779"/>
      <c r="AF19" s="779"/>
      <c r="AG19" s="779"/>
      <c r="AH19" s="779"/>
      <c r="AI19" s="779"/>
      <c r="AJ19" s="779"/>
      <c r="AK19" s="779"/>
    </row>
    <row r="20" spans="1:37" s="780" customFormat="1" ht="38.25" customHeight="1">
      <c r="A20" s="1227">
        <v>5</v>
      </c>
      <c r="B20" s="1227" t="str">
        <f>'Chấm công KT'!D17</f>
        <v>03459</v>
      </c>
      <c r="C20" s="1228" t="str">
        <f>TONGHOPCONGDOI!C15</f>
        <v>N. Vạt</v>
      </c>
      <c r="D20" s="1227" t="s">
        <v>30</v>
      </c>
      <c r="E20" s="1229"/>
      <c r="F20" s="1230">
        <f t="shared" si="1"/>
        <v>0</v>
      </c>
      <c r="G20" s="1230">
        <f>VLOOKUP(C20,TONGHOPCONGDOI!C15:AD91,16,0)</f>
        <v>860</v>
      </c>
      <c r="H20" s="1230">
        <f>VLOOKUP(C20,TONGHOPCONGDOI!C15:AD91,18,0)</f>
        <v>0</v>
      </c>
      <c r="I20" s="1230"/>
      <c r="J20" s="1231">
        <f t="shared" si="2"/>
        <v>441.59526467273332</v>
      </c>
      <c r="K20" s="1232" t="str">
        <f>VLOOKUP(C20,'BTH mủ tạp'!$C$17:$AL$95,36,0)</f>
        <v>B</v>
      </c>
      <c r="L20" s="1250">
        <f t="shared" si="3"/>
        <v>1545152</v>
      </c>
      <c r="M20" s="1234">
        <f>VLOOKUP(C20,TONGHOPCONGDOI!$C$11:$AD$91,20,0)</f>
        <v>20</v>
      </c>
      <c r="N20" s="1234">
        <f>VLOOKUP(C20,TONGHOPCONGDOI!$C$11:$AD$91,21,0)</f>
        <v>3</v>
      </c>
      <c r="O20" s="1234">
        <f>VLOOKUP(C20,TONGHOPCONGDOI!$C$11:$AC$91,22,0)</f>
        <v>0</v>
      </c>
      <c r="P20" s="1234">
        <f>VLOOKUP(C20,TONGHOPCONGDOI!$C$11:$AC$91,23,0)</f>
        <v>0</v>
      </c>
      <c r="Q20" s="1234">
        <f>VLOOKUP(C20,TONGHOPCONGDOI!$C$11:$AC$91,24,0)</f>
        <v>0</v>
      </c>
      <c r="R20" s="1234">
        <f>VLOOKUP(C20,TONGHOPCONGDOI!$C$11:$AC$91,25,0)</f>
        <v>0</v>
      </c>
      <c r="S20" s="1228"/>
      <c r="T20" s="1235"/>
      <c r="U20" s="1235"/>
      <c r="V20" s="1235"/>
      <c r="W20" s="1234">
        <f t="shared" si="6"/>
        <v>770269</v>
      </c>
      <c r="X20" s="1234">
        <f t="shared" si="5"/>
        <v>2315421</v>
      </c>
      <c r="Y20" s="1230"/>
      <c r="Z20" s="1237">
        <f t="shared" si="7"/>
        <v>2315421</v>
      </c>
      <c r="AA20" s="1230"/>
      <c r="AB20" s="1236"/>
      <c r="AC20" s="902"/>
      <c r="AD20" s="779"/>
      <c r="AE20" s="779"/>
      <c r="AF20" s="779"/>
      <c r="AG20" s="779"/>
      <c r="AH20" s="779"/>
      <c r="AI20" s="779"/>
      <c r="AJ20" s="779"/>
      <c r="AK20" s="779"/>
    </row>
    <row r="21" spans="1:37" s="780" customFormat="1" ht="38.25" customHeight="1">
      <c r="A21" s="1227">
        <v>6</v>
      </c>
      <c r="B21" s="1227"/>
      <c r="C21" s="1228" t="str">
        <f>TONGHOPCONGDOI!C16</f>
        <v>N. Kay Son</v>
      </c>
      <c r="D21" s="1227" t="s">
        <v>30</v>
      </c>
      <c r="E21" s="1229"/>
      <c r="F21" s="1230">
        <f t="shared" si="1"/>
        <v>0</v>
      </c>
      <c r="G21" s="1230">
        <f>VLOOKUP(C21,TONGHOPCONGDOI!C16:AD91,16,0)</f>
        <v>1098</v>
      </c>
      <c r="H21" s="1230">
        <f>VLOOKUP(C21,TONGHOPCONGDOI!C16:AD91,18,0)</f>
        <v>0</v>
      </c>
      <c r="I21" s="1230"/>
      <c r="J21" s="1231">
        <f t="shared" si="2"/>
        <v>563.80418675658279</v>
      </c>
      <c r="K21" s="1232" t="str">
        <f>VLOOKUP(C21,'BTH mủ tạp'!$C$17:$AL$95,36,0)</f>
        <v>C</v>
      </c>
      <c r="L21" s="1250">
        <f t="shared" si="3"/>
        <v>1870725</v>
      </c>
      <c r="M21" s="1234">
        <f>VLOOKUP(C21,TONGHOPCONGDOI!$C$11:$AD$91,20,0)</f>
        <v>22</v>
      </c>
      <c r="N21" s="1234">
        <f>VLOOKUP(C21,TONGHOPCONGDOI!$C$11:$AD$91,21,0)</f>
        <v>3</v>
      </c>
      <c r="O21" s="1234">
        <f>VLOOKUP(C21,TONGHOPCONGDOI!$C$11:$AC$91,22,0)</f>
        <v>0</v>
      </c>
      <c r="P21" s="1234">
        <f>VLOOKUP(C21,TONGHOPCONGDOI!$C$11:$AC$91,23,0)</f>
        <v>0</v>
      </c>
      <c r="Q21" s="1234">
        <f>VLOOKUP(C21,TONGHOPCONGDOI!$C$11:$AC$91,24,0)</f>
        <v>0</v>
      </c>
      <c r="R21" s="1234">
        <f>VLOOKUP(C21,TONGHOPCONGDOI!$C$11:$AC$91,25,0)</f>
        <v>0</v>
      </c>
      <c r="S21" s="1228">
        <f t="shared" si="4"/>
        <v>20</v>
      </c>
      <c r="T21" s="1235"/>
      <c r="U21" s="1235"/>
      <c r="V21" s="1235"/>
      <c r="W21" s="1234">
        <f t="shared" si="6"/>
        <v>1331880</v>
      </c>
      <c r="X21" s="1234">
        <f t="shared" si="5"/>
        <v>3202605</v>
      </c>
      <c r="Y21" s="1230"/>
      <c r="Z21" s="1237">
        <f t="shared" si="7"/>
        <v>3202605</v>
      </c>
      <c r="AA21" s="1230"/>
      <c r="AB21" s="1236"/>
      <c r="AC21" s="902"/>
      <c r="AD21" s="779"/>
      <c r="AE21" s="779"/>
      <c r="AF21" s="779"/>
      <c r="AG21" s="779"/>
      <c r="AH21" s="779"/>
      <c r="AI21" s="779"/>
      <c r="AJ21" s="779"/>
      <c r="AK21" s="779"/>
    </row>
    <row r="22" spans="1:37" s="780" customFormat="1" ht="38.25" customHeight="1">
      <c r="A22" s="1227">
        <v>7</v>
      </c>
      <c r="B22" s="1227"/>
      <c r="C22" s="1228" t="str">
        <f>TONGHOPCONGDOI!C17</f>
        <v>T. Đèng 1</v>
      </c>
      <c r="D22" s="1227" t="s">
        <v>30</v>
      </c>
      <c r="E22" s="1229"/>
      <c r="F22" s="1230">
        <f t="shared" si="1"/>
        <v>0</v>
      </c>
      <c r="G22" s="1230">
        <f>VLOOKUP(C22,TONGHOPCONGDOI!C17:AD91,16,0)</f>
        <v>1441</v>
      </c>
      <c r="H22" s="1230">
        <f>VLOOKUP(C22,TONGHOPCONGDOI!C17:AD91,18,0)</f>
        <v>0</v>
      </c>
      <c r="I22" s="1230"/>
      <c r="J22" s="1231">
        <f t="shared" si="2"/>
        <v>739.92880975977755</v>
      </c>
      <c r="K22" s="1232" t="str">
        <f>VLOOKUP(C22,'BTH mủ tạp'!$C$17:$AL$95,36,0)</f>
        <v>A</v>
      </c>
      <c r="L22" s="1250">
        <f t="shared" si="3"/>
        <v>2722944</v>
      </c>
      <c r="M22" s="1234">
        <f>VLOOKUP(C22,TONGHOPCONGDOI!$C$11:$AD$91,20,0)</f>
        <v>27</v>
      </c>
      <c r="N22" s="1234">
        <f>VLOOKUP(C22,TONGHOPCONGDOI!$C$11:$AD$91,21,0)</f>
        <v>4</v>
      </c>
      <c r="O22" s="1234">
        <f>VLOOKUP(C22,TONGHOPCONGDOI!$C$11:$AC$91,22,0)</f>
        <v>0</v>
      </c>
      <c r="P22" s="1234">
        <f>VLOOKUP(C22,TONGHOPCONGDOI!$C$11:$AC$91,23,0)</f>
        <v>0</v>
      </c>
      <c r="Q22" s="1234">
        <f>VLOOKUP(C22,TONGHOPCONGDOI!$C$11:$AC$91,24,0)</f>
        <v>0</v>
      </c>
      <c r="R22" s="1234">
        <f>VLOOKUP(C22,TONGHOPCONGDOI!$C$11:$AC$91,25,0)</f>
        <v>0</v>
      </c>
      <c r="S22" s="1228">
        <f t="shared" si="4"/>
        <v>20</v>
      </c>
      <c r="T22" s="1235"/>
      <c r="U22" s="1235"/>
      <c r="V22" s="1235"/>
      <c r="W22" s="1234">
        <f t="shared" si="6"/>
        <v>1537293</v>
      </c>
      <c r="X22" s="1234">
        <f t="shared" si="5"/>
        <v>4260237</v>
      </c>
      <c r="Y22" s="1230"/>
      <c r="Z22" s="1237">
        <f t="shared" si="7"/>
        <v>4260237</v>
      </c>
      <c r="AA22" s="1230"/>
      <c r="AB22" s="1236"/>
      <c r="AC22" s="902"/>
      <c r="AD22" s="779"/>
      <c r="AE22" s="779"/>
      <c r="AF22" s="779"/>
      <c r="AG22" s="779"/>
      <c r="AH22" s="779"/>
      <c r="AI22" s="779"/>
      <c r="AJ22" s="779"/>
      <c r="AK22" s="779"/>
    </row>
    <row r="23" spans="1:37" s="780" customFormat="1" ht="38.25" customHeight="1">
      <c r="A23" s="1227">
        <v>8</v>
      </c>
      <c r="B23" s="1227" t="str">
        <f>'Chấm công KT'!D20</f>
        <v>03462</v>
      </c>
      <c r="C23" s="1228" t="str">
        <f>TONGHOPCONGDOI!C18</f>
        <v>T . Bua Ngân</v>
      </c>
      <c r="D23" s="1227" t="s">
        <v>30</v>
      </c>
      <c r="E23" s="1229"/>
      <c r="F23" s="1230">
        <f t="shared" si="1"/>
        <v>0</v>
      </c>
      <c r="G23" s="1230">
        <f>VLOOKUP(C23,TONGHOPCONGDOI!C18:AD91,16,0)</f>
        <v>1674</v>
      </c>
      <c r="H23" s="1230">
        <f>VLOOKUP(C23,TONGHOPCONGDOI!C18:AD91,18,0)</f>
        <v>0</v>
      </c>
      <c r="I23" s="1230"/>
      <c r="J23" s="1231">
        <f t="shared" si="2"/>
        <v>859.57031751413433</v>
      </c>
      <c r="K23" s="1232" t="str">
        <f>VLOOKUP(C23,'BTH mủ tạp'!$C$17:$AL$95,36,0)</f>
        <v>A</v>
      </c>
      <c r="L23" s="1250">
        <f t="shared" si="3"/>
        <v>3163226</v>
      </c>
      <c r="M23" s="1234">
        <f>VLOOKUP(C23,TONGHOPCONGDOI!$C$11:$AD$91,20,0)</f>
        <v>26</v>
      </c>
      <c r="N23" s="1234">
        <f>VLOOKUP(C23,TONGHOPCONGDOI!$C$11:$AD$91,21,0)</f>
        <v>3</v>
      </c>
      <c r="O23" s="1234">
        <f>VLOOKUP(C23,TONGHOPCONGDOI!$C$11:$AC$91,22,0)</f>
        <v>0</v>
      </c>
      <c r="P23" s="1234">
        <f>VLOOKUP(C23,TONGHOPCONGDOI!$C$11:$AC$91,23,0)</f>
        <v>0</v>
      </c>
      <c r="Q23" s="1234">
        <f>VLOOKUP(C23,TONGHOPCONGDOI!$C$11:$AC$91,24,0)</f>
        <v>0</v>
      </c>
      <c r="R23" s="1234">
        <f>VLOOKUP(C23,TONGHOPCONGDOI!$C$11:$AC$91,25,0)</f>
        <v>0</v>
      </c>
      <c r="S23" s="1228">
        <f t="shared" si="4"/>
        <v>20</v>
      </c>
      <c r="T23" s="1235"/>
      <c r="U23" s="1235"/>
      <c r="V23" s="1235"/>
      <c r="W23" s="1234">
        <f t="shared" si="6"/>
        <v>1455101</v>
      </c>
      <c r="X23" s="1234">
        <f t="shared" si="5"/>
        <v>4618327</v>
      </c>
      <c r="Y23" s="1230"/>
      <c r="Z23" s="1237">
        <f t="shared" si="7"/>
        <v>4618327</v>
      </c>
      <c r="AA23" s="1230"/>
      <c r="AB23" s="1236"/>
      <c r="AC23" s="902"/>
      <c r="AD23" s="779"/>
      <c r="AE23" s="779"/>
      <c r="AF23" s="779"/>
      <c r="AG23" s="779"/>
      <c r="AH23" s="779"/>
      <c r="AI23" s="779"/>
      <c r="AJ23" s="779"/>
      <c r="AK23" s="779"/>
    </row>
    <row r="24" spans="1:37" s="780" customFormat="1" ht="38.25" customHeight="1">
      <c r="A24" s="1227">
        <v>9</v>
      </c>
      <c r="B24" s="1227" t="str">
        <f>'Chấm công KT'!D21</f>
        <v>03463</v>
      </c>
      <c r="C24" s="1228" t="str">
        <f>TONGHOPCONGDOI!C19</f>
        <v>T Căng</v>
      </c>
      <c r="D24" s="1227" t="s">
        <v>30</v>
      </c>
      <c r="E24" s="1229"/>
      <c r="F24" s="1230">
        <f t="shared" si="1"/>
        <v>0</v>
      </c>
      <c r="G24" s="1230">
        <f>VLOOKUP(C24,TONGHOPCONGDOI!C19:AD91,16,0)</f>
        <v>2121</v>
      </c>
      <c r="H24" s="1230">
        <f>VLOOKUP(C24,TONGHOPCONGDOI!C19:AD91,18,0)</f>
        <v>0</v>
      </c>
      <c r="I24" s="1230"/>
      <c r="J24" s="1231">
        <f t="shared" si="2"/>
        <v>1089.0971585707759</v>
      </c>
      <c r="K24" s="1232" t="str">
        <f>VLOOKUP(C24,'BTH mủ tạp'!$C$17:$AL$95,36,0)</f>
        <v>B</v>
      </c>
      <c r="L24" s="1250">
        <f t="shared" si="3"/>
        <v>3810777</v>
      </c>
      <c r="M24" s="1234">
        <f>VLOOKUP(C24,TONGHOPCONGDOI!$C$11:$AD$91,20,0)</f>
        <v>27</v>
      </c>
      <c r="N24" s="1234">
        <f>VLOOKUP(C24,TONGHOPCONGDOI!$C$11:$AD$91,21,0)</f>
        <v>3</v>
      </c>
      <c r="O24" s="1234">
        <f>VLOOKUP(C24,TONGHOPCONGDOI!$C$11:$AC$91,22,0)</f>
        <v>0</v>
      </c>
      <c r="P24" s="1234">
        <f>VLOOKUP(C24,TONGHOPCONGDOI!$C$11:$AC$91,23,0)</f>
        <v>0</v>
      </c>
      <c r="Q24" s="1234">
        <f>VLOOKUP(C24,TONGHOPCONGDOI!$C$11:$AC$91,24,0)</f>
        <v>0</v>
      </c>
      <c r="R24" s="1234">
        <f>VLOOKUP(C24,TONGHOPCONGDOI!$C$11:$AC$91,25,0)</f>
        <v>0</v>
      </c>
      <c r="S24" s="1228">
        <f t="shared" si="4"/>
        <v>20</v>
      </c>
      <c r="T24" s="1235"/>
      <c r="U24" s="1235"/>
      <c r="V24" s="1235"/>
      <c r="W24" s="1234">
        <f t="shared" si="6"/>
        <v>1485907</v>
      </c>
      <c r="X24" s="1234">
        <f t="shared" si="5"/>
        <v>5296684</v>
      </c>
      <c r="Y24" s="1230"/>
      <c r="Z24" s="1237">
        <f t="shared" si="7"/>
        <v>5296684</v>
      </c>
      <c r="AA24" s="1230"/>
      <c r="AB24" s="1236"/>
      <c r="AC24" s="902"/>
      <c r="AD24" s="779"/>
      <c r="AE24" s="779"/>
      <c r="AF24" s="779"/>
      <c r="AG24" s="779"/>
      <c r="AH24" s="779">
        <f>6.1*653.23</f>
        <v>3984.703</v>
      </c>
      <c r="AI24" s="779"/>
      <c r="AJ24" s="779"/>
      <c r="AK24" s="779"/>
    </row>
    <row r="25" spans="1:37" s="780" customFormat="1" ht="38.25" customHeight="1">
      <c r="A25" s="1227">
        <v>10</v>
      </c>
      <c r="B25" s="1227" t="str">
        <f>'Chấm công KT'!D22</f>
        <v>03464</v>
      </c>
      <c r="C25" s="1228" t="str">
        <f>TONGHOPCONGDOI!C20</f>
        <v>N. Phôn 1</v>
      </c>
      <c r="D25" s="1227" t="s">
        <v>30</v>
      </c>
      <c r="E25" s="1229"/>
      <c r="F25" s="1230">
        <f t="shared" si="1"/>
        <v>0</v>
      </c>
      <c r="G25" s="1230">
        <f>VLOOKUP(C25,TONGHOPCONGDOI!C20:AD91,16,0)</f>
        <v>2102</v>
      </c>
      <c r="H25" s="1230">
        <f>VLOOKUP(C25,TONGHOPCONGDOI!C20:AD91,18,0)</f>
        <v>0</v>
      </c>
      <c r="I25" s="1230"/>
      <c r="J25" s="1231">
        <f t="shared" si="2"/>
        <v>1079.340984118704</v>
      </c>
      <c r="K25" s="1232" t="str">
        <f>VLOOKUP(C25,'BTH mủ tạp'!$C$17:$AL$95,36,0)</f>
        <v>A</v>
      </c>
      <c r="L25" s="1250">
        <f t="shared" si="3"/>
        <v>3971983</v>
      </c>
      <c r="M25" s="1234">
        <f>VLOOKUP(C25,TONGHOPCONGDOI!$C$11:$AD$91,20,0)</f>
        <v>27</v>
      </c>
      <c r="N25" s="1234">
        <f>VLOOKUP(C25,TONGHOPCONGDOI!$C$11:$AD$91,21,0)</f>
        <v>3</v>
      </c>
      <c r="O25" s="1234">
        <f>VLOOKUP(C25,TONGHOPCONGDOI!$C$11:$AC$91,22,0)</f>
        <v>0</v>
      </c>
      <c r="P25" s="1234">
        <f>VLOOKUP(C25,TONGHOPCONGDOI!$C$11:$AC$91,23,0)</f>
        <v>0</v>
      </c>
      <c r="Q25" s="1234">
        <f>VLOOKUP(C25,TONGHOPCONGDOI!$C$11:$AC$91,24,0)</f>
        <v>0</v>
      </c>
      <c r="R25" s="1234">
        <f>VLOOKUP(C25,TONGHOPCONGDOI!$C$11:$AC$91,25,0)</f>
        <v>0</v>
      </c>
      <c r="S25" s="1228">
        <f t="shared" si="4"/>
        <v>20</v>
      </c>
      <c r="T25" s="1235"/>
      <c r="U25" s="1235"/>
      <c r="V25" s="1235"/>
      <c r="W25" s="1234">
        <f t="shared" si="6"/>
        <v>1485907</v>
      </c>
      <c r="X25" s="1234">
        <f t="shared" si="5"/>
        <v>5457890</v>
      </c>
      <c r="Y25" s="1230"/>
      <c r="Z25" s="1237">
        <f t="shared" si="7"/>
        <v>5457890</v>
      </c>
      <c r="AA25" s="1230"/>
      <c r="AB25" s="1236"/>
      <c r="AC25" s="902"/>
      <c r="AD25" s="779"/>
      <c r="AE25" s="779"/>
      <c r="AF25" s="779"/>
      <c r="AG25" s="779"/>
      <c r="AH25" s="779"/>
      <c r="AI25" s="779"/>
      <c r="AJ25" s="779"/>
      <c r="AK25" s="779"/>
    </row>
    <row r="26" spans="1:37" s="780" customFormat="1" ht="38.25" customHeight="1">
      <c r="A26" s="1227">
        <v>11</v>
      </c>
      <c r="B26" s="1227" t="str">
        <f>'Chấm công KT'!D23</f>
        <v>03465</v>
      </c>
      <c r="C26" s="1228" t="str">
        <f>TONGHOPCONGDOI!C21</f>
        <v>T. In Păn</v>
      </c>
      <c r="D26" s="1227" t="s">
        <v>30</v>
      </c>
      <c r="E26" s="1229"/>
      <c r="F26" s="1230">
        <f t="shared" si="1"/>
        <v>0</v>
      </c>
      <c r="G26" s="1230">
        <f>VLOOKUP(C26,TONGHOPCONGDOI!C21:AD91,16,0)</f>
        <v>1057</v>
      </c>
      <c r="H26" s="1230">
        <f>VLOOKUP(C26,TONGHOPCONGDOI!C21:AD91,18,0)</f>
        <v>0</v>
      </c>
      <c r="I26" s="1230"/>
      <c r="J26" s="1231">
        <f t="shared" si="2"/>
        <v>542.75138925474312</v>
      </c>
      <c r="K26" s="1232" t="str">
        <f>VLOOKUP(C26,'BTH mủ tạp'!$C$17:$AL$95,36,0)</f>
        <v>A</v>
      </c>
      <c r="L26" s="1250">
        <f t="shared" si="3"/>
        <v>1997329</v>
      </c>
      <c r="M26" s="1234">
        <f>VLOOKUP(C26,TONGHOPCONGDOI!$C$11:$AD$91,20,0)</f>
        <v>23</v>
      </c>
      <c r="N26" s="1234">
        <f>VLOOKUP(C26,TONGHOPCONGDOI!$C$11:$AD$91,21,0)</f>
        <v>4</v>
      </c>
      <c r="O26" s="1234">
        <f>VLOOKUP(C26,TONGHOPCONGDOI!$C$11:$AC$91,22,0)</f>
        <v>0</v>
      </c>
      <c r="P26" s="1234">
        <f>VLOOKUP(C26,TONGHOPCONGDOI!$C$11:$AC$91,23,0)</f>
        <v>0</v>
      </c>
      <c r="Q26" s="1234">
        <f>VLOOKUP(C26,TONGHOPCONGDOI!$C$11:$AC$91,24,0)</f>
        <v>0</v>
      </c>
      <c r="R26" s="1234">
        <f>VLOOKUP(C26,TONGHOPCONGDOI!$C$11:$AC$91,25,0)</f>
        <v>0</v>
      </c>
      <c r="S26" s="1228">
        <f t="shared" si="4"/>
        <v>20</v>
      </c>
      <c r="T26" s="1235"/>
      <c r="U26" s="1235"/>
      <c r="V26" s="1235"/>
      <c r="W26" s="1234">
        <f t="shared" si="6"/>
        <v>1414072</v>
      </c>
      <c r="X26" s="1234">
        <f t="shared" si="5"/>
        <v>3411401</v>
      </c>
      <c r="Y26" s="1230"/>
      <c r="Z26" s="1237">
        <f t="shared" si="7"/>
        <v>3411401</v>
      </c>
      <c r="AA26" s="1230"/>
      <c r="AB26" s="1236"/>
      <c r="AC26" s="902"/>
      <c r="AD26" s="779"/>
      <c r="AE26" s="779"/>
      <c r="AF26" s="779"/>
      <c r="AG26" s="779"/>
      <c r="AH26" s="779"/>
      <c r="AI26" s="779"/>
      <c r="AJ26" s="779"/>
      <c r="AK26" s="779"/>
    </row>
    <row r="27" spans="1:37" s="780" customFormat="1" ht="38.25" customHeight="1">
      <c r="A27" s="1227">
        <v>12</v>
      </c>
      <c r="B27" s="1227" t="str">
        <f>'Chấm công KT'!D24</f>
        <v>03466</v>
      </c>
      <c r="C27" s="1228" t="str">
        <f>TONGHOPCONGDOI!C22</f>
        <v>N. Keo</v>
      </c>
      <c r="D27" s="1227" t="s">
        <v>30</v>
      </c>
      <c r="E27" s="1229"/>
      <c r="F27" s="1230">
        <f t="shared" si="1"/>
        <v>0</v>
      </c>
      <c r="G27" s="1230">
        <f>VLOOKUP(C27,TONGHOPCONGDOI!C22:AD91,16,0)</f>
        <v>2025</v>
      </c>
      <c r="H27" s="1230">
        <f>VLOOKUP(C27,TONGHOPCONGDOI!C22:AD91,18,0)</f>
        <v>0</v>
      </c>
      <c r="I27" s="1230"/>
      <c r="J27" s="1231">
        <f t="shared" si="2"/>
        <v>1039.8028034445174</v>
      </c>
      <c r="K27" s="1232" t="str">
        <f>VLOOKUP(C27,'BTH mủ tạp'!$C$17:$AL$95,36,0)</f>
        <v>B</v>
      </c>
      <c r="L27" s="1250">
        <f t="shared" si="3"/>
        <v>3638295</v>
      </c>
      <c r="M27" s="1234">
        <f>VLOOKUP(C27,TONGHOPCONGDOI!$C$11:$AD$91,20,0)</f>
        <v>26</v>
      </c>
      <c r="N27" s="1234">
        <f>VLOOKUP(C27,TONGHOPCONGDOI!$C$11:$AD$91,21,0)</f>
        <v>4</v>
      </c>
      <c r="O27" s="1234">
        <f>VLOOKUP(C27,TONGHOPCONGDOI!$C$11:$AC$91,22,0)</f>
        <v>0</v>
      </c>
      <c r="P27" s="1234">
        <f>VLOOKUP(C27,TONGHOPCONGDOI!$C$11:$AC$91,23,0)</f>
        <v>0</v>
      </c>
      <c r="Q27" s="1234">
        <f>VLOOKUP(C27,TONGHOPCONGDOI!$C$11:$AC$91,24,0)</f>
        <v>0</v>
      </c>
      <c r="R27" s="1234">
        <f>VLOOKUP(C27,TONGHOPCONGDOI!$C$11:$AC$91,25,0)</f>
        <v>0</v>
      </c>
      <c r="S27" s="1228">
        <f t="shared" si="4"/>
        <v>20</v>
      </c>
      <c r="T27" s="1235"/>
      <c r="U27" s="1235"/>
      <c r="V27" s="1235"/>
      <c r="W27" s="1234">
        <f t="shared" si="6"/>
        <v>1506488</v>
      </c>
      <c r="X27" s="1234">
        <f t="shared" si="5"/>
        <v>5144783</v>
      </c>
      <c r="Y27" s="1230"/>
      <c r="Z27" s="1237">
        <f t="shared" si="7"/>
        <v>5144783</v>
      </c>
      <c r="AA27" s="1230"/>
      <c r="AB27" s="1236"/>
      <c r="AC27" s="902"/>
      <c r="AD27" s="779"/>
      <c r="AE27" s="779"/>
      <c r="AF27" s="779"/>
      <c r="AG27" s="779"/>
      <c r="AH27" s="779"/>
      <c r="AI27" s="779"/>
      <c r="AJ27" s="779"/>
      <c r="AK27" s="779"/>
    </row>
    <row r="28" spans="1:37" s="780" customFormat="1" ht="38.25" customHeight="1">
      <c r="A28" s="1227">
        <v>13</v>
      </c>
      <c r="B28" s="1227" t="str">
        <f>'Chấm công KT'!D25</f>
        <v>02727</v>
      </c>
      <c r="C28" s="1228" t="str">
        <f>TONGHOPCONGDOI!C23</f>
        <v>T. Thong Đon</v>
      </c>
      <c r="D28" s="1227" t="s">
        <v>30</v>
      </c>
      <c r="E28" s="1229"/>
      <c r="F28" s="1230">
        <f t="shared" si="1"/>
        <v>0</v>
      </c>
      <c r="G28" s="1230">
        <f>VLOOKUP(C28,TONGHOPCONGDOI!C23:AD91,16,0)</f>
        <v>1825</v>
      </c>
      <c r="H28" s="1230">
        <f>VLOOKUP(C28,TONGHOPCONGDOI!C23:AD91,18,0)</f>
        <v>0</v>
      </c>
      <c r="I28" s="1230"/>
      <c r="J28" s="1231">
        <f t="shared" si="2"/>
        <v>937.10623026481198</v>
      </c>
      <c r="K28" s="1232" t="str">
        <f>VLOOKUP(C28,'BTH mủ tạp'!$C$17:$AL$95,36,0)</f>
        <v>B</v>
      </c>
      <c r="L28" s="1250">
        <f t="shared" si="3"/>
        <v>3278957</v>
      </c>
      <c r="M28" s="1234">
        <f>VLOOKUP(C28,TONGHOPCONGDOI!$C$11:$AD$91,20,0)</f>
        <v>24</v>
      </c>
      <c r="N28" s="1234">
        <f>VLOOKUP(C28,TONGHOPCONGDOI!$C$11:$AD$91,21,0)</f>
        <v>3</v>
      </c>
      <c r="O28" s="1234">
        <f>VLOOKUP(C28,TONGHOPCONGDOI!$C$11:$AC$91,22,0)</f>
        <v>0</v>
      </c>
      <c r="P28" s="1234">
        <f>VLOOKUP(C28,TONGHOPCONGDOI!$C$11:$AC$91,23,0)</f>
        <v>0</v>
      </c>
      <c r="Q28" s="1234">
        <f>VLOOKUP(C28,TONGHOPCONGDOI!$C$11:$AC$91,24,0)</f>
        <v>0</v>
      </c>
      <c r="R28" s="1234">
        <f>VLOOKUP(C28,TONGHOPCONGDOI!$C$11:$AC$91,25,0)</f>
        <v>0</v>
      </c>
      <c r="S28" s="1228">
        <f t="shared" si="4"/>
        <v>20</v>
      </c>
      <c r="T28" s="1235"/>
      <c r="U28" s="1235"/>
      <c r="V28" s="1235"/>
      <c r="W28" s="1234">
        <f t="shared" si="6"/>
        <v>1393490</v>
      </c>
      <c r="X28" s="1234">
        <f t="shared" si="5"/>
        <v>4672447</v>
      </c>
      <c r="Y28" s="1230"/>
      <c r="Z28" s="1237">
        <f t="shared" si="7"/>
        <v>4672447</v>
      </c>
      <c r="AA28" s="1230"/>
      <c r="AB28" s="1236"/>
      <c r="AC28" s="902"/>
      <c r="AD28" s="779"/>
      <c r="AE28" s="779"/>
      <c r="AF28" s="779"/>
      <c r="AG28" s="779"/>
      <c r="AH28" s="779"/>
      <c r="AI28" s="779"/>
      <c r="AJ28" s="779"/>
      <c r="AK28" s="779"/>
    </row>
    <row r="29" spans="1:37" s="780" customFormat="1" ht="38.25" customHeight="1">
      <c r="A29" s="1227">
        <v>14</v>
      </c>
      <c r="B29" s="1227" t="str">
        <f>'Chấm công KT'!D26</f>
        <v>03467</v>
      </c>
      <c r="C29" s="1228" t="str">
        <f>TONGHOPCONGDOI!C24</f>
        <v>T. Hin</v>
      </c>
      <c r="D29" s="1227" t="s">
        <v>30</v>
      </c>
      <c r="E29" s="1229"/>
      <c r="F29" s="1230">
        <f t="shared" si="1"/>
        <v>0</v>
      </c>
      <c r="G29" s="1230">
        <f>VLOOKUP(C29,TONGHOPCONGDOI!C24:AD91,16,0)</f>
        <v>1407</v>
      </c>
      <c r="H29" s="1230">
        <f>VLOOKUP(C29,TONGHOPCONGDOI!C24:AD91,18,0)</f>
        <v>0</v>
      </c>
      <c r="I29" s="1230"/>
      <c r="J29" s="1231">
        <f t="shared" si="2"/>
        <v>722.47039231922759</v>
      </c>
      <c r="K29" s="1232" t="str">
        <f>VLOOKUP(C29,'BTH mủ tạp'!$C$17:$AL$95,36,0)</f>
        <v>A</v>
      </c>
      <c r="L29" s="1250">
        <f t="shared" si="3"/>
        <v>2658697</v>
      </c>
      <c r="M29" s="1234">
        <f>VLOOKUP(C29,TONGHOPCONGDOI!$C$11:$AD$91,20,0)</f>
        <v>27</v>
      </c>
      <c r="N29" s="1234">
        <f>VLOOKUP(C29,TONGHOPCONGDOI!$C$11:$AD$91,21,0)</f>
        <v>4</v>
      </c>
      <c r="O29" s="1234">
        <f>VLOOKUP(C29,TONGHOPCONGDOI!$C$11:$AC$91,22,0)</f>
        <v>0</v>
      </c>
      <c r="P29" s="1234">
        <f>VLOOKUP(C29,TONGHOPCONGDOI!$C$11:$AC$91,23,0)</f>
        <v>0</v>
      </c>
      <c r="Q29" s="1234">
        <f>VLOOKUP(C29,TONGHOPCONGDOI!$C$11:$AC$91,24,0)</f>
        <v>0</v>
      </c>
      <c r="R29" s="1234">
        <f>VLOOKUP(C29,TONGHOPCONGDOI!$C$11:$AC$91,25,0)</f>
        <v>0</v>
      </c>
      <c r="S29" s="1228">
        <f t="shared" si="4"/>
        <v>20</v>
      </c>
      <c r="T29" s="1235"/>
      <c r="U29" s="1235"/>
      <c r="V29" s="1235"/>
      <c r="W29" s="1234">
        <f t="shared" si="6"/>
        <v>1537293</v>
      </c>
      <c r="X29" s="1234">
        <f t="shared" si="5"/>
        <v>4195990</v>
      </c>
      <c r="Y29" s="1230"/>
      <c r="Z29" s="1237">
        <f t="shared" si="7"/>
        <v>4195990</v>
      </c>
      <c r="AA29" s="1230"/>
      <c r="AB29" s="1236"/>
      <c r="AC29" s="902"/>
      <c r="AD29" s="779"/>
      <c r="AE29" s="779"/>
      <c r="AF29" s="779"/>
      <c r="AG29" s="779"/>
      <c r="AH29" s="779"/>
      <c r="AI29" s="779"/>
      <c r="AJ29" s="779"/>
      <c r="AK29" s="779"/>
    </row>
    <row r="30" spans="1:37" s="780" customFormat="1" ht="38.25" customHeight="1">
      <c r="A30" s="1227">
        <v>15</v>
      </c>
      <c r="B30" s="1227"/>
      <c r="C30" s="1228" t="str">
        <f>TONGHOPCONGDOI!C25</f>
        <v>N. Ly Phon</v>
      </c>
      <c r="D30" s="1227" t="s">
        <v>30</v>
      </c>
      <c r="E30" s="1229"/>
      <c r="F30" s="1230">
        <f t="shared" si="1"/>
        <v>0</v>
      </c>
      <c r="G30" s="1230">
        <f>VLOOKUP(C30,TONGHOPCONGDOI!C25:AD91,16,0)</f>
        <v>1562</v>
      </c>
      <c r="H30" s="1230">
        <f>VLOOKUP(C30,TONGHOPCONGDOI!C25:AD91,18,0)</f>
        <v>0</v>
      </c>
      <c r="I30" s="1230"/>
      <c r="J30" s="1231">
        <f t="shared" si="2"/>
        <v>802.06023653349928</v>
      </c>
      <c r="K30" s="1232" t="str">
        <f>VLOOKUP(C30,'BTH mủ tạp'!$C$17:$AL$95,36,0)</f>
        <v>A</v>
      </c>
      <c r="L30" s="1250">
        <f t="shared" si="3"/>
        <v>2951588</v>
      </c>
      <c r="M30" s="1234">
        <f>VLOOKUP(C30,TONGHOPCONGDOI!$C$11:$AD$91,20,0)</f>
        <v>27</v>
      </c>
      <c r="N30" s="1234">
        <f>VLOOKUP(C30,TONGHOPCONGDOI!$C$11:$AD$91,21,0)</f>
        <v>4</v>
      </c>
      <c r="O30" s="1234">
        <f>VLOOKUP(C30,TONGHOPCONGDOI!$C$11:$AC$91,22,0)</f>
        <v>0</v>
      </c>
      <c r="P30" s="1234">
        <f>VLOOKUP(C30,TONGHOPCONGDOI!$C$11:$AC$91,23,0)</f>
        <v>0</v>
      </c>
      <c r="Q30" s="1234">
        <f>VLOOKUP(C30,TONGHOPCONGDOI!$C$11:$AC$91,24,0)</f>
        <v>0</v>
      </c>
      <c r="R30" s="1234">
        <f>VLOOKUP(C30,TONGHOPCONGDOI!$C$11:$AC$91,25,0)</f>
        <v>0</v>
      </c>
      <c r="S30" s="1228">
        <f t="shared" si="4"/>
        <v>20</v>
      </c>
      <c r="T30" s="1235"/>
      <c r="U30" s="1235"/>
      <c r="V30" s="1235"/>
      <c r="W30" s="1234">
        <f t="shared" si="6"/>
        <v>1537293</v>
      </c>
      <c r="X30" s="1234">
        <f t="shared" si="5"/>
        <v>4488881</v>
      </c>
      <c r="Y30" s="1230"/>
      <c r="Z30" s="1237">
        <f t="shared" si="7"/>
        <v>4488881</v>
      </c>
      <c r="AA30" s="1230"/>
      <c r="AB30" s="1236"/>
      <c r="AC30" s="902"/>
      <c r="AD30" s="779"/>
      <c r="AE30" s="779"/>
      <c r="AF30" s="779"/>
      <c r="AG30" s="779"/>
      <c r="AH30" s="779"/>
      <c r="AI30" s="779"/>
      <c r="AJ30" s="779"/>
      <c r="AK30" s="779"/>
    </row>
    <row r="31" spans="1:37" s="780" customFormat="1" ht="38.25" customHeight="1">
      <c r="A31" s="1227">
        <v>16</v>
      </c>
      <c r="B31" s="1227" t="str">
        <f>'Chấm công KT'!D28</f>
        <v>03469</v>
      </c>
      <c r="C31" s="1228" t="str">
        <f>TONGHOPCONGDOI!C26</f>
        <v>T. Xôm Va Nít</v>
      </c>
      <c r="D31" s="1227" t="s">
        <v>30</v>
      </c>
      <c r="E31" s="1229"/>
      <c r="F31" s="1230">
        <f t="shared" si="1"/>
        <v>0</v>
      </c>
      <c r="G31" s="1230">
        <f>VLOOKUP(C31,TONGHOPCONGDOI!C26:AD91,16,0)</f>
        <v>1985</v>
      </c>
      <c r="H31" s="1230">
        <f>VLOOKUP(C31,TONGHOPCONGDOI!C26:AD91,18,0)</f>
        <v>0</v>
      </c>
      <c r="I31" s="1230"/>
      <c r="J31" s="1231">
        <f t="shared" si="2"/>
        <v>1019.2634888085763</v>
      </c>
      <c r="K31" s="1232" t="str">
        <f>VLOOKUP(C31,'BTH mủ tạp'!$C$17:$AL$95,36,0)</f>
        <v>A</v>
      </c>
      <c r="L31" s="1250">
        <f t="shared" si="3"/>
        <v>3750898</v>
      </c>
      <c r="M31" s="1234">
        <f>VLOOKUP(C31,TONGHOPCONGDOI!$C$11:$AD$91,20,0)</f>
        <v>26</v>
      </c>
      <c r="N31" s="1234">
        <f>VLOOKUP(C31,TONGHOPCONGDOI!$C$11:$AD$91,21,0)</f>
        <v>4</v>
      </c>
      <c r="O31" s="1234">
        <f>VLOOKUP(C31,TONGHOPCONGDOI!$C$11:$AC$91,22,0)</f>
        <v>0</v>
      </c>
      <c r="P31" s="1234">
        <f>VLOOKUP(C31,TONGHOPCONGDOI!$C$11:$AC$91,23,0)</f>
        <v>0</v>
      </c>
      <c r="Q31" s="1234">
        <f>VLOOKUP(C31,TONGHOPCONGDOI!$C$11:$AC$91,24,0)</f>
        <v>0</v>
      </c>
      <c r="R31" s="1234">
        <f>VLOOKUP(C31,TONGHOPCONGDOI!$C$11:$AC$91,25,0)</f>
        <v>0</v>
      </c>
      <c r="S31" s="1228">
        <f t="shared" si="4"/>
        <v>20</v>
      </c>
      <c r="T31" s="1235"/>
      <c r="U31" s="1235"/>
      <c r="V31" s="1235"/>
      <c r="W31" s="1234">
        <f t="shared" si="6"/>
        <v>1506488</v>
      </c>
      <c r="X31" s="1234">
        <f t="shared" si="5"/>
        <v>5257386</v>
      </c>
      <c r="Y31" s="1230"/>
      <c r="Z31" s="1237">
        <f t="shared" si="7"/>
        <v>5257386</v>
      </c>
      <c r="AA31" s="1230"/>
      <c r="AB31" s="1236"/>
      <c r="AC31" s="902"/>
      <c r="AD31" s="779"/>
      <c r="AE31" s="779"/>
      <c r="AF31" s="779"/>
      <c r="AG31" s="779"/>
      <c r="AH31" s="779"/>
      <c r="AI31" s="779"/>
      <c r="AJ31" s="779"/>
      <c r="AK31" s="779"/>
    </row>
    <row r="32" spans="1:37" s="780" customFormat="1" ht="38.25" customHeight="1">
      <c r="A32" s="1227">
        <v>17</v>
      </c>
      <c r="B32" s="1227" t="str">
        <f>'Chấm công KT'!D29</f>
        <v>03470</v>
      </c>
      <c r="C32" s="1228" t="str">
        <f>TONGHOPCONGDOI!C27</f>
        <v>T. Lọi</v>
      </c>
      <c r="D32" s="1227" t="s">
        <v>30</v>
      </c>
      <c r="E32" s="1229"/>
      <c r="F32" s="1230">
        <f t="shared" si="1"/>
        <v>0</v>
      </c>
      <c r="G32" s="1230">
        <f>VLOOKUP(C32,TONGHOPCONGDOI!C27:AD91,16,0)</f>
        <v>673</v>
      </c>
      <c r="H32" s="1230">
        <f>VLOOKUP(C32,TONGHOPCONGDOI!C27:AD91,18,0)</f>
        <v>0</v>
      </c>
      <c r="I32" s="1230"/>
      <c r="J32" s="1231">
        <f t="shared" si="2"/>
        <v>345.57396874970874</v>
      </c>
      <c r="K32" s="1232" t="str">
        <f>VLOOKUP(C32,'BTH mủ tạp'!$C$17:$AL$95,36,0)</f>
        <v>A</v>
      </c>
      <c r="L32" s="1250">
        <f t="shared" si="3"/>
        <v>1271715</v>
      </c>
      <c r="M32" s="1234">
        <f>VLOOKUP(C32,TONGHOPCONGDOI!$C$11:$AD$91,20,0)</f>
        <v>20</v>
      </c>
      <c r="N32" s="1234">
        <f>VLOOKUP(C32,TONGHOPCONGDOI!$C$11:$AD$91,21,0)</f>
        <v>3</v>
      </c>
      <c r="O32" s="1234">
        <f>VLOOKUP(C32,TONGHOPCONGDOI!$C$11:$AC$91,22,0)</f>
        <v>0</v>
      </c>
      <c r="P32" s="1234">
        <f>VLOOKUP(C32,TONGHOPCONGDOI!$C$11:$AC$91,23,0)</f>
        <v>0</v>
      </c>
      <c r="Q32" s="1234">
        <f>VLOOKUP(C32,TONGHOPCONGDOI!$C$11:$AC$91,24,0)</f>
        <v>0</v>
      </c>
      <c r="R32" s="1234">
        <f>VLOOKUP(C32,TONGHOPCONGDOI!$C$11:$AC$91,25,0)</f>
        <v>0</v>
      </c>
      <c r="S32" s="1228">
        <f t="shared" si="4"/>
        <v>20</v>
      </c>
      <c r="T32" s="1235"/>
      <c r="U32" s="1235"/>
      <c r="V32" s="1235"/>
      <c r="W32" s="1234">
        <f t="shared" si="6"/>
        <v>1270269</v>
      </c>
      <c r="X32" s="1234">
        <f t="shared" si="5"/>
        <v>2541984</v>
      </c>
      <c r="Y32" s="1230"/>
      <c r="Z32" s="1237">
        <f t="shared" si="7"/>
        <v>2541984</v>
      </c>
      <c r="AA32" s="1230"/>
      <c r="AB32" s="1236"/>
      <c r="AC32" s="902"/>
      <c r="AD32" s="779"/>
      <c r="AE32" s="779"/>
      <c r="AF32" s="779"/>
      <c r="AG32" s="779"/>
      <c r="AH32" s="779"/>
      <c r="AI32" s="779"/>
      <c r="AJ32" s="779"/>
      <c r="AK32" s="779"/>
    </row>
    <row r="33" spans="1:37" s="780" customFormat="1" ht="38.25" customHeight="1">
      <c r="A33" s="1227">
        <v>18</v>
      </c>
      <c r="B33" s="1227" t="str">
        <f>'Chấm công KT'!D30</f>
        <v>03471</v>
      </c>
      <c r="C33" s="1228" t="str">
        <f>TONGHOPCONGDOI!C28</f>
        <v>T. Phô Thong</v>
      </c>
      <c r="D33" s="1227" t="s">
        <v>30</v>
      </c>
      <c r="E33" s="1229"/>
      <c r="F33" s="1230">
        <f t="shared" si="1"/>
        <v>0</v>
      </c>
      <c r="G33" s="1230">
        <f>VLOOKUP(C33,TONGHOPCONGDOI!C28:AD91,16,0)</f>
        <v>1929</v>
      </c>
      <c r="H33" s="1230">
        <f>VLOOKUP(C33,TONGHOPCONGDOI!C28:AD91,18,0)</f>
        <v>0</v>
      </c>
      <c r="I33" s="1230"/>
      <c r="J33" s="1231">
        <f t="shared" si="2"/>
        <v>990.50844831825873</v>
      </c>
      <c r="K33" s="1232" t="str">
        <f>VLOOKUP(C33,'BTH mủ tạp'!$C$17:$AL$95,36,0)</f>
        <v>A</v>
      </c>
      <c r="L33" s="1250">
        <f t="shared" si="3"/>
        <v>3645079</v>
      </c>
      <c r="M33" s="1234">
        <f>VLOOKUP(C33,TONGHOPCONGDOI!$C$11:$AD$91,20,0)</f>
        <v>27</v>
      </c>
      <c r="N33" s="1234">
        <f>VLOOKUP(C33,TONGHOPCONGDOI!$C$11:$AD$91,21,0)</f>
        <v>4</v>
      </c>
      <c r="O33" s="1234">
        <f>VLOOKUP(C33,TONGHOPCONGDOI!$C$11:$AC$91,22,0)</f>
        <v>0</v>
      </c>
      <c r="P33" s="1234">
        <f>VLOOKUP(C33,TONGHOPCONGDOI!$C$11:$AC$91,23,0)</f>
        <v>0</v>
      </c>
      <c r="Q33" s="1234">
        <f>VLOOKUP(C33,TONGHOPCONGDOI!$C$11:$AC$91,24,0)</f>
        <v>0</v>
      </c>
      <c r="R33" s="1234">
        <f>VLOOKUP(C33,TONGHOPCONGDOI!$C$11:$AC$91,25,0)</f>
        <v>0</v>
      </c>
      <c r="S33" s="1228">
        <f t="shared" si="4"/>
        <v>20</v>
      </c>
      <c r="T33" s="1235"/>
      <c r="U33" s="1235"/>
      <c r="V33" s="1235"/>
      <c r="W33" s="1234">
        <f t="shared" si="6"/>
        <v>1537293</v>
      </c>
      <c r="X33" s="1234">
        <f t="shared" si="5"/>
        <v>5182372</v>
      </c>
      <c r="Y33" s="1230"/>
      <c r="Z33" s="1237">
        <f t="shared" si="7"/>
        <v>5182372</v>
      </c>
      <c r="AA33" s="1230"/>
      <c r="AB33" s="1236"/>
      <c r="AC33" s="902"/>
      <c r="AD33" s="779"/>
      <c r="AE33" s="779"/>
      <c r="AF33" s="779"/>
      <c r="AG33" s="779"/>
      <c r="AH33" s="779"/>
      <c r="AI33" s="779"/>
      <c r="AJ33" s="779"/>
      <c r="AK33" s="779"/>
    </row>
    <row r="34" spans="1:37" s="780" customFormat="1" ht="38.25" customHeight="1">
      <c r="A34" s="1227">
        <v>19</v>
      </c>
      <c r="B34" s="1227" t="str">
        <f>'Chấm công KT'!D31</f>
        <v>03472</v>
      </c>
      <c r="C34" s="1228" t="str">
        <f>TONGHOPCONGDOI!C29</f>
        <v>N. Soi</v>
      </c>
      <c r="D34" s="1227" t="s">
        <v>30</v>
      </c>
      <c r="E34" s="1229"/>
      <c r="F34" s="1230">
        <f t="shared" si="1"/>
        <v>0</v>
      </c>
      <c r="G34" s="1230">
        <f>VLOOKUP(C34,TONGHOPCONGDOI!C29:AD91,16,0)</f>
        <v>1261</v>
      </c>
      <c r="H34" s="1230">
        <f>VLOOKUP(C34,TONGHOPCONGDOI!C29:AD91,18,0)</f>
        <v>0</v>
      </c>
      <c r="I34" s="1230"/>
      <c r="J34" s="1231">
        <f t="shared" si="2"/>
        <v>647.50189389804268</v>
      </c>
      <c r="K34" s="1232" t="str">
        <f>VLOOKUP(C34,'BTH mủ tạp'!$C$17:$AL$95,36,0)</f>
        <v>A</v>
      </c>
      <c r="L34" s="1250">
        <f t="shared" si="3"/>
        <v>2382812</v>
      </c>
      <c r="M34" s="1234">
        <f>VLOOKUP(C34,TONGHOPCONGDOI!$C$11:$AD$91,20,0)</f>
        <v>27</v>
      </c>
      <c r="N34" s="1234">
        <f>VLOOKUP(C34,TONGHOPCONGDOI!$C$11:$AD$91,21,0)</f>
        <v>3</v>
      </c>
      <c r="O34" s="1234">
        <f>VLOOKUP(C34,TONGHOPCONGDOI!$C$11:$AC$91,22,0)</f>
        <v>0</v>
      </c>
      <c r="P34" s="1234">
        <f>VLOOKUP(C34,TONGHOPCONGDOI!$C$11:$AC$91,23,0)</f>
        <v>0</v>
      </c>
      <c r="Q34" s="1234">
        <f>VLOOKUP(C34,TONGHOPCONGDOI!$C$11:$AC$91,24,0)</f>
        <v>0</v>
      </c>
      <c r="R34" s="1234">
        <f>VLOOKUP(C34,TONGHOPCONGDOI!$C$11:$AC$91,25,0)</f>
        <v>0</v>
      </c>
      <c r="S34" s="1228">
        <f t="shared" si="4"/>
        <v>20</v>
      </c>
      <c r="T34" s="1235"/>
      <c r="U34" s="1235"/>
      <c r="V34" s="1235"/>
      <c r="W34" s="1234">
        <f t="shared" si="6"/>
        <v>1485907</v>
      </c>
      <c r="X34" s="1234">
        <f t="shared" si="5"/>
        <v>3868719</v>
      </c>
      <c r="Y34" s="1230"/>
      <c r="Z34" s="1237">
        <f t="shared" si="7"/>
        <v>3868719</v>
      </c>
      <c r="AA34" s="1230"/>
      <c r="AB34" s="1236"/>
      <c r="AC34" s="902"/>
      <c r="AD34" s="779"/>
      <c r="AE34" s="779"/>
      <c r="AF34" s="779"/>
      <c r="AG34" s="779"/>
      <c r="AH34" s="779"/>
      <c r="AI34" s="779"/>
      <c r="AJ34" s="779"/>
      <c r="AK34" s="779"/>
    </row>
    <row r="35" spans="1:37" s="780" customFormat="1" ht="38.25" customHeight="1">
      <c r="A35" s="1227">
        <v>20</v>
      </c>
      <c r="B35" s="1227" t="str">
        <f>'Chấm công KT'!D32</f>
        <v>03473</v>
      </c>
      <c r="C35" s="1228" t="str">
        <f>TONGHOPCONGDOI!C30</f>
        <v>N. Me Kha La</v>
      </c>
      <c r="D35" s="1227" t="s">
        <v>30</v>
      </c>
      <c r="E35" s="1229"/>
      <c r="F35" s="1230">
        <f t="shared" si="1"/>
        <v>0</v>
      </c>
      <c r="G35" s="1230">
        <f>VLOOKUP(C35,TONGHOPCONGDOI!C30:AD91,16,0)</f>
        <v>2186</v>
      </c>
      <c r="H35" s="1230">
        <f>VLOOKUP(C35,TONGHOPCONGDOI!C30:AD91,18,0)</f>
        <v>0</v>
      </c>
      <c r="I35" s="1230"/>
      <c r="J35" s="1231">
        <f t="shared" si="2"/>
        <v>1122.4735448541803</v>
      </c>
      <c r="K35" s="1232" t="str">
        <f>VLOOKUP(C35,'BTH mủ tạp'!$C$17:$AL$95,36,0)</f>
        <v>A</v>
      </c>
      <c r="L35" s="1250">
        <f t="shared" si="3"/>
        <v>4130712</v>
      </c>
      <c r="M35" s="1234">
        <f>VLOOKUP(C35,TONGHOPCONGDOI!$C$11:$AD$91,20,0)</f>
        <v>26</v>
      </c>
      <c r="N35" s="1234">
        <f>VLOOKUP(C35,TONGHOPCONGDOI!$C$11:$AD$91,21,0)</f>
        <v>4</v>
      </c>
      <c r="O35" s="1234">
        <f>VLOOKUP(C35,TONGHOPCONGDOI!$C$11:$AC$91,22,0)</f>
        <v>0</v>
      </c>
      <c r="P35" s="1234">
        <f>VLOOKUP(C35,TONGHOPCONGDOI!$C$11:$AC$91,23,0)</f>
        <v>0</v>
      </c>
      <c r="Q35" s="1234">
        <f>VLOOKUP(C35,TONGHOPCONGDOI!$C$11:$AC$91,24,0)</f>
        <v>0</v>
      </c>
      <c r="R35" s="1234">
        <f>VLOOKUP(C35,TONGHOPCONGDOI!$C$11:$AC$91,25,0)</f>
        <v>0</v>
      </c>
      <c r="S35" s="1228">
        <f t="shared" si="4"/>
        <v>20</v>
      </c>
      <c r="T35" s="1235"/>
      <c r="U35" s="1235"/>
      <c r="V35" s="1235"/>
      <c r="W35" s="1234">
        <f t="shared" si="6"/>
        <v>1506488</v>
      </c>
      <c r="X35" s="1234">
        <f t="shared" si="5"/>
        <v>5637200</v>
      </c>
      <c r="Y35" s="1230"/>
      <c r="Z35" s="1237">
        <f t="shared" si="7"/>
        <v>5637200</v>
      </c>
      <c r="AA35" s="1230"/>
      <c r="AB35" s="1236"/>
      <c r="AC35" s="902"/>
      <c r="AD35" s="779"/>
      <c r="AE35" s="779"/>
      <c r="AF35" s="779"/>
      <c r="AG35" s="779"/>
      <c r="AH35" s="779"/>
      <c r="AI35" s="779"/>
      <c r="AJ35" s="779"/>
      <c r="AK35" s="779"/>
    </row>
    <row r="36" spans="1:37" s="780" customFormat="1" ht="38.25" customHeight="1">
      <c r="A36" s="1227">
        <v>21</v>
      </c>
      <c r="B36" s="1227" t="str">
        <f>'Chấm công KT'!D33</f>
        <v>03474</v>
      </c>
      <c r="C36" s="1228" t="str">
        <f>TONGHOPCONGDOI!C31</f>
        <v>N. Mon Khăm</v>
      </c>
      <c r="D36" s="1227" t="s">
        <v>30</v>
      </c>
      <c r="E36" s="1229"/>
      <c r="F36" s="1230">
        <f t="shared" si="1"/>
        <v>0</v>
      </c>
      <c r="G36" s="1230">
        <f>VLOOKUP(C36,TONGHOPCONGDOI!C31:AD91,16,0)</f>
        <v>1011</v>
      </c>
      <c r="H36" s="1230">
        <f>VLOOKUP(C36,TONGHOPCONGDOI!C31:AD91,18,0)</f>
        <v>0</v>
      </c>
      <c r="I36" s="1230"/>
      <c r="J36" s="1231">
        <f t="shared" si="2"/>
        <v>519.13117742341092</v>
      </c>
      <c r="K36" s="1232" t="str">
        <f>VLOOKUP(C36,'BTH mủ tạp'!$C$17:$AL$95,36,0)</f>
        <v>A</v>
      </c>
      <c r="L36" s="1250">
        <f t="shared" si="3"/>
        <v>1910407</v>
      </c>
      <c r="M36" s="1234">
        <f>VLOOKUP(C36,TONGHOPCONGDOI!$C$11:$AD$91,20,0)</f>
        <v>24</v>
      </c>
      <c r="N36" s="1234">
        <f>VLOOKUP(C36,TONGHOPCONGDOI!$C$11:$AD$91,21,0)</f>
        <v>4</v>
      </c>
      <c r="O36" s="1234">
        <f>VLOOKUP(C36,TONGHOPCONGDOI!$C$11:$AC$91,22,0)</f>
        <v>0</v>
      </c>
      <c r="P36" s="1234">
        <f>VLOOKUP(C36,TONGHOPCONGDOI!$C$11:$AC$91,23,0)</f>
        <v>0</v>
      </c>
      <c r="Q36" s="1234">
        <f>VLOOKUP(C36,TONGHOPCONGDOI!$C$11:$AC$91,24,0)</f>
        <v>0</v>
      </c>
      <c r="R36" s="1234">
        <f>VLOOKUP(C36,TONGHOPCONGDOI!$C$11:$AC$91,25,0)</f>
        <v>0</v>
      </c>
      <c r="S36" s="1228">
        <f t="shared" si="4"/>
        <v>20</v>
      </c>
      <c r="T36" s="1235"/>
      <c r="U36" s="1235"/>
      <c r="V36" s="1235"/>
      <c r="W36" s="1234">
        <f t="shared" si="6"/>
        <v>1444877</v>
      </c>
      <c r="X36" s="1234">
        <f t="shared" si="5"/>
        <v>3355284</v>
      </c>
      <c r="Y36" s="1230"/>
      <c r="Z36" s="1237">
        <f t="shared" si="7"/>
        <v>3355284</v>
      </c>
      <c r="AA36" s="1230"/>
      <c r="AB36" s="1236"/>
      <c r="AC36" s="902"/>
      <c r="AD36" s="779"/>
      <c r="AE36" s="779"/>
      <c r="AF36" s="779"/>
      <c r="AG36" s="779"/>
      <c r="AH36" s="779"/>
      <c r="AI36" s="779"/>
      <c r="AJ36" s="779"/>
      <c r="AK36" s="779"/>
    </row>
    <row r="37" spans="1:37" s="780" customFormat="1" ht="38.25" customHeight="1">
      <c r="A37" s="1227">
        <v>22</v>
      </c>
      <c r="B37" s="1227"/>
      <c r="C37" s="1228" t="str">
        <f>TONGHOPCONGDOI!C32</f>
        <v>N. Bua Lay</v>
      </c>
      <c r="D37" s="1227" t="s">
        <v>30</v>
      </c>
      <c r="E37" s="1229"/>
      <c r="F37" s="1230">
        <f t="shared" si="1"/>
        <v>0</v>
      </c>
      <c r="G37" s="1230">
        <f>VLOOKUP(C37,TONGHOPCONGDOI!C32:AD91,16,0)</f>
        <v>1305</v>
      </c>
      <c r="H37" s="1230">
        <f>VLOOKUP(C37,TONGHOPCONGDOI!C32:AD91,18,0)</f>
        <v>0</v>
      </c>
      <c r="I37" s="1230"/>
      <c r="J37" s="1231">
        <f t="shared" si="2"/>
        <v>670.09513999757792</v>
      </c>
      <c r="K37" s="1232" t="str">
        <f>VLOOKUP(C37,'BTH mủ tạp'!$C$17:$AL$95,36,0)</f>
        <v>B</v>
      </c>
      <c r="L37" s="1250">
        <f t="shared" si="3"/>
        <v>2344679</v>
      </c>
      <c r="M37" s="1234">
        <f>VLOOKUP(C37,TONGHOPCONGDOI!$C$11:$AD$91,20,0)</f>
        <v>23</v>
      </c>
      <c r="N37" s="1234">
        <f>VLOOKUP(C37,TONGHOPCONGDOI!$C$11:$AD$91,21,0)</f>
        <v>4</v>
      </c>
      <c r="O37" s="1234">
        <f>VLOOKUP(C37,TONGHOPCONGDOI!$C$11:$AC$91,22,0)</f>
        <v>0</v>
      </c>
      <c r="P37" s="1234">
        <f>VLOOKUP(C37,TONGHOPCONGDOI!$C$11:$AC$91,23,0)</f>
        <v>0</v>
      </c>
      <c r="Q37" s="1234">
        <f>VLOOKUP(C37,TONGHOPCONGDOI!$C$11:$AC$91,24,0)</f>
        <v>0</v>
      </c>
      <c r="R37" s="1234">
        <f>VLOOKUP(C37,TONGHOPCONGDOI!$C$11:$AC$91,25,0)</f>
        <v>0</v>
      </c>
      <c r="S37" s="1228"/>
      <c r="T37" s="1235"/>
      <c r="U37" s="1235"/>
      <c r="V37" s="1235"/>
      <c r="W37" s="1234">
        <f t="shared" si="6"/>
        <v>914072</v>
      </c>
      <c r="X37" s="1234">
        <f t="shared" si="5"/>
        <v>3258751</v>
      </c>
      <c r="Y37" s="1230"/>
      <c r="Z37" s="1237">
        <f t="shared" si="7"/>
        <v>3258751</v>
      </c>
      <c r="AA37" s="1230"/>
      <c r="AB37" s="1236"/>
      <c r="AC37" s="902"/>
      <c r="AD37" s="779"/>
      <c r="AE37" s="779"/>
      <c r="AF37" s="779"/>
      <c r="AG37" s="779"/>
      <c r="AH37" s="779"/>
      <c r="AI37" s="779"/>
      <c r="AJ37" s="779"/>
      <c r="AK37" s="779"/>
    </row>
    <row r="38" spans="1:37" s="780" customFormat="1" ht="38.25" customHeight="1">
      <c r="A38" s="1227">
        <v>23</v>
      </c>
      <c r="B38" s="1227" t="str">
        <f>'Chấm công KT'!D35</f>
        <v>03476</v>
      </c>
      <c r="C38" s="1228" t="str">
        <f>TONGHOPCONGDOI!C33</f>
        <v>T. Bin Ly.</v>
      </c>
      <c r="D38" s="1227" t="s">
        <v>30</v>
      </c>
      <c r="E38" s="1229"/>
      <c r="F38" s="1230">
        <f t="shared" si="1"/>
        <v>0</v>
      </c>
      <c r="G38" s="1230">
        <f>VLOOKUP(C38,TONGHOPCONGDOI!C33:AD91,16,0)</f>
        <v>1795</v>
      </c>
      <c r="H38" s="1230">
        <f>VLOOKUP(C38,TONGHOPCONGDOI!C33:AD91,18,0)</f>
        <v>0</v>
      </c>
      <c r="I38" s="1230"/>
      <c r="J38" s="1231">
        <f t="shared" si="2"/>
        <v>921.70174428785617</v>
      </c>
      <c r="K38" s="1232" t="str">
        <f>VLOOKUP(C38,'BTH mủ tạp'!$C$17:$AL$95,36,0)</f>
        <v>A</v>
      </c>
      <c r="L38" s="1250">
        <f t="shared" si="3"/>
        <v>3391870</v>
      </c>
      <c r="M38" s="1234">
        <f>VLOOKUP(C38,TONGHOPCONGDOI!$C$11:$AD$91,20,0)</f>
        <v>27</v>
      </c>
      <c r="N38" s="1234">
        <f>VLOOKUP(C38,TONGHOPCONGDOI!$C$11:$AD$91,21,0)</f>
        <v>4</v>
      </c>
      <c r="O38" s="1234">
        <f>VLOOKUP(C38,TONGHOPCONGDOI!$C$11:$AC$91,22,0)</f>
        <v>0</v>
      </c>
      <c r="P38" s="1234">
        <f>VLOOKUP(C38,TONGHOPCONGDOI!$C$11:$AC$91,23,0)</f>
        <v>0</v>
      </c>
      <c r="Q38" s="1234">
        <f>VLOOKUP(C38,TONGHOPCONGDOI!$C$11:$AC$91,24,0)</f>
        <v>0</v>
      </c>
      <c r="R38" s="1234">
        <f>VLOOKUP(C38,TONGHOPCONGDOI!$C$11:$AC$91,25,0)</f>
        <v>0</v>
      </c>
      <c r="S38" s="1228">
        <f t="shared" si="4"/>
        <v>20</v>
      </c>
      <c r="T38" s="1235"/>
      <c r="U38" s="1235"/>
      <c r="V38" s="1235"/>
      <c r="W38" s="1234">
        <f t="shared" si="6"/>
        <v>1537293</v>
      </c>
      <c r="X38" s="1234">
        <f t="shared" si="5"/>
        <v>4929163</v>
      </c>
      <c r="Y38" s="1230"/>
      <c r="Z38" s="1237">
        <f t="shared" si="7"/>
        <v>4929163</v>
      </c>
      <c r="AA38" s="1230"/>
      <c r="AB38" s="1236"/>
      <c r="AC38" s="902"/>
      <c r="AD38" s="779"/>
      <c r="AE38" s="779"/>
      <c r="AF38" s="779"/>
      <c r="AG38" s="779"/>
      <c r="AH38" s="779"/>
      <c r="AI38" s="779"/>
      <c r="AJ38" s="779"/>
      <c r="AK38" s="779"/>
    </row>
    <row r="39" spans="1:37" s="780" customFormat="1" ht="38.25" customHeight="1">
      <c r="A39" s="1227">
        <v>24</v>
      </c>
      <c r="B39" s="1227" t="str">
        <f>'Chấm công KT'!D36</f>
        <v>03477</v>
      </c>
      <c r="C39" s="1228" t="str">
        <f>TONGHOPCONGDOI!C34</f>
        <v>N. Phim Phon.</v>
      </c>
      <c r="D39" s="1227" t="s">
        <v>30</v>
      </c>
      <c r="E39" s="1229"/>
      <c r="F39" s="1230">
        <f t="shared" si="1"/>
        <v>0</v>
      </c>
      <c r="G39" s="1230">
        <f>VLOOKUP(C39,TONGHOPCONGDOI!C34:AD91,16,0)</f>
        <v>1083</v>
      </c>
      <c r="H39" s="1230">
        <f>VLOOKUP(C39,TONGHOPCONGDOI!C34:AD91,18,0)</f>
        <v>0</v>
      </c>
      <c r="I39" s="1230"/>
      <c r="J39" s="1231">
        <f t="shared" si="2"/>
        <v>556.10194376810489</v>
      </c>
      <c r="K39" s="1232" t="str">
        <f>VLOOKUP(C39,'BTH mủ tạp'!$C$17:$AL$95,36,0)</f>
        <v>B</v>
      </c>
      <c r="L39" s="1250">
        <f t="shared" si="3"/>
        <v>1945814</v>
      </c>
      <c r="M39" s="1234">
        <f>VLOOKUP(C39,TONGHOPCONGDOI!$C$11:$AD$91,20,0)</f>
        <v>23</v>
      </c>
      <c r="N39" s="1234">
        <f>VLOOKUP(C39,TONGHOPCONGDOI!$C$11:$AD$91,21,0)</f>
        <v>3</v>
      </c>
      <c r="O39" s="1234">
        <f>VLOOKUP(C39,TONGHOPCONGDOI!$C$11:$AC$91,22,0)</f>
        <v>0</v>
      </c>
      <c r="P39" s="1234">
        <f>VLOOKUP(C39,TONGHOPCONGDOI!$C$11:$AC$91,23,0)</f>
        <v>0</v>
      </c>
      <c r="Q39" s="1234">
        <f>VLOOKUP(C39,TONGHOPCONGDOI!$C$11:$AC$91,24,0)</f>
        <v>0</v>
      </c>
      <c r="R39" s="1234">
        <f>VLOOKUP(C39,TONGHOPCONGDOI!$C$11:$AC$91,25,0)</f>
        <v>0</v>
      </c>
      <c r="S39" s="1228">
        <f t="shared" si="4"/>
        <v>20</v>
      </c>
      <c r="T39" s="1235"/>
      <c r="U39" s="1235"/>
      <c r="V39" s="1235"/>
      <c r="W39" s="1234">
        <f t="shared" si="6"/>
        <v>1362685</v>
      </c>
      <c r="X39" s="1234">
        <f t="shared" si="5"/>
        <v>3308499</v>
      </c>
      <c r="Y39" s="1230"/>
      <c r="Z39" s="1237">
        <f t="shared" si="7"/>
        <v>3308499</v>
      </c>
      <c r="AA39" s="1230"/>
      <c r="AB39" s="1236"/>
      <c r="AC39" s="902"/>
      <c r="AD39" s="779"/>
      <c r="AE39" s="779"/>
      <c r="AF39" s="779"/>
      <c r="AG39" s="779"/>
      <c r="AH39" s="779"/>
      <c r="AI39" s="779"/>
      <c r="AJ39" s="779"/>
      <c r="AK39" s="779"/>
    </row>
    <row r="40" spans="1:37" s="780" customFormat="1" ht="38.25" customHeight="1">
      <c r="A40" s="1227">
        <v>25</v>
      </c>
      <c r="B40" s="1227" t="str">
        <f>'Chấm công KT'!D37</f>
        <v>03478</v>
      </c>
      <c r="C40" s="1228" t="str">
        <f>TONGHOPCONGDOI!C35</f>
        <v>N. Nong</v>
      </c>
      <c r="D40" s="1227" t="s">
        <v>30</v>
      </c>
      <c r="E40" s="1229"/>
      <c r="F40" s="1230">
        <f t="shared" si="1"/>
        <v>0</v>
      </c>
      <c r="G40" s="1230">
        <f>VLOOKUP(C40,TONGHOPCONGDOI!C35:AD91,16,0)</f>
        <v>1798</v>
      </c>
      <c r="H40" s="1230">
        <f>VLOOKUP(C40,TONGHOPCONGDOI!C35:AD91,18,0)</f>
        <v>0</v>
      </c>
      <c r="I40" s="1230"/>
      <c r="J40" s="1231">
        <f t="shared" si="2"/>
        <v>923.24219288555173</v>
      </c>
      <c r="K40" s="1232" t="str">
        <f>VLOOKUP(C40,'BTH mủ tạp'!$C$17:$AL$95,36,0)</f>
        <v>A</v>
      </c>
      <c r="L40" s="1250">
        <f t="shared" si="3"/>
        <v>3397539</v>
      </c>
      <c r="M40" s="1234">
        <f>VLOOKUP(C40,TONGHOPCONGDOI!$C$11:$AD$91,20,0)</f>
        <v>27</v>
      </c>
      <c r="N40" s="1234">
        <f>VLOOKUP(C40,TONGHOPCONGDOI!$C$11:$AD$91,21,0)</f>
        <v>3</v>
      </c>
      <c r="O40" s="1234">
        <f>VLOOKUP(C40,TONGHOPCONGDOI!$C$11:$AC$91,22,0)</f>
        <v>0</v>
      </c>
      <c r="P40" s="1234">
        <f>VLOOKUP(C40,TONGHOPCONGDOI!$C$11:$AC$91,23,0)</f>
        <v>0</v>
      </c>
      <c r="Q40" s="1234">
        <f>VLOOKUP(C40,TONGHOPCONGDOI!$C$11:$AC$91,24,0)</f>
        <v>0</v>
      </c>
      <c r="R40" s="1234">
        <f>VLOOKUP(C40,TONGHOPCONGDOI!$C$11:$AC$91,25,0)</f>
        <v>0</v>
      </c>
      <c r="S40" s="1228">
        <f t="shared" si="4"/>
        <v>20</v>
      </c>
      <c r="T40" s="1235"/>
      <c r="U40" s="1235"/>
      <c r="V40" s="1235"/>
      <c r="W40" s="1234">
        <f t="shared" si="6"/>
        <v>1485907</v>
      </c>
      <c r="X40" s="1234">
        <f t="shared" si="5"/>
        <v>4883446</v>
      </c>
      <c r="Y40" s="1230"/>
      <c r="Z40" s="1237">
        <f t="shared" si="7"/>
        <v>4883446</v>
      </c>
      <c r="AA40" s="1230"/>
      <c r="AB40" s="1236"/>
      <c r="AC40" s="902"/>
      <c r="AD40" s="779"/>
      <c r="AE40" s="779"/>
      <c r="AF40" s="779"/>
      <c r="AG40" s="779"/>
      <c r="AH40" s="779"/>
      <c r="AI40" s="779"/>
      <c r="AJ40" s="779"/>
      <c r="AK40" s="779"/>
    </row>
    <row r="41" spans="1:37" s="780" customFormat="1" ht="38.25" customHeight="1">
      <c r="A41" s="1227">
        <v>26</v>
      </c>
      <c r="B41" s="1227" t="str">
        <f>'Chấm công KT'!D38</f>
        <v>03479</v>
      </c>
      <c r="C41" s="1228" t="str">
        <f>TONGHOPCONGDOI!C36</f>
        <v>N. Tun 1</v>
      </c>
      <c r="D41" s="1227" t="s">
        <v>30</v>
      </c>
      <c r="E41" s="1229"/>
      <c r="F41" s="1230">
        <f t="shared" si="1"/>
        <v>0</v>
      </c>
      <c r="G41" s="1230">
        <f>VLOOKUP(C41,TONGHOPCONGDOI!C36:AD91,16,0)</f>
        <v>1356</v>
      </c>
      <c r="H41" s="1230">
        <f>VLOOKUP(C41,TONGHOPCONGDOI!C36:AD91,18,0)</f>
        <v>0</v>
      </c>
      <c r="I41" s="1230"/>
      <c r="J41" s="1231">
        <f t="shared" si="2"/>
        <v>696.28276615840275</v>
      </c>
      <c r="K41" s="1232" t="str">
        <f>VLOOKUP(C41,'BTH mủ tạp'!$C$17:$AL$95,36,0)</f>
        <v>A</v>
      </c>
      <c r="L41" s="1250">
        <f t="shared" si="3"/>
        <v>2562326</v>
      </c>
      <c r="M41" s="1234">
        <f>VLOOKUP(C41,TONGHOPCONGDOI!$C$11:$AD$91,20,0)</f>
        <v>26</v>
      </c>
      <c r="N41" s="1234">
        <f>VLOOKUP(C41,TONGHOPCONGDOI!$C$11:$AD$91,21,0)</f>
        <v>4</v>
      </c>
      <c r="O41" s="1234">
        <f>VLOOKUP(C41,TONGHOPCONGDOI!$C$11:$AC$91,22,0)</f>
        <v>0</v>
      </c>
      <c r="P41" s="1234">
        <f>VLOOKUP(C41,TONGHOPCONGDOI!$C$11:$AC$91,23,0)</f>
        <v>0</v>
      </c>
      <c r="Q41" s="1234">
        <f>VLOOKUP(C41,TONGHOPCONGDOI!$C$11:$AC$91,24,0)</f>
        <v>0</v>
      </c>
      <c r="R41" s="1234">
        <f>VLOOKUP(C41,TONGHOPCONGDOI!$C$11:$AC$91,25,0)</f>
        <v>0</v>
      </c>
      <c r="S41" s="1228">
        <f t="shared" si="4"/>
        <v>20</v>
      </c>
      <c r="T41" s="1235"/>
      <c r="U41" s="1235"/>
      <c r="V41" s="1235"/>
      <c r="W41" s="1234">
        <f t="shared" si="6"/>
        <v>1506488</v>
      </c>
      <c r="X41" s="1234">
        <f t="shared" si="5"/>
        <v>4068814</v>
      </c>
      <c r="Y41" s="1230"/>
      <c r="Z41" s="1237">
        <f t="shared" si="7"/>
        <v>4068814</v>
      </c>
      <c r="AA41" s="1230"/>
      <c r="AB41" s="1236"/>
      <c r="AC41" s="902"/>
      <c r="AD41" s="779"/>
      <c r="AE41" s="779"/>
      <c r="AF41" s="779"/>
      <c r="AG41" s="779"/>
      <c r="AH41" s="779"/>
      <c r="AI41" s="779"/>
      <c r="AJ41" s="779"/>
      <c r="AK41" s="779"/>
    </row>
    <row r="42" spans="1:37" s="780" customFormat="1" ht="38.25" customHeight="1">
      <c r="A42" s="1227">
        <v>27</v>
      </c>
      <c r="B42" s="1227" t="str">
        <f>'Chấm công KT'!D39</f>
        <v>03480</v>
      </c>
      <c r="C42" s="1228" t="str">
        <f>TONGHOPCONGDOI!C37</f>
        <v>T . Lốc</v>
      </c>
      <c r="D42" s="1227" t="s">
        <v>30</v>
      </c>
      <c r="E42" s="1229"/>
      <c r="F42" s="1230">
        <f t="shared" si="1"/>
        <v>0</v>
      </c>
      <c r="G42" s="1230">
        <f>VLOOKUP(C42,TONGHOPCONGDOI!C37:AD91,16,0)</f>
        <v>1357</v>
      </c>
      <c r="H42" s="1230">
        <f>VLOOKUP(C42,TONGHOPCONGDOI!C37:AD91,18,0)</f>
        <v>0</v>
      </c>
      <c r="I42" s="1230"/>
      <c r="J42" s="1231">
        <f t="shared" si="2"/>
        <v>696.79624902430123</v>
      </c>
      <c r="K42" s="1232" t="str">
        <f>VLOOKUP(C42,'BTH mủ tạp'!$C$17:$AL$95,36,0)</f>
        <v>B</v>
      </c>
      <c r="L42" s="1250">
        <f t="shared" si="3"/>
        <v>2438107</v>
      </c>
      <c r="M42" s="1234">
        <f>VLOOKUP(C42,TONGHOPCONGDOI!$C$11:$AD$91,20,0)</f>
        <v>26</v>
      </c>
      <c r="N42" s="1234">
        <f>VLOOKUP(C42,TONGHOPCONGDOI!$C$11:$AD$91,21,0)</f>
        <v>4</v>
      </c>
      <c r="O42" s="1234">
        <f>VLOOKUP(C42,TONGHOPCONGDOI!$C$11:$AC$91,22,0)</f>
        <v>0</v>
      </c>
      <c r="P42" s="1234">
        <f>VLOOKUP(C42,TONGHOPCONGDOI!$C$11:$AC$91,23,0)</f>
        <v>0</v>
      </c>
      <c r="Q42" s="1234">
        <f>VLOOKUP(C42,TONGHOPCONGDOI!$C$11:$AC$91,24,0)</f>
        <v>0</v>
      </c>
      <c r="R42" s="1234">
        <f>VLOOKUP(C42,TONGHOPCONGDOI!$C$11:$AC$91,25,0)</f>
        <v>0</v>
      </c>
      <c r="S42" s="1228">
        <f t="shared" si="4"/>
        <v>20</v>
      </c>
      <c r="T42" s="1235"/>
      <c r="U42" s="1235"/>
      <c r="V42" s="1235"/>
      <c r="W42" s="1234">
        <f t="shared" si="6"/>
        <v>1506488</v>
      </c>
      <c r="X42" s="1234">
        <f t="shared" si="5"/>
        <v>3944595</v>
      </c>
      <c r="Y42" s="1230"/>
      <c r="Z42" s="1237">
        <f t="shared" si="7"/>
        <v>3944595</v>
      </c>
      <c r="AA42" s="1230"/>
      <c r="AB42" s="1236"/>
      <c r="AC42" s="902"/>
      <c r="AD42" s="779"/>
      <c r="AE42" s="779"/>
      <c r="AF42" s="779"/>
      <c r="AG42" s="779"/>
      <c r="AH42" s="779"/>
      <c r="AI42" s="779"/>
      <c r="AJ42" s="779"/>
      <c r="AK42" s="779"/>
    </row>
    <row r="43" spans="1:37" s="780" customFormat="1" ht="38.25" customHeight="1">
      <c r="A43" s="1227">
        <v>28</v>
      </c>
      <c r="B43" s="1227" t="str">
        <f>'Chấm công KT'!D40</f>
        <v>03481</v>
      </c>
      <c r="C43" s="1228" t="str">
        <f>TONGHOPCONGDOI!C38</f>
        <v>N . Khâm (1)</v>
      </c>
      <c r="D43" s="1227" t="s">
        <v>30</v>
      </c>
      <c r="E43" s="1229"/>
      <c r="F43" s="1230">
        <f t="shared" si="1"/>
        <v>0</v>
      </c>
      <c r="G43" s="1230">
        <f>VLOOKUP(C43,TONGHOPCONGDOI!C38:AD91,16,0)</f>
        <v>1772</v>
      </c>
      <c r="H43" s="1230">
        <f>VLOOKUP(C43,TONGHOPCONGDOI!C38:AD91,18,0)</f>
        <v>0</v>
      </c>
      <c r="I43" s="1230"/>
      <c r="J43" s="1231">
        <f t="shared" si="2"/>
        <v>909.89163837218996</v>
      </c>
      <c r="K43" s="1232" t="str">
        <f>VLOOKUP(C43,'BTH mủ tạp'!$C$17:$AL$95,36,0)</f>
        <v>A</v>
      </c>
      <c r="L43" s="1250">
        <f t="shared" si="3"/>
        <v>3348409</v>
      </c>
      <c r="M43" s="1234">
        <f>VLOOKUP(C43,TONGHOPCONGDOI!$C$11:$AD$91,20,0)</f>
        <v>24</v>
      </c>
      <c r="N43" s="1234">
        <f>VLOOKUP(C43,TONGHOPCONGDOI!$C$11:$AD$91,21,0)</f>
        <v>4</v>
      </c>
      <c r="O43" s="1234">
        <f>VLOOKUP(C43,TONGHOPCONGDOI!$C$11:$AC$91,22,0)</f>
        <v>0</v>
      </c>
      <c r="P43" s="1234">
        <f>VLOOKUP(C43,TONGHOPCONGDOI!$C$11:$AC$91,23,0)</f>
        <v>0</v>
      </c>
      <c r="Q43" s="1234">
        <f>VLOOKUP(C43,TONGHOPCONGDOI!$C$11:$AC$91,24,0)</f>
        <v>0</v>
      </c>
      <c r="R43" s="1234">
        <f>VLOOKUP(C43,TONGHOPCONGDOI!$C$11:$AC$91,25,0)</f>
        <v>0</v>
      </c>
      <c r="S43" s="1228">
        <f t="shared" si="4"/>
        <v>20</v>
      </c>
      <c r="T43" s="1235"/>
      <c r="U43" s="1235"/>
      <c r="V43" s="1235"/>
      <c r="W43" s="1234">
        <f t="shared" si="6"/>
        <v>1444877</v>
      </c>
      <c r="X43" s="1234">
        <f t="shared" si="5"/>
        <v>4793286</v>
      </c>
      <c r="Y43" s="1230"/>
      <c r="Z43" s="1237">
        <f t="shared" si="7"/>
        <v>4793286</v>
      </c>
      <c r="AA43" s="1230"/>
      <c r="AB43" s="1236"/>
      <c r="AC43" s="902"/>
      <c r="AD43" s="779"/>
      <c r="AE43" s="779"/>
      <c r="AF43" s="779"/>
      <c r="AG43" s="779"/>
      <c r="AH43" s="779"/>
      <c r="AI43" s="779"/>
      <c r="AJ43" s="779"/>
      <c r="AK43" s="779"/>
    </row>
    <row r="44" spans="1:37" s="780" customFormat="1" ht="38.25" customHeight="1">
      <c r="A44" s="1227">
        <v>29</v>
      </c>
      <c r="B44" s="1227" t="str">
        <f>'Chấm công KT'!D41</f>
        <v>03482</v>
      </c>
      <c r="C44" s="1228" t="str">
        <f>TONGHOPCONGDOI!C39</f>
        <v>T . Phết</v>
      </c>
      <c r="D44" s="1227" t="s">
        <v>30</v>
      </c>
      <c r="E44" s="1229"/>
      <c r="F44" s="1230">
        <f t="shared" si="1"/>
        <v>0</v>
      </c>
      <c r="G44" s="1230">
        <f>VLOOKUP(C44,TONGHOPCONGDOI!C39:AD91,16,0)</f>
        <v>1753</v>
      </c>
      <c r="H44" s="1230">
        <f>VLOOKUP(C44,TONGHOPCONGDOI!C39:AD91,18,0)</f>
        <v>0</v>
      </c>
      <c r="I44" s="1230"/>
      <c r="J44" s="1231">
        <f t="shared" si="2"/>
        <v>900.13546392011801</v>
      </c>
      <c r="K44" s="1232" t="str">
        <f>VLOOKUP(C44,'BTH mủ tạp'!$C$17:$AL$95,36,0)</f>
        <v>A</v>
      </c>
      <c r="L44" s="1250">
        <f t="shared" si="3"/>
        <v>3312506</v>
      </c>
      <c r="M44" s="1234">
        <f>VLOOKUP(C44,TONGHOPCONGDOI!$C$11:$AD$91,20,0)</f>
        <v>24</v>
      </c>
      <c r="N44" s="1234">
        <f>VLOOKUP(C44,TONGHOPCONGDOI!$C$11:$AD$91,21,0)</f>
        <v>4</v>
      </c>
      <c r="O44" s="1234">
        <f>VLOOKUP(C44,TONGHOPCONGDOI!$C$11:$AC$91,22,0)</f>
        <v>0</v>
      </c>
      <c r="P44" s="1234">
        <f>VLOOKUP(C44,TONGHOPCONGDOI!$C$11:$AC$91,23,0)</f>
        <v>0</v>
      </c>
      <c r="Q44" s="1234">
        <f>VLOOKUP(C44,TONGHOPCONGDOI!$C$11:$AC$91,24,0)</f>
        <v>0</v>
      </c>
      <c r="R44" s="1234">
        <f>VLOOKUP(C44,TONGHOPCONGDOI!$C$11:$AC$91,25,0)</f>
        <v>0</v>
      </c>
      <c r="S44" s="1228">
        <f t="shared" si="4"/>
        <v>20</v>
      </c>
      <c r="T44" s="1235"/>
      <c r="U44" s="1235"/>
      <c r="V44" s="1235"/>
      <c r="W44" s="1234">
        <f t="shared" si="6"/>
        <v>1444877</v>
      </c>
      <c r="X44" s="1234">
        <f t="shared" si="5"/>
        <v>4757383</v>
      </c>
      <c r="Y44" s="1230"/>
      <c r="Z44" s="1237">
        <f t="shared" si="7"/>
        <v>4757383</v>
      </c>
      <c r="AA44" s="1230"/>
      <c r="AB44" s="1236"/>
      <c r="AC44" s="902"/>
      <c r="AD44" s="779"/>
      <c r="AE44" s="779"/>
      <c r="AF44" s="779"/>
      <c r="AG44" s="779"/>
      <c r="AH44" s="779"/>
      <c r="AI44" s="779"/>
      <c r="AJ44" s="779"/>
      <c r="AK44" s="779"/>
    </row>
    <row r="45" spans="1:37" s="780" customFormat="1" ht="38.25" customHeight="1">
      <c r="A45" s="1227">
        <v>30</v>
      </c>
      <c r="B45" s="1227" t="str">
        <f>'Chấm công KT'!D42</f>
        <v>03483</v>
      </c>
      <c r="C45" s="1228" t="str">
        <f>TONGHOPCONGDOI!C40</f>
        <v>T. Viêng Sa Văn</v>
      </c>
      <c r="D45" s="1227" t="s">
        <v>30</v>
      </c>
      <c r="E45" s="1229"/>
      <c r="F45" s="1230">
        <f t="shared" si="1"/>
        <v>0</v>
      </c>
      <c r="G45" s="1230">
        <f>VLOOKUP(C45,TONGHOPCONGDOI!C40:AD91,16,0)</f>
        <v>2002</v>
      </c>
      <c r="H45" s="1230">
        <f>VLOOKUP(C45,TONGHOPCONGDOI!C40:AD91,18,0)</f>
        <v>0</v>
      </c>
      <c r="I45" s="1230"/>
      <c r="J45" s="1231">
        <f t="shared" si="2"/>
        <v>1027.9926975288513</v>
      </c>
      <c r="K45" s="1232" t="str">
        <f>VLOOKUP(C45,'BTH mủ tạp'!$C$17:$AL$95,36,0)</f>
        <v>A</v>
      </c>
      <c r="L45" s="1250">
        <f t="shared" si="3"/>
        <v>3783021</v>
      </c>
      <c r="M45" s="1234">
        <f>VLOOKUP(C45,TONGHOPCONGDOI!$C$11:$AD$91,20,0)</f>
        <v>25</v>
      </c>
      <c r="N45" s="1234">
        <f>VLOOKUP(C45,TONGHOPCONGDOI!$C$11:$AD$91,21,0)</f>
        <v>4</v>
      </c>
      <c r="O45" s="1234">
        <f>VLOOKUP(C45,TONGHOPCONGDOI!$C$11:$AC$91,22,0)</f>
        <v>0</v>
      </c>
      <c r="P45" s="1234">
        <f>VLOOKUP(C45,TONGHOPCONGDOI!$C$11:$AC$91,23,0)</f>
        <v>0</v>
      </c>
      <c r="Q45" s="1234">
        <f>VLOOKUP(C45,TONGHOPCONGDOI!$C$11:$AC$91,24,0)</f>
        <v>0</v>
      </c>
      <c r="R45" s="1234">
        <f>VLOOKUP(C45,TONGHOPCONGDOI!$C$11:$AC$91,25,0)</f>
        <v>0</v>
      </c>
      <c r="S45" s="1228">
        <f t="shared" si="4"/>
        <v>20</v>
      </c>
      <c r="T45" s="1235"/>
      <c r="U45" s="1235"/>
      <c r="V45" s="1235"/>
      <c r="W45" s="1234">
        <f t="shared" si="6"/>
        <v>1475683</v>
      </c>
      <c r="X45" s="1234">
        <f t="shared" si="5"/>
        <v>5258704</v>
      </c>
      <c r="Y45" s="1230"/>
      <c r="Z45" s="1237">
        <f t="shared" si="7"/>
        <v>5258704</v>
      </c>
      <c r="AA45" s="1230"/>
      <c r="AB45" s="1236"/>
      <c r="AC45" s="902"/>
      <c r="AD45" s="779"/>
      <c r="AE45" s="779"/>
      <c r="AF45" s="779"/>
      <c r="AG45" s="779"/>
      <c r="AH45" s="779"/>
      <c r="AI45" s="779"/>
      <c r="AJ45" s="779"/>
      <c r="AK45" s="779"/>
    </row>
    <row r="46" spans="1:37" s="780" customFormat="1" ht="38.25" customHeight="1">
      <c r="A46" s="1227">
        <v>31</v>
      </c>
      <c r="B46" s="1227" t="str">
        <f>'Chấm công KT'!D43</f>
        <v>03484</v>
      </c>
      <c r="C46" s="1228" t="str">
        <f>TONGHOPCONGDOI!C41</f>
        <v>T. Ca Te</v>
      </c>
      <c r="D46" s="1227" t="s">
        <v>30</v>
      </c>
      <c r="E46" s="1229"/>
      <c r="F46" s="1230">
        <f t="shared" si="1"/>
        <v>0</v>
      </c>
      <c r="G46" s="1230">
        <f>VLOOKUP(C46,TONGHOPCONGDOI!C41:AD91,16,0)</f>
        <v>1866</v>
      </c>
      <c r="H46" s="1230">
        <f>VLOOKUP(C46,TONGHOPCONGDOI!C41:AD91,18,0)</f>
        <v>0</v>
      </c>
      <c r="I46" s="1230"/>
      <c r="J46" s="1231">
        <f t="shared" si="2"/>
        <v>958.15902776665155</v>
      </c>
      <c r="K46" s="1232" t="str">
        <f>VLOOKUP(C46,'BTH mủ tạp'!$C$17:$AL$95,36,0)</f>
        <v>B</v>
      </c>
      <c r="L46" s="1250">
        <f t="shared" si="3"/>
        <v>3352621</v>
      </c>
      <c r="M46" s="1234">
        <f>VLOOKUP(C46,TONGHOPCONGDOI!$C$11:$AD$91,20,0)</f>
        <v>27</v>
      </c>
      <c r="N46" s="1234">
        <f>VLOOKUP(C46,TONGHOPCONGDOI!$C$11:$AD$91,21,0)</f>
        <v>3</v>
      </c>
      <c r="O46" s="1234">
        <f>VLOOKUP(C46,TONGHOPCONGDOI!$C$11:$AC$91,22,0)</f>
        <v>0</v>
      </c>
      <c r="P46" s="1234">
        <f>VLOOKUP(C46,TONGHOPCONGDOI!$C$11:$AC$91,23,0)</f>
        <v>0</v>
      </c>
      <c r="Q46" s="1234">
        <f>VLOOKUP(C46,TONGHOPCONGDOI!$C$11:$AC$91,24,0)</f>
        <v>0</v>
      </c>
      <c r="R46" s="1234">
        <f>VLOOKUP(C46,TONGHOPCONGDOI!$C$11:$AC$91,25,0)</f>
        <v>0</v>
      </c>
      <c r="S46" s="1228">
        <f t="shared" si="4"/>
        <v>20</v>
      </c>
      <c r="T46" s="1235"/>
      <c r="U46" s="1235"/>
      <c r="V46" s="1235"/>
      <c r="W46" s="1234">
        <f t="shared" si="6"/>
        <v>1485907</v>
      </c>
      <c r="X46" s="1234">
        <f t="shared" si="5"/>
        <v>4838528</v>
      </c>
      <c r="Y46" s="1230"/>
      <c r="Z46" s="1237">
        <f t="shared" si="7"/>
        <v>4838528</v>
      </c>
      <c r="AA46" s="1230"/>
      <c r="AB46" s="1236"/>
      <c r="AC46" s="902"/>
      <c r="AD46" s="779"/>
      <c r="AE46" s="779"/>
      <c r="AF46" s="779"/>
      <c r="AG46" s="779"/>
      <c r="AH46" s="779"/>
      <c r="AI46" s="779"/>
      <c r="AJ46" s="779"/>
      <c r="AK46" s="779"/>
    </row>
    <row r="47" spans="1:37" s="780" customFormat="1" ht="38.25" customHeight="1">
      <c r="A47" s="1227">
        <v>32</v>
      </c>
      <c r="B47" s="1227" t="str">
        <f>'Chấm công KT'!D44</f>
        <v>03485</v>
      </c>
      <c r="C47" s="1228" t="str">
        <f>TONGHOPCONGDOI!C42</f>
        <v>T. Lâm Phon</v>
      </c>
      <c r="D47" s="1227" t="s">
        <v>30</v>
      </c>
      <c r="E47" s="1229"/>
      <c r="F47" s="1230">
        <f t="shared" si="1"/>
        <v>0</v>
      </c>
      <c r="G47" s="1230">
        <f>VLOOKUP(C47,TONGHOPCONGDOI!C42:AD91,16,0)</f>
        <v>1402</v>
      </c>
      <c r="H47" s="1230">
        <f>VLOOKUP(C47,TONGHOPCONGDOI!C42:AD91,18,0)</f>
        <v>0</v>
      </c>
      <c r="I47" s="1230"/>
      <c r="J47" s="1231">
        <f t="shared" si="2"/>
        <v>719.90297798973495</v>
      </c>
      <c r="K47" s="1232" t="str">
        <f>VLOOKUP(C47,'BTH mủ tạp'!$C$17:$AL$95,36,0)</f>
        <v>A</v>
      </c>
      <c r="L47" s="1250">
        <f t="shared" si="3"/>
        <v>2649249</v>
      </c>
      <c r="M47" s="1234">
        <f>VLOOKUP(C47,TONGHOPCONGDOI!$C$11:$AD$91,20,0)</f>
        <v>26</v>
      </c>
      <c r="N47" s="1234">
        <f>VLOOKUP(C47,TONGHOPCONGDOI!$C$11:$AD$91,21,0)</f>
        <v>4</v>
      </c>
      <c r="O47" s="1234">
        <f>VLOOKUP(C47,TONGHOPCONGDOI!$C$11:$AC$91,22,0)</f>
        <v>0</v>
      </c>
      <c r="P47" s="1234">
        <f>VLOOKUP(C47,TONGHOPCONGDOI!$C$11:$AC$91,23,0)</f>
        <v>0</v>
      </c>
      <c r="Q47" s="1234">
        <f>VLOOKUP(C47,TONGHOPCONGDOI!$C$11:$AC$91,24,0)</f>
        <v>0</v>
      </c>
      <c r="R47" s="1234">
        <f>VLOOKUP(C47,TONGHOPCONGDOI!$C$11:$AC$91,25,0)</f>
        <v>0</v>
      </c>
      <c r="S47" s="1228">
        <f t="shared" si="4"/>
        <v>20</v>
      </c>
      <c r="T47" s="1235"/>
      <c r="U47" s="1235"/>
      <c r="V47" s="1235"/>
      <c r="W47" s="1234">
        <f t="shared" si="6"/>
        <v>1506488</v>
      </c>
      <c r="X47" s="1234">
        <f t="shared" si="5"/>
        <v>4155737</v>
      </c>
      <c r="Y47" s="1230"/>
      <c r="Z47" s="1237">
        <f t="shared" si="7"/>
        <v>4155737</v>
      </c>
      <c r="AA47" s="1230"/>
      <c r="AB47" s="1236"/>
      <c r="AC47" s="902"/>
      <c r="AD47" s="779"/>
      <c r="AE47" s="779"/>
      <c r="AF47" s="779"/>
      <c r="AG47" s="779"/>
      <c r="AH47" s="779"/>
      <c r="AI47" s="779"/>
      <c r="AJ47" s="779"/>
      <c r="AK47" s="779"/>
    </row>
    <row r="48" spans="1:37" s="780" customFormat="1" ht="38.25" customHeight="1">
      <c r="A48" s="1227">
        <v>33</v>
      </c>
      <c r="B48" s="1227" t="str">
        <f>'Chấm công KT'!D45</f>
        <v>02712</v>
      </c>
      <c r="C48" s="1228" t="str">
        <f>TONGHOPCONGDOI!C43</f>
        <v>T. Sô Đa</v>
      </c>
      <c r="D48" s="1227" t="s">
        <v>30</v>
      </c>
      <c r="E48" s="1229"/>
      <c r="F48" s="1230">
        <f t="shared" si="1"/>
        <v>0</v>
      </c>
      <c r="G48" s="1230">
        <f>VLOOKUP(C48,TONGHOPCONGDOI!C43:AD91,16,0)</f>
        <v>1867</v>
      </c>
      <c r="H48" s="1230">
        <f>VLOOKUP(C48,TONGHOPCONGDOI!C43:AD91,18,0)</f>
        <v>0</v>
      </c>
      <c r="I48" s="1230"/>
      <c r="J48" s="1231">
        <f t="shared" ref="J48:J79" si="8">$AE$8/$AE$7*G48+H48*$AE$9+I48*$AE$10</f>
        <v>958.67251063255014</v>
      </c>
      <c r="K48" s="1232" t="str">
        <f>VLOOKUP(C48,'BTH mủ tạp'!$C$17:$AL$95,36,0)</f>
        <v>A</v>
      </c>
      <c r="L48" s="1250">
        <f t="shared" si="3"/>
        <v>3527923</v>
      </c>
      <c r="M48" s="1234">
        <f>VLOOKUP(C48,TONGHOPCONGDOI!$C$11:$AD$91,20,0)</f>
        <v>26</v>
      </c>
      <c r="N48" s="1234">
        <f>VLOOKUP(C48,TONGHOPCONGDOI!$C$11:$AD$91,21,0)</f>
        <v>3</v>
      </c>
      <c r="O48" s="1234">
        <f>VLOOKUP(C48,TONGHOPCONGDOI!$C$11:$AC$91,22,0)</f>
        <v>0</v>
      </c>
      <c r="P48" s="1234">
        <f>VLOOKUP(C48,TONGHOPCONGDOI!$C$11:$AC$91,23,0)</f>
        <v>0</v>
      </c>
      <c r="Q48" s="1234">
        <f>VLOOKUP(C48,TONGHOPCONGDOI!$C$11:$AC$91,24,0)</f>
        <v>0</v>
      </c>
      <c r="R48" s="1234">
        <f>VLOOKUP(C48,TONGHOPCONGDOI!$C$11:$AC$91,25,0)</f>
        <v>0</v>
      </c>
      <c r="S48" s="1228">
        <f t="shared" si="4"/>
        <v>20</v>
      </c>
      <c r="T48" s="1235"/>
      <c r="U48" s="1235"/>
      <c r="V48" s="1235"/>
      <c r="W48" s="1234">
        <f t="shared" si="6"/>
        <v>1455101</v>
      </c>
      <c r="X48" s="1234">
        <f t="shared" ref="X48:X79" si="9">F48+L48+W48</f>
        <v>4983024</v>
      </c>
      <c r="Y48" s="1230"/>
      <c r="Z48" s="1237">
        <f t="shared" si="7"/>
        <v>4983024</v>
      </c>
      <c r="AA48" s="1230"/>
      <c r="AB48" s="1236"/>
      <c r="AC48" s="902"/>
      <c r="AD48" s="779"/>
      <c r="AE48" s="779"/>
      <c r="AF48" s="779"/>
      <c r="AG48" s="779"/>
      <c r="AH48" s="779"/>
      <c r="AI48" s="779"/>
      <c r="AJ48" s="779"/>
      <c r="AK48" s="779"/>
    </row>
    <row r="49" spans="1:37" s="780" customFormat="1" ht="38.25" customHeight="1">
      <c r="A49" s="1227">
        <v>34</v>
      </c>
      <c r="B49" s="1227" t="str">
        <f>'Chấm công KT'!D46</f>
        <v>02722</v>
      </c>
      <c r="C49" s="1228" t="str">
        <f>TONGHOPCONGDOI!C44</f>
        <v>T. Phu Ngân</v>
      </c>
      <c r="D49" s="1227" t="s">
        <v>30</v>
      </c>
      <c r="E49" s="1229"/>
      <c r="F49" s="1230">
        <f t="shared" si="1"/>
        <v>0</v>
      </c>
      <c r="G49" s="1230">
        <f>VLOOKUP(C49,TONGHOPCONGDOI!C44:AD91,16,0)</f>
        <v>2221</v>
      </c>
      <c r="H49" s="1230">
        <f>VLOOKUP(C49,TONGHOPCONGDOI!C44:AD91,18,0)</f>
        <v>0</v>
      </c>
      <c r="I49" s="1230"/>
      <c r="J49" s="1231">
        <f t="shared" si="8"/>
        <v>1140.4454451606287</v>
      </c>
      <c r="K49" s="1232" t="str">
        <f>VLOOKUP(C49,'BTH mủ tạp'!$C$17:$AL$95,36,0)</f>
        <v>A</v>
      </c>
      <c r="L49" s="1250">
        <f t="shared" si="3"/>
        <v>4196848</v>
      </c>
      <c r="M49" s="1234">
        <f>VLOOKUP(C49,TONGHOPCONGDOI!$C$11:$AD$91,20,0)</f>
        <v>26</v>
      </c>
      <c r="N49" s="1234">
        <f>VLOOKUP(C49,TONGHOPCONGDOI!$C$11:$AD$91,21,0)</f>
        <v>4</v>
      </c>
      <c r="O49" s="1234">
        <f>VLOOKUP(C49,TONGHOPCONGDOI!$C$11:$AC$91,22,0)</f>
        <v>0</v>
      </c>
      <c r="P49" s="1234">
        <f>VLOOKUP(C49,TONGHOPCONGDOI!$C$11:$AC$91,23,0)</f>
        <v>0</v>
      </c>
      <c r="Q49" s="1234">
        <f>VLOOKUP(C49,TONGHOPCONGDOI!$C$11:$AC$91,24,0)</f>
        <v>0</v>
      </c>
      <c r="R49" s="1234">
        <f>VLOOKUP(C49,TONGHOPCONGDOI!$C$11:$AC$91,25,0)</f>
        <v>0</v>
      </c>
      <c r="S49" s="1228">
        <f t="shared" si="4"/>
        <v>20</v>
      </c>
      <c r="T49" s="1235"/>
      <c r="U49" s="1235"/>
      <c r="V49" s="1235"/>
      <c r="W49" s="1234">
        <f t="shared" si="6"/>
        <v>1506488</v>
      </c>
      <c r="X49" s="1234">
        <f t="shared" si="9"/>
        <v>5703336</v>
      </c>
      <c r="Y49" s="1230"/>
      <c r="Z49" s="1237">
        <f t="shared" si="7"/>
        <v>5703336</v>
      </c>
      <c r="AA49" s="1230"/>
      <c r="AB49" s="1236"/>
      <c r="AC49" s="902"/>
      <c r="AD49" s="779"/>
      <c r="AE49" s="779"/>
      <c r="AF49" s="779"/>
      <c r="AG49" s="779"/>
      <c r="AH49" s="779"/>
      <c r="AI49" s="779"/>
      <c r="AJ49" s="779"/>
      <c r="AK49" s="779"/>
    </row>
    <row r="50" spans="1:37" s="780" customFormat="1" ht="38.25" customHeight="1">
      <c r="A50" s="1227">
        <v>35</v>
      </c>
      <c r="B50" s="1227" t="str">
        <f>'Chấm công KT'!D47</f>
        <v>02714</v>
      </c>
      <c r="C50" s="1228" t="str">
        <f>TONGHOPCONGDOI!C45</f>
        <v>N. Tủn</v>
      </c>
      <c r="D50" s="1227" t="s">
        <v>30</v>
      </c>
      <c r="E50" s="1229"/>
      <c r="F50" s="1230">
        <f t="shared" si="1"/>
        <v>0</v>
      </c>
      <c r="G50" s="1230">
        <f>VLOOKUP(C50,TONGHOPCONGDOI!C45:AD91,16,0)</f>
        <v>1435</v>
      </c>
      <c r="H50" s="1230">
        <f>VLOOKUP(C50,TONGHOPCONGDOI!C45:AD91,18,0)</f>
        <v>0</v>
      </c>
      <c r="I50" s="1230"/>
      <c r="J50" s="1231">
        <f t="shared" si="8"/>
        <v>736.84791256438643</v>
      </c>
      <c r="K50" s="1232" t="str">
        <f>VLOOKUP(C50,'BTH mủ tạp'!$C$17:$AL$95,36,0)</f>
        <v>A</v>
      </c>
      <c r="L50" s="1250">
        <f t="shared" si="3"/>
        <v>2711606</v>
      </c>
      <c r="M50" s="1234">
        <f>VLOOKUP(C50,TONGHOPCONGDOI!$C$11:$AD$91,20,0)</f>
        <v>27</v>
      </c>
      <c r="N50" s="1234">
        <f>VLOOKUP(C50,TONGHOPCONGDOI!$C$11:$AD$91,21,0)</f>
        <v>4</v>
      </c>
      <c r="O50" s="1234">
        <f>VLOOKUP(C50,TONGHOPCONGDOI!$C$11:$AC$91,22,0)</f>
        <v>0</v>
      </c>
      <c r="P50" s="1234">
        <f>VLOOKUP(C50,TONGHOPCONGDOI!$C$11:$AC$91,23,0)</f>
        <v>0</v>
      </c>
      <c r="Q50" s="1234">
        <f>VLOOKUP(C50,TONGHOPCONGDOI!$C$11:$AC$91,24,0)</f>
        <v>0</v>
      </c>
      <c r="R50" s="1234">
        <f>VLOOKUP(C50,TONGHOPCONGDOI!$C$11:$AC$91,25,0)</f>
        <v>0</v>
      </c>
      <c r="S50" s="1228">
        <f t="shared" si="4"/>
        <v>20</v>
      </c>
      <c r="T50" s="1235"/>
      <c r="U50" s="1235"/>
      <c r="V50" s="1235"/>
      <c r="W50" s="1234">
        <f t="shared" si="6"/>
        <v>1537293</v>
      </c>
      <c r="X50" s="1234">
        <f t="shared" si="9"/>
        <v>4248899</v>
      </c>
      <c r="Y50" s="1230"/>
      <c r="Z50" s="1237">
        <f t="shared" si="7"/>
        <v>4248899</v>
      </c>
      <c r="AA50" s="1230"/>
      <c r="AB50" s="1236"/>
      <c r="AC50" s="902"/>
      <c r="AD50" s="779"/>
      <c r="AE50" s="779"/>
      <c r="AF50" s="779"/>
      <c r="AG50" s="779"/>
      <c r="AH50" s="779"/>
      <c r="AI50" s="779"/>
      <c r="AJ50" s="779"/>
      <c r="AK50" s="779"/>
    </row>
    <row r="51" spans="1:37" s="780" customFormat="1" ht="38.25" customHeight="1">
      <c r="A51" s="1227">
        <v>36</v>
      </c>
      <c r="B51" s="1227" t="str">
        <f>'Chấm công KT'!D48</f>
        <v>02713</v>
      </c>
      <c r="C51" s="1228" t="str">
        <f>TONGHOPCONGDOI!C46</f>
        <v>T. Lung</v>
      </c>
      <c r="D51" s="1227" t="s">
        <v>30</v>
      </c>
      <c r="E51" s="1229"/>
      <c r="F51" s="1230">
        <f t="shared" si="1"/>
        <v>0</v>
      </c>
      <c r="G51" s="1230">
        <f>VLOOKUP(C51,TONGHOPCONGDOI!C46:AD91,16,0)</f>
        <v>1422</v>
      </c>
      <c r="H51" s="1230">
        <f>VLOOKUP(C51,TONGHOPCONGDOI!C46:AD91,18,0)</f>
        <v>0</v>
      </c>
      <c r="I51" s="1230"/>
      <c r="J51" s="1231">
        <f t="shared" si="8"/>
        <v>730.17263530770549</v>
      </c>
      <c r="K51" s="1232" t="str">
        <f>VLOOKUP(C51,'BTH mủ tạp'!$C$17:$AL$95,36,0)</f>
        <v>A</v>
      </c>
      <c r="L51" s="1250">
        <f t="shared" si="3"/>
        <v>2687041</v>
      </c>
      <c r="M51" s="1234">
        <f>VLOOKUP(C51,TONGHOPCONGDOI!$C$11:$AD$91,20,0)</f>
        <v>27</v>
      </c>
      <c r="N51" s="1234">
        <f>VLOOKUP(C51,TONGHOPCONGDOI!$C$11:$AD$91,21,0)</f>
        <v>4</v>
      </c>
      <c r="O51" s="1234">
        <f>VLOOKUP(C51,TONGHOPCONGDOI!$C$11:$AC$91,22,0)</f>
        <v>0</v>
      </c>
      <c r="P51" s="1234">
        <f>VLOOKUP(C51,TONGHOPCONGDOI!$C$11:$AC$91,23,0)</f>
        <v>0</v>
      </c>
      <c r="Q51" s="1234">
        <f>VLOOKUP(C51,TONGHOPCONGDOI!$C$11:$AC$91,24,0)</f>
        <v>0</v>
      </c>
      <c r="R51" s="1234">
        <f>VLOOKUP(C51,TONGHOPCONGDOI!$C$11:$AC$91,25,0)</f>
        <v>0</v>
      </c>
      <c r="S51" s="1228">
        <f t="shared" si="4"/>
        <v>20</v>
      </c>
      <c r="T51" s="1235"/>
      <c r="U51" s="1235"/>
      <c r="V51" s="1235"/>
      <c r="W51" s="1234">
        <f t="shared" si="6"/>
        <v>1537293</v>
      </c>
      <c r="X51" s="1234">
        <f t="shared" si="9"/>
        <v>4224334</v>
      </c>
      <c r="Y51" s="1230"/>
      <c r="Z51" s="1237">
        <f t="shared" si="7"/>
        <v>4224334</v>
      </c>
      <c r="AA51" s="1230"/>
      <c r="AB51" s="1236"/>
      <c r="AC51" s="902"/>
      <c r="AD51" s="779"/>
      <c r="AE51" s="779"/>
      <c r="AF51" s="779"/>
      <c r="AG51" s="779"/>
      <c r="AH51" s="779"/>
      <c r="AI51" s="779"/>
      <c r="AJ51" s="779"/>
      <c r="AK51" s="779"/>
    </row>
    <row r="52" spans="1:37" s="780" customFormat="1" ht="38.25" customHeight="1">
      <c r="A52" s="1227">
        <v>37</v>
      </c>
      <c r="B52" s="1227" t="e">
        <f>'Chấm công KT'!D49</f>
        <v>#N/A</v>
      </c>
      <c r="C52" s="1228" t="str">
        <f>TONGHOPCONGDOI!C47</f>
        <v>T. Bi Ly (2)</v>
      </c>
      <c r="D52" s="1227" t="s">
        <v>30</v>
      </c>
      <c r="E52" s="1229"/>
      <c r="F52" s="1230">
        <f t="shared" si="1"/>
        <v>0</v>
      </c>
      <c r="G52" s="1230">
        <f>VLOOKUP(C52,TONGHOPCONGDOI!C47:AD91,16,0)</f>
        <v>1581</v>
      </c>
      <c r="H52" s="1230">
        <f>VLOOKUP(C52,TONGHOPCONGDOI!C47:AD91,18,0)</f>
        <v>0</v>
      </c>
      <c r="I52" s="1230"/>
      <c r="J52" s="1231">
        <f t="shared" si="8"/>
        <v>811.81641098557134</v>
      </c>
      <c r="K52" s="1232" t="str">
        <f>VLOOKUP(C52,'BTH mủ tạp'!$C$17:$AL$95,36,0)</f>
        <v>A</v>
      </c>
      <c r="L52" s="1250">
        <f t="shared" si="3"/>
        <v>2987491</v>
      </c>
      <c r="M52" s="1234">
        <f>VLOOKUP(C52,TONGHOPCONGDOI!$C$11:$AD$91,20,0)</f>
        <v>27</v>
      </c>
      <c r="N52" s="1234">
        <f>VLOOKUP(C52,TONGHOPCONGDOI!$C$11:$AD$91,21,0)</f>
        <v>4</v>
      </c>
      <c r="O52" s="1234">
        <f>VLOOKUP(C52,TONGHOPCONGDOI!$C$11:$AC$91,22,0)</f>
        <v>0</v>
      </c>
      <c r="P52" s="1234">
        <f>VLOOKUP(C52,TONGHOPCONGDOI!$C$11:$AC$91,23,0)</f>
        <v>0</v>
      </c>
      <c r="Q52" s="1234">
        <f>VLOOKUP(C52,TONGHOPCONGDOI!$C$11:$AC$91,24,0)</f>
        <v>0</v>
      </c>
      <c r="R52" s="1234">
        <f>VLOOKUP(C52,TONGHOPCONGDOI!$C$11:$AC$91,25,0)</f>
        <v>0</v>
      </c>
      <c r="S52" s="1228">
        <f t="shared" si="4"/>
        <v>20</v>
      </c>
      <c r="T52" s="1235"/>
      <c r="U52" s="1235"/>
      <c r="V52" s="1235"/>
      <c r="W52" s="1234">
        <f t="shared" si="6"/>
        <v>1537293</v>
      </c>
      <c r="X52" s="1234">
        <f t="shared" si="9"/>
        <v>4524784</v>
      </c>
      <c r="Y52" s="1230"/>
      <c r="Z52" s="1237">
        <f t="shared" si="7"/>
        <v>4524784</v>
      </c>
      <c r="AA52" s="1230"/>
      <c r="AB52" s="1236"/>
      <c r="AC52" s="902"/>
      <c r="AD52" s="779"/>
      <c r="AE52" s="779"/>
      <c r="AF52" s="779"/>
      <c r="AG52" s="779"/>
      <c r="AH52" s="779"/>
      <c r="AI52" s="779"/>
      <c r="AJ52" s="779"/>
      <c r="AK52" s="779"/>
    </row>
    <row r="53" spans="1:37" s="780" customFormat="1" ht="38.25" customHeight="1">
      <c r="A53" s="1227">
        <v>38</v>
      </c>
      <c r="B53" s="1227" t="str">
        <f>'Chấm công KT'!D50</f>
        <v>03487</v>
      </c>
      <c r="C53" s="1228" t="str">
        <f>TONGHOPCONGDOI!C48</f>
        <v>N. Ba Say</v>
      </c>
      <c r="D53" s="1227" t="s">
        <v>30</v>
      </c>
      <c r="E53" s="1229"/>
      <c r="F53" s="1230">
        <f t="shared" si="1"/>
        <v>0</v>
      </c>
      <c r="G53" s="1230">
        <f>VLOOKUP(C53,TONGHOPCONGDOI!C48:AD91,16,0)</f>
        <v>884</v>
      </c>
      <c r="H53" s="1230">
        <f>VLOOKUP(C53,TONGHOPCONGDOI!C48:AD91,18,0)</f>
        <v>0</v>
      </c>
      <c r="I53" s="1230"/>
      <c r="J53" s="1231">
        <f t="shared" si="8"/>
        <v>453.91885345429796</v>
      </c>
      <c r="K53" s="1232" t="str">
        <f>VLOOKUP(C53,'BTH mủ tạp'!$C$17:$AL$95,36,0)</f>
        <v>B</v>
      </c>
      <c r="L53" s="1250">
        <f t="shared" si="3"/>
        <v>1588273</v>
      </c>
      <c r="M53" s="1234">
        <f>VLOOKUP(C53,TONGHOPCONGDOI!$C$11:$AD$91,20,0)</f>
        <v>22</v>
      </c>
      <c r="N53" s="1234">
        <f>VLOOKUP(C53,TONGHOPCONGDOI!$C$11:$AD$91,21,0)</f>
        <v>3</v>
      </c>
      <c r="O53" s="1234">
        <f>VLOOKUP(C53,TONGHOPCONGDOI!$C$11:$AC$91,22,0)</f>
        <v>0</v>
      </c>
      <c r="P53" s="1234">
        <f>VLOOKUP(C53,TONGHOPCONGDOI!$C$11:$AC$91,23,0)</f>
        <v>0</v>
      </c>
      <c r="Q53" s="1234">
        <f>VLOOKUP(C53,TONGHOPCONGDOI!$C$11:$AC$91,24,0)</f>
        <v>0</v>
      </c>
      <c r="R53" s="1234">
        <f>VLOOKUP(C53,TONGHOPCONGDOI!$C$11:$AC$91,25,0)</f>
        <v>0</v>
      </c>
      <c r="S53" s="1228"/>
      <c r="T53" s="1235"/>
      <c r="U53" s="1235"/>
      <c r="V53" s="1235"/>
      <c r="W53" s="1234">
        <f t="shared" si="6"/>
        <v>831880</v>
      </c>
      <c r="X53" s="1234">
        <f t="shared" si="9"/>
        <v>2420153</v>
      </c>
      <c r="Y53" s="1230"/>
      <c r="Z53" s="1237">
        <f t="shared" si="7"/>
        <v>2420153</v>
      </c>
      <c r="AA53" s="1230"/>
      <c r="AB53" s="1236"/>
      <c r="AC53" s="902"/>
      <c r="AD53" s="779"/>
      <c r="AE53" s="779"/>
      <c r="AF53" s="779"/>
      <c r="AG53" s="779"/>
      <c r="AH53" s="779"/>
      <c r="AI53" s="779"/>
      <c r="AJ53" s="779"/>
      <c r="AK53" s="779"/>
    </row>
    <row r="54" spans="1:37" s="780" customFormat="1" ht="38.25" customHeight="1">
      <c r="A54" s="1227">
        <v>39</v>
      </c>
      <c r="B54" s="1227" t="str">
        <f>'Chấm công KT'!D51</f>
        <v>03488</v>
      </c>
      <c r="C54" s="1228" t="str">
        <f>TONGHOPCONGDOI!C49</f>
        <v>N. Đeng</v>
      </c>
      <c r="D54" s="1227" t="s">
        <v>30</v>
      </c>
      <c r="E54" s="1229"/>
      <c r="F54" s="1230">
        <f t="shared" si="1"/>
        <v>0</v>
      </c>
      <c r="G54" s="1230">
        <f>VLOOKUP(C54,TONGHOPCONGDOI!C49:AD91,16,0)</f>
        <v>1897</v>
      </c>
      <c r="H54" s="1230">
        <f>VLOOKUP(C54,TONGHOPCONGDOI!C49:AD91,18,0)</f>
        <v>0</v>
      </c>
      <c r="I54" s="1230"/>
      <c r="J54" s="1231">
        <f t="shared" si="8"/>
        <v>974.07699660950595</v>
      </c>
      <c r="K54" s="1232" t="str">
        <f>VLOOKUP(C54,'BTH mủ tạp'!$C$17:$AL$95,36,0)</f>
        <v>A</v>
      </c>
      <c r="L54" s="1250">
        <f t="shared" si="3"/>
        <v>3584611</v>
      </c>
      <c r="M54" s="1234">
        <f>VLOOKUP(C54,TONGHOPCONGDOI!$C$11:$AD$91,20,0)</f>
        <v>27</v>
      </c>
      <c r="N54" s="1234">
        <f>VLOOKUP(C54,TONGHOPCONGDOI!$C$11:$AD$91,21,0)</f>
        <v>4</v>
      </c>
      <c r="O54" s="1234">
        <f>VLOOKUP(C54,TONGHOPCONGDOI!$C$11:$AC$91,22,0)</f>
        <v>0</v>
      </c>
      <c r="P54" s="1234">
        <f>VLOOKUP(C54,TONGHOPCONGDOI!$C$11:$AC$91,23,0)</f>
        <v>0</v>
      </c>
      <c r="Q54" s="1234">
        <f>VLOOKUP(C54,TONGHOPCONGDOI!$C$11:$AC$91,24,0)</f>
        <v>0</v>
      </c>
      <c r="R54" s="1234">
        <f>VLOOKUP(C54,TONGHOPCONGDOI!$C$11:$AC$91,25,0)</f>
        <v>0</v>
      </c>
      <c r="S54" s="1228">
        <f t="shared" si="4"/>
        <v>20</v>
      </c>
      <c r="T54" s="1235"/>
      <c r="U54" s="1235"/>
      <c r="V54" s="1235"/>
      <c r="W54" s="1234">
        <f t="shared" si="6"/>
        <v>1537293</v>
      </c>
      <c r="X54" s="1234">
        <f t="shared" si="9"/>
        <v>5121904</v>
      </c>
      <c r="Y54" s="1230"/>
      <c r="Z54" s="1237">
        <f t="shared" si="7"/>
        <v>5121904</v>
      </c>
      <c r="AA54" s="1230"/>
      <c r="AB54" s="1236"/>
      <c r="AC54" s="902"/>
      <c r="AD54" s="779"/>
      <c r="AE54" s="779"/>
      <c r="AF54" s="779"/>
      <c r="AG54" s="779"/>
      <c r="AH54" s="779"/>
      <c r="AI54" s="779"/>
      <c r="AJ54" s="779"/>
      <c r="AK54" s="779"/>
    </row>
    <row r="55" spans="1:37" s="780" customFormat="1" ht="38.25" customHeight="1">
      <c r="A55" s="1227">
        <v>40</v>
      </c>
      <c r="B55" s="1227" t="str">
        <f>'Chấm công KT'!D52</f>
        <v>03489</v>
      </c>
      <c r="C55" s="1228" t="str">
        <f>TONGHOPCONGDOI!C50</f>
        <v>T. Tinh</v>
      </c>
      <c r="D55" s="1227" t="s">
        <v>30</v>
      </c>
      <c r="E55" s="1229"/>
      <c r="F55" s="1230">
        <f t="shared" si="1"/>
        <v>0</v>
      </c>
      <c r="G55" s="1230">
        <f>VLOOKUP(C55,TONGHOPCONGDOI!C50:AD91,16,0)</f>
        <v>912</v>
      </c>
      <c r="H55" s="1230">
        <f>VLOOKUP(C55,TONGHOPCONGDOI!C50:AD91,18,0)</f>
        <v>0</v>
      </c>
      <c r="I55" s="1230"/>
      <c r="J55" s="1231">
        <f t="shared" si="8"/>
        <v>468.29637369945669</v>
      </c>
      <c r="K55" s="1232" t="str">
        <f>VLOOKUP(C55,'BTH mủ tạp'!$C$17:$AL$95,36,0)</f>
        <v>B</v>
      </c>
      <c r="L55" s="1250">
        <f t="shared" si="3"/>
        <v>1638580</v>
      </c>
      <c r="M55" s="1234">
        <f>VLOOKUP(C55,TONGHOPCONGDOI!$C$11:$AD$91,20,0)</f>
        <v>23</v>
      </c>
      <c r="N55" s="1234">
        <f>VLOOKUP(C55,TONGHOPCONGDOI!$C$11:$AD$91,21,0)</f>
        <v>3</v>
      </c>
      <c r="O55" s="1234">
        <f>VLOOKUP(C55,TONGHOPCONGDOI!$C$11:$AC$91,22,0)</f>
        <v>0</v>
      </c>
      <c r="P55" s="1234">
        <f>VLOOKUP(C55,TONGHOPCONGDOI!$C$11:$AC$91,23,0)</f>
        <v>0</v>
      </c>
      <c r="Q55" s="1234">
        <f>VLOOKUP(C55,TONGHOPCONGDOI!$C$11:$AC$91,24,0)</f>
        <v>0</v>
      </c>
      <c r="R55" s="1234">
        <f>VLOOKUP(C55,TONGHOPCONGDOI!$C$11:$AC$91,25,0)</f>
        <v>0</v>
      </c>
      <c r="S55" s="1228">
        <f t="shared" si="4"/>
        <v>20</v>
      </c>
      <c r="T55" s="1235"/>
      <c r="U55" s="1235"/>
      <c r="V55" s="1235"/>
      <c r="W55" s="1234">
        <f t="shared" si="6"/>
        <v>1362685</v>
      </c>
      <c r="X55" s="1234">
        <f t="shared" si="9"/>
        <v>3001265</v>
      </c>
      <c r="Y55" s="1230"/>
      <c r="Z55" s="1237">
        <f t="shared" si="7"/>
        <v>3001265</v>
      </c>
      <c r="AA55" s="1230"/>
      <c r="AB55" s="1236"/>
      <c r="AC55" s="902"/>
      <c r="AD55" s="779"/>
      <c r="AE55" s="779"/>
      <c r="AF55" s="779"/>
      <c r="AG55" s="779"/>
      <c r="AH55" s="779"/>
      <c r="AI55" s="779"/>
      <c r="AJ55" s="779"/>
      <c r="AK55" s="779"/>
    </row>
    <row r="56" spans="1:37" s="780" customFormat="1" ht="38.25" customHeight="1">
      <c r="A56" s="1227">
        <v>41</v>
      </c>
      <c r="B56" s="1227">
        <f>'Chấm công KT'!D53</f>
        <v>0</v>
      </c>
      <c r="C56" s="1228" t="str">
        <f>TONGHOPCONGDOI!C51</f>
        <v>T. Khăm Pỏi</v>
      </c>
      <c r="D56" s="1227" t="s">
        <v>30</v>
      </c>
      <c r="E56" s="1229"/>
      <c r="F56" s="1230">
        <f t="shared" si="1"/>
        <v>0</v>
      </c>
      <c r="G56" s="1230">
        <f>VLOOKUP(C56,TONGHOPCONGDOI!C51:AD91,16,0)</f>
        <v>1578</v>
      </c>
      <c r="H56" s="1230">
        <f>VLOOKUP(C56,TONGHOPCONGDOI!C51:AD91,18,0)</f>
        <v>0</v>
      </c>
      <c r="I56" s="1230"/>
      <c r="J56" s="1231">
        <f t="shared" si="8"/>
        <v>810.27596238787578</v>
      </c>
      <c r="K56" s="1232" t="str">
        <f>VLOOKUP(C56,'BTH mủ tạp'!$C$17:$AL$95,36,0)</f>
        <v>A</v>
      </c>
      <c r="L56" s="1250">
        <f t="shared" si="3"/>
        <v>2981822</v>
      </c>
      <c r="M56" s="1234">
        <f>VLOOKUP(C56,TONGHOPCONGDOI!$C$11:$AD$91,20,0)</f>
        <v>27</v>
      </c>
      <c r="N56" s="1234">
        <f>VLOOKUP(C56,TONGHOPCONGDOI!$C$11:$AD$91,21,0)</f>
        <v>4</v>
      </c>
      <c r="O56" s="1234">
        <f>VLOOKUP(C56,TONGHOPCONGDOI!$C$11:$AC$91,22,0)</f>
        <v>0</v>
      </c>
      <c r="P56" s="1234">
        <f>VLOOKUP(C56,TONGHOPCONGDOI!$C$11:$AC$91,23,0)</f>
        <v>0</v>
      </c>
      <c r="Q56" s="1234">
        <f>VLOOKUP(C56,TONGHOPCONGDOI!$C$11:$AC$91,24,0)</f>
        <v>0</v>
      </c>
      <c r="R56" s="1234">
        <f>VLOOKUP(C56,TONGHOPCONGDOI!$C$11:$AC$91,25,0)</f>
        <v>0</v>
      </c>
      <c r="S56" s="1228">
        <f t="shared" si="4"/>
        <v>20</v>
      </c>
      <c r="T56" s="1235"/>
      <c r="U56" s="1235"/>
      <c r="V56" s="1235"/>
      <c r="W56" s="1234">
        <f t="shared" si="6"/>
        <v>1537293</v>
      </c>
      <c r="X56" s="1234">
        <f t="shared" si="9"/>
        <v>4519115</v>
      </c>
      <c r="Y56" s="1230"/>
      <c r="Z56" s="1237">
        <f t="shared" si="7"/>
        <v>4519115</v>
      </c>
      <c r="AA56" s="1230"/>
      <c r="AB56" s="1236"/>
      <c r="AC56" s="902"/>
      <c r="AD56" s="779"/>
      <c r="AE56" s="779"/>
      <c r="AF56" s="779"/>
      <c r="AG56" s="779"/>
      <c r="AH56" s="779"/>
      <c r="AI56" s="779"/>
      <c r="AJ56" s="779"/>
      <c r="AK56" s="779"/>
    </row>
    <row r="57" spans="1:37" s="780" customFormat="1" ht="38.25" customHeight="1">
      <c r="A57" s="1227">
        <v>42</v>
      </c>
      <c r="B57" s="1227" t="str">
        <f>'Chấm công KT'!D54</f>
        <v>03491</v>
      </c>
      <c r="C57" s="1228" t="str">
        <f>TONGHOPCONGDOI!C52</f>
        <v>Lăm Ngân</v>
      </c>
      <c r="D57" s="1227" t="s">
        <v>30</v>
      </c>
      <c r="E57" s="1229"/>
      <c r="F57" s="1230">
        <f t="shared" si="1"/>
        <v>0</v>
      </c>
      <c r="G57" s="1230">
        <f>VLOOKUP(C57,TONGHOPCONGDOI!C52:AD91,16,0)</f>
        <v>1904</v>
      </c>
      <c r="H57" s="1230">
        <f>VLOOKUP(C57,TONGHOPCONGDOI!C52:AD91,18,0)</f>
        <v>0</v>
      </c>
      <c r="I57" s="1230"/>
      <c r="J57" s="1231">
        <f t="shared" si="8"/>
        <v>977.67137667079555</v>
      </c>
      <c r="K57" s="1232" t="str">
        <f>VLOOKUP(C57,'BTH mủ tạp'!$C$17:$AL$95,36,0)</f>
        <v>A</v>
      </c>
      <c r="L57" s="1250">
        <f t="shared" si="3"/>
        <v>3597838</v>
      </c>
      <c r="M57" s="1234">
        <f>VLOOKUP(C57,TONGHOPCONGDOI!$C$11:$AD$91,20,0)</f>
        <v>27</v>
      </c>
      <c r="N57" s="1234">
        <f>VLOOKUP(C57,TONGHOPCONGDOI!$C$11:$AD$91,21,0)</f>
        <v>4</v>
      </c>
      <c r="O57" s="1234">
        <f>VLOOKUP(C57,TONGHOPCONGDOI!$C$11:$AC$91,22,0)</f>
        <v>0</v>
      </c>
      <c r="P57" s="1234">
        <f>VLOOKUP(C57,TONGHOPCONGDOI!$C$11:$AC$91,23,0)</f>
        <v>0</v>
      </c>
      <c r="Q57" s="1234">
        <f>VLOOKUP(C57,TONGHOPCONGDOI!$C$11:$AC$91,24,0)</f>
        <v>0</v>
      </c>
      <c r="R57" s="1234">
        <f>VLOOKUP(C57,TONGHOPCONGDOI!$C$11:$AC$91,25,0)</f>
        <v>0</v>
      </c>
      <c r="S57" s="1228">
        <f t="shared" si="4"/>
        <v>20</v>
      </c>
      <c r="T57" s="1235"/>
      <c r="U57" s="1235"/>
      <c r="V57" s="1235"/>
      <c r="W57" s="1234">
        <f t="shared" si="6"/>
        <v>1537293</v>
      </c>
      <c r="X57" s="1234">
        <f t="shared" si="9"/>
        <v>5135131</v>
      </c>
      <c r="Y57" s="1230"/>
      <c r="Z57" s="1237">
        <f t="shared" si="7"/>
        <v>5135131</v>
      </c>
      <c r="AA57" s="1230"/>
      <c r="AB57" s="1236"/>
      <c r="AC57" s="902"/>
      <c r="AD57" s="779"/>
      <c r="AE57" s="779"/>
      <c r="AF57" s="779"/>
      <c r="AG57" s="779"/>
      <c r="AH57" s="779"/>
      <c r="AI57" s="779"/>
      <c r="AJ57" s="779"/>
      <c r="AK57" s="779"/>
    </row>
    <row r="58" spans="1:37" s="780" customFormat="1" ht="38.25" customHeight="1">
      <c r="A58" s="1227">
        <v>43</v>
      </c>
      <c r="B58" s="1227"/>
      <c r="C58" s="1228" t="str">
        <f>TONGHOPCONGDOI!C53</f>
        <v>T. Không</v>
      </c>
      <c r="D58" s="1227" t="s">
        <v>30</v>
      </c>
      <c r="E58" s="1229"/>
      <c r="F58" s="1230">
        <f t="shared" si="1"/>
        <v>0</v>
      </c>
      <c r="G58" s="1230">
        <f>VLOOKUP(C58,TONGHOPCONGDOI!C53:AD91,16,0)</f>
        <v>1847</v>
      </c>
      <c r="H58" s="1230">
        <f>VLOOKUP(C58,TONGHOPCONGDOI!C53:AD91,18,0)</f>
        <v>0</v>
      </c>
      <c r="I58" s="1230"/>
      <c r="J58" s="1231">
        <f t="shared" si="8"/>
        <v>948.4028533145796</v>
      </c>
      <c r="K58" s="1232" t="str">
        <f>VLOOKUP(C58,'BTH mủ tạp'!$C$17:$AL$95,36,0)</f>
        <v>B</v>
      </c>
      <c r="L58" s="1250">
        <f t="shared" si="3"/>
        <v>3318484</v>
      </c>
      <c r="M58" s="1234">
        <f>VLOOKUP(C58,TONGHOPCONGDOI!$C$11:$AD$91,20,0)</f>
        <v>27</v>
      </c>
      <c r="N58" s="1234">
        <f>VLOOKUP(C58,TONGHOPCONGDOI!$C$11:$AD$91,21,0)</f>
        <v>4</v>
      </c>
      <c r="O58" s="1234">
        <f>VLOOKUP(C58,TONGHOPCONGDOI!$C$11:$AC$91,22,0)</f>
        <v>0</v>
      </c>
      <c r="P58" s="1234">
        <f>VLOOKUP(C58,TONGHOPCONGDOI!$C$11:$AC$91,23,0)</f>
        <v>0</v>
      </c>
      <c r="Q58" s="1234">
        <f>VLOOKUP(C58,TONGHOPCONGDOI!$C$11:$AC$91,24,0)</f>
        <v>0</v>
      </c>
      <c r="R58" s="1234">
        <f>VLOOKUP(C58,TONGHOPCONGDOI!$C$11:$AC$91,25,0)</f>
        <v>0</v>
      </c>
      <c r="S58" s="1228">
        <f t="shared" si="4"/>
        <v>20</v>
      </c>
      <c r="T58" s="1235"/>
      <c r="U58" s="1235"/>
      <c r="V58" s="1235"/>
      <c r="W58" s="1234">
        <f t="shared" si="6"/>
        <v>1537293</v>
      </c>
      <c r="X58" s="1234">
        <f t="shared" si="9"/>
        <v>4855777</v>
      </c>
      <c r="Y58" s="1230"/>
      <c r="Z58" s="1237">
        <f t="shared" si="7"/>
        <v>4855777</v>
      </c>
      <c r="AA58" s="1230"/>
      <c r="AB58" s="1236"/>
      <c r="AC58" s="902"/>
      <c r="AD58" s="779"/>
      <c r="AE58" s="779"/>
      <c r="AF58" s="779"/>
      <c r="AG58" s="779"/>
      <c r="AH58" s="779"/>
      <c r="AI58" s="779"/>
      <c r="AJ58" s="779"/>
      <c r="AK58" s="779"/>
    </row>
    <row r="59" spans="1:37" s="780" customFormat="1" ht="38.25" customHeight="1">
      <c r="A59" s="1227">
        <v>44</v>
      </c>
      <c r="B59" s="1227" t="str">
        <f>'Chấm công KT'!D56</f>
        <v>03492</v>
      </c>
      <c r="C59" s="1228" t="str">
        <f>TONGHOPCONGDOI!C54</f>
        <v>T. Lem</v>
      </c>
      <c r="D59" s="1227" t="s">
        <v>30</v>
      </c>
      <c r="E59" s="1229"/>
      <c r="F59" s="1230">
        <f t="shared" si="1"/>
        <v>0</v>
      </c>
      <c r="G59" s="1230">
        <f>VLOOKUP(C59,TONGHOPCONGDOI!C54:AD91,16,0)</f>
        <v>1332</v>
      </c>
      <c r="H59" s="1230">
        <f>VLOOKUP(C59,TONGHOPCONGDOI!C54:AD91,18,0)</f>
        <v>0</v>
      </c>
      <c r="I59" s="1230"/>
      <c r="J59" s="1231">
        <f t="shared" si="8"/>
        <v>683.95917737683806</v>
      </c>
      <c r="K59" s="1232" t="str">
        <f>VLOOKUP(C59,'BTH mủ tạp'!$C$17:$AL$95,36,0)</f>
        <v>A</v>
      </c>
      <c r="L59" s="1250">
        <f t="shared" si="3"/>
        <v>2516975</v>
      </c>
      <c r="M59" s="1234">
        <f>VLOOKUP(C59,TONGHOPCONGDOI!$C$11:$AD$91,20,0)</f>
        <v>25</v>
      </c>
      <c r="N59" s="1234">
        <f>VLOOKUP(C59,TONGHOPCONGDOI!$C$11:$AD$91,21,0)</f>
        <v>4</v>
      </c>
      <c r="O59" s="1234">
        <f>VLOOKUP(C59,TONGHOPCONGDOI!$C$11:$AC$91,22,0)</f>
        <v>0</v>
      </c>
      <c r="P59" s="1234">
        <f>VLOOKUP(C59,TONGHOPCONGDOI!$C$11:$AC$91,23,0)</f>
        <v>0</v>
      </c>
      <c r="Q59" s="1234">
        <f>VLOOKUP(C59,TONGHOPCONGDOI!$C$11:$AC$91,24,0)</f>
        <v>0</v>
      </c>
      <c r="R59" s="1234">
        <f>VLOOKUP(C59,TONGHOPCONGDOI!$C$11:$AC$91,25,0)</f>
        <v>0</v>
      </c>
      <c r="S59" s="1228">
        <f t="shared" si="4"/>
        <v>20</v>
      </c>
      <c r="T59" s="1235"/>
      <c r="U59" s="1235"/>
      <c r="V59" s="1235"/>
      <c r="W59" s="1234">
        <f t="shared" si="6"/>
        <v>1475683</v>
      </c>
      <c r="X59" s="1234">
        <f t="shared" si="9"/>
        <v>3992658</v>
      </c>
      <c r="Y59" s="1230"/>
      <c r="Z59" s="1237">
        <f t="shared" si="7"/>
        <v>3992658</v>
      </c>
      <c r="AA59" s="1230"/>
      <c r="AB59" s="1236"/>
      <c r="AC59" s="902"/>
      <c r="AD59" s="779"/>
      <c r="AE59" s="779"/>
      <c r="AF59" s="779"/>
      <c r="AG59" s="779"/>
      <c r="AH59" s="779"/>
      <c r="AI59" s="779"/>
      <c r="AJ59" s="779"/>
      <c r="AK59" s="779"/>
    </row>
    <row r="60" spans="1:37" s="780" customFormat="1" ht="38.25" customHeight="1">
      <c r="A60" s="1227">
        <v>45</v>
      </c>
      <c r="B60" s="1227" t="str">
        <f>'Chấm công KT'!D57</f>
        <v>03493</v>
      </c>
      <c r="C60" s="1228" t="str">
        <f>TONGHOPCONGDOI!C55</f>
        <v>T. Pông</v>
      </c>
      <c r="D60" s="1227" t="s">
        <v>30</v>
      </c>
      <c r="E60" s="1229"/>
      <c r="F60" s="1230">
        <f t="shared" si="1"/>
        <v>0</v>
      </c>
      <c r="G60" s="1230">
        <f>VLOOKUP(C60,TONGHOPCONGDOI!C55:AD91,16,0)</f>
        <v>2263</v>
      </c>
      <c r="H60" s="1230">
        <f>VLOOKUP(C60,TONGHOPCONGDOI!C55:AD91,18,0)</f>
        <v>0</v>
      </c>
      <c r="I60" s="1230"/>
      <c r="J60" s="1231">
        <f t="shared" si="8"/>
        <v>1162.0117255283669</v>
      </c>
      <c r="K60" s="1232" t="str">
        <f>VLOOKUP(C60,'BTH mủ tạp'!$C$17:$AL$95,36,0)</f>
        <v>A</v>
      </c>
      <c r="L60" s="1250">
        <f t="shared" si="3"/>
        <v>4276212</v>
      </c>
      <c r="M60" s="1234">
        <f>VLOOKUP(C60,TONGHOPCONGDOI!$C$11:$AD$91,20,0)</f>
        <v>26</v>
      </c>
      <c r="N60" s="1234">
        <f>VLOOKUP(C60,TONGHOPCONGDOI!$C$11:$AD$91,21,0)</f>
        <v>4</v>
      </c>
      <c r="O60" s="1234">
        <f>VLOOKUP(C60,TONGHOPCONGDOI!$C$11:$AC$91,22,0)</f>
        <v>0</v>
      </c>
      <c r="P60" s="1234">
        <f>VLOOKUP(C60,TONGHOPCONGDOI!$C$11:$AC$91,23,0)</f>
        <v>0</v>
      </c>
      <c r="Q60" s="1234">
        <f>VLOOKUP(C60,TONGHOPCONGDOI!$C$11:$AC$91,24,0)</f>
        <v>0</v>
      </c>
      <c r="R60" s="1234">
        <f>VLOOKUP(C60,TONGHOPCONGDOI!$C$11:$AC$91,25,0)</f>
        <v>0</v>
      </c>
      <c r="S60" s="1228">
        <f t="shared" si="4"/>
        <v>20</v>
      </c>
      <c r="T60" s="1235"/>
      <c r="U60" s="1235"/>
      <c r="V60" s="1235"/>
      <c r="W60" s="1234">
        <f t="shared" si="6"/>
        <v>1506488</v>
      </c>
      <c r="X60" s="1234">
        <f t="shared" si="9"/>
        <v>5782700</v>
      </c>
      <c r="Y60" s="1230"/>
      <c r="Z60" s="1237">
        <f t="shared" si="7"/>
        <v>5782700</v>
      </c>
      <c r="AA60" s="1230"/>
      <c r="AB60" s="1236"/>
      <c r="AC60" s="902"/>
      <c r="AD60" s="779"/>
      <c r="AE60" s="779"/>
      <c r="AF60" s="779"/>
      <c r="AG60" s="779"/>
      <c r="AH60" s="779"/>
      <c r="AI60" s="779"/>
      <c r="AJ60" s="779"/>
      <c r="AK60" s="779"/>
    </row>
    <row r="61" spans="1:37" s="780" customFormat="1" ht="38.25" customHeight="1">
      <c r="A61" s="1227">
        <v>46</v>
      </c>
      <c r="B61" s="1227" t="str">
        <f>'Chấm công KT'!D58</f>
        <v>03496</v>
      </c>
      <c r="C61" s="1228" t="str">
        <f>TONGHOPCONGDOI!C56</f>
        <v>T. Lốp</v>
      </c>
      <c r="D61" s="1227" t="s">
        <v>30</v>
      </c>
      <c r="E61" s="1229"/>
      <c r="F61" s="1230">
        <f t="shared" si="1"/>
        <v>0</v>
      </c>
      <c r="G61" s="1230">
        <f>VLOOKUP(C61,TONGHOPCONGDOI!C56:AD91,16,0)</f>
        <v>2111</v>
      </c>
      <c r="H61" s="1230">
        <f>VLOOKUP(C61,TONGHOPCONGDOI!C56:AD91,18,0)</f>
        <v>0</v>
      </c>
      <c r="I61" s="1230"/>
      <c r="J61" s="1231">
        <f t="shared" si="8"/>
        <v>1083.9623299117907</v>
      </c>
      <c r="K61" s="1232" t="str">
        <f>VLOOKUP(C61,'BTH mủ tạp'!$C$17:$AL$95,36,0)</f>
        <v>B</v>
      </c>
      <c r="L61" s="1250">
        <f t="shared" si="3"/>
        <v>3792810</v>
      </c>
      <c r="M61" s="1234">
        <f>VLOOKUP(C61,TONGHOPCONGDOI!$C$11:$AD$91,20,0)</f>
        <v>24</v>
      </c>
      <c r="N61" s="1234">
        <f>VLOOKUP(C61,TONGHOPCONGDOI!$C$11:$AD$91,21,0)</f>
        <v>4</v>
      </c>
      <c r="O61" s="1234">
        <f>VLOOKUP(C61,TONGHOPCONGDOI!$C$11:$AC$91,22,0)</f>
        <v>0</v>
      </c>
      <c r="P61" s="1234">
        <f>VLOOKUP(C61,TONGHOPCONGDOI!$C$11:$AC$91,23,0)</f>
        <v>0</v>
      </c>
      <c r="Q61" s="1234">
        <f>VLOOKUP(C61,TONGHOPCONGDOI!$C$11:$AC$91,24,0)</f>
        <v>0</v>
      </c>
      <c r="R61" s="1234">
        <f>VLOOKUP(C61,TONGHOPCONGDOI!$C$11:$AC$91,25,0)</f>
        <v>0</v>
      </c>
      <c r="S61" s="1228">
        <f t="shared" si="4"/>
        <v>20</v>
      </c>
      <c r="T61" s="1235"/>
      <c r="U61" s="1235"/>
      <c r="V61" s="1235"/>
      <c r="W61" s="1234">
        <f t="shared" si="6"/>
        <v>1444877</v>
      </c>
      <c r="X61" s="1234">
        <f t="shared" si="9"/>
        <v>5237687</v>
      </c>
      <c r="Y61" s="1230"/>
      <c r="Z61" s="1237">
        <f t="shared" si="7"/>
        <v>5237687</v>
      </c>
      <c r="AA61" s="1230"/>
      <c r="AB61" s="1236"/>
      <c r="AC61" s="902"/>
      <c r="AD61" s="779"/>
      <c r="AE61" s="779"/>
      <c r="AF61" s="779"/>
      <c r="AG61" s="779"/>
      <c r="AH61" s="779"/>
      <c r="AI61" s="779"/>
      <c r="AJ61" s="779"/>
      <c r="AK61" s="779"/>
    </row>
    <row r="62" spans="1:37" s="780" customFormat="1" ht="38.25" customHeight="1">
      <c r="A62" s="1227">
        <v>47</v>
      </c>
      <c r="B62" s="1227"/>
      <c r="C62" s="1228" t="str">
        <f>TONGHOPCONGDOI!C57</f>
        <v>N. Nu Ni</v>
      </c>
      <c r="D62" s="1227" t="s">
        <v>30</v>
      </c>
      <c r="E62" s="1229"/>
      <c r="F62" s="1230">
        <f t="shared" si="1"/>
        <v>0</v>
      </c>
      <c r="G62" s="1230">
        <f>VLOOKUP(C62,TONGHOPCONGDOI!C57:AD91,16,0)</f>
        <v>2148</v>
      </c>
      <c r="H62" s="1230">
        <f>VLOOKUP(C62,TONGHOPCONGDOI!C57:AD91,18,0)</f>
        <v>0</v>
      </c>
      <c r="I62" s="1230"/>
      <c r="J62" s="1231">
        <f t="shared" si="8"/>
        <v>1102.9611959500362</v>
      </c>
      <c r="K62" s="1232" t="str">
        <f>VLOOKUP(C62,'BTH mủ tạp'!$C$17:$AL$95,36,0)</f>
        <v>B</v>
      </c>
      <c r="L62" s="1250">
        <f t="shared" si="3"/>
        <v>3859288</v>
      </c>
      <c r="M62" s="1234">
        <f>VLOOKUP(C62,TONGHOPCONGDOI!$C$11:$AD$91,20,0)</f>
        <v>24</v>
      </c>
      <c r="N62" s="1234">
        <f>VLOOKUP(C62,TONGHOPCONGDOI!$C$11:$AD$91,21,0)</f>
        <v>4</v>
      </c>
      <c r="O62" s="1234">
        <f>VLOOKUP(C62,TONGHOPCONGDOI!$C$11:$AC$91,22,0)</f>
        <v>0</v>
      </c>
      <c r="P62" s="1234">
        <f>VLOOKUP(C62,TONGHOPCONGDOI!$C$11:$AC$91,23,0)</f>
        <v>0</v>
      </c>
      <c r="Q62" s="1234">
        <f>VLOOKUP(C62,TONGHOPCONGDOI!$C$11:$AC$91,24,0)</f>
        <v>0</v>
      </c>
      <c r="R62" s="1234">
        <f>VLOOKUP(C62,TONGHOPCONGDOI!$C$11:$AC$91,25,0)</f>
        <v>0</v>
      </c>
      <c r="S62" s="1228">
        <f t="shared" si="4"/>
        <v>20</v>
      </c>
      <c r="T62" s="1235"/>
      <c r="U62" s="1235"/>
      <c r="V62" s="1235"/>
      <c r="W62" s="1234">
        <f t="shared" si="6"/>
        <v>1444877</v>
      </c>
      <c r="X62" s="1234">
        <f t="shared" si="9"/>
        <v>5304165</v>
      </c>
      <c r="Y62" s="1230"/>
      <c r="Z62" s="1237">
        <f t="shared" si="7"/>
        <v>5304165</v>
      </c>
      <c r="AA62" s="1230"/>
      <c r="AB62" s="1236"/>
      <c r="AC62" s="902"/>
      <c r="AD62" s="779"/>
      <c r="AE62" s="779"/>
      <c r="AF62" s="779"/>
      <c r="AG62" s="779"/>
      <c r="AH62" s="779"/>
      <c r="AI62" s="779"/>
      <c r="AJ62" s="779"/>
      <c r="AK62" s="779"/>
    </row>
    <row r="63" spans="1:37" s="780" customFormat="1" ht="38.25" customHeight="1">
      <c r="A63" s="1227">
        <v>48</v>
      </c>
      <c r="B63" s="1227" t="str">
        <f>'Chấm công KT'!D60</f>
        <v>03494</v>
      </c>
      <c r="C63" s="1228" t="str">
        <f>TONGHOPCONGDOI!C58</f>
        <v>T. Đi</v>
      </c>
      <c r="D63" s="1227" t="s">
        <v>30</v>
      </c>
      <c r="E63" s="1229"/>
      <c r="F63" s="1230">
        <f t="shared" si="1"/>
        <v>0</v>
      </c>
      <c r="G63" s="1230">
        <f>VLOOKUP(C63,TONGHOPCONGDOI!C58:AD91,16,0)</f>
        <v>1454</v>
      </c>
      <c r="H63" s="1230">
        <f>VLOOKUP(C63,TONGHOPCONGDOI!C58:AD91,18,0)</f>
        <v>0</v>
      </c>
      <c r="I63" s="1230"/>
      <c r="J63" s="1231">
        <f t="shared" si="8"/>
        <v>746.60408701645838</v>
      </c>
      <c r="K63" s="1232" t="str">
        <f>VLOOKUP(C63,'BTH mủ tạp'!$C$17:$AL$95,36,0)</f>
        <v>C</v>
      </c>
      <c r="L63" s="1250">
        <f t="shared" si="3"/>
        <v>2477262</v>
      </c>
      <c r="M63" s="1234">
        <f>VLOOKUP(C63,TONGHOPCONGDOI!$C$11:$AD$91,20,0)</f>
        <v>25</v>
      </c>
      <c r="N63" s="1234">
        <f>VLOOKUP(C63,TONGHOPCONGDOI!$C$11:$AD$91,21,0)</f>
        <v>4</v>
      </c>
      <c r="O63" s="1234">
        <f>VLOOKUP(C63,TONGHOPCONGDOI!$C$11:$AC$91,22,0)</f>
        <v>0</v>
      </c>
      <c r="P63" s="1234">
        <f>VLOOKUP(C63,TONGHOPCONGDOI!$C$11:$AC$91,23,0)</f>
        <v>0</v>
      </c>
      <c r="Q63" s="1234">
        <f>VLOOKUP(C63,TONGHOPCONGDOI!$C$11:$AC$91,24,0)</f>
        <v>0</v>
      </c>
      <c r="R63" s="1234">
        <f>VLOOKUP(C63,TONGHOPCONGDOI!$C$11:$AC$91,25,0)</f>
        <v>0</v>
      </c>
      <c r="S63" s="1228">
        <f t="shared" si="4"/>
        <v>20</v>
      </c>
      <c r="T63" s="1235"/>
      <c r="U63" s="1235"/>
      <c r="V63" s="1235"/>
      <c r="W63" s="1234">
        <f t="shared" si="6"/>
        <v>1475683</v>
      </c>
      <c r="X63" s="1234">
        <f t="shared" si="9"/>
        <v>3952945</v>
      </c>
      <c r="Y63" s="1230"/>
      <c r="Z63" s="1237">
        <f t="shared" si="7"/>
        <v>3952945</v>
      </c>
      <c r="AA63" s="1230"/>
      <c r="AB63" s="1236"/>
      <c r="AC63" s="902"/>
      <c r="AD63" s="779"/>
      <c r="AE63" s="779"/>
      <c r="AF63" s="779"/>
      <c r="AG63" s="779"/>
      <c r="AH63" s="779"/>
      <c r="AI63" s="779"/>
      <c r="AJ63" s="779"/>
      <c r="AK63" s="779"/>
    </row>
    <row r="64" spans="1:37" s="780" customFormat="1" ht="38.25" customHeight="1">
      <c r="A64" s="1227">
        <v>49</v>
      </c>
      <c r="B64" s="1227" t="str">
        <f>'Chấm công KT'!D61</f>
        <v>03495</v>
      </c>
      <c r="C64" s="1228" t="str">
        <f>TONGHOPCONGDOI!C59</f>
        <v>N. On Xi</v>
      </c>
      <c r="D64" s="1227" t="s">
        <v>30</v>
      </c>
      <c r="E64" s="1229"/>
      <c r="F64" s="1230">
        <f t="shared" si="1"/>
        <v>0</v>
      </c>
      <c r="G64" s="1230">
        <f>VLOOKUP(C64,TONGHOPCONGDOI!C59:AD91,16,0)</f>
        <v>666</v>
      </c>
      <c r="H64" s="1230">
        <f>VLOOKUP(C64,TONGHOPCONGDOI!C59:AD91,18,0)</f>
        <v>0</v>
      </c>
      <c r="I64" s="1230"/>
      <c r="J64" s="1231">
        <f t="shared" si="8"/>
        <v>341.97958868841903</v>
      </c>
      <c r="K64" s="1232" t="str">
        <f>VLOOKUP(C64,'BTH mủ tạp'!$C$17:$AL$95,36,0)</f>
        <v>A</v>
      </c>
      <c r="L64" s="1250">
        <f t="shared" si="3"/>
        <v>1258488</v>
      </c>
      <c r="M64" s="1234">
        <f>VLOOKUP(C64,TONGHOPCONGDOI!$C$11:$AD$91,20,0)</f>
        <v>22</v>
      </c>
      <c r="N64" s="1234">
        <f>VLOOKUP(C64,TONGHOPCONGDOI!$C$11:$AD$91,21,0)</f>
        <v>4</v>
      </c>
      <c r="O64" s="1234">
        <f>VLOOKUP(C64,TONGHOPCONGDOI!$C$11:$AC$91,22,0)</f>
        <v>0</v>
      </c>
      <c r="P64" s="1234">
        <f>VLOOKUP(C64,TONGHOPCONGDOI!$C$11:$AC$91,23,0)</f>
        <v>0</v>
      </c>
      <c r="Q64" s="1234">
        <f>VLOOKUP(C64,TONGHOPCONGDOI!$C$11:$AC$91,24,0)</f>
        <v>0</v>
      </c>
      <c r="R64" s="1234">
        <f>VLOOKUP(C64,TONGHOPCONGDOI!$C$11:$AC$91,25,0)</f>
        <v>0</v>
      </c>
      <c r="S64" s="1228">
        <f t="shared" si="4"/>
        <v>20</v>
      </c>
      <c r="T64" s="1235"/>
      <c r="U64" s="1235"/>
      <c r="V64" s="1235"/>
      <c r="W64" s="1234">
        <f t="shared" si="6"/>
        <v>1383266</v>
      </c>
      <c r="X64" s="1234">
        <f t="shared" si="9"/>
        <v>2641754</v>
      </c>
      <c r="Y64" s="1230"/>
      <c r="Z64" s="1237">
        <f t="shared" si="7"/>
        <v>2641754</v>
      </c>
      <c r="AA64" s="1230"/>
      <c r="AB64" s="1236"/>
      <c r="AC64" s="902"/>
      <c r="AD64" s="779"/>
      <c r="AE64" s="779"/>
      <c r="AF64" s="779"/>
      <c r="AG64" s="779"/>
      <c r="AH64" s="779"/>
      <c r="AI64" s="779"/>
      <c r="AJ64" s="779"/>
      <c r="AK64" s="779"/>
    </row>
    <row r="65" spans="1:37" s="780" customFormat="1" ht="38.25" customHeight="1">
      <c r="A65" s="1227">
        <v>50</v>
      </c>
      <c r="B65" s="1227"/>
      <c r="C65" s="1228" t="str">
        <f>TONGHOPCONGDOI!C60</f>
        <v>N. Thông La</v>
      </c>
      <c r="D65" s="1227" t="s">
        <v>30</v>
      </c>
      <c r="E65" s="1229"/>
      <c r="F65" s="1230">
        <f t="shared" si="1"/>
        <v>0</v>
      </c>
      <c r="G65" s="1230">
        <f>VLOOKUP(C65,TONGHOPCONGDOI!C60:AD91,16,0)</f>
        <v>1646</v>
      </c>
      <c r="H65" s="1230">
        <f>VLOOKUP(C65,TONGHOPCONGDOI!C60:AD91,18,0)</f>
        <v>0</v>
      </c>
      <c r="I65" s="1230"/>
      <c r="J65" s="1231">
        <f t="shared" si="8"/>
        <v>845.1927972689756</v>
      </c>
      <c r="K65" s="1232" t="str">
        <f>VLOOKUP(C65,'BTH mủ tạp'!$C$17:$AL$95,36,0)</f>
        <v>A</v>
      </c>
      <c r="L65" s="1250">
        <f t="shared" si="3"/>
        <v>3110316</v>
      </c>
      <c r="M65" s="1234">
        <f>VLOOKUP(C65,TONGHOPCONGDOI!$C$11:$AD$91,20,0)</f>
        <v>27</v>
      </c>
      <c r="N65" s="1234">
        <f>VLOOKUP(C65,TONGHOPCONGDOI!$C$11:$AD$91,21,0)</f>
        <v>4</v>
      </c>
      <c r="O65" s="1234">
        <f>VLOOKUP(C65,TONGHOPCONGDOI!$C$11:$AC$91,22,0)</f>
        <v>0</v>
      </c>
      <c r="P65" s="1234">
        <f>VLOOKUP(C65,TONGHOPCONGDOI!$C$11:$AC$91,23,0)</f>
        <v>0</v>
      </c>
      <c r="Q65" s="1234">
        <f>VLOOKUP(C65,TONGHOPCONGDOI!$C$11:$AC$91,24,0)</f>
        <v>0</v>
      </c>
      <c r="R65" s="1234">
        <f>VLOOKUP(C65,TONGHOPCONGDOI!$C$11:$AC$91,25,0)</f>
        <v>0</v>
      </c>
      <c r="S65" s="1228">
        <f t="shared" si="4"/>
        <v>20</v>
      </c>
      <c r="T65" s="1235"/>
      <c r="U65" s="1235"/>
      <c r="V65" s="1235"/>
      <c r="W65" s="1234">
        <f t="shared" si="6"/>
        <v>1537293</v>
      </c>
      <c r="X65" s="1234">
        <f t="shared" si="9"/>
        <v>4647609</v>
      </c>
      <c r="Y65" s="1230"/>
      <c r="Z65" s="1237">
        <f t="shared" si="7"/>
        <v>4647609</v>
      </c>
      <c r="AA65" s="1230"/>
      <c r="AB65" s="1236"/>
      <c r="AC65" s="902"/>
      <c r="AD65" s="779"/>
      <c r="AE65" s="779"/>
      <c r="AF65" s="779"/>
      <c r="AG65" s="779"/>
      <c r="AH65" s="779"/>
      <c r="AI65" s="779"/>
      <c r="AJ65" s="779"/>
      <c r="AK65" s="779"/>
    </row>
    <row r="66" spans="1:37" s="780" customFormat="1" ht="38.25" customHeight="1">
      <c r="A66" s="1227">
        <v>51</v>
      </c>
      <c r="B66" s="1227" t="str">
        <f>'Chấm công KT'!D63</f>
        <v>03497</v>
      </c>
      <c r="C66" s="1228" t="str">
        <f>TONGHOPCONGDOI!C61</f>
        <v>T. Son Xay</v>
      </c>
      <c r="D66" s="1227" t="s">
        <v>30</v>
      </c>
      <c r="E66" s="1229"/>
      <c r="F66" s="1230">
        <f t="shared" si="1"/>
        <v>0</v>
      </c>
      <c r="G66" s="1230">
        <f>VLOOKUP(C66,TONGHOPCONGDOI!C61:AD91,16,0)</f>
        <v>1770</v>
      </c>
      <c r="H66" s="1230">
        <f>VLOOKUP(C66,TONGHOPCONGDOI!C61:AD91,18,0)</f>
        <v>0</v>
      </c>
      <c r="I66" s="1230"/>
      <c r="J66" s="1231">
        <f t="shared" si="8"/>
        <v>908.864672640393</v>
      </c>
      <c r="K66" s="1232" t="str">
        <f>VLOOKUP(C66,'BTH mủ tạp'!$C$17:$AL$95,36,0)</f>
        <v>A</v>
      </c>
      <c r="L66" s="1250">
        <f t="shared" si="3"/>
        <v>3344629</v>
      </c>
      <c r="M66" s="1234">
        <f>VLOOKUP(C66,TONGHOPCONGDOI!$C$11:$AD$91,20,0)</f>
        <v>25</v>
      </c>
      <c r="N66" s="1234">
        <f>VLOOKUP(C66,TONGHOPCONGDOI!$C$11:$AD$91,21,0)</f>
        <v>4</v>
      </c>
      <c r="O66" s="1234">
        <f>VLOOKUP(C66,TONGHOPCONGDOI!$C$11:$AC$91,22,0)</f>
        <v>0</v>
      </c>
      <c r="P66" s="1234">
        <f>VLOOKUP(C66,TONGHOPCONGDOI!$C$11:$AC$91,23,0)</f>
        <v>0</v>
      </c>
      <c r="Q66" s="1234">
        <f>VLOOKUP(C66,TONGHOPCONGDOI!$C$11:$AC$91,24,0)</f>
        <v>0</v>
      </c>
      <c r="R66" s="1234">
        <f>VLOOKUP(C66,TONGHOPCONGDOI!$C$11:$AC$91,25,0)</f>
        <v>0</v>
      </c>
      <c r="S66" s="1228">
        <f t="shared" si="4"/>
        <v>20</v>
      </c>
      <c r="T66" s="1235"/>
      <c r="U66" s="1235"/>
      <c r="V66" s="1235"/>
      <c r="W66" s="1234">
        <f t="shared" si="6"/>
        <v>1475683</v>
      </c>
      <c r="X66" s="1234">
        <f t="shared" si="9"/>
        <v>4820312</v>
      </c>
      <c r="Y66" s="1230"/>
      <c r="Z66" s="1237">
        <f t="shared" si="7"/>
        <v>4820312</v>
      </c>
      <c r="AA66" s="1230"/>
      <c r="AB66" s="1236"/>
      <c r="AC66" s="902"/>
      <c r="AD66" s="779"/>
      <c r="AE66" s="779"/>
      <c r="AF66" s="779"/>
      <c r="AG66" s="779"/>
      <c r="AH66" s="779"/>
      <c r="AI66" s="779"/>
      <c r="AJ66" s="779"/>
      <c r="AK66" s="779"/>
    </row>
    <row r="67" spans="1:37" s="780" customFormat="1" ht="38.25" customHeight="1">
      <c r="A67" s="1227">
        <v>52</v>
      </c>
      <c r="B67" s="1227" t="str">
        <f>'Chấm công KT'!D64</f>
        <v>03498</v>
      </c>
      <c r="C67" s="1228" t="str">
        <f>TONGHOPCONGDOI!C62</f>
        <v>N. Lăm Phay</v>
      </c>
      <c r="D67" s="1227" t="s">
        <v>30</v>
      </c>
      <c r="E67" s="1229"/>
      <c r="F67" s="1230">
        <f t="shared" si="1"/>
        <v>0</v>
      </c>
      <c r="G67" s="1230">
        <f>VLOOKUP(C67,TONGHOPCONGDOI!C62:AD91,16,0)</f>
        <v>1752</v>
      </c>
      <c r="H67" s="1230">
        <f>VLOOKUP(C67,TONGHOPCONGDOI!C62:AD91,18,0)</f>
        <v>0</v>
      </c>
      <c r="I67" s="1230"/>
      <c r="J67" s="1231">
        <f t="shared" si="8"/>
        <v>899.62198105421942</v>
      </c>
      <c r="K67" s="1232" t="str">
        <f>VLOOKUP(C67,'BTH mủ tạp'!$C$17:$AL$95,36,0)</f>
        <v>A</v>
      </c>
      <c r="L67" s="1250">
        <f t="shared" si="3"/>
        <v>3310616</v>
      </c>
      <c r="M67" s="1234">
        <f>VLOOKUP(C67,TONGHOPCONGDOI!$C$11:$AD$91,20,0)</f>
        <v>25</v>
      </c>
      <c r="N67" s="1234">
        <f>VLOOKUP(C67,TONGHOPCONGDOI!$C$11:$AD$91,21,0)</f>
        <v>4</v>
      </c>
      <c r="O67" s="1234">
        <f>VLOOKUP(C67,TONGHOPCONGDOI!$C$11:$AC$91,22,0)</f>
        <v>0</v>
      </c>
      <c r="P67" s="1234">
        <f>VLOOKUP(C67,TONGHOPCONGDOI!$C$11:$AC$91,23,0)</f>
        <v>0</v>
      </c>
      <c r="Q67" s="1234">
        <f>VLOOKUP(C67,TONGHOPCONGDOI!$C$11:$AC$91,24,0)</f>
        <v>0</v>
      </c>
      <c r="R67" s="1234">
        <f>VLOOKUP(C67,TONGHOPCONGDOI!$C$11:$AC$91,25,0)</f>
        <v>0</v>
      </c>
      <c r="S67" s="1228">
        <f t="shared" si="4"/>
        <v>20</v>
      </c>
      <c r="T67" s="1235"/>
      <c r="U67" s="1235"/>
      <c r="V67" s="1235"/>
      <c r="W67" s="1234">
        <f t="shared" si="6"/>
        <v>1475683</v>
      </c>
      <c r="X67" s="1234">
        <f t="shared" si="9"/>
        <v>4786299</v>
      </c>
      <c r="Y67" s="1230"/>
      <c r="Z67" s="1237">
        <f t="shared" si="7"/>
        <v>4786299</v>
      </c>
      <c r="AA67" s="1230"/>
      <c r="AB67" s="1236"/>
      <c r="AC67" s="902"/>
      <c r="AD67" s="779"/>
      <c r="AE67" s="779"/>
      <c r="AF67" s="779"/>
      <c r="AG67" s="779"/>
      <c r="AH67" s="779"/>
      <c r="AI67" s="779"/>
      <c r="AJ67" s="779"/>
      <c r="AK67" s="779"/>
    </row>
    <row r="68" spans="1:37" s="780" customFormat="1" ht="38.25" customHeight="1">
      <c r="A68" s="1227">
        <v>53</v>
      </c>
      <c r="B68" s="1227" t="str">
        <f>'Chấm công KT'!D65</f>
        <v>02706</v>
      </c>
      <c r="C68" s="1228" t="str">
        <f>TONGHOPCONGDOI!C63</f>
        <v>T. Nhung</v>
      </c>
      <c r="D68" s="1227" t="s">
        <v>30</v>
      </c>
      <c r="E68" s="1229"/>
      <c r="F68" s="1230">
        <f t="shared" si="1"/>
        <v>0</v>
      </c>
      <c r="G68" s="1230">
        <f>VLOOKUP(C68,TONGHOPCONGDOI!C63:AD91,16,0)</f>
        <v>1702</v>
      </c>
      <c r="H68" s="1230">
        <f>VLOOKUP(C68,TONGHOPCONGDOI!C63:AD91,18,0)</f>
        <v>0</v>
      </c>
      <c r="I68" s="1230"/>
      <c r="J68" s="1231">
        <f t="shared" si="8"/>
        <v>873.94783775929307</v>
      </c>
      <c r="K68" s="1232" t="str">
        <f>VLOOKUP(C68,'BTH mủ tạp'!$C$17:$AL$95,36,0)</f>
        <v>A</v>
      </c>
      <c r="L68" s="1250">
        <f t="shared" si="3"/>
        <v>3216135</v>
      </c>
      <c r="M68" s="1234">
        <f>VLOOKUP(C68,TONGHOPCONGDOI!$C$11:$AD$91,20,0)</f>
        <v>25</v>
      </c>
      <c r="N68" s="1234">
        <f>VLOOKUP(C68,TONGHOPCONGDOI!$C$11:$AD$91,21,0)</f>
        <v>4</v>
      </c>
      <c r="O68" s="1234">
        <f>VLOOKUP(C68,TONGHOPCONGDOI!$C$11:$AC$91,22,0)</f>
        <v>0</v>
      </c>
      <c r="P68" s="1234">
        <f>VLOOKUP(C68,TONGHOPCONGDOI!$C$11:$AC$91,23,0)</f>
        <v>0</v>
      </c>
      <c r="Q68" s="1234">
        <f>VLOOKUP(C68,TONGHOPCONGDOI!$C$11:$AC$91,24,0)</f>
        <v>0</v>
      </c>
      <c r="R68" s="1234">
        <f>VLOOKUP(C68,TONGHOPCONGDOI!$C$11:$AC$91,25,0)</f>
        <v>0</v>
      </c>
      <c r="S68" s="1228">
        <f t="shared" si="4"/>
        <v>20</v>
      </c>
      <c r="T68" s="1235"/>
      <c r="U68" s="1235"/>
      <c r="V68" s="1235"/>
      <c r="W68" s="1234">
        <f t="shared" si="6"/>
        <v>1475683</v>
      </c>
      <c r="X68" s="1234">
        <f t="shared" si="9"/>
        <v>4691818</v>
      </c>
      <c r="Y68" s="1230"/>
      <c r="Z68" s="1237">
        <f t="shared" si="7"/>
        <v>4691818</v>
      </c>
      <c r="AA68" s="1230"/>
      <c r="AB68" s="1236"/>
      <c r="AC68" s="902"/>
      <c r="AD68" s="779"/>
      <c r="AE68" s="779"/>
      <c r="AF68" s="779"/>
      <c r="AG68" s="779"/>
      <c r="AH68" s="779"/>
      <c r="AI68" s="779"/>
      <c r="AJ68" s="779"/>
      <c r="AK68" s="779"/>
    </row>
    <row r="69" spans="1:37" s="780" customFormat="1" ht="38.25" customHeight="1">
      <c r="A69" s="1227">
        <v>54</v>
      </c>
      <c r="B69" s="1227"/>
      <c r="C69" s="1228" t="str">
        <f>TONGHOPCONGDOI!C64</f>
        <v>T. Khay Khăm</v>
      </c>
      <c r="D69" s="1227" t="s">
        <v>30</v>
      </c>
      <c r="E69" s="1229"/>
      <c r="F69" s="1230">
        <f t="shared" si="1"/>
        <v>0</v>
      </c>
      <c r="G69" s="1230">
        <f>VLOOKUP(C69,TONGHOPCONGDOI!C64:AD91,16,0)</f>
        <v>838</v>
      </c>
      <c r="H69" s="1230">
        <f>VLOOKUP(C69,TONGHOPCONGDOI!C64:AD91,18,0)</f>
        <v>0</v>
      </c>
      <c r="I69" s="1230"/>
      <c r="J69" s="1231">
        <f t="shared" si="8"/>
        <v>430.2986416229657</v>
      </c>
      <c r="K69" s="1232" t="str">
        <f>VLOOKUP(C69,'BTH mủ tạp'!$C$17:$AL$95,36,0)</f>
        <v>B</v>
      </c>
      <c r="L69" s="1250">
        <f t="shared" si="3"/>
        <v>1505625</v>
      </c>
      <c r="M69" s="1234">
        <f>VLOOKUP(C69,TONGHOPCONGDOI!$C$11:$AD$91,20,0)</f>
        <v>23</v>
      </c>
      <c r="N69" s="1234">
        <f>VLOOKUP(C69,TONGHOPCONGDOI!$C$11:$AD$91,21,0)</f>
        <v>2</v>
      </c>
      <c r="O69" s="1234">
        <f>VLOOKUP(C69,TONGHOPCONGDOI!$C$11:$AC$91,22,0)</f>
        <v>0</v>
      </c>
      <c r="P69" s="1234">
        <f>VLOOKUP(C69,TONGHOPCONGDOI!$C$11:$AC$91,23,0)</f>
        <v>0</v>
      </c>
      <c r="Q69" s="1234">
        <f>VLOOKUP(C69,TONGHOPCONGDOI!$C$11:$AC$91,24,0)</f>
        <v>0</v>
      </c>
      <c r="R69" s="1234">
        <f>VLOOKUP(C69,TONGHOPCONGDOI!$C$11:$AC$91,25,0)</f>
        <v>0</v>
      </c>
      <c r="S69" s="1228">
        <f t="shared" si="4"/>
        <v>20</v>
      </c>
      <c r="T69" s="1235"/>
      <c r="U69" s="1235"/>
      <c r="V69" s="1235"/>
      <c r="W69" s="1234">
        <f t="shared" si="6"/>
        <v>1311298</v>
      </c>
      <c r="X69" s="1234">
        <f t="shared" si="9"/>
        <v>2816923</v>
      </c>
      <c r="Y69" s="1230"/>
      <c r="Z69" s="1237">
        <f t="shared" si="7"/>
        <v>2816923</v>
      </c>
      <c r="AA69" s="1230"/>
      <c r="AB69" s="1236"/>
      <c r="AC69" s="902"/>
      <c r="AD69" s="779"/>
      <c r="AE69" s="779"/>
      <c r="AF69" s="779"/>
      <c r="AG69" s="779"/>
      <c r="AH69" s="779"/>
      <c r="AI69" s="779"/>
      <c r="AJ69" s="779"/>
      <c r="AK69" s="779"/>
    </row>
    <row r="70" spans="1:37" s="780" customFormat="1" ht="38.25" customHeight="1">
      <c r="A70" s="1227">
        <v>55</v>
      </c>
      <c r="B70" s="1227"/>
      <c r="C70" s="1228" t="str">
        <f>TONGHOPCONGDOI!C65</f>
        <v>N. Khay Chăn</v>
      </c>
      <c r="D70" s="1227" t="s">
        <v>30</v>
      </c>
      <c r="E70" s="1229"/>
      <c r="F70" s="1230">
        <f t="shared" si="1"/>
        <v>0</v>
      </c>
      <c r="G70" s="1230">
        <f>VLOOKUP(C70,TONGHOPCONGDOI!C65:AD91,16,0)</f>
        <v>1981</v>
      </c>
      <c r="H70" s="1230">
        <f>VLOOKUP(C70,TONGHOPCONGDOI!C65:AD91,18,0)</f>
        <v>0</v>
      </c>
      <c r="I70" s="1230"/>
      <c r="J70" s="1231">
        <f t="shared" si="8"/>
        <v>1017.2095573449822</v>
      </c>
      <c r="K70" s="1232" t="str">
        <f>VLOOKUP(C70,'BTH mủ tạp'!$C$17:$AL$95,36,0)</f>
        <v>A</v>
      </c>
      <c r="L70" s="1250">
        <f t="shared" si="3"/>
        <v>3743339</v>
      </c>
      <c r="M70" s="1234">
        <f>VLOOKUP(C70,TONGHOPCONGDOI!$C$11:$AD$91,20,0)</f>
        <v>27</v>
      </c>
      <c r="N70" s="1234">
        <f>VLOOKUP(C70,TONGHOPCONGDOI!$C$11:$AD$91,21,0)</f>
        <v>4</v>
      </c>
      <c r="O70" s="1234">
        <f>VLOOKUP(C70,TONGHOPCONGDOI!$C$11:$AC$91,22,0)</f>
        <v>0</v>
      </c>
      <c r="P70" s="1234">
        <f>VLOOKUP(C70,TONGHOPCONGDOI!$C$11:$AC$91,23,0)</f>
        <v>0</v>
      </c>
      <c r="Q70" s="1234">
        <f>VLOOKUP(C70,TONGHOPCONGDOI!$C$11:$AC$91,24,0)</f>
        <v>0</v>
      </c>
      <c r="R70" s="1234">
        <f>VLOOKUP(C70,TONGHOPCONGDOI!$C$11:$AC$91,25,0)</f>
        <v>0</v>
      </c>
      <c r="S70" s="1228">
        <f t="shared" si="4"/>
        <v>20</v>
      </c>
      <c r="T70" s="1235"/>
      <c r="U70" s="1235"/>
      <c r="V70" s="1235"/>
      <c r="W70" s="1234">
        <f t="shared" si="6"/>
        <v>1537293</v>
      </c>
      <c r="X70" s="1234">
        <f t="shared" si="9"/>
        <v>5280632</v>
      </c>
      <c r="Y70" s="1230"/>
      <c r="Z70" s="1237">
        <f t="shared" si="7"/>
        <v>5280632</v>
      </c>
      <c r="AA70" s="1230"/>
      <c r="AB70" s="1236"/>
      <c r="AC70" s="902"/>
      <c r="AD70" s="779"/>
      <c r="AE70" s="779"/>
      <c r="AF70" s="779"/>
      <c r="AG70" s="779"/>
      <c r="AH70" s="779"/>
      <c r="AI70" s="779"/>
      <c r="AJ70" s="779"/>
      <c r="AK70" s="779"/>
    </row>
    <row r="71" spans="1:37" s="780" customFormat="1" ht="38.25" customHeight="1">
      <c r="A71" s="1227">
        <v>56</v>
      </c>
      <c r="B71" s="1227" t="str">
        <f>'Chấm công KT'!D68</f>
        <v>03501</v>
      </c>
      <c r="C71" s="1228" t="str">
        <f>TONGHOPCONGDOI!C66</f>
        <v>T Dăn</v>
      </c>
      <c r="D71" s="1227" t="s">
        <v>30</v>
      </c>
      <c r="E71" s="1229"/>
      <c r="F71" s="1230">
        <f t="shared" si="1"/>
        <v>0</v>
      </c>
      <c r="G71" s="1230">
        <f>VLOOKUP(C71,TONGHOPCONGDOI!C66:AD91,16,0)</f>
        <v>1407</v>
      </c>
      <c r="H71" s="1230">
        <f>VLOOKUP(C71,TONGHOPCONGDOI!C66:AD91,18,0)</f>
        <v>0</v>
      </c>
      <c r="I71" s="1230"/>
      <c r="J71" s="1231">
        <f t="shared" si="8"/>
        <v>722.47039231922759</v>
      </c>
      <c r="K71" s="1232" t="str">
        <f>VLOOKUP(C71,'BTH mủ tạp'!$C$17:$AL$95,36,0)</f>
        <v>B</v>
      </c>
      <c r="L71" s="1250">
        <f t="shared" si="3"/>
        <v>2527941</v>
      </c>
      <c r="M71" s="1234">
        <f>VLOOKUP(C71,TONGHOPCONGDOI!$C$11:$AD$91,20,0)</f>
        <v>26</v>
      </c>
      <c r="N71" s="1234">
        <f>VLOOKUP(C71,TONGHOPCONGDOI!$C$11:$AD$91,21,0)</f>
        <v>3</v>
      </c>
      <c r="O71" s="1234">
        <f>VLOOKUP(C71,TONGHOPCONGDOI!$C$11:$AC$91,22,0)</f>
        <v>0</v>
      </c>
      <c r="P71" s="1234">
        <f>VLOOKUP(C71,TONGHOPCONGDOI!$C$11:$AC$91,23,0)</f>
        <v>0</v>
      </c>
      <c r="Q71" s="1234">
        <f>VLOOKUP(C71,TONGHOPCONGDOI!$C$11:$AC$91,24,0)</f>
        <v>0</v>
      </c>
      <c r="R71" s="1234">
        <f>VLOOKUP(C71,TONGHOPCONGDOI!$C$11:$AC$91,25,0)</f>
        <v>0</v>
      </c>
      <c r="S71" s="1228">
        <f t="shared" si="4"/>
        <v>20</v>
      </c>
      <c r="T71" s="1235"/>
      <c r="U71" s="1235"/>
      <c r="V71" s="1235"/>
      <c r="W71" s="1234">
        <f t="shared" si="6"/>
        <v>1455101</v>
      </c>
      <c r="X71" s="1234">
        <f t="shared" si="9"/>
        <v>3983042</v>
      </c>
      <c r="Y71" s="1230"/>
      <c r="Z71" s="1237">
        <f t="shared" si="7"/>
        <v>3983042</v>
      </c>
      <c r="AA71" s="1230"/>
      <c r="AB71" s="1236"/>
      <c r="AC71" s="902"/>
      <c r="AD71" s="779"/>
      <c r="AE71" s="779"/>
      <c r="AF71" s="779"/>
      <c r="AG71" s="779"/>
      <c r="AH71" s="779"/>
      <c r="AI71" s="779"/>
      <c r="AJ71" s="779"/>
      <c r="AK71" s="779"/>
    </row>
    <row r="72" spans="1:37" s="780" customFormat="1" ht="38.25" customHeight="1">
      <c r="A72" s="1227">
        <v>57</v>
      </c>
      <c r="B72" s="1227" t="str">
        <f>'Chấm công KT'!D69</f>
        <v>03502</v>
      </c>
      <c r="C72" s="1228" t="str">
        <f>TONGHOPCONGDOI!C67</f>
        <v>T. Xợt</v>
      </c>
      <c r="D72" s="1227" t="s">
        <v>30</v>
      </c>
      <c r="E72" s="1229"/>
      <c r="F72" s="1230">
        <f t="shared" si="1"/>
        <v>0</v>
      </c>
      <c r="G72" s="1230">
        <f>VLOOKUP(C72,TONGHOPCONGDOI!C67:AD91,16,0)</f>
        <v>1654</v>
      </c>
      <c r="H72" s="1230">
        <f>VLOOKUP(C72,TONGHOPCONGDOI!C67:AD91,18,0)</f>
        <v>0</v>
      </c>
      <c r="I72" s="1230"/>
      <c r="J72" s="1231">
        <f t="shared" si="8"/>
        <v>849.30066019616379</v>
      </c>
      <c r="K72" s="1232" t="str">
        <f>VLOOKUP(C72,'BTH mủ tạp'!$C$17:$AL$95,36,0)</f>
        <v>A</v>
      </c>
      <c r="L72" s="1250">
        <f t="shared" si="3"/>
        <v>3125433</v>
      </c>
      <c r="M72" s="1234">
        <f>VLOOKUP(C72,TONGHOPCONGDOI!$C$11:$AD$91,20,0)</f>
        <v>26</v>
      </c>
      <c r="N72" s="1234">
        <f>VLOOKUP(C72,TONGHOPCONGDOI!$C$11:$AD$91,21,0)</f>
        <v>4</v>
      </c>
      <c r="O72" s="1234">
        <f>VLOOKUP(C72,TONGHOPCONGDOI!$C$11:$AC$91,22,0)</f>
        <v>0</v>
      </c>
      <c r="P72" s="1234">
        <f>VLOOKUP(C72,TONGHOPCONGDOI!$C$11:$AC$91,23,0)</f>
        <v>0</v>
      </c>
      <c r="Q72" s="1234">
        <f>VLOOKUP(C72,TONGHOPCONGDOI!$C$11:$AC$91,24,0)</f>
        <v>0</v>
      </c>
      <c r="R72" s="1234">
        <f>VLOOKUP(C72,TONGHOPCONGDOI!$C$11:$AC$91,25,0)</f>
        <v>0</v>
      </c>
      <c r="S72" s="1228">
        <f t="shared" si="4"/>
        <v>20</v>
      </c>
      <c r="T72" s="1235"/>
      <c r="U72" s="1235"/>
      <c r="V72" s="1235"/>
      <c r="W72" s="1234">
        <f t="shared" si="6"/>
        <v>1506488</v>
      </c>
      <c r="X72" s="1234">
        <f t="shared" si="9"/>
        <v>4631921</v>
      </c>
      <c r="Y72" s="1230"/>
      <c r="Z72" s="1237">
        <f t="shared" si="7"/>
        <v>4631921</v>
      </c>
      <c r="AA72" s="1230"/>
      <c r="AB72" s="1236"/>
      <c r="AC72" s="902"/>
      <c r="AD72" s="779"/>
      <c r="AE72" s="779"/>
      <c r="AF72" s="779"/>
      <c r="AG72" s="779"/>
      <c r="AH72" s="779"/>
      <c r="AI72" s="779"/>
      <c r="AJ72" s="779"/>
      <c r="AK72" s="779"/>
    </row>
    <row r="73" spans="1:37" s="780" customFormat="1" ht="38.25" customHeight="1">
      <c r="A73" s="1227">
        <v>58</v>
      </c>
      <c r="B73" s="1227"/>
      <c r="C73" s="1228" t="str">
        <f>TONGHOPCONGDOI!C68</f>
        <v>N. Phết 2</v>
      </c>
      <c r="D73" s="1227" t="s">
        <v>30</v>
      </c>
      <c r="E73" s="1229"/>
      <c r="F73" s="1230">
        <f t="shared" si="1"/>
        <v>0</v>
      </c>
      <c r="G73" s="1230">
        <f>VLOOKUP(C73,TONGHOPCONGDOI!C68:AD91,16,0)</f>
        <v>1444</v>
      </c>
      <c r="H73" s="1230">
        <f>VLOOKUP(C73,TONGHOPCONGDOI!C68:AD91,18,0)</f>
        <v>0</v>
      </c>
      <c r="I73" s="1230"/>
      <c r="J73" s="1231">
        <f t="shared" si="8"/>
        <v>741.46925835747311</v>
      </c>
      <c r="K73" s="1232" t="str">
        <f>VLOOKUP(C73,'BTH mủ tạp'!$C$17:$AL$95,36,0)</f>
        <v>A</v>
      </c>
      <c r="L73" s="1250">
        <f t="shared" si="3"/>
        <v>2728613</v>
      </c>
      <c r="M73" s="1234">
        <f>VLOOKUP(C73,TONGHOPCONGDOI!$C$11:$AD$91,20,0)</f>
        <v>26</v>
      </c>
      <c r="N73" s="1234">
        <f>VLOOKUP(C73,TONGHOPCONGDOI!$C$11:$AD$91,21,0)</f>
        <v>4</v>
      </c>
      <c r="O73" s="1234">
        <f>VLOOKUP(C73,TONGHOPCONGDOI!$C$11:$AC$91,22,0)</f>
        <v>0</v>
      </c>
      <c r="P73" s="1234">
        <f>VLOOKUP(C73,TONGHOPCONGDOI!$C$11:$AC$91,23,0)</f>
        <v>0</v>
      </c>
      <c r="Q73" s="1234">
        <f>VLOOKUP(C73,TONGHOPCONGDOI!$C$11:$AC$91,24,0)</f>
        <v>0</v>
      </c>
      <c r="R73" s="1234">
        <f>VLOOKUP(C73,TONGHOPCONGDOI!$C$11:$AC$91,25,0)</f>
        <v>0</v>
      </c>
      <c r="S73" s="1228">
        <f t="shared" si="4"/>
        <v>20</v>
      </c>
      <c r="T73" s="1235"/>
      <c r="U73" s="1235"/>
      <c r="V73" s="1235"/>
      <c r="W73" s="1234">
        <f t="shared" si="6"/>
        <v>1506488</v>
      </c>
      <c r="X73" s="1234">
        <f t="shared" si="9"/>
        <v>4235101</v>
      </c>
      <c r="Y73" s="1230"/>
      <c r="Z73" s="1237">
        <f t="shared" si="7"/>
        <v>4235101</v>
      </c>
      <c r="AA73" s="1230"/>
      <c r="AB73" s="1236"/>
      <c r="AC73" s="902"/>
      <c r="AD73" s="779"/>
      <c r="AE73" s="779"/>
      <c r="AF73" s="779"/>
      <c r="AG73" s="779"/>
      <c r="AH73" s="779"/>
      <c r="AI73" s="779"/>
      <c r="AJ73" s="779"/>
      <c r="AK73" s="779"/>
    </row>
    <row r="74" spans="1:37" s="780" customFormat="1" ht="38.25" customHeight="1">
      <c r="A74" s="1227">
        <v>59</v>
      </c>
      <c r="B74" s="1227" t="str">
        <f>'Chấm công KT'!D71</f>
        <v>03504</v>
      </c>
      <c r="C74" s="1228" t="str">
        <f>TONGHOPCONGDOI!C69</f>
        <v>T. Cạp</v>
      </c>
      <c r="D74" s="1227" t="s">
        <v>30</v>
      </c>
      <c r="E74" s="1229"/>
      <c r="F74" s="1230">
        <f t="shared" si="1"/>
        <v>0</v>
      </c>
      <c r="G74" s="1230">
        <f>VLOOKUP(C74,TONGHOPCONGDOI!C69:AD91,16,0)</f>
        <v>1476</v>
      </c>
      <c r="H74" s="1230">
        <f>VLOOKUP(C74,TONGHOPCONGDOI!C69:AD91,18,0)</f>
        <v>0</v>
      </c>
      <c r="I74" s="1230"/>
      <c r="J74" s="1231">
        <f t="shared" si="8"/>
        <v>757.900710066226</v>
      </c>
      <c r="K74" s="1232" t="str">
        <f>VLOOKUP(C74,'BTH mủ tạp'!$C$17:$AL$95,36,0)</f>
        <v>B</v>
      </c>
      <c r="L74" s="1250">
        <f t="shared" si="3"/>
        <v>2651913</v>
      </c>
      <c r="M74" s="1234">
        <f>VLOOKUP(C74,TONGHOPCONGDOI!$C$11:$AD$91,20,0)</f>
        <v>26</v>
      </c>
      <c r="N74" s="1234">
        <f>VLOOKUP(C74,TONGHOPCONGDOI!$C$11:$AD$91,21,0)</f>
        <v>4</v>
      </c>
      <c r="O74" s="1234">
        <f>VLOOKUP(C74,TONGHOPCONGDOI!$C$11:$AC$91,22,0)</f>
        <v>0</v>
      </c>
      <c r="P74" s="1234">
        <f>VLOOKUP(C74,TONGHOPCONGDOI!$C$11:$AC$91,23,0)</f>
        <v>0</v>
      </c>
      <c r="Q74" s="1234">
        <f>VLOOKUP(C74,TONGHOPCONGDOI!$C$11:$AC$91,24,0)</f>
        <v>0</v>
      </c>
      <c r="R74" s="1234">
        <f>VLOOKUP(C74,TONGHOPCONGDOI!$C$11:$AC$91,25,0)</f>
        <v>0</v>
      </c>
      <c r="S74" s="1228">
        <f t="shared" si="4"/>
        <v>20</v>
      </c>
      <c r="T74" s="1235"/>
      <c r="U74" s="1235"/>
      <c r="V74" s="1235"/>
      <c r="W74" s="1234">
        <f t="shared" si="6"/>
        <v>1506488</v>
      </c>
      <c r="X74" s="1234">
        <f t="shared" si="9"/>
        <v>4158401</v>
      </c>
      <c r="Y74" s="1230"/>
      <c r="Z74" s="1237">
        <f t="shared" si="7"/>
        <v>4158401</v>
      </c>
      <c r="AA74" s="1230"/>
      <c r="AB74" s="1236"/>
      <c r="AC74" s="902"/>
      <c r="AD74" s="779"/>
      <c r="AE74" s="779"/>
      <c r="AF74" s="779"/>
      <c r="AG74" s="779"/>
      <c r="AH74" s="779"/>
      <c r="AI74" s="779"/>
      <c r="AJ74" s="779"/>
      <c r="AK74" s="779"/>
    </row>
    <row r="75" spans="1:37" s="780" customFormat="1" ht="38.25" customHeight="1">
      <c r="A75" s="1227">
        <v>60</v>
      </c>
      <c r="B75" s="1227"/>
      <c r="C75" s="1228" t="str">
        <f>TONGHOPCONGDOI!C70</f>
        <v>T. Toi</v>
      </c>
      <c r="D75" s="1227" t="s">
        <v>30</v>
      </c>
      <c r="E75" s="1229"/>
      <c r="F75" s="1230">
        <f t="shared" si="1"/>
        <v>0</v>
      </c>
      <c r="G75" s="1230">
        <f>VLOOKUP(C75,TONGHOPCONGDOI!C70:AD91,16,0)</f>
        <v>1332</v>
      </c>
      <c r="H75" s="1230">
        <f>VLOOKUP(C75,TONGHOPCONGDOI!C70:AD91,18,0)</f>
        <v>0</v>
      </c>
      <c r="I75" s="1230"/>
      <c r="J75" s="1231">
        <f t="shared" si="8"/>
        <v>683.95917737683806</v>
      </c>
      <c r="K75" s="1232" t="str">
        <f>VLOOKUP(C75,'BTH mủ tạp'!$C$17:$AL$95,36,0)</f>
        <v>A</v>
      </c>
      <c r="L75" s="1250">
        <f t="shared" si="3"/>
        <v>2516975</v>
      </c>
      <c r="M75" s="1234">
        <f>VLOOKUP(C75,TONGHOPCONGDOI!$C$11:$AD$91,20,0)</f>
        <v>25</v>
      </c>
      <c r="N75" s="1234">
        <f>VLOOKUP(C75,TONGHOPCONGDOI!$C$11:$AD$91,21,0)</f>
        <v>4</v>
      </c>
      <c r="O75" s="1234">
        <f>VLOOKUP(C75,TONGHOPCONGDOI!$C$11:$AC$91,22,0)</f>
        <v>0</v>
      </c>
      <c r="P75" s="1234">
        <f>VLOOKUP(C75,TONGHOPCONGDOI!$C$11:$AC$91,23,0)</f>
        <v>0</v>
      </c>
      <c r="Q75" s="1234">
        <f>VLOOKUP(C75,TONGHOPCONGDOI!$C$11:$AC$91,24,0)</f>
        <v>0</v>
      </c>
      <c r="R75" s="1234">
        <f>VLOOKUP(C75,TONGHOPCONGDOI!$C$11:$AC$91,25,0)</f>
        <v>0</v>
      </c>
      <c r="S75" s="1228"/>
      <c r="T75" s="1235"/>
      <c r="U75" s="1235"/>
      <c r="V75" s="1235"/>
      <c r="W75" s="1234">
        <f t="shared" si="6"/>
        <v>975683</v>
      </c>
      <c r="X75" s="1234">
        <f t="shared" si="9"/>
        <v>3492658</v>
      </c>
      <c r="Y75" s="1230"/>
      <c r="Z75" s="1237">
        <f t="shared" si="7"/>
        <v>3492658</v>
      </c>
      <c r="AA75" s="1230"/>
      <c r="AB75" s="1236"/>
      <c r="AC75" s="902"/>
      <c r="AD75" s="779"/>
      <c r="AE75" s="779"/>
      <c r="AF75" s="779"/>
      <c r="AG75" s="779"/>
      <c r="AH75" s="779"/>
      <c r="AI75" s="779"/>
      <c r="AJ75" s="779"/>
      <c r="AK75" s="779"/>
    </row>
    <row r="76" spans="1:37" s="780" customFormat="1" ht="38.25" customHeight="1">
      <c r="A76" s="1227">
        <v>61</v>
      </c>
      <c r="B76" s="1227" t="str">
        <f>'Chấm công KT'!D73</f>
        <v>03506</v>
      </c>
      <c r="C76" s="1228" t="str">
        <f>TONGHOPCONGDOI!C71</f>
        <v>N. Bua Hom</v>
      </c>
      <c r="D76" s="1227" t="s">
        <v>30</v>
      </c>
      <c r="E76" s="1229"/>
      <c r="F76" s="1230">
        <f t="shared" si="1"/>
        <v>0</v>
      </c>
      <c r="G76" s="1230">
        <f>VLOOKUP(C76,TONGHOPCONGDOI!C71:AD91,16,0)</f>
        <v>1582</v>
      </c>
      <c r="H76" s="1230">
        <f>VLOOKUP(C76,TONGHOPCONGDOI!C71:AD91,18,0)</f>
        <v>0</v>
      </c>
      <c r="I76" s="1230"/>
      <c r="J76" s="1231">
        <f t="shared" si="8"/>
        <v>812.32989385146982</v>
      </c>
      <c r="K76" s="1232" t="str">
        <f>VLOOKUP(C76,'BTH mủ tạp'!$C$17:$AL$95,36,0)</f>
        <v>B</v>
      </c>
      <c r="L76" s="1250">
        <f t="shared" si="3"/>
        <v>2842362</v>
      </c>
      <c r="M76" s="1234">
        <f>VLOOKUP(C76,TONGHOPCONGDOI!$C$11:$AD$91,20,0)</f>
        <v>25</v>
      </c>
      <c r="N76" s="1234">
        <f>VLOOKUP(C76,TONGHOPCONGDOI!$C$11:$AD$91,21,0)</f>
        <v>4</v>
      </c>
      <c r="O76" s="1234">
        <f>VLOOKUP(C76,TONGHOPCONGDOI!$C$11:$AC$91,22,0)</f>
        <v>0</v>
      </c>
      <c r="P76" s="1234">
        <f>VLOOKUP(C76,TONGHOPCONGDOI!$C$11:$AC$91,23,0)</f>
        <v>0</v>
      </c>
      <c r="Q76" s="1234">
        <f>VLOOKUP(C76,TONGHOPCONGDOI!$C$11:$AC$91,24,0)</f>
        <v>0</v>
      </c>
      <c r="R76" s="1234">
        <f>VLOOKUP(C76,TONGHOPCONGDOI!$C$11:$AC$91,25,0)</f>
        <v>0</v>
      </c>
      <c r="S76" s="1228">
        <f t="shared" si="4"/>
        <v>20</v>
      </c>
      <c r="T76" s="1235"/>
      <c r="U76" s="1235"/>
      <c r="V76" s="1235"/>
      <c r="W76" s="1234">
        <f t="shared" si="6"/>
        <v>1475683</v>
      </c>
      <c r="X76" s="1234">
        <f t="shared" si="9"/>
        <v>4318045</v>
      </c>
      <c r="Y76" s="1230"/>
      <c r="Z76" s="1237">
        <f t="shared" si="7"/>
        <v>4318045</v>
      </c>
      <c r="AA76" s="1230"/>
      <c r="AB76" s="1236"/>
      <c r="AC76" s="902"/>
      <c r="AD76" s="779"/>
      <c r="AE76" s="779"/>
      <c r="AF76" s="779"/>
      <c r="AG76" s="779"/>
      <c r="AH76" s="779"/>
      <c r="AI76" s="779"/>
      <c r="AJ76" s="779"/>
      <c r="AK76" s="779"/>
    </row>
    <row r="77" spans="1:37" s="780" customFormat="1" ht="38.25" customHeight="1">
      <c r="A77" s="1227">
        <v>62</v>
      </c>
      <c r="B77" s="1227"/>
      <c r="C77" s="1228" t="str">
        <f>TONGHOPCONGDOI!C72</f>
        <v>N. Lăm Phay (2)</v>
      </c>
      <c r="D77" s="1227" t="s">
        <v>30</v>
      </c>
      <c r="E77" s="1229"/>
      <c r="F77" s="1230">
        <f t="shared" si="1"/>
        <v>0</v>
      </c>
      <c r="G77" s="1230">
        <f>VLOOKUP(C77,TONGHOPCONGDOI!C72:AD91,16,0)</f>
        <v>1386</v>
      </c>
      <c r="H77" s="1230">
        <f>VLOOKUP(C77,TONGHOPCONGDOI!C72:AD91,18,0)</f>
        <v>0</v>
      </c>
      <c r="I77" s="1230"/>
      <c r="J77" s="1231">
        <f t="shared" si="8"/>
        <v>711.68725213535856</v>
      </c>
      <c r="K77" s="1232" t="str">
        <f>VLOOKUP(C77,'BTH mủ tạp'!$C$17:$AL$95,36,0)</f>
        <v>A</v>
      </c>
      <c r="L77" s="1250">
        <f t="shared" si="3"/>
        <v>2619015</v>
      </c>
      <c r="M77" s="1234">
        <f>VLOOKUP(C77,TONGHOPCONGDOI!$C$11:$AD$91,20,0)</f>
        <v>25</v>
      </c>
      <c r="N77" s="1234">
        <f>VLOOKUP(C77,TONGHOPCONGDOI!$C$11:$AD$91,21,0)</f>
        <v>4</v>
      </c>
      <c r="O77" s="1234">
        <f>VLOOKUP(C77,TONGHOPCONGDOI!$C$11:$AC$91,22,0)</f>
        <v>0</v>
      </c>
      <c r="P77" s="1234">
        <f>VLOOKUP(C77,TONGHOPCONGDOI!$C$11:$AC$91,23,0)</f>
        <v>0</v>
      </c>
      <c r="Q77" s="1234">
        <f>VLOOKUP(C77,TONGHOPCONGDOI!$C$11:$AC$91,24,0)</f>
        <v>0</v>
      </c>
      <c r="R77" s="1234">
        <f>VLOOKUP(C77,TONGHOPCONGDOI!$C$11:$AC$91,25,0)</f>
        <v>0</v>
      </c>
      <c r="S77" s="1228">
        <f t="shared" si="4"/>
        <v>20</v>
      </c>
      <c r="T77" s="1235"/>
      <c r="U77" s="1235"/>
      <c r="V77" s="1235"/>
      <c r="W77" s="1234">
        <f t="shared" si="6"/>
        <v>1475683</v>
      </c>
      <c r="X77" s="1234">
        <f t="shared" si="9"/>
        <v>4094698</v>
      </c>
      <c r="Y77" s="1230"/>
      <c r="Z77" s="1237">
        <f t="shared" si="7"/>
        <v>4094698</v>
      </c>
      <c r="AA77" s="1230"/>
      <c r="AB77" s="1236"/>
      <c r="AC77" s="902"/>
      <c r="AD77" s="779"/>
      <c r="AE77" s="779"/>
      <c r="AF77" s="779"/>
      <c r="AG77" s="779"/>
      <c r="AH77" s="779"/>
      <c r="AI77" s="779"/>
      <c r="AJ77" s="779"/>
      <c r="AK77" s="779"/>
    </row>
    <row r="78" spans="1:37" s="780" customFormat="1" ht="38.25" customHeight="1">
      <c r="A78" s="1227">
        <v>63</v>
      </c>
      <c r="B78" s="1227" t="str">
        <f>'Chấm công KT'!D75</f>
        <v>03508</v>
      </c>
      <c r="C78" s="1228" t="str">
        <f>TONGHOPCONGDOI!C73</f>
        <v>T. Đèng</v>
      </c>
      <c r="D78" s="1227" t="s">
        <v>30</v>
      </c>
      <c r="E78" s="1229"/>
      <c r="F78" s="1230">
        <f t="shared" si="1"/>
        <v>0</v>
      </c>
      <c r="G78" s="1230">
        <f>VLOOKUP(C78,TONGHOPCONGDOI!C73:AD91,16,0)</f>
        <v>433</v>
      </c>
      <c r="H78" s="1230">
        <f>VLOOKUP(C78,TONGHOPCONGDOI!C73:AD91,18,0)</f>
        <v>0</v>
      </c>
      <c r="I78" s="1230"/>
      <c r="J78" s="1231">
        <f t="shared" si="8"/>
        <v>222.33808093406222</v>
      </c>
      <c r="K78" s="1232" t="str">
        <f>VLOOKUP(C78,'BTH mủ tạp'!$C$17:$AL$95,36,0)</f>
        <v>A</v>
      </c>
      <c r="L78" s="1250">
        <f t="shared" si="3"/>
        <v>818206</v>
      </c>
      <c r="M78" s="1234">
        <f>VLOOKUP(C78,TONGHOPCONGDOI!$C$11:$AD$91,20,0)</f>
        <v>18</v>
      </c>
      <c r="N78" s="1234">
        <f>VLOOKUP(C78,TONGHOPCONGDOI!$C$11:$AD$91,21,0)</f>
        <v>3</v>
      </c>
      <c r="O78" s="1234">
        <f>VLOOKUP(C78,TONGHOPCONGDOI!$C$11:$AC$91,22,0)</f>
        <v>0</v>
      </c>
      <c r="P78" s="1234">
        <f>VLOOKUP(C78,TONGHOPCONGDOI!$C$11:$AC$91,23,0)</f>
        <v>0</v>
      </c>
      <c r="Q78" s="1234">
        <f>VLOOKUP(C78,TONGHOPCONGDOI!$C$11:$AC$91,24,0)</f>
        <v>0</v>
      </c>
      <c r="R78" s="1234">
        <f>VLOOKUP(C78,TONGHOPCONGDOI!$C$11:$AC$91,25,0)</f>
        <v>0</v>
      </c>
      <c r="S78" s="1228">
        <f t="shared" si="4"/>
        <v>20</v>
      </c>
      <c r="T78" s="1235"/>
      <c r="U78" s="1235"/>
      <c r="V78" s="1235"/>
      <c r="W78" s="1234">
        <f t="shared" si="6"/>
        <v>1208658</v>
      </c>
      <c r="X78" s="1234">
        <f t="shared" si="9"/>
        <v>2026864</v>
      </c>
      <c r="Y78" s="1230"/>
      <c r="Z78" s="1237">
        <f t="shared" si="7"/>
        <v>2026864</v>
      </c>
      <c r="AA78" s="1230"/>
      <c r="AB78" s="1236"/>
      <c r="AC78" s="902"/>
      <c r="AD78" s="779"/>
      <c r="AE78" s="779"/>
      <c r="AF78" s="779"/>
      <c r="AG78" s="779"/>
      <c r="AH78" s="779"/>
      <c r="AI78" s="779"/>
      <c r="AJ78" s="779"/>
      <c r="AK78" s="779"/>
    </row>
    <row r="79" spans="1:37" s="780" customFormat="1" ht="38.25" customHeight="1">
      <c r="A79" s="1227">
        <v>64</v>
      </c>
      <c r="B79" s="1227" t="str">
        <f>'Chấm công KT'!D76</f>
        <v>03512</v>
      </c>
      <c r="C79" s="1228" t="str">
        <f>TONGHOPCONGDOI!C74</f>
        <v>N. Đon</v>
      </c>
      <c r="D79" s="1227" t="s">
        <v>30</v>
      </c>
      <c r="E79" s="1229"/>
      <c r="F79" s="1230">
        <f t="shared" si="1"/>
        <v>0</v>
      </c>
      <c r="G79" s="1230">
        <f>VLOOKUP(C79,TONGHOPCONGDOI!C74:AD91,16,0)</f>
        <v>763</v>
      </c>
      <c r="H79" s="1230">
        <f>VLOOKUP(C79,TONGHOPCONGDOI!C74:AD91,18,0)</f>
        <v>0</v>
      </c>
      <c r="I79" s="1230"/>
      <c r="J79" s="1231">
        <f t="shared" si="8"/>
        <v>391.78742668057617</v>
      </c>
      <c r="K79" s="1232" t="str">
        <f>VLOOKUP(C79,'BTH mủ tạp'!$C$17:$AL$95,36,0)</f>
        <v>B</v>
      </c>
      <c r="L79" s="1250">
        <f t="shared" si="3"/>
        <v>1370874</v>
      </c>
      <c r="M79" s="1234">
        <f>VLOOKUP(C79,TONGHOPCONGDOI!$C$11:$AD$91,20,0)</f>
        <v>24</v>
      </c>
      <c r="N79" s="1234">
        <f>VLOOKUP(C79,TONGHOPCONGDOI!$C$11:$AD$91,21,0)</f>
        <v>4</v>
      </c>
      <c r="O79" s="1234">
        <f>VLOOKUP(C79,TONGHOPCONGDOI!$C$11:$AC$91,22,0)</f>
        <v>0</v>
      </c>
      <c r="P79" s="1234">
        <f>VLOOKUP(C79,TONGHOPCONGDOI!$C$11:$AC$91,23,0)</f>
        <v>0</v>
      </c>
      <c r="Q79" s="1234">
        <f>VLOOKUP(C79,TONGHOPCONGDOI!$C$11:$AC$91,24,0)</f>
        <v>0</v>
      </c>
      <c r="R79" s="1234">
        <f>VLOOKUP(C79,TONGHOPCONGDOI!$C$11:$AC$91,25,0)</f>
        <v>0</v>
      </c>
      <c r="S79" s="1228">
        <f t="shared" si="4"/>
        <v>20</v>
      </c>
      <c r="T79" s="1235"/>
      <c r="U79" s="1235"/>
      <c r="V79" s="1235"/>
      <c r="W79" s="1234">
        <f t="shared" si="6"/>
        <v>1444877</v>
      </c>
      <c r="X79" s="1234">
        <f t="shared" si="9"/>
        <v>2815751</v>
      </c>
      <c r="Y79" s="1230"/>
      <c r="Z79" s="1237">
        <f t="shared" si="7"/>
        <v>2815751</v>
      </c>
      <c r="AA79" s="1230"/>
      <c r="AB79" s="1236"/>
      <c r="AC79" s="902"/>
      <c r="AD79" s="779"/>
      <c r="AE79" s="779"/>
      <c r="AF79" s="779"/>
      <c r="AG79" s="779"/>
      <c r="AH79" s="779"/>
      <c r="AI79" s="779"/>
      <c r="AJ79" s="779"/>
      <c r="AK79" s="779"/>
    </row>
    <row r="80" spans="1:37" s="780" customFormat="1" ht="38.25" customHeight="1">
      <c r="A80" s="1227">
        <v>65</v>
      </c>
      <c r="B80" s="1227"/>
      <c r="C80" s="1228" t="str">
        <f>TONGHOPCONGDOI!C75</f>
        <v xml:space="preserve">T. La </v>
      </c>
      <c r="D80" s="1227" t="s">
        <v>30</v>
      </c>
      <c r="E80" s="1229"/>
      <c r="F80" s="1230">
        <f t="shared" si="1"/>
        <v>0</v>
      </c>
      <c r="G80" s="1230">
        <f>VLOOKUP(C80,TONGHOPCONGDOI!C75:AD91,16,0)</f>
        <v>967</v>
      </c>
      <c r="H80" s="1230">
        <f>VLOOKUP(C80,TONGHOPCONGDOI!C75:AD91,18,0)</f>
        <v>0</v>
      </c>
      <c r="I80" s="1230"/>
      <c r="J80" s="1231">
        <f t="shared" ref="J80:J95" si="10">$AE$8/$AE$7*G80+H80*$AE$9+I80*$AE$10</f>
        <v>496.53793132387568</v>
      </c>
      <c r="K80" s="1232" t="str">
        <f>VLOOKUP(C80,'BTH mủ tạp'!$C$17:$AL$95,36,0)</f>
        <v>A</v>
      </c>
      <c r="L80" s="1250">
        <f t="shared" si="3"/>
        <v>1827264</v>
      </c>
      <c r="M80" s="1234">
        <f>VLOOKUP(C80,TONGHOPCONGDOI!$C$11:$AD$91,20,0)</f>
        <v>26</v>
      </c>
      <c r="N80" s="1234">
        <f>VLOOKUP(C80,TONGHOPCONGDOI!$C$11:$AD$91,21,0)</f>
        <v>3</v>
      </c>
      <c r="O80" s="1234">
        <f>VLOOKUP(C80,TONGHOPCONGDOI!$C$11:$AC$91,22,0)</f>
        <v>0</v>
      </c>
      <c r="P80" s="1234">
        <f>VLOOKUP(C80,TONGHOPCONGDOI!$C$11:$AC$91,23,0)</f>
        <v>0</v>
      </c>
      <c r="Q80" s="1234">
        <f>VLOOKUP(C80,TONGHOPCONGDOI!$C$11:$AC$91,24,0)</f>
        <v>0</v>
      </c>
      <c r="R80" s="1234">
        <f>VLOOKUP(C80,TONGHOPCONGDOI!$C$11:$AC$91,25,0)</f>
        <v>0</v>
      </c>
      <c r="S80" s="1228">
        <f t="shared" si="4"/>
        <v>20</v>
      </c>
      <c r="T80" s="1235"/>
      <c r="U80" s="1235"/>
      <c r="V80" s="1235"/>
      <c r="W80" s="1234">
        <f t="shared" si="6"/>
        <v>1455101</v>
      </c>
      <c r="X80" s="1234">
        <f t="shared" ref="X80:X96" si="11">F80+L80+W80</f>
        <v>3282365</v>
      </c>
      <c r="Y80" s="1230"/>
      <c r="Z80" s="1237">
        <f t="shared" si="7"/>
        <v>3282365</v>
      </c>
      <c r="AA80" s="1230"/>
      <c r="AB80" s="1236"/>
      <c r="AC80" s="902"/>
      <c r="AD80" s="779"/>
      <c r="AE80" s="779"/>
      <c r="AF80" s="779"/>
      <c r="AG80" s="779"/>
      <c r="AH80" s="779"/>
      <c r="AI80" s="779"/>
      <c r="AJ80" s="779"/>
      <c r="AK80" s="779"/>
    </row>
    <row r="81" spans="1:37" s="780" customFormat="1" ht="38.25" customHeight="1">
      <c r="A81" s="1227">
        <v>66</v>
      </c>
      <c r="B81" s="1227">
        <f>'Chấm công KT'!D78</f>
        <v>0</v>
      </c>
      <c r="C81" s="1228" t="str">
        <f>TONGHOPCONGDOI!C76</f>
        <v>T. Bờm</v>
      </c>
      <c r="D81" s="1227" t="s">
        <v>30</v>
      </c>
      <c r="E81" s="1229"/>
      <c r="F81" s="1230">
        <f t="shared" ref="F81:F88" si="12">E81*25000</f>
        <v>0</v>
      </c>
      <c r="G81" s="1230">
        <f>VLOOKUP(C81,TONGHOPCONGDOI!C76:AD91,16,0)</f>
        <v>756</v>
      </c>
      <c r="H81" s="1230">
        <f>VLOOKUP(C81,TONGHOPCONGDOI!C76:AD91,18,0)</f>
        <v>0</v>
      </c>
      <c r="I81" s="1230"/>
      <c r="J81" s="1231">
        <f t="shared" si="10"/>
        <v>388.19304661928646</v>
      </c>
      <c r="K81" s="1232" t="str">
        <f>VLOOKUP(C81,'BTH mủ tạp'!$C$17:$AL$95,36,0)</f>
        <v>B</v>
      </c>
      <c r="L81" s="1250">
        <f t="shared" ref="L81:L95" si="13">ROUND((IF(K81="A",(G81*$W$11*6.1),IF(K81="B",(G81*$W$11*5.8),IF(K81="C",(G81*$W$11*5.5),IF(K81="D",(G81*$W$11*5.2),0))))*$F$11+(H81*$AE$9*$F$11*6.1)+I81*$F$11*$AE$10*6.1),0)</f>
        <v>1358297</v>
      </c>
      <c r="M81" s="1234">
        <f>VLOOKUP(C81,TONGHOPCONGDOI!$C$11:$AD$91,20,0)</f>
        <v>24</v>
      </c>
      <c r="N81" s="1234">
        <f>VLOOKUP(C81,TONGHOPCONGDOI!$C$11:$AD$91,21,0)</f>
        <v>4</v>
      </c>
      <c r="O81" s="1234">
        <f>VLOOKUP(C81,TONGHOPCONGDOI!$C$11:$AC$91,22,0)</f>
        <v>0</v>
      </c>
      <c r="P81" s="1234">
        <f>VLOOKUP(C81,TONGHOPCONGDOI!$C$11:$AC$91,23,0)</f>
        <v>0</v>
      </c>
      <c r="Q81" s="1234">
        <f>VLOOKUP(C81,TONGHOPCONGDOI!$C$11:$AC$91,24,0)</f>
        <v>0</v>
      </c>
      <c r="R81" s="1234">
        <f>VLOOKUP(C81,TONGHOPCONGDOI!$C$11:$AC$91,25,0)</f>
        <v>0</v>
      </c>
      <c r="S81" s="1228"/>
      <c r="T81" s="1235"/>
      <c r="U81" s="1235"/>
      <c r="V81" s="1235"/>
      <c r="W81" s="1234">
        <f t="shared" si="6"/>
        <v>944877</v>
      </c>
      <c r="X81" s="1234">
        <f t="shared" si="11"/>
        <v>2303174</v>
      </c>
      <c r="Y81" s="1230"/>
      <c r="Z81" s="1237">
        <f t="shared" si="7"/>
        <v>2303174</v>
      </c>
      <c r="AA81" s="1230"/>
      <c r="AB81" s="1236"/>
      <c r="AC81" s="902"/>
      <c r="AD81" s="779"/>
      <c r="AE81" s="779"/>
      <c r="AF81" s="779"/>
      <c r="AG81" s="779"/>
      <c r="AH81" s="779"/>
      <c r="AI81" s="779"/>
      <c r="AJ81" s="779"/>
      <c r="AK81" s="779"/>
    </row>
    <row r="82" spans="1:37" s="780" customFormat="1" ht="38.25" customHeight="1">
      <c r="A82" s="1227">
        <v>67</v>
      </c>
      <c r="B82" s="1227" t="str">
        <f>'Chấm công KT'!D79</f>
        <v>03546</v>
      </c>
      <c r="C82" s="1228" t="str">
        <f>TONGHOPCONGDOI!C77</f>
        <v>T. Nọi</v>
      </c>
      <c r="D82" s="1227" t="s">
        <v>30</v>
      </c>
      <c r="E82" s="1229"/>
      <c r="F82" s="1230">
        <f t="shared" si="12"/>
        <v>0</v>
      </c>
      <c r="G82" s="1230">
        <f>VLOOKUP(C82,TONGHOPCONGDOI!C77:AD91,16,0)</f>
        <v>1264</v>
      </c>
      <c r="H82" s="1230">
        <f>VLOOKUP(C82,TONGHOPCONGDOI!C77:AD91,18,0)</f>
        <v>0</v>
      </c>
      <c r="I82" s="1230"/>
      <c r="J82" s="1231">
        <f t="shared" si="10"/>
        <v>649.04234249573824</v>
      </c>
      <c r="K82" s="1232" t="str">
        <f>VLOOKUP(C82,'BTH mủ tạp'!$C$17:$AL$95,36,0)</f>
        <v>A</v>
      </c>
      <c r="L82" s="1250">
        <f t="shared" si="13"/>
        <v>2388481</v>
      </c>
      <c r="M82" s="1234">
        <f>VLOOKUP(C82,TONGHOPCONGDOI!$C$11:$AD$91,20,0)</f>
        <v>27</v>
      </c>
      <c r="N82" s="1234">
        <f>VLOOKUP(C82,TONGHOPCONGDOI!$C$11:$AD$91,21,0)</f>
        <v>4</v>
      </c>
      <c r="O82" s="1234">
        <f>VLOOKUP(C82,TONGHOPCONGDOI!$C$11:$AC$91,22,0)</f>
        <v>0</v>
      </c>
      <c r="P82" s="1234">
        <f>VLOOKUP(C82,TONGHOPCONGDOI!$C$11:$AC$91,23,0)</f>
        <v>0</v>
      </c>
      <c r="Q82" s="1234">
        <f>VLOOKUP(C82,TONGHOPCONGDOI!$C$11:$AC$91,24,0)</f>
        <v>0</v>
      </c>
      <c r="R82" s="1234">
        <f>VLOOKUP(C82,TONGHOPCONGDOI!$C$11:$AC$91,25,0)</f>
        <v>0</v>
      </c>
      <c r="S82" s="1228">
        <f t="shared" ref="S82:S88" si="14">500000/25000</f>
        <v>20</v>
      </c>
      <c r="T82" s="1235"/>
      <c r="U82" s="1235"/>
      <c r="V82" s="1235"/>
      <c r="W82" s="1234">
        <f t="shared" ref="W82:W96" si="15">ROUND(((M82*46.1)+(N82*76.9)+(O82*92.2)+(P82*153.8)+(Q82*92.2)+(R82*153.8))*$E$11+(S82*25000)+(T82*10000)+(U82*30000),0)</f>
        <v>1537293</v>
      </c>
      <c r="X82" s="1234">
        <f t="shared" si="11"/>
        <v>3925774</v>
      </c>
      <c r="Y82" s="1230"/>
      <c r="Z82" s="1237">
        <f t="shared" ref="Z82:Z88" si="16">X82-Y82</f>
        <v>3925774</v>
      </c>
      <c r="AA82" s="1230"/>
      <c r="AB82" s="1236"/>
      <c r="AC82" s="902"/>
      <c r="AD82" s="779"/>
      <c r="AE82" s="779"/>
      <c r="AF82" s="779"/>
      <c r="AG82" s="779"/>
      <c r="AH82" s="779"/>
      <c r="AI82" s="779"/>
      <c r="AJ82" s="779"/>
      <c r="AK82" s="779"/>
    </row>
    <row r="83" spans="1:37" s="780" customFormat="1" ht="38.25" customHeight="1">
      <c r="A83" s="1227">
        <v>68</v>
      </c>
      <c r="B83" s="1227" t="str">
        <f>'Chấm công KT'!D80</f>
        <v>03571</v>
      </c>
      <c r="C83" s="1228" t="str">
        <f>TONGHOPCONGDOI!C78</f>
        <v>T. Ê</v>
      </c>
      <c r="D83" s="1227" t="s">
        <v>30</v>
      </c>
      <c r="E83" s="1229"/>
      <c r="F83" s="1230">
        <f t="shared" si="12"/>
        <v>0</v>
      </c>
      <c r="G83" s="1230">
        <f>VLOOKUP(C83,TONGHOPCONGDOI!C78:AD91,16,0)</f>
        <v>409</v>
      </c>
      <c r="H83" s="1230">
        <f>VLOOKUP(C83,TONGHOPCONGDOI!C78:AD91,18,0)</f>
        <v>0</v>
      </c>
      <c r="I83" s="1230"/>
      <c r="J83" s="1231">
        <f t="shared" si="10"/>
        <v>210.01449215249758</v>
      </c>
      <c r="K83" s="1232" t="str">
        <f>VLOOKUP(C83,'BTH mủ tạp'!$C$17:$AL$95,36,0)</f>
        <v>B</v>
      </c>
      <c r="L83" s="1250">
        <f t="shared" si="13"/>
        <v>734846</v>
      </c>
      <c r="M83" s="1234">
        <f>VLOOKUP(C83,TONGHOPCONGDOI!$C$11:$AD$91,20,0)</f>
        <v>18</v>
      </c>
      <c r="N83" s="1234">
        <f>VLOOKUP(C83,TONGHOPCONGDOI!$C$11:$AD$91,21,0)</f>
        <v>3</v>
      </c>
      <c r="O83" s="1234">
        <f>VLOOKUP(C83,TONGHOPCONGDOI!$C$11:$AC$91,22,0)</f>
        <v>0</v>
      </c>
      <c r="P83" s="1234">
        <f>VLOOKUP(C83,TONGHOPCONGDOI!$C$11:$AC$91,23,0)</f>
        <v>0</v>
      </c>
      <c r="Q83" s="1234">
        <f>VLOOKUP(C83,TONGHOPCONGDOI!$C$11:$AC$91,24,0)</f>
        <v>0</v>
      </c>
      <c r="R83" s="1234">
        <f>VLOOKUP(C83,TONGHOPCONGDOI!$C$11:$AC$91,25,0)</f>
        <v>0</v>
      </c>
      <c r="S83" s="1228">
        <f t="shared" si="14"/>
        <v>20</v>
      </c>
      <c r="T83" s="1235"/>
      <c r="U83" s="1235"/>
      <c r="V83" s="1235"/>
      <c r="W83" s="1234">
        <f t="shared" si="15"/>
        <v>1208658</v>
      </c>
      <c r="X83" s="1234">
        <f t="shared" si="11"/>
        <v>1943504</v>
      </c>
      <c r="Y83" s="1230"/>
      <c r="Z83" s="1237">
        <f t="shared" si="16"/>
        <v>1943504</v>
      </c>
      <c r="AA83" s="1230"/>
      <c r="AB83" s="1236"/>
      <c r="AC83" s="902"/>
      <c r="AD83" s="779"/>
      <c r="AE83" s="779"/>
      <c r="AF83" s="779"/>
      <c r="AG83" s="779"/>
      <c r="AH83" s="779"/>
      <c r="AI83" s="779"/>
      <c r="AJ83" s="779"/>
      <c r="AK83" s="779"/>
    </row>
    <row r="84" spans="1:37" s="780" customFormat="1" ht="38.25" customHeight="1">
      <c r="A84" s="1227">
        <v>69</v>
      </c>
      <c r="B84" s="1227"/>
      <c r="C84" s="1228" t="str">
        <f>TONGHOPCONGDOI!C79</f>
        <v>T Bun</v>
      </c>
      <c r="D84" s="1227" t="s">
        <v>30</v>
      </c>
      <c r="E84" s="1229"/>
      <c r="F84" s="1230">
        <f t="shared" si="12"/>
        <v>0</v>
      </c>
      <c r="G84" s="1230">
        <f>VLOOKUP(C84,TONGHOPCONGDOI!C79:AD91,16,0)</f>
        <v>1422</v>
      </c>
      <c r="H84" s="1230">
        <f>VLOOKUP(C84,TONGHOPCONGDOI!C79:AD91,18,0)</f>
        <v>0</v>
      </c>
      <c r="I84" s="1230"/>
      <c r="J84" s="1231">
        <f t="shared" si="10"/>
        <v>730.17263530770549</v>
      </c>
      <c r="K84" s="1232" t="str">
        <f>VLOOKUP(C84,'BTH mủ tạp'!$C$17:$AL$95,36,0)</f>
        <v>A</v>
      </c>
      <c r="L84" s="1250">
        <f t="shared" si="13"/>
        <v>2687041</v>
      </c>
      <c r="M84" s="1234">
        <f>VLOOKUP(C84,TONGHOPCONGDOI!$C$11:$AD$91,20,0)</f>
        <v>23</v>
      </c>
      <c r="N84" s="1234">
        <f>VLOOKUP(C84,TONGHOPCONGDOI!$C$11:$AD$91,21,0)</f>
        <v>3</v>
      </c>
      <c r="O84" s="1234">
        <f>VLOOKUP(C84,TONGHOPCONGDOI!$C$11:$AC$91,22,0)</f>
        <v>0</v>
      </c>
      <c r="P84" s="1234">
        <f>VLOOKUP(C84,TONGHOPCONGDOI!$C$11:$AC$91,23,0)</f>
        <v>0</v>
      </c>
      <c r="Q84" s="1234">
        <f>VLOOKUP(C84,TONGHOPCONGDOI!$C$11:$AC$91,24,0)</f>
        <v>0</v>
      </c>
      <c r="R84" s="1234">
        <f>VLOOKUP(C84,TONGHOPCONGDOI!$C$11:$AC$91,25,0)</f>
        <v>0</v>
      </c>
      <c r="S84" s="1228">
        <f t="shared" si="14"/>
        <v>20</v>
      </c>
      <c r="T84" s="1235"/>
      <c r="U84" s="1235"/>
      <c r="V84" s="1235"/>
      <c r="W84" s="1234">
        <f t="shared" si="15"/>
        <v>1362685</v>
      </c>
      <c r="X84" s="1234">
        <f t="shared" si="11"/>
        <v>4049726</v>
      </c>
      <c r="Y84" s="1230"/>
      <c r="Z84" s="1237">
        <f t="shared" si="16"/>
        <v>4049726</v>
      </c>
      <c r="AA84" s="1230"/>
      <c r="AB84" s="1236"/>
      <c r="AC84" s="902"/>
      <c r="AD84" s="779"/>
      <c r="AE84" s="779"/>
      <c r="AF84" s="779"/>
      <c r="AG84" s="779"/>
      <c r="AH84" s="779"/>
      <c r="AI84" s="779"/>
      <c r="AJ84" s="779"/>
      <c r="AK84" s="779"/>
    </row>
    <row r="85" spans="1:37" s="780" customFormat="1" ht="38.25" customHeight="1">
      <c r="A85" s="1227">
        <v>70</v>
      </c>
      <c r="B85" s="1227" t="str">
        <f>'Chấm công KT'!D82</f>
        <v>03515</v>
      </c>
      <c r="C85" s="1228" t="str">
        <f>TONGHOPCONGDOI!C80</f>
        <v>N. Xi</v>
      </c>
      <c r="D85" s="1227" t="s">
        <v>30</v>
      </c>
      <c r="E85" s="1229"/>
      <c r="F85" s="1230">
        <f t="shared" si="12"/>
        <v>0</v>
      </c>
      <c r="G85" s="1230">
        <f>VLOOKUP(C85,TONGHOPCONGDOI!C80:AD91,16,0)</f>
        <v>1644</v>
      </c>
      <c r="H85" s="1230">
        <f>VLOOKUP(C85,TONGHOPCONGDOI!C80:AD91,18,0)</f>
        <v>0</v>
      </c>
      <c r="I85" s="1230"/>
      <c r="J85" s="1231">
        <f t="shared" si="10"/>
        <v>844.16583153717852</v>
      </c>
      <c r="K85" s="1232" t="str">
        <f>VLOOKUP(C85,'BTH mủ tạp'!$C$17:$AL$95,36,0)</f>
        <v>A</v>
      </c>
      <c r="L85" s="1250">
        <f t="shared" si="13"/>
        <v>3106537</v>
      </c>
      <c r="M85" s="1234">
        <f>VLOOKUP(C85,TONGHOPCONGDOI!$C$11:$AD$91,20,0)</f>
        <v>26</v>
      </c>
      <c r="N85" s="1234">
        <f>VLOOKUP(C85,TONGHOPCONGDOI!$C$11:$AD$91,21,0)</f>
        <v>4</v>
      </c>
      <c r="O85" s="1234">
        <f>VLOOKUP(C85,TONGHOPCONGDOI!$C$11:$AC$91,22,0)</f>
        <v>0</v>
      </c>
      <c r="P85" s="1234">
        <f>VLOOKUP(C85,TONGHOPCONGDOI!$C$11:$AC$91,23,0)</f>
        <v>0</v>
      </c>
      <c r="Q85" s="1234">
        <f>VLOOKUP(C85,TONGHOPCONGDOI!$C$11:$AC$91,24,0)</f>
        <v>0</v>
      </c>
      <c r="R85" s="1234">
        <f>VLOOKUP(C85,TONGHOPCONGDOI!$C$11:$AC$91,25,0)</f>
        <v>0</v>
      </c>
      <c r="S85" s="1228">
        <f t="shared" si="14"/>
        <v>20</v>
      </c>
      <c r="T85" s="1235"/>
      <c r="U85" s="1235"/>
      <c r="V85" s="1235"/>
      <c r="W85" s="1234">
        <f t="shared" si="15"/>
        <v>1506488</v>
      </c>
      <c r="X85" s="1234">
        <f t="shared" si="11"/>
        <v>4613025</v>
      </c>
      <c r="Y85" s="1230"/>
      <c r="Z85" s="1237">
        <f t="shared" si="16"/>
        <v>4613025</v>
      </c>
      <c r="AA85" s="1230"/>
      <c r="AB85" s="1236"/>
      <c r="AC85" s="902"/>
      <c r="AD85" s="779"/>
      <c r="AE85" s="779"/>
      <c r="AF85" s="779"/>
      <c r="AG85" s="779"/>
      <c r="AH85" s="779"/>
      <c r="AI85" s="779"/>
      <c r="AJ85" s="779"/>
      <c r="AK85" s="779"/>
    </row>
    <row r="86" spans="1:37" s="780" customFormat="1" ht="38.25" customHeight="1">
      <c r="A86" s="1227">
        <v>71</v>
      </c>
      <c r="B86" s="1227" t="str">
        <f>'Chấm công KT'!D83</f>
        <v>03516</v>
      </c>
      <c r="C86" s="1228" t="str">
        <f>TONGHOPCONGDOI!C81</f>
        <v>N. Chay</v>
      </c>
      <c r="D86" s="1227" t="s">
        <v>30</v>
      </c>
      <c r="E86" s="1229"/>
      <c r="F86" s="1230">
        <f t="shared" si="12"/>
        <v>0</v>
      </c>
      <c r="G86" s="1230">
        <f>VLOOKUP(C86,TONGHOPCONGDOI!C81:AD91,16,0)</f>
        <v>1139</v>
      </c>
      <c r="H86" s="1230">
        <f>VLOOKUP(C86,TONGHOPCONGDOI!C81:AD91,18,0)</f>
        <v>0</v>
      </c>
      <c r="I86" s="1230"/>
      <c r="J86" s="1231">
        <f t="shared" si="10"/>
        <v>584.85698425842236</v>
      </c>
      <c r="K86" s="1232" t="str">
        <f>VLOOKUP(C86,'BTH mủ tạp'!$C$17:$AL$95,36,0)</f>
        <v>A</v>
      </c>
      <c r="L86" s="1250">
        <f t="shared" si="13"/>
        <v>2152278</v>
      </c>
      <c r="M86" s="1234">
        <f>VLOOKUP(C86,TONGHOPCONGDOI!$C$11:$AD$91,20,0)</f>
        <v>25</v>
      </c>
      <c r="N86" s="1234">
        <f>VLOOKUP(C86,TONGHOPCONGDOI!$C$11:$AD$91,21,0)</f>
        <v>4</v>
      </c>
      <c r="O86" s="1234">
        <f>VLOOKUP(C86,TONGHOPCONGDOI!$C$11:$AC$91,22,0)</f>
        <v>0</v>
      </c>
      <c r="P86" s="1234">
        <f>VLOOKUP(C86,TONGHOPCONGDOI!$C$11:$AC$91,23,0)</f>
        <v>0</v>
      </c>
      <c r="Q86" s="1234">
        <f>VLOOKUP(C86,TONGHOPCONGDOI!$C$11:$AC$91,24,0)</f>
        <v>0</v>
      </c>
      <c r="R86" s="1234">
        <f>VLOOKUP(C86,TONGHOPCONGDOI!$C$11:$AC$91,25,0)</f>
        <v>0</v>
      </c>
      <c r="S86" s="1228">
        <f t="shared" si="14"/>
        <v>20</v>
      </c>
      <c r="T86" s="1235"/>
      <c r="U86" s="1235"/>
      <c r="V86" s="1235"/>
      <c r="W86" s="1234">
        <f t="shared" si="15"/>
        <v>1475683</v>
      </c>
      <c r="X86" s="1234">
        <f t="shared" si="11"/>
        <v>3627961</v>
      </c>
      <c r="Y86" s="1230"/>
      <c r="Z86" s="1237">
        <f t="shared" si="16"/>
        <v>3627961</v>
      </c>
      <c r="AA86" s="1230"/>
      <c r="AB86" s="1236"/>
      <c r="AC86" s="902"/>
      <c r="AD86" s="779"/>
      <c r="AE86" s="779"/>
      <c r="AF86" s="779"/>
      <c r="AG86" s="779"/>
      <c r="AH86" s="779"/>
      <c r="AI86" s="779"/>
      <c r="AJ86" s="779"/>
      <c r="AK86" s="779"/>
    </row>
    <row r="87" spans="1:37" s="780" customFormat="1" ht="38.25" customHeight="1">
      <c r="A87" s="1227">
        <v>72</v>
      </c>
      <c r="B87" s="1227" t="str">
        <f>'Chấm công KT'!D84</f>
        <v>03544</v>
      </c>
      <c r="C87" s="1228" t="str">
        <f>TONGHOPCONGDOI!C82</f>
        <v>T. Ta</v>
      </c>
      <c r="D87" s="1227" t="s">
        <v>30</v>
      </c>
      <c r="E87" s="1229"/>
      <c r="F87" s="1230">
        <f t="shared" si="12"/>
        <v>0</v>
      </c>
      <c r="G87" s="1230">
        <f>VLOOKUP(C87,TONGHOPCONGDOI!C82:AD91,16,0)</f>
        <v>1080</v>
      </c>
      <c r="H87" s="1230">
        <f>VLOOKUP(C87,TONGHOPCONGDOI!C82:AD91,18,0)</f>
        <v>0</v>
      </c>
      <c r="I87" s="1230"/>
      <c r="J87" s="1231">
        <f t="shared" si="10"/>
        <v>554.56149517040922</v>
      </c>
      <c r="K87" s="1232" t="str">
        <f>VLOOKUP(C87,'BTH mủ tạp'!$C$17:$AL$95,36,0)</f>
        <v>A</v>
      </c>
      <c r="L87" s="1250">
        <f t="shared" si="13"/>
        <v>2040791</v>
      </c>
      <c r="M87" s="1234">
        <f>VLOOKUP(C87,TONGHOPCONGDOI!$C$11:$AD$91,20,0)</f>
        <v>27</v>
      </c>
      <c r="N87" s="1234">
        <f>VLOOKUP(C87,TONGHOPCONGDOI!$C$11:$AD$91,21,0)</f>
        <v>4</v>
      </c>
      <c r="O87" s="1234">
        <f>VLOOKUP(C87,TONGHOPCONGDOI!$C$11:$AC$91,22,0)</f>
        <v>0</v>
      </c>
      <c r="P87" s="1234">
        <f>VLOOKUP(C87,TONGHOPCONGDOI!$C$11:$AC$91,23,0)</f>
        <v>0</v>
      </c>
      <c r="Q87" s="1234">
        <f>VLOOKUP(C87,TONGHOPCONGDOI!$C$11:$AC$91,24,0)</f>
        <v>0</v>
      </c>
      <c r="R87" s="1234">
        <f>VLOOKUP(C87,TONGHOPCONGDOI!$C$11:$AC$91,25,0)</f>
        <v>0</v>
      </c>
      <c r="S87" s="1228">
        <f t="shared" si="14"/>
        <v>20</v>
      </c>
      <c r="T87" s="1235"/>
      <c r="U87" s="1235"/>
      <c r="V87" s="1235"/>
      <c r="W87" s="1234">
        <f t="shared" si="15"/>
        <v>1537293</v>
      </c>
      <c r="X87" s="1234">
        <f t="shared" si="11"/>
        <v>3578084</v>
      </c>
      <c r="Y87" s="1230"/>
      <c r="Z87" s="1237">
        <f t="shared" si="16"/>
        <v>3578084</v>
      </c>
      <c r="AA87" s="1230"/>
      <c r="AB87" s="1236"/>
      <c r="AC87" s="902"/>
      <c r="AD87" s="779"/>
      <c r="AE87" s="779"/>
      <c r="AF87" s="779"/>
      <c r="AG87" s="779"/>
      <c r="AH87" s="779"/>
      <c r="AI87" s="779"/>
      <c r="AJ87" s="779"/>
      <c r="AK87" s="779"/>
    </row>
    <row r="88" spans="1:37" s="780" customFormat="1" ht="38.25" customHeight="1">
      <c r="A88" s="1227">
        <v>73</v>
      </c>
      <c r="B88" s="1227"/>
      <c r="C88" s="1228" t="str">
        <f>TONGHOPCONGDOI!C83</f>
        <v>T. Ne</v>
      </c>
      <c r="D88" s="1227" t="s">
        <v>30</v>
      </c>
      <c r="E88" s="1229"/>
      <c r="F88" s="1230">
        <f t="shared" si="12"/>
        <v>0</v>
      </c>
      <c r="G88" s="1230">
        <f>VLOOKUP(C88,TONGHOPCONGDOI!C83:AD91,16,0)</f>
        <v>1063</v>
      </c>
      <c r="H88" s="1230">
        <f>VLOOKUP(C88,TONGHOPCONGDOI!C83:AD91,18,0)</f>
        <v>0</v>
      </c>
      <c r="I88" s="1230"/>
      <c r="J88" s="1231">
        <f t="shared" si="10"/>
        <v>545.83228645013435</v>
      </c>
      <c r="K88" s="1232" t="str">
        <f>VLOOKUP(C88,'BTH mủ tạp'!$C$17:$AL$95,36,0)</f>
        <v>A</v>
      </c>
      <c r="L88" s="1250">
        <f t="shared" si="13"/>
        <v>2008667</v>
      </c>
      <c r="M88" s="1234">
        <f>VLOOKUP(C88,TONGHOPCONGDOI!$C$11:$AD$91,20,0)</f>
        <v>27</v>
      </c>
      <c r="N88" s="1234">
        <f>VLOOKUP(C88,TONGHOPCONGDOI!$C$11:$AD$91,21,0)</f>
        <v>4</v>
      </c>
      <c r="O88" s="1234">
        <f>VLOOKUP(C88,TONGHOPCONGDOI!$C$11:$AC$91,22,0)</f>
        <v>0</v>
      </c>
      <c r="P88" s="1234">
        <f>VLOOKUP(C88,TONGHOPCONGDOI!$C$11:$AC$91,23,0)</f>
        <v>0</v>
      </c>
      <c r="Q88" s="1234">
        <f>VLOOKUP(C88,TONGHOPCONGDOI!$C$11:$AC$91,24,0)</f>
        <v>0</v>
      </c>
      <c r="R88" s="1234">
        <f>VLOOKUP(C88,TONGHOPCONGDOI!$C$11:$AC$91,25,0)</f>
        <v>0</v>
      </c>
      <c r="S88" s="1228">
        <f t="shared" si="14"/>
        <v>20</v>
      </c>
      <c r="T88" s="1235"/>
      <c r="U88" s="1235"/>
      <c r="V88" s="1235"/>
      <c r="W88" s="1234">
        <f t="shared" si="15"/>
        <v>1537293</v>
      </c>
      <c r="X88" s="1234">
        <f t="shared" si="11"/>
        <v>3545960</v>
      </c>
      <c r="Y88" s="1230"/>
      <c r="Z88" s="1237">
        <f t="shared" si="16"/>
        <v>3545960</v>
      </c>
      <c r="AA88" s="1230"/>
      <c r="AB88" s="1236"/>
      <c r="AC88" s="902"/>
      <c r="AD88" s="779"/>
      <c r="AE88" s="779"/>
      <c r="AF88" s="779"/>
      <c r="AG88" s="779"/>
      <c r="AH88" s="779"/>
      <c r="AI88" s="779"/>
      <c r="AJ88" s="779"/>
      <c r="AK88" s="779"/>
    </row>
    <row r="89" spans="1:37" s="780" customFormat="1" ht="38.25" hidden="1" customHeight="1">
      <c r="A89" s="1227">
        <v>74</v>
      </c>
      <c r="B89" s="1227"/>
      <c r="C89" s="1228" t="str">
        <f>TONGHOPCONGDOI!C84</f>
        <v>T. Tý</v>
      </c>
      <c r="D89" s="1227" t="s">
        <v>30</v>
      </c>
      <c r="E89" s="1229"/>
      <c r="F89" s="1230">
        <f t="shared" ref="F89:F96" si="17">E89*25000</f>
        <v>0</v>
      </c>
      <c r="G89" s="1230">
        <f>VLOOKUP(C89,TONGHOPCONGDOI!C84:AD91,16,0)</f>
        <v>0</v>
      </c>
      <c r="H89" s="1230">
        <f>VLOOKUP(C89,TONGHOPCONGDOI!C84:AD91,18,0)</f>
        <v>0</v>
      </c>
      <c r="I89" s="1230"/>
      <c r="J89" s="1231">
        <f t="shared" si="10"/>
        <v>0</v>
      </c>
      <c r="K89" s="1232" t="s">
        <v>449</v>
      </c>
      <c r="L89" s="1250">
        <f t="shared" si="13"/>
        <v>0</v>
      </c>
      <c r="M89" s="1234">
        <f>VLOOKUP(C89,TONGHOPCONGDOI!$C$11:$AD$91,20,0)</f>
        <v>0</v>
      </c>
      <c r="N89" s="1234">
        <f>VLOOKUP(C89,TONGHOPCONGDOI!$C$11:$AD$91,21,0)</f>
        <v>0</v>
      </c>
      <c r="O89" s="1234">
        <f>VLOOKUP(C89,TONGHOPCONGDOI!$C$11:$AC$91,22,0)</f>
        <v>0</v>
      </c>
      <c r="P89" s="1234">
        <f>VLOOKUP(C89,TONGHOPCONGDOI!$C$11:$AC$91,23,0)</f>
        <v>0</v>
      </c>
      <c r="Q89" s="1234">
        <f>VLOOKUP(C89,TONGHOPCONGDOI!$C$11:$AC$91,24,0)</f>
        <v>0</v>
      </c>
      <c r="R89" s="1234">
        <f>VLOOKUP(C89,TONGHOPCONGDOI!$C$11:$AC$91,25,0)</f>
        <v>0</v>
      </c>
      <c r="S89" s="1234"/>
      <c r="T89" s="1235"/>
      <c r="U89" s="1235"/>
      <c r="V89" s="1235"/>
      <c r="W89" s="1234">
        <f t="shared" si="15"/>
        <v>0</v>
      </c>
      <c r="X89" s="1234">
        <f t="shared" si="11"/>
        <v>0</v>
      </c>
      <c r="Y89" s="1230"/>
      <c r="Z89" s="1237">
        <f t="shared" ref="Z89:Z96" si="18">X89-Y89</f>
        <v>0</v>
      </c>
      <c r="AA89" s="1230"/>
      <c r="AB89" s="1236"/>
      <c r="AC89" s="902"/>
      <c r="AD89" s="779"/>
      <c r="AE89" s="779"/>
      <c r="AF89" s="779"/>
      <c r="AG89" s="779"/>
      <c r="AH89" s="779"/>
      <c r="AI89" s="779"/>
      <c r="AJ89" s="779"/>
      <c r="AK89" s="779"/>
    </row>
    <row r="90" spans="1:37" s="780" customFormat="1" ht="38.25" customHeight="1">
      <c r="A90" s="1227">
        <v>74</v>
      </c>
      <c r="B90" s="1227"/>
      <c r="C90" s="1228" t="str">
        <f>TONGHOPCONGDOI!C85</f>
        <v>T.Lã</v>
      </c>
      <c r="D90" s="1227" t="s">
        <v>30</v>
      </c>
      <c r="E90" s="1229"/>
      <c r="F90" s="1230">
        <f t="shared" si="17"/>
        <v>0</v>
      </c>
      <c r="G90" s="1230">
        <f>VLOOKUP(C90,TONGHOPCONGDOI!C85:AD91,16,0)</f>
        <v>207</v>
      </c>
      <c r="H90" s="1230">
        <f>VLOOKUP(C90,TONGHOPCONGDOI!C85:AD91,18,0)</f>
        <v>0</v>
      </c>
      <c r="I90" s="1230"/>
      <c r="J90" s="1231">
        <f t="shared" si="10"/>
        <v>106.29095324099511</v>
      </c>
      <c r="K90" s="1232" t="s">
        <v>449</v>
      </c>
      <c r="L90" s="1250">
        <f t="shared" si="13"/>
        <v>352678</v>
      </c>
      <c r="M90" s="1234">
        <f>VLOOKUP(C90,TONGHOPCONGDOI!$C$11:$AD$91,20,0)</f>
        <v>5</v>
      </c>
      <c r="N90" s="1234">
        <f>VLOOKUP(C90,TONGHOPCONGDOI!$C$11:$AD$91,21,0)</f>
        <v>0</v>
      </c>
      <c r="O90" s="1234">
        <f>VLOOKUP(C90,TONGHOPCONGDOI!$C$11:$AC$91,22,0)</f>
        <v>0</v>
      </c>
      <c r="P90" s="1234">
        <f>VLOOKUP(C90,TONGHOPCONGDOI!$C$11:$AC$91,23,0)</f>
        <v>0</v>
      </c>
      <c r="Q90" s="1234">
        <f>VLOOKUP(C90,TONGHOPCONGDOI!$C$11:$AC$91,24,0)</f>
        <v>0</v>
      </c>
      <c r="R90" s="1234">
        <f>VLOOKUP(C90,TONGHOPCONGDOI!$C$11:$AC$91,25,0)</f>
        <v>0</v>
      </c>
      <c r="S90" s="1234"/>
      <c r="T90" s="1235"/>
      <c r="U90" s="1235"/>
      <c r="V90" s="1235"/>
      <c r="W90" s="1234">
        <f>ROUND(((M90*46.1)+(N90*76.9)+(O90*92.2)+(P90*153.8)+(Q90*92.2)+(R90*153.8))*$E$11+(S90*25000)+(T90*10000)+(U90*30000),0)</f>
        <v>154027</v>
      </c>
      <c r="X90" s="1234">
        <f>F90+L90+W90</f>
        <v>506705</v>
      </c>
      <c r="Y90" s="1230"/>
      <c r="Z90" s="1237">
        <f>X90-Y90</f>
        <v>506705</v>
      </c>
      <c r="AA90" s="1230"/>
      <c r="AB90" s="1236"/>
      <c r="AC90" s="902"/>
      <c r="AD90" s="779"/>
      <c r="AE90" s="779"/>
      <c r="AF90" s="779"/>
      <c r="AG90" s="779"/>
      <c r="AH90" s="779"/>
      <c r="AI90" s="779"/>
      <c r="AJ90" s="779"/>
      <c r="AK90" s="779"/>
    </row>
    <row r="91" spans="1:37" s="780" customFormat="1" ht="38.25" customHeight="1">
      <c r="A91" s="1227">
        <v>75</v>
      </c>
      <c r="B91" s="1227"/>
      <c r="C91" s="1228" t="str">
        <f>TONGHOPCONGDOI!C86</f>
        <v>N. Veo</v>
      </c>
      <c r="D91" s="1227" t="s">
        <v>30</v>
      </c>
      <c r="E91" s="1229">
        <f>VLOOKUP(C91,TONGHOPCONGDOI!C86:AC91,15,0)</f>
        <v>0</v>
      </c>
      <c r="F91" s="1230">
        <f t="shared" si="17"/>
        <v>0</v>
      </c>
      <c r="G91" s="1230">
        <f>VLOOKUP(C91,TONGHOPCONGDOI!C86:AD91,16,0)</f>
        <v>124</v>
      </c>
      <c r="H91" s="1230">
        <f>VLOOKUP(C91,TONGHOPCONGDOI!C86:AD91,18,0)</f>
        <v>0</v>
      </c>
      <c r="I91" s="1230"/>
      <c r="J91" s="1231">
        <f t="shared" si="10"/>
        <v>63.671875371417357</v>
      </c>
      <c r="K91" s="1232" t="s">
        <v>449</v>
      </c>
      <c r="L91" s="1250">
        <f t="shared" si="13"/>
        <v>211266</v>
      </c>
      <c r="M91" s="1234">
        <f>VLOOKUP(C91,TONGHOPCONGDOI!$C$11:$AD$91,20,0)</f>
        <v>5</v>
      </c>
      <c r="N91" s="1234">
        <f>VLOOKUP(C91,TONGHOPCONGDOI!$C$11:$AD$91,21,0)</f>
        <v>0</v>
      </c>
      <c r="O91" s="1234">
        <f>VLOOKUP(C91,TONGHOPCONGDOI!$C$11:$AC$91,22,0)</f>
        <v>0</v>
      </c>
      <c r="P91" s="1234">
        <f>VLOOKUP(C91,TONGHOPCONGDOI!$C$11:$AC$91,23,0)</f>
        <v>0</v>
      </c>
      <c r="Q91" s="1234">
        <f>VLOOKUP(C91,TONGHOPCONGDOI!$C$11:$AC$91,24,0)</f>
        <v>0</v>
      </c>
      <c r="R91" s="1234">
        <f>VLOOKUP(C91,TONGHOPCONGDOI!$C$11:$AC$91,25,0)</f>
        <v>0</v>
      </c>
      <c r="S91" s="1234"/>
      <c r="T91" s="1235"/>
      <c r="U91" s="1235"/>
      <c r="V91" s="1235"/>
      <c r="W91" s="1234">
        <f t="shared" si="15"/>
        <v>154027</v>
      </c>
      <c r="X91" s="1234">
        <f t="shared" si="11"/>
        <v>365293</v>
      </c>
      <c r="Y91" s="1230"/>
      <c r="Z91" s="1237">
        <f t="shared" si="18"/>
        <v>365293</v>
      </c>
      <c r="AA91" s="1230"/>
      <c r="AB91" s="1236"/>
      <c r="AC91" s="902"/>
      <c r="AD91" s="779"/>
      <c r="AE91" s="779"/>
      <c r="AF91" s="779"/>
      <c r="AG91" s="779"/>
      <c r="AH91" s="779"/>
      <c r="AI91" s="779"/>
      <c r="AJ91" s="779"/>
      <c r="AK91" s="779"/>
    </row>
    <row r="92" spans="1:37" s="780" customFormat="1" ht="38.25" customHeight="1">
      <c r="A92" s="1227">
        <v>76</v>
      </c>
      <c r="B92" s="1227"/>
      <c r="C92" s="1228" t="str">
        <f>TONGHOPCONGDOI!C87</f>
        <v>T.Pu</v>
      </c>
      <c r="D92" s="1227" t="s">
        <v>30</v>
      </c>
      <c r="E92" s="1229">
        <f>VLOOKUP(C92,TONGHOPCONGDOI!C87:AC91,15,0)</f>
        <v>0</v>
      </c>
      <c r="F92" s="1230">
        <f t="shared" si="17"/>
        <v>0</v>
      </c>
      <c r="G92" s="1230">
        <f>VLOOKUP(C92,TONGHOPCONGDOI!C87:AD91,16,0)</f>
        <v>35</v>
      </c>
      <c r="H92" s="1230">
        <f>VLOOKUP(C92,TONGHOPCONGDOI!C87:AD91,18,0)</f>
        <v>0</v>
      </c>
      <c r="I92" s="1230"/>
      <c r="J92" s="1231">
        <f t="shared" si="10"/>
        <v>17.971900306448447</v>
      </c>
      <c r="K92" s="1232" t="s">
        <v>449</v>
      </c>
      <c r="L92" s="1250">
        <f>ROUND((IF(K92="A",(G92*$W$11*6.1),IF(K92="B",(G92*$W$11*5.8),IF(K92="C",(G92*$W$11*5.5),IF(K92="D",(G92*$W$11*5.2),0))))*$F$11+(H92*$AE$9*$F$11*6.1)+I92*$F$11*$AE$10*6.1),0)-39097</f>
        <v>20534</v>
      </c>
      <c r="M92" s="1234">
        <f>VLOOKUP(C92,TONGHOPCONGDOI!$C$11:$AD$91,20,0)</f>
        <v>3</v>
      </c>
      <c r="N92" s="1234">
        <f>VLOOKUP(C92,TONGHOPCONGDOI!$C$11:$AD$91,21,0)</f>
        <v>0</v>
      </c>
      <c r="O92" s="1234">
        <f>VLOOKUP(C92,TONGHOPCONGDOI!$C$11:$AC$91,22,0)</f>
        <v>0</v>
      </c>
      <c r="P92" s="1234">
        <f>VLOOKUP(C92,TONGHOPCONGDOI!$C$11:$AC$91,23,0)</f>
        <v>0</v>
      </c>
      <c r="Q92" s="1234">
        <f>VLOOKUP(C92,TONGHOPCONGDOI!$C$11:$AC$91,24,0)</f>
        <v>0</v>
      </c>
      <c r="R92" s="1234">
        <f>VLOOKUP(C92,TONGHOPCONGDOI!$C$11:$AC$91,25,0)</f>
        <v>0</v>
      </c>
      <c r="S92" s="1234"/>
      <c r="T92" s="1235"/>
      <c r="U92" s="1235"/>
      <c r="V92" s="1235"/>
      <c r="W92" s="1234">
        <f>ROUND(((M92*46.1)+(N92*76.9)+(O92*92.2)+(P92*153.8)+(Q92*92.2)+(R92*153.8))*$E$11+(S92*25000)+(T92*10000)+(U92*30000),0)+6</f>
        <v>92422</v>
      </c>
      <c r="X92" s="1234">
        <f t="shared" si="11"/>
        <v>112956</v>
      </c>
      <c r="Y92" s="1230"/>
      <c r="Z92" s="1237">
        <f t="shared" si="18"/>
        <v>112956</v>
      </c>
      <c r="AA92" s="1230"/>
      <c r="AB92" s="1236"/>
      <c r="AC92" s="902"/>
      <c r="AD92" s="779"/>
      <c r="AE92" s="779"/>
      <c r="AF92" s="779"/>
      <c r="AG92" s="779"/>
      <c r="AH92" s="779"/>
      <c r="AI92" s="779"/>
      <c r="AJ92" s="779"/>
      <c r="AK92" s="779"/>
    </row>
    <row r="93" spans="1:37" s="780" customFormat="1" ht="38.25" hidden="1" customHeight="1">
      <c r="A93" s="1227">
        <v>78</v>
      </c>
      <c r="B93" s="1227"/>
      <c r="C93" s="1228" t="str">
        <f>TONGHOPCONGDOI!C88</f>
        <v>T.Ta</v>
      </c>
      <c r="D93" s="1227" t="s">
        <v>30</v>
      </c>
      <c r="E93" s="1229">
        <f>VLOOKUP(C93,TONGHOPCONGDOI!C88:AC91,15,0)</f>
        <v>0</v>
      </c>
      <c r="F93" s="1230">
        <f t="shared" si="17"/>
        <v>0</v>
      </c>
      <c r="G93" s="1230">
        <f>VLOOKUP(C93,TONGHOPCONGDOI!C88:AD91,16,0)</f>
        <v>0</v>
      </c>
      <c r="H93" s="1230">
        <f>VLOOKUP(C93,TONGHOPCONGDOI!C88:AD91,18,0)</f>
        <v>0</v>
      </c>
      <c r="I93" s="1230"/>
      <c r="J93" s="1231">
        <f t="shared" si="10"/>
        <v>0</v>
      </c>
      <c r="K93" s="1232" t="s">
        <v>449</v>
      </c>
      <c r="L93" s="1250">
        <f t="shared" si="13"/>
        <v>0</v>
      </c>
      <c r="M93" s="1234">
        <f>VLOOKUP(C93,TONGHOPCONGDOI!$C$11:$AD$91,20,0)</f>
        <v>0</v>
      </c>
      <c r="N93" s="1234">
        <f>VLOOKUP(C93,TONGHOPCONGDOI!$C$11:$AD$91,21,0)</f>
        <v>0</v>
      </c>
      <c r="O93" s="1234">
        <f>VLOOKUP(C93,TONGHOPCONGDOI!$C$11:$AC$91,22,0)</f>
        <v>0</v>
      </c>
      <c r="P93" s="1234">
        <f>VLOOKUP(C93,TONGHOPCONGDOI!$C$11:$AC$91,23,0)</f>
        <v>0</v>
      </c>
      <c r="Q93" s="1234">
        <f>VLOOKUP(C93,TONGHOPCONGDOI!$C$11:$AC$91,24,0)</f>
        <v>0</v>
      </c>
      <c r="R93" s="1234">
        <f>VLOOKUP(C93,TONGHOPCONGDOI!$C$11:$AC$91,25,0)</f>
        <v>0</v>
      </c>
      <c r="S93" s="1234"/>
      <c r="T93" s="1235"/>
      <c r="U93" s="1235"/>
      <c r="V93" s="1235"/>
      <c r="W93" s="1234">
        <f t="shared" si="15"/>
        <v>0</v>
      </c>
      <c r="X93" s="1234">
        <f t="shared" si="11"/>
        <v>0</v>
      </c>
      <c r="Y93" s="1230"/>
      <c r="Z93" s="1237">
        <f t="shared" si="18"/>
        <v>0</v>
      </c>
      <c r="AA93" s="1230"/>
      <c r="AB93" s="1236"/>
      <c r="AC93" s="902"/>
      <c r="AD93" s="779"/>
      <c r="AE93" s="779"/>
      <c r="AF93" s="779"/>
      <c r="AG93" s="779"/>
      <c r="AH93" s="779"/>
      <c r="AI93" s="779"/>
      <c r="AJ93" s="779"/>
      <c r="AK93" s="779"/>
    </row>
    <row r="94" spans="1:37" s="780" customFormat="1" ht="38.25" hidden="1" customHeight="1">
      <c r="A94" s="1227">
        <v>79</v>
      </c>
      <c r="B94" s="1227"/>
      <c r="C94" s="1228" t="str">
        <f>TONGHOPCONGDOI!C89</f>
        <v>N.Nang</v>
      </c>
      <c r="D94" s="1227" t="s">
        <v>30</v>
      </c>
      <c r="E94" s="1229">
        <f>VLOOKUP(C94,TONGHOPCONGDOI!C89:AC91,15,0)</f>
        <v>0</v>
      </c>
      <c r="F94" s="1230">
        <f t="shared" si="17"/>
        <v>0</v>
      </c>
      <c r="G94" s="1230">
        <f>VLOOKUP(C94,TONGHOPCONGDOI!C89:AD91,16,0)</f>
        <v>0</v>
      </c>
      <c r="H94" s="1230">
        <f>VLOOKUP(C94,TONGHOPCONGDOI!C89:AD91,18,0)</f>
        <v>0</v>
      </c>
      <c r="I94" s="1230"/>
      <c r="J94" s="1231">
        <f t="shared" si="10"/>
        <v>0</v>
      </c>
      <c r="K94" s="1232" t="s">
        <v>449</v>
      </c>
      <c r="L94" s="1250">
        <f t="shared" si="13"/>
        <v>0</v>
      </c>
      <c r="M94" s="1234">
        <f>VLOOKUP(C94,TONGHOPCONGDOI!$C$11:$AD$91,20,0)</f>
        <v>0</v>
      </c>
      <c r="N94" s="1234">
        <f>VLOOKUP(C94,TONGHOPCONGDOI!$C$11:$AD$91,21,0)</f>
        <v>0</v>
      </c>
      <c r="O94" s="1234">
        <f>VLOOKUP(C94,TONGHOPCONGDOI!$C$11:$AC$91,22,0)</f>
        <v>0</v>
      </c>
      <c r="P94" s="1234">
        <f>VLOOKUP(C94,TONGHOPCONGDOI!$C$11:$AC$91,23,0)</f>
        <v>0</v>
      </c>
      <c r="Q94" s="1234">
        <f>VLOOKUP(C94,TONGHOPCONGDOI!$C$11:$AC$91,24,0)</f>
        <v>0</v>
      </c>
      <c r="R94" s="1234">
        <f>VLOOKUP(C94,TONGHOPCONGDOI!$C$11:$AC$91,25,0)</f>
        <v>0</v>
      </c>
      <c r="S94" s="1234"/>
      <c r="T94" s="1235"/>
      <c r="U94" s="1235"/>
      <c r="V94" s="1235"/>
      <c r="W94" s="1234">
        <f t="shared" si="15"/>
        <v>0</v>
      </c>
      <c r="X94" s="1234">
        <f t="shared" si="11"/>
        <v>0</v>
      </c>
      <c r="Y94" s="1230"/>
      <c r="Z94" s="1237">
        <f t="shared" si="18"/>
        <v>0</v>
      </c>
      <c r="AA94" s="1230"/>
      <c r="AB94" s="1236"/>
      <c r="AC94" s="902"/>
      <c r="AD94" s="779"/>
      <c r="AE94" s="779"/>
      <c r="AF94" s="779"/>
      <c r="AG94" s="779"/>
      <c r="AH94" s="779"/>
      <c r="AI94" s="779"/>
      <c r="AJ94" s="779"/>
      <c r="AK94" s="779"/>
    </row>
    <row r="95" spans="1:37" s="780" customFormat="1" ht="38.25" hidden="1" customHeight="1">
      <c r="A95" s="1227">
        <v>80</v>
      </c>
      <c r="B95" s="1227"/>
      <c r="C95" s="1228" t="str">
        <f>TONGHOPCONGDOI!C90</f>
        <v>T. Tan</v>
      </c>
      <c r="D95" s="1227" t="s">
        <v>30</v>
      </c>
      <c r="E95" s="1229">
        <f>VLOOKUP(C95,TONGHOPCONGDOI!C90:AC91,15,0)</f>
        <v>0</v>
      </c>
      <c r="F95" s="1230">
        <f t="shared" si="17"/>
        <v>0</v>
      </c>
      <c r="G95" s="1230">
        <f>VLOOKUP(C95,TONGHOPCONGDOI!C90:AD91,16,0)</f>
        <v>0</v>
      </c>
      <c r="H95" s="1230">
        <f>VLOOKUP(C95,TONGHOPCONGDOI!C90:AD91,18,0)</f>
        <v>0</v>
      </c>
      <c r="I95" s="1230"/>
      <c r="J95" s="1231">
        <f t="shared" si="10"/>
        <v>0</v>
      </c>
      <c r="K95" s="1232" t="s">
        <v>449</v>
      </c>
      <c r="L95" s="1250">
        <f t="shared" si="13"/>
        <v>0</v>
      </c>
      <c r="M95" s="1234">
        <f>VLOOKUP(C95,TONGHOPCONGDOI!$C$11:$AD$91,20,0)</f>
        <v>0</v>
      </c>
      <c r="N95" s="1234">
        <f>VLOOKUP(C95,TONGHOPCONGDOI!$C$11:$AD$91,21,0)</f>
        <v>0</v>
      </c>
      <c r="O95" s="1234">
        <f>VLOOKUP(C95,TONGHOPCONGDOI!$C$11:$AC$91,22,0)</f>
        <v>0</v>
      </c>
      <c r="P95" s="1234">
        <f>VLOOKUP(C95,TONGHOPCONGDOI!$C$11:$AC$91,23,0)</f>
        <v>0</v>
      </c>
      <c r="Q95" s="1234">
        <f>VLOOKUP(C95,TONGHOPCONGDOI!$C$11:$AC$91,24,0)</f>
        <v>0</v>
      </c>
      <c r="R95" s="1234">
        <f>VLOOKUP(C95,TONGHOPCONGDOI!$C$11:$AC$91,25,0)</f>
        <v>0</v>
      </c>
      <c r="S95" s="1234"/>
      <c r="T95" s="1235"/>
      <c r="U95" s="1235"/>
      <c r="V95" s="1235"/>
      <c r="W95" s="1234">
        <f t="shared" si="15"/>
        <v>0</v>
      </c>
      <c r="X95" s="1234">
        <f t="shared" si="11"/>
        <v>0</v>
      </c>
      <c r="Y95" s="1230"/>
      <c r="Z95" s="1237">
        <f t="shared" si="18"/>
        <v>0</v>
      </c>
      <c r="AA95" s="1230"/>
      <c r="AB95" s="1236"/>
      <c r="AC95" s="902"/>
      <c r="AD95" s="779"/>
      <c r="AE95" s="779"/>
      <c r="AF95" s="779"/>
      <c r="AG95" s="779"/>
      <c r="AH95" s="779"/>
      <c r="AI95" s="779"/>
      <c r="AJ95" s="779"/>
      <c r="AK95" s="779"/>
    </row>
    <row r="96" spans="1:37" s="780" customFormat="1" ht="38.25" customHeight="1">
      <c r="A96" s="1227">
        <v>77</v>
      </c>
      <c r="B96" s="1227"/>
      <c r="C96" s="1228" t="str">
        <f>TONGHOPCONGDOI!C91</f>
        <v>T.Say</v>
      </c>
      <c r="D96" s="1227" t="s">
        <v>30</v>
      </c>
      <c r="E96" s="1229"/>
      <c r="F96" s="1230">
        <f t="shared" si="17"/>
        <v>0</v>
      </c>
      <c r="G96" s="1230">
        <f>VLOOKUP(C96,TONGHOPCONGDOI!C91:AD91,16,0)</f>
        <v>0</v>
      </c>
      <c r="H96" s="1230">
        <f>VLOOKUP(C96,TONGHOPCONGDOI!C91:AD91,18,0)</f>
        <v>0</v>
      </c>
      <c r="I96" s="1230">
        <f>'TRẠM 1'!I96</f>
        <v>0</v>
      </c>
      <c r="J96" s="1231">
        <f>'TRẠM 1'!J96</f>
        <v>0</v>
      </c>
      <c r="K96" s="1232"/>
      <c r="L96" s="1250">
        <f>ROUND((J96*6.1*$E$11),0)</f>
        <v>0</v>
      </c>
      <c r="M96" s="1234">
        <f>VLOOKUP(C96,TONGHOPCONGDOI!$C$11:$AD$91,20,0)</f>
        <v>0</v>
      </c>
      <c r="N96" s="1234">
        <f>VLOOKUP(C96,TONGHOPCONGDOI!$C$11:$AD$91,21,0)</f>
        <v>0</v>
      </c>
      <c r="O96" s="1234">
        <f>VLOOKUP(C96,TONGHOPCONGDOI!$C$11:$AC$91,22,0)</f>
        <v>0</v>
      </c>
      <c r="P96" s="1234">
        <f>VLOOKUP(C96,TONGHOPCONGDOI!$C$11:$AC$91,23,0)</f>
        <v>0</v>
      </c>
      <c r="Q96" s="1234">
        <f>VLOOKUP(C96,TONGHOPCONGDOI!$C$11:$AC$91,24,0)</f>
        <v>0</v>
      </c>
      <c r="R96" s="1234">
        <f>VLOOKUP(C96,TONGHOPCONGDOI!$C$11:$AC$91,25,0)</f>
        <v>0</v>
      </c>
      <c r="S96" s="1234"/>
      <c r="T96" s="1235"/>
      <c r="U96" s="1235"/>
      <c r="V96" s="1235"/>
      <c r="W96" s="1234">
        <f t="shared" si="15"/>
        <v>0</v>
      </c>
      <c r="X96" s="1234">
        <f t="shared" si="11"/>
        <v>0</v>
      </c>
      <c r="Y96" s="1230"/>
      <c r="Z96" s="1237">
        <f t="shared" si="18"/>
        <v>0</v>
      </c>
      <c r="AA96" s="1230"/>
      <c r="AB96" s="1236"/>
      <c r="AC96" s="902"/>
      <c r="AD96" s="779"/>
      <c r="AE96" s="779"/>
      <c r="AF96" s="779"/>
      <c r="AG96" s="779"/>
      <c r="AH96" s="779"/>
      <c r="AI96" s="779"/>
      <c r="AJ96" s="779"/>
      <c r="AK96" s="779"/>
    </row>
    <row r="97" spans="1:37" s="785" customFormat="1" ht="38.25" customHeight="1">
      <c r="A97" s="1238" t="s">
        <v>96</v>
      </c>
      <c r="B97" s="1521" t="s">
        <v>633</v>
      </c>
      <c r="C97" s="1521"/>
      <c r="D97" s="1521"/>
      <c r="E97" s="1225">
        <f>SUM(E98:E162)</f>
        <v>0</v>
      </c>
      <c r="F97" s="1225">
        <f t="shared" ref="F97:Z97" si="19">SUM(F98:F162)</f>
        <v>0</v>
      </c>
      <c r="G97" s="1225">
        <f t="shared" si="19"/>
        <v>99980</v>
      </c>
      <c r="H97" s="1225">
        <f t="shared" si="19"/>
        <v>0</v>
      </c>
      <c r="I97" s="1225">
        <f t="shared" si="19"/>
        <v>0</v>
      </c>
      <c r="J97" s="1225">
        <f t="shared" si="19"/>
        <v>50774.636000000042</v>
      </c>
      <c r="K97" s="1225">
        <f t="shared" si="19"/>
        <v>0</v>
      </c>
      <c r="L97" s="1249">
        <f t="shared" si="19"/>
        <v>184150425</v>
      </c>
      <c r="M97" s="1225">
        <f t="shared" si="19"/>
        <v>1510</v>
      </c>
      <c r="N97" s="1225">
        <f t="shared" si="19"/>
        <v>220</v>
      </c>
      <c r="O97" s="1225">
        <f t="shared" si="19"/>
        <v>0</v>
      </c>
      <c r="P97" s="1225">
        <f t="shared" si="19"/>
        <v>0</v>
      </c>
      <c r="Q97" s="1225">
        <f t="shared" si="19"/>
        <v>0</v>
      </c>
      <c r="R97" s="1225">
        <f t="shared" si="19"/>
        <v>0</v>
      </c>
      <c r="S97" s="1225">
        <f t="shared" si="19"/>
        <v>1160</v>
      </c>
      <c r="T97" s="1225">
        <f t="shared" si="19"/>
        <v>0</v>
      </c>
      <c r="U97" s="1225">
        <f t="shared" si="19"/>
        <v>0</v>
      </c>
      <c r="V97" s="1225">
        <f t="shared" si="19"/>
        <v>0</v>
      </c>
      <c r="W97" s="1225">
        <f t="shared" si="19"/>
        <v>86821270</v>
      </c>
      <c r="X97" s="1225">
        <f t="shared" si="19"/>
        <v>270971695</v>
      </c>
      <c r="Y97" s="1225">
        <f t="shared" si="19"/>
        <v>0</v>
      </c>
      <c r="Z97" s="1225">
        <f t="shared" si="19"/>
        <v>270971695</v>
      </c>
      <c r="AA97" s="1225" t="e">
        <f>#REF!+#REF!+#REF!</f>
        <v>#REF!</v>
      </c>
      <c r="AB97" s="1236"/>
      <c r="AC97" s="902" t="str">
        <f t="shared" ref="AC97:AC126" si="20">A97</f>
        <v>III</v>
      </c>
      <c r="AD97" s="784"/>
      <c r="AE97" s="784"/>
      <c r="AF97" s="784"/>
      <c r="AG97" s="784"/>
      <c r="AH97" s="784"/>
      <c r="AI97" s="784"/>
      <c r="AJ97" s="784"/>
      <c r="AK97" s="784"/>
    </row>
    <row r="98" spans="1:37" s="785" customFormat="1" ht="38.25" customHeight="1">
      <c r="A98" s="1239">
        <v>1</v>
      </c>
      <c r="B98" s="1239"/>
      <c r="C98" s="1239" t="str">
        <f>TONGHOPCONGDOI!C93</f>
        <v xml:space="preserve">T. Lun </v>
      </c>
      <c r="D98" s="1239" t="s">
        <v>30</v>
      </c>
      <c r="E98" s="1240"/>
      <c r="F98" s="1230">
        <f t="shared" ref="F98:F162" si="21">E98*25000</f>
        <v>0</v>
      </c>
      <c r="G98" s="1230">
        <f>VLOOKUP(C98,TONGHOPCONGDOI!C93:AD157,16,0)</f>
        <v>2006</v>
      </c>
      <c r="H98" s="1230">
        <f>VLOOKUP(C98,TONGHOPCONGDOI!C93:AD157,18,0)</f>
        <v>0</v>
      </c>
      <c r="I98" s="1230"/>
      <c r="J98" s="1231">
        <f t="shared" ref="J98:J129" si="22">$AI$8/$AI$7*G98+H98*$AI$9+I98*$AI$10</f>
        <v>1018.7429467493505</v>
      </c>
      <c r="K98" s="1232" t="str">
        <f>VLOOKUP(C98,'BTH mủ tạp'!$C$98:$AL$160,36,0)</f>
        <v>A</v>
      </c>
      <c r="L98" s="1250">
        <f>ROUND((IF(K98="A",(G98*$Z$11*6.1),IF(K98="B",(G98*$Z$11*5.8),IF(K98="C",(G98*$Z$11*5.5),IF(K98="D",(G98*$Z$11*5.2),0))))*$F$11+(H98*$AI$9*$F$11*6.1)+I98*$F$11*$AI$10*6.1),0)</f>
        <v>3748982</v>
      </c>
      <c r="M98" s="1234">
        <f>VLOOKUP(C98,TONGHOPCONGDOI!$C$93:$AD$150,20,0)</f>
        <v>26</v>
      </c>
      <c r="N98" s="1234">
        <f>VLOOKUP(C98,TONGHOPCONGDOI!$C$93:$AD$150,21,0)</f>
        <v>4</v>
      </c>
      <c r="O98" s="1234">
        <f>VLOOKUP(C98,TONGHOPCONGDOI!$C$93:$AD$150,22,0)</f>
        <v>0</v>
      </c>
      <c r="P98" s="1234">
        <f>VLOOKUP(C98,TONGHOPCONGDOI!$C$93:$AD$150,23,0)</f>
        <v>0</v>
      </c>
      <c r="Q98" s="1234">
        <f>VLOOKUP(C98,TONGHOPCONGDOI!$C$93:$AD$150,24,0)</f>
        <v>0</v>
      </c>
      <c r="R98" s="1234">
        <f>VLOOKUP(C98,TONGHOPCONGDOI!$C$93:$AD$150,25,0)</f>
        <v>0</v>
      </c>
      <c r="S98" s="1234">
        <f t="shared" ref="S98:S155" si="23">500000/25000</f>
        <v>20</v>
      </c>
      <c r="T98" s="1235"/>
      <c r="U98" s="1235"/>
      <c r="V98" s="1235"/>
      <c r="W98" s="1234">
        <f>ROUND(((M98*46.1)+(N98*76.9)+(O98*92.2)+(P98*153.8)+(Q98*92.2)+(R98*153.8))*$E$11+(S98*25000)+(T98*10000)+(U98*30000),0)</f>
        <v>1506488</v>
      </c>
      <c r="X98" s="1234">
        <f t="shared" ref="X98:X129" si="24">F98+L98+W98</f>
        <v>5255470</v>
      </c>
      <c r="Y98" s="1241"/>
      <c r="Z98" s="1237">
        <f t="shared" ref="Z98:Z158" si="25">X98-Y98</f>
        <v>5255470</v>
      </c>
      <c r="AA98" s="1230"/>
      <c r="AB98" s="1236"/>
      <c r="AC98" s="902">
        <f t="shared" si="20"/>
        <v>1</v>
      </c>
      <c r="AD98" s="784"/>
      <c r="AE98" s="784"/>
      <c r="AF98" s="784"/>
      <c r="AG98" s="784"/>
      <c r="AH98" s="784"/>
      <c r="AI98" s="784"/>
      <c r="AJ98" s="784"/>
      <c r="AK98" s="784"/>
    </row>
    <row r="99" spans="1:37" s="785" customFormat="1" ht="38.25" customHeight="1">
      <c r="A99" s="1239">
        <v>2</v>
      </c>
      <c r="B99" s="1239" t="str">
        <f>'Chấm công KT'!D95</f>
        <v>03466</v>
      </c>
      <c r="C99" s="1239" t="str">
        <f>TONGHOPCONGDOI!C94</f>
        <v>N. Keo</v>
      </c>
      <c r="D99" s="1239" t="s">
        <v>30</v>
      </c>
      <c r="E99" s="1240"/>
      <c r="F99" s="1230">
        <f t="shared" si="21"/>
        <v>0</v>
      </c>
      <c r="G99" s="1230">
        <f>VLOOKUP(C99,TONGHOPCONGDOI!C94:AD157,16,0)</f>
        <v>1788</v>
      </c>
      <c r="H99" s="1230">
        <f>VLOOKUP(C99,TONGHOPCONGDOI!C94:AD157,18,0)</f>
        <v>0</v>
      </c>
      <c r="I99" s="1230"/>
      <c r="J99" s="1231">
        <f t="shared" si="22"/>
        <v>908.0320980996205</v>
      </c>
      <c r="K99" s="1232" t="str">
        <f>VLOOKUP(C99,'BTH mủ tạp'!$C$98:$AL$160,36,0)</f>
        <v>A</v>
      </c>
      <c r="L99" s="1250">
        <f t="shared" ref="L99:L160" si="26">ROUND((IF(K99="A",(G99*$Z$11*6.1),IF(K99="B",(G99*$Z$11*5.8),IF(K99="C",(G99*$Z$11*5.5),IF(K99="D",(G99*$Z$11*5.2),0))))*$F$11+(H99*$AI$9*$F$11*6.1)+I99*$F$11*$AI$10*6.1),0)</f>
        <v>3341565</v>
      </c>
      <c r="M99" s="1234">
        <f>VLOOKUP(C99,TONGHOPCONGDOI!$C$93:$AD$150,20,0)</f>
        <v>26</v>
      </c>
      <c r="N99" s="1234">
        <f>VLOOKUP(C99,TONGHOPCONGDOI!$C$93:$AD$150,21,0)</f>
        <v>3</v>
      </c>
      <c r="O99" s="1234">
        <f>VLOOKUP(C99,TONGHOPCONGDOI!$C$93:$AD$150,22,0)</f>
        <v>0</v>
      </c>
      <c r="P99" s="1234">
        <f>VLOOKUP(C99,TONGHOPCONGDOI!$C$93:$AD$150,23,0)</f>
        <v>0</v>
      </c>
      <c r="Q99" s="1234">
        <f>VLOOKUP(C99,TONGHOPCONGDOI!$C$93:$AD$150,24,0)</f>
        <v>0</v>
      </c>
      <c r="R99" s="1234">
        <f>VLOOKUP(C99,TONGHOPCONGDOI!$C$93:$AD$150,25,0)</f>
        <v>0</v>
      </c>
      <c r="S99" s="1234">
        <f t="shared" si="23"/>
        <v>20</v>
      </c>
      <c r="T99" s="1235"/>
      <c r="U99" s="1235"/>
      <c r="V99" s="1235"/>
      <c r="W99" s="1234">
        <f t="shared" ref="W99:W160" si="27">ROUND(((M99*46.1)+(N99*76.9)+(O99*92.2)+(P99*153.8)+(Q99*92.2)+(R99*153.8))*$E$11+(S99*25000)+(T99*10000)+(U99*30000),0)</f>
        <v>1455101</v>
      </c>
      <c r="X99" s="1234">
        <f t="shared" si="24"/>
        <v>4796666</v>
      </c>
      <c r="Y99" s="1241"/>
      <c r="Z99" s="1237">
        <f t="shared" si="25"/>
        <v>4796666</v>
      </c>
      <c r="AA99" s="1230"/>
      <c r="AB99" s="1236"/>
      <c r="AC99" s="902">
        <f t="shared" si="20"/>
        <v>2</v>
      </c>
      <c r="AD99" s="784"/>
      <c r="AE99" s="784"/>
      <c r="AF99" s="784"/>
      <c r="AG99" s="784"/>
      <c r="AH99" s="784"/>
      <c r="AI99" s="784"/>
      <c r="AJ99" s="784"/>
      <c r="AK99" s="784"/>
    </row>
    <row r="100" spans="1:37" s="785" customFormat="1" ht="38.25" customHeight="1">
      <c r="A100" s="1239">
        <v>3</v>
      </c>
      <c r="B100" s="1239" t="str">
        <f>'Chấm công KT'!D96</f>
        <v>03590</v>
      </c>
      <c r="C100" s="1239" t="str">
        <f>TONGHOPCONGDOI!C95</f>
        <v>T .Nhum</v>
      </c>
      <c r="D100" s="1239" t="s">
        <v>30</v>
      </c>
      <c r="E100" s="1240"/>
      <c r="F100" s="1230">
        <f t="shared" si="21"/>
        <v>0</v>
      </c>
      <c r="G100" s="1230">
        <f>VLOOKUP(C100,TONGHOPCONGDOI!C95:AD157,16,0)</f>
        <v>1344</v>
      </c>
      <c r="H100" s="1230">
        <f>VLOOKUP(C100,TONGHOPCONGDOI!C95:AD157,18,0)</f>
        <v>0</v>
      </c>
      <c r="I100" s="1230"/>
      <c r="J100" s="1231">
        <f t="shared" si="22"/>
        <v>682.54761736347314</v>
      </c>
      <c r="K100" s="1232" t="str">
        <f>VLOOKUP(C100,'BTH mủ tạp'!$C$98:$AL$160,36,0)</f>
        <v>A</v>
      </c>
      <c r="L100" s="1250">
        <f t="shared" si="26"/>
        <v>2511781</v>
      </c>
      <c r="M100" s="1234">
        <f>VLOOKUP(C100,TONGHOPCONGDOI!$C$93:$AD$150,20,0)</f>
        <v>26</v>
      </c>
      <c r="N100" s="1234">
        <f>VLOOKUP(C100,TONGHOPCONGDOI!$C$93:$AD$150,21,0)</f>
        <v>4</v>
      </c>
      <c r="O100" s="1234">
        <f>VLOOKUP(C100,TONGHOPCONGDOI!$C$93:$AD$150,22,0)</f>
        <v>0</v>
      </c>
      <c r="P100" s="1234">
        <f>VLOOKUP(C100,TONGHOPCONGDOI!$C$93:$AD$150,23,0)</f>
        <v>0</v>
      </c>
      <c r="Q100" s="1234">
        <f>VLOOKUP(C100,TONGHOPCONGDOI!$C$93:$AD$150,24,0)</f>
        <v>0</v>
      </c>
      <c r="R100" s="1234">
        <f>VLOOKUP(C100,TONGHOPCONGDOI!$C$93:$AD$150,25,0)</f>
        <v>0</v>
      </c>
      <c r="S100" s="1234">
        <f t="shared" si="23"/>
        <v>20</v>
      </c>
      <c r="T100" s="1235"/>
      <c r="U100" s="1235"/>
      <c r="V100" s="1235"/>
      <c r="W100" s="1234">
        <f t="shared" si="27"/>
        <v>1506488</v>
      </c>
      <c r="X100" s="1234">
        <f t="shared" si="24"/>
        <v>4018269</v>
      </c>
      <c r="Y100" s="1241"/>
      <c r="Z100" s="1237">
        <f t="shared" si="25"/>
        <v>4018269</v>
      </c>
      <c r="AA100" s="1230"/>
      <c r="AB100" s="1236"/>
      <c r="AC100" s="902">
        <f t="shared" si="20"/>
        <v>3</v>
      </c>
      <c r="AD100" s="784"/>
      <c r="AE100" s="784"/>
      <c r="AF100" s="784"/>
      <c r="AG100" s="784"/>
      <c r="AH100" s="784"/>
      <c r="AI100" s="784"/>
      <c r="AJ100" s="784"/>
      <c r="AK100" s="784"/>
    </row>
    <row r="101" spans="1:37" s="785" customFormat="1" ht="38.25" customHeight="1">
      <c r="A101" s="1239">
        <v>4</v>
      </c>
      <c r="B101" s="1239" t="str">
        <f>'Chấm công KT'!D97</f>
        <v>03591</v>
      </c>
      <c r="C101" s="1239" t="str">
        <f>TONGHOPCONGDOI!C96</f>
        <v>N.Vông Ma Ni</v>
      </c>
      <c r="D101" s="1239" t="s">
        <v>30</v>
      </c>
      <c r="E101" s="1240"/>
      <c r="F101" s="1230">
        <f t="shared" si="21"/>
        <v>0</v>
      </c>
      <c r="G101" s="1230">
        <f>VLOOKUP(C101,TONGHOPCONGDOI!C96:AD157,16,0)</f>
        <v>1906</v>
      </c>
      <c r="H101" s="1230">
        <f>VLOOKUP(C101,TONGHOPCONGDOI!C96:AD157,18,0)</f>
        <v>0</v>
      </c>
      <c r="I101" s="1230"/>
      <c r="J101" s="1231">
        <f t="shared" si="22"/>
        <v>967.95815379075873</v>
      </c>
      <c r="K101" s="1232" t="str">
        <f>VLOOKUP(C101,'BTH mủ tạp'!$C$98:$AL$160,36,0)</f>
        <v>A</v>
      </c>
      <c r="L101" s="1250">
        <f t="shared" si="26"/>
        <v>3562094</v>
      </c>
      <c r="M101" s="1234">
        <f>VLOOKUP(C101,TONGHOPCONGDOI!$C$93:$AD$150,20,0)</f>
        <v>26</v>
      </c>
      <c r="N101" s="1234">
        <f>VLOOKUP(C101,TONGHOPCONGDOI!$C$93:$AD$150,21,0)</f>
        <v>4</v>
      </c>
      <c r="O101" s="1234">
        <f>VLOOKUP(C101,TONGHOPCONGDOI!$C$93:$AD$150,22,0)</f>
        <v>0</v>
      </c>
      <c r="P101" s="1234">
        <f>VLOOKUP(C101,TONGHOPCONGDOI!$C$93:$AD$150,23,0)</f>
        <v>0</v>
      </c>
      <c r="Q101" s="1234">
        <f>VLOOKUP(C101,TONGHOPCONGDOI!$C$93:$AD$150,24,0)</f>
        <v>0</v>
      </c>
      <c r="R101" s="1234">
        <f>VLOOKUP(C101,TONGHOPCONGDOI!$C$93:$AD$150,25,0)</f>
        <v>0</v>
      </c>
      <c r="S101" s="1234">
        <f t="shared" si="23"/>
        <v>20</v>
      </c>
      <c r="T101" s="1235"/>
      <c r="U101" s="1235"/>
      <c r="V101" s="1235"/>
      <c r="W101" s="1234">
        <f t="shared" si="27"/>
        <v>1506488</v>
      </c>
      <c r="X101" s="1234">
        <f t="shared" si="24"/>
        <v>5068582</v>
      </c>
      <c r="Y101" s="1241"/>
      <c r="Z101" s="1237">
        <f t="shared" si="25"/>
        <v>5068582</v>
      </c>
      <c r="AA101" s="1230"/>
      <c r="AB101" s="1236"/>
      <c r="AC101" s="902">
        <f t="shared" si="20"/>
        <v>4</v>
      </c>
      <c r="AD101" s="784"/>
      <c r="AE101" s="784"/>
      <c r="AF101" s="784"/>
      <c r="AG101" s="784"/>
      <c r="AH101" s="784"/>
      <c r="AI101" s="784"/>
      <c r="AJ101" s="784"/>
      <c r="AK101" s="784"/>
    </row>
    <row r="102" spans="1:37" s="785" customFormat="1" ht="38.25" customHeight="1">
      <c r="A102" s="1239">
        <v>5</v>
      </c>
      <c r="B102" s="1239" t="str">
        <f>'Chấm công KT'!D98</f>
        <v>03592</v>
      </c>
      <c r="C102" s="1239" t="str">
        <f>TONGHOPCONGDOI!C97</f>
        <v>Đao Hương</v>
      </c>
      <c r="D102" s="1239" t="s">
        <v>30</v>
      </c>
      <c r="E102" s="1240"/>
      <c r="F102" s="1230">
        <f t="shared" si="21"/>
        <v>0</v>
      </c>
      <c r="G102" s="1230">
        <f>VLOOKUP(C102,TONGHOPCONGDOI!C97:AD157,16,0)</f>
        <v>1846</v>
      </c>
      <c r="H102" s="1230">
        <f>VLOOKUP(C102,TONGHOPCONGDOI!C97:AD157,18,0)</f>
        <v>0</v>
      </c>
      <c r="I102" s="1230"/>
      <c r="J102" s="1231">
        <f t="shared" si="22"/>
        <v>937.48727801560369</v>
      </c>
      <c r="K102" s="1232" t="str">
        <f>VLOOKUP(C102,'BTH mủ tạp'!$C$98:$AL$160,36,0)</f>
        <v>A</v>
      </c>
      <c r="L102" s="1250">
        <f t="shared" si="26"/>
        <v>3449961</v>
      </c>
      <c r="M102" s="1234">
        <f>VLOOKUP(C102,TONGHOPCONGDOI!$C$93:$AD$150,20,0)</f>
        <v>26</v>
      </c>
      <c r="N102" s="1234">
        <f>VLOOKUP(C102,TONGHOPCONGDOI!$C$93:$AD$150,21,0)</f>
        <v>4</v>
      </c>
      <c r="O102" s="1234">
        <f>VLOOKUP(C102,TONGHOPCONGDOI!$C$93:$AD$150,22,0)</f>
        <v>0</v>
      </c>
      <c r="P102" s="1234">
        <f>VLOOKUP(C102,TONGHOPCONGDOI!$C$93:$AD$150,23,0)</f>
        <v>0</v>
      </c>
      <c r="Q102" s="1234">
        <f>VLOOKUP(C102,TONGHOPCONGDOI!$C$93:$AD$150,24,0)</f>
        <v>0</v>
      </c>
      <c r="R102" s="1234">
        <f>VLOOKUP(C102,TONGHOPCONGDOI!$C$93:$AD$150,25,0)</f>
        <v>0</v>
      </c>
      <c r="S102" s="1234">
        <f t="shared" si="23"/>
        <v>20</v>
      </c>
      <c r="T102" s="1235"/>
      <c r="U102" s="1235"/>
      <c r="V102" s="1235"/>
      <c r="W102" s="1234">
        <f t="shared" si="27"/>
        <v>1506488</v>
      </c>
      <c r="X102" s="1234">
        <f t="shared" si="24"/>
        <v>4956449</v>
      </c>
      <c r="Y102" s="1241"/>
      <c r="Z102" s="1237">
        <f t="shared" si="25"/>
        <v>4956449</v>
      </c>
      <c r="AA102" s="1230"/>
      <c r="AB102" s="1236"/>
      <c r="AC102" s="902">
        <f t="shared" si="20"/>
        <v>5</v>
      </c>
      <c r="AD102" s="784"/>
      <c r="AE102" s="784"/>
      <c r="AF102" s="784"/>
      <c r="AG102" s="784"/>
      <c r="AH102" s="784"/>
      <c r="AI102" s="784"/>
      <c r="AJ102" s="784"/>
      <c r="AK102" s="784"/>
    </row>
    <row r="103" spans="1:37" s="785" customFormat="1" ht="38.25" customHeight="1">
      <c r="A103" s="1239">
        <v>6</v>
      </c>
      <c r="B103" s="1239" t="str">
        <f>'Chấm công KT'!D99</f>
        <v>03593</v>
      </c>
      <c r="C103" s="1239" t="str">
        <f>TONGHOPCONGDOI!C98</f>
        <v>T. Xi Nun</v>
      </c>
      <c r="D103" s="1239" t="s">
        <v>30</v>
      </c>
      <c r="E103" s="1240"/>
      <c r="F103" s="1230">
        <f t="shared" si="21"/>
        <v>0</v>
      </c>
      <c r="G103" s="1230">
        <f>VLOOKUP(C103,TONGHOPCONGDOI!C98:AD157,16,0)</f>
        <v>884</v>
      </c>
      <c r="H103" s="1230">
        <f>VLOOKUP(C103,TONGHOPCONGDOI!C98:AD157,18,0)</f>
        <v>0</v>
      </c>
      <c r="I103" s="1230"/>
      <c r="J103" s="1231">
        <f t="shared" si="22"/>
        <v>448.9375697539511</v>
      </c>
      <c r="K103" s="1232" t="str">
        <f>VLOOKUP(C103,'BTH mủ tạp'!$C$98:$AL$160,36,0)</f>
        <v>B</v>
      </c>
      <c r="L103" s="1250">
        <f t="shared" si="26"/>
        <v>1570843</v>
      </c>
      <c r="M103" s="1234">
        <f>VLOOKUP(C103,TONGHOPCONGDOI!$C$93:$AD$150,20,0)</f>
        <v>21</v>
      </c>
      <c r="N103" s="1234">
        <f>VLOOKUP(C103,TONGHOPCONGDOI!$C$93:$AD$150,21,0)</f>
        <v>1</v>
      </c>
      <c r="O103" s="1234">
        <f>VLOOKUP(C103,TONGHOPCONGDOI!$C$93:$AD$150,22,0)</f>
        <v>0</v>
      </c>
      <c r="P103" s="1234">
        <f>VLOOKUP(C103,TONGHOPCONGDOI!$C$93:$AD$150,23,0)</f>
        <v>0</v>
      </c>
      <c r="Q103" s="1234">
        <f>VLOOKUP(C103,TONGHOPCONGDOI!$C$93:$AD$150,24,0)</f>
        <v>0</v>
      </c>
      <c r="R103" s="1234">
        <f>VLOOKUP(C103,TONGHOPCONGDOI!$C$93:$AD$150,25,0)</f>
        <v>0</v>
      </c>
      <c r="S103" s="1234">
        <f t="shared" si="23"/>
        <v>20</v>
      </c>
      <c r="T103" s="1235"/>
      <c r="U103" s="1235"/>
      <c r="V103" s="1235"/>
      <c r="W103" s="1234">
        <f t="shared" si="27"/>
        <v>1198300</v>
      </c>
      <c r="X103" s="1234">
        <f t="shared" si="24"/>
        <v>2769143</v>
      </c>
      <c r="Y103" s="1241"/>
      <c r="Z103" s="1237">
        <f t="shared" si="25"/>
        <v>2769143</v>
      </c>
      <c r="AA103" s="1230"/>
      <c r="AB103" s="1236"/>
      <c r="AC103" s="902">
        <f t="shared" si="20"/>
        <v>6</v>
      </c>
      <c r="AD103" s="784"/>
      <c r="AE103" s="784"/>
      <c r="AF103" s="784"/>
      <c r="AG103" s="784"/>
      <c r="AH103" s="784"/>
      <c r="AI103" s="784"/>
      <c r="AJ103" s="784"/>
      <c r="AK103" s="784"/>
    </row>
    <row r="104" spans="1:37" s="785" customFormat="1" ht="38.25" customHeight="1">
      <c r="A104" s="1239">
        <v>7</v>
      </c>
      <c r="B104" s="1239" t="str">
        <f>'Chấm công KT'!D100</f>
        <v>03594</v>
      </c>
      <c r="C104" s="1239" t="str">
        <f>TONGHOPCONGDOI!C99</f>
        <v>T. Bun Hinh</v>
      </c>
      <c r="D104" s="1239" t="s">
        <v>30</v>
      </c>
      <c r="E104" s="1240"/>
      <c r="F104" s="1230">
        <f t="shared" si="21"/>
        <v>0</v>
      </c>
      <c r="G104" s="1230">
        <f>VLOOKUP(C104,TONGHOPCONGDOI!C99:AD157,16,0)</f>
        <v>2068</v>
      </c>
      <c r="H104" s="1230">
        <f>VLOOKUP(C104,TONGHOPCONGDOI!C99:AD157,18,0)</f>
        <v>0</v>
      </c>
      <c r="I104" s="1230"/>
      <c r="J104" s="1231">
        <f t="shared" si="22"/>
        <v>1050.2295183836775</v>
      </c>
      <c r="K104" s="1232" t="str">
        <f>VLOOKUP(C104,'BTH mủ tạp'!$C$98:$AL$160,36,0)</f>
        <v>A</v>
      </c>
      <c r="L104" s="1250">
        <f t="shared" si="26"/>
        <v>3864853</v>
      </c>
      <c r="M104" s="1234">
        <f>VLOOKUP(C104,TONGHOPCONGDOI!$C$93:$AD$150,20,0)</f>
        <v>27</v>
      </c>
      <c r="N104" s="1234">
        <f>VLOOKUP(C104,TONGHOPCONGDOI!$C$93:$AD$150,21,0)</f>
        <v>4</v>
      </c>
      <c r="O104" s="1234">
        <f>VLOOKUP(C104,TONGHOPCONGDOI!$C$93:$AD$150,22,0)</f>
        <v>0</v>
      </c>
      <c r="P104" s="1234">
        <f>VLOOKUP(C104,TONGHOPCONGDOI!$C$93:$AD$150,23,0)</f>
        <v>0</v>
      </c>
      <c r="Q104" s="1234">
        <f>VLOOKUP(C104,TONGHOPCONGDOI!$C$93:$AD$150,24,0)</f>
        <v>0</v>
      </c>
      <c r="R104" s="1234">
        <f>VLOOKUP(C104,TONGHOPCONGDOI!$C$93:$AD$150,25,0)</f>
        <v>0</v>
      </c>
      <c r="S104" s="1234">
        <f t="shared" si="23"/>
        <v>20</v>
      </c>
      <c r="T104" s="1235"/>
      <c r="U104" s="1235"/>
      <c r="V104" s="1235"/>
      <c r="W104" s="1234">
        <f t="shared" si="27"/>
        <v>1537293</v>
      </c>
      <c r="X104" s="1234">
        <f t="shared" si="24"/>
        <v>5402146</v>
      </c>
      <c r="Y104" s="1241"/>
      <c r="Z104" s="1237">
        <f t="shared" si="25"/>
        <v>5402146</v>
      </c>
      <c r="AA104" s="1230"/>
      <c r="AB104" s="1236"/>
      <c r="AC104" s="902">
        <f t="shared" si="20"/>
        <v>7</v>
      </c>
      <c r="AD104" s="784"/>
      <c r="AE104" s="784"/>
      <c r="AF104" s="784"/>
      <c r="AG104" s="784"/>
      <c r="AH104" s="784"/>
      <c r="AI104" s="784"/>
      <c r="AJ104" s="784"/>
      <c r="AK104" s="784"/>
    </row>
    <row r="105" spans="1:37" s="785" customFormat="1" ht="38.25" customHeight="1">
      <c r="A105" s="1239">
        <v>8</v>
      </c>
      <c r="B105" s="1239"/>
      <c r="C105" s="1239" t="str">
        <f>TONGHOPCONGDOI!C100</f>
        <v>T. Miềng</v>
      </c>
      <c r="D105" s="1239" t="s">
        <v>30</v>
      </c>
      <c r="E105" s="1240"/>
      <c r="F105" s="1230">
        <f t="shared" si="21"/>
        <v>0</v>
      </c>
      <c r="G105" s="1230">
        <f>VLOOKUP(C105,TONGHOPCONGDOI!C100:AD157,16,0)</f>
        <v>1585</v>
      </c>
      <c r="H105" s="1230">
        <f>VLOOKUP(C105,TONGHOPCONGDOI!C100:AD157,18,0)</f>
        <v>0</v>
      </c>
      <c r="I105" s="1230"/>
      <c r="J105" s="1231">
        <f t="shared" si="22"/>
        <v>804.93896839367926</v>
      </c>
      <c r="K105" s="1232" t="str">
        <f>VLOOKUP(C105,'BTH mủ tạp'!$C$98:$AL$160,36,0)</f>
        <v>A</v>
      </c>
      <c r="L105" s="1250">
        <f t="shared" si="26"/>
        <v>2962182</v>
      </c>
      <c r="M105" s="1234">
        <f>VLOOKUP(C105,TONGHOPCONGDOI!$C$93:$AD$150,20,0)</f>
        <v>26</v>
      </c>
      <c r="N105" s="1234">
        <f>VLOOKUP(C105,TONGHOPCONGDOI!$C$93:$AD$150,21,0)</f>
        <v>4</v>
      </c>
      <c r="O105" s="1234">
        <f>VLOOKUP(C105,TONGHOPCONGDOI!$C$93:$AD$150,22,0)</f>
        <v>0</v>
      </c>
      <c r="P105" s="1234">
        <f>VLOOKUP(C105,TONGHOPCONGDOI!$C$93:$AD$150,23,0)</f>
        <v>0</v>
      </c>
      <c r="Q105" s="1234">
        <f>VLOOKUP(C105,TONGHOPCONGDOI!$C$93:$AD$150,24,0)</f>
        <v>0</v>
      </c>
      <c r="R105" s="1234">
        <f>VLOOKUP(C105,TONGHOPCONGDOI!$C$93:$AD$150,25,0)</f>
        <v>0</v>
      </c>
      <c r="S105" s="1234">
        <f t="shared" si="23"/>
        <v>20</v>
      </c>
      <c r="T105" s="1235"/>
      <c r="U105" s="1235"/>
      <c r="V105" s="1235"/>
      <c r="W105" s="1234">
        <f t="shared" si="27"/>
        <v>1506488</v>
      </c>
      <c r="X105" s="1234">
        <f t="shared" si="24"/>
        <v>4468670</v>
      </c>
      <c r="Y105" s="1241"/>
      <c r="Z105" s="1237">
        <f t="shared" si="25"/>
        <v>4468670</v>
      </c>
      <c r="AA105" s="1230"/>
      <c r="AB105" s="1236"/>
      <c r="AC105" s="902">
        <f t="shared" si="20"/>
        <v>8</v>
      </c>
      <c r="AD105" s="784"/>
      <c r="AE105" s="784"/>
      <c r="AF105" s="784"/>
      <c r="AG105" s="784"/>
      <c r="AH105" s="784"/>
      <c r="AI105" s="784"/>
      <c r="AJ105" s="784"/>
      <c r="AK105" s="784"/>
    </row>
    <row r="106" spans="1:37" s="785" customFormat="1" ht="38.25" customHeight="1">
      <c r="A106" s="1239">
        <v>9</v>
      </c>
      <c r="B106" s="1239" t="str">
        <f>'Chấm công KT'!D102</f>
        <v>03596</v>
      </c>
      <c r="C106" s="1239" t="str">
        <f>TONGHOPCONGDOI!C101</f>
        <v>N. Xúc</v>
      </c>
      <c r="D106" s="1239" t="s">
        <v>30</v>
      </c>
      <c r="E106" s="1240"/>
      <c r="F106" s="1230">
        <f t="shared" si="21"/>
        <v>0</v>
      </c>
      <c r="G106" s="1230">
        <f>VLOOKUP(C106,TONGHOPCONGDOI!C101:AD157,16,0)</f>
        <v>2110</v>
      </c>
      <c r="H106" s="1230">
        <f>VLOOKUP(C106,TONGHOPCONGDOI!C101:AD157,18,0)</f>
        <v>0</v>
      </c>
      <c r="I106" s="1230"/>
      <c r="J106" s="1231">
        <f t="shared" si="22"/>
        <v>1071.5591314262861</v>
      </c>
      <c r="K106" s="1232" t="str">
        <f>VLOOKUP(C106,'BTH mủ tạp'!$C$98:$AL$160,36,0)</f>
        <v>B</v>
      </c>
      <c r="L106" s="1250">
        <f t="shared" si="26"/>
        <v>3749411</v>
      </c>
      <c r="M106" s="1234">
        <f>VLOOKUP(C106,TONGHOPCONGDOI!$C$93:$AD$150,20,0)</f>
        <v>27</v>
      </c>
      <c r="N106" s="1234">
        <f>VLOOKUP(C106,TONGHOPCONGDOI!$C$93:$AD$150,21,0)</f>
        <v>4</v>
      </c>
      <c r="O106" s="1234">
        <f>VLOOKUP(C106,TONGHOPCONGDOI!$C$93:$AD$150,22,0)</f>
        <v>0</v>
      </c>
      <c r="P106" s="1234">
        <f>VLOOKUP(C106,TONGHOPCONGDOI!$C$93:$AD$150,23,0)</f>
        <v>0</v>
      </c>
      <c r="Q106" s="1234">
        <f>VLOOKUP(C106,TONGHOPCONGDOI!$C$93:$AD$150,24,0)</f>
        <v>0</v>
      </c>
      <c r="R106" s="1234">
        <f>VLOOKUP(C106,TONGHOPCONGDOI!$C$93:$AD$150,25,0)</f>
        <v>0</v>
      </c>
      <c r="S106" s="1234">
        <f t="shared" si="23"/>
        <v>20</v>
      </c>
      <c r="T106" s="1235"/>
      <c r="U106" s="1235"/>
      <c r="V106" s="1235"/>
      <c r="W106" s="1234">
        <f t="shared" si="27"/>
        <v>1537293</v>
      </c>
      <c r="X106" s="1234">
        <f t="shared" si="24"/>
        <v>5286704</v>
      </c>
      <c r="Y106" s="1241"/>
      <c r="Z106" s="1237">
        <f t="shared" si="25"/>
        <v>5286704</v>
      </c>
      <c r="AA106" s="1230"/>
      <c r="AB106" s="1236"/>
      <c r="AC106" s="902">
        <f t="shared" si="20"/>
        <v>9</v>
      </c>
      <c r="AD106" s="784"/>
      <c r="AE106" s="784"/>
      <c r="AF106" s="784"/>
      <c r="AG106" s="784"/>
      <c r="AH106" s="784"/>
      <c r="AI106" s="784"/>
      <c r="AJ106" s="784"/>
      <c r="AK106" s="784"/>
    </row>
    <row r="107" spans="1:37" s="785" customFormat="1" ht="38.25" customHeight="1">
      <c r="A107" s="1239">
        <v>10</v>
      </c>
      <c r="B107" s="1239" t="str">
        <f>'Chấm công KT'!D103</f>
        <v>03597</v>
      </c>
      <c r="C107" s="1239" t="str">
        <f>TONGHOPCONGDOI!C102</f>
        <v>N. Lẹ</v>
      </c>
      <c r="D107" s="1239" t="s">
        <v>30</v>
      </c>
      <c r="E107" s="1240"/>
      <c r="F107" s="1230">
        <f t="shared" si="21"/>
        <v>0</v>
      </c>
      <c r="G107" s="1230">
        <f>VLOOKUP(C107,TONGHOPCONGDOI!C102:AD157,16,0)</f>
        <v>1374</v>
      </c>
      <c r="H107" s="1230">
        <f>VLOOKUP(C107,TONGHOPCONGDOI!C102:AD157,18,0)</f>
        <v>0</v>
      </c>
      <c r="I107" s="1230"/>
      <c r="J107" s="1231">
        <f t="shared" si="22"/>
        <v>697.78305525105065</v>
      </c>
      <c r="K107" s="1232" t="str">
        <f>VLOOKUP(C107,'BTH mủ tạp'!$C$98:$AL$160,36,0)</f>
        <v>A</v>
      </c>
      <c r="L107" s="1250">
        <f t="shared" si="26"/>
        <v>2567847</v>
      </c>
      <c r="M107" s="1234">
        <f>VLOOKUP(C107,TONGHOPCONGDOI!$C$93:$AD$150,20,0)</f>
        <v>26</v>
      </c>
      <c r="N107" s="1234">
        <f>VLOOKUP(C107,TONGHOPCONGDOI!$C$93:$AD$150,21,0)</f>
        <v>4</v>
      </c>
      <c r="O107" s="1234">
        <f>VLOOKUP(C107,TONGHOPCONGDOI!$C$93:$AD$150,22,0)</f>
        <v>0</v>
      </c>
      <c r="P107" s="1234">
        <f>VLOOKUP(C107,TONGHOPCONGDOI!$C$93:$AD$150,23,0)</f>
        <v>0</v>
      </c>
      <c r="Q107" s="1234">
        <f>VLOOKUP(C107,TONGHOPCONGDOI!$C$93:$AD$150,24,0)</f>
        <v>0</v>
      </c>
      <c r="R107" s="1234">
        <f>VLOOKUP(C107,TONGHOPCONGDOI!$C$93:$AD$150,25,0)</f>
        <v>0</v>
      </c>
      <c r="S107" s="1234">
        <f t="shared" si="23"/>
        <v>20</v>
      </c>
      <c r="T107" s="1235"/>
      <c r="U107" s="1235"/>
      <c r="V107" s="1235"/>
      <c r="W107" s="1234">
        <f t="shared" si="27"/>
        <v>1506488</v>
      </c>
      <c r="X107" s="1234">
        <f t="shared" si="24"/>
        <v>4074335</v>
      </c>
      <c r="Y107" s="1241"/>
      <c r="Z107" s="1237">
        <f t="shared" si="25"/>
        <v>4074335</v>
      </c>
      <c r="AA107" s="1230"/>
      <c r="AB107" s="1236"/>
      <c r="AC107" s="902">
        <f t="shared" si="20"/>
        <v>10</v>
      </c>
      <c r="AD107" s="784"/>
      <c r="AE107" s="784"/>
      <c r="AF107" s="784"/>
      <c r="AG107" s="784"/>
      <c r="AH107" s="784"/>
      <c r="AI107" s="784"/>
      <c r="AJ107" s="784"/>
      <c r="AK107" s="784"/>
    </row>
    <row r="108" spans="1:37" s="785" customFormat="1" ht="38.25" customHeight="1">
      <c r="A108" s="1239">
        <v>11</v>
      </c>
      <c r="B108" s="1239" t="str">
        <f>'Chấm công KT'!D104</f>
        <v>03598</v>
      </c>
      <c r="C108" s="1239" t="str">
        <f>TONGHOPCONGDOI!C103</f>
        <v>N . Thích</v>
      </c>
      <c r="D108" s="1239" t="s">
        <v>30</v>
      </c>
      <c r="E108" s="1240"/>
      <c r="F108" s="1230">
        <f t="shared" si="21"/>
        <v>0</v>
      </c>
      <c r="G108" s="1230">
        <f>VLOOKUP(C108,TONGHOPCONGDOI!C103:AD157,16,0)</f>
        <v>1734</v>
      </c>
      <c r="H108" s="1230">
        <f>VLOOKUP(C108,TONGHOPCONGDOI!C103:AD157,18,0)</f>
        <v>0</v>
      </c>
      <c r="I108" s="1230"/>
      <c r="J108" s="1231">
        <f t="shared" si="22"/>
        <v>880.60830990198099</v>
      </c>
      <c r="K108" s="1232" t="str">
        <f>VLOOKUP(C108,'BTH mủ tạp'!$C$98:$AL$160,36,0)</f>
        <v>A</v>
      </c>
      <c r="L108" s="1250">
        <f t="shared" si="26"/>
        <v>3240646</v>
      </c>
      <c r="M108" s="1234">
        <f>VLOOKUP(C108,TONGHOPCONGDOI!$C$93:$AD$150,20,0)</f>
        <v>26</v>
      </c>
      <c r="N108" s="1234">
        <f>VLOOKUP(C108,TONGHOPCONGDOI!$C$93:$AD$150,21,0)</f>
        <v>4</v>
      </c>
      <c r="O108" s="1234">
        <f>VLOOKUP(C108,TONGHOPCONGDOI!$C$93:$AD$150,22,0)</f>
        <v>0</v>
      </c>
      <c r="P108" s="1234">
        <f>VLOOKUP(C108,TONGHOPCONGDOI!$C$93:$AD$150,23,0)</f>
        <v>0</v>
      </c>
      <c r="Q108" s="1234">
        <f>VLOOKUP(C108,TONGHOPCONGDOI!$C$93:$AD$150,24,0)</f>
        <v>0</v>
      </c>
      <c r="R108" s="1234">
        <f>VLOOKUP(C108,TONGHOPCONGDOI!$C$93:$AD$150,25,0)</f>
        <v>0</v>
      </c>
      <c r="S108" s="1234">
        <f t="shared" si="23"/>
        <v>20</v>
      </c>
      <c r="T108" s="1235"/>
      <c r="U108" s="1235"/>
      <c r="V108" s="1235"/>
      <c r="W108" s="1234">
        <f t="shared" si="27"/>
        <v>1506488</v>
      </c>
      <c r="X108" s="1234">
        <f t="shared" si="24"/>
        <v>4747134</v>
      </c>
      <c r="Y108" s="1241"/>
      <c r="Z108" s="1237">
        <f t="shared" si="25"/>
        <v>4747134</v>
      </c>
      <c r="AA108" s="1230"/>
      <c r="AB108" s="1236"/>
      <c r="AC108" s="902">
        <f t="shared" si="20"/>
        <v>11</v>
      </c>
      <c r="AD108" s="784"/>
      <c r="AE108" s="784"/>
      <c r="AF108" s="784"/>
      <c r="AG108" s="784"/>
      <c r="AH108" s="784"/>
      <c r="AI108" s="784"/>
      <c r="AJ108" s="784"/>
      <c r="AK108" s="784"/>
    </row>
    <row r="109" spans="1:37" s="785" customFormat="1" ht="38.25" customHeight="1">
      <c r="A109" s="1239">
        <v>12</v>
      </c>
      <c r="B109" s="1239" t="str">
        <f>'Chấm công KT'!D105</f>
        <v>03599</v>
      </c>
      <c r="C109" s="1239" t="str">
        <f>TONGHOPCONGDOI!C104</f>
        <v>N. Cong Mi</v>
      </c>
      <c r="D109" s="1239" t="s">
        <v>30</v>
      </c>
      <c r="E109" s="1240"/>
      <c r="F109" s="1230">
        <f t="shared" si="21"/>
        <v>0</v>
      </c>
      <c r="G109" s="1230">
        <f>VLOOKUP(C109,TONGHOPCONGDOI!C104:AD157,16,0)</f>
        <v>2002</v>
      </c>
      <c r="H109" s="1230">
        <f>VLOOKUP(C109,TONGHOPCONGDOI!C104:AD157,18,0)</f>
        <v>0</v>
      </c>
      <c r="I109" s="1230"/>
      <c r="J109" s="1231">
        <f t="shared" si="22"/>
        <v>1016.7115550310068</v>
      </c>
      <c r="K109" s="1232" t="str">
        <f>VLOOKUP(C109,'BTH mủ tạp'!$C$98:$AL$160,36,0)</f>
        <v>A</v>
      </c>
      <c r="L109" s="1250">
        <f t="shared" si="26"/>
        <v>3741507</v>
      </c>
      <c r="M109" s="1234">
        <f>VLOOKUP(C109,TONGHOPCONGDOI!$C$93:$AD$150,20,0)</f>
        <v>27</v>
      </c>
      <c r="N109" s="1234">
        <f>VLOOKUP(C109,TONGHOPCONGDOI!$C$93:$AD$150,21,0)</f>
        <v>4</v>
      </c>
      <c r="O109" s="1234">
        <f>VLOOKUP(C109,TONGHOPCONGDOI!$C$93:$AD$150,22,0)</f>
        <v>0</v>
      </c>
      <c r="P109" s="1234">
        <f>VLOOKUP(C109,TONGHOPCONGDOI!$C$93:$AD$150,23,0)</f>
        <v>0</v>
      </c>
      <c r="Q109" s="1234">
        <f>VLOOKUP(C109,TONGHOPCONGDOI!$C$93:$AD$150,24,0)</f>
        <v>0</v>
      </c>
      <c r="R109" s="1234">
        <f>VLOOKUP(C109,TONGHOPCONGDOI!$C$93:$AD$150,25,0)</f>
        <v>0</v>
      </c>
      <c r="S109" s="1234">
        <f t="shared" si="23"/>
        <v>20</v>
      </c>
      <c r="T109" s="1235"/>
      <c r="U109" s="1235"/>
      <c r="V109" s="1235"/>
      <c r="W109" s="1234">
        <f t="shared" si="27"/>
        <v>1537293</v>
      </c>
      <c r="X109" s="1234">
        <f t="shared" si="24"/>
        <v>5278800</v>
      </c>
      <c r="Y109" s="1241"/>
      <c r="Z109" s="1237">
        <f t="shared" si="25"/>
        <v>5278800</v>
      </c>
      <c r="AA109" s="1230"/>
      <c r="AB109" s="1236"/>
      <c r="AC109" s="902">
        <f t="shared" si="20"/>
        <v>12</v>
      </c>
      <c r="AD109" s="784"/>
      <c r="AE109" s="784"/>
      <c r="AF109" s="784"/>
      <c r="AG109" s="784"/>
      <c r="AH109" s="784"/>
      <c r="AI109" s="784"/>
      <c r="AJ109" s="784"/>
      <c r="AK109" s="784"/>
    </row>
    <row r="110" spans="1:37" s="785" customFormat="1" ht="38.25" customHeight="1">
      <c r="A110" s="1239">
        <v>13</v>
      </c>
      <c r="B110" s="1239"/>
      <c r="C110" s="1239" t="str">
        <f>TONGHOPCONGDOI!C105</f>
        <v>T. Na</v>
      </c>
      <c r="D110" s="1239" t="s">
        <v>30</v>
      </c>
      <c r="E110" s="1240"/>
      <c r="F110" s="1230">
        <f t="shared" si="21"/>
        <v>0</v>
      </c>
      <c r="G110" s="1230">
        <f>VLOOKUP(C110,TONGHOPCONGDOI!C105:AD157,16,0)</f>
        <v>1498</v>
      </c>
      <c r="H110" s="1230">
        <f>VLOOKUP(C110,TONGHOPCONGDOI!C105:AD157,18,0)</f>
        <v>0</v>
      </c>
      <c r="I110" s="1230"/>
      <c r="J110" s="1231">
        <f t="shared" si="22"/>
        <v>760.75619851970441</v>
      </c>
      <c r="K110" s="1232" t="str">
        <f>VLOOKUP(C110,'BTH mủ tạp'!$C$98:$AL$160,36,0)</f>
        <v>B</v>
      </c>
      <c r="L110" s="1250">
        <f t="shared" si="26"/>
        <v>2661904</v>
      </c>
      <c r="M110" s="1234">
        <f>VLOOKUP(C110,TONGHOPCONGDOI!$C$93:$AD$150,20,0)</f>
        <v>26</v>
      </c>
      <c r="N110" s="1234">
        <f>VLOOKUP(C110,TONGHOPCONGDOI!$C$93:$AD$150,21,0)</f>
        <v>4</v>
      </c>
      <c r="O110" s="1234">
        <f>VLOOKUP(C110,TONGHOPCONGDOI!$C$93:$AD$150,22,0)</f>
        <v>0</v>
      </c>
      <c r="P110" s="1234">
        <f>VLOOKUP(C110,TONGHOPCONGDOI!$C$93:$AD$150,23,0)</f>
        <v>0</v>
      </c>
      <c r="Q110" s="1234">
        <f>VLOOKUP(C110,TONGHOPCONGDOI!$C$93:$AD$150,24,0)</f>
        <v>0</v>
      </c>
      <c r="R110" s="1234">
        <f>VLOOKUP(C110,TONGHOPCONGDOI!$C$93:$AD$150,25,0)</f>
        <v>0</v>
      </c>
      <c r="S110" s="1234">
        <f t="shared" si="23"/>
        <v>20</v>
      </c>
      <c r="T110" s="1235"/>
      <c r="U110" s="1235"/>
      <c r="V110" s="1235"/>
      <c r="W110" s="1234">
        <f t="shared" si="27"/>
        <v>1506488</v>
      </c>
      <c r="X110" s="1234">
        <f t="shared" si="24"/>
        <v>4168392</v>
      </c>
      <c r="Y110" s="1241"/>
      <c r="Z110" s="1237">
        <f t="shared" si="25"/>
        <v>4168392</v>
      </c>
      <c r="AA110" s="1230"/>
      <c r="AB110" s="1236"/>
      <c r="AC110" s="902">
        <f t="shared" si="20"/>
        <v>13</v>
      </c>
      <c r="AD110" s="784"/>
      <c r="AE110" s="784"/>
      <c r="AF110" s="784"/>
      <c r="AG110" s="784"/>
      <c r="AH110" s="784"/>
      <c r="AI110" s="784"/>
      <c r="AJ110" s="784"/>
      <c r="AK110" s="784"/>
    </row>
    <row r="111" spans="1:37" s="785" customFormat="1" ht="38.25" customHeight="1">
      <c r="A111" s="1239">
        <v>14</v>
      </c>
      <c r="B111" s="1239" t="str">
        <f>'Chấm công KT'!D107</f>
        <v>03601</v>
      </c>
      <c r="C111" s="1239" t="str">
        <f>TONGHOPCONGDOI!C106</f>
        <v>T. Khăm Mặn</v>
      </c>
      <c r="D111" s="1239" t="s">
        <v>30</v>
      </c>
      <c r="E111" s="1240"/>
      <c r="F111" s="1230">
        <f t="shared" si="21"/>
        <v>0</v>
      </c>
      <c r="G111" s="1230">
        <f>VLOOKUP(C111,TONGHOPCONGDOI!C106:AD157,16,0)</f>
        <v>2247</v>
      </c>
      <c r="H111" s="1230">
        <f>VLOOKUP(C111,TONGHOPCONGDOI!C106:AD157,18,0)</f>
        <v>0</v>
      </c>
      <c r="I111" s="1230"/>
      <c r="J111" s="1231">
        <f t="shared" si="22"/>
        <v>1141.1342977795566</v>
      </c>
      <c r="K111" s="1232" t="str">
        <f>VLOOKUP(C111,'BTH mủ tạp'!$C$98:$AL$160,36,0)</f>
        <v>A</v>
      </c>
      <c r="L111" s="1250">
        <f t="shared" si="26"/>
        <v>4199383</v>
      </c>
      <c r="M111" s="1234">
        <f>VLOOKUP(C111,TONGHOPCONGDOI!$C$93:$AD$150,20,0)</f>
        <v>27</v>
      </c>
      <c r="N111" s="1234">
        <f>VLOOKUP(C111,TONGHOPCONGDOI!$C$93:$AD$150,21,0)</f>
        <v>4</v>
      </c>
      <c r="O111" s="1234">
        <f>VLOOKUP(C111,TONGHOPCONGDOI!$C$93:$AD$150,22,0)</f>
        <v>0</v>
      </c>
      <c r="P111" s="1234">
        <f>VLOOKUP(C111,TONGHOPCONGDOI!$C$93:$AD$150,23,0)</f>
        <v>0</v>
      </c>
      <c r="Q111" s="1234">
        <f>VLOOKUP(C111,TONGHOPCONGDOI!$C$93:$AD$150,24,0)</f>
        <v>0</v>
      </c>
      <c r="R111" s="1234">
        <f>VLOOKUP(C111,TONGHOPCONGDOI!$C$93:$AD$150,25,0)</f>
        <v>0</v>
      </c>
      <c r="S111" s="1234">
        <f t="shared" si="23"/>
        <v>20</v>
      </c>
      <c r="T111" s="1235"/>
      <c r="U111" s="1235"/>
      <c r="V111" s="1235"/>
      <c r="W111" s="1234">
        <f t="shared" si="27"/>
        <v>1537293</v>
      </c>
      <c r="X111" s="1234">
        <f t="shared" si="24"/>
        <v>5736676</v>
      </c>
      <c r="Y111" s="1241"/>
      <c r="Z111" s="1237">
        <f t="shared" si="25"/>
        <v>5736676</v>
      </c>
      <c r="AA111" s="1230"/>
      <c r="AB111" s="1236"/>
      <c r="AC111" s="902">
        <f t="shared" si="20"/>
        <v>14</v>
      </c>
      <c r="AD111" s="784"/>
      <c r="AE111" s="784"/>
      <c r="AF111" s="784"/>
      <c r="AG111" s="784"/>
      <c r="AH111" s="784"/>
      <c r="AI111" s="784"/>
      <c r="AJ111" s="784"/>
      <c r="AK111" s="784"/>
    </row>
    <row r="112" spans="1:37" s="785" customFormat="1" ht="38.25" customHeight="1">
      <c r="A112" s="1239">
        <v>15</v>
      </c>
      <c r="B112" s="1239" t="str">
        <f>'Chấm công KT'!D108</f>
        <v>03602</v>
      </c>
      <c r="C112" s="1239" t="str">
        <f>TONGHOPCONGDOI!C107</f>
        <v>T . In Tong</v>
      </c>
      <c r="D112" s="1239" t="s">
        <v>30</v>
      </c>
      <c r="E112" s="1240"/>
      <c r="F112" s="1230">
        <f t="shared" si="21"/>
        <v>0</v>
      </c>
      <c r="G112" s="1230">
        <f>VLOOKUP(C112,TONGHOPCONGDOI!C107:AD157,16,0)</f>
        <v>1661</v>
      </c>
      <c r="H112" s="1230">
        <f>VLOOKUP(C112,TONGHOPCONGDOI!C107:AD157,18,0)</f>
        <v>0</v>
      </c>
      <c r="I112" s="1230"/>
      <c r="J112" s="1231">
        <f t="shared" si="22"/>
        <v>843.53541104220903</v>
      </c>
      <c r="K112" s="1232" t="str">
        <f>VLOOKUP(C112,'BTH mủ tạp'!$C$98:$AL$160,36,0)</f>
        <v>A</v>
      </c>
      <c r="L112" s="1250">
        <f t="shared" si="26"/>
        <v>3104217</v>
      </c>
      <c r="M112" s="1234">
        <f>VLOOKUP(C112,TONGHOPCONGDOI!$C$93:$AD$150,20,0)</f>
        <v>26</v>
      </c>
      <c r="N112" s="1234">
        <f>VLOOKUP(C112,TONGHOPCONGDOI!$C$93:$AD$150,21,0)</f>
        <v>4</v>
      </c>
      <c r="O112" s="1234">
        <f>VLOOKUP(C112,TONGHOPCONGDOI!$C$93:$AD$150,22,0)</f>
        <v>0</v>
      </c>
      <c r="P112" s="1234">
        <f>VLOOKUP(C112,TONGHOPCONGDOI!$C$93:$AD$150,23,0)</f>
        <v>0</v>
      </c>
      <c r="Q112" s="1234">
        <f>VLOOKUP(C112,TONGHOPCONGDOI!$C$93:$AD$150,24,0)</f>
        <v>0</v>
      </c>
      <c r="R112" s="1234">
        <f>VLOOKUP(C112,TONGHOPCONGDOI!$C$93:$AD$150,25,0)</f>
        <v>0</v>
      </c>
      <c r="S112" s="1234">
        <f t="shared" si="23"/>
        <v>20</v>
      </c>
      <c r="T112" s="1235"/>
      <c r="U112" s="1235"/>
      <c r="V112" s="1235"/>
      <c r="W112" s="1234">
        <f t="shared" si="27"/>
        <v>1506488</v>
      </c>
      <c r="X112" s="1234">
        <f t="shared" si="24"/>
        <v>4610705</v>
      </c>
      <c r="Y112" s="1241"/>
      <c r="Z112" s="1237">
        <f t="shared" si="25"/>
        <v>4610705</v>
      </c>
      <c r="AA112" s="1230"/>
      <c r="AB112" s="1236"/>
      <c r="AC112" s="902">
        <f t="shared" si="20"/>
        <v>15</v>
      </c>
      <c r="AD112" s="784"/>
      <c r="AE112" s="784"/>
      <c r="AF112" s="784"/>
      <c r="AG112" s="784"/>
      <c r="AH112" s="784"/>
      <c r="AI112" s="784"/>
      <c r="AJ112" s="784"/>
      <c r="AK112" s="784"/>
    </row>
    <row r="113" spans="1:37" s="785" customFormat="1" ht="38.25" customHeight="1">
      <c r="A113" s="1239">
        <v>16</v>
      </c>
      <c r="B113" s="1239" t="str">
        <f>'Chấm công KT'!D109</f>
        <v>03496</v>
      </c>
      <c r="C113" s="1239" t="str">
        <f>TONGHOPCONGDOI!C108</f>
        <v>T. Lốp</v>
      </c>
      <c r="D113" s="1239" t="s">
        <v>30</v>
      </c>
      <c r="E113" s="1240"/>
      <c r="F113" s="1230">
        <f t="shared" si="21"/>
        <v>0</v>
      </c>
      <c r="G113" s="1230">
        <f>VLOOKUP(C113,TONGHOPCONGDOI!C108:AD157,16,0)</f>
        <v>1272</v>
      </c>
      <c r="H113" s="1230">
        <f>VLOOKUP(C113,TONGHOPCONGDOI!C108:AD157,18,0)</f>
        <v>0</v>
      </c>
      <c r="I113" s="1230"/>
      <c r="J113" s="1231">
        <f t="shared" si="22"/>
        <v>645.98256643328705</v>
      </c>
      <c r="K113" s="1232" t="str">
        <f>VLOOKUP(C113,'BTH mủ tạp'!$C$98:$AL$160,36,0)</f>
        <v>B</v>
      </c>
      <c r="L113" s="1250">
        <f t="shared" si="26"/>
        <v>2260309</v>
      </c>
      <c r="M113" s="1234">
        <f>VLOOKUP(C113,TONGHOPCONGDOI!$C$93:$AD$150,20,0)</f>
        <v>21</v>
      </c>
      <c r="N113" s="1234">
        <f>VLOOKUP(C113,TONGHOPCONGDOI!$C$93:$AD$150,21,0)</f>
        <v>4</v>
      </c>
      <c r="O113" s="1234">
        <f>VLOOKUP(C113,TONGHOPCONGDOI!$C$93:$AD$150,22,0)</f>
        <v>0</v>
      </c>
      <c r="P113" s="1234">
        <f>VLOOKUP(C113,TONGHOPCONGDOI!$C$93:$AD$150,23,0)</f>
        <v>0</v>
      </c>
      <c r="Q113" s="1234">
        <f>VLOOKUP(C113,TONGHOPCONGDOI!$C$93:$AD$150,24,0)</f>
        <v>0</v>
      </c>
      <c r="R113" s="1234">
        <f>VLOOKUP(C113,TONGHOPCONGDOI!$C$93:$AD$150,25,0)</f>
        <v>0</v>
      </c>
      <c r="S113" s="1234">
        <f t="shared" si="23"/>
        <v>20</v>
      </c>
      <c r="T113" s="1235"/>
      <c r="U113" s="1235"/>
      <c r="V113" s="1235"/>
      <c r="W113" s="1234">
        <f t="shared" si="27"/>
        <v>1352461</v>
      </c>
      <c r="X113" s="1234">
        <f t="shared" si="24"/>
        <v>3612770</v>
      </c>
      <c r="Y113" s="1241"/>
      <c r="Z113" s="1237">
        <f t="shared" si="25"/>
        <v>3612770</v>
      </c>
      <c r="AA113" s="1230"/>
      <c r="AB113" s="1236"/>
      <c r="AC113" s="902">
        <f t="shared" si="20"/>
        <v>16</v>
      </c>
      <c r="AD113" s="784"/>
      <c r="AE113" s="784"/>
      <c r="AF113" s="784"/>
      <c r="AG113" s="784"/>
      <c r="AH113" s="784"/>
      <c r="AI113" s="784"/>
      <c r="AJ113" s="784"/>
      <c r="AK113" s="784"/>
    </row>
    <row r="114" spans="1:37" s="785" customFormat="1" ht="38.25" customHeight="1">
      <c r="A114" s="1239">
        <v>17</v>
      </c>
      <c r="B114" s="1239" t="str">
        <f>'Chấm công KT'!D110</f>
        <v>03604</v>
      </c>
      <c r="C114" s="1239" t="str">
        <f>TONGHOPCONGDOI!C109</f>
        <v>T. Lăm Phêng</v>
      </c>
      <c r="D114" s="1239" t="s">
        <v>30</v>
      </c>
      <c r="E114" s="1240"/>
      <c r="F114" s="1230">
        <f t="shared" si="21"/>
        <v>0</v>
      </c>
      <c r="G114" s="1230">
        <f>VLOOKUP(C114,TONGHOPCONGDOI!C109:AD157,16,0)</f>
        <v>2314</v>
      </c>
      <c r="H114" s="1230">
        <f>VLOOKUP(C114,TONGHOPCONGDOI!C109:AD157,18,0)</f>
        <v>0</v>
      </c>
      <c r="I114" s="1230"/>
      <c r="J114" s="1231">
        <f t="shared" si="22"/>
        <v>1175.160109061813</v>
      </c>
      <c r="K114" s="1232" t="str">
        <f>VLOOKUP(C114,'BTH mủ tạp'!$C$98:$AL$160,36,0)</f>
        <v>A</v>
      </c>
      <c r="L114" s="1250">
        <f t="shared" si="26"/>
        <v>4324599</v>
      </c>
      <c r="M114" s="1234">
        <f>VLOOKUP(C114,TONGHOPCONGDOI!$C$93:$AD$150,20,0)</f>
        <v>27</v>
      </c>
      <c r="N114" s="1234">
        <f>VLOOKUP(C114,TONGHOPCONGDOI!$C$93:$AD$150,21,0)</f>
        <v>4</v>
      </c>
      <c r="O114" s="1234">
        <f>VLOOKUP(C114,TONGHOPCONGDOI!$C$93:$AD$150,22,0)</f>
        <v>0</v>
      </c>
      <c r="P114" s="1234">
        <f>VLOOKUP(C114,TONGHOPCONGDOI!$C$93:$AD$150,23,0)</f>
        <v>0</v>
      </c>
      <c r="Q114" s="1234">
        <f>VLOOKUP(C114,TONGHOPCONGDOI!$C$93:$AD$150,24,0)</f>
        <v>0</v>
      </c>
      <c r="R114" s="1234">
        <f>VLOOKUP(C114,TONGHOPCONGDOI!$C$93:$AD$150,25,0)</f>
        <v>0</v>
      </c>
      <c r="S114" s="1234">
        <f t="shared" si="23"/>
        <v>20</v>
      </c>
      <c r="T114" s="1235"/>
      <c r="U114" s="1235"/>
      <c r="V114" s="1235"/>
      <c r="W114" s="1234">
        <f t="shared" si="27"/>
        <v>1537293</v>
      </c>
      <c r="X114" s="1234">
        <f t="shared" si="24"/>
        <v>5861892</v>
      </c>
      <c r="Y114" s="1241"/>
      <c r="Z114" s="1237">
        <f t="shared" si="25"/>
        <v>5861892</v>
      </c>
      <c r="AA114" s="1230"/>
      <c r="AB114" s="1236"/>
      <c r="AC114" s="902">
        <f t="shared" si="20"/>
        <v>17</v>
      </c>
      <c r="AD114" s="784"/>
      <c r="AE114" s="784"/>
      <c r="AF114" s="784"/>
      <c r="AG114" s="784"/>
      <c r="AH114" s="784"/>
      <c r="AI114" s="784"/>
      <c r="AJ114" s="784"/>
      <c r="AK114" s="784"/>
    </row>
    <row r="115" spans="1:37" s="785" customFormat="1" ht="38.25" customHeight="1">
      <c r="A115" s="1239">
        <v>18</v>
      </c>
      <c r="B115" s="1239"/>
      <c r="C115" s="1239" t="str">
        <f>TONGHOPCONGDOI!C110</f>
        <v>T Xèng</v>
      </c>
      <c r="D115" s="1239" t="s">
        <v>30</v>
      </c>
      <c r="E115" s="1240"/>
      <c r="F115" s="1230">
        <f t="shared" si="21"/>
        <v>0</v>
      </c>
      <c r="G115" s="1230">
        <f>VLOOKUP(C115,TONGHOPCONGDOI!C110:AD157,16,0)</f>
        <v>2232</v>
      </c>
      <c r="H115" s="1230">
        <f>VLOOKUP(C115,TONGHOPCONGDOI!C110:AD157,18,0)</f>
        <v>0</v>
      </c>
      <c r="I115" s="1230"/>
      <c r="J115" s="1231">
        <f t="shared" si="22"/>
        <v>1133.5165788357679</v>
      </c>
      <c r="K115" s="1232" t="str">
        <f>VLOOKUP(C115,'BTH mủ tạp'!$C$98:$AL$160,36,0)</f>
        <v>A</v>
      </c>
      <c r="L115" s="1250">
        <f t="shared" si="26"/>
        <v>4171350</v>
      </c>
      <c r="M115" s="1234">
        <f>VLOOKUP(C115,TONGHOPCONGDOI!$C$93:$AD$150,20,0)</f>
        <v>27</v>
      </c>
      <c r="N115" s="1234">
        <f>VLOOKUP(C115,TONGHOPCONGDOI!$C$93:$AD$150,21,0)</f>
        <v>4</v>
      </c>
      <c r="O115" s="1234">
        <f>VLOOKUP(C115,TONGHOPCONGDOI!$C$93:$AD$150,22,0)</f>
        <v>0</v>
      </c>
      <c r="P115" s="1234">
        <f>VLOOKUP(C115,TONGHOPCONGDOI!$C$93:$AD$150,23,0)</f>
        <v>0</v>
      </c>
      <c r="Q115" s="1234">
        <f>VLOOKUP(C115,TONGHOPCONGDOI!$C$93:$AD$150,24,0)</f>
        <v>0</v>
      </c>
      <c r="R115" s="1234">
        <f>VLOOKUP(C115,TONGHOPCONGDOI!$C$93:$AD$150,25,0)</f>
        <v>0</v>
      </c>
      <c r="S115" s="1234">
        <f t="shared" si="23"/>
        <v>20</v>
      </c>
      <c r="T115" s="1235"/>
      <c r="U115" s="1235"/>
      <c r="V115" s="1235"/>
      <c r="W115" s="1234">
        <f t="shared" si="27"/>
        <v>1537293</v>
      </c>
      <c r="X115" s="1234">
        <f t="shared" si="24"/>
        <v>5708643</v>
      </c>
      <c r="Y115" s="1241"/>
      <c r="Z115" s="1237">
        <f t="shared" si="25"/>
        <v>5708643</v>
      </c>
      <c r="AA115" s="1230"/>
      <c r="AB115" s="1236"/>
      <c r="AC115" s="902">
        <f t="shared" si="20"/>
        <v>18</v>
      </c>
      <c r="AD115" s="784"/>
      <c r="AE115" s="784"/>
      <c r="AF115" s="784"/>
      <c r="AG115" s="784"/>
      <c r="AH115" s="784"/>
      <c r="AI115" s="784"/>
      <c r="AJ115" s="784"/>
      <c r="AK115" s="784"/>
    </row>
    <row r="116" spans="1:37" s="785" customFormat="1" ht="38.25" customHeight="1">
      <c r="A116" s="1239">
        <v>19</v>
      </c>
      <c r="B116" s="1239" t="str">
        <f>'Chấm công KT'!D112</f>
        <v>03509</v>
      </c>
      <c r="C116" s="1239" t="str">
        <f>TONGHOPCONGDOI!C111</f>
        <v>T. May</v>
      </c>
      <c r="D116" s="1239" t="s">
        <v>30</v>
      </c>
      <c r="E116" s="1240"/>
      <c r="F116" s="1230">
        <f t="shared" si="21"/>
        <v>0</v>
      </c>
      <c r="G116" s="1230">
        <f>VLOOKUP(C116,TONGHOPCONGDOI!C111:AD157,16,0)</f>
        <v>1791</v>
      </c>
      <c r="H116" s="1230">
        <f>VLOOKUP(C116,TONGHOPCONGDOI!C111:AD157,18,0)</f>
        <v>0</v>
      </c>
      <c r="I116" s="1230"/>
      <c r="J116" s="1231">
        <f t="shared" si="22"/>
        <v>909.55564188837832</v>
      </c>
      <c r="K116" s="1232" t="str">
        <f>VLOOKUP(C116,'BTH mủ tạp'!$C$98:$AL$160,36,0)</f>
        <v>A</v>
      </c>
      <c r="L116" s="1250">
        <f t="shared" si="26"/>
        <v>3347172</v>
      </c>
      <c r="M116" s="1234">
        <f>VLOOKUP(C116,TONGHOPCONGDOI!$C$93:$AD$150,20,0)</f>
        <v>27</v>
      </c>
      <c r="N116" s="1234">
        <f>VLOOKUP(C116,TONGHOPCONGDOI!$C$93:$AD$150,21,0)</f>
        <v>3</v>
      </c>
      <c r="O116" s="1234">
        <f>VLOOKUP(C116,TONGHOPCONGDOI!$C$93:$AD$150,22,0)</f>
        <v>0</v>
      </c>
      <c r="P116" s="1234">
        <f>VLOOKUP(C116,TONGHOPCONGDOI!$C$93:$AD$150,23,0)</f>
        <v>0</v>
      </c>
      <c r="Q116" s="1234">
        <f>VLOOKUP(C116,TONGHOPCONGDOI!$C$93:$AD$150,24,0)</f>
        <v>0</v>
      </c>
      <c r="R116" s="1234">
        <f>VLOOKUP(C116,TONGHOPCONGDOI!$C$93:$AD$150,25,0)</f>
        <v>0</v>
      </c>
      <c r="S116" s="1234">
        <f t="shared" si="23"/>
        <v>20</v>
      </c>
      <c r="T116" s="1235"/>
      <c r="U116" s="1235"/>
      <c r="V116" s="1235"/>
      <c r="W116" s="1234">
        <f t="shared" si="27"/>
        <v>1485907</v>
      </c>
      <c r="X116" s="1234">
        <f t="shared" si="24"/>
        <v>4833079</v>
      </c>
      <c r="Y116" s="1241"/>
      <c r="Z116" s="1237">
        <f t="shared" si="25"/>
        <v>4833079</v>
      </c>
      <c r="AA116" s="1230"/>
      <c r="AB116" s="1236"/>
      <c r="AC116" s="902">
        <f t="shared" si="20"/>
        <v>19</v>
      </c>
      <c r="AD116" s="784"/>
      <c r="AE116" s="784"/>
      <c r="AF116" s="784"/>
      <c r="AG116" s="784"/>
      <c r="AH116" s="784"/>
      <c r="AI116" s="784"/>
      <c r="AJ116" s="784"/>
      <c r="AK116" s="784"/>
    </row>
    <row r="117" spans="1:37" s="785" customFormat="1" ht="38.25" customHeight="1">
      <c r="A117" s="1239">
        <v>20</v>
      </c>
      <c r="B117" s="1239" t="str">
        <f>'Chấm công KT'!D113</f>
        <v>03607</v>
      </c>
      <c r="C117" s="1239" t="str">
        <f>TONGHOPCONGDOI!C112</f>
        <v>T. Huôn</v>
      </c>
      <c r="D117" s="1239" t="s">
        <v>30</v>
      </c>
      <c r="E117" s="1240"/>
      <c r="F117" s="1230">
        <f t="shared" si="21"/>
        <v>0</v>
      </c>
      <c r="G117" s="1230">
        <f>VLOOKUP(C117,TONGHOPCONGDOI!C112:AD157,16,0)</f>
        <v>1482</v>
      </c>
      <c r="H117" s="1230">
        <f>VLOOKUP(C117,TONGHOPCONGDOI!C112:AD157,18,0)</f>
        <v>0</v>
      </c>
      <c r="I117" s="1230"/>
      <c r="J117" s="1231">
        <f t="shared" si="22"/>
        <v>752.63063164632979</v>
      </c>
      <c r="K117" s="1232" t="str">
        <f>VLOOKUP(C117,'BTH mủ tạp'!$C$98:$AL$160,36,0)</f>
        <v>A</v>
      </c>
      <c r="L117" s="1250">
        <f t="shared" si="26"/>
        <v>2769687</v>
      </c>
      <c r="M117" s="1234">
        <f>VLOOKUP(C117,TONGHOPCONGDOI!$C$93:$AD$150,20,0)</f>
        <v>27</v>
      </c>
      <c r="N117" s="1234">
        <f>VLOOKUP(C117,TONGHOPCONGDOI!$C$93:$AD$150,21,0)</f>
        <v>3</v>
      </c>
      <c r="O117" s="1234">
        <f>VLOOKUP(C117,TONGHOPCONGDOI!$C$93:$AD$150,22,0)</f>
        <v>0</v>
      </c>
      <c r="P117" s="1234">
        <f>VLOOKUP(C117,TONGHOPCONGDOI!$C$93:$AD$150,23,0)</f>
        <v>0</v>
      </c>
      <c r="Q117" s="1234">
        <f>VLOOKUP(C117,TONGHOPCONGDOI!$C$93:$AD$150,24,0)</f>
        <v>0</v>
      </c>
      <c r="R117" s="1234">
        <f>VLOOKUP(C117,TONGHOPCONGDOI!$C$93:$AD$150,25,0)</f>
        <v>0</v>
      </c>
      <c r="S117" s="1234">
        <f t="shared" si="23"/>
        <v>20</v>
      </c>
      <c r="T117" s="1235"/>
      <c r="U117" s="1235"/>
      <c r="V117" s="1235"/>
      <c r="W117" s="1234">
        <f t="shared" si="27"/>
        <v>1485907</v>
      </c>
      <c r="X117" s="1234">
        <f t="shared" si="24"/>
        <v>4255594</v>
      </c>
      <c r="Y117" s="1241"/>
      <c r="Z117" s="1237">
        <f t="shared" si="25"/>
        <v>4255594</v>
      </c>
      <c r="AA117" s="1230"/>
      <c r="AB117" s="1236"/>
      <c r="AC117" s="902">
        <f t="shared" si="20"/>
        <v>20</v>
      </c>
      <c r="AD117" s="784"/>
      <c r="AE117" s="784"/>
      <c r="AF117" s="784"/>
      <c r="AG117" s="784"/>
      <c r="AH117" s="784"/>
      <c r="AI117" s="784"/>
      <c r="AJ117" s="784"/>
      <c r="AK117" s="784"/>
    </row>
    <row r="118" spans="1:37" s="785" customFormat="1" ht="38.25" customHeight="1">
      <c r="A118" s="1239">
        <v>21</v>
      </c>
      <c r="B118" s="1239" t="str">
        <f>'Chấm công KT'!D114</f>
        <v>02729</v>
      </c>
      <c r="C118" s="1239" t="str">
        <f>TONGHOPCONGDOI!C113</f>
        <v>N. Lay</v>
      </c>
      <c r="D118" s="1239" t="s">
        <v>30</v>
      </c>
      <c r="E118" s="1240"/>
      <c r="F118" s="1230">
        <f t="shared" si="21"/>
        <v>0</v>
      </c>
      <c r="G118" s="1230">
        <f>VLOOKUP(C118,TONGHOPCONGDOI!C113:AD157,16,0)</f>
        <v>1425</v>
      </c>
      <c r="H118" s="1230">
        <f>VLOOKUP(C118,TONGHOPCONGDOI!C113:AD157,18,0)</f>
        <v>0</v>
      </c>
      <c r="I118" s="1230"/>
      <c r="J118" s="1231">
        <f t="shared" si="22"/>
        <v>723.68329965993246</v>
      </c>
      <c r="K118" s="1232" t="str">
        <f>VLOOKUP(C118,'BTH mủ tạp'!$C$98:$AL$160,36,0)</f>
        <v>A</v>
      </c>
      <c r="L118" s="1250">
        <f t="shared" si="26"/>
        <v>2663160</v>
      </c>
      <c r="M118" s="1234">
        <f>VLOOKUP(C118,TONGHOPCONGDOI!$C$93:$AD$150,20,0)</f>
        <v>27</v>
      </c>
      <c r="N118" s="1234">
        <f>VLOOKUP(C118,TONGHOPCONGDOI!$C$93:$AD$150,21,0)</f>
        <v>3</v>
      </c>
      <c r="O118" s="1234">
        <f>VLOOKUP(C118,TONGHOPCONGDOI!$C$93:$AD$150,22,0)</f>
        <v>0</v>
      </c>
      <c r="P118" s="1234">
        <f>VLOOKUP(C118,TONGHOPCONGDOI!$C$93:$AD$150,23,0)</f>
        <v>0</v>
      </c>
      <c r="Q118" s="1234">
        <f>VLOOKUP(C118,TONGHOPCONGDOI!$C$93:$AD$150,24,0)</f>
        <v>0</v>
      </c>
      <c r="R118" s="1234">
        <f>VLOOKUP(C118,TONGHOPCONGDOI!$C$93:$AD$150,25,0)</f>
        <v>0</v>
      </c>
      <c r="S118" s="1234">
        <f t="shared" si="23"/>
        <v>20</v>
      </c>
      <c r="T118" s="1235"/>
      <c r="U118" s="1235"/>
      <c r="V118" s="1235"/>
      <c r="W118" s="1234">
        <f t="shared" si="27"/>
        <v>1485907</v>
      </c>
      <c r="X118" s="1234">
        <f t="shared" si="24"/>
        <v>4149067</v>
      </c>
      <c r="Y118" s="1241"/>
      <c r="Z118" s="1237">
        <f t="shared" si="25"/>
        <v>4149067</v>
      </c>
      <c r="AA118" s="1230"/>
      <c r="AB118" s="1236"/>
      <c r="AC118" s="902">
        <f t="shared" si="20"/>
        <v>21</v>
      </c>
      <c r="AD118" s="784"/>
      <c r="AE118" s="784"/>
      <c r="AF118" s="784"/>
      <c r="AG118" s="784"/>
      <c r="AH118" s="784"/>
      <c r="AI118" s="784"/>
      <c r="AJ118" s="784"/>
      <c r="AK118" s="784"/>
    </row>
    <row r="119" spans="1:37" s="785" customFormat="1" ht="38.25" customHeight="1">
      <c r="A119" s="1239">
        <v>22</v>
      </c>
      <c r="B119" s="1239" t="str">
        <f>'Chấm công KT'!D115</f>
        <v>03608</v>
      </c>
      <c r="C119" s="1239" t="str">
        <f>TONGHOPCONGDOI!C114</f>
        <v>N. Pon</v>
      </c>
      <c r="D119" s="1239" t="s">
        <v>30</v>
      </c>
      <c r="E119" s="1240"/>
      <c r="F119" s="1230">
        <f t="shared" si="21"/>
        <v>0</v>
      </c>
      <c r="G119" s="1230">
        <f>VLOOKUP(C119,TONGHOPCONGDOI!C114:AD157,16,0)</f>
        <v>2212</v>
      </c>
      <c r="H119" s="1230">
        <f>VLOOKUP(C119,TONGHOPCONGDOI!C114:AD157,18,0)</f>
        <v>0</v>
      </c>
      <c r="I119" s="1230"/>
      <c r="J119" s="1231">
        <f t="shared" si="22"/>
        <v>1123.3596202440494</v>
      </c>
      <c r="K119" s="1232" t="str">
        <f>VLOOKUP(C119,'BTH mủ tạp'!$C$98:$AL$160,36,0)</f>
        <v>A</v>
      </c>
      <c r="L119" s="1250">
        <f t="shared" si="26"/>
        <v>4133972</v>
      </c>
      <c r="M119" s="1234">
        <f>VLOOKUP(C119,TONGHOPCONGDOI!$C$93:$AD$150,20,0)</f>
        <v>27</v>
      </c>
      <c r="N119" s="1234">
        <f>VLOOKUP(C119,TONGHOPCONGDOI!$C$93:$AD$150,21,0)</f>
        <v>4</v>
      </c>
      <c r="O119" s="1234">
        <f>VLOOKUP(C119,TONGHOPCONGDOI!$C$93:$AD$150,22,0)</f>
        <v>0</v>
      </c>
      <c r="P119" s="1234">
        <f>VLOOKUP(C119,TONGHOPCONGDOI!$C$93:$AD$150,23,0)</f>
        <v>0</v>
      </c>
      <c r="Q119" s="1234">
        <f>VLOOKUP(C119,TONGHOPCONGDOI!$C$93:$AD$150,24,0)</f>
        <v>0</v>
      </c>
      <c r="R119" s="1234">
        <f>VLOOKUP(C119,TONGHOPCONGDOI!$C$93:$AD$150,25,0)</f>
        <v>0</v>
      </c>
      <c r="S119" s="1234">
        <f t="shared" si="23"/>
        <v>20</v>
      </c>
      <c r="T119" s="1235"/>
      <c r="U119" s="1235"/>
      <c r="V119" s="1235"/>
      <c r="W119" s="1234">
        <f t="shared" si="27"/>
        <v>1537293</v>
      </c>
      <c r="X119" s="1234">
        <f t="shared" si="24"/>
        <v>5671265</v>
      </c>
      <c r="Y119" s="1241"/>
      <c r="Z119" s="1237">
        <f t="shared" si="25"/>
        <v>5671265</v>
      </c>
      <c r="AA119" s="1230"/>
      <c r="AB119" s="1236"/>
      <c r="AC119" s="902">
        <f t="shared" si="20"/>
        <v>22</v>
      </c>
      <c r="AD119" s="784"/>
      <c r="AE119" s="784"/>
      <c r="AF119" s="784"/>
      <c r="AG119" s="784"/>
      <c r="AH119" s="784"/>
      <c r="AI119" s="784"/>
      <c r="AJ119" s="784"/>
      <c r="AK119" s="784"/>
    </row>
    <row r="120" spans="1:37" s="785" customFormat="1" ht="38.25" customHeight="1">
      <c r="A120" s="1239">
        <v>23</v>
      </c>
      <c r="B120" s="1239" t="str">
        <f>'Chấm công KT'!D116</f>
        <v>03609</v>
      </c>
      <c r="C120" s="1239" t="str">
        <f>TONGHOPCONGDOI!C115</f>
        <v>N. Bun Đi</v>
      </c>
      <c r="D120" s="1239" t="s">
        <v>30</v>
      </c>
      <c r="E120" s="1240"/>
      <c r="F120" s="1230">
        <f t="shared" si="21"/>
        <v>0</v>
      </c>
      <c r="G120" s="1230">
        <f>VLOOKUP(C120,TONGHOPCONGDOI!C115:AD157,16,0)</f>
        <v>1530</v>
      </c>
      <c r="H120" s="1230">
        <f>VLOOKUP(C120,TONGHOPCONGDOI!C115:AD157,18,0)</f>
        <v>0</v>
      </c>
      <c r="I120" s="1230"/>
      <c r="J120" s="1231">
        <f t="shared" si="22"/>
        <v>777.00733226645377</v>
      </c>
      <c r="K120" s="1232" t="str">
        <f>VLOOKUP(C120,'BTH mủ tạp'!$C$98:$AL$160,36,0)</f>
        <v>A</v>
      </c>
      <c r="L120" s="1250">
        <f t="shared" si="26"/>
        <v>2859393</v>
      </c>
      <c r="M120" s="1234">
        <f>VLOOKUP(C120,TONGHOPCONGDOI!$C$93:$AD$150,20,0)</f>
        <v>27</v>
      </c>
      <c r="N120" s="1234">
        <f>VLOOKUP(C120,TONGHOPCONGDOI!$C$93:$AD$150,21,0)</f>
        <v>4</v>
      </c>
      <c r="O120" s="1234">
        <f>VLOOKUP(C120,TONGHOPCONGDOI!$C$93:$AD$150,22,0)</f>
        <v>0</v>
      </c>
      <c r="P120" s="1234">
        <f>VLOOKUP(C120,TONGHOPCONGDOI!$C$93:$AD$150,23,0)</f>
        <v>0</v>
      </c>
      <c r="Q120" s="1234">
        <f>VLOOKUP(C120,TONGHOPCONGDOI!$C$93:$AD$150,24,0)</f>
        <v>0</v>
      </c>
      <c r="R120" s="1234">
        <f>VLOOKUP(C120,TONGHOPCONGDOI!$C$93:$AD$150,25,0)</f>
        <v>0</v>
      </c>
      <c r="S120" s="1234">
        <f t="shared" si="23"/>
        <v>20</v>
      </c>
      <c r="T120" s="1235"/>
      <c r="U120" s="1235"/>
      <c r="V120" s="1235"/>
      <c r="W120" s="1234">
        <f t="shared" si="27"/>
        <v>1537293</v>
      </c>
      <c r="X120" s="1234">
        <f t="shared" si="24"/>
        <v>4396686</v>
      </c>
      <c r="Y120" s="1241"/>
      <c r="Z120" s="1237">
        <f t="shared" si="25"/>
        <v>4396686</v>
      </c>
      <c r="AA120" s="1230"/>
      <c r="AB120" s="1236"/>
      <c r="AC120" s="902">
        <f t="shared" si="20"/>
        <v>23</v>
      </c>
      <c r="AD120" s="784"/>
      <c r="AE120" s="784"/>
      <c r="AF120" s="784"/>
      <c r="AG120" s="784"/>
      <c r="AH120" s="784"/>
      <c r="AI120" s="784"/>
      <c r="AJ120" s="784"/>
      <c r="AK120" s="784"/>
    </row>
    <row r="121" spans="1:37" s="785" customFormat="1" ht="38.25" customHeight="1">
      <c r="A121" s="1239">
        <v>24</v>
      </c>
      <c r="B121" s="1239" t="str">
        <f>'Chấm công KT'!D117</f>
        <v>03610</v>
      </c>
      <c r="C121" s="1239" t="str">
        <f>TONGHOPCONGDOI!C116</f>
        <v>N. Phon</v>
      </c>
      <c r="D121" s="1239" t="s">
        <v>30</v>
      </c>
      <c r="E121" s="1240"/>
      <c r="F121" s="1230">
        <f t="shared" si="21"/>
        <v>0</v>
      </c>
      <c r="G121" s="1230">
        <f>VLOOKUP(C121,TONGHOPCONGDOI!C116:AD157,16,0)</f>
        <v>1556</v>
      </c>
      <c r="H121" s="1230">
        <f>VLOOKUP(C121,TONGHOPCONGDOI!C116:AD157,18,0)</f>
        <v>0</v>
      </c>
      <c r="I121" s="1230"/>
      <c r="J121" s="1231">
        <f t="shared" si="22"/>
        <v>790.21137843568761</v>
      </c>
      <c r="K121" s="1232" t="str">
        <f>VLOOKUP(C121,'BTH mủ tạp'!$C$98:$AL$160,36,0)</f>
        <v>A</v>
      </c>
      <c r="L121" s="1250">
        <f t="shared" si="26"/>
        <v>2907984</v>
      </c>
      <c r="M121" s="1234">
        <f>VLOOKUP(C121,TONGHOPCONGDOI!$C$93:$AD$150,20,0)</f>
        <v>27</v>
      </c>
      <c r="N121" s="1234">
        <f>VLOOKUP(C121,TONGHOPCONGDOI!$C$93:$AD$150,21,0)</f>
        <v>4</v>
      </c>
      <c r="O121" s="1234">
        <f>VLOOKUP(C121,TONGHOPCONGDOI!$C$93:$AD$150,22,0)</f>
        <v>0</v>
      </c>
      <c r="P121" s="1234">
        <f>VLOOKUP(C121,TONGHOPCONGDOI!$C$93:$AD$150,23,0)</f>
        <v>0</v>
      </c>
      <c r="Q121" s="1234">
        <f>VLOOKUP(C121,TONGHOPCONGDOI!$C$93:$AD$150,24,0)</f>
        <v>0</v>
      </c>
      <c r="R121" s="1234">
        <f>VLOOKUP(C121,TONGHOPCONGDOI!$C$93:$AD$150,25,0)</f>
        <v>0</v>
      </c>
      <c r="S121" s="1234">
        <f t="shared" si="23"/>
        <v>20</v>
      </c>
      <c r="T121" s="1235"/>
      <c r="U121" s="1235"/>
      <c r="V121" s="1235"/>
      <c r="W121" s="1234">
        <f t="shared" si="27"/>
        <v>1537293</v>
      </c>
      <c r="X121" s="1234">
        <f t="shared" si="24"/>
        <v>4445277</v>
      </c>
      <c r="Y121" s="1241"/>
      <c r="Z121" s="1237">
        <f t="shared" si="25"/>
        <v>4445277</v>
      </c>
      <c r="AA121" s="1230"/>
      <c r="AB121" s="1236"/>
      <c r="AC121" s="902">
        <f t="shared" si="20"/>
        <v>24</v>
      </c>
      <c r="AD121" s="784"/>
      <c r="AE121" s="784"/>
      <c r="AF121" s="784"/>
      <c r="AG121" s="784"/>
      <c r="AH121" s="784"/>
      <c r="AI121" s="784"/>
      <c r="AJ121" s="784"/>
      <c r="AK121" s="784"/>
    </row>
    <row r="122" spans="1:37" s="785" customFormat="1" ht="38.25" customHeight="1">
      <c r="A122" s="1239">
        <v>25</v>
      </c>
      <c r="B122" s="1239" t="e">
        <f>'Chấm công KT'!D118</f>
        <v>#N/A</v>
      </c>
      <c r="C122" s="1239" t="str">
        <f>TONGHOPCONGDOI!C117</f>
        <v xml:space="preserve">N. Bun </v>
      </c>
      <c r="D122" s="1239" t="s">
        <v>30</v>
      </c>
      <c r="E122" s="1240"/>
      <c r="F122" s="1230">
        <f t="shared" si="21"/>
        <v>0</v>
      </c>
      <c r="G122" s="1230">
        <f>VLOOKUP(C122,TONGHOPCONGDOI!C117:AD157,16,0)</f>
        <v>2106</v>
      </c>
      <c r="H122" s="1230">
        <f>VLOOKUP(C122,TONGHOPCONGDOI!C117:AD157,18,0)</f>
        <v>0</v>
      </c>
      <c r="I122" s="1230"/>
      <c r="J122" s="1231">
        <f t="shared" si="22"/>
        <v>1069.5277397079424</v>
      </c>
      <c r="K122" s="1232" t="str">
        <f>VLOOKUP(C122,'BTH mủ tạp'!$C$98:$AL$160,36,0)</f>
        <v>A</v>
      </c>
      <c r="L122" s="1250">
        <f t="shared" si="26"/>
        <v>3935871</v>
      </c>
      <c r="M122" s="1234">
        <f>VLOOKUP(C122,TONGHOPCONGDOI!$C$93:$AD$150,20,0)</f>
        <v>27</v>
      </c>
      <c r="N122" s="1234">
        <f>VLOOKUP(C122,TONGHOPCONGDOI!$C$93:$AD$150,21,0)</f>
        <v>4</v>
      </c>
      <c r="O122" s="1234">
        <f>VLOOKUP(C122,TONGHOPCONGDOI!$C$93:$AD$150,22,0)</f>
        <v>0</v>
      </c>
      <c r="P122" s="1234">
        <f>VLOOKUP(C122,TONGHOPCONGDOI!$C$93:$AD$150,23,0)</f>
        <v>0</v>
      </c>
      <c r="Q122" s="1234">
        <f>VLOOKUP(C122,TONGHOPCONGDOI!$C$93:$AD$150,24,0)</f>
        <v>0</v>
      </c>
      <c r="R122" s="1234">
        <f>VLOOKUP(C122,TONGHOPCONGDOI!$C$93:$AD$150,25,0)</f>
        <v>0</v>
      </c>
      <c r="S122" s="1234">
        <f t="shared" si="23"/>
        <v>20</v>
      </c>
      <c r="T122" s="1235"/>
      <c r="U122" s="1235"/>
      <c r="V122" s="1235"/>
      <c r="W122" s="1234">
        <f t="shared" si="27"/>
        <v>1537293</v>
      </c>
      <c r="X122" s="1234">
        <f t="shared" si="24"/>
        <v>5473164</v>
      </c>
      <c r="Y122" s="1241"/>
      <c r="Z122" s="1237">
        <f t="shared" si="25"/>
        <v>5473164</v>
      </c>
      <c r="AA122" s="1230"/>
      <c r="AB122" s="1236"/>
      <c r="AC122" s="902">
        <f t="shared" si="20"/>
        <v>25</v>
      </c>
      <c r="AD122" s="784"/>
      <c r="AE122" s="784"/>
      <c r="AF122" s="784"/>
      <c r="AG122" s="784"/>
      <c r="AH122" s="784"/>
      <c r="AI122" s="784"/>
      <c r="AJ122" s="784"/>
      <c r="AK122" s="784"/>
    </row>
    <row r="123" spans="1:37" s="785" customFormat="1" ht="38.25" customHeight="1">
      <c r="A123" s="1239">
        <v>26</v>
      </c>
      <c r="B123" s="1239" t="str">
        <f>'Chấm công KT'!D119</f>
        <v>03612</v>
      </c>
      <c r="C123" s="1239" t="str">
        <f>TONGHOPCONGDOI!C118</f>
        <v>N. Phu Văn</v>
      </c>
      <c r="D123" s="1239" t="s">
        <v>30</v>
      </c>
      <c r="E123" s="1240"/>
      <c r="F123" s="1230">
        <f t="shared" si="21"/>
        <v>0</v>
      </c>
      <c r="G123" s="1230">
        <f>VLOOKUP(C123,TONGHOPCONGDOI!C118:AD157,16,0)</f>
        <v>2254</v>
      </c>
      <c r="H123" s="1230">
        <f>VLOOKUP(C123,TONGHOPCONGDOI!C118:AD157,18,0)</f>
        <v>0</v>
      </c>
      <c r="I123" s="1230"/>
      <c r="J123" s="1231">
        <f t="shared" si="22"/>
        <v>1144.689233286658</v>
      </c>
      <c r="K123" s="1232" t="str">
        <f>VLOOKUP(C123,'BTH mủ tạp'!$C$98:$AL$160,36,0)</f>
        <v>A</v>
      </c>
      <c r="L123" s="1250">
        <f t="shared" si="26"/>
        <v>4212466</v>
      </c>
      <c r="M123" s="1234">
        <f>VLOOKUP(C123,TONGHOPCONGDOI!$C$93:$AD$150,20,0)</f>
        <v>27</v>
      </c>
      <c r="N123" s="1234">
        <f>VLOOKUP(C123,TONGHOPCONGDOI!$C$93:$AD$150,21,0)</f>
        <v>4</v>
      </c>
      <c r="O123" s="1234">
        <f>VLOOKUP(C123,TONGHOPCONGDOI!$C$93:$AD$150,22,0)</f>
        <v>0</v>
      </c>
      <c r="P123" s="1234">
        <f>VLOOKUP(C123,TONGHOPCONGDOI!$C$93:$AD$150,23,0)</f>
        <v>0</v>
      </c>
      <c r="Q123" s="1234">
        <f>VLOOKUP(C123,TONGHOPCONGDOI!$C$93:$AD$150,24,0)</f>
        <v>0</v>
      </c>
      <c r="R123" s="1234">
        <f>VLOOKUP(C123,TONGHOPCONGDOI!$C$93:$AD$150,25,0)</f>
        <v>0</v>
      </c>
      <c r="S123" s="1234">
        <f t="shared" si="23"/>
        <v>20</v>
      </c>
      <c r="T123" s="1235"/>
      <c r="U123" s="1235"/>
      <c r="V123" s="1235"/>
      <c r="W123" s="1234">
        <f t="shared" si="27"/>
        <v>1537293</v>
      </c>
      <c r="X123" s="1234">
        <f t="shared" si="24"/>
        <v>5749759</v>
      </c>
      <c r="Y123" s="1241"/>
      <c r="Z123" s="1237">
        <f t="shared" si="25"/>
        <v>5749759</v>
      </c>
      <c r="AA123" s="1230"/>
      <c r="AB123" s="1236"/>
      <c r="AC123" s="902">
        <f t="shared" si="20"/>
        <v>26</v>
      </c>
      <c r="AD123" s="784"/>
      <c r="AE123" s="784"/>
      <c r="AF123" s="784"/>
      <c r="AG123" s="784"/>
      <c r="AH123" s="784"/>
      <c r="AI123" s="784"/>
      <c r="AJ123" s="784"/>
      <c r="AK123" s="784"/>
    </row>
    <row r="124" spans="1:37" s="785" customFormat="1" ht="38.25" customHeight="1">
      <c r="A124" s="1239">
        <v>27</v>
      </c>
      <c r="B124" s="1239" t="str">
        <f>'Chấm công KT'!D120</f>
        <v>03613</v>
      </c>
      <c r="C124" s="1239" t="str">
        <f>TONGHOPCONGDOI!C119</f>
        <v>N. Lỷ</v>
      </c>
      <c r="D124" s="1239" t="s">
        <v>30</v>
      </c>
      <c r="E124" s="1240"/>
      <c r="F124" s="1230">
        <f t="shared" si="21"/>
        <v>0</v>
      </c>
      <c r="G124" s="1230">
        <f>VLOOKUP(C124,TONGHOPCONGDOI!C119:AD157,16,0)</f>
        <v>201</v>
      </c>
      <c r="H124" s="1230">
        <f>VLOOKUP(C124,TONGHOPCONGDOI!C119:AD157,18,0)</f>
        <v>0</v>
      </c>
      <c r="I124" s="1230"/>
      <c r="J124" s="1231">
        <f t="shared" si="22"/>
        <v>102.07743384676942</v>
      </c>
      <c r="K124" s="1232" t="str">
        <f>VLOOKUP(C124,'BTH mủ tạp'!$C$98:$AL$160,36,0)</f>
        <v>A</v>
      </c>
      <c r="L124" s="1250">
        <f t="shared" si="26"/>
        <v>375646</v>
      </c>
      <c r="M124" s="1234">
        <f>VLOOKUP(C124,TONGHOPCONGDOI!$C$93:$AD$150,20,0)</f>
        <v>17</v>
      </c>
      <c r="N124" s="1234">
        <f>VLOOKUP(C124,TONGHOPCONGDOI!$C$93:$AD$150,21,0)</f>
        <v>3</v>
      </c>
      <c r="O124" s="1234">
        <f>VLOOKUP(C124,TONGHOPCONGDOI!$C$93:$AD$150,22,0)</f>
        <v>0</v>
      </c>
      <c r="P124" s="1234">
        <f>VLOOKUP(C124,TONGHOPCONGDOI!$C$93:$AD$150,23,0)</f>
        <v>0</v>
      </c>
      <c r="Q124" s="1234">
        <f>VLOOKUP(C124,TONGHOPCONGDOI!$C$93:$AD$150,24,0)</f>
        <v>0</v>
      </c>
      <c r="R124" s="1234">
        <f>VLOOKUP(C124,TONGHOPCONGDOI!$C$93:$AD$150,25,0)</f>
        <v>0</v>
      </c>
      <c r="S124" s="1234">
        <f t="shared" si="23"/>
        <v>20</v>
      </c>
      <c r="T124" s="1235"/>
      <c r="U124" s="1235"/>
      <c r="V124" s="1235"/>
      <c r="W124" s="1234">
        <f t="shared" si="27"/>
        <v>1177853</v>
      </c>
      <c r="X124" s="1234">
        <f t="shared" si="24"/>
        <v>1553499</v>
      </c>
      <c r="Y124" s="1241"/>
      <c r="Z124" s="1237">
        <f t="shared" si="25"/>
        <v>1553499</v>
      </c>
      <c r="AA124" s="1230"/>
      <c r="AB124" s="1236"/>
      <c r="AC124" s="902">
        <f t="shared" si="20"/>
        <v>27</v>
      </c>
      <c r="AD124" s="784"/>
      <c r="AE124" s="784"/>
      <c r="AF124" s="784"/>
      <c r="AG124" s="784"/>
      <c r="AH124" s="784"/>
      <c r="AI124" s="784"/>
      <c r="AJ124" s="784"/>
      <c r="AK124" s="784"/>
    </row>
    <row r="125" spans="1:37" s="785" customFormat="1" ht="38.25" customHeight="1">
      <c r="A125" s="1239">
        <v>28</v>
      </c>
      <c r="B125" s="1239"/>
      <c r="C125" s="1239" t="str">
        <f>TONGHOPCONGDOI!C120</f>
        <v>N. Quen</v>
      </c>
      <c r="D125" s="1239" t="s">
        <v>30</v>
      </c>
      <c r="E125" s="1240"/>
      <c r="F125" s="1230">
        <f t="shared" si="21"/>
        <v>0</v>
      </c>
      <c r="G125" s="1230">
        <f>VLOOKUP(C125,TONGHOPCONGDOI!C120:AD157,16,0)</f>
        <v>1795</v>
      </c>
      <c r="H125" s="1230">
        <f>VLOOKUP(C125,TONGHOPCONGDOI!C120:AD157,18,0)</f>
        <v>0</v>
      </c>
      <c r="I125" s="1230"/>
      <c r="J125" s="1231">
        <f t="shared" si="22"/>
        <v>911.58703360672189</v>
      </c>
      <c r="K125" s="1232" t="str">
        <f>VLOOKUP(C125,'BTH mủ tạp'!$C$98:$AL$160,36,0)</f>
        <v>A</v>
      </c>
      <c r="L125" s="1250">
        <f t="shared" si="26"/>
        <v>3354648</v>
      </c>
      <c r="M125" s="1234">
        <f>VLOOKUP(C125,TONGHOPCONGDOI!$C$93:$AD$150,20,0)</f>
        <v>27</v>
      </c>
      <c r="N125" s="1234">
        <f>VLOOKUP(C125,TONGHOPCONGDOI!$C$93:$AD$150,21,0)</f>
        <v>4</v>
      </c>
      <c r="O125" s="1234">
        <f>VLOOKUP(C125,TONGHOPCONGDOI!$C$93:$AD$150,22,0)</f>
        <v>0</v>
      </c>
      <c r="P125" s="1234">
        <f>VLOOKUP(C125,TONGHOPCONGDOI!$C$93:$AD$150,23,0)</f>
        <v>0</v>
      </c>
      <c r="Q125" s="1234">
        <f>VLOOKUP(C125,TONGHOPCONGDOI!$C$93:$AD$150,24,0)</f>
        <v>0</v>
      </c>
      <c r="R125" s="1234">
        <f>VLOOKUP(C125,TONGHOPCONGDOI!$C$93:$AD$150,25,0)</f>
        <v>0</v>
      </c>
      <c r="S125" s="1234">
        <f t="shared" si="23"/>
        <v>20</v>
      </c>
      <c r="T125" s="1235"/>
      <c r="U125" s="1235"/>
      <c r="V125" s="1235"/>
      <c r="W125" s="1234">
        <f t="shared" si="27"/>
        <v>1537293</v>
      </c>
      <c r="X125" s="1234">
        <f t="shared" si="24"/>
        <v>4891941</v>
      </c>
      <c r="Y125" s="1241"/>
      <c r="Z125" s="1237">
        <f t="shared" si="25"/>
        <v>4891941</v>
      </c>
      <c r="AA125" s="1230"/>
      <c r="AB125" s="1236"/>
      <c r="AC125" s="902">
        <f t="shared" si="20"/>
        <v>28</v>
      </c>
      <c r="AD125" s="784"/>
      <c r="AE125" s="784"/>
      <c r="AF125" s="784"/>
      <c r="AG125" s="784"/>
      <c r="AH125" s="784"/>
      <c r="AI125" s="784"/>
      <c r="AJ125" s="784"/>
      <c r="AK125" s="784"/>
    </row>
    <row r="126" spans="1:37" s="785" customFormat="1" ht="38.25" customHeight="1">
      <c r="A126" s="1239">
        <v>29</v>
      </c>
      <c r="B126" s="1239" t="str">
        <f>'Chấm công KT'!D122</f>
        <v>03615</v>
      </c>
      <c r="C126" s="1239" t="str">
        <f>TONGHOPCONGDOI!C121</f>
        <v>T. Xi Nuôn</v>
      </c>
      <c r="D126" s="1239" t="s">
        <v>30</v>
      </c>
      <c r="E126" s="1240"/>
      <c r="F126" s="1230">
        <f t="shared" si="21"/>
        <v>0</v>
      </c>
      <c r="G126" s="1230">
        <f>VLOOKUP(C126,TONGHOPCONGDOI!C121:AD157,16,0)</f>
        <v>1206</v>
      </c>
      <c r="H126" s="1230">
        <f>VLOOKUP(C126,TONGHOPCONGDOI!C121:AD157,18,0)</f>
        <v>0</v>
      </c>
      <c r="I126" s="1230"/>
      <c r="J126" s="1231">
        <f t="shared" si="22"/>
        <v>612.46460308061648</v>
      </c>
      <c r="K126" s="1232" t="str">
        <f>VLOOKUP(C126,'BTH mủ tạp'!$C$98:$AL$160,36,0)</f>
        <v>B</v>
      </c>
      <c r="L126" s="1250">
        <f t="shared" si="26"/>
        <v>2143028</v>
      </c>
      <c r="M126" s="1234">
        <f>VLOOKUP(C126,TONGHOPCONGDOI!$C$93:$AD$150,20,0)</f>
        <v>20</v>
      </c>
      <c r="N126" s="1234">
        <f>VLOOKUP(C126,TONGHOPCONGDOI!$C$93:$AD$150,21,0)</f>
        <v>1</v>
      </c>
      <c r="O126" s="1234">
        <f>VLOOKUP(C126,TONGHOPCONGDOI!$C$93:$AD$150,22,0)</f>
        <v>0</v>
      </c>
      <c r="P126" s="1234">
        <f>VLOOKUP(C126,TONGHOPCONGDOI!$C$93:$AD$150,23,0)</f>
        <v>0</v>
      </c>
      <c r="Q126" s="1234">
        <f>VLOOKUP(C126,TONGHOPCONGDOI!$C$93:$AD$150,24,0)</f>
        <v>0</v>
      </c>
      <c r="R126" s="1234">
        <f>VLOOKUP(C126,TONGHOPCONGDOI!$C$93:$AD$150,25,0)</f>
        <v>0</v>
      </c>
      <c r="S126" s="1234">
        <f t="shared" si="23"/>
        <v>20</v>
      </c>
      <c r="T126" s="1235"/>
      <c r="U126" s="1235"/>
      <c r="V126" s="1235"/>
      <c r="W126" s="1234">
        <f t="shared" si="27"/>
        <v>1167495</v>
      </c>
      <c r="X126" s="1234">
        <f t="shared" si="24"/>
        <v>3310523</v>
      </c>
      <c r="Y126" s="1241"/>
      <c r="Z126" s="1237">
        <f t="shared" si="25"/>
        <v>3310523</v>
      </c>
      <c r="AA126" s="1230"/>
      <c r="AB126" s="1236"/>
      <c r="AC126" s="902">
        <f t="shared" si="20"/>
        <v>29</v>
      </c>
      <c r="AD126" s="784"/>
      <c r="AE126" s="784"/>
      <c r="AF126" s="784"/>
      <c r="AG126" s="784"/>
      <c r="AH126" s="784"/>
      <c r="AI126" s="784"/>
      <c r="AJ126" s="784"/>
      <c r="AK126" s="784"/>
    </row>
    <row r="127" spans="1:37" s="785" customFormat="1" ht="38.25" customHeight="1">
      <c r="A127" s="1239">
        <v>30</v>
      </c>
      <c r="B127" s="1239" t="str">
        <f>'Chấm công KT'!D123</f>
        <v>03616</v>
      </c>
      <c r="C127" s="1239" t="str">
        <f>TONGHOPCONGDOI!C122</f>
        <v>N. Ốc</v>
      </c>
      <c r="D127" s="1239" t="s">
        <v>30</v>
      </c>
      <c r="E127" s="1240"/>
      <c r="F127" s="1230">
        <f t="shared" si="21"/>
        <v>0</v>
      </c>
      <c r="G127" s="1230">
        <f>VLOOKUP(C127,TONGHOPCONGDOI!C122:AD157,16,0)</f>
        <v>217</v>
      </c>
      <c r="H127" s="1230">
        <f>VLOOKUP(C127,TONGHOPCONGDOI!C122:AD157,18,0)</f>
        <v>0</v>
      </c>
      <c r="I127" s="1230"/>
      <c r="J127" s="1231">
        <f t="shared" si="22"/>
        <v>110.2030007201441</v>
      </c>
      <c r="K127" s="1232" t="str">
        <f>VLOOKUP(C127,'BTH mủ tạp'!$C$98:$AL$160,36,0)</f>
        <v>A</v>
      </c>
      <c r="L127" s="1250">
        <f t="shared" si="26"/>
        <v>405548</v>
      </c>
      <c r="M127" s="1234">
        <f>VLOOKUP(C127,TONGHOPCONGDOI!$C$93:$AD$150,20,0)</f>
        <v>17</v>
      </c>
      <c r="N127" s="1234">
        <f>VLOOKUP(C127,TONGHOPCONGDOI!$C$93:$AD$150,21,0)</f>
        <v>3</v>
      </c>
      <c r="O127" s="1234">
        <f>VLOOKUP(C127,TONGHOPCONGDOI!$C$93:$AD$150,22,0)</f>
        <v>0</v>
      </c>
      <c r="P127" s="1234">
        <f>VLOOKUP(C127,TONGHOPCONGDOI!$C$93:$AD$150,23,0)</f>
        <v>0</v>
      </c>
      <c r="Q127" s="1234">
        <f>VLOOKUP(C127,TONGHOPCONGDOI!$C$93:$AD$150,24,0)</f>
        <v>0</v>
      </c>
      <c r="R127" s="1234">
        <f>VLOOKUP(C127,TONGHOPCONGDOI!$C$93:$AD$150,25,0)</f>
        <v>0</v>
      </c>
      <c r="S127" s="1234">
        <f t="shared" si="23"/>
        <v>20</v>
      </c>
      <c r="T127" s="1235"/>
      <c r="U127" s="1235"/>
      <c r="V127" s="1235"/>
      <c r="W127" s="1234">
        <f t="shared" si="27"/>
        <v>1177853</v>
      </c>
      <c r="X127" s="1234">
        <f t="shared" si="24"/>
        <v>1583401</v>
      </c>
      <c r="Y127" s="1241"/>
      <c r="Z127" s="1237">
        <f t="shared" si="25"/>
        <v>1583401</v>
      </c>
      <c r="AA127" s="1230"/>
      <c r="AB127" s="1236"/>
      <c r="AC127" s="902">
        <f t="shared" ref="AC127:AC158" si="28">A127</f>
        <v>30</v>
      </c>
      <c r="AD127" s="784"/>
      <c r="AE127" s="784"/>
      <c r="AF127" s="784"/>
      <c r="AG127" s="784"/>
      <c r="AH127" s="784"/>
      <c r="AI127" s="784"/>
      <c r="AJ127" s="784"/>
      <c r="AK127" s="784"/>
    </row>
    <row r="128" spans="1:37" s="785" customFormat="1" ht="38.25" customHeight="1">
      <c r="A128" s="1239">
        <v>31</v>
      </c>
      <c r="B128" s="1239" t="str">
        <f>'Chấm công KT'!D124</f>
        <v>03617</v>
      </c>
      <c r="C128" s="1239" t="str">
        <f>TONGHOPCONGDOI!C123</f>
        <v>T. Văn Nô</v>
      </c>
      <c r="D128" s="1239" t="s">
        <v>30</v>
      </c>
      <c r="E128" s="1240"/>
      <c r="F128" s="1230">
        <f t="shared" si="21"/>
        <v>0</v>
      </c>
      <c r="G128" s="1230">
        <f>VLOOKUP(C128,TONGHOPCONGDOI!C123:AD157,16,0)</f>
        <v>2286</v>
      </c>
      <c r="H128" s="1230">
        <f>VLOOKUP(C128,TONGHOPCONGDOI!C123:AD157,18,0)</f>
        <v>0</v>
      </c>
      <c r="I128" s="1230"/>
      <c r="J128" s="1231">
        <f t="shared" si="22"/>
        <v>1160.9403670334075</v>
      </c>
      <c r="K128" s="1232" t="str">
        <f>VLOOKUP(C128,'BTH mủ tạp'!$C$98:$AL$160,36,0)</f>
        <v>A</v>
      </c>
      <c r="L128" s="1250">
        <f t="shared" si="26"/>
        <v>4272270</v>
      </c>
      <c r="M128" s="1234">
        <f>VLOOKUP(C128,TONGHOPCONGDOI!$C$93:$AD$150,20,0)</f>
        <v>27</v>
      </c>
      <c r="N128" s="1234">
        <f>VLOOKUP(C128,TONGHOPCONGDOI!$C$93:$AD$150,21,0)</f>
        <v>4</v>
      </c>
      <c r="O128" s="1234">
        <f>VLOOKUP(C128,TONGHOPCONGDOI!$C$93:$AD$150,22,0)</f>
        <v>0</v>
      </c>
      <c r="P128" s="1234">
        <f>VLOOKUP(C128,TONGHOPCONGDOI!$C$93:$AD$150,23,0)</f>
        <v>0</v>
      </c>
      <c r="Q128" s="1234">
        <f>VLOOKUP(C128,TONGHOPCONGDOI!$C$93:$AD$150,24,0)</f>
        <v>0</v>
      </c>
      <c r="R128" s="1234">
        <f>VLOOKUP(C128,TONGHOPCONGDOI!$C$93:$AD$150,25,0)</f>
        <v>0</v>
      </c>
      <c r="S128" s="1234">
        <f t="shared" si="23"/>
        <v>20</v>
      </c>
      <c r="T128" s="1235"/>
      <c r="U128" s="1235"/>
      <c r="V128" s="1235"/>
      <c r="W128" s="1234">
        <f t="shared" si="27"/>
        <v>1537293</v>
      </c>
      <c r="X128" s="1234">
        <f t="shared" si="24"/>
        <v>5809563</v>
      </c>
      <c r="Y128" s="1241"/>
      <c r="Z128" s="1237">
        <f t="shared" si="25"/>
        <v>5809563</v>
      </c>
      <c r="AA128" s="1230"/>
      <c r="AB128" s="1236"/>
      <c r="AC128" s="902">
        <f t="shared" si="28"/>
        <v>31</v>
      </c>
      <c r="AD128" s="784"/>
      <c r="AE128" s="784"/>
      <c r="AF128" s="784"/>
      <c r="AG128" s="784"/>
      <c r="AH128" s="784"/>
      <c r="AI128" s="784"/>
      <c r="AJ128" s="784"/>
      <c r="AK128" s="784"/>
    </row>
    <row r="129" spans="1:37" s="785" customFormat="1" ht="38.25" customHeight="1">
      <c r="A129" s="1239">
        <v>32</v>
      </c>
      <c r="B129" s="1239" t="str">
        <f>'Chấm công KT'!D125</f>
        <v>03618</v>
      </c>
      <c r="C129" s="1239" t="str">
        <f>TONGHOPCONGDOI!C124</f>
        <v>N. Văn Ta</v>
      </c>
      <c r="D129" s="1239" t="s">
        <v>30</v>
      </c>
      <c r="E129" s="1240"/>
      <c r="F129" s="1230">
        <f t="shared" si="21"/>
        <v>0</v>
      </c>
      <c r="G129" s="1230">
        <f>VLOOKUP(C129,TONGHOPCONGDOI!C124:AD157,16,0)</f>
        <v>1612</v>
      </c>
      <c r="H129" s="1230">
        <f>VLOOKUP(C129,TONGHOPCONGDOI!C124:AD157,18,0)</f>
        <v>0</v>
      </c>
      <c r="I129" s="1230"/>
      <c r="J129" s="1231">
        <f t="shared" si="22"/>
        <v>818.65086249249907</v>
      </c>
      <c r="K129" s="1232" t="str">
        <f>VLOOKUP(C129,'BTH mủ tạp'!$C$98:$AL$160,36,0)</f>
        <v>A</v>
      </c>
      <c r="L129" s="1250">
        <f t="shared" si="26"/>
        <v>3012642</v>
      </c>
      <c r="M129" s="1234">
        <f>VLOOKUP(C129,TONGHOPCONGDOI!$C$93:$AD$150,20,0)</f>
        <v>25</v>
      </c>
      <c r="N129" s="1234">
        <f>VLOOKUP(C129,TONGHOPCONGDOI!$C$93:$AD$150,21,0)</f>
        <v>4</v>
      </c>
      <c r="O129" s="1234">
        <f>VLOOKUP(C129,TONGHOPCONGDOI!$C$93:$AD$150,22,0)</f>
        <v>0</v>
      </c>
      <c r="P129" s="1234">
        <f>VLOOKUP(C129,TONGHOPCONGDOI!$C$93:$AD$150,23,0)</f>
        <v>0</v>
      </c>
      <c r="Q129" s="1234">
        <f>VLOOKUP(C129,TONGHOPCONGDOI!$C$93:$AD$150,24,0)</f>
        <v>0</v>
      </c>
      <c r="R129" s="1234">
        <f>VLOOKUP(C129,TONGHOPCONGDOI!$C$93:$AD$150,25,0)</f>
        <v>0</v>
      </c>
      <c r="S129" s="1234">
        <f t="shared" si="23"/>
        <v>20</v>
      </c>
      <c r="T129" s="1235"/>
      <c r="U129" s="1235"/>
      <c r="V129" s="1235"/>
      <c r="W129" s="1234">
        <f t="shared" si="27"/>
        <v>1475683</v>
      </c>
      <c r="X129" s="1234">
        <f t="shared" si="24"/>
        <v>4488325</v>
      </c>
      <c r="Y129" s="1241"/>
      <c r="Z129" s="1237">
        <f t="shared" si="25"/>
        <v>4488325</v>
      </c>
      <c r="AA129" s="1230"/>
      <c r="AB129" s="1236"/>
      <c r="AC129" s="902">
        <f t="shared" si="28"/>
        <v>32</v>
      </c>
      <c r="AD129" s="784"/>
      <c r="AE129" s="784"/>
      <c r="AF129" s="784"/>
      <c r="AG129" s="784"/>
      <c r="AH129" s="784"/>
      <c r="AI129" s="784"/>
      <c r="AJ129" s="784"/>
      <c r="AK129" s="784"/>
    </row>
    <row r="130" spans="1:37" s="785" customFormat="1" ht="38.25" customHeight="1">
      <c r="A130" s="1239">
        <v>33</v>
      </c>
      <c r="B130" s="1239" t="str">
        <f>'Chấm công KT'!D126</f>
        <v>03619</v>
      </c>
      <c r="C130" s="1239" t="str">
        <f>TONGHOPCONGDOI!C125</f>
        <v>T. Thon</v>
      </c>
      <c r="D130" s="1239" t="s">
        <v>30</v>
      </c>
      <c r="E130" s="1240"/>
      <c r="F130" s="1230">
        <f t="shared" si="21"/>
        <v>0</v>
      </c>
      <c r="G130" s="1230">
        <f>VLOOKUP(C130,TONGHOPCONGDOI!C125:AD157,16,0)</f>
        <v>1797</v>
      </c>
      <c r="H130" s="1230">
        <f>VLOOKUP(C130,TONGHOPCONGDOI!C125:AD157,18,0)</f>
        <v>0</v>
      </c>
      <c r="I130" s="1230"/>
      <c r="J130" s="1231">
        <f t="shared" ref="J130:J159" si="29">$AI$8/$AI$7*G130+H130*$AI$9+I130*$AI$10</f>
        <v>912.60272946589373</v>
      </c>
      <c r="K130" s="1232" t="str">
        <f>VLOOKUP(C130,'BTH mủ tạp'!$C$98:$AL$160,36,0)</f>
        <v>A</v>
      </c>
      <c r="L130" s="1250">
        <f t="shared" si="26"/>
        <v>3358385</v>
      </c>
      <c r="M130" s="1234">
        <f>VLOOKUP(C130,TONGHOPCONGDOI!$C$93:$AD$150,20,0)</f>
        <v>25</v>
      </c>
      <c r="N130" s="1234">
        <f>VLOOKUP(C130,TONGHOPCONGDOI!$C$93:$AD$150,21,0)</f>
        <v>3</v>
      </c>
      <c r="O130" s="1234">
        <f>VLOOKUP(C130,TONGHOPCONGDOI!$C$93:$AD$150,22,0)</f>
        <v>0</v>
      </c>
      <c r="P130" s="1234">
        <f>VLOOKUP(C130,TONGHOPCONGDOI!$C$93:$AD$150,23,0)</f>
        <v>0</v>
      </c>
      <c r="Q130" s="1234">
        <f>VLOOKUP(C130,TONGHOPCONGDOI!$C$93:$AD$150,24,0)</f>
        <v>0</v>
      </c>
      <c r="R130" s="1234">
        <f>VLOOKUP(C130,TONGHOPCONGDOI!$C$93:$AD$150,25,0)</f>
        <v>0</v>
      </c>
      <c r="S130" s="1234">
        <f t="shared" si="23"/>
        <v>20</v>
      </c>
      <c r="T130" s="1235"/>
      <c r="U130" s="1235"/>
      <c r="V130" s="1235"/>
      <c r="W130" s="1234">
        <f t="shared" si="27"/>
        <v>1424296</v>
      </c>
      <c r="X130" s="1234">
        <f t="shared" ref="X130:X161" si="30">F130+L130+W130</f>
        <v>4782681</v>
      </c>
      <c r="Y130" s="1241"/>
      <c r="Z130" s="1237">
        <f t="shared" si="25"/>
        <v>4782681</v>
      </c>
      <c r="AA130" s="1230"/>
      <c r="AB130" s="1236"/>
      <c r="AC130" s="902">
        <f t="shared" si="28"/>
        <v>33</v>
      </c>
      <c r="AD130" s="784"/>
      <c r="AE130" s="784"/>
      <c r="AF130" s="784"/>
      <c r="AG130" s="784"/>
      <c r="AH130" s="784"/>
      <c r="AI130" s="784"/>
      <c r="AJ130" s="784"/>
      <c r="AK130" s="784"/>
    </row>
    <row r="131" spans="1:37" s="785" customFormat="1" ht="38.25" customHeight="1">
      <c r="A131" s="1239">
        <v>34</v>
      </c>
      <c r="B131" s="1239" t="str">
        <f>'Chấm công KT'!D127</f>
        <v>03620</v>
      </c>
      <c r="C131" s="1239" t="str">
        <f>TONGHOPCONGDOI!C126</f>
        <v>Bun Thon</v>
      </c>
      <c r="D131" s="1239" t="s">
        <v>30</v>
      </c>
      <c r="E131" s="1240"/>
      <c r="F131" s="1230">
        <f t="shared" si="21"/>
        <v>0</v>
      </c>
      <c r="G131" s="1230">
        <f>VLOOKUP(C131,TONGHOPCONGDOI!C126:AD157,16,0)</f>
        <v>1723</v>
      </c>
      <c r="H131" s="1230">
        <f>VLOOKUP(C131,TONGHOPCONGDOI!C126:AD157,18,0)</f>
        <v>0</v>
      </c>
      <c r="I131" s="1230"/>
      <c r="J131" s="1231">
        <f t="shared" si="29"/>
        <v>875.02198267653591</v>
      </c>
      <c r="K131" s="1232" t="str">
        <f>VLOOKUP(C131,'BTH mủ tạp'!$C$98:$AL$160,36,0)</f>
        <v>A</v>
      </c>
      <c r="L131" s="1250">
        <f t="shared" si="26"/>
        <v>3220088</v>
      </c>
      <c r="M131" s="1234">
        <f>VLOOKUP(C131,TONGHOPCONGDOI!$C$93:$AD$150,20,0)</f>
        <v>27</v>
      </c>
      <c r="N131" s="1234">
        <f>VLOOKUP(C131,TONGHOPCONGDOI!$C$93:$AD$150,21,0)</f>
        <v>4</v>
      </c>
      <c r="O131" s="1234">
        <f>VLOOKUP(C131,TONGHOPCONGDOI!$C$93:$AD$150,22,0)</f>
        <v>0</v>
      </c>
      <c r="P131" s="1234">
        <f>VLOOKUP(C131,TONGHOPCONGDOI!$C$93:$AD$150,23,0)</f>
        <v>0</v>
      </c>
      <c r="Q131" s="1234">
        <f>VLOOKUP(C131,TONGHOPCONGDOI!$C$93:$AD$150,24,0)</f>
        <v>0</v>
      </c>
      <c r="R131" s="1234">
        <f>VLOOKUP(C131,TONGHOPCONGDOI!$C$93:$AD$150,25,0)</f>
        <v>0</v>
      </c>
      <c r="S131" s="1234">
        <f t="shared" si="23"/>
        <v>20</v>
      </c>
      <c r="T131" s="1235"/>
      <c r="U131" s="1235"/>
      <c r="V131" s="1235"/>
      <c r="W131" s="1234">
        <f t="shared" si="27"/>
        <v>1537293</v>
      </c>
      <c r="X131" s="1234">
        <f t="shared" si="30"/>
        <v>4757381</v>
      </c>
      <c r="Y131" s="1241"/>
      <c r="Z131" s="1237">
        <f t="shared" si="25"/>
        <v>4757381</v>
      </c>
      <c r="AA131" s="1230"/>
      <c r="AB131" s="1236"/>
      <c r="AC131" s="902">
        <f t="shared" si="28"/>
        <v>34</v>
      </c>
      <c r="AD131" s="784"/>
      <c r="AE131" s="784"/>
      <c r="AF131" s="784"/>
      <c r="AG131" s="784"/>
      <c r="AH131" s="784"/>
      <c r="AI131" s="784"/>
      <c r="AJ131" s="784"/>
      <c r="AK131" s="784"/>
    </row>
    <row r="132" spans="1:37" s="785" customFormat="1" ht="38.25" customHeight="1">
      <c r="A132" s="1239">
        <v>35</v>
      </c>
      <c r="B132" s="1239"/>
      <c r="C132" s="1239" t="str">
        <f>TONGHOPCONGDOI!C127</f>
        <v>Lăm Thong</v>
      </c>
      <c r="D132" s="1239" t="s">
        <v>30</v>
      </c>
      <c r="E132" s="1240"/>
      <c r="F132" s="1230">
        <f t="shared" si="21"/>
        <v>0</v>
      </c>
      <c r="G132" s="1230">
        <f>VLOOKUP(C132,TONGHOPCONGDOI!C127:AD157,16,0)</f>
        <v>1814</v>
      </c>
      <c r="H132" s="1230">
        <f>VLOOKUP(C132,TONGHOPCONGDOI!C127:AD157,18,0)</f>
        <v>0</v>
      </c>
      <c r="I132" s="1230"/>
      <c r="J132" s="1231">
        <f t="shared" si="29"/>
        <v>921.23614426885433</v>
      </c>
      <c r="K132" s="1232" t="str">
        <f>VLOOKUP(C132,'BTH mủ tạp'!$C$98:$AL$160,36,0)</f>
        <v>A</v>
      </c>
      <c r="L132" s="1250">
        <f t="shared" si="26"/>
        <v>3390156</v>
      </c>
      <c r="M132" s="1234">
        <f>VLOOKUP(C132,TONGHOPCONGDOI!$C$93:$AD$150,20,0)</f>
        <v>27</v>
      </c>
      <c r="N132" s="1234">
        <f>VLOOKUP(C132,TONGHOPCONGDOI!$C$93:$AD$150,21,0)</f>
        <v>4</v>
      </c>
      <c r="O132" s="1234">
        <f>VLOOKUP(C132,TONGHOPCONGDOI!$C$93:$AD$150,22,0)</f>
        <v>0</v>
      </c>
      <c r="P132" s="1234">
        <f>VLOOKUP(C132,TONGHOPCONGDOI!$C$93:$AD$150,23,0)</f>
        <v>0</v>
      </c>
      <c r="Q132" s="1234">
        <f>VLOOKUP(C132,TONGHOPCONGDOI!$C$93:$AD$150,24,0)</f>
        <v>0</v>
      </c>
      <c r="R132" s="1234">
        <f>VLOOKUP(C132,TONGHOPCONGDOI!$C$93:$AD$150,25,0)</f>
        <v>0</v>
      </c>
      <c r="S132" s="1234">
        <f t="shared" si="23"/>
        <v>20</v>
      </c>
      <c r="T132" s="1235"/>
      <c r="U132" s="1235"/>
      <c r="V132" s="1235"/>
      <c r="W132" s="1234">
        <f t="shared" si="27"/>
        <v>1537293</v>
      </c>
      <c r="X132" s="1234">
        <f t="shared" si="30"/>
        <v>4927449</v>
      </c>
      <c r="Y132" s="1241"/>
      <c r="Z132" s="1237">
        <f t="shared" si="25"/>
        <v>4927449</v>
      </c>
      <c r="AA132" s="1230"/>
      <c r="AB132" s="1236"/>
      <c r="AC132" s="902">
        <f t="shared" si="28"/>
        <v>35</v>
      </c>
      <c r="AD132" s="784"/>
      <c r="AE132" s="784"/>
      <c r="AF132" s="784"/>
      <c r="AG132" s="784"/>
      <c r="AH132" s="784"/>
      <c r="AI132" s="784"/>
      <c r="AJ132" s="784"/>
      <c r="AK132" s="784"/>
    </row>
    <row r="133" spans="1:37" s="785" customFormat="1" ht="38.25" customHeight="1">
      <c r="A133" s="1239">
        <v>36</v>
      </c>
      <c r="B133" s="1239" t="str">
        <f>'Chấm công KT'!D129</f>
        <v>03622</v>
      </c>
      <c r="C133" s="1239" t="str">
        <f>TONGHOPCONGDOI!C128</f>
        <v>N. Xeo Khăm</v>
      </c>
      <c r="D133" s="1239" t="s">
        <v>30</v>
      </c>
      <c r="E133" s="1240"/>
      <c r="F133" s="1230">
        <f t="shared" si="21"/>
        <v>0</v>
      </c>
      <c r="G133" s="1230">
        <f>VLOOKUP(C133,TONGHOPCONGDOI!C128:AD157,16,0)</f>
        <v>1446</v>
      </c>
      <c r="H133" s="1230">
        <f>VLOOKUP(C133,TONGHOPCONGDOI!C128:AD157,18,0)</f>
        <v>0</v>
      </c>
      <c r="I133" s="1230"/>
      <c r="J133" s="1231">
        <f t="shared" si="29"/>
        <v>734.34810618123674</v>
      </c>
      <c r="K133" s="1232" t="str">
        <f>VLOOKUP(C133,'BTH mủ tạp'!$C$98:$AL$160,36,0)</f>
        <v>A</v>
      </c>
      <c r="L133" s="1250">
        <f t="shared" si="26"/>
        <v>2702407</v>
      </c>
      <c r="M133" s="1234">
        <f>VLOOKUP(C133,TONGHOPCONGDOI!$C$93:$AD$150,20,0)</f>
        <v>20</v>
      </c>
      <c r="N133" s="1234">
        <f>VLOOKUP(C133,TONGHOPCONGDOI!$C$93:$AD$150,21,0)</f>
        <v>2</v>
      </c>
      <c r="O133" s="1234">
        <f>VLOOKUP(C133,TONGHOPCONGDOI!$C$93:$AD$150,22,0)</f>
        <v>0</v>
      </c>
      <c r="P133" s="1234">
        <f>VLOOKUP(C133,TONGHOPCONGDOI!$C$93:$AD$150,23,0)</f>
        <v>0</v>
      </c>
      <c r="Q133" s="1234">
        <f>VLOOKUP(C133,TONGHOPCONGDOI!$C$93:$AD$150,24,0)</f>
        <v>0</v>
      </c>
      <c r="R133" s="1234">
        <f>VLOOKUP(C133,TONGHOPCONGDOI!$C$93:$AD$150,25,0)</f>
        <v>0</v>
      </c>
      <c r="S133" s="1234">
        <f t="shared" si="23"/>
        <v>20</v>
      </c>
      <c r="T133" s="1235"/>
      <c r="U133" s="1235"/>
      <c r="V133" s="1235"/>
      <c r="W133" s="1234">
        <f t="shared" si="27"/>
        <v>1218882</v>
      </c>
      <c r="X133" s="1234">
        <f t="shared" si="30"/>
        <v>3921289</v>
      </c>
      <c r="Y133" s="1241"/>
      <c r="Z133" s="1237">
        <f t="shared" si="25"/>
        <v>3921289</v>
      </c>
      <c r="AA133" s="1230"/>
      <c r="AB133" s="1236"/>
      <c r="AC133" s="902">
        <f t="shared" si="28"/>
        <v>36</v>
      </c>
      <c r="AD133" s="784"/>
      <c r="AE133" s="784"/>
      <c r="AF133" s="784"/>
      <c r="AG133" s="784"/>
      <c r="AH133" s="784"/>
      <c r="AI133" s="784"/>
      <c r="AJ133" s="784"/>
      <c r="AK133" s="784"/>
    </row>
    <row r="134" spans="1:37" s="785" customFormat="1" ht="38.25" customHeight="1">
      <c r="A134" s="1239">
        <v>37</v>
      </c>
      <c r="B134" s="1239" t="str">
        <f>'Chấm công KT'!D130</f>
        <v>03623</v>
      </c>
      <c r="C134" s="1239" t="str">
        <f>TONGHOPCONGDOI!C129</f>
        <v>T. Khăm...</v>
      </c>
      <c r="D134" s="1239" t="s">
        <v>30</v>
      </c>
      <c r="E134" s="1240"/>
      <c r="F134" s="1230">
        <f t="shared" si="21"/>
        <v>0</v>
      </c>
      <c r="G134" s="1230">
        <f>VLOOKUP(C134,TONGHOPCONGDOI!C129:AD157,16,0)</f>
        <v>2289</v>
      </c>
      <c r="H134" s="1230">
        <f>VLOOKUP(C134,TONGHOPCONGDOI!C129:AD157,18,0)</f>
        <v>0</v>
      </c>
      <c r="I134" s="1230"/>
      <c r="J134" s="1231">
        <f t="shared" si="29"/>
        <v>1162.4639108221652</v>
      </c>
      <c r="K134" s="1232" t="str">
        <f>VLOOKUP(C134,'BTH mủ tạp'!$C$98:$AL$160,36,0)</f>
        <v>A</v>
      </c>
      <c r="L134" s="1250">
        <f t="shared" si="26"/>
        <v>4277876</v>
      </c>
      <c r="M134" s="1234">
        <f>VLOOKUP(C134,TONGHOPCONGDOI!$C$93:$AD$150,20,0)</f>
        <v>27</v>
      </c>
      <c r="N134" s="1234">
        <f>VLOOKUP(C134,TONGHOPCONGDOI!$C$93:$AD$150,21,0)</f>
        <v>4</v>
      </c>
      <c r="O134" s="1234">
        <f>VLOOKUP(C134,TONGHOPCONGDOI!$C$93:$AD$150,22,0)</f>
        <v>0</v>
      </c>
      <c r="P134" s="1234">
        <f>VLOOKUP(C134,TONGHOPCONGDOI!$C$93:$AD$150,23,0)</f>
        <v>0</v>
      </c>
      <c r="Q134" s="1234">
        <f>VLOOKUP(C134,TONGHOPCONGDOI!$C$93:$AD$150,24,0)</f>
        <v>0</v>
      </c>
      <c r="R134" s="1234">
        <f>VLOOKUP(C134,TONGHOPCONGDOI!$C$93:$AD$150,25,0)</f>
        <v>0</v>
      </c>
      <c r="S134" s="1234">
        <f t="shared" si="23"/>
        <v>20</v>
      </c>
      <c r="T134" s="1235"/>
      <c r="U134" s="1235"/>
      <c r="V134" s="1235"/>
      <c r="W134" s="1234">
        <f t="shared" si="27"/>
        <v>1537293</v>
      </c>
      <c r="X134" s="1234">
        <f t="shared" si="30"/>
        <v>5815169</v>
      </c>
      <c r="Y134" s="1241"/>
      <c r="Z134" s="1237">
        <f t="shared" si="25"/>
        <v>5815169</v>
      </c>
      <c r="AA134" s="1230"/>
      <c r="AB134" s="1236"/>
      <c r="AC134" s="902">
        <f t="shared" si="28"/>
        <v>37</v>
      </c>
      <c r="AD134" s="784"/>
      <c r="AE134" s="784"/>
      <c r="AF134" s="784"/>
      <c r="AG134" s="784"/>
      <c r="AH134" s="784"/>
      <c r="AI134" s="784"/>
      <c r="AJ134" s="784"/>
      <c r="AK134" s="784"/>
    </row>
    <row r="135" spans="1:37" s="785" customFormat="1" ht="38.25" customHeight="1">
      <c r="A135" s="1239">
        <v>38</v>
      </c>
      <c r="B135" s="1239"/>
      <c r="C135" s="1239" t="str">
        <f>TONGHOPCONGDOI!C130</f>
        <v>N. Túc</v>
      </c>
      <c r="D135" s="1239" t="s">
        <v>30</v>
      </c>
      <c r="E135" s="1240"/>
      <c r="F135" s="1230">
        <f t="shared" si="21"/>
        <v>0</v>
      </c>
      <c r="G135" s="1230">
        <f>VLOOKUP(C135,TONGHOPCONGDOI!C130:AD157,16,0)</f>
        <v>2339</v>
      </c>
      <c r="H135" s="1230">
        <f>VLOOKUP(C135,TONGHOPCONGDOI!C130:AD157,18,0)</f>
        <v>0</v>
      </c>
      <c r="I135" s="1230"/>
      <c r="J135" s="1231">
        <f t="shared" si="29"/>
        <v>1187.8563073014611</v>
      </c>
      <c r="K135" s="1232" t="str">
        <f>VLOOKUP(C135,'BTH mủ tạp'!$C$98:$AL$160,36,0)</f>
        <v>A</v>
      </c>
      <c r="L135" s="1250">
        <f t="shared" si="26"/>
        <v>4371321</v>
      </c>
      <c r="M135" s="1234">
        <f>VLOOKUP(C135,TONGHOPCONGDOI!$C$93:$AD$150,20,0)</f>
        <v>27</v>
      </c>
      <c r="N135" s="1234">
        <f>VLOOKUP(C135,TONGHOPCONGDOI!$C$93:$AD$150,21,0)</f>
        <v>4</v>
      </c>
      <c r="O135" s="1234">
        <f>VLOOKUP(C135,TONGHOPCONGDOI!$C$93:$AD$150,22,0)</f>
        <v>0</v>
      </c>
      <c r="P135" s="1234">
        <f>VLOOKUP(C135,TONGHOPCONGDOI!$C$93:$AD$150,23,0)</f>
        <v>0</v>
      </c>
      <c r="Q135" s="1234">
        <f>VLOOKUP(C135,TONGHOPCONGDOI!$C$93:$AD$150,24,0)</f>
        <v>0</v>
      </c>
      <c r="R135" s="1234">
        <f>VLOOKUP(C135,TONGHOPCONGDOI!$C$93:$AD$150,25,0)</f>
        <v>0</v>
      </c>
      <c r="S135" s="1234">
        <f t="shared" si="23"/>
        <v>20</v>
      </c>
      <c r="T135" s="1235"/>
      <c r="U135" s="1235"/>
      <c r="V135" s="1235"/>
      <c r="W135" s="1234">
        <f t="shared" si="27"/>
        <v>1537293</v>
      </c>
      <c r="X135" s="1234">
        <f t="shared" si="30"/>
        <v>5908614</v>
      </c>
      <c r="Y135" s="1241"/>
      <c r="Z135" s="1237">
        <f t="shared" si="25"/>
        <v>5908614</v>
      </c>
      <c r="AA135" s="1230"/>
      <c r="AB135" s="1236"/>
      <c r="AC135" s="902">
        <f t="shared" si="28"/>
        <v>38</v>
      </c>
      <c r="AD135" s="784"/>
      <c r="AE135" s="784"/>
      <c r="AF135" s="784"/>
      <c r="AG135" s="784"/>
      <c r="AH135" s="784"/>
      <c r="AI135" s="784"/>
      <c r="AJ135" s="784"/>
      <c r="AK135" s="784"/>
    </row>
    <row r="136" spans="1:37" s="785" customFormat="1" ht="38.25" customHeight="1">
      <c r="A136" s="1239">
        <v>39</v>
      </c>
      <c r="B136" s="1239" t="str">
        <f>'Chấm công KT'!D132</f>
        <v>03625</v>
      </c>
      <c r="C136" s="1239" t="str">
        <f>TONGHOPCONGDOI!C131</f>
        <v>N. Pheng</v>
      </c>
      <c r="D136" s="1239" t="s">
        <v>30</v>
      </c>
      <c r="E136" s="1240"/>
      <c r="F136" s="1230">
        <f t="shared" si="21"/>
        <v>0</v>
      </c>
      <c r="G136" s="1230">
        <f>VLOOKUP(C136,TONGHOPCONGDOI!C131:AD157,16,0)</f>
        <v>2198</v>
      </c>
      <c r="H136" s="1230">
        <f>VLOOKUP(C136,TONGHOPCONGDOI!C131:AD157,18,0)</f>
        <v>0</v>
      </c>
      <c r="I136" s="1230"/>
      <c r="J136" s="1231">
        <f t="shared" si="29"/>
        <v>1116.2497492298467</v>
      </c>
      <c r="K136" s="1232" t="str">
        <f>VLOOKUP(C136,'BTH mủ tạp'!$C$98:$AL$160,36,0)</f>
        <v>A</v>
      </c>
      <c r="L136" s="1250">
        <f t="shared" si="26"/>
        <v>4107808</v>
      </c>
      <c r="M136" s="1234">
        <f>VLOOKUP(C136,TONGHOPCONGDOI!$C$93:$AD$150,20,0)</f>
        <v>27</v>
      </c>
      <c r="N136" s="1234">
        <f>VLOOKUP(C136,TONGHOPCONGDOI!$C$93:$AD$150,21,0)</f>
        <v>4</v>
      </c>
      <c r="O136" s="1234">
        <f>VLOOKUP(C136,TONGHOPCONGDOI!$C$93:$AD$150,22,0)</f>
        <v>0</v>
      </c>
      <c r="P136" s="1234">
        <f>VLOOKUP(C136,TONGHOPCONGDOI!$C$93:$AD$150,23,0)</f>
        <v>0</v>
      </c>
      <c r="Q136" s="1234">
        <f>VLOOKUP(C136,TONGHOPCONGDOI!$C$93:$AD$150,24,0)</f>
        <v>0</v>
      </c>
      <c r="R136" s="1234">
        <f>VLOOKUP(C136,TONGHOPCONGDOI!$C$93:$AD$150,25,0)</f>
        <v>0</v>
      </c>
      <c r="S136" s="1234">
        <f t="shared" si="23"/>
        <v>20</v>
      </c>
      <c r="T136" s="1235"/>
      <c r="U136" s="1235"/>
      <c r="V136" s="1235"/>
      <c r="W136" s="1234">
        <f t="shared" si="27"/>
        <v>1537293</v>
      </c>
      <c r="X136" s="1234">
        <f t="shared" si="30"/>
        <v>5645101</v>
      </c>
      <c r="Y136" s="1241"/>
      <c r="Z136" s="1237">
        <f t="shared" si="25"/>
        <v>5645101</v>
      </c>
      <c r="AA136" s="1230"/>
      <c r="AB136" s="1236"/>
      <c r="AC136" s="902">
        <f t="shared" si="28"/>
        <v>39</v>
      </c>
      <c r="AD136" s="784"/>
      <c r="AE136" s="784"/>
      <c r="AF136" s="784"/>
      <c r="AG136" s="784"/>
      <c r="AH136" s="784"/>
      <c r="AI136" s="784"/>
      <c r="AJ136" s="784"/>
      <c r="AK136" s="784"/>
    </row>
    <row r="137" spans="1:37" s="785" customFormat="1" ht="38.25" customHeight="1">
      <c r="A137" s="1239">
        <v>40</v>
      </c>
      <c r="B137" s="1239" t="str">
        <f>'Chấm công KT'!D133</f>
        <v>03587</v>
      </c>
      <c r="C137" s="1239" t="str">
        <f>TONGHOPCONGDOI!C132</f>
        <v>N. Mom</v>
      </c>
      <c r="D137" s="1239" t="s">
        <v>30</v>
      </c>
      <c r="E137" s="1240"/>
      <c r="F137" s="1230">
        <f t="shared" si="21"/>
        <v>0</v>
      </c>
      <c r="G137" s="1230">
        <f>VLOOKUP(C137,TONGHOPCONGDOI!C132:AD157,16,0)</f>
        <v>2348</v>
      </c>
      <c r="H137" s="1230">
        <f>VLOOKUP(C137,TONGHOPCONGDOI!C132:AD157,18,0)</f>
        <v>0</v>
      </c>
      <c r="I137" s="1230"/>
      <c r="J137" s="1231">
        <f t="shared" si="29"/>
        <v>1192.4269386677342</v>
      </c>
      <c r="K137" s="1232" t="str">
        <f>VLOOKUP(C137,'BTH mủ tạp'!$C$98:$AL$160,36,0)</f>
        <v>A</v>
      </c>
      <c r="L137" s="1250">
        <f t="shared" si="26"/>
        <v>4388141</v>
      </c>
      <c r="M137" s="1234">
        <f>VLOOKUP(C137,TONGHOPCONGDOI!$C$93:$AD$150,20,0)</f>
        <v>27</v>
      </c>
      <c r="N137" s="1234">
        <f>VLOOKUP(C137,TONGHOPCONGDOI!$C$93:$AD$150,21,0)</f>
        <v>4</v>
      </c>
      <c r="O137" s="1234">
        <f>VLOOKUP(C137,TONGHOPCONGDOI!$C$93:$AD$150,22,0)</f>
        <v>0</v>
      </c>
      <c r="P137" s="1234">
        <f>VLOOKUP(C137,TONGHOPCONGDOI!$C$93:$AD$150,23,0)</f>
        <v>0</v>
      </c>
      <c r="Q137" s="1234">
        <f>VLOOKUP(C137,TONGHOPCONGDOI!$C$93:$AD$150,24,0)</f>
        <v>0</v>
      </c>
      <c r="R137" s="1234">
        <f>VLOOKUP(C137,TONGHOPCONGDOI!$C$93:$AD$150,25,0)</f>
        <v>0</v>
      </c>
      <c r="S137" s="1234">
        <f t="shared" si="23"/>
        <v>20</v>
      </c>
      <c r="T137" s="1235"/>
      <c r="U137" s="1235"/>
      <c r="V137" s="1235"/>
      <c r="W137" s="1234">
        <f t="shared" si="27"/>
        <v>1537293</v>
      </c>
      <c r="X137" s="1234">
        <f t="shared" si="30"/>
        <v>5925434</v>
      </c>
      <c r="Y137" s="1241"/>
      <c r="Z137" s="1237">
        <f t="shared" si="25"/>
        <v>5925434</v>
      </c>
      <c r="AA137" s="1230"/>
      <c r="AB137" s="1236"/>
      <c r="AC137" s="902">
        <f t="shared" si="28"/>
        <v>40</v>
      </c>
      <c r="AD137" s="784"/>
      <c r="AE137" s="784"/>
      <c r="AF137" s="784"/>
      <c r="AG137" s="784"/>
      <c r="AH137" s="784"/>
      <c r="AI137" s="784"/>
      <c r="AJ137" s="784"/>
      <c r="AK137" s="784"/>
    </row>
    <row r="138" spans="1:37" s="785" customFormat="1" ht="38.25" customHeight="1">
      <c r="A138" s="1239">
        <v>41</v>
      </c>
      <c r="B138" s="1239"/>
      <c r="C138" s="1239" t="str">
        <f>TONGHOPCONGDOI!C133</f>
        <v>T. Môn</v>
      </c>
      <c r="D138" s="1239" t="s">
        <v>30</v>
      </c>
      <c r="E138" s="1240"/>
      <c r="F138" s="1230">
        <f t="shared" si="21"/>
        <v>0</v>
      </c>
      <c r="G138" s="1230">
        <f>VLOOKUP(C138,TONGHOPCONGDOI!C133:AD157,16,0)</f>
        <v>1370</v>
      </c>
      <c r="H138" s="1230">
        <f>VLOOKUP(C138,TONGHOPCONGDOI!C133:AD157,18,0)</f>
        <v>0</v>
      </c>
      <c r="I138" s="1230"/>
      <c r="J138" s="1231">
        <f t="shared" si="29"/>
        <v>695.75166353270697</v>
      </c>
      <c r="K138" s="1232" t="str">
        <f>VLOOKUP(C138,'BTH mủ tạp'!$C$98:$AL$160,36,0)</f>
        <v>B</v>
      </c>
      <c r="L138" s="1250">
        <f t="shared" si="26"/>
        <v>2434452</v>
      </c>
      <c r="M138" s="1234">
        <f>VLOOKUP(C138,TONGHOPCONGDOI!$C$93:$AD$150,20,0)</f>
        <v>27</v>
      </c>
      <c r="N138" s="1234">
        <f>VLOOKUP(C138,TONGHOPCONGDOI!$C$93:$AD$150,21,0)</f>
        <v>4</v>
      </c>
      <c r="O138" s="1234">
        <f>VLOOKUP(C138,TONGHOPCONGDOI!$C$93:$AD$150,22,0)</f>
        <v>0</v>
      </c>
      <c r="P138" s="1234">
        <f>VLOOKUP(C138,TONGHOPCONGDOI!$C$93:$AD$150,23,0)</f>
        <v>0</v>
      </c>
      <c r="Q138" s="1234">
        <f>VLOOKUP(C138,TONGHOPCONGDOI!$C$93:$AD$150,24,0)</f>
        <v>0</v>
      </c>
      <c r="R138" s="1234">
        <f>VLOOKUP(C138,TONGHOPCONGDOI!$C$93:$AD$150,25,0)</f>
        <v>0</v>
      </c>
      <c r="S138" s="1234">
        <f t="shared" si="23"/>
        <v>20</v>
      </c>
      <c r="T138" s="1235"/>
      <c r="U138" s="1235"/>
      <c r="V138" s="1235"/>
      <c r="W138" s="1234">
        <f t="shared" si="27"/>
        <v>1537293</v>
      </c>
      <c r="X138" s="1234">
        <f t="shared" si="30"/>
        <v>3971745</v>
      </c>
      <c r="Y138" s="1241"/>
      <c r="Z138" s="1237">
        <f t="shared" si="25"/>
        <v>3971745</v>
      </c>
      <c r="AA138" s="1230"/>
      <c r="AB138" s="1236"/>
      <c r="AC138" s="902">
        <f t="shared" si="28"/>
        <v>41</v>
      </c>
      <c r="AD138" s="784"/>
      <c r="AE138" s="784"/>
      <c r="AF138" s="784"/>
      <c r="AG138" s="784"/>
      <c r="AH138" s="784"/>
      <c r="AI138" s="784"/>
      <c r="AJ138" s="784"/>
      <c r="AK138" s="784"/>
    </row>
    <row r="139" spans="1:37" s="785" customFormat="1" ht="38.25" customHeight="1">
      <c r="A139" s="1239">
        <v>42</v>
      </c>
      <c r="B139" s="1239" t="str">
        <f>'Chấm công KT'!D135</f>
        <v>03628</v>
      </c>
      <c r="C139" s="1239" t="str">
        <f>TONGHOPCONGDOI!C134</f>
        <v>Khăn Hạ</v>
      </c>
      <c r="D139" s="1239" t="s">
        <v>30</v>
      </c>
      <c r="E139" s="1240"/>
      <c r="F139" s="1230">
        <f t="shared" si="21"/>
        <v>0</v>
      </c>
      <c r="G139" s="1230">
        <f>VLOOKUP(C139,TONGHOPCONGDOI!C134:AD157,16,0)</f>
        <v>1122</v>
      </c>
      <c r="H139" s="1230">
        <f>VLOOKUP(C139,TONGHOPCONGDOI!C134:AD157,18,0)</f>
        <v>0</v>
      </c>
      <c r="I139" s="1230"/>
      <c r="J139" s="1231">
        <f t="shared" si="29"/>
        <v>569.80537699539946</v>
      </c>
      <c r="K139" s="1232" t="str">
        <f>VLOOKUP(C139,'BTH mủ tạp'!$C$98:$AL$160,36,0)</f>
        <v>B</v>
      </c>
      <c r="L139" s="1250">
        <f t="shared" si="26"/>
        <v>1993763</v>
      </c>
      <c r="M139" s="1234">
        <f>VLOOKUP(C139,TONGHOPCONGDOI!$C$93:$AD$150,20,0)</f>
        <v>27</v>
      </c>
      <c r="N139" s="1234">
        <f>VLOOKUP(C139,TONGHOPCONGDOI!$C$93:$AD$150,21,0)</f>
        <v>4</v>
      </c>
      <c r="O139" s="1234">
        <f>VLOOKUP(C139,TONGHOPCONGDOI!$C$93:$AD$150,22,0)</f>
        <v>0</v>
      </c>
      <c r="P139" s="1234">
        <f>VLOOKUP(C139,TONGHOPCONGDOI!$C$93:$AD$150,23,0)</f>
        <v>0</v>
      </c>
      <c r="Q139" s="1234">
        <f>VLOOKUP(C139,TONGHOPCONGDOI!$C$93:$AD$150,24,0)</f>
        <v>0</v>
      </c>
      <c r="R139" s="1234">
        <f>VLOOKUP(C139,TONGHOPCONGDOI!$C$93:$AD$150,25,0)</f>
        <v>0</v>
      </c>
      <c r="S139" s="1234">
        <f t="shared" si="23"/>
        <v>20</v>
      </c>
      <c r="T139" s="1235"/>
      <c r="U139" s="1235"/>
      <c r="V139" s="1235"/>
      <c r="W139" s="1234">
        <f t="shared" si="27"/>
        <v>1537293</v>
      </c>
      <c r="X139" s="1234">
        <f t="shared" si="30"/>
        <v>3531056</v>
      </c>
      <c r="Y139" s="1241"/>
      <c r="Z139" s="1237">
        <f t="shared" si="25"/>
        <v>3531056</v>
      </c>
      <c r="AA139" s="1230"/>
      <c r="AB139" s="1236"/>
      <c r="AC139" s="902">
        <f t="shared" si="28"/>
        <v>42</v>
      </c>
      <c r="AD139" s="784"/>
      <c r="AE139" s="784"/>
      <c r="AF139" s="784"/>
      <c r="AG139" s="784"/>
      <c r="AH139" s="784"/>
      <c r="AI139" s="784"/>
      <c r="AJ139" s="784"/>
      <c r="AK139" s="784"/>
    </row>
    <row r="140" spans="1:37" s="785" customFormat="1" ht="38.25" customHeight="1">
      <c r="A140" s="1239">
        <v>43</v>
      </c>
      <c r="B140" s="1239" t="str">
        <f>'Chấm công KT'!D136</f>
        <v>03629</v>
      </c>
      <c r="C140" s="1239" t="str">
        <f>TONGHOPCONGDOI!C135</f>
        <v>T. Chăn La .</v>
      </c>
      <c r="D140" s="1239" t="s">
        <v>30</v>
      </c>
      <c r="E140" s="1240"/>
      <c r="F140" s="1230">
        <f t="shared" si="21"/>
        <v>0</v>
      </c>
      <c r="G140" s="1230">
        <f>VLOOKUP(C140,TONGHOPCONGDOI!C135:AD157,16,0)</f>
        <v>1421</v>
      </c>
      <c r="H140" s="1230">
        <f>VLOOKUP(C140,TONGHOPCONGDOI!C135:AD157,18,0)</f>
        <v>0</v>
      </c>
      <c r="I140" s="1230"/>
      <c r="J140" s="1231">
        <f t="shared" si="29"/>
        <v>721.65190794158877</v>
      </c>
      <c r="K140" s="1232" t="str">
        <f>VLOOKUP(C140,'BTH mủ tạp'!$C$98:$AL$160,36,0)</f>
        <v>B</v>
      </c>
      <c r="L140" s="1250">
        <f t="shared" si="26"/>
        <v>2525077</v>
      </c>
      <c r="M140" s="1234">
        <f>VLOOKUP(C140,TONGHOPCONGDOI!$C$93:$AD$150,20,0)</f>
        <v>27</v>
      </c>
      <c r="N140" s="1234">
        <f>VLOOKUP(C140,TONGHOPCONGDOI!$C$93:$AD$150,21,0)</f>
        <v>4</v>
      </c>
      <c r="O140" s="1234">
        <f>VLOOKUP(C140,TONGHOPCONGDOI!$C$93:$AD$150,22,0)</f>
        <v>0</v>
      </c>
      <c r="P140" s="1234">
        <f>VLOOKUP(C140,TONGHOPCONGDOI!$C$93:$AD$150,23,0)</f>
        <v>0</v>
      </c>
      <c r="Q140" s="1234">
        <f>VLOOKUP(C140,TONGHOPCONGDOI!$C$93:$AD$150,24,0)</f>
        <v>0</v>
      </c>
      <c r="R140" s="1234">
        <f>VLOOKUP(C140,TONGHOPCONGDOI!$C$93:$AD$150,25,0)</f>
        <v>0</v>
      </c>
      <c r="S140" s="1234">
        <f t="shared" si="23"/>
        <v>20</v>
      </c>
      <c r="T140" s="1235"/>
      <c r="U140" s="1235"/>
      <c r="V140" s="1235"/>
      <c r="W140" s="1234">
        <f t="shared" si="27"/>
        <v>1537293</v>
      </c>
      <c r="X140" s="1234">
        <f t="shared" si="30"/>
        <v>4062370</v>
      </c>
      <c r="Y140" s="1241"/>
      <c r="Z140" s="1237">
        <f t="shared" si="25"/>
        <v>4062370</v>
      </c>
      <c r="AA140" s="1230"/>
      <c r="AB140" s="1236"/>
      <c r="AC140" s="902">
        <f t="shared" si="28"/>
        <v>43</v>
      </c>
      <c r="AD140" s="784"/>
      <c r="AE140" s="784"/>
      <c r="AF140" s="784"/>
      <c r="AG140" s="784"/>
      <c r="AH140" s="784"/>
      <c r="AI140" s="784"/>
      <c r="AJ140" s="784"/>
      <c r="AK140" s="784"/>
    </row>
    <row r="141" spans="1:37" s="785" customFormat="1" ht="38.25" customHeight="1">
      <c r="A141" s="1239">
        <v>44</v>
      </c>
      <c r="B141" s="1239" t="str">
        <f>'Chấm công KT'!D137</f>
        <v>03630</v>
      </c>
      <c r="C141" s="1239" t="str">
        <f>TONGHOPCONGDOI!C136</f>
        <v>T. Nú</v>
      </c>
      <c r="D141" s="1239" t="s">
        <v>30</v>
      </c>
      <c r="E141" s="1240"/>
      <c r="F141" s="1230">
        <f t="shared" si="21"/>
        <v>0</v>
      </c>
      <c r="G141" s="1230">
        <f>VLOOKUP(C141,TONGHOPCONGDOI!C136:AD157,16,0)</f>
        <v>1091</v>
      </c>
      <c r="H141" s="1230">
        <f>VLOOKUP(C141,TONGHOPCONGDOI!C136:AD157,18,0)</f>
        <v>0</v>
      </c>
      <c r="I141" s="1230"/>
      <c r="J141" s="1231">
        <f t="shared" si="29"/>
        <v>554.06209117823596</v>
      </c>
      <c r="K141" s="1232" t="str">
        <f>VLOOKUP(C141,'BTH mủ tạp'!$C$98:$AL$160,36,0)</f>
        <v>B</v>
      </c>
      <c r="L141" s="1250">
        <f t="shared" si="26"/>
        <v>1938677</v>
      </c>
      <c r="M141" s="1234">
        <f>VLOOKUP(C141,TONGHOPCONGDOI!$C$93:$AD$150,20,0)</f>
        <v>27</v>
      </c>
      <c r="N141" s="1234">
        <f>VLOOKUP(C141,TONGHOPCONGDOI!$C$93:$AD$150,21,0)</f>
        <v>4</v>
      </c>
      <c r="O141" s="1234">
        <f>VLOOKUP(C141,TONGHOPCONGDOI!$C$93:$AD$150,22,0)</f>
        <v>0</v>
      </c>
      <c r="P141" s="1234">
        <f>VLOOKUP(C141,TONGHOPCONGDOI!$C$93:$AD$150,23,0)</f>
        <v>0</v>
      </c>
      <c r="Q141" s="1234">
        <f>VLOOKUP(C141,TONGHOPCONGDOI!$C$93:$AD$150,24,0)</f>
        <v>0</v>
      </c>
      <c r="R141" s="1234">
        <f>VLOOKUP(C141,TONGHOPCONGDOI!$C$93:$AD$150,25,0)</f>
        <v>0</v>
      </c>
      <c r="S141" s="1234">
        <f t="shared" si="23"/>
        <v>20</v>
      </c>
      <c r="T141" s="1235"/>
      <c r="U141" s="1235"/>
      <c r="V141" s="1235"/>
      <c r="W141" s="1234">
        <f t="shared" si="27"/>
        <v>1537293</v>
      </c>
      <c r="X141" s="1234">
        <f t="shared" si="30"/>
        <v>3475970</v>
      </c>
      <c r="Y141" s="1241"/>
      <c r="Z141" s="1237">
        <f t="shared" si="25"/>
        <v>3475970</v>
      </c>
      <c r="AA141" s="1230"/>
      <c r="AB141" s="1236"/>
      <c r="AC141" s="902">
        <f t="shared" si="28"/>
        <v>44</v>
      </c>
      <c r="AD141" s="784"/>
      <c r="AE141" s="784"/>
      <c r="AF141" s="784"/>
      <c r="AG141" s="784"/>
      <c r="AH141" s="784"/>
      <c r="AI141" s="784"/>
      <c r="AJ141" s="784"/>
      <c r="AK141" s="784"/>
    </row>
    <row r="142" spans="1:37" s="785" customFormat="1" ht="38.25" customHeight="1">
      <c r="A142" s="1239">
        <v>45</v>
      </c>
      <c r="B142" s="1239" t="str">
        <f>'Chấm công KT'!D138</f>
        <v>03631</v>
      </c>
      <c r="C142" s="1239" t="str">
        <f>TONGHOPCONGDOI!C137</f>
        <v>T. Xan Nha</v>
      </c>
      <c r="D142" s="1239" t="s">
        <v>30</v>
      </c>
      <c r="E142" s="1240"/>
      <c r="F142" s="1230">
        <f t="shared" si="21"/>
        <v>0</v>
      </c>
      <c r="G142" s="1230">
        <f>VLOOKUP(C142,TONGHOPCONGDOI!C137:AD157,16,0)</f>
        <v>1438</v>
      </c>
      <c r="H142" s="1230">
        <f>VLOOKUP(C142,TONGHOPCONGDOI!C137:AD157,18,0)</f>
        <v>0</v>
      </c>
      <c r="I142" s="1230"/>
      <c r="J142" s="1231">
        <f t="shared" si="29"/>
        <v>730.28532274454938</v>
      </c>
      <c r="K142" s="1232" t="str">
        <f>VLOOKUP(C142,'BTH mủ tạp'!$C$98:$AL$160,36,0)</f>
        <v>A</v>
      </c>
      <c r="L142" s="1250">
        <f t="shared" si="26"/>
        <v>2687456</v>
      </c>
      <c r="M142" s="1234">
        <f>VLOOKUP(C142,TONGHOPCONGDOI!$C$93:$AD$150,20,0)</f>
        <v>27</v>
      </c>
      <c r="N142" s="1234">
        <f>VLOOKUP(C142,TONGHOPCONGDOI!$C$93:$AD$150,21,0)</f>
        <v>4</v>
      </c>
      <c r="O142" s="1234">
        <f>VLOOKUP(C142,TONGHOPCONGDOI!$C$93:$AD$150,22,0)</f>
        <v>0</v>
      </c>
      <c r="P142" s="1234">
        <f>VLOOKUP(C142,TONGHOPCONGDOI!$C$93:$AD$150,23,0)</f>
        <v>0</v>
      </c>
      <c r="Q142" s="1234">
        <f>VLOOKUP(C142,TONGHOPCONGDOI!$C$93:$AD$150,24,0)</f>
        <v>0</v>
      </c>
      <c r="R142" s="1234">
        <f>VLOOKUP(C142,TONGHOPCONGDOI!$C$93:$AD$150,25,0)</f>
        <v>0</v>
      </c>
      <c r="S142" s="1234">
        <f t="shared" si="23"/>
        <v>20</v>
      </c>
      <c r="T142" s="1235"/>
      <c r="U142" s="1235"/>
      <c r="V142" s="1235"/>
      <c r="W142" s="1234">
        <f t="shared" si="27"/>
        <v>1537293</v>
      </c>
      <c r="X142" s="1234">
        <f t="shared" si="30"/>
        <v>4224749</v>
      </c>
      <c r="Y142" s="1241"/>
      <c r="Z142" s="1237">
        <f t="shared" si="25"/>
        <v>4224749</v>
      </c>
      <c r="AA142" s="1230"/>
      <c r="AB142" s="1236"/>
      <c r="AC142" s="902">
        <f t="shared" si="28"/>
        <v>45</v>
      </c>
      <c r="AD142" s="784"/>
      <c r="AE142" s="784"/>
      <c r="AF142" s="784"/>
      <c r="AG142" s="784"/>
      <c r="AH142" s="784"/>
      <c r="AI142" s="784"/>
      <c r="AJ142" s="784"/>
      <c r="AK142" s="784"/>
    </row>
    <row r="143" spans="1:37" s="785" customFormat="1" ht="38.25" customHeight="1">
      <c r="A143" s="1239">
        <v>46</v>
      </c>
      <c r="B143" s="1239" t="str">
        <f>'Chấm công KT'!D139</f>
        <v>03632</v>
      </c>
      <c r="C143" s="1239" t="str">
        <f>TONGHOPCONGDOI!C138</f>
        <v>T. A lem</v>
      </c>
      <c r="D143" s="1239" t="s">
        <v>30</v>
      </c>
      <c r="E143" s="1240"/>
      <c r="F143" s="1230">
        <f t="shared" si="21"/>
        <v>0</v>
      </c>
      <c r="G143" s="1230">
        <f>VLOOKUP(C143,TONGHOPCONGDOI!C138:AD157,16,0)</f>
        <v>1695</v>
      </c>
      <c r="H143" s="1230">
        <f>VLOOKUP(C143,TONGHOPCONGDOI!C138:AD157,18,0)</f>
        <v>0</v>
      </c>
      <c r="I143" s="1230"/>
      <c r="J143" s="1231">
        <f t="shared" si="29"/>
        <v>860.80224064813024</v>
      </c>
      <c r="K143" s="1232" t="str">
        <f>VLOOKUP(C143,'BTH mủ tạp'!$C$98:$AL$160,36,0)</f>
        <v>B</v>
      </c>
      <c r="L143" s="1250">
        <f t="shared" si="26"/>
        <v>3011968</v>
      </c>
      <c r="M143" s="1234">
        <f>VLOOKUP(C143,TONGHOPCONGDOI!$C$93:$AD$150,20,0)</f>
        <v>26</v>
      </c>
      <c r="N143" s="1234">
        <f>VLOOKUP(C143,TONGHOPCONGDOI!$C$93:$AD$150,21,0)</f>
        <v>4</v>
      </c>
      <c r="O143" s="1234">
        <f>VLOOKUP(C143,TONGHOPCONGDOI!$C$93:$AD$150,22,0)</f>
        <v>0</v>
      </c>
      <c r="P143" s="1234">
        <f>VLOOKUP(C143,TONGHOPCONGDOI!$C$93:$AD$150,23,0)</f>
        <v>0</v>
      </c>
      <c r="Q143" s="1234">
        <f>VLOOKUP(C143,TONGHOPCONGDOI!$C$93:$AD$150,24,0)</f>
        <v>0</v>
      </c>
      <c r="R143" s="1234">
        <f>VLOOKUP(C143,TONGHOPCONGDOI!$C$93:$AD$150,25,0)</f>
        <v>0</v>
      </c>
      <c r="S143" s="1234">
        <f t="shared" si="23"/>
        <v>20</v>
      </c>
      <c r="T143" s="1235"/>
      <c r="U143" s="1235"/>
      <c r="V143" s="1235"/>
      <c r="W143" s="1234">
        <f t="shared" si="27"/>
        <v>1506488</v>
      </c>
      <c r="X143" s="1234">
        <f t="shared" si="30"/>
        <v>4518456</v>
      </c>
      <c r="Y143" s="1241"/>
      <c r="Z143" s="1237">
        <f t="shared" si="25"/>
        <v>4518456</v>
      </c>
      <c r="AA143" s="1230"/>
      <c r="AB143" s="1236"/>
      <c r="AC143" s="902">
        <f t="shared" si="28"/>
        <v>46</v>
      </c>
      <c r="AD143" s="784"/>
      <c r="AE143" s="784"/>
      <c r="AF143" s="784"/>
      <c r="AG143" s="784"/>
      <c r="AH143" s="784"/>
      <c r="AI143" s="784"/>
      <c r="AJ143" s="784"/>
      <c r="AK143" s="784"/>
    </row>
    <row r="144" spans="1:37" s="785" customFormat="1" ht="38.25" customHeight="1">
      <c r="A144" s="1239">
        <v>47</v>
      </c>
      <c r="B144" s="1239"/>
      <c r="C144" s="1239" t="str">
        <f>TONGHOPCONGDOI!C139</f>
        <v>T. Phan</v>
      </c>
      <c r="D144" s="1239" t="s">
        <v>30</v>
      </c>
      <c r="E144" s="1240"/>
      <c r="F144" s="1230">
        <f t="shared" si="21"/>
        <v>0</v>
      </c>
      <c r="G144" s="1230">
        <f>VLOOKUP(C144,TONGHOPCONGDOI!C139:AD157,16,0)</f>
        <v>1623</v>
      </c>
      <c r="H144" s="1230">
        <f>VLOOKUP(C144,TONGHOPCONGDOI!C139:AD157,18,0)</f>
        <v>0</v>
      </c>
      <c r="I144" s="1230"/>
      <c r="J144" s="1231">
        <f t="shared" si="29"/>
        <v>824.23718971794415</v>
      </c>
      <c r="K144" s="1232" t="str">
        <f>VLOOKUP(C144,'BTH mủ tạp'!$C$98:$AL$160,36,0)</f>
        <v>B</v>
      </c>
      <c r="L144" s="1250">
        <f t="shared" si="26"/>
        <v>2884026</v>
      </c>
      <c r="M144" s="1234">
        <f>VLOOKUP(C144,TONGHOPCONGDOI!$C$93:$AD$150,20,0)</f>
        <v>27</v>
      </c>
      <c r="N144" s="1234">
        <f>VLOOKUP(C144,TONGHOPCONGDOI!$C$93:$AD$150,21,0)</f>
        <v>4</v>
      </c>
      <c r="O144" s="1234">
        <f>VLOOKUP(C144,TONGHOPCONGDOI!$C$93:$AD$150,22,0)</f>
        <v>0</v>
      </c>
      <c r="P144" s="1234">
        <f>VLOOKUP(C144,TONGHOPCONGDOI!$C$93:$AD$150,23,0)</f>
        <v>0</v>
      </c>
      <c r="Q144" s="1234">
        <f>VLOOKUP(C144,TONGHOPCONGDOI!$C$93:$AD$150,24,0)</f>
        <v>0</v>
      </c>
      <c r="R144" s="1234">
        <f>VLOOKUP(C144,TONGHOPCONGDOI!$C$93:$AD$150,25,0)</f>
        <v>0</v>
      </c>
      <c r="S144" s="1234">
        <f t="shared" si="23"/>
        <v>20</v>
      </c>
      <c r="T144" s="1235"/>
      <c r="U144" s="1235"/>
      <c r="V144" s="1235"/>
      <c r="W144" s="1234">
        <f t="shared" si="27"/>
        <v>1537293</v>
      </c>
      <c r="X144" s="1234">
        <f t="shared" si="30"/>
        <v>4421319</v>
      </c>
      <c r="Y144" s="1241"/>
      <c r="Z144" s="1237">
        <f t="shared" si="25"/>
        <v>4421319</v>
      </c>
      <c r="AA144" s="1230"/>
      <c r="AB144" s="1236"/>
      <c r="AC144" s="902">
        <f t="shared" si="28"/>
        <v>47</v>
      </c>
      <c r="AD144" s="784"/>
      <c r="AE144" s="784"/>
      <c r="AF144" s="784"/>
      <c r="AG144" s="784"/>
      <c r="AH144" s="784"/>
      <c r="AI144" s="784"/>
      <c r="AJ144" s="784"/>
      <c r="AK144" s="784"/>
    </row>
    <row r="145" spans="1:37" s="785" customFormat="1" ht="38.25" customHeight="1">
      <c r="A145" s="1239">
        <v>48</v>
      </c>
      <c r="B145" s="1239" t="str">
        <f>'Chấm công KT'!D141</f>
        <v>03634</v>
      </c>
      <c r="C145" s="1239" t="str">
        <f>TONGHOPCONGDOI!C140</f>
        <v>T . Cổ</v>
      </c>
      <c r="D145" s="1239" t="s">
        <v>30</v>
      </c>
      <c r="E145" s="1240"/>
      <c r="F145" s="1230">
        <f t="shared" si="21"/>
        <v>0</v>
      </c>
      <c r="G145" s="1230">
        <f>VLOOKUP(C145,TONGHOPCONGDOI!C140:AD157,16,0)</f>
        <v>1835</v>
      </c>
      <c r="H145" s="1230">
        <f>VLOOKUP(C145,TONGHOPCONGDOI!C140:AD157,18,0)</f>
        <v>0</v>
      </c>
      <c r="I145" s="1230"/>
      <c r="J145" s="1231">
        <f t="shared" si="29"/>
        <v>931.90095079015862</v>
      </c>
      <c r="K145" s="1232" t="str">
        <f>VLOOKUP(C145,'BTH mủ tạp'!$C$98:$AL$160,36,0)</f>
        <v>A</v>
      </c>
      <c r="L145" s="1250">
        <f t="shared" si="26"/>
        <v>3429403</v>
      </c>
      <c r="M145" s="1234">
        <f>VLOOKUP(C145,TONGHOPCONGDOI!$C$93:$AD$150,20,0)</f>
        <v>22</v>
      </c>
      <c r="N145" s="1234">
        <f>VLOOKUP(C145,TONGHOPCONGDOI!$C$93:$AD$150,21,0)</f>
        <v>2</v>
      </c>
      <c r="O145" s="1234">
        <f>VLOOKUP(C145,TONGHOPCONGDOI!$C$93:$AD$150,22,0)</f>
        <v>0</v>
      </c>
      <c r="P145" s="1234">
        <f>VLOOKUP(C145,TONGHOPCONGDOI!$C$93:$AD$150,23,0)</f>
        <v>0</v>
      </c>
      <c r="Q145" s="1234">
        <f>VLOOKUP(C145,TONGHOPCONGDOI!$C$93:$AD$150,24,0)</f>
        <v>0</v>
      </c>
      <c r="R145" s="1234">
        <f>VLOOKUP(C145,TONGHOPCONGDOI!$C$93:$AD$150,25,0)</f>
        <v>0</v>
      </c>
      <c r="S145" s="1234">
        <f t="shared" si="23"/>
        <v>20</v>
      </c>
      <c r="T145" s="1235"/>
      <c r="U145" s="1235"/>
      <c r="V145" s="1235"/>
      <c r="W145" s="1234">
        <f t="shared" si="27"/>
        <v>1280493</v>
      </c>
      <c r="X145" s="1234">
        <f t="shared" si="30"/>
        <v>4709896</v>
      </c>
      <c r="Y145" s="1241"/>
      <c r="Z145" s="1237">
        <f t="shared" si="25"/>
        <v>4709896</v>
      </c>
      <c r="AA145" s="1230"/>
      <c r="AB145" s="1236"/>
      <c r="AC145" s="902">
        <f t="shared" si="28"/>
        <v>48</v>
      </c>
      <c r="AD145" s="784"/>
      <c r="AE145" s="784"/>
      <c r="AF145" s="784"/>
      <c r="AG145" s="784"/>
      <c r="AH145" s="784"/>
      <c r="AI145" s="784"/>
      <c r="AJ145" s="784"/>
      <c r="AK145" s="784"/>
    </row>
    <row r="146" spans="1:37" s="785" customFormat="1" ht="38.25" customHeight="1">
      <c r="A146" s="1239">
        <v>49</v>
      </c>
      <c r="B146" s="1239" t="str">
        <f>'Chấm công KT'!D142</f>
        <v>03635</v>
      </c>
      <c r="C146" s="1239" t="str">
        <f>TONGHOPCONGDOI!C141</f>
        <v>N. Phim Pha</v>
      </c>
      <c r="D146" s="1239" t="s">
        <v>30</v>
      </c>
      <c r="E146" s="1240"/>
      <c r="F146" s="1230">
        <f t="shared" si="21"/>
        <v>0</v>
      </c>
      <c r="G146" s="1230">
        <f>VLOOKUP(C146,TONGHOPCONGDOI!C141:AD157,16,0)</f>
        <v>1313</v>
      </c>
      <c r="H146" s="1230">
        <f>VLOOKUP(C146,TONGHOPCONGDOI!C141:AD158,18,0)</f>
        <v>0</v>
      </c>
      <c r="I146" s="1230"/>
      <c r="J146" s="1231">
        <f t="shared" si="29"/>
        <v>666.80433154630964</v>
      </c>
      <c r="K146" s="1232" t="str">
        <f>VLOOKUP(C146,'BTH mủ tạp'!$C$98:$AL$160,36,0)</f>
        <v>C</v>
      </c>
      <c r="L146" s="1250">
        <f t="shared" si="26"/>
        <v>2212483</v>
      </c>
      <c r="M146" s="1234">
        <f>VLOOKUP(C146,TONGHOPCONGDOI!$C$93:$AD$150,20,0)</f>
        <v>26</v>
      </c>
      <c r="N146" s="1234">
        <f>VLOOKUP(C146,TONGHOPCONGDOI!$C$93:$AD$150,21,0)</f>
        <v>4</v>
      </c>
      <c r="O146" s="1234">
        <f>VLOOKUP(C146,TONGHOPCONGDOI!$C$93:$AD$150,22,0)</f>
        <v>0</v>
      </c>
      <c r="P146" s="1234">
        <f>VLOOKUP(C146,TONGHOPCONGDOI!$C$93:$AD$150,23,0)</f>
        <v>0</v>
      </c>
      <c r="Q146" s="1234">
        <f>VLOOKUP(C146,TONGHOPCONGDOI!$C$93:$AD$150,24,0)</f>
        <v>0</v>
      </c>
      <c r="R146" s="1234">
        <f>VLOOKUP(C146,TONGHOPCONGDOI!$C$93:$AD$150,25,0)</f>
        <v>0</v>
      </c>
      <c r="S146" s="1234">
        <f t="shared" si="23"/>
        <v>20</v>
      </c>
      <c r="T146" s="1235"/>
      <c r="U146" s="1235"/>
      <c r="V146" s="1235"/>
      <c r="W146" s="1234">
        <f t="shared" si="27"/>
        <v>1506488</v>
      </c>
      <c r="X146" s="1234">
        <f t="shared" si="30"/>
        <v>3718971</v>
      </c>
      <c r="Y146" s="1241"/>
      <c r="Z146" s="1237">
        <f t="shared" si="25"/>
        <v>3718971</v>
      </c>
      <c r="AA146" s="1230"/>
      <c r="AB146" s="1236"/>
      <c r="AC146" s="902">
        <f t="shared" si="28"/>
        <v>49</v>
      </c>
      <c r="AD146" s="784"/>
      <c r="AE146" s="784"/>
      <c r="AF146" s="784"/>
      <c r="AG146" s="784"/>
      <c r="AH146" s="784"/>
      <c r="AI146" s="784"/>
      <c r="AJ146" s="784"/>
      <c r="AK146" s="784"/>
    </row>
    <row r="147" spans="1:37" s="785" customFormat="1" ht="38.25" customHeight="1">
      <c r="A147" s="1239">
        <v>50</v>
      </c>
      <c r="B147" s="1239" t="e">
        <f>'Chấm công KT'!D143</f>
        <v>#N/A</v>
      </c>
      <c r="C147" s="1239" t="str">
        <f>TONGHOPCONGDOI!C142</f>
        <v xml:space="preserve">T. Xeng </v>
      </c>
      <c r="D147" s="1239" t="s">
        <v>30</v>
      </c>
      <c r="E147" s="1240"/>
      <c r="F147" s="1230">
        <f t="shared" si="21"/>
        <v>0</v>
      </c>
      <c r="G147" s="1230">
        <f>VLOOKUP(C147,TONGHOPCONGDOI!C142:AD157,16,0)</f>
        <v>1913</v>
      </c>
      <c r="H147" s="1230">
        <f>VLOOKUP(C147,TONGHOPCONGDOI!C142:AD159,18,0)</f>
        <v>0</v>
      </c>
      <c r="I147" s="1230"/>
      <c r="J147" s="1231">
        <f t="shared" si="29"/>
        <v>971.51308929786023</v>
      </c>
      <c r="K147" s="1232" t="str">
        <f>VLOOKUP(C147,'BTH mủ tạp'!$C$98:$AL$160,36,0)</f>
        <v>A</v>
      </c>
      <c r="L147" s="1250">
        <f t="shared" si="26"/>
        <v>3575176</v>
      </c>
      <c r="M147" s="1234">
        <f>VLOOKUP(C147,TONGHOPCONGDOI!$C$93:$AD$150,20,0)</f>
        <v>27</v>
      </c>
      <c r="N147" s="1234">
        <f>VLOOKUP(C147,TONGHOPCONGDOI!$C$93:$AD$150,21,0)</f>
        <v>4</v>
      </c>
      <c r="O147" s="1234">
        <f>VLOOKUP(C147,TONGHOPCONGDOI!$C$93:$AD$150,22,0)</f>
        <v>0</v>
      </c>
      <c r="P147" s="1234">
        <f>VLOOKUP(C147,TONGHOPCONGDOI!$C$93:$AD$150,23,0)</f>
        <v>0</v>
      </c>
      <c r="Q147" s="1234">
        <f>VLOOKUP(C147,TONGHOPCONGDOI!$C$93:$AD$150,24,0)</f>
        <v>0</v>
      </c>
      <c r="R147" s="1234">
        <f>VLOOKUP(C147,TONGHOPCONGDOI!$C$93:$AD$150,25,0)</f>
        <v>0</v>
      </c>
      <c r="S147" s="1234">
        <f t="shared" si="23"/>
        <v>20</v>
      </c>
      <c r="T147" s="1235"/>
      <c r="U147" s="1235"/>
      <c r="V147" s="1235"/>
      <c r="W147" s="1234">
        <f t="shared" si="27"/>
        <v>1537293</v>
      </c>
      <c r="X147" s="1234">
        <f t="shared" si="30"/>
        <v>5112469</v>
      </c>
      <c r="Y147" s="1241"/>
      <c r="Z147" s="1237">
        <f t="shared" si="25"/>
        <v>5112469</v>
      </c>
      <c r="AA147" s="1230"/>
      <c r="AB147" s="1236"/>
      <c r="AC147" s="902">
        <f t="shared" si="28"/>
        <v>50</v>
      </c>
      <c r="AD147" s="784"/>
      <c r="AE147" s="784"/>
      <c r="AF147" s="784"/>
      <c r="AG147" s="784"/>
      <c r="AH147" s="784"/>
      <c r="AI147" s="784"/>
      <c r="AJ147" s="784"/>
      <c r="AK147" s="784"/>
    </row>
    <row r="148" spans="1:37" s="785" customFormat="1" ht="38.25" customHeight="1">
      <c r="A148" s="1239">
        <v>51</v>
      </c>
      <c r="B148" s="1239" t="str">
        <f>'Chấm công KT'!D144</f>
        <v>03637</v>
      </c>
      <c r="C148" s="1239" t="str">
        <f>TONGHOPCONGDOI!C143</f>
        <v>T. Vạt</v>
      </c>
      <c r="D148" s="1239" t="s">
        <v>30</v>
      </c>
      <c r="E148" s="1240"/>
      <c r="F148" s="1230">
        <f t="shared" si="21"/>
        <v>0</v>
      </c>
      <c r="G148" s="1230">
        <f>VLOOKUP(C148,TONGHOPCONGDOI!C143:AD157,16,0)</f>
        <v>2028</v>
      </c>
      <c r="H148" s="1230">
        <f>VLOOKUP(C148,TONGHOPCONGDOI!C143:AD160,18,0)</f>
        <v>0</v>
      </c>
      <c r="I148" s="1230"/>
      <c r="J148" s="1231">
        <f t="shared" si="29"/>
        <v>1029.9156012002406</v>
      </c>
      <c r="K148" s="1232" t="str">
        <f>VLOOKUP(C148,'BTH mủ tạp'!$C$98:$AL$160,36,0)</f>
        <v>A</v>
      </c>
      <c r="L148" s="1250">
        <f t="shared" si="26"/>
        <v>3790098</v>
      </c>
      <c r="M148" s="1234">
        <f>VLOOKUP(C148,TONGHOPCONGDOI!$C$93:$AD$150,20,0)</f>
        <v>24</v>
      </c>
      <c r="N148" s="1234">
        <f>VLOOKUP(C148,TONGHOPCONGDOI!$C$93:$AD$150,21,0)</f>
        <v>4</v>
      </c>
      <c r="O148" s="1234">
        <f>VLOOKUP(C148,TONGHOPCONGDOI!$C$93:$AD$150,22,0)</f>
        <v>0</v>
      </c>
      <c r="P148" s="1234">
        <f>VLOOKUP(C148,TONGHOPCONGDOI!$C$93:$AD$150,23,0)</f>
        <v>0</v>
      </c>
      <c r="Q148" s="1234">
        <f>VLOOKUP(C148,TONGHOPCONGDOI!$C$93:$AD$150,24,0)</f>
        <v>0</v>
      </c>
      <c r="R148" s="1234">
        <f>VLOOKUP(C148,TONGHOPCONGDOI!$C$93:$AD$150,25,0)</f>
        <v>0</v>
      </c>
      <c r="S148" s="1234">
        <f t="shared" si="23"/>
        <v>20</v>
      </c>
      <c r="T148" s="1235"/>
      <c r="U148" s="1235"/>
      <c r="V148" s="1235"/>
      <c r="W148" s="1234">
        <f t="shared" si="27"/>
        <v>1444877</v>
      </c>
      <c r="X148" s="1234">
        <f t="shared" si="30"/>
        <v>5234975</v>
      </c>
      <c r="Y148" s="1241"/>
      <c r="Z148" s="1237">
        <f t="shared" si="25"/>
        <v>5234975</v>
      </c>
      <c r="AA148" s="1230"/>
      <c r="AB148" s="1236"/>
      <c r="AC148" s="902">
        <f t="shared" si="28"/>
        <v>51</v>
      </c>
      <c r="AD148" s="784"/>
      <c r="AE148" s="784"/>
      <c r="AF148" s="784"/>
      <c r="AG148" s="784"/>
      <c r="AH148" s="784"/>
      <c r="AI148" s="784"/>
      <c r="AJ148" s="784"/>
      <c r="AK148" s="784"/>
    </row>
    <row r="149" spans="1:37" s="785" customFormat="1" ht="38.25" customHeight="1">
      <c r="A149" s="1239">
        <v>52</v>
      </c>
      <c r="B149" s="1239" t="str">
        <f>'Chấm công KT'!D145</f>
        <v>03638</v>
      </c>
      <c r="C149" s="1239" t="str">
        <f>TONGHOPCONGDOI!C144</f>
        <v>T. Lay</v>
      </c>
      <c r="D149" s="1239" t="s">
        <v>30</v>
      </c>
      <c r="E149" s="1240"/>
      <c r="F149" s="1230">
        <f t="shared" si="21"/>
        <v>0</v>
      </c>
      <c r="G149" s="1230">
        <f>VLOOKUP(C149,TONGHOPCONGDOI!C144:AD157,16,0)</f>
        <v>2454</v>
      </c>
      <c r="H149" s="1230">
        <f>VLOOKUP(C149,TONGHOPCONGDOI!C144:AD161,18,0)</f>
        <v>0</v>
      </c>
      <c r="I149" s="1230"/>
      <c r="J149" s="1231">
        <f t="shared" si="29"/>
        <v>1246.2588192038415</v>
      </c>
      <c r="K149" s="1232" t="str">
        <f>VLOOKUP(C149,'BTH mủ tạp'!$C$98:$AL$160,36,0)</f>
        <v>A</v>
      </c>
      <c r="L149" s="1250">
        <f t="shared" si="26"/>
        <v>4586242</v>
      </c>
      <c r="M149" s="1234">
        <f>VLOOKUP(C149,TONGHOPCONGDOI!$C$93:$AD$150,20,0)</f>
        <v>27</v>
      </c>
      <c r="N149" s="1234">
        <f>VLOOKUP(C149,TONGHOPCONGDOI!$C$93:$AD$150,21,0)</f>
        <v>4</v>
      </c>
      <c r="O149" s="1234">
        <f>VLOOKUP(C149,TONGHOPCONGDOI!$C$93:$AD$150,22,0)</f>
        <v>0</v>
      </c>
      <c r="P149" s="1234">
        <f>VLOOKUP(C149,TONGHOPCONGDOI!$C$93:$AD$150,23,0)</f>
        <v>0</v>
      </c>
      <c r="Q149" s="1234">
        <f>VLOOKUP(C149,TONGHOPCONGDOI!$C$93:$AD$150,24,0)</f>
        <v>0</v>
      </c>
      <c r="R149" s="1234">
        <f>VLOOKUP(C149,TONGHOPCONGDOI!$C$93:$AD$150,25,0)</f>
        <v>0</v>
      </c>
      <c r="S149" s="1234">
        <f t="shared" si="23"/>
        <v>20</v>
      </c>
      <c r="T149" s="1235"/>
      <c r="U149" s="1235"/>
      <c r="V149" s="1235"/>
      <c r="W149" s="1234">
        <f t="shared" si="27"/>
        <v>1537293</v>
      </c>
      <c r="X149" s="1234">
        <f t="shared" si="30"/>
        <v>6123535</v>
      </c>
      <c r="Y149" s="1241"/>
      <c r="Z149" s="1237">
        <f t="shared" si="25"/>
        <v>6123535</v>
      </c>
      <c r="AA149" s="1230"/>
      <c r="AB149" s="1236"/>
      <c r="AC149" s="902">
        <f t="shared" si="28"/>
        <v>52</v>
      </c>
      <c r="AD149" s="784"/>
      <c r="AE149" s="784"/>
      <c r="AF149" s="784"/>
      <c r="AG149" s="784"/>
      <c r="AH149" s="784"/>
      <c r="AI149" s="784"/>
      <c r="AJ149" s="784"/>
      <c r="AK149" s="784"/>
    </row>
    <row r="150" spans="1:37" s="785" customFormat="1" ht="38.25" customHeight="1">
      <c r="A150" s="1239">
        <v>53</v>
      </c>
      <c r="B150" s="1239"/>
      <c r="C150" s="1239" t="str">
        <f>TONGHOPCONGDOI!C145</f>
        <v>N. Nọi</v>
      </c>
      <c r="D150" s="1239" t="s">
        <v>30</v>
      </c>
      <c r="E150" s="1240"/>
      <c r="F150" s="1230">
        <f t="shared" si="21"/>
        <v>0</v>
      </c>
      <c r="G150" s="1230">
        <f>VLOOKUP(C150,TONGHOPCONGDOI!C145:AD157,16,0)</f>
        <v>2291</v>
      </c>
      <c r="H150" s="1230">
        <f>VLOOKUP(C150,TONGHOPCONGDOI!C145:AD162,18,0)</f>
        <v>0</v>
      </c>
      <c r="I150" s="1230"/>
      <c r="J150" s="1231">
        <f t="shared" si="29"/>
        <v>1163.4796066813369</v>
      </c>
      <c r="K150" s="1232" t="str">
        <f>VLOOKUP(C150,'BTH mủ tạp'!$C$98:$AL$160,36,0)</f>
        <v>A</v>
      </c>
      <c r="L150" s="1250">
        <f t="shared" si="26"/>
        <v>4281614</v>
      </c>
      <c r="M150" s="1234">
        <f>VLOOKUP(C150,TONGHOPCONGDOI!$C$93:$AD$150,20,0)</f>
        <v>27</v>
      </c>
      <c r="N150" s="1234">
        <f>VLOOKUP(C150,TONGHOPCONGDOI!$C$93:$AD$150,21,0)</f>
        <v>4</v>
      </c>
      <c r="O150" s="1234">
        <f>VLOOKUP(C150,TONGHOPCONGDOI!$C$93:$AD$150,22,0)</f>
        <v>0</v>
      </c>
      <c r="P150" s="1234">
        <f>VLOOKUP(C150,TONGHOPCONGDOI!$C$93:$AD$150,23,0)</f>
        <v>0</v>
      </c>
      <c r="Q150" s="1234">
        <f>VLOOKUP(C150,TONGHOPCONGDOI!$C$93:$AD$150,24,0)</f>
        <v>0</v>
      </c>
      <c r="R150" s="1234">
        <f>VLOOKUP(C150,TONGHOPCONGDOI!$C$93:$AD$150,25,0)</f>
        <v>0</v>
      </c>
      <c r="S150" s="1234">
        <f t="shared" si="23"/>
        <v>20</v>
      </c>
      <c r="T150" s="1235"/>
      <c r="U150" s="1235"/>
      <c r="V150" s="1235"/>
      <c r="W150" s="1234">
        <f t="shared" si="27"/>
        <v>1537293</v>
      </c>
      <c r="X150" s="1234">
        <f t="shared" si="30"/>
        <v>5818907</v>
      </c>
      <c r="Y150" s="1241"/>
      <c r="Z150" s="1237">
        <f t="shared" si="25"/>
        <v>5818907</v>
      </c>
      <c r="AA150" s="1230"/>
      <c r="AB150" s="1236"/>
      <c r="AC150" s="902">
        <f t="shared" si="28"/>
        <v>53</v>
      </c>
      <c r="AD150" s="784"/>
      <c r="AE150" s="784"/>
      <c r="AF150" s="784"/>
      <c r="AG150" s="784"/>
      <c r="AH150" s="784"/>
      <c r="AI150" s="784"/>
      <c r="AJ150" s="784"/>
      <c r="AK150" s="784"/>
    </row>
    <row r="151" spans="1:37" s="785" customFormat="1" ht="38.25" customHeight="1">
      <c r="A151" s="1239">
        <v>54</v>
      </c>
      <c r="B151" s="1239"/>
      <c r="C151" s="1239" t="str">
        <f>TONGHOPCONGDOI!C146</f>
        <v>T Bun Xi</v>
      </c>
      <c r="D151" s="1239" t="s">
        <v>30</v>
      </c>
      <c r="E151" s="1240"/>
      <c r="F151" s="1230">
        <f t="shared" si="21"/>
        <v>0</v>
      </c>
      <c r="G151" s="1230">
        <f>VLOOKUP(C151,TONGHOPCONGDOI!C146:AD157,16,0)</f>
        <v>1372</v>
      </c>
      <c r="H151" s="1230">
        <f>VLOOKUP(C151,TONGHOPCONGDOI!C146:AD163,18,0)</f>
        <v>0</v>
      </c>
      <c r="I151" s="1230"/>
      <c r="J151" s="1231">
        <f t="shared" si="29"/>
        <v>696.76735939187881</v>
      </c>
      <c r="K151" s="1232" t="str">
        <f>VLOOKUP(C151,'BTH mủ tạp'!$C$98:$AL$160,36,0)</f>
        <v>B</v>
      </c>
      <c r="L151" s="1250">
        <f t="shared" si="26"/>
        <v>2438006</v>
      </c>
      <c r="M151" s="1234">
        <f>VLOOKUP(C151,TONGHOPCONGDOI!$C$93:$AD$150,20,0)</f>
        <v>21</v>
      </c>
      <c r="N151" s="1234">
        <f>VLOOKUP(C151,TONGHOPCONGDOI!$C$93:$AD$150,21,0)</f>
        <v>4</v>
      </c>
      <c r="O151" s="1234">
        <f>VLOOKUP(C151,TONGHOPCONGDOI!$C$93:$AD$150,22,0)</f>
        <v>0</v>
      </c>
      <c r="P151" s="1234">
        <f>VLOOKUP(C151,TONGHOPCONGDOI!$C$93:$AD$150,23,0)</f>
        <v>0</v>
      </c>
      <c r="Q151" s="1234">
        <f>VLOOKUP(C151,TONGHOPCONGDOI!$C$93:$AD$150,24,0)</f>
        <v>0</v>
      </c>
      <c r="R151" s="1234">
        <f>VLOOKUP(C151,TONGHOPCONGDOI!$C$93:$AD$150,25,0)</f>
        <v>0</v>
      </c>
      <c r="S151" s="1234">
        <f t="shared" si="23"/>
        <v>20</v>
      </c>
      <c r="T151" s="1235"/>
      <c r="U151" s="1235"/>
      <c r="V151" s="1235"/>
      <c r="W151" s="1234">
        <f t="shared" si="27"/>
        <v>1352461</v>
      </c>
      <c r="X151" s="1234">
        <f t="shared" si="30"/>
        <v>3790467</v>
      </c>
      <c r="Y151" s="1241"/>
      <c r="Z151" s="1237">
        <f t="shared" si="25"/>
        <v>3790467</v>
      </c>
      <c r="AA151" s="1230"/>
      <c r="AB151" s="1236"/>
      <c r="AC151" s="902">
        <f t="shared" si="28"/>
        <v>54</v>
      </c>
      <c r="AD151" s="784"/>
      <c r="AE151" s="784"/>
      <c r="AF151" s="784"/>
      <c r="AG151" s="784"/>
      <c r="AH151" s="784"/>
      <c r="AI151" s="784"/>
      <c r="AJ151" s="784"/>
      <c r="AK151" s="784"/>
    </row>
    <row r="152" spans="1:37" s="785" customFormat="1" ht="38.25" customHeight="1">
      <c r="A152" s="1239">
        <v>55</v>
      </c>
      <c r="B152" s="1239"/>
      <c r="C152" s="1239" t="str">
        <f>TONGHOPCONGDOI!C147</f>
        <v>N. Bù</v>
      </c>
      <c r="D152" s="1239" t="s">
        <v>30</v>
      </c>
      <c r="E152" s="1240"/>
      <c r="F152" s="1230">
        <f t="shared" si="21"/>
        <v>0</v>
      </c>
      <c r="G152" s="1230">
        <f>VLOOKUP(C152,TONGHOPCONGDOI!C147:AD157,16,0)</f>
        <v>1815</v>
      </c>
      <c r="H152" s="1230">
        <f>VLOOKUP(C152,TONGHOPCONGDOI!C147:AD164,18,0)</f>
        <v>0</v>
      </c>
      <c r="I152" s="1230"/>
      <c r="J152" s="1231">
        <f t="shared" si="29"/>
        <v>921.74399219844031</v>
      </c>
      <c r="K152" s="1232" t="str">
        <f>VLOOKUP(C152,'BTH mủ tạp'!$C$98:$AL$160,36,0)</f>
        <v>B</v>
      </c>
      <c r="L152" s="1250">
        <f t="shared" si="26"/>
        <v>3225204</v>
      </c>
      <c r="M152" s="1234">
        <f>VLOOKUP(C152,TONGHOPCONGDOI!$C$93:$AD$150,20,0)</f>
        <v>27</v>
      </c>
      <c r="N152" s="1234">
        <f>VLOOKUP(C152,TONGHOPCONGDOI!$C$93:$AD$150,21,0)</f>
        <v>4</v>
      </c>
      <c r="O152" s="1234">
        <f>VLOOKUP(C152,TONGHOPCONGDOI!$C$93:$AD$150,22,0)</f>
        <v>0</v>
      </c>
      <c r="P152" s="1234">
        <f>VLOOKUP(C152,TONGHOPCONGDOI!$C$93:$AD$150,23,0)</f>
        <v>0</v>
      </c>
      <c r="Q152" s="1234">
        <f>VLOOKUP(C152,TONGHOPCONGDOI!$C$93:$AD$150,24,0)</f>
        <v>0</v>
      </c>
      <c r="R152" s="1234">
        <f>VLOOKUP(C152,TONGHOPCONGDOI!$C$93:$AD$150,25,0)</f>
        <v>0</v>
      </c>
      <c r="S152" s="1234">
        <f t="shared" si="23"/>
        <v>20</v>
      </c>
      <c r="T152" s="1235"/>
      <c r="U152" s="1235"/>
      <c r="V152" s="1235"/>
      <c r="W152" s="1234">
        <f t="shared" si="27"/>
        <v>1537293</v>
      </c>
      <c r="X152" s="1234">
        <f t="shared" si="30"/>
        <v>4762497</v>
      </c>
      <c r="Y152" s="1241"/>
      <c r="Z152" s="1237">
        <f t="shared" si="25"/>
        <v>4762497</v>
      </c>
      <c r="AA152" s="1230"/>
      <c r="AB152" s="1236"/>
      <c r="AC152" s="902">
        <f t="shared" si="28"/>
        <v>55</v>
      </c>
      <c r="AD152" s="784"/>
      <c r="AE152" s="784"/>
      <c r="AF152" s="784"/>
      <c r="AG152" s="784"/>
      <c r="AH152" s="784"/>
      <c r="AI152" s="784"/>
      <c r="AJ152" s="784"/>
      <c r="AK152" s="784"/>
    </row>
    <row r="153" spans="1:37" s="785" customFormat="1" ht="38.25" customHeight="1">
      <c r="A153" s="1239">
        <v>56</v>
      </c>
      <c r="B153" s="1239" t="str">
        <f>'Chấm công KT'!D149</f>
        <v>03642</v>
      </c>
      <c r="C153" s="1239" t="str">
        <f>TONGHOPCONGDOI!C148</f>
        <v>T. Xơn</v>
      </c>
      <c r="D153" s="1239" t="s">
        <v>30</v>
      </c>
      <c r="E153" s="1240"/>
      <c r="F153" s="1230">
        <f t="shared" si="21"/>
        <v>0</v>
      </c>
      <c r="G153" s="1230">
        <f>VLOOKUP(C153,TONGHOPCONGDOI!C148:AD157,16,0)</f>
        <v>1379</v>
      </c>
      <c r="H153" s="1230">
        <f>VLOOKUP(C153,TONGHOPCONGDOI!C148:AD165,18,0)</f>
        <v>0</v>
      </c>
      <c r="I153" s="1230"/>
      <c r="J153" s="1231">
        <f t="shared" si="29"/>
        <v>700.3222948989802</v>
      </c>
      <c r="K153" s="1232" t="str">
        <f>VLOOKUP(C153,'BTH mủ tạp'!$C$98:$AL$160,36,0)</f>
        <v>B</v>
      </c>
      <c r="L153" s="1250">
        <f t="shared" si="26"/>
        <v>2450445</v>
      </c>
      <c r="M153" s="1234">
        <f>VLOOKUP(C153,TONGHOPCONGDOI!$C$93:$AD$150,20,0)</f>
        <v>21</v>
      </c>
      <c r="N153" s="1234">
        <f>VLOOKUP(C153,TONGHOPCONGDOI!$C$93:$AD$150,21,0)</f>
        <v>4</v>
      </c>
      <c r="O153" s="1234">
        <f>VLOOKUP(C153,TONGHOPCONGDOI!$C$93:$AD$150,22,0)</f>
        <v>0</v>
      </c>
      <c r="P153" s="1234">
        <f>VLOOKUP(C153,TONGHOPCONGDOI!$C$93:$AD$150,23,0)</f>
        <v>0</v>
      </c>
      <c r="Q153" s="1234">
        <f>VLOOKUP(C153,TONGHOPCONGDOI!$C$93:$AD$150,24,0)</f>
        <v>0</v>
      </c>
      <c r="R153" s="1234">
        <f>VLOOKUP(C153,TONGHOPCONGDOI!$C$93:$AD$150,25,0)</f>
        <v>0</v>
      </c>
      <c r="S153" s="1234">
        <f t="shared" si="23"/>
        <v>20</v>
      </c>
      <c r="T153" s="1235"/>
      <c r="U153" s="1235"/>
      <c r="V153" s="1235"/>
      <c r="W153" s="1234">
        <f t="shared" si="27"/>
        <v>1352461</v>
      </c>
      <c r="X153" s="1234">
        <f t="shared" si="30"/>
        <v>3802906</v>
      </c>
      <c r="Y153" s="1241"/>
      <c r="Z153" s="1237">
        <f t="shared" si="25"/>
        <v>3802906</v>
      </c>
      <c r="AA153" s="1230"/>
      <c r="AB153" s="1236"/>
      <c r="AC153" s="902">
        <f t="shared" si="28"/>
        <v>56</v>
      </c>
      <c r="AD153" s="784"/>
      <c r="AE153" s="784"/>
      <c r="AF153" s="784"/>
      <c r="AG153" s="784"/>
      <c r="AH153" s="784"/>
      <c r="AI153" s="784"/>
      <c r="AJ153" s="784"/>
      <c r="AK153" s="784"/>
    </row>
    <row r="154" spans="1:37" s="785" customFormat="1" ht="38.25" customHeight="1">
      <c r="A154" s="1239">
        <v>57</v>
      </c>
      <c r="B154" s="1239"/>
      <c r="C154" s="1239" t="str">
        <f>TONGHOPCONGDOI!C149</f>
        <v>T. Thi</v>
      </c>
      <c r="D154" s="1239" t="s">
        <v>30</v>
      </c>
      <c r="E154" s="1240"/>
      <c r="F154" s="1230">
        <f t="shared" si="21"/>
        <v>0</v>
      </c>
      <c r="G154" s="1230">
        <f>VLOOKUP(C154,TONGHOPCONGDOI!C149:AD157,16,0)</f>
        <v>1816</v>
      </c>
      <c r="H154" s="1230">
        <f>VLOOKUP(C154,TONGHOPCONGDOI!C149:AD166,18,0)</f>
        <v>0</v>
      </c>
      <c r="I154" s="1230"/>
      <c r="J154" s="1231">
        <f t="shared" si="29"/>
        <v>922.25184012802617</v>
      </c>
      <c r="K154" s="1232" t="str">
        <f>VLOOKUP(C154,'BTH mủ tạp'!$C$98:$AL$160,36,0)</f>
        <v>B</v>
      </c>
      <c r="L154" s="1250">
        <f t="shared" si="26"/>
        <v>3226981</v>
      </c>
      <c r="M154" s="1234">
        <f>VLOOKUP(C154,TONGHOPCONGDOI!$C$93:$AD$150,20,0)</f>
        <v>27</v>
      </c>
      <c r="N154" s="1234">
        <f>VLOOKUP(C154,TONGHOPCONGDOI!$C$93:$AD$150,21,0)</f>
        <v>4</v>
      </c>
      <c r="O154" s="1234">
        <f>VLOOKUP(C154,TONGHOPCONGDOI!$C$93:$AD$150,22,0)</f>
        <v>0</v>
      </c>
      <c r="P154" s="1234">
        <f>VLOOKUP(C154,TONGHOPCONGDOI!$C$93:$AD$150,23,0)</f>
        <v>0</v>
      </c>
      <c r="Q154" s="1234">
        <f>VLOOKUP(C154,TONGHOPCONGDOI!$C$93:$AD$150,24,0)</f>
        <v>0</v>
      </c>
      <c r="R154" s="1234">
        <f>VLOOKUP(C154,TONGHOPCONGDOI!$C$93:$AD$150,25,0)</f>
        <v>0</v>
      </c>
      <c r="S154" s="1234">
        <f t="shared" si="23"/>
        <v>20</v>
      </c>
      <c r="T154" s="1235"/>
      <c r="U154" s="1235"/>
      <c r="V154" s="1235"/>
      <c r="W154" s="1234">
        <f t="shared" si="27"/>
        <v>1537293</v>
      </c>
      <c r="X154" s="1234">
        <f t="shared" si="30"/>
        <v>4764274</v>
      </c>
      <c r="Y154" s="1241"/>
      <c r="Z154" s="1237">
        <f t="shared" si="25"/>
        <v>4764274</v>
      </c>
      <c r="AA154" s="1230"/>
      <c r="AB154" s="1236"/>
      <c r="AC154" s="902">
        <f t="shared" si="28"/>
        <v>57</v>
      </c>
      <c r="AD154" s="784"/>
      <c r="AE154" s="784"/>
      <c r="AF154" s="784"/>
      <c r="AG154" s="784"/>
      <c r="AH154" s="784"/>
      <c r="AI154" s="784"/>
      <c r="AJ154" s="784"/>
      <c r="AK154" s="784"/>
    </row>
    <row r="155" spans="1:37" s="785" customFormat="1" ht="38.25" customHeight="1">
      <c r="A155" s="1239">
        <v>58</v>
      </c>
      <c r="B155" s="1239"/>
      <c r="C155" s="1239" t="str">
        <f>TONGHOPCONGDOI!C150</f>
        <v>On chay</v>
      </c>
      <c r="D155" s="1239" t="s">
        <v>30</v>
      </c>
      <c r="E155" s="1240"/>
      <c r="F155" s="1230">
        <f t="shared" si="21"/>
        <v>0</v>
      </c>
      <c r="G155" s="1230">
        <f>VLOOKUP(C155,TONGHOPCONGDOI!C150:AD158,16,0)</f>
        <v>1362</v>
      </c>
      <c r="H155" s="1230">
        <f>VLOOKUP(C155,TONGHOPCONGDOI!C150:AD167,18,0)</f>
        <v>0</v>
      </c>
      <c r="I155" s="1230"/>
      <c r="J155" s="1231">
        <f t="shared" si="29"/>
        <v>691.6888800960196</v>
      </c>
      <c r="K155" s="1232" t="str">
        <f>VLOOKUP(C155,'BTH mủ tạp'!$C$98:$AL$160,36,0)</f>
        <v>A</v>
      </c>
      <c r="L155" s="1250">
        <f t="shared" si="26"/>
        <v>2545421</v>
      </c>
      <c r="M155" s="1234">
        <f>VLOOKUP(C155,TONGHOPCONGDOI!$C$93:$AD$150,20,0)</f>
        <v>27</v>
      </c>
      <c r="N155" s="1234">
        <f>VLOOKUP(C155,TONGHOPCONGDOI!$C$93:$AD$150,21,0)</f>
        <v>4</v>
      </c>
      <c r="O155" s="1234">
        <f>VLOOKUP(C155,TONGHOPCONGDOI!$C$93:$AD$155,22,0)</f>
        <v>0</v>
      </c>
      <c r="P155" s="1234">
        <f>VLOOKUP(C155,TONGHOPCONGDOI!$C$93:$AD$150,23,0)</f>
        <v>0</v>
      </c>
      <c r="Q155" s="1234">
        <f>VLOOKUP(C155,TONGHOPCONGDOI!$C$93:$AD$150,24,0)</f>
        <v>0</v>
      </c>
      <c r="R155" s="1234">
        <f>VLOOKUP(C155,TONGHOPCONGDOI!$C$93:$AD$150,25,0)</f>
        <v>0</v>
      </c>
      <c r="S155" s="1234">
        <f t="shared" si="23"/>
        <v>20</v>
      </c>
      <c r="T155" s="1235"/>
      <c r="U155" s="1235"/>
      <c r="V155" s="1235"/>
      <c r="W155" s="1234">
        <f t="shared" si="27"/>
        <v>1537293</v>
      </c>
      <c r="X155" s="1234">
        <f t="shared" si="30"/>
        <v>4082714</v>
      </c>
      <c r="Y155" s="1241"/>
      <c r="Z155" s="1237">
        <f t="shared" si="25"/>
        <v>4082714</v>
      </c>
      <c r="AA155" s="1230"/>
      <c r="AB155" s="1236"/>
      <c r="AC155" s="902">
        <f t="shared" si="28"/>
        <v>58</v>
      </c>
      <c r="AD155" s="784"/>
      <c r="AE155" s="784"/>
      <c r="AF155" s="784"/>
      <c r="AG155" s="784"/>
      <c r="AH155" s="784"/>
      <c r="AI155" s="784"/>
      <c r="AJ155" s="784"/>
      <c r="AK155" s="784"/>
    </row>
    <row r="156" spans="1:37" s="785" customFormat="1" ht="38.25" customHeight="1">
      <c r="A156" s="1239">
        <v>59</v>
      </c>
      <c r="B156" s="1239"/>
      <c r="C156" s="1239" t="str">
        <f>TONGHOPCONGDOI!C151</f>
        <v>T. Thong</v>
      </c>
      <c r="D156" s="1239" t="s">
        <v>30</v>
      </c>
      <c r="E156" s="1240"/>
      <c r="F156" s="1230">
        <f t="shared" si="21"/>
        <v>0</v>
      </c>
      <c r="G156" s="1230">
        <f>VLOOKUP(C156,TONGHOPCONGDOI!C151:AD159,16,0)</f>
        <v>889</v>
      </c>
      <c r="H156" s="1230">
        <f>VLOOKUP(C156,TONGHOPCONGDOI!C151:AD168,18,0)</f>
        <v>0</v>
      </c>
      <c r="I156" s="1230"/>
      <c r="J156" s="1231">
        <f t="shared" si="29"/>
        <v>451.47680940188064</v>
      </c>
      <c r="K156" s="1232" t="s">
        <v>449</v>
      </c>
      <c r="L156" s="1250">
        <f>ROUND((IF(K156="A",(G156*$Z$11*6.1),IF(K156="B",(G156*$Z$11*5.8),IF(K156="C",(G156*$Z$11*5.5),IF(K156="D",(G156*$Z$11*5.2),0))))*$F$11+(H156*$AI$9*$F$11*6.1)+I156*$F$11*$AI$10*6.1),0)</f>
        <v>1498018</v>
      </c>
      <c r="M156" s="1234">
        <f>VLOOKUP(C156,TONGHOPCONGDOI!$C$93:$AD$157,20,0)</f>
        <v>15</v>
      </c>
      <c r="N156" s="1234">
        <f>VLOOKUP(C156,TONGHOPCONGDOI!$C$93:$AD$157,21,0)</f>
        <v>3</v>
      </c>
      <c r="O156" s="1234">
        <f>VLOOKUP(C156,TONGHOPCONGDOI!$C$93:$AD$155,22,0)</f>
        <v>0</v>
      </c>
      <c r="P156" s="1234">
        <f>VLOOKUP(C156,TONGHOPCONGDOI!$C$93:$AD$157,23,0)</f>
        <v>0</v>
      </c>
      <c r="Q156" s="1234">
        <f>VLOOKUP(C156,TONGHOPCONGDOI!$C$93:$AD$157,24,0)</f>
        <v>0</v>
      </c>
      <c r="R156" s="1234">
        <f>VLOOKUP(C156,TONGHOPCONGDOI!$C$93:$AD$157,25,0)</f>
        <v>0</v>
      </c>
      <c r="S156" s="1234">
        <f>VLOOKUP(C156,TONGHOPCONGDOI!$C$93:$AD$156,24,0)</f>
        <v>0</v>
      </c>
      <c r="T156" s="1235"/>
      <c r="U156" s="1235"/>
      <c r="V156" s="1235"/>
      <c r="W156" s="1234">
        <f t="shared" si="27"/>
        <v>616242</v>
      </c>
      <c r="X156" s="1234">
        <f t="shared" si="30"/>
        <v>2114260</v>
      </c>
      <c r="Y156" s="1241"/>
      <c r="Z156" s="1237">
        <f t="shared" si="25"/>
        <v>2114260</v>
      </c>
      <c r="AA156" s="1230"/>
      <c r="AB156" s="1236"/>
      <c r="AC156" s="902">
        <f t="shared" si="28"/>
        <v>59</v>
      </c>
      <c r="AD156" s="784"/>
      <c r="AE156" s="784"/>
      <c r="AF156" s="784"/>
      <c r="AG156" s="784"/>
      <c r="AH156" s="784"/>
      <c r="AI156" s="784"/>
      <c r="AJ156" s="784"/>
      <c r="AK156" s="784"/>
    </row>
    <row r="157" spans="1:37" s="785" customFormat="1" ht="38.25" customHeight="1">
      <c r="A157" s="1239">
        <v>60</v>
      </c>
      <c r="B157" s="1239"/>
      <c r="C157" s="1239" t="str">
        <f>TONGHOPCONGDOI!C152</f>
        <v>T. Khách</v>
      </c>
      <c r="D157" s="1239" t="s">
        <v>30</v>
      </c>
      <c r="E157" s="1240"/>
      <c r="F157" s="1230">
        <f t="shared" si="21"/>
        <v>0</v>
      </c>
      <c r="G157" s="1230">
        <f>VLOOKUP(C157,TONGHOPCONGDOI!C152:AD160,16,0)</f>
        <v>255</v>
      </c>
      <c r="H157" s="1230">
        <f>VLOOKUP(C157,TONGHOPCONGDOI!C152:AD169,18,0)</f>
        <v>0</v>
      </c>
      <c r="I157" s="1230"/>
      <c r="J157" s="1231">
        <f t="shared" si="29"/>
        <v>129.50122204440896</v>
      </c>
      <c r="K157" s="1232" t="s">
        <v>449</v>
      </c>
      <c r="L157" s="1250">
        <f>ROUND((IF(K157="A",(G157*$Z$11*6.1),IF(K157="B",(G157*$Z$11*5.8),IF(K157="C",(G157*$Z$11*5.5),IF(K157="D",(G157*$Z$11*5.2),0))))*$F$11+(H157*$AI$9*$F$11*6.1)+I157*$F$11*$AI$10*6.1),0)-256878</f>
        <v>172812</v>
      </c>
      <c r="M157" s="1234">
        <f>VLOOKUP(C157,TONGHOPCONGDOI!$C$93:$AD$157,20,0)</f>
        <v>11</v>
      </c>
      <c r="N157" s="1234">
        <f>VLOOKUP(C157,TONGHOPCONGDOI!$C$93:$AD$157,21,0)</f>
        <v>2</v>
      </c>
      <c r="O157" s="1234">
        <f>VLOOKUP(C157,TONGHOPCONGDOI!$C$93:$AD$155,22,0)</f>
        <v>0</v>
      </c>
      <c r="P157" s="1234">
        <f>VLOOKUP(C157,TONGHOPCONGDOI!$C$93:$AD$157,23,0)</f>
        <v>0</v>
      </c>
      <c r="Q157" s="1234">
        <f>VLOOKUP(C157,TONGHOPCONGDOI!$C$93:$AD$157,24,0)</f>
        <v>0</v>
      </c>
      <c r="R157" s="1234">
        <f>VLOOKUP(C157,TONGHOPCONGDOI!$C$93:$AD$157,25,0)</f>
        <v>0</v>
      </c>
      <c r="S157" s="1234">
        <f>VLOOKUP(C157,TONGHOPCONGDOI!$C$93:$AD$156,24,0)</f>
        <v>0</v>
      </c>
      <c r="T157" s="1235"/>
      <c r="U157" s="1235"/>
      <c r="V157" s="1235"/>
      <c r="W157" s="1234">
        <f>ROUND(((M157*46.1)+(N157*76.9)+(O157*92.2)+(P157*153.8)+(Q157*92.2)+(R157*153.8))*$E$11+(S157*25000)+(T157*10000)+(U157*30000),0)+7</f>
        <v>441640</v>
      </c>
      <c r="X157" s="1234">
        <f>F157+L157+W157</f>
        <v>614452</v>
      </c>
      <c r="Y157" s="1241"/>
      <c r="Z157" s="1237">
        <f>X157-Y157</f>
        <v>614452</v>
      </c>
      <c r="AA157" s="1230"/>
      <c r="AB157" s="1236"/>
      <c r="AC157" s="902">
        <f t="shared" si="28"/>
        <v>60</v>
      </c>
      <c r="AD157" s="784"/>
      <c r="AE157" s="784"/>
      <c r="AF157" s="784"/>
      <c r="AG157" s="784"/>
      <c r="AH157" s="784"/>
      <c r="AI157" s="784"/>
      <c r="AJ157" s="784"/>
      <c r="AK157" s="784"/>
    </row>
    <row r="158" spans="1:37" s="785" customFormat="1" ht="38.25" hidden="1" customHeight="1">
      <c r="A158" s="1239">
        <v>61</v>
      </c>
      <c r="B158" s="1239"/>
      <c r="C158" s="1239" t="str">
        <f>TONGHOPCONGDOI!C153</f>
        <v>Nang On Xi</v>
      </c>
      <c r="D158" s="1239" t="s">
        <v>30</v>
      </c>
      <c r="E158" s="1240"/>
      <c r="F158" s="1230">
        <f t="shared" si="21"/>
        <v>0</v>
      </c>
      <c r="G158" s="1230">
        <f>VLOOKUP(C158,TONGHOPCONGDOI!C153:AD161,16,0)</f>
        <v>0</v>
      </c>
      <c r="H158" s="1230">
        <f>VLOOKUP(C158,TONGHOPCONGDOI!C153:AD170,18,0)</f>
        <v>0</v>
      </c>
      <c r="I158" s="1230"/>
      <c r="J158" s="1231">
        <f t="shared" si="29"/>
        <v>0</v>
      </c>
      <c r="K158" s="1232" t="s">
        <v>449</v>
      </c>
      <c r="L158" s="1250">
        <f t="shared" si="26"/>
        <v>0</v>
      </c>
      <c r="M158" s="1234">
        <f>VLOOKUP(C158,TONGHOPCONGDOI!$C$93:$AD$157,20,0)</f>
        <v>0</v>
      </c>
      <c r="N158" s="1234">
        <f>VLOOKUP(C158,TONGHOPCONGDOI!$C$93:$AD$157,21,0)</f>
        <v>0</v>
      </c>
      <c r="O158" s="1234">
        <f>VLOOKUP(C158,TONGHOPCONGDOI!$C$93:$AD$155,22,0)</f>
        <v>0</v>
      </c>
      <c r="P158" s="1234">
        <f>VLOOKUP(C158,TONGHOPCONGDOI!$C$93:$AD$157,23,0)</f>
        <v>0</v>
      </c>
      <c r="Q158" s="1234">
        <f>VLOOKUP(C158,TONGHOPCONGDOI!$C$93:$AD$157,24,0)</f>
        <v>0</v>
      </c>
      <c r="R158" s="1234">
        <f>VLOOKUP(C158,TONGHOPCONGDOI!$C$93:$AD$157,25,0)</f>
        <v>0</v>
      </c>
      <c r="S158" s="1234">
        <f>VLOOKUP(C158,TONGHOPCONGDOI!$C$93:$AD$156,24,0)</f>
        <v>0</v>
      </c>
      <c r="T158" s="1235"/>
      <c r="U158" s="1235"/>
      <c r="V158" s="1235"/>
      <c r="W158" s="1234">
        <f t="shared" si="27"/>
        <v>0</v>
      </c>
      <c r="X158" s="1234">
        <f t="shared" ref="X158:X159" si="31">F158+L158+W158</f>
        <v>0</v>
      </c>
      <c r="Y158" s="1241"/>
      <c r="Z158" s="1237">
        <f t="shared" si="25"/>
        <v>0</v>
      </c>
      <c r="AA158" s="1230"/>
      <c r="AB158" s="1236"/>
      <c r="AC158" s="902">
        <f t="shared" si="28"/>
        <v>61</v>
      </c>
      <c r="AD158" s="784"/>
      <c r="AE158" s="784"/>
      <c r="AF158" s="784"/>
      <c r="AG158" s="784"/>
      <c r="AH158" s="784"/>
      <c r="AI158" s="784"/>
      <c r="AJ158" s="784"/>
      <c r="AK158" s="784"/>
    </row>
    <row r="159" spans="1:37" s="785" customFormat="1" ht="38.25" hidden="1" customHeight="1">
      <c r="A159" s="1239">
        <v>62</v>
      </c>
      <c r="B159" s="1239"/>
      <c r="C159" s="1239" t="str">
        <f>TONGHOPCONGDOI!C154</f>
        <v>Thảo Túc</v>
      </c>
      <c r="D159" s="1239" t="s">
        <v>30</v>
      </c>
      <c r="E159" s="1240"/>
      <c r="F159" s="1230">
        <f t="shared" si="21"/>
        <v>0</v>
      </c>
      <c r="G159" s="1230">
        <f>VLOOKUP(C159,TONGHOPCONGDOI!C154:AD162,16,0)</f>
        <v>0</v>
      </c>
      <c r="H159" s="1230">
        <f>VLOOKUP(C159,TONGHOPCONGDOI!C154:AD171,18,0)</f>
        <v>0</v>
      </c>
      <c r="I159" s="1230"/>
      <c r="J159" s="1231">
        <f t="shared" si="29"/>
        <v>0</v>
      </c>
      <c r="K159" s="1232" t="s">
        <v>449</v>
      </c>
      <c r="L159" s="1250">
        <f t="shared" si="26"/>
        <v>0</v>
      </c>
      <c r="M159" s="1234">
        <f>VLOOKUP(C159,TONGHOPCONGDOI!$C$93:$AD$157,20,0)</f>
        <v>0</v>
      </c>
      <c r="N159" s="1234">
        <f>VLOOKUP(C159,TONGHOPCONGDOI!$C$93:$AD$157,21,0)</f>
        <v>0</v>
      </c>
      <c r="O159" s="1234">
        <f>VLOOKUP(C159,TONGHOPCONGDOI!$C$93:$AD$155,22,0)</f>
        <v>0</v>
      </c>
      <c r="P159" s="1234">
        <f>VLOOKUP(C159,TONGHOPCONGDOI!$C$93:$AD$157,23,0)</f>
        <v>0</v>
      </c>
      <c r="Q159" s="1234">
        <f>VLOOKUP(C159,TONGHOPCONGDOI!$C$93:$AD$157,24,0)</f>
        <v>0</v>
      </c>
      <c r="R159" s="1234">
        <f>VLOOKUP(C159,TONGHOPCONGDOI!$C$93:$AD$157,25,0)</f>
        <v>0</v>
      </c>
      <c r="S159" s="1234">
        <f>VLOOKUP(C159,TONGHOPCONGDOI!$C$93:$AD$156,24,0)</f>
        <v>0</v>
      </c>
      <c r="T159" s="1235"/>
      <c r="U159" s="1235"/>
      <c r="V159" s="1235"/>
      <c r="W159" s="1234">
        <f t="shared" si="27"/>
        <v>0</v>
      </c>
      <c r="X159" s="1234">
        <f t="shared" si="31"/>
        <v>0</v>
      </c>
      <c r="Y159" s="1241"/>
      <c r="Z159" s="1237">
        <f>X159-Y159</f>
        <v>0</v>
      </c>
      <c r="AA159" s="1230"/>
      <c r="AB159" s="1236"/>
      <c r="AC159" s="902">
        <f>A159</f>
        <v>62</v>
      </c>
      <c r="AD159" s="784"/>
      <c r="AE159" s="784"/>
      <c r="AF159" s="784"/>
      <c r="AG159" s="784"/>
      <c r="AH159" s="784"/>
      <c r="AI159" s="784"/>
      <c r="AJ159" s="784"/>
      <c r="AK159" s="784"/>
    </row>
    <row r="160" spans="1:37" s="785" customFormat="1" ht="38.25" hidden="1" customHeight="1">
      <c r="A160" s="1239">
        <v>63</v>
      </c>
      <c r="B160" s="1239"/>
      <c r="C160" s="1239" t="str">
        <f>TONGHOPCONGDOI!C155</f>
        <v>Mủ Xi Rum</v>
      </c>
      <c r="D160" s="1239" t="s">
        <v>30</v>
      </c>
      <c r="E160" s="1240"/>
      <c r="F160" s="1230">
        <f>E160*25000</f>
        <v>0</v>
      </c>
      <c r="G160" s="1230"/>
      <c r="H160" s="1230"/>
      <c r="I160" s="1230">
        <f>'TRẠM 2'!I79</f>
        <v>0</v>
      </c>
      <c r="J160" s="1231">
        <f>'TRẠM 2'!J79</f>
        <v>0</v>
      </c>
      <c r="K160" s="1232"/>
      <c r="L160" s="1250">
        <f t="shared" si="26"/>
        <v>0</v>
      </c>
      <c r="M160" s="1234"/>
      <c r="N160" s="1234"/>
      <c r="O160" s="1234"/>
      <c r="P160" s="1234"/>
      <c r="Q160" s="1234"/>
      <c r="R160" s="1234"/>
      <c r="S160" s="1234"/>
      <c r="T160" s="1235"/>
      <c r="U160" s="1235"/>
      <c r="V160" s="1235"/>
      <c r="W160" s="1234">
        <f t="shared" si="27"/>
        <v>0</v>
      </c>
      <c r="X160" s="1234">
        <f t="shared" si="30"/>
        <v>0</v>
      </c>
      <c r="Y160" s="1241"/>
      <c r="Z160" s="1237">
        <f>X160-Y160</f>
        <v>0</v>
      </c>
      <c r="AA160" s="1230"/>
      <c r="AB160" s="1236"/>
      <c r="AC160" s="902">
        <f>A160</f>
        <v>63</v>
      </c>
      <c r="AD160" s="784"/>
      <c r="AE160" s="784"/>
      <c r="AF160" s="784"/>
      <c r="AG160" s="784"/>
      <c r="AH160" s="784"/>
      <c r="AI160" s="784"/>
      <c r="AJ160" s="784"/>
      <c r="AK160" s="784"/>
    </row>
    <row r="161" spans="1:37" s="785" customFormat="1" ht="38.25" customHeight="1">
      <c r="A161" s="1239">
        <v>61</v>
      </c>
      <c r="B161" s="1239"/>
      <c r="C161" s="1239" t="str">
        <f>TONGHOPCONGDOI!C156</f>
        <v>Lun</v>
      </c>
      <c r="D161" s="1239" t="s">
        <v>30</v>
      </c>
      <c r="E161" s="1240"/>
      <c r="F161" s="1230">
        <f t="shared" si="21"/>
        <v>0</v>
      </c>
      <c r="G161" s="1230"/>
      <c r="H161" s="1230"/>
      <c r="I161" s="1230"/>
      <c r="J161" s="1231"/>
      <c r="K161" s="1232"/>
      <c r="L161" s="1233"/>
      <c r="M161" s="1234"/>
      <c r="N161" s="1234"/>
      <c r="O161" s="1234"/>
      <c r="P161" s="1234"/>
      <c r="Q161" s="1234"/>
      <c r="R161" s="1234"/>
      <c r="S161" s="1234"/>
      <c r="T161" s="1235"/>
      <c r="U161" s="1235"/>
      <c r="V161" s="1235"/>
      <c r="W161" s="1234">
        <f>ROUND(((M161*46.1)+(N161*76.9)+(O161*92.2)+(P161*153.8)+(Q161*92.2)+(R161*153.8))*$E$10+(S161*25000)+(T161*10000)+(U161*30000),0)</f>
        <v>0</v>
      </c>
      <c r="X161" s="1234">
        <f t="shared" si="30"/>
        <v>0</v>
      </c>
      <c r="Y161" s="1241"/>
      <c r="Z161" s="1237">
        <f>X161-Y161</f>
        <v>0</v>
      </c>
      <c r="AA161" s="1230"/>
      <c r="AB161" s="1236"/>
      <c r="AC161" s="902">
        <f>A161</f>
        <v>61</v>
      </c>
      <c r="AD161" s="784"/>
      <c r="AE161" s="784"/>
      <c r="AF161" s="784"/>
      <c r="AG161" s="784"/>
      <c r="AH161" s="784"/>
      <c r="AI161" s="784"/>
      <c r="AJ161" s="784"/>
      <c r="AK161" s="784"/>
    </row>
    <row r="162" spans="1:37" s="785" customFormat="1" ht="39.75" hidden="1" customHeight="1">
      <c r="A162" s="1239">
        <v>65</v>
      </c>
      <c r="B162" s="1239"/>
      <c r="C162" s="1239" t="str">
        <f>TONGHOPCONGDOI!C157</f>
        <v>T. Tý</v>
      </c>
      <c r="D162" s="1239" t="s">
        <v>30</v>
      </c>
      <c r="E162" s="1240">
        <f>VLOOKUP(C162,TONGHOPCONGDOI!C157:Q157,15,0)</f>
        <v>0</v>
      </c>
      <c r="F162" s="1230">
        <f t="shared" si="21"/>
        <v>0</v>
      </c>
      <c r="G162" s="1230"/>
      <c r="H162" s="1230"/>
      <c r="I162" s="1230"/>
      <c r="J162" s="1231"/>
      <c r="K162" s="1232"/>
      <c r="L162" s="1233"/>
      <c r="M162" s="1234"/>
      <c r="N162" s="1234"/>
      <c r="O162" s="1234"/>
      <c r="P162" s="1234"/>
      <c r="Q162" s="1234"/>
      <c r="R162" s="1234"/>
      <c r="S162" s="1234"/>
      <c r="T162" s="1235">
        <f>SUM(M162:S162)</f>
        <v>0</v>
      </c>
      <c r="U162" s="1235"/>
      <c r="V162" s="1235"/>
      <c r="W162" s="1234">
        <f>((M162*46.1)+(N162*76.9)+(O162*92.2)+(P162*153.8)+(Q162*92.2)+(R162*153.8))*$E$11+(S162*20000)+(T162*10000)+(U162*20000)+(V162*10000)</f>
        <v>0</v>
      </c>
      <c r="X162" s="1234">
        <f>F162+L162+W162</f>
        <v>0</v>
      </c>
      <c r="Y162" s="1241"/>
      <c r="Z162" s="1237">
        <f>X162-Y162</f>
        <v>0</v>
      </c>
      <c r="AA162" s="1230"/>
      <c r="AB162" s="1236"/>
      <c r="AC162" s="902">
        <f>A162</f>
        <v>65</v>
      </c>
      <c r="AD162" s="784"/>
      <c r="AE162" s="784"/>
      <c r="AF162" s="784"/>
      <c r="AG162" s="784"/>
      <c r="AH162" s="784"/>
      <c r="AI162" s="784"/>
      <c r="AJ162" s="784"/>
      <c r="AK162" s="784"/>
    </row>
    <row r="163" spans="1:37" s="785" customFormat="1" ht="39.75" customHeight="1">
      <c r="A163" s="1505" t="s">
        <v>376</v>
      </c>
      <c r="B163" s="1505"/>
      <c r="C163" s="1505"/>
      <c r="D163" s="1505"/>
      <c r="E163" s="1242">
        <f t="shared" ref="E163:Z163" si="32">E15+E97</f>
        <v>0</v>
      </c>
      <c r="F163" s="1225">
        <f t="shared" si="32"/>
        <v>0</v>
      </c>
      <c r="G163" s="1242">
        <f t="shared" si="32"/>
        <v>207339</v>
      </c>
      <c r="H163" s="1242">
        <f t="shared" si="32"/>
        <v>0</v>
      </c>
      <c r="I163" s="1242">
        <f t="shared" si="32"/>
        <v>0</v>
      </c>
      <c r="J163" s="1225">
        <f t="shared" si="32"/>
        <v>105901.64300000001</v>
      </c>
      <c r="K163" s="1242">
        <f t="shared" si="32"/>
        <v>0</v>
      </c>
      <c r="L163" s="1225">
        <f t="shared" si="32"/>
        <v>383350895</v>
      </c>
      <c r="M163" s="1225">
        <f t="shared" si="32"/>
        <v>3352</v>
      </c>
      <c r="N163" s="1225">
        <f t="shared" si="32"/>
        <v>491</v>
      </c>
      <c r="O163" s="1225">
        <f t="shared" si="32"/>
        <v>0</v>
      </c>
      <c r="P163" s="1225">
        <f t="shared" si="32"/>
        <v>0</v>
      </c>
      <c r="Q163" s="1225">
        <f t="shared" si="32"/>
        <v>0</v>
      </c>
      <c r="R163" s="1225">
        <f t="shared" si="32"/>
        <v>0</v>
      </c>
      <c r="S163" s="1225">
        <f t="shared" si="32"/>
        <v>2520</v>
      </c>
      <c r="T163" s="1242">
        <f t="shared" si="32"/>
        <v>0</v>
      </c>
      <c r="U163" s="1242">
        <f t="shared" si="32"/>
        <v>0</v>
      </c>
      <c r="V163" s="1242">
        <f t="shared" si="32"/>
        <v>0</v>
      </c>
      <c r="W163" s="1225">
        <f t="shared" si="32"/>
        <v>191490673</v>
      </c>
      <c r="X163" s="1225">
        <f>X15+X97</f>
        <v>574841568</v>
      </c>
      <c r="Y163" s="1225">
        <f t="shared" si="32"/>
        <v>0</v>
      </c>
      <c r="Z163" s="1298">
        <f t="shared" si="32"/>
        <v>574841568</v>
      </c>
      <c r="AA163" s="1242" t="e">
        <f>AA15+#REF!+AA97+#REF!</f>
        <v>#REF!</v>
      </c>
      <c r="AB163" s="1243"/>
      <c r="AC163" s="903"/>
      <c r="AD163" s="354" t="e">
        <f>'TRẠM 1'!Z97+#REF!+'TRẠM 2'!Z83+#REF!</f>
        <v>#REF!</v>
      </c>
      <c r="AE163" s="784"/>
      <c r="AF163" s="784"/>
      <c r="AG163" s="784"/>
      <c r="AH163" s="784"/>
      <c r="AI163" s="784"/>
      <c r="AJ163" s="784"/>
      <c r="AK163" s="784"/>
    </row>
    <row r="164" spans="1:37" s="793" customFormat="1" ht="40.5" customHeight="1">
      <c r="A164" s="1505" t="s">
        <v>746</v>
      </c>
      <c r="B164" s="1505"/>
      <c r="C164" s="1505"/>
      <c r="D164" s="1505"/>
      <c r="E164" s="1505"/>
      <c r="F164" s="1505"/>
      <c r="G164" s="1505"/>
      <c r="H164" s="1505"/>
      <c r="I164" s="1505"/>
      <c r="J164" s="1505"/>
      <c r="K164" s="1505"/>
      <c r="L164" s="1505"/>
      <c r="M164" s="1505"/>
      <c r="N164" s="1505"/>
      <c r="O164" s="1505"/>
      <c r="P164" s="1505"/>
      <c r="Q164" s="1505"/>
      <c r="R164" s="1505"/>
      <c r="S164" s="1505"/>
      <c r="T164" s="1505"/>
      <c r="U164" s="1505"/>
      <c r="V164" s="1505"/>
      <c r="W164" s="1505"/>
      <c r="X164" s="1505"/>
      <c r="Y164" s="1505"/>
      <c r="Z164" s="1505"/>
      <c r="AA164" s="1505"/>
      <c r="AB164" s="1505"/>
      <c r="AD164" s="632"/>
      <c r="AE164" s="632"/>
      <c r="AF164" s="632"/>
      <c r="AG164" s="632"/>
      <c r="AH164" s="632"/>
      <c r="AI164" s="632"/>
      <c r="AJ164" s="632"/>
      <c r="AK164" s="632"/>
    </row>
    <row r="165" spans="1:37" s="793" customFormat="1" ht="23.25" customHeight="1">
      <c r="A165" s="787"/>
      <c r="B165" s="788"/>
      <c r="C165" s="788"/>
      <c r="D165" s="788"/>
      <c r="E165" s="789"/>
      <c r="F165" s="790"/>
      <c r="G165" s="790"/>
      <c r="H165" s="790"/>
      <c r="I165" s="790"/>
      <c r="J165" s="791"/>
      <c r="K165" s="792"/>
      <c r="L165" s="790"/>
      <c r="M165" s="790"/>
      <c r="N165" s="790"/>
      <c r="O165" s="789"/>
      <c r="P165" s="789"/>
      <c r="Q165" s="789"/>
      <c r="R165" s="789"/>
      <c r="S165" s="789"/>
      <c r="T165" s="1506" t="s">
        <v>701</v>
      </c>
      <c r="U165" s="1506"/>
      <c r="V165" s="1506"/>
      <c r="W165" s="1506"/>
      <c r="X165" s="1506"/>
      <c r="Y165" s="1506"/>
      <c r="Z165" s="1506"/>
      <c r="AA165" s="1506"/>
      <c r="AB165" s="1506"/>
      <c r="AC165" s="1304"/>
      <c r="AD165" s="472">
        <v>629999453</v>
      </c>
      <c r="AE165" s="632"/>
      <c r="AF165" s="632"/>
      <c r="AG165" s="632"/>
      <c r="AH165" s="632"/>
      <c r="AI165" s="632"/>
      <c r="AJ165" s="632"/>
      <c r="AK165" s="632"/>
    </row>
    <row r="166" spans="1:37" ht="15.75" customHeight="1">
      <c r="D166" s="794"/>
      <c r="E166" s="795"/>
      <c r="S166" s="796"/>
      <c r="Y166" s="797"/>
      <c r="Z166" s="797"/>
      <c r="AA166" s="797"/>
    </row>
    <row r="167" spans="1:37" s="799" customFormat="1" ht="31.9" customHeight="1">
      <c r="A167" s="1510" t="s">
        <v>737</v>
      </c>
      <c r="B167" s="1510"/>
      <c r="C167" s="1510"/>
      <c r="D167" s="1510"/>
      <c r="E167" s="1510"/>
      <c r="F167" s="1510"/>
      <c r="G167" s="1510"/>
      <c r="H167" s="1510"/>
      <c r="I167" s="1510"/>
      <c r="J167" s="1510"/>
      <c r="K167" s="1510"/>
      <c r="L167" s="1510"/>
      <c r="M167" s="1510"/>
      <c r="N167" s="1510"/>
      <c r="O167" s="1510"/>
      <c r="P167" s="1510"/>
      <c r="Q167" s="1510"/>
      <c r="R167" s="1510"/>
      <c r="S167" s="1510"/>
      <c r="T167" s="1510"/>
      <c r="U167" s="1510"/>
      <c r="V167" s="1510"/>
      <c r="W167" s="1510"/>
      <c r="X167" s="1510"/>
      <c r="Y167" s="1510"/>
      <c r="Z167" s="1510"/>
      <c r="AA167" s="1510"/>
      <c r="AB167" s="1510"/>
      <c r="AC167" s="1169"/>
      <c r="AD167" s="1482" t="e">
        <f>AD165-AD163</f>
        <v>#REF!</v>
      </c>
      <c r="AE167" s="749"/>
      <c r="AF167" s="749"/>
      <c r="AG167" s="749"/>
      <c r="AH167" s="749"/>
      <c r="AI167" s="749"/>
      <c r="AJ167" s="749"/>
      <c r="AK167" s="749"/>
    </row>
    <row r="168" spans="1:37" s="799" customFormat="1" ht="15.75" customHeight="1">
      <c r="A168" s="1115"/>
      <c r="B168" s="1115"/>
      <c r="C168" s="1111"/>
      <c r="D168" s="1111"/>
      <c r="E168" s="1111"/>
      <c r="F168" s="1111"/>
      <c r="G168" s="1111"/>
      <c r="H168" s="1111"/>
      <c r="I168" s="1111"/>
      <c r="J168" s="1116"/>
      <c r="K168" s="1111"/>
      <c r="L168" s="800"/>
      <c r="M168" s="1117"/>
      <c r="N168" s="1117"/>
      <c r="O168" s="800"/>
      <c r="P168" s="800"/>
      <c r="Q168" s="800"/>
      <c r="R168" s="800"/>
      <c r="S168" s="800"/>
      <c r="T168" s="800"/>
      <c r="U168" s="800"/>
      <c r="V168" s="800"/>
      <c r="W168" s="1118"/>
      <c r="X168" s="1111"/>
      <c r="Y168" s="1111"/>
      <c r="Z168" s="1111"/>
      <c r="AA168" s="1111"/>
      <c r="AB168" s="1117"/>
      <c r="AD168" s="1482"/>
      <c r="AE168" s="749"/>
      <c r="AF168" s="749"/>
      <c r="AG168" s="749"/>
      <c r="AH168" s="749"/>
      <c r="AI168" s="749"/>
      <c r="AJ168" s="749"/>
      <c r="AK168" s="749"/>
    </row>
    <row r="169" spans="1:37" s="799" customFormat="1" ht="15.75" customHeight="1">
      <c r="A169" s="1115"/>
      <c r="B169" s="1115"/>
      <c r="C169" s="1111"/>
      <c r="D169" s="1111"/>
      <c r="E169" s="1111"/>
      <c r="F169" s="1111"/>
      <c r="G169" s="1111"/>
      <c r="H169" s="1111"/>
      <c r="I169" s="1111"/>
      <c r="J169" s="1116"/>
      <c r="K169" s="1111"/>
      <c r="L169" s="800"/>
      <c r="M169" s="1117"/>
      <c r="N169" s="1117"/>
      <c r="O169" s="800"/>
      <c r="P169" s="800"/>
      <c r="Q169" s="800"/>
      <c r="R169" s="800"/>
      <c r="S169" s="800"/>
      <c r="T169" s="800"/>
      <c r="U169" s="800"/>
      <c r="V169" s="800"/>
      <c r="W169" s="1118"/>
      <c r="X169" s="1111"/>
      <c r="Y169" s="1111"/>
      <c r="Z169" s="1111"/>
      <c r="AA169" s="1111"/>
      <c r="AB169" s="1117"/>
      <c r="AD169" s="749"/>
      <c r="AE169" s="749"/>
      <c r="AF169" s="749"/>
      <c r="AG169" s="749"/>
      <c r="AH169" s="749"/>
      <c r="AI169" s="749"/>
      <c r="AJ169" s="749"/>
      <c r="AK169" s="749"/>
    </row>
    <row r="170" spans="1:37" s="799" customFormat="1" ht="15.75" customHeight="1">
      <c r="B170" s="262"/>
      <c r="C170" s="262"/>
      <c r="D170" s="262"/>
      <c r="E170" s="262"/>
      <c r="F170" s="262"/>
      <c r="G170" s="262"/>
      <c r="I170" s="262"/>
      <c r="J170" s="262"/>
      <c r="K170" s="262"/>
      <c r="L170" s="262"/>
      <c r="M170" s="272"/>
      <c r="AD170" s="262"/>
      <c r="AE170" s="262"/>
      <c r="AF170" s="749"/>
      <c r="AG170" s="749"/>
      <c r="AH170" s="749"/>
      <c r="AI170" s="749"/>
      <c r="AJ170" s="749"/>
      <c r="AK170" s="749"/>
    </row>
    <row r="171" spans="1:37" s="799" customFormat="1" ht="15.75" customHeight="1">
      <c r="A171" s="1115"/>
      <c r="B171" s="1115"/>
      <c r="C171" s="1111"/>
      <c r="D171" s="1111"/>
      <c r="E171" s="1111"/>
      <c r="F171" s="1111"/>
      <c r="G171" s="1111"/>
      <c r="H171" s="1111"/>
      <c r="I171" s="1111"/>
      <c r="J171" s="1116"/>
      <c r="K171" s="1111"/>
      <c r="L171" s="800"/>
      <c r="M171" s="1117"/>
      <c r="N171" s="1117"/>
      <c r="O171" s="800"/>
      <c r="P171" s="800"/>
      <c r="Q171" s="800"/>
      <c r="R171" s="800"/>
      <c r="S171" s="800"/>
      <c r="T171" s="800"/>
      <c r="U171" s="800"/>
      <c r="V171" s="800"/>
      <c r="W171" s="1118"/>
      <c r="X171" s="1111"/>
      <c r="Y171" s="1111"/>
      <c r="Z171" s="1111"/>
      <c r="AA171" s="1111"/>
      <c r="AB171" s="1117"/>
      <c r="AD171" s="749"/>
      <c r="AE171" s="749"/>
      <c r="AF171" s="749"/>
      <c r="AG171" s="749"/>
      <c r="AH171" s="749"/>
      <c r="AI171" s="749"/>
      <c r="AJ171" s="749"/>
      <c r="AK171" s="749"/>
    </row>
    <row r="172" spans="1:37" s="799" customFormat="1" ht="15.75" customHeight="1">
      <c r="A172" s="1115"/>
      <c r="B172" s="1115"/>
      <c r="C172" s="1111"/>
      <c r="D172" s="1111"/>
      <c r="E172" s="1111"/>
      <c r="F172" s="1111"/>
      <c r="G172" s="1111"/>
      <c r="H172" s="1111"/>
      <c r="I172" s="1111"/>
      <c r="J172" s="1116"/>
      <c r="K172" s="1111"/>
      <c r="L172" s="800"/>
      <c r="M172" s="1117"/>
      <c r="N172" s="1117"/>
      <c r="O172" s="800"/>
      <c r="P172" s="800"/>
      <c r="Q172" s="800"/>
      <c r="R172" s="800"/>
      <c r="S172" s="800"/>
      <c r="T172" s="800"/>
      <c r="U172" s="800"/>
      <c r="V172" s="800"/>
      <c r="W172" s="1118"/>
      <c r="X172" s="1111"/>
      <c r="Y172" s="1111"/>
      <c r="Z172" s="1111"/>
      <c r="AA172" s="1111"/>
      <c r="AB172" s="1117"/>
      <c r="AD172" s="749"/>
      <c r="AE172" s="749"/>
      <c r="AF172" s="749"/>
      <c r="AG172" s="749"/>
      <c r="AH172" s="749"/>
      <c r="AI172" s="749"/>
      <c r="AJ172" s="749"/>
      <c r="AK172" s="749"/>
    </row>
    <row r="173" spans="1:37" s="799" customFormat="1" ht="15.75" customHeight="1">
      <c r="A173" s="1115"/>
      <c r="B173" s="1115"/>
      <c r="C173" s="1111"/>
      <c r="D173" s="1111"/>
      <c r="E173" s="1111"/>
      <c r="F173" s="1111"/>
      <c r="G173" s="1111"/>
      <c r="H173" s="1111"/>
      <c r="I173" s="1111"/>
      <c r="J173" s="1116"/>
      <c r="K173" s="1111"/>
      <c r="L173" s="800"/>
      <c r="M173" s="1117"/>
      <c r="N173" s="1117"/>
      <c r="O173" s="800"/>
      <c r="P173" s="800"/>
      <c r="Q173" s="800"/>
      <c r="R173" s="800"/>
      <c r="S173" s="800"/>
      <c r="T173" s="800"/>
      <c r="U173" s="800"/>
      <c r="V173" s="800"/>
      <c r="W173" s="1118"/>
      <c r="X173" s="1111"/>
      <c r="Y173" s="1111"/>
      <c r="Z173" s="1111"/>
      <c r="AA173" s="1111"/>
      <c r="AB173" s="1117"/>
      <c r="AD173" s="749">
        <f>'[3]CNKT '!$L$163-L163</f>
        <v>0</v>
      </c>
      <c r="AE173" s="749"/>
      <c r="AF173" s="749"/>
      <c r="AG173" s="749"/>
      <c r="AH173" s="749"/>
      <c r="AI173" s="749"/>
      <c r="AJ173" s="749"/>
      <c r="AK173" s="749"/>
    </row>
    <row r="174" spans="1:37" s="799" customFormat="1" ht="15.75" customHeight="1">
      <c r="A174" s="1115"/>
      <c r="B174" s="1115"/>
      <c r="C174" s="1111"/>
      <c r="D174" s="1111"/>
      <c r="E174" s="1111"/>
      <c r="F174" s="1111"/>
      <c r="G174" s="1111"/>
      <c r="H174" s="1111"/>
      <c r="I174" s="1111"/>
      <c r="J174" s="1116"/>
      <c r="K174" s="1111"/>
      <c r="L174" s="800"/>
      <c r="M174" s="1117"/>
      <c r="N174" s="1117"/>
      <c r="O174" s="800"/>
      <c r="P174" s="800"/>
      <c r="Q174" s="800"/>
      <c r="R174" s="800"/>
      <c r="S174" s="800"/>
      <c r="T174" s="800"/>
      <c r="U174" s="800"/>
      <c r="V174" s="800"/>
      <c r="W174" s="1118"/>
      <c r="X174" s="1111"/>
      <c r="Y174" s="1111"/>
      <c r="Z174" s="1111"/>
      <c r="AA174" s="1111"/>
      <c r="AB174" s="1117"/>
      <c r="AD174" s="749"/>
      <c r="AE174" s="749"/>
      <c r="AF174" s="749"/>
      <c r="AG174" s="749"/>
      <c r="AH174" s="749"/>
      <c r="AI174" s="749"/>
      <c r="AJ174" s="749"/>
      <c r="AK174" s="749"/>
    </row>
    <row r="175" spans="1:37" s="799" customFormat="1" ht="18.75" customHeight="1">
      <c r="A175" s="1115"/>
      <c r="B175" s="1115"/>
      <c r="C175" s="1111"/>
      <c r="D175" s="1111"/>
      <c r="E175" s="1111"/>
      <c r="F175" s="1111"/>
      <c r="G175" s="1111"/>
      <c r="H175" s="1111"/>
      <c r="I175" s="1111"/>
      <c r="J175" s="1116"/>
      <c r="K175" s="1111"/>
      <c r="L175" s="800"/>
      <c r="M175" s="1117"/>
      <c r="N175" s="1117"/>
      <c r="O175" s="800"/>
      <c r="P175" s="800"/>
      <c r="Q175" s="800"/>
      <c r="R175" s="800"/>
      <c r="S175" s="800"/>
      <c r="T175" s="800"/>
      <c r="U175" s="800"/>
      <c r="V175" s="800"/>
      <c r="W175" s="1118"/>
      <c r="X175" s="1111"/>
      <c r="Y175" s="1111"/>
      <c r="Z175" s="1111"/>
      <c r="AA175" s="1111"/>
      <c r="AB175" s="1117"/>
      <c r="AD175" s="749">
        <f>AD173/2</f>
        <v>0</v>
      </c>
      <c r="AE175" s="749"/>
      <c r="AF175" s="749"/>
      <c r="AG175" s="749"/>
      <c r="AH175" s="749"/>
      <c r="AI175" s="749"/>
      <c r="AJ175" s="749"/>
      <c r="AK175" s="749"/>
    </row>
    <row r="176" spans="1:37" s="799" customFormat="1" ht="28.5" hidden="1" customHeight="1">
      <c r="A176" s="1115"/>
      <c r="B176" s="1115"/>
      <c r="C176" s="1111"/>
      <c r="D176" s="1111"/>
      <c r="E176" s="1111"/>
      <c r="F176" s="1111"/>
      <c r="G176" s="1111"/>
      <c r="H176" s="1111"/>
      <c r="I176" s="1111"/>
      <c r="J176" s="1116"/>
      <c r="K176" s="1111"/>
      <c r="L176" s="805"/>
      <c r="M176" s="1117"/>
      <c r="N176" s="1117"/>
      <c r="O176" s="800"/>
      <c r="P176" s="800"/>
      <c r="Q176" s="800"/>
      <c r="R176" s="800"/>
      <c r="S176" s="800"/>
      <c r="T176" s="800"/>
      <c r="U176" s="800"/>
      <c r="V176" s="800"/>
      <c r="W176" s="800"/>
      <c r="X176" s="1111"/>
      <c r="Y176" s="1111"/>
      <c r="Z176" s="1111"/>
      <c r="AA176" s="800"/>
      <c r="AB176" s="1117"/>
      <c r="AD176" s="749"/>
      <c r="AE176" s="749"/>
      <c r="AF176" s="749"/>
      <c r="AG176" s="749"/>
      <c r="AH176" s="749"/>
      <c r="AI176" s="749"/>
      <c r="AJ176" s="749"/>
      <c r="AK176" s="749"/>
    </row>
    <row r="177" spans="1:37" s="799" customFormat="1" ht="18.75" hidden="1" customHeight="1">
      <c r="A177" s="1115"/>
      <c r="B177" s="1115"/>
      <c r="C177" s="1115"/>
      <c r="D177" s="1115"/>
      <c r="E177" s="1115"/>
      <c r="F177" s="1115"/>
      <c r="G177" s="1115"/>
      <c r="H177" s="1115"/>
      <c r="I177" s="1115"/>
      <c r="J177" s="1115"/>
      <c r="K177" s="1115"/>
      <c r="L177" s="1115"/>
      <c r="M177" s="1115"/>
      <c r="N177" s="1115"/>
      <c r="O177" s="1115" t="s">
        <v>725</v>
      </c>
      <c r="P177" s="1115"/>
      <c r="Q177" s="1115"/>
      <c r="R177" s="1115"/>
      <c r="S177" s="1115"/>
      <c r="T177" s="1115"/>
      <c r="U177" s="1115"/>
      <c r="V177" s="1115"/>
      <c r="W177" s="1115"/>
      <c r="X177" s="1115"/>
      <c r="Y177" s="1509"/>
      <c r="Z177" s="1509"/>
      <c r="AA177" s="1509"/>
      <c r="AB177" s="1509"/>
      <c r="AD177" s="749"/>
      <c r="AE177" s="749"/>
      <c r="AF177" s="749"/>
      <c r="AG177" s="749"/>
      <c r="AH177" s="749"/>
      <c r="AI177" s="749"/>
      <c r="AJ177" s="749"/>
      <c r="AK177" s="749"/>
    </row>
    <row r="178" spans="1:37" s="799" customFormat="1" ht="18.75" hidden="1" customHeight="1">
      <c r="A178" s="798"/>
      <c r="C178" s="1169"/>
      <c r="D178" s="803"/>
      <c r="E178" s="802"/>
      <c r="F178" s="804"/>
      <c r="G178" s="804"/>
      <c r="H178" s="804"/>
      <c r="I178" s="804"/>
      <c r="J178" s="801"/>
      <c r="K178" s="778"/>
      <c r="L178" s="802"/>
      <c r="O178" s="773"/>
      <c r="P178" s="773"/>
      <c r="Q178" s="773"/>
      <c r="R178" s="773"/>
      <c r="S178" s="773"/>
      <c r="T178" s="773"/>
      <c r="U178" s="773"/>
      <c r="V178" s="773"/>
      <c r="W178" s="767"/>
      <c r="X178" s="805"/>
      <c r="Y178" s="800"/>
      <c r="Z178" s="800"/>
      <c r="AA178" s="800"/>
      <c r="AD178" s="749"/>
      <c r="AE178" s="749"/>
      <c r="AF178" s="749"/>
      <c r="AG178" s="749"/>
      <c r="AH178" s="749"/>
      <c r="AI178" s="749"/>
      <c r="AJ178" s="749"/>
      <c r="AK178" s="749"/>
    </row>
    <row r="179" spans="1:37" ht="24.75" hidden="1" customHeight="1">
      <c r="B179" s="767"/>
      <c r="C179" s="767"/>
      <c r="D179" s="796"/>
      <c r="E179" s="796"/>
      <c r="K179" s="1305"/>
      <c r="L179" s="767"/>
      <c r="W179" s="796">
        <f>W163/25000</f>
        <v>7659.6269199999997</v>
      </c>
      <c r="Y179" s="806"/>
      <c r="Z179" s="806"/>
    </row>
    <row r="180" spans="1:37" ht="24.75" hidden="1" customHeight="1">
      <c r="B180" s="767"/>
      <c r="C180" s="807" t="e">
        <f>#REF!+#REF!+#REF!+#REF!</f>
        <v>#REF!</v>
      </c>
      <c r="D180" s="808"/>
      <c r="E180" s="809" t="s">
        <v>377</v>
      </c>
      <c r="F180" s="809"/>
      <c r="G180" s="809"/>
      <c r="H180" s="809"/>
      <c r="I180" s="809"/>
      <c r="J180" s="1503">
        <f>SUMIF($K$16:$K$162,"A",$J$16:$J$162)</f>
        <v>75496.172267381073</v>
      </c>
      <c r="K180" s="1503"/>
      <c r="L180" s="1296">
        <f>(J180*6.1)*$F$11</f>
        <v>277826517.91334045</v>
      </c>
      <c r="M180" s="810"/>
      <c r="N180" s="810"/>
      <c r="O180" s="811"/>
      <c r="P180" s="811"/>
      <c r="Q180" s="811"/>
      <c r="R180" s="811"/>
      <c r="T180" s="767">
        <f>7.2+0.6+21+5+70</f>
        <v>103.8</v>
      </c>
    </row>
    <row r="181" spans="1:37" ht="24.75" hidden="1" customHeight="1">
      <c r="B181" s="767"/>
      <c r="C181" s="767"/>
      <c r="E181" s="809" t="s">
        <v>378</v>
      </c>
      <c r="F181" s="809"/>
      <c r="G181" s="809"/>
      <c r="H181" s="809"/>
      <c r="I181" s="809"/>
      <c r="J181" s="1503">
        <f>SUMIF($K$16:$K$162,"B",$J$16:$J$162)</f>
        <v>27260.882662997145</v>
      </c>
      <c r="K181" s="1503"/>
      <c r="L181" s="810">
        <f>(J181*5.8)*$F$11</f>
        <v>95386482.699010909</v>
      </c>
      <c r="M181" s="810"/>
      <c r="N181" s="810"/>
      <c r="O181" s="796"/>
      <c r="P181" s="796"/>
      <c r="Q181" s="796"/>
      <c r="R181" s="796"/>
    </row>
    <row r="182" spans="1:37" ht="24.75" hidden="1" customHeight="1">
      <c r="B182" s="767"/>
      <c r="C182" s="767"/>
      <c r="E182" s="809" t="s">
        <v>379</v>
      </c>
      <c r="F182" s="809"/>
      <c r="G182" s="809"/>
      <c r="H182" s="809"/>
      <c r="I182" s="809"/>
      <c r="J182" s="1503">
        <f>SUMIF($K$16:$K$162,"C",$J$16:$J$162)+SUMIF($K$16:$K$162,"C.",$J$16:$J$162)</f>
        <v>3144.5880696217582</v>
      </c>
      <c r="K182" s="1503"/>
      <c r="L182" s="810">
        <f>(J182*5.5)*$F$11</f>
        <v>10433868.998527776</v>
      </c>
      <c r="M182" s="810"/>
      <c r="N182" s="810"/>
      <c r="S182" s="812"/>
      <c r="T182" s="812"/>
      <c r="U182" s="812"/>
      <c r="V182" s="812"/>
      <c r="W182" s="812"/>
      <c r="X182" s="812"/>
      <c r="Y182" s="812"/>
      <c r="Z182" s="796"/>
    </row>
    <row r="183" spans="1:37" ht="24.75" hidden="1" customHeight="1">
      <c r="B183" s="767"/>
      <c r="C183" s="767"/>
      <c r="E183" s="809" t="s">
        <v>380</v>
      </c>
      <c r="F183" s="809"/>
      <c r="G183" s="809"/>
      <c r="H183" s="809"/>
      <c r="I183" s="809"/>
      <c r="J183" s="1503">
        <f>SUMIF($K$16:$K$162,"D",$J$16:$J$162)+SUMIF($K$16:$K$162,"D.",$J$16:$J$162)</f>
        <v>0</v>
      </c>
      <c r="K183" s="1503"/>
      <c r="L183" s="810"/>
      <c r="M183" s="810"/>
      <c r="N183" s="810"/>
      <c r="S183" s="813"/>
      <c r="T183" s="813"/>
      <c r="U183" s="813"/>
      <c r="V183" s="813"/>
      <c r="W183" s="813"/>
      <c r="X183" s="813"/>
      <c r="Y183" s="813"/>
      <c r="Z183" s="796"/>
    </row>
    <row r="184" spans="1:37" ht="24.75" hidden="1" customHeight="1">
      <c r="B184" s="767"/>
      <c r="C184" s="767"/>
      <c r="E184" s="809" t="s">
        <v>516</v>
      </c>
      <c r="F184" s="809"/>
      <c r="G184" s="809"/>
      <c r="H184" s="809"/>
      <c r="I184" s="809"/>
      <c r="J184" s="1503">
        <f>'BTH mủ Sỉum'!AJ21</f>
        <v>0</v>
      </c>
      <c r="K184" s="1503"/>
      <c r="L184" s="810">
        <f>(J184*6.1)*$E$11</f>
        <v>0</v>
      </c>
      <c r="M184" s="810"/>
      <c r="N184" s="810"/>
      <c r="S184" s="813"/>
      <c r="T184" s="813"/>
      <c r="U184" s="813"/>
      <c r="V184" s="813"/>
      <c r="W184" s="813"/>
      <c r="X184" s="813"/>
      <c r="Y184" s="813"/>
      <c r="Z184" s="796"/>
    </row>
    <row r="185" spans="1:37" ht="24.75" hidden="1" customHeight="1">
      <c r="B185" s="767"/>
      <c r="C185" s="767"/>
      <c r="E185" s="767"/>
      <c r="J185" s="1503">
        <f>SUM(J180:K184)</f>
        <v>105901.64299999998</v>
      </c>
      <c r="K185" s="1503"/>
      <c r="L185" s="810">
        <f>SUM(L180:L184)</f>
        <v>383646869.61087912</v>
      </c>
      <c r="M185" s="810"/>
      <c r="N185" s="810"/>
      <c r="O185" s="1500">
        <f>L185+L195+L196</f>
        <v>575137541.98387909</v>
      </c>
      <c r="P185" s="1500"/>
      <c r="Q185" s="1500"/>
      <c r="R185" s="1500"/>
      <c r="S185" s="1500"/>
      <c r="T185" s="1500"/>
      <c r="U185" s="1305"/>
      <c r="V185" s="1305"/>
      <c r="W185" s="1305"/>
      <c r="Y185" s="767" t="e">
        <f>O185-#REF!</f>
        <v>#REF!</v>
      </c>
    </row>
    <row r="186" spans="1:37" ht="24.75" hidden="1" customHeight="1">
      <c r="B186" s="767"/>
      <c r="C186" s="767"/>
      <c r="E186" s="767"/>
      <c r="J186" s="767"/>
      <c r="K186" s="767"/>
      <c r="L186" s="1306"/>
      <c r="M186" s="1306"/>
      <c r="N186" s="1306"/>
      <c r="T186" s="806"/>
      <c r="U186" s="806"/>
      <c r="V186" s="806"/>
      <c r="W186" s="806"/>
      <c r="X186" s="806"/>
      <c r="Y186" s="806"/>
    </row>
    <row r="187" spans="1:37" ht="24.75" hidden="1" customHeight="1">
      <c r="B187" s="767"/>
      <c r="C187" s="767"/>
      <c r="E187" s="806" t="s">
        <v>381</v>
      </c>
      <c r="F187" s="806"/>
      <c r="G187" s="806"/>
      <c r="H187" s="806"/>
      <c r="I187" s="806"/>
      <c r="J187" s="806"/>
      <c r="K187" s="767">
        <v>3352</v>
      </c>
      <c r="L187" s="814">
        <f>(K187*46.1)*$E$11</f>
        <v>103259710.85600001</v>
      </c>
      <c r="M187" s="814"/>
      <c r="N187" s="814"/>
    </row>
    <row r="188" spans="1:37" ht="24.75" hidden="1" customHeight="1">
      <c r="A188" s="767"/>
      <c r="E188" s="767" t="s">
        <v>541</v>
      </c>
      <c r="F188" s="806"/>
      <c r="G188" s="806"/>
      <c r="H188" s="806"/>
      <c r="I188" s="806"/>
      <c r="J188" s="806"/>
      <c r="K188" s="767"/>
      <c r="L188" s="814">
        <f>(K188*92.2)*$E$10</f>
        <v>0</v>
      </c>
      <c r="M188" s="814"/>
      <c r="N188" s="814"/>
      <c r="O188" s="770"/>
      <c r="P188" s="770"/>
      <c r="Q188" s="770"/>
      <c r="R188" s="770"/>
      <c r="Z188" s="806"/>
      <c r="AA188" s="806"/>
    </row>
    <row r="189" spans="1:37" ht="24.75" hidden="1" customHeight="1">
      <c r="A189" s="767"/>
      <c r="E189" s="806" t="s">
        <v>382</v>
      </c>
      <c r="F189" s="806"/>
      <c r="G189" s="806"/>
      <c r="H189" s="806"/>
      <c r="I189" s="806"/>
      <c r="J189" s="806"/>
      <c r="K189" s="767">
        <v>491</v>
      </c>
      <c r="L189" s="1075">
        <f>(K189*76.9)*$E$11</f>
        <v>25230961.517000001</v>
      </c>
      <c r="M189" s="814"/>
      <c r="N189" s="814"/>
      <c r="O189" s="770"/>
      <c r="P189" s="770"/>
      <c r="Q189" s="770"/>
      <c r="R189" s="770"/>
      <c r="Z189" s="806"/>
      <c r="AA189" s="806"/>
    </row>
    <row r="190" spans="1:37" ht="24.75" hidden="1" customHeight="1">
      <c r="A190" s="767"/>
      <c r="E190" s="806" t="s">
        <v>450</v>
      </c>
      <c r="F190" s="806"/>
      <c r="G190" s="806"/>
      <c r="H190" s="806"/>
      <c r="I190" s="806"/>
      <c r="J190" s="806"/>
      <c r="K190" s="767"/>
      <c r="L190" s="814">
        <f>(K190*153.8)*$E$11</f>
        <v>0</v>
      </c>
      <c r="M190" s="814"/>
      <c r="N190" s="814"/>
      <c r="O190" s="770"/>
      <c r="P190" s="770"/>
      <c r="Q190" s="770"/>
      <c r="R190" s="770"/>
      <c r="Z190" s="806"/>
      <c r="AA190" s="806"/>
    </row>
    <row r="191" spans="1:37" ht="24.75" hidden="1" customHeight="1">
      <c r="A191" s="767"/>
      <c r="E191" s="1507" t="s">
        <v>601</v>
      </c>
      <c r="F191" s="1508"/>
      <c r="G191" s="806"/>
      <c r="H191" s="806"/>
      <c r="I191" s="806"/>
      <c r="J191" s="806"/>
      <c r="K191" s="767">
        <v>2520</v>
      </c>
      <c r="L191" s="814">
        <f>K191*25000</f>
        <v>63000000</v>
      </c>
      <c r="M191" s="814"/>
      <c r="N191" s="814"/>
      <c r="O191" s="770"/>
      <c r="P191" s="770"/>
      <c r="Q191" s="770"/>
      <c r="R191" s="770"/>
      <c r="Z191" s="806"/>
      <c r="AA191" s="806"/>
    </row>
    <row r="192" spans="1:37" ht="24.75" hidden="1" customHeight="1">
      <c r="A192" s="767"/>
      <c r="E192" s="1507" t="s">
        <v>543</v>
      </c>
      <c r="F192" s="1508"/>
      <c r="G192" s="806"/>
      <c r="H192" s="806"/>
      <c r="I192" s="806"/>
      <c r="J192" s="806"/>
      <c r="K192" s="767"/>
      <c r="L192" s="814">
        <f>K192*20000</f>
        <v>0</v>
      </c>
      <c r="M192" s="814"/>
      <c r="N192" s="814"/>
      <c r="O192" s="770"/>
      <c r="P192" s="770"/>
      <c r="Q192" s="770"/>
      <c r="R192" s="770"/>
      <c r="Z192" s="806"/>
      <c r="AA192" s="806"/>
    </row>
    <row r="193" spans="1:27" ht="24.75" hidden="1" customHeight="1">
      <c r="A193" s="767"/>
      <c r="E193" s="1507" t="s">
        <v>542</v>
      </c>
      <c r="F193" s="1508"/>
      <c r="G193" s="806"/>
      <c r="H193" s="806"/>
      <c r="I193" s="806"/>
      <c r="J193" s="806"/>
      <c r="K193" s="767"/>
      <c r="L193" s="814">
        <f>K193*10000</f>
        <v>0</v>
      </c>
      <c r="M193" s="814"/>
      <c r="N193" s="814"/>
      <c r="O193" s="770"/>
      <c r="P193" s="770"/>
      <c r="Q193" s="770"/>
      <c r="R193" s="770"/>
      <c r="Z193" s="806"/>
      <c r="AA193" s="806"/>
    </row>
    <row r="194" spans="1:27" ht="24.75" hidden="1" customHeight="1">
      <c r="A194" s="767"/>
      <c r="E194" s="806" t="s">
        <v>383</v>
      </c>
      <c r="F194" s="806"/>
      <c r="G194" s="806"/>
      <c r="H194" s="806"/>
      <c r="I194" s="806"/>
      <c r="J194" s="806"/>
      <c r="K194" s="767"/>
      <c r="L194" s="814">
        <f>K194*10000</f>
        <v>0</v>
      </c>
      <c r="M194" s="814"/>
      <c r="N194" s="1504">
        <f>T163*25000</f>
        <v>0</v>
      </c>
      <c r="O194" s="1504"/>
      <c r="P194" s="770"/>
      <c r="Q194" s="770"/>
      <c r="R194" s="770"/>
      <c r="Z194" s="1305"/>
      <c r="AA194" s="1305"/>
    </row>
    <row r="195" spans="1:27" ht="24.75" hidden="1" customHeight="1">
      <c r="A195" s="767"/>
      <c r="B195" s="815"/>
      <c r="E195" s="767"/>
      <c r="J195" s="1500"/>
      <c r="K195" s="1500"/>
      <c r="L195" s="1502">
        <f>SUM(L187:L194)</f>
        <v>191490672.37300003</v>
      </c>
      <c r="M195" s="1502"/>
      <c r="N195" s="1306"/>
      <c r="O195" s="770"/>
      <c r="P195" s="770"/>
      <c r="Q195" s="770"/>
      <c r="R195" s="770"/>
      <c r="X195" s="1500" t="e">
        <f>L195-#REF!</f>
        <v>#REF!</v>
      </c>
      <c r="Y195" s="1500"/>
    </row>
    <row r="196" spans="1:27" ht="24.75" hidden="1" customHeight="1">
      <c r="A196" s="767"/>
      <c r="B196" s="816"/>
      <c r="E196" s="806" t="s">
        <v>384</v>
      </c>
      <c r="F196" s="806"/>
      <c r="G196" s="806"/>
      <c r="H196" s="806"/>
      <c r="I196" s="806"/>
      <c r="J196" s="1501">
        <f>E97+E15</f>
        <v>0</v>
      </c>
      <c r="K196" s="1501"/>
      <c r="L196" s="814">
        <f>J196*25000</f>
        <v>0</v>
      </c>
      <c r="M196" s="814"/>
      <c r="N196" s="814"/>
      <c r="O196" s="770"/>
      <c r="P196" s="770"/>
      <c r="Q196" s="770"/>
      <c r="R196" s="770"/>
    </row>
    <row r="197" spans="1:27" ht="24.75" hidden="1" customHeight="1">
      <c r="E197" s="767"/>
      <c r="J197" s="767"/>
      <c r="K197" s="767"/>
      <c r="L197" s="769"/>
      <c r="M197" s="1307"/>
      <c r="N197" s="1307"/>
      <c r="O197" s="770"/>
      <c r="P197" s="770"/>
      <c r="Q197" s="770"/>
      <c r="R197" s="770"/>
    </row>
    <row r="198" spans="1:27" ht="24.75" hidden="1" customHeight="1">
      <c r="A198" s="767"/>
      <c r="E198" s="767"/>
      <c r="J198" s="767"/>
      <c r="K198" s="767"/>
      <c r="L198" s="1502">
        <f>Z97+Z15</f>
        <v>574841568</v>
      </c>
      <c r="M198" s="1502"/>
      <c r="N198" s="1038"/>
      <c r="O198" s="770"/>
      <c r="P198" s="770"/>
      <c r="Q198" s="770"/>
      <c r="R198" s="770"/>
    </row>
    <row r="199" spans="1:27" ht="24.75" hidden="1" customHeight="1">
      <c r="E199" s="767"/>
      <c r="J199" s="767"/>
      <c r="K199" s="767"/>
      <c r="L199" s="769"/>
      <c r="M199" s="1307"/>
      <c r="N199" s="1307"/>
      <c r="O199" s="770"/>
      <c r="P199" s="770"/>
      <c r="Q199" s="770"/>
      <c r="R199" s="770"/>
    </row>
    <row r="200" spans="1:27" ht="24.75" customHeight="1">
      <c r="A200" s="767"/>
      <c r="F200" s="796"/>
      <c r="G200" s="796"/>
      <c r="H200" s="796"/>
      <c r="I200" s="796"/>
      <c r="J200" s="814"/>
    </row>
    <row r="201" spans="1:27" ht="24.75" customHeight="1">
      <c r="A201" s="767"/>
      <c r="M201" s="796"/>
      <c r="N201" s="796"/>
    </row>
    <row r="202" spans="1:27" ht="24.75" customHeight="1"/>
    <row r="203" spans="1:27" ht="24.75" hidden="1" customHeight="1"/>
    <row r="204" spans="1:27" ht="24.75" hidden="1" customHeight="1"/>
    <row r="205" spans="1:27" ht="24.75" hidden="1" customHeight="1">
      <c r="A205" s="767"/>
      <c r="F205" s="796">
        <v>2551.8899999999994</v>
      </c>
      <c r="G205" s="796"/>
      <c r="H205" s="796"/>
      <c r="I205" s="796"/>
    </row>
    <row r="206" spans="1:27" ht="48" hidden="1" customHeight="1">
      <c r="A206" s="767"/>
      <c r="B206" s="767"/>
      <c r="C206" s="767"/>
      <c r="E206" s="767"/>
      <c r="F206" s="796">
        <f>+F196-F205</f>
        <v>-2551.8899999999994</v>
      </c>
      <c r="G206" s="796"/>
      <c r="H206" s="796"/>
      <c r="I206" s="796"/>
    </row>
    <row r="207" spans="1:27" ht="48" hidden="1" customHeight="1"/>
    <row r="208" spans="1:27" ht="48" hidden="1" customHeight="1"/>
    <row r="209" spans="1:23" ht="48" hidden="1" customHeight="1"/>
    <row r="210" spans="1:23" ht="48" hidden="1" customHeight="1"/>
    <row r="211" spans="1:23" ht="48" hidden="1" customHeight="1"/>
    <row r="212" spans="1:23" ht="48" hidden="1" customHeight="1">
      <c r="A212" s="767"/>
      <c r="B212" s="767"/>
      <c r="C212" s="767"/>
      <c r="E212" s="767"/>
      <c r="K212" s="1307">
        <v>1678</v>
      </c>
      <c r="L212" s="770">
        <v>1573</v>
      </c>
      <c r="M212" s="767">
        <v>1187</v>
      </c>
      <c r="O212" s="767">
        <v>1183</v>
      </c>
      <c r="W212" s="767">
        <f>SUM(K212:O212)</f>
        <v>5621</v>
      </c>
    </row>
    <row r="213" spans="1:23" ht="48" hidden="1" customHeight="1">
      <c r="A213" s="767"/>
      <c r="B213" s="767"/>
      <c r="C213" s="767"/>
      <c r="E213" s="767"/>
      <c r="K213" s="1307">
        <v>257</v>
      </c>
      <c r="L213" s="770">
        <v>244</v>
      </c>
      <c r="M213" s="767">
        <v>183</v>
      </c>
      <c r="O213" s="767">
        <v>182</v>
      </c>
      <c r="W213" s="767">
        <f>SUM(K213:O213)</f>
        <v>866</v>
      </c>
    </row>
    <row r="214" spans="1:23" ht="48" hidden="1" customHeight="1">
      <c r="A214" s="767"/>
      <c r="B214" s="767"/>
      <c r="C214" s="767"/>
      <c r="E214" s="767"/>
      <c r="K214" s="1307">
        <v>1935</v>
      </c>
      <c r="L214" s="770">
        <v>1817</v>
      </c>
      <c r="M214" s="767">
        <v>1370</v>
      </c>
      <c r="O214" s="767">
        <v>1365</v>
      </c>
      <c r="W214" s="767">
        <f>SUM(K214:O214)</f>
        <v>6487</v>
      </c>
    </row>
    <row r="215" spans="1:23" ht="48" hidden="1" customHeight="1"/>
  </sheetData>
  <autoFilter ref="A6:G7">
    <filterColumn colId="0" showButton="0"/>
    <filterColumn colId="1" showButton="0"/>
    <filterColumn colId="2" showButton="0"/>
    <filterColumn colId="3" showButton="0"/>
    <filterColumn colId="4" showButton="0"/>
    <filterColumn colId="5" showButton="0"/>
  </autoFilter>
  <mergeCells count="49">
    <mergeCell ref="B15:D15"/>
    <mergeCell ref="B97:D97"/>
    <mergeCell ref="Z12:Z14"/>
    <mergeCell ref="AB12:AB14"/>
    <mergeCell ref="E13:F13"/>
    <mergeCell ref="G13:L13"/>
    <mergeCell ref="M13:W13"/>
    <mergeCell ref="X12:X14"/>
    <mergeCell ref="Y12:Y14"/>
    <mergeCell ref="A12:A14"/>
    <mergeCell ref="B12:B14"/>
    <mergeCell ref="C12:C14"/>
    <mergeCell ref="D12:D14"/>
    <mergeCell ref="E12:W12"/>
    <mergeCell ref="C11:D11"/>
    <mergeCell ref="X11:Y11"/>
    <mergeCell ref="AD2:AE2"/>
    <mergeCell ref="A3:AB3"/>
    <mergeCell ref="A4:AB4"/>
    <mergeCell ref="A5:AB5"/>
    <mergeCell ref="A6:G6"/>
    <mergeCell ref="AD6:AE6"/>
    <mergeCell ref="AF6:AG6"/>
    <mergeCell ref="AH6:AI6"/>
    <mergeCell ref="AJ6:AK6"/>
    <mergeCell ref="A7:G7"/>
    <mergeCell ref="A9:AB9"/>
    <mergeCell ref="A163:D163"/>
    <mergeCell ref="T165:AB165"/>
    <mergeCell ref="E193:F193"/>
    <mergeCell ref="AD167:AD168"/>
    <mergeCell ref="E192:F192"/>
    <mergeCell ref="E191:F191"/>
    <mergeCell ref="Y177:AB177"/>
    <mergeCell ref="A167:AB167"/>
    <mergeCell ref="A164:AB164"/>
    <mergeCell ref="X195:Y195"/>
    <mergeCell ref="J196:K196"/>
    <mergeCell ref="L198:M198"/>
    <mergeCell ref="J180:K180"/>
    <mergeCell ref="J181:K181"/>
    <mergeCell ref="J182:K182"/>
    <mergeCell ref="J183:K183"/>
    <mergeCell ref="O185:T185"/>
    <mergeCell ref="L195:M195"/>
    <mergeCell ref="N194:O194"/>
    <mergeCell ref="J184:K184"/>
    <mergeCell ref="J195:K195"/>
    <mergeCell ref="J185:K185"/>
  </mergeCells>
  <printOptions horizontalCentered="1"/>
  <pageMargins left="0.35433070866141736" right="0.15748031496062992" top="0.23622047244094491" bottom="0.19685039370078741" header="0.15748031496062992" footer="0.19685039370078741"/>
  <pageSetup paperSize="9" scale="50" fitToHeight="0" orientation="landscape" r:id="rId1"/>
  <headerFooter>
    <oddFooter>&amp;R&amp;P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rgb="FF92D050"/>
  </sheetPr>
  <dimension ref="A2:AR39"/>
  <sheetViews>
    <sheetView zoomScale="70" zoomScaleNormal="70" workbookViewId="0">
      <pane ySplit="1" topLeftCell="A17" activePane="bottomLeft" state="frozen"/>
      <selection activeCell="E21" sqref="E21:G21"/>
      <selection pane="bottomLeft" activeCell="H15" sqref="H15"/>
    </sheetView>
  </sheetViews>
  <sheetFormatPr defaultColWidth="9.140625" defaultRowHeight="15"/>
  <cols>
    <col min="1" max="1" width="5" style="142" customWidth="1"/>
    <col min="2" max="3" width="14.85546875" style="142" customWidth="1"/>
    <col min="4" max="4" width="18.5703125" style="142" customWidth="1"/>
    <col min="5" max="5" width="13.7109375" style="142" customWidth="1"/>
    <col min="6" max="6" width="16.5703125" style="142" customWidth="1"/>
    <col min="7" max="7" width="18.85546875" style="142" customWidth="1"/>
    <col min="8" max="8" width="20.5703125" style="142" customWidth="1"/>
    <col min="9" max="9" width="24" style="142" customWidth="1"/>
    <col min="10" max="10" width="16" style="142" customWidth="1"/>
    <col min="11" max="12" width="24" style="142" customWidth="1"/>
    <col min="13" max="13" width="8.42578125" style="142" hidden="1" customWidth="1"/>
    <col min="14" max="14" width="12.85546875" style="142" hidden="1" customWidth="1"/>
    <col min="15" max="15" width="18.28515625" style="142" hidden="1" customWidth="1"/>
    <col min="16" max="16" width="34.140625" style="142" hidden="1" customWidth="1"/>
    <col min="17" max="17" width="7.85546875" style="142" customWidth="1"/>
    <col min="18" max="18" width="7.28515625" style="142" customWidth="1"/>
    <col min="19" max="19" width="7.42578125" style="142" customWidth="1"/>
    <col min="20" max="20" width="6.28515625" style="142" customWidth="1"/>
    <col min="21" max="21" width="5.7109375" style="142" customWidth="1"/>
    <col min="22" max="22" width="6" style="142" customWidth="1"/>
    <col min="23" max="23" width="4.85546875" style="142" customWidth="1"/>
    <col min="24" max="24" width="6" style="142" customWidth="1"/>
    <col min="25" max="25" width="6.5703125" style="142" customWidth="1"/>
    <col min="26" max="26" width="8.140625" style="142" customWidth="1"/>
    <col min="27" max="27" width="6" style="142" customWidth="1"/>
    <col min="28" max="28" width="8.140625" style="142" customWidth="1"/>
    <col min="29" max="29" width="15" style="142" bestFit="1" customWidth="1"/>
    <col min="30" max="30" width="17.85546875" style="142" bestFit="1" customWidth="1"/>
    <col min="31" max="31" width="12.85546875" style="142" bestFit="1" customWidth="1"/>
    <col min="32" max="16384" width="9.140625" style="142"/>
  </cols>
  <sheetData>
    <row r="2" spans="1:31" ht="19.5">
      <c r="A2" s="1532" t="s">
        <v>56</v>
      </c>
      <c r="B2" s="1532"/>
      <c r="C2" s="1532"/>
      <c r="D2" s="1532"/>
      <c r="E2" s="1532"/>
      <c r="F2" s="1532"/>
      <c r="G2" s="1532"/>
      <c r="H2" s="1532"/>
      <c r="I2" s="1532"/>
      <c r="J2" s="1532"/>
      <c r="K2" s="1532"/>
      <c r="L2" s="1532"/>
      <c r="M2" s="140"/>
      <c r="N2" s="140"/>
      <c r="O2" s="140"/>
      <c r="P2" s="1146"/>
      <c r="R2" s="1147"/>
      <c r="S2" s="1147"/>
      <c r="T2" s="1147"/>
      <c r="U2" s="1147"/>
      <c r="V2" s="1147"/>
      <c r="W2" s="1147"/>
      <c r="X2" s="1147"/>
      <c r="Y2" s="1147"/>
      <c r="Z2" s="1147"/>
      <c r="AA2" s="1147"/>
      <c r="AB2" s="1147"/>
    </row>
    <row r="3" spans="1:31" ht="19.5">
      <c r="A3" s="1532" t="s">
        <v>42</v>
      </c>
      <c r="B3" s="1532"/>
      <c r="C3" s="1532"/>
      <c r="D3" s="1532"/>
      <c r="E3" s="1532"/>
      <c r="F3" s="1532"/>
      <c r="G3" s="1532"/>
      <c r="H3" s="1532"/>
      <c r="I3" s="1532"/>
      <c r="J3" s="1532"/>
      <c r="K3" s="1532"/>
      <c r="L3" s="1532"/>
      <c r="M3" s="1148"/>
      <c r="N3" s="1148"/>
      <c r="O3" s="1148"/>
      <c r="P3" s="1149"/>
      <c r="Q3" s="71"/>
      <c r="S3" s="1149"/>
      <c r="T3" s="1149"/>
      <c r="U3" s="1149"/>
      <c r="V3" s="1149"/>
      <c r="W3" s="1149"/>
      <c r="X3" s="1149"/>
      <c r="Y3" s="1149"/>
      <c r="Z3" s="1149"/>
      <c r="AA3" s="1149"/>
      <c r="AB3" s="6"/>
    </row>
    <row r="4" spans="1:31" ht="19.5">
      <c r="A4" s="1533" t="s">
        <v>295</v>
      </c>
      <c r="B4" s="1532"/>
      <c r="C4" s="1532"/>
      <c r="D4" s="1532"/>
      <c r="E4" s="1532"/>
      <c r="F4" s="1532"/>
      <c r="G4" s="1532"/>
      <c r="H4" s="1532"/>
      <c r="I4" s="1532"/>
      <c r="J4" s="1532"/>
      <c r="K4" s="1532"/>
      <c r="L4" s="1532"/>
      <c r="M4" s="1148"/>
      <c r="N4" s="1148"/>
      <c r="O4" s="1148"/>
      <c r="P4" s="1149"/>
      <c r="Q4" s="71"/>
      <c r="S4" s="1149"/>
      <c r="T4" s="1149"/>
      <c r="U4" s="1149"/>
      <c r="V4" s="1149"/>
      <c r="W4" s="1149"/>
      <c r="X4" s="1149"/>
      <c r="Y4" s="1149"/>
      <c r="Z4" s="1149"/>
      <c r="AA4" s="1149"/>
      <c r="AB4" s="6"/>
    </row>
    <row r="5" spans="1:31" ht="9" customHeight="1">
      <c r="A5" s="1251"/>
      <c r="B5" s="1251"/>
      <c r="C5" s="1251"/>
      <c r="D5" s="1251"/>
      <c r="E5" s="1251"/>
      <c r="F5" s="1251"/>
      <c r="G5" s="1251"/>
      <c r="H5" s="1251"/>
      <c r="I5" s="1251"/>
      <c r="J5" s="1251"/>
      <c r="K5" s="1251"/>
      <c r="L5" s="1252"/>
      <c r="M5" s="94"/>
      <c r="N5" s="94"/>
      <c r="O5" s="94"/>
      <c r="P5" s="1145"/>
      <c r="Q5" s="72"/>
      <c r="R5" s="1150"/>
      <c r="S5" s="75"/>
      <c r="T5" s="75"/>
      <c r="U5" s="75"/>
      <c r="V5" s="75"/>
      <c r="W5" s="75"/>
      <c r="X5" s="75"/>
      <c r="Y5" s="75"/>
      <c r="Z5" s="75"/>
      <c r="AA5" s="75"/>
      <c r="AB5" s="6"/>
      <c r="AC5" s="1151">
        <f>1372+388</f>
        <v>1760</v>
      </c>
      <c r="AD5" s="142">
        <f>AC5*30000</f>
        <v>52800000</v>
      </c>
      <c r="AE5" s="142" t="e">
        <f>AD5+#REF!+#REF!</f>
        <v>#REF!</v>
      </c>
    </row>
    <row r="6" spans="1:31" ht="19.5">
      <c r="A6" s="1537" t="s">
        <v>0</v>
      </c>
      <c r="B6" s="1537"/>
      <c r="C6" s="1537"/>
      <c r="D6" s="1537"/>
      <c r="E6" s="1537"/>
      <c r="F6" s="1537"/>
      <c r="G6" s="1253"/>
      <c r="H6" s="1254"/>
      <c r="I6" s="1254"/>
      <c r="J6" s="1254"/>
      <c r="K6" s="1254"/>
      <c r="L6" s="1252"/>
      <c r="M6" s="94"/>
      <c r="N6" s="94"/>
      <c r="O6" s="94"/>
      <c r="P6" s="1145"/>
      <c r="Q6" s="72"/>
      <c r="R6" s="1150"/>
      <c r="S6" s="75"/>
      <c r="T6" s="75"/>
      <c r="U6" s="75"/>
      <c r="V6" s="75"/>
      <c r="W6" s="75"/>
      <c r="X6" s="75"/>
      <c r="Y6" s="75"/>
      <c r="Z6" s="75"/>
      <c r="AA6" s="75"/>
      <c r="AB6" s="6"/>
      <c r="AC6" s="1151"/>
    </row>
    <row r="7" spans="1:31" ht="18" customHeight="1">
      <c r="A7" s="1538" t="s">
        <v>658</v>
      </c>
      <c r="B7" s="1538"/>
      <c r="C7" s="1538"/>
      <c r="D7" s="1538"/>
      <c r="E7" s="1538"/>
      <c r="F7" s="1538"/>
      <c r="G7" s="1255"/>
      <c r="H7" s="1256"/>
      <c r="I7" s="1252"/>
      <c r="J7" s="1252"/>
      <c r="K7" s="1252"/>
      <c r="L7" s="1252"/>
      <c r="M7" s="94"/>
      <c r="N7" s="94"/>
      <c r="O7" s="94"/>
      <c r="P7" s="1145"/>
      <c r="Q7" s="72"/>
      <c r="R7" s="1150"/>
      <c r="S7" s="75"/>
      <c r="T7" s="75"/>
      <c r="U7" s="75"/>
      <c r="V7" s="75"/>
      <c r="W7" s="75"/>
      <c r="X7" s="75"/>
      <c r="Y7" s="75"/>
      <c r="Z7" s="75"/>
      <c r="AA7" s="75"/>
      <c r="AB7" s="6"/>
      <c r="AC7" s="1151"/>
    </row>
    <row r="8" spans="1:31" ht="12.75" customHeight="1">
      <c r="A8" s="1255"/>
      <c r="B8" s="1255"/>
      <c r="C8" s="1255"/>
      <c r="D8" s="1255"/>
      <c r="E8" s="1255"/>
      <c r="F8" s="1255"/>
      <c r="G8" s="1255"/>
      <c r="H8" s="1256"/>
      <c r="I8" s="1252"/>
      <c r="J8" s="1252"/>
      <c r="K8" s="1252"/>
      <c r="L8" s="1252"/>
      <c r="M8" s="94"/>
      <c r="N8" s="94"/>
      <c r="O8" s="94"/>
      <c r="P8" s="1145"/>
      <c r="Q8" s="72"/>
      <c r="R8" s="1150"/>
      <c r="S8" s="75"/>
      <c r="T8" s="75"/>
      <c r="U8" s="75"/>
      <c r="V8" s="75"/>
      <c r="W8" s="75"/>
      <c r="X8" s="75"/>
      <c r="Y8" s="75"/>
      <c r="Z8" s="75"/>
      <c r="AA8" s="75"/>
      <c r="AB8" s="6"/>
      <c r="AC8" s="1151"/>
    </row>
    <row r="9" spans="1:31" ht="24.75" customHeight="1">
      <c r="A9" s="1534" t="s">
        <v>664</v>
      </c>
      <c r="B9" s="1535"/>
      <c r="C9" s="1535"/>
      <c r="D9" s="1535"/>
      <c r="E9" s="1535"/>
      <c r="F9" s="1535"/>
      <c r="G9" s="1535"/>
      <c r="H9" s="1535"/>
      <c r="I9" s="1535"/>
      <c r="J9" s="1535"/>
      <c r="K9" s="1535"/>
      <c r="L9" s="1535"/>
      <c r="M9" s="1152"/>
      <c r="N9" s="1152"/>
      <c r="O9" s="1152"/>
      <c r="P9" s="1152"/>
      <c r="Q9" s="1153"/>
      <c r="R9" s="1153"/>
      <c r="S9" s="1153"/>
      <c r="T9" s="1153"/>
      <c r="U9" s="1153"/>
      <c r="V9" s="1153"/>
      <c r="W9" s="1153"/>
      <c r="X9" s="1153"/>
      <c r="Y9" s="1153"/>
      <c r="Z9" s="1153"/>
      <c r="AA9" s="1153"/>
      <c r="AB9" s="1153"/>
    </row>
    <row r="10" spans="1:31" ht="12" customHeight="1">
      <c r="A10" s="30"/>
      <c r="B10" s="31"/>
      <c r="C10" s="31"/>
      <c r="D10" s="31"/>
      <c r="E10" s="30"/>
      <c r="F10" s="30"/>
      <c r="G10" s="30"/>
      <c r="H10" s="30"/>
      <c r="I10" s="30"/>
      <c r="J10" s="30"/>
      <c r="K10" s="30"/>
      <c r="L10" s="31"/>
      <c r="M10" s="26"/>
      <c r="N10" s="27"/>
      <c r="O10" s="28"/>
    </row>
    <row r="11" spans="1:31" ht="15" customHeight="1">
      <c r="A11" s="1524" t="s">
        <v>6</v>
      </c>
      <c r="B11" s="1536" t="s">
        <v>69</v>
      </c>
      <c r="C11" s="1524" t="s">
        <v>53</v>
      </c>
      <c r="D11" s="1524" t="s">
        <v>12</v>
      </c>
      <c r="E11" s="1524" t="s">
        <v>35</v>
      </c>
      <c r="F11" s="1529" t="s">
        <v>714</v>
      </c>
      <c r="G11" s="1529" t="s">
        <v>20</v>
      </c>
      <c r="H11" s="1529" t="s">
        <v>715</v>
      </c>
      <c r="I11" s="1524" t="s">
        <v>258</v>
      </c>
      <c r="J11" s="1523" t="s">
        <v>166</v>
      </c>
      <c r="K11" s="1523" t="s">
        <v>367</v>
      </c>
      <c r="L11" s="1524" t="s">
        <v>70</v>
      </c>
      <c r="M11" s="330"/>
      <c r="N11" s="129"/>
      <c r="O11" s="130"/>
    </row>
    <row r="12" spans="1:31" ht="19.5" customHeight="1">
      <c r="A12" s="1524"/>
      <c r="B12" s="1536"/>
      <c r="C12" s="1524"/>
      <c r="D12" s="1524"/>
      <c r="E12" s="1524"/>
      <c r="F12" s="1530"/>
      <c r="G12" s="1530"/>
      <c r="H12" s="1530"/>
      <c r="I12" s="1524"/>
      <c r="J12" s="1523"/>
      <c r="K12" s="1523"/>
      <c r="L12" s="1524"/>
      <c r="M12" s="131"/>
      <c r="N12" s="129"/>
      <c r="O12" s="130"/>
    </row>
    <row r="13" spans="1:31" ht="32.25" customHeight="1">
      <c r="A13" s="1257">
        <v>1</v>
      </c>
      <c r="B13" s="1258" t="str">
        <f>'Bảng BV  '!B13</f>
        <v>N. Tinh</v>
      </c>
      <c r="C13" s="1259" t="str">
        <f>'Bảng BV  '!C13</f>
        <v>Bảo vệ (CT)</v>
      </c>
      <c r="D13" s="1260"/>
      <c r="E13" s="1257">
        <f>'Bảng BV  '!AI13</f>
        <v>31</v>
      </c>
      <c r="F13" s="1266">
        <f>(2000000/31)</f>
        <v>64516.129032258068</v>
      </c>
      <c r="G13" s="1266">
        <f>E13*F13</f>
        <v>2000000</v>
      </c>
      <c r="H13" s="1266">
        <v>600000</v>
      </c>
      <c r="I13" s="1268">
        <f>G13+H13</f>
        <v>2600000</v>
      </c>
      <c r="J13" s="1267"/>
      <c r="K13" s="1268">
        <f>I13-J13</f>
        <v>2600000</v>
      </c>
      <c r="L13" s="1261"/>
      <c r="M13" s="131"/>
      <c r="N13" s="129"/>
      <c r="O13" s="130"/>
    </row>
    <row r="14" spans="1:31" ht="32.25" customHeight="1">
      <c r="A14" s="1257">
        <v>2</v>
      </c>
      <c r="B14" s="1258" t="str">
        <f>'Bảng BV  '!B14</f>
        <v>Đô La</v>
      </c>
      <c r="C14" s="1259" t="str">
        <f>'Bảng BV  '!C14</f>
        <v>Bảo vệ (CT)</v>
      </c>
      <c r="D14" s="1260"/>
      <c r="E14" s="1257">
        <f>'Bảng BV  '!AI14</f>
        <v>31</v>
      </c>
      <c r="F14" s="1266">
        <f t="shared" ref="F14:F25" si="0">(2000000/31)</f>
        <v>64516.129032258068</v>
      </c>
      <c r="G14" s="1266">
        <f t="shared" ref="G14:G25" si="1">E14*F14</f>
        <v>2000000</v>
      </c>
      <c r="H14" s="1266">
        <v>600000</v>
      </c>
      <c r="I14" s="1268">
        <f t="shared" ref="I14:I25" si="2">G14+H14</f>
        <v>2600000</v>
      </c>
      <c r="J14" s="1267"/>
      <c r="K14" s="1268">
        <f t="shared" ref="K14:K25" si="3">I14-J14</f>
        <v>2600000</v>
      </c>
      <c r="L14" s="1261"/>
      <c r="M14" s="131"/>
      <c r="N14" s="129"/>
      <c r="O14" s="130"/>
    </row>
    <row r="15" spans="1:31" ht="32.25" customHeight="1">
      <c r="A15" s="1257">
        <v>3</v>
      </c>
      <c r="B15" s="1258" t="str">
        <f>'Bảng BV  '!B15</f>
        <v xml:space="preserve">Thảo Mét </v>
      </c>
      <c r="C15" s="1259" t="str">
        <f>'Bảng BV  '!C15</f>
        <v>Bảo vệ (CT)</v>
      </c>
      <c r="D15" s="1260"/>
      <c r="E15" s="1257">
        <f>'Bảng BV  '!AI15</f>
        <v>31</v>
      </c>
      <c r="F15" s="1266">
        <f t="shared" si="0"/>
        <v>64516.129032258068</v>
      </c>
      <c r="G15" s="1266">
        <f t="shared" si="1"/>
        <v>2000000</v>
      </c>
      <c r="H15" s="1266">
        <v>600000</v>
      </c>
      <c r="I15" s="1268">
        <f t="shared" si="2"/>
        <v>2600000</v>
      </c>
      <c r="J15" s="1262">
        <f>IF(I15&gt;65000000,((I15-65000000)*25%+10685000),IF(I15&gt;25000000,((I15-25000000)*20%+2685000),IF(I15&gt;15000000,((I15-15000000)*15%+1185000),IF(I15&gt;5000000,(I15-5000000)*10%+185000,IF(I15&gt;1300000,(I15-1300000)*5%,0)))))</f>
        <v>65000</v>
      </c>
      <c r="K15" s="1268">
        <f t="shared" si="3"/>
        <v>2535000</v>
      </c>
      <c r="L15" s="1261"/>
      <c r="M15" s="131"/>
      <c r="N15" s="129"/>
      <c r="O15" s="130"/>
    </row>
    <row r="16" spans="1:31" ht="32.25" customHeight="1">
      <c r="A16" s="1257">
        <v>4</v>
      </c>
      <c r="B16" s="1258" t="str">
        <f>'Bảng BV  '!B16</f>
        <v>T. A Xong</v>
      </c>
      <c r="C16" s="1259" t="str">
        <f>'Bảng BV  '!C16</f>
        <v>BVTV</v>
      </c>
      <c r="D16" s="1260"/>
      <c r="E16" s="1257">
        <f>'Bảng BV  '!AI16</f>
        <v>15</v>
      </c>
      <c r="F16" s="1266">
        <f t="shared" si="0"/>
        <v>64516.129032258068</v>
      </c>
      <c r="G16" s="1266">
        <f>E16*F16</f>
        <v>967741.93548387103</v>
      </c>
      <c r="H16" s="1266">
        <f>E16*20000</f>
        <v>300000</v>
      </c>
      <c r="I16" s="1268">
        <f t="shared" si="2"/>
        <v>1267741.935483871</v>
      </c>
      <c r="J16" s="1267"/>
      <c r="K16" s="1268">
        <f t="shared" si="3"/>
        <v>1267741.935483871</v>
      </c>
      <c r="L16" s="1261"/>
      <c r="M16" s="131"/>
      <c r="N16" s="129"/>
      <c r="O16" s="130"/>
    </row>
    <row r="17" spans="1:44" ht="32.25" customHeight="1">
      <c r="A17" s="1257">
        <v>5</v>
      </c>
      <c r="B17" s="1258" t="str">
        <f>'Bảng BV  '!B17</f>
        <v>T. Khon</v>
      </c>
      <c r="C17" s="1259" t="str">
        <f>'Bảng BV  '!C17</f>
        <v>BVTV</v>
      </c>
      <c r="D17" s="1260"/>
      <c r="E17" s="1257">
        <f>'Bảng BV  '!AI17</f>
        <v>15</v>
      </c>
      <c r="F17" s="1266">
        <f t="shared" si="0"/>
        <v>64516.129032258068</v>
      </c>
      <c r="G17" s="1266">
        <f t="shared" si="1"/>
        <v>967741.93548387103</v>
      </c>
      <c r="H17" s="1266">
        <f t="shared" ref="H17:H25" si="4">E17*20000</f>
        <v>300000</v>
      </c>
      <c r="I17" s="1268">
        <f t="shared" si="2"/>
        <v>1267741.935483871</v>
      </c>
      <c r="J17" s="1267"/>
      <c r="K17" s="1268">
        <f t="shared" si="3"/>
        <v>1267741.935483871</v>
      </c>
      <c r="L17" s="1261"/>
      <c r="M17" s="131"/>
      <c r="N17" s="129"/>
      <c r="O17" s="130"/>
    </row>
    <row r="18" spans="1:44" ht="32.25" customHeight="1">
      <c r="A18" s="1257">
        <v>6</v>
      </c>
      <c r="B18" s="1258" t="str">
        <f>'Bảng BV  '!B18</f>
        <v>P. Tưng</v>
      </c>
      <c r="C18" s="1259" t="str">
        <f>'Bảng BV  '!C18</f>
        <v>BVTV</v>
      </c>
      <c r="D18" s="1260"/>
      <c r="E18" s="1257">
        <f>'Bảng BV  '!AI18</f>
        <v>15</v>
      </c>
      <c r="F18" s="1266">
        <f t="shared" si="0"/>
        <v>64516.129032258068</v>
      </c>
      <c r="G18" s="1266">
        <f t="shared" si="1"/>
        <v>967741.93548387103</v>
      </c>
      <c r="H18" s="1266">
        <f t="shared" si="4"/>
        <v>300000</v>
      </c>
      <c r="I18" s="1268">
        <f t="shared" si="2"/>
        <v>1267741.935483871</v>
      </c>
      <c r="J18" s="1267"/>
      <c r="K18" s="1268">
        <f t="shared" si="3"/>
        <v>1267741.935483871</v>
      </c>
      <c r="L18" s="1261"/>
      <c r="M18" s="131"/>
      <c r="N18" s="129"/>
      <c r="O18" s="130"/>
    </row>
    <row r="19" spans="1:44" ht="32.25" customHeight="1">
      <c r="A19" s="1257">
        <v>7</v>
      </c>
      <c r="B19" s="1258" t="str">
        <f>'Bảng BV  '!B19</f>
        <v>T. Bun Lăm</v>
      </c>
      <c r="C19" s="1259" t="str">
        <f>'Bảng BV  '!C19</f>
        <v>BVTV</v>
      </c>
      <c r="D19" s="1260"/>
      <c r="E19" s="1257">
        <f>'Bảng BV  '!AI19</f>
        <v>15</v>
      </c>
      <c r="F19" s="1266">
        <f t="shared" si="0"/>
        <v>64516.129032258068</v>
      </c>
      <c r="G19" s="1266">
        <f t="shared" si="1"/>
        <v>967741.93548387103</v>
      </c>
      <c r="H19" s="1266">
        <f t="shared" si="4"/>
        <v>300000</v>
      </c>
      <c r="I19" s="1268">
        <f t="shared" si="2"/>
        <v>1267741.935483871</v>
      </c>
      <c r="J19" s="1267"/>
      <c r="K19" s="1268">
        <f t="shared" si="3"/>
        <v>1267741.935483871</v>
      </c>
      <c r="L19" s="1261"/>
      <c r="M19" s="131"/>
      <c r="N19" s="129"/>
      <c r="O19" s="130"/>
    </row>
    <row r="20" spans="1:44" ht="32.25" customHeight="1">
      <c r="A20" s="1257">
        <v>8</v>
      </c>
      <c r="B20" s="1258" t="str">
        <f>'Bảng BV  '!B20</f>
        <v>T. Phước</v>
      </c>
      <c r="C20" s="1259" t="str">
        <f>'Bảng BV  '!C20</f>
        <v>BVTV</v>
      </c>
      <c r="D20" s="1260"/>
      <c r="E20" s="1257">
        <f>'Bảng BV  '!AI20</f>
        <v>15</v>
      </c>
      <c r="F20" s="1266">
        <f t="shared" si="0"/>
        <v>64516.129032258068</v>
      </c>
      <c r="G20" s="1266">
        <f t="shared" si="1"/>
        <v>967741.93548387103</v>
      </c>
      <c r="H20" s="1266">
        <f t="shared" si="4"/>
        <v>300000</v>
      </c>
      <c r="I20" s="1268">
        <f t="shared" si="2"/>
        <v>1267741.935483871</v>
      </c>
      <c r="J20" s="1267"/>
      <c r="K20" s="1268">
        <f t="shared" si="3"/>
        <v>1267741.935483871</v>
      </c>
      <c r="L20" s="1261"/>
      <c r="M20" s="131"/>
      <c r="N20" s="129"/>
      <c r="O20" s="130"/>
    </row>
    <row r="21" spans="1:44" ht="32.25" customHeight="1">
      <c r="A21" s="1257">
        <v>9</v>
      </c>
      <c r="B21" s="1258" t="str">
        <f>'Bảng BV  '!B21</f>
        <v>T. Thun</v>
      </c>
      <c r="C21" s="1259" t="str">
        <f>'Bảng BV  '!C21</f>
        <v>BVTV</v>
      </c>
      <c r="D21" s="1260"/>
      <c r="E21" s="1257">
        <f>'Bảng BV  '!AI21</f>
        <v>15</v>
      </c>
      <c r="F21" s="1266">
        <f t="shared" si="0"/>
        <v>64516.129032258068</v>
      </c>
      <c r="G21" s="1266">
        <f t="shared" si="1"/>
        <v>967741.93548387103</v>
      </c>
      <c r="H21" s="1266">
        <f t="shared" si="4"/>
        <v>300000</v>
      </c>
      <c r="I21" s="1268">
        <f t="shared" si="2"/>
        <v>1267741.935483871</v>
      </c>
      <c r="J21" s="1267"/>
      <c r="K21" s="1268">
        <f t="shared" si="3"/>
        <v>1267741.935483871</v>
      </c>
      <c r="L21" s="1261"/>
      <c r="M21" s="131"/>
      <c r="N21" s="129"/>
      <c r="O21" s="130"/>
    </row>
    <row r="22" spans="1:44" ht="32.25" customHeight="1">
      <c r="A22" s="1257">
        <v>10</v>
      </c>
      <c r="B22" s="1258" t="str">
        <f>'Bảng BV  '!B22</f>
        <v>T. Phon</v>
      </c>
      <c r="C22" s="1259" t="str">
        <f>'Bảng BV  '!C22</f>
        <v>BVTV</v>
      </c>
      <c r="D22" s="1260"/>
      <c r="E22" s="1257">
        <f>'Bảng BV  '!AI22</f>
        <v>15</v>
      </c>
      <c r="F22" s="1266">
        <f t="shared" si="0"/>
        <v>64516.129032258068</v>
      </c>
      <c r="G22" s="1266">
        <f t="shared" si="1"/>
        <v>967741.93548387103</v>
      </c>
      <c r="H22" s="1266">
        <f t="shared" si="4"/>
        <v>300000</v>
      </c>
      <c r="I22" s="1268">
        <f t="shared" si="2"/>
        <v>1267741.935483871</v>
      </c>
      <c r="J22" s="1267"/>
      <c r="K22" s="1268">
        <f t="shared" si="3"/>
        <v>1267741.935483871</v>
      </c>
      <c r="L22" s="1261"/>
      <c r="M22" s="131"/>
      <c r="N22" s="129"/>
      <c r="O22" s="130"/>
    </row>
    <row r="23" spans="1:44" ht="32.25" customHeight="1">
      <c r="A23" s="1257">
        <v>11</v>
      </c>
      <c r="B23" s="1258" t="str">
        <f>'Bảng BV  '!B23</f>
        <v>Khăm Sai</v>
      </c>
      <c r="C23" s="1259" t="str">
        <f>'Bảng BV  '!C23</f>
        <v>BVTV</v>
      </c>
      <c r="D23" s="1260"/>
      <c r="E23" s="1257">
        <f>'Bảng BV  '!AI23</f>
        <v>15</v>
      </c>
      <c r="F23" s="1266">
        <f t="shared" si="0"/>
        <v>64516.129032258068</v>
      </c>
      <c r="G23" s="1266">
        <f t="shared" si="1"/>
        <v>967741.93548387103</v>
      </c>
      <c r="H23" s="1266">
        <f t="shared" si="4"/>
        <v>300000</v>
      </c>
      <c r="I23" s="1268">
        <f t="shared" si="2"/>
        <v>1267741.935483871</v>
      </c>
      <c r="J23" s="1267"/>
      <c r="K23" s="1268">
        <f t="shared" si="3"/>
        <v>1267741.935483871</v>
      </c>
      <c r="L23" s="1261"/>
      <c r="M23" s="131"/>
      <c r="N23" s="129"/>
      <c r="O23" s="130"/>
    </row>
    <row r="24" spans="1:44" ht="32.25" customHeight="1">
      <c r="A24" s="1257">
        <v>12</v>
      </c>
      <c r="B24" s="1258" t="str">
        <f>'Bảng BV  '!B24</f>
        <v>T. Lả</v>
      </c>
      <c r="C24" s="1259" t="str">
        <f>'Bảng BV  '!C24</f>
        <v>BVTV</v>
      </c>
      <c r="D24" s="1260"/>
      <c r="E24" s="1257">
        <f>'Bảng BV  '!AI24</f>
        <v>15</v>
      </c>
      <c r="F24" s="1266">
        <f t="shared" si="0"/>
        <v>64516.129032258068</v>
      </c>
      <c r="G24" s="1266">
        <f t="shared" si="1"/>
        <v>967741.93548387103</v>
      </c>
      <c r="H24" s="1266">
        <f t="shared" si="4"/>
        <v>300000</v>
      </c>
      <c r="I24" s="1268">
        <f t="shared" si="2"/>
        <v>1267741.935483871</v>
      </c>
      <c r="J24" s="1267"/>
      <c r="K24" s="1268">
        <f t="shared" si="3"/>
        <v>1267741.935483871</v>
      </c>
      <c r="L24" s="1261"/>
      <c r="M24" s="131"/>
      <c r="N24" s="129" t="s">
        <v>740</v>
      </c>
      <c r="O24" s="130"/>
    </row>
    <row r="25" spans="1:44" ht="32.25" customHeight="1">
      <c r="A25" s="1257">
        <v>13</v>
      </c>
      <c r="B25" s="1258" t="str">
        <f>'Bảng BV  '!B25</f>
        <v>T. Ni</v>
      </c>
      <c r="C25" s="1259" t="str">
        <f>'Bảng BV  '!C25</f>
        <v>BVTV</v>
      </c>
      <c r="D25" s="1260"/>
      <c r="E25" s="1257">
        <f>'Bảng BV  '!AI25</f>
        <v>15</v>
      </c>
      <c r="F25" s="1266">
        <f t="shared" si="0"/>
        <v>64516.129032258068</v>
      </c>
      <c r="G25" s="1266">
        <f t="shared" si="1"/>
        <v>967741.93548387103</v>
      </c>
      <c r="H25" s="1266">
        <f t="shared" si="4"/>
        <v>300000</v>
      </c>
      <c r="I25" s="1268">
        <f t="shared" si="2"/>
        <v>1267741.935483871</v>
      </c>
      <c r="J25" s="1267"/>
      <c r="K25" s="1268">
        <f t="shared" si="3"/>
        <v>1267741.935483871</v>
      </c>
      <c r="L25" s="1261"/>
      <c r="M25" s="131"/>
      <c r="N25" s="129"/>
      <c r="O25" s="130"/>
    </row>
    <row r="26" spans="1:44" ht="32.25" customHeight="1">
      <c r="A26" s="1524" t="s">
        <v>158</v>
      </c>
      <c r="B26" s="1524"/>
      <c r="C26" s="1261"/>
      <c r="D26" s="1261"/>
      <c r="E26" s="1263">
        <f>SUM(E13:E25)</f>
        <v>243</v>
      </c>
      <c r="F26" s="1264">
        <f>SUM(F13:F25)</f>
        <v>838709.67741935491</v>
      </c>
      <c r="G26" s="1264"/>
      <c r="H26" s="1264">
        <f t="shared" ref="H26" si="5">SUM(H13:H25)</f>
        <v>4800000</v>
      </c>
      <c r="I26" s="1265">
        <f>SUM(I13:I25)</f>
        <v>20477419.354838714</v>
      </c>
      <c r="J26" s="1264">
        <f t="shared" ref="J26" si="6">SUM(J13:J25)</f>
        <v>65000</v>
      </c>
      <c r="K26" s="1264">
        <f t="shared" ref="K26" si="7">SUM(K13:K25)</f>
        <v>20412419.354838714</v>
      </c>
      <c r="L26" s="1257"/>
      <c r="M26" s="131"/>
      <c r="N26" s="132">
        <f>I26/25000</f>
        <v>819.09677419354853</v>
      </c>
      <c r="O26" s="133"/>
    </row>
    <row r="27" spans="1:44" ht="27.75" customHeight="1">
      <c r="A27" s="1525" t="s">
        <v>717</v>
      </c>
      <c r="B27" s="1526"/>
      <c r="C27" s="1526"/>
      <c r="D27" s="1526"/>
      <c r="E27" s="1526"/>
      <c r="F27" s="1526"/>
      <c r="G27" s="1526"/>
      <c r="H27" s="1526"/>
      <c r="I27" s="1526"/>
      <c r="J27" s="1526"/>
      <c r="K27" s="1526"/>
      <c r="L27" s="1527"/>
    </row>
    <row r="28" spans="1:44" ht="18" customHeight="1">
      <c r="A28" s="1251"/>
      <c r="B28" s="1251"/>
      <c r="C28" s="1251"/>
      <c r="D28" s="1251"/>
      <c r="E28" s="1251"/>
      <c r="F28" s="1251"/>
      <c r="G28" s="1251"/>
      <c r="H28" s="1531" t="s">
        <v>738</v>
      </c>
      <c r="I28" s="1531"/>
      <c r="J28" s="1531"/>
      <c r="K28" s="1531"/>
      <c r="L28" s="1531"/>
      <c r="M28" s="1154"/>
      <c r="N28" s="1154"/>
      <c r="O28" s="1154"/>
      <c r="P28" s="1154"/>
      <c r="Q28" s="1154"/>
    </row>
    <row r="29" spans="1:44" ht="18" customHeight="1">
      <c r="A29" s="141"/>
      <c r="B29" s="141"/>
      <c r="C29" s="141"/>
      <c r="D29" s="141"/>
      <c r="E29" s="141"/>
      <c r="F29" s="141"/>
      <c r="G29" s="141"/>
      <c r="H29" s="1155"/>
      <c r="I29" s="1155"/>
      <c r="J29" s="1155"/>
      <c r="K29" s="1155"/>
      <c r="L29" s="1155"/>
      <c r="M29" s="1154"/>
      <c r="N29" s="1154"/>
      <c r="O29" s="1154"/>
      <c r="P29" s="1154"/>
      <c r="Q29" s="1154"/>
    </row>
    <row r="30" spans="1:44" ht="24" customHeight="1">
      <c r="A30" s="1528" t="s">
        <v>739</v>
      </c>
      <c r="B30" s="1528"/>
      <c r="C30" s="1528"/>
      <c r="D30" s="1528"/>
      <c r="E30" s="1528"/>
      <c r="F30" s="1528"/>
      <c r="G30" s="1528"/>
      <c r="H30" s="1528"/>
      <c r="I30" s="1528"/>
      <c r="J30" s="1528"/>
      <c r="K30" s="1528"/>
      <c r="L30" s="1528"/>
      <c r="M30" s="1120"/>
      <c r="N30" s="1120"/>
      <c r="O30" s="1120"/>
      <c r="P30" s="1120"/>
      <c r="Q30" s="1120"/>
      <c r="R30" s="1120"/>
      <c r="S30" s="1120"/>
      <c r="T30" s="1120"/>
      <c r="U30" s="1120"/>
      <c r="V30" s="1120"/>
      <c r="W30" s="1120"/>
      <c r="X30" s="1120"/>
      <c r="Y30" s="1120"/>
      <c r="Z30" s="1120"/>
      <c r="AA30" s="1120"/>
      <c r="AB30" s="1120"/>
      <c r="AC30" s="1120"/>
      <c r="AD30" s="1120"/>
      <c r="AE30" s="1120"/>
      <c r="AF30" s="1120"/>
      <c r="AG30" s="1120"/>
      <c r="AH30" s="1120"/>
      <c r="AI30" s="1120"/>
      <c r="AJ30" s="1120"/>
      <c r="AK30" s="1120"/>
      <c r="AL30" s="1120"/>
      <c r="AM30" s="1120"/>
      <c r="AN30" s="1120"/>
      <c r="AO30" s="1120"/>
      <c r="AP30" s="1120"/>
      <c r="AQ30" s="1120"/>
      <c r="AR30" s="1120"/>
    </row>
    <row r="31" spans="1:44" ht="16.5">
      <c r="A31" s="799"/>
      <c r="B31" s="262"/>
      <c r="C31" s="262"/>
      <c r="D31" s="262"/>
      <c r="E31" s="262"/>
      <c r="F31" s="262"/>
      <c r="G31" s="262"/>
      <c r="H31" s="262"/>
      <c r="I31" s="262"/>
      <c r="J31" s="262"/>
      <c r="K31" s="262"/>
      <c r="L31" s="799"/>
      <c r="M31" s="262"/>
      <c r="N31" s="262"/>
      <c r="O31" s="262"/>
      <c r="P31" s="262"/>
      <c r="Q31" s="272"/>
      <c r="R31" s="799"/>
      <c r="S31" s="799"/>
      <c r="T31" s="799"/>
      <c r="U31" s="799"/>
      <c r="V31" s="799"/>
      <c r="W31" s="799"/>
      <c r="X31" s="799"/>
      <c r="Y31" s="799"/>
      <c r="Z31" s="799"/>
      <c r="AA31" s="799"/>
      <c r="AB31" s="799"/>
      <c r="AC31" s="799"/>
      <c r="AD31" s="799"/>
      <c r="AE31" s="799"/>
      <c r="AF31" s="799"/>
    </row>
    <row r="32" spans="1:44" ht="16.5">
      <c r="A32" s="1115"/>
      <c r="B32" s="1115"/>
      <c r="C32" s="1115"/>
      <c r="D32" s="1111"/>
      <c r="E32" s="1111"/>
      <c r="F32" s="1111"/>
      <c r="G32" s="1111"/>
      <c r="H32" s="1111"/>
      <c r="I32" s="1111"/>
      <c r="J32" s="1111"/>
      <c r="K32" s="1111"/>
      <c r="L32" s="1111"/>
      <c r="M32" s="1111"/>
      <c r="N32" s="1116"/>
      <c r="O32" s="1111"/>
      <c r="P32" s="800"/>
      <c r="Q32" s="1117"/>
      <c r="R32" s="1117"/>
      <c r="S32" s="800"/>
      <c r="T32" s="800"/>
      <c r="U32" s="800"/>
      <c r="V32" s="800"/>
      <c r="W32" s="800"/>
      <c r="X32" s="800"/>
      <c r="Y32" s="800"/>
      <c r="Z32" s="800"/>
      <c r="AA32" s="1118"/>
      <c r="AB32" s="1111"/>
      <c r="AC32" s="1111"/>
      <c r="AD32" s="1111"/>
      <c r="AE32" s="1111"/>
      <c r="AF32" s="1117"/>
    </row>
    <row r="33" spans="1:32" ht="16.5">
      <c r="A33" s="1115"/>
      <c r="B33" s="1115"/>
      <c r="C33" s="1115"/>
      <c r="D33" s="1111"/>
      <c r="E33" s="1111"/>
      <c r="F33" s="1111"/>
      <c r="G33" s="1111"/>
      <c r="H33" s="1111"/>
      <c r="I33" s="1111"/>
      <c r="J33" s="1111"/>
      <c r="K33" s="1111"/>
      <c r="L33" s="1111"/>
      <c r="M33" s="1111"/>
      <c r="N33" s="1116"/>
      <c r="O33" s="1111"/>
      <c r="P33" s="800"/>
      <c r="Q33" s="1117"/>
      <c r="R33" s="1117"/>
      <c r="S33" s="800"/>
      <c r="T33" s="800"/>
      <c r="U33" s="800"/>
      <c r="V33" s="800"/>
      <c r="W33" s="800"/>
      <c r="X33" s="800"/>
      <c r="Y33" s="800"/>
      <c r="Z33" s="800"/>
      <c r="AA33" s="1118"/>
      <c r="AB33" s="1111"/>
      <c r="AC33" s="1111"/>
      <c r="AD33" s="1111"/>
      <c r="AE33" s="1111"/>
      <c r="AF33" s="1117"/>
    </row>
    <row r="34" spans="1:32" ht="16.5">
      <c r="A34" s="1115"/>
      <c r="B34" s="1115"/>
      <c r="C34" s="1115"/>
      <c r="D34" s="1111"/>
      <c r="E34" s="1111"/>
      <c r="F34" s="1111"/>
      <c r="G34" s="1111"/>
      <c r="H34" s="1111"/>
      <c r="I34" s="1111"/>
      <c r="J34" s="1111"/>
      <c r="K34" s="1111"/>
      <c r="L34" s="1111"/>
      <c r="M34" s="1111"/>
      <c r="N34" s="1116"/>
      <c r="O34" s="1111">
        <f>I26</f>
        <v>20477419.354838714</v>
      </c>
      <c r="P34" s="800" t="e">
        <f>SUM(O34:O37)</f>
        <v>#REF!</v>
      </c>
      <c r="Q34" s="1117"/>
      <c r="R34" s="1117"/>
      <c r="S34" s="800"/>
      <c r="T34" s="800"/>
      <c r="U34" s="800"/>
      <c r="V34" s="800"/>
      <c r="W34" s="800"/>
      <c r="X34" s="800"/>
      <c r="Y34" s="800"/>
      <c r="Z34" s="800"/>
      <c r="AA34" s="1118"/>
      <c r="AB34" s="1111"/>
      <c r="AC34" s="1111"/>
      <c r="AD34" s="1111"/>
      <c r="AE34" s="1111"/>
      <c r="AF34" s="1117"/>
    </row>
    <row r="35" spans="1:32" ht="16.5">
      <c r="A35" s="1115"/>
      <c r="B35" s="1115"/>
      <c r="C35" s="1115"/>
      <c r="D35" s="1111"/>
      <c r="E35" s="1111"/>
      <c r="F35" s="1111"/>
      <c r="G35" s="1111"/>
      <c r="H35" s="1111"/>
      <c r="I35" s="1111"/>
      <c r="J35" s="1111"/>
      <c r="K35" s="1111"/>
      <c r="L35" s="1111"/>
      <c r="M35" s="1111"/>
      <c r="N35" s="1116"/>
      <c r="O35" s="1111" t="e">
        <f>#REF!</f>
        <v>#REF!</v>
      </c>
      <c r="P35" s="800"/>
      <c r="Q35" s="1117"/>
      <c r="R35" s="1117"/>
      <c r="S35" s="800"/>
      <c r="T35" s="800"/>
      <c r="U35" s="800"/>
      <c r="V35" s="800"/>
      <c r="W35" s="800"/>
      <c r="X35" s="800"/>
      <c r="Y35" s="800"/>
      <c r="Z35" s="800"/>
      <c r="AA35" s="1118"/>
      <c r="AB35" s="1111"/>
      <c r="AC35" s="1111"/>
      <c r="AD35" s="1111"/>
      <c r="AE35" s="1111"/>
      <c r="AF35" s="1117"/>
    </row>
    <row r="36" spans="1:32" ht="16.5">
      <c r="A36" s="1115"/>
      <c r="B36" s="1115"/>
      <c r="C36" s="1115"/>
      <c r="D36" s="1111"/>
      <c r="E36" s="1111"/>
      <c r="F36" s="1111"/>
      <c r="G36" s="1111"/>
      <c r="H36" s="1111"/>
      <c r="I36" s="1111"/>
      <c r="J36" s="1111"/>
      <c r="K36" s="1111"/>
      <c r="L36" s="1111"/>
      <c r="M36" s="1111"/>
      <c r="N36" s="1116"/>
      <c r="O36" s="1111">
        <f>'lương gián tiếp'!G18</f>
        <v>11569069</v>
      </c>
      <c r="P36" s="800"/>
      <c r="Q36" s="1117"/>
      <c r="R36" s="1117"/>
      <c r="S36" s="800"/>
      <c r="T36" s="800"/>
      <c r="U36" s="800"/>
      <c r="V36" s="800"/>
      <c r="W36" s="800"/>
      <c r="X36" s="800"/>
      <c r="Y36" s="800"/>
      <c r="Z36" s="800"/>
      <c r="AA36" s="1118"/>
      <c r="AB36" s="1111"/>
      <c r="AC36" s="1111"/>
      <c r="AD36" s="1111"/>
      <c r="AE36" s="1111"/>
      <c r="AF36" s="1117"/>
    </row>
    <row r="37" spans="1:32" ht="16.5">
      <c r="A37" s="1115"/>
      <c r="B37" s="1115"/>
      <c r="C37" s="1115"/>
      <c r="D37" s="1111"/>
      <c r="E37" s="1111"/>
      <c r="F37" s="1111"/>
      <c r="G37" s="1111"/>
      <c r="H37" s="1111"/>
      <c r="I37" s="1111"/>
      <c r="J37" s="1111"/>
      <c r="K37" s="1111"/>
      <c r="M37" s="1111"/>
      <c r="N37" s="1116"/>
      <c r="O37" s="1111"/>
      <c r="P37" s="805"/>
      <c r="Q37" s="1117"/>
      <c r="R37" s="1117"/>
      <c r="S37" s="800"/>
      <c r="T37" s="800"/>
      <c r="U37" s="800"/>
      <c r="V37" s="800"/>
      <c r="W37" s="800"/>
      <c r="X37" s="800"/>
      <c r="Y37" s="800"/>
      <c r="Z37" s="800"/>
      <c r="AA37" s="800"/>
      <c r="AB37" s="1111"/>
      <c r="AC37" s="1111"/>
      <c r="AD37" s="1111"/>
      <c r="AE37" s="800"/>
      <c r="AF37" s="1117"/>
    </row>
    <row r="38" spans="1:32" ht="16.5">
      <c r="A38" s="1115"/>
      <c r="B38" s="1115"/>
      <c r="C38" s="1115"/>
      <c r="D38" s="1115"/>
      <c r="E38" s="1115"/>
      <c r="F38" s="1115"/>
      <c r="G38" s="1115"/>
      <c r="H38" s="1509"/>
      <c r="I38" s="1509"/>
      <c r="J38" s="1509"/>
      <c r="K38" s="1509"/>
      <c r="L38" s="1509"/>
      <c r="M38" s="1115"/>
      <c r="P38" s="1115"/>
      <c r="Q38" s="1115"/>
      <c r="R38" s="1115"/>
      <c r="S38" s="1115"/>
      <c r="T38" s="1115"/>
      <c r="U38" s="1115"/>
      <c r="V38" s="1115"/>
      <c r="AC38" s="1115"/>
      <c r="AD38" s="1115"/>
      <c r="AE38" s="1115"/>
      <c r="AF38" s="1115"/>
    </row>
    <row r="39" spans="1:32">
      <c r="O39" s="1156" t="e">
        <f>P34/25000</f>
        <v>#REF!</v>
      </c>
    </row>
  </sheetData>
  <mergeCells count="23">
    <mergeCell ref="H38:L38"/>
    <mergeCell ref="H28:L28"/>
    <mergeCell ref="A2:L2"/>
    <mergeCell ref="A3:L3"/>
    <mergeCell ref="A4:L4"/>
    <mergeCell ref="A9:L9"/>
    <mergeCell ref="A11:A12"/>
    <mergeCell ref="B11:B12"/>
    <mergeCell ref="D11:D12"/>
    <mergeCell ref="E11:E12"/>
    <mergeCell ref="F11:F12"/>
    <mergeCell ref="I11:I12"/>
    <mergeCell ref="L11:L12"/>
    <mergeCell ref="A6:F6"/>
    <mergeCell ref="A7:F7"/>
    <mergeCell ref="H11:H12"/>
    <mergeCell ref="K11:K12"/>
    <mergeCell ref="C11:C12"/>
    <mergeCell ref="A26:B26"/>
    <mergeCell ref="A27:L27"/>
    <mergeCell ref="A30:L30"/>
    <mergeCell ref="G11:G12"/>
    <mergeCell ref="J11:J12"/>
  </mergeCells>
  <printOptions horizontalCentered="1"/>
  <pageMargins left="0.35433070866141736" right="0.15748031496062992" top="0.23622047244094491" bottom="0.19685039370078741" header="0.15748031496062992" footer="0.19685039370078741"/>
  <pageSetup paperSize="9" scale="67" fitToHeight="0" orientation="landscape" r:id="rId1"/>
  <headerFooter>
    <oddFooter>&amp;R&amp;P</oddFooter>
  </headerFooter>
  <colBreaks count="1" manualBreakCount="1">
    <brk id="12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rgb="FF92D050"/>
  </sheetPr>
  <dimension ref="A1:AB28"/>
  <sheetViews>
    <sheetView zoomScaleNormal="100" workbookViewId="0">
      <pane ySplit="1" topLeftCell="A11" activePane="bottomLeft" state="frozen"/>
      <selection activeCell="E21" sqref="E21:G21"/>
      <selection pane="bottomLeft" activeCell="A9" sqref="A9:I9"/>
    </sheetView>
  </sheetViews>
  <sheetFormatPr defaultColWidth="9.140625" defaultRowHeight="16.5"/>
  <cols>
    <col min="1" max="1" width="5" style="270" customWidth="1"/>
    <col min="2" max="2" width="21.7109375" style="270" customWidth="1"/>
    <col min="3" max="3" width="19.28515625" style="270" customWidth="1"/>
    <col min="4" max="4" width="10.42578125" style="270" customWidth="1"/>
    <col min="5" max="5" width="15.28515625" style="270" customWidth="1"/>
    <col min="6" max="6" width="21.7109375" style="270" customWidth="1"/>
    <col min="7" max="7" width="14.85546875" style="270" customWidth="1"/>
    <col min="8" max="8" width="15.42578125" style="270" customWidth="1"/>
    <col min="9" max="9" width="19.85546875" style="270" customWidth="1"/>
    <col min="10" max="10" width="8.42578125" style="270" customWidth="1"/>
    <col min="11" max="11" width="12.85546875" style="270" customWidth="1"/>
    <col min="12" max="12" width="13.42578125" style="270" customWidth="1"/>
    <col min="13" max="14" width="7.85546875" style="270" customWidth="1"/>
    <col min="15" max="15" width="7.28515625" style="270" customWidth="1"/>
    <col min="16" max="16" width="7.42578125" style="270" customWidth="1"/>
    <col min="17" max="17" width="6.28515625" style="270" customWidth="1"/>
    <col min="18" max="18" width="5.7109375" style="270" customWidth="1"/>
    <col min="19" max="19" width="6" style="270" customWidth="1"/>
    <col min="20" max="20" width="4.85546875" style="270" customWidth="1"/>
    <col min="21" max="21" width="6" style="270" customWidth="1"/>
    <col min="22" max="22" width="6.5703125" style="270" customWidth="1"/>
    <col min="23" max="23" width="8.140625" style="270" customWidth="1"/>
    <col min="24" max="24" width="6" style="270" customWidth="1"/>
    <col min="25" max="25" width="8.140625" style="270" customWidth="1"/>
    <col min="26" max="26" width="15" style="270" bestFit="1" customWidth="1"/>
    <col min="27" max="27" width="17.85546875" style="270" bestFit="1" customWidth="1"/>
    <col min="28" max="28" width="12.85546875" style="270" bestFit="1" customWidth="1"/>
    <col min="29" max="16384" width="9.140625" style="270"/>
  </cols>
  <sheetData>
    <row r="1" spans="1:28">
      <c r="A1" s="141"/>
      <c r="B1" s="141"/>
      <c r="C1" s="141"/>
      <c r="D1" s="141"/>
      <c r="E1" s="141"/>
      <c r="F1" s="141"/>
      <c r="G1" s="141"/>
      <c r="H1" s="141"/>
      <c r="I1" s="141"/>
    </row>
    <row r="2" spans="1:28">
      <c r="A2" s="1541" t="s">
        <v>56</v>
      </c>
      <c r="B2" s="1541"/>
      <c r="C2" s="1541"/>
      <c r="D2" s="1541"/>
      <c r="E2" s="1541"/>
      <c r="F2" s="1541"/>
      <c r="G2" s="1541"/>
      <c r="H2" s="1541"/>
      <c r="I2" s="1541"/>
      <c r="J2" s="15"/>
      <c r="K2" s="15"/>
      <c r="L2" s="15"/>
      <c r="M2" s="382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8">
      <c r="A3" s="1541" t="s">
        <v>42</v>
      </c>
      <c r="B3" s="1541"/>
      <c r="C3" s="1541"/>
      <c r="D3" s="1541"/>
      <c r="E3" s="1541"/>
      <c r="F3" s="1541"/>
      <c r="G3" s="1541"/>
      <c r="H3" s="1541"/>
      <c r="I3" s="1541"/>
      <c r="J3" s="16"/>
      <c r="K3" s="16"/>
      <c r="L3" s="16"/>
      <c r="M3" s="16"/>
      <c r="N3" s="383"/>
      <c r="P3" s="16"/>
      <c r="Q3" s="16"/>
      <c r="R3" s="16"/>
      <c r="S3" s="16"/>
      <c r="T3" s="16"/>
      <c r="U3" s="16"/>
      <c r="V3" s="16"/>
      <c r="W3" s="16"/>
      <c r="X3" s="16"/>
      <c r="Y3" s="383"/>
    </row>
    <row r="4" spans="1:28">
      <c r="A4" s="1542" t="s">
        <v>295</v>
      </c>
      <c r="B4" s="1541"/>
      <c r="C4" s="1541"/>
      <c r="D4" s="1541"/>
      <c r="E4" s="1541"/>
      <c r="F4" s="1541"/>
      <c r="G4" s="1541"/>
      <c r="H4" s="1541"/>
      <c r="I4" s="1541"/>
      <c r="J4" s="16"/>
      <c r="K4" s="16"/>
      <c r="L4" s="16"/>
      <c r="M4" s="16"/>
      <c r="N4" s="383"/>
      <c r="P4" s="16"/>
      <c r="Q4" s="16"/>
      <c r="R4" s="16"/>
      <c r="S4" s="16"/>
      <c r="T4" s="16"/>
      <c r="U4" s="16"/>
      <c r="V4" s="16"/>
      <c r="W4" s="16"/>
      <c r="X4" s="16"/>
      <c r="Y4" s="383"/>
    </row>
    <row r="5" spans="1:28" ht="9.75" customHeight="1">
      <c r="A5" s="141"/>
      <c r="B5" s="141"/>
      <c r="C5" s="141"/>
      <c r="D5" s="141"/>
      <c r="E5" s="141"/>
      <c r="F5" s="141"/>
      <c r="G5" s="141"/>
      <c r="H5" s="141"/>
      <c r="I5" s="141"/>
      <c r="J5" s="385"/>
      <c r="K5" s="385"/>
      <c r="L5" s="385"/>
      <c r="M5" s="386"/>
      <c r="N5" s="387"/>
      <c r="O5" s="388"/>
      <c r="P5" s="389"/>
      <c r="Q5" s="389"/>
      <c r="R5" s="389"/>
      <c r="S5" s="389"/>
      <c r="T5" s="389"/>
      <c r="U5" s="389"/>
      <c r="V5" s="389"/>
      <c r="W5" s="389"/>
      <c r="X5" s="389"/>
      <c r="Y5" s="383"/>
      <c r="Z5" s="390">
        <f>1372+388</f>
        <v>1760</v>
      </c>
      <c r="AA5" s="270">
        <f>Z5*30000</f>
        <v>52800000</v>
      </c>
      <c r="AB5" s="270" t="e">
        <f>AA5+#REF!+#REF!</f>
        <v>#REF!</v>
      </c>
    </row>
    <row r="6" spans="1:28">
      <c r="A6" s="1364" t="s">
        <v>0</v>
      </c>
      <c r="B6" s="1364"/>
      <c r="C6" s="1364"/>
      <c r="D6" s="1364"/>
      <c r="E6" s="1364"/>
      <c r="F6" s="180"/>
      <c r="G6" s="180"/>
      <c r="H6" s="180"/>
      <c r="I6" s="180"/>
      <c r="J6" s="385"/>
      <c r="K6" s="385"/>
      <c r="L6" s="385"/>
      <c r="M6" s="386"/>
      <c r="N6" s="387"/>
      <c r="O6" s="388"/>
      <c r="P6" s="389"/>
      <c r="Q6" s="389"/>
      <c r="R6" s="389"/>
      <c r="S6" s="389"/>
      <c r="T6" s="389"/>
      <c r="U6" s="389"/>
      <c r="V6" s="389"/>
      <c r="W6" s="389"/>
      <c r="X6" s="389"/>
      <c r="Y6" s="383"/>
      <c r="Z6" s="390"/>
    </row>
    <row r="7" spans="1:28">
      <c r="A7" s="1543" t="s">
        <v>643</v>
      </c>
      <c r="B7" s="1543"/>
      <c r="C7" s="1543"/>
      <c r="D7" s="1543"/>
      <c r="E7" s="1543"/>
      <c r="F7" s="529"/>
      <c r="G7" s="384"/>
      <c r="H7" s="384"/>
      <c r="I7" s="384"/>
      <c r="J7" s="385"/>
      <c r="K7" s="385"/>
      <c r="L7" s="385"/>
      <c r="M7" s="386"/>
      <c r="N7" s="387"/>
      <c r="O7" s="388"/>
      <c r="P7" s="389"/>
      <c r="Q7" s="389"/>
      <c r="R7" s="389"/>
      <c r="S7" s="389"/>
      <c r="T7" s="389"/>
      <c r="U7" s="389"/>
      <c r="V7" s="389"/>
      <c r="W7" s="389"/>
      <c r="X7" s="389"/>
      <c r="Y7" s="383"/>
      <c r="Z7" s="390"/>
    </row>
    <row r="8" spans="1:28" ht="12.75" customHeight="1">
      <c r="A8" s="527"/>
      <c r="B8" s="527"/>
      <c r="C8" s="527"/>
      <c r="D8" s="527"/>
      <c r="E8" s="527"/>
      <c r="F8" s="529"/>
      <c r="G8" s="384"/>
      <c r="H8" s="384"/>
      <c r="I8" s="384"/>
      <c r="J8" s="385"/>
      <c r="K8" s="385"/>
      <c r="L8" s="385"/>
      <c r="M8" s="386"/>
      <c r="N8" s="387"/>
      <c r="O8" s="388"/>
      <c r="P8" s="389"/>
      <c r="Q8" s="389"/>
      <c r="R8" s="389"/>
      <c r="S8" s="389"/>
      <c r="T8" s="389"/>
      <c r="U8" s="389"/>
      <c r="V8" s="389"/>
      <c r="W8" s="389"/>
      <c r="X8" s="389"/>
      <c r="Y8" s="383"/>
      <c r="Z8" s="390"/>
    </row>
    <row r="9" spans="1:28" ht="27" customHeight="1">
      <c r="A9" s="1544" t="s">
        <v>682</v>
      </c>
      <c r="B9" s="1545"/>
      <c r="C9" s="1545"/>
      <c r="D9" s="1545"/>
      <c r="E9" s="1545"/>
      <c r="F9" s="1545"/>
      <c r="G9" s="1545"/>
      <c r="H9" s="1545"/>
      <c r="I9" s="1545"/>
      <c r="J9" s="391"/>
      <c r="K9" s="391"/>
      <c r="L9" s="391"/>
      <c r="M9" s="391"/>
      <c r="N9" s="392"/>
      <c r="O9" s="392"/>
      <c r="P9" s="392"/>
      <c r="Q9" s="392"/>
      <c r="R9" s="392"/>
      <c r="S9" s="392"/>
      <c r="T9" s="392"/>
      <c r="U9" s="392"/>
      <c r="V9" s="392"/>
      <c r="W9" s="392"/>
      <c r="X9" s="392"/>
      <c r="Y9" s="392"/>
    </row>
    <row r="10" spans="1:28">
      <c r="A10" s="530"/>
      <c r="B10" s="393"/>
      <c r="C10" s="393"/>
      <c r="D10" s="530"/>
      <c r="E10" s="530"/>
      <c r="F10" s="530"/>
      <c r="G10" s="530"/>
      <c r="H10" s="530"/>
      <c r="I10" s="547" t="s">
        <v>375</v>
      </c>
      <c r="J10" s="394"/>
      <c r="K10" s="395"/>
      <c r="L10" s="396"/>
    </row>
    <row r="11" spans="1:28" ht="16.5" customHeight="1">
      <c r="A11" s="1546" t="s">
        <v>6</v>
      </c>
      <c r="B11" s="1546" t="s">
        <v>17</v>
      </c>
      <c r="C11" s="1546" t="s">
        <v>12</v>
      </c>
      <c r="D11" s="1551" t="s">
        <v>35</v>
      </c>
      <c r="E11" s="1551" t="s">
        <v>307</v>
      </c>
      <c r="F11" s="1552" t="s">
        <v>308</v>
      </c>
      <c r="G11" s="1546" t="s">
        <v>258</v>
      </c>
      <c r="H11" s="1548" t="s">
        <v>166</v>
      </c>
      <c r="I11" s="1548" t="s">
        <v>367</v>
      </c>
      <c r="J11" s="397"/>
      <c r="K11" s="398"/>
      <c r="L11" s="399"/>
    </row>
    <row r="12" spans="1:28" ht="39.75" customHeight="1">
      <c r="A12" s="1546"/>
      <c r="B12" s="1546"/>
      <c r="C12" s="1546"/>
      <c r="D12" s="1551"/>
      <c r="E12" s="1551"/>
      <c r="F12" s="1552"/>
      <c r="G12" s="1546"/>
      <c r="H12" s="1548"/>
      <c r="I12" s="1548"/>
      <c r="J12" s="400"/>
      <c r="K12" s="398"/>
      <c r="L12" s="399"/>
    </row>
    <row r="13" spans="1:28" ht="20.25" customHeight="1">
      <c r="A13" s="1208" t="s">
        <v>73</v>
      </c>
      <c r="B13" s="1546" t="s">
        <v>741</v>
      </c>
      <c r="C13" s="1546"/>
      <c r="D13" s="945">
        <f t="shared" ref="D13:I13" si="0">SUM(D14:D15)</f>
        <v>60</v>
      </c>
      <c r="E13" s="1209">
        <f t="shared" si="0"/>
        <v>6000000</v>
      </c>
      <c r="F13" s="1209">
        <f t="shared" si="0"/>
        <v>3569069</v>
      </c>
      <c r="G13" s="1209">
        <f t="shared" si="0"/>
        <v>9569069</v>
      </c>
      <c r="H13" s="1209">
        <f t="shared" si="0"/>
        <v>348453.45</v>
      </c>
      <c r="I13" s="1209">
        <f t="shared" si="0"/>
        <v>9220615.5500000007</v>
      </c>
      <c r="J13" s="400"/>
      <c r="K13" s="398"/>
      <c r="L13" s="399"/>
    </row>
    <row r="14" spans="1:28" ht="20.25" customHeight="1">
      <c r="A14" s="267">
        <v>1</v>
      </c>
      <c r="B14" s="611" t="str">
        <f>'Bảng ĐP - BV  '!B13</f>
        <v>Thảo Văn Vông</v>
      </c>
      <c r="C14" s="267"/>
      <c r="D14" s="267">
        <f>'Bảng ĐP - BV  '!AI13</f>
        <v>30</v>
      </c>
      <c r="E14" s="615">
        <f>'Tỉ lệ hoàn thành '!I16</f>
        <v>3000000</v>
      </c>
      <c r="F14" s="615">
        <f>'Tỉ lệ hoàn thành '!J16</f>
        <v>1722719</v>
      </c>
      <c r="G14" s="1214">
        <f>E14+F14</f>
        <v>4722719</v>
      </c>
      <c r="H14" s="616">
        <f>IF(G14&gt;65000000,((G14-65000000)*25%+10685000),IF(G14&gt;25000000,((G14-25000000)*20%+2685000),IF(G14&gt;15000000,((G14-15000000)*15%+1185000),IF(G14&gt;5000000,(G14-5000000)*10%+185000,IF(G14&gt;1300000,(G14-1300000)*5%,0)))))</f>
        <v>171135.95</v>
      </c>
      <c r="I14" s="614">
        <f>G14-H14</f>
        <v>4551583.05</v>
      </c>
      <c r="J14" s="400"/>
      <c r="K14" s="398"/>
      <c r="L14" s="399"/>
    </row>
    <row r="15" spans="1:28" ht="20.25" customHeight="1">
      <c r="A15" s="267">
        <v>2</v>
      </c>
      <c r="B15" s="611" t="str">
        <f>'Bảng ĐP - BV  '!B14</f>
        <v>Thảo Phôn Chay</v>
      </c>
      <c r="C15" s="267"/>
      <c r="D15" s="267">
        <f>'Bảng ĐP - BV  '!AI14</f>
        <v>30</v>
      </c>
      <c r="E15" s="615">
        <f>'Tỉ lệ hoàn thành '!I17</f>
        <v>3000000</v>
      </c>
      <c r="F15" s="615">
        <f>'Tỉ lệ hoàn thành '!J17</f>
        <v>1846350</v>
      </c>
      <c r="G15" s="1214">
        <f>E15+F15</f>
        <v>4846350</v>
      </c>
      <c r="H15" s="616">
        <f>IF(G15&gt;65000000,((G15-65000000)*25%+10685000),IF(G15&gt;25000000,((G15-25000000)*20%+2685000),IF(G15&gt;15000000,((G15-15000000)*15%+1185000),IF(G15&gt;5000000,(G15-5000000)*10%+185000,IF(G15&gt;1300000,(G15-1300000)*5%,0)))))</f>
        <v>177317.5</v>
      </c>
      <c r="I15" s="614">
        <f>G15-H15</f>
        <v>4669032.5</v>
      </c>
      <c r="J15" s="400"/>
      <c r="K15" s="398"/>
      <c r="L15" s="399"/>
    </row>
    <row r="16" spans="1:28" s="551" customFormat="1" ht="20.25" customHeight="1">
      <c r="A16" s="1210" t="s">
        <v>65</v>
      </c>
      <c r="B16" s="1547" t="s">
        <v>410</v>
      </c>
      <c r="C16" s="1547"/>
      <c r="D16" s="612">
        <f>D17</f>
        <v>30</v>
      </c>
      <c r="E16" s="1213">
        <f>E17</f>
        <v>2000000</v>
      </c>
      <c r="F16" s="1213"/>
      <c r="G16" s="1213">
        <f>G17</f>
        <v>2000000</v>
      </c>
      <c r="H16" s="1213">
        <f>H17</f>
        <v>35000</v>
      </c>
      <c r="I16" s="1213">
        <f>I17</f>
        <v>1965000</v>
      </c>
      <c r="J16" s="548"/>
      <c r="K16" s="549"/>
      <c r="L16" s="550"/>
    </row>
    <row r="17" spans="1:14" ht="20.25" customHeight="1">
      <c r="A17" s="267">
        <v>1</v>
      </c>
      <c r="B17" s="611" t="str">
        <f>'Bảng ĐP - BV  '!B16</f>
        <v>N. Nhung  ( VP)</v>
      </c>
      <c r="C17" s="267"/>
      <c r="D17" s="267">
        <f>'Bảng ĐP - BV  '!AI16</f>
        <v>30</v>
      </c>
      <c r="E17" s="615">
        <v>2000000</v>
      </c>
      <c r="F17" s="615"/>
      <c r="G17" s="615">
        <f>E17</f>
        <v>2000000</v>
      </c>
      <c r="H17" s="616">
        <f>IF(G17&gt;65000000,((G17-65000000)*25%+10685000),IF(G17&gt;25000000,((G17-25000000)*20%+2685000),IF(G17&gt;15000000,((G17-15000000)*15%+1185000),IF(G17&gt;5000000,(G17-5000000)*10%+185000,IF(G17&gt;1300000,(G17-1300000)*5%,0)))))</f>
        <v>35000</v>
      </c>
      <c r="I17" s="614">
        <f>G17-H17</f>
        <v>1965000</v>
      </c>
      <c r="J17" s="400"/>
      <c r="K17" s="398"/>
      <c r="L17" s="399"/>
    </row>
    <row r="18" spans="1:14" ht="20.25" customHeight="1">
      <c r="A18" s="1546" t="s">
        <v>158</v>
      </c>
      <c r="B18" s="1546"/>
      <c r="C18" s="1196"/>
      <c r="D18" s="280">
        <f>D13+D16</f>
        <v>90</v>
      </c>
      <c r="E18" s="332">
        <f t="shared" ref="E18:I18" si="1">E13+E16</f>
        <v>8000000</v>
      </c>
      <c r="F18" s="332">
        <f t="shared" si="1"/>
        <v>3569069</v>
      </c>
      <c r="G18" s="763">
        <f t="shared" si="1"/>
        <v>11569069</v>
      </c>
      <c r="H18" s="332">
        <f t="shared" si="1"/>
        <v>383453.45</v>
      </c>
      <c r="I18" s="332">
        <f t="shared" si="1"/>
        <v>11185615.550000001</v>
      </c>
      <c r="J18" s="400"/>
      <c r="K18" s="401"/>
      <c r="L18" s="402"/>
    </row>
    <row r="19" spans="1:14" ht="21.75" customHeight="1">
      <c r="A19" s="1549" t="s">
        <v>718</v>
      </c>
      <c r="B19" s="1550"/>
      <c r="C19" s="1550"/>
      <c r="D19" s="1550"/>
      <c r="E19" s="1550"/>
      <c r="F19" s="1550"/>
      <c r="G19" s="1550"/>
      <c r="H19" s="1550"/>
      <c r="I19" s="1550"/>
    </row>
    <row r="20" spans="1:14" ht="17.25">
      <c r="F20" s="1553" t="s">
        <v>704</v>
      </c>
      <c r="G20" s="1553"/>
      <c r="H20" s="1553"/>
      <c r="I20" s="1553"/>
      <c r="J20" s="403"/>
      <c r="K20" s="403"/>
      <c r="L20" s="403"/>
      <c r="M20" s="403"/>
      <c r="N20" s="403"/>
    </row>
    <row r="21" spans="1:14">
      <c r="A21" s="271"/>
      <c r="B21" s="528"/>
      <c r="C21" s="1540"/>
      <c r="D21" s="1540"/>
      <c r="E21" s="1540"/>
      <c r="F21" s="1540"/>
      <c r="G21" s="1540"/>
      <c r="H21" s="1540"/>
      <c r="I21" s="1540"/>
    </row>
    <row r="22" spans="1:14">
      <c r="A22" s="1539" t="s">
        <v>726</v>
      </c>
      <c r="B22" s="1539"/>
      <c r="C22" s="1539"/>
      <c r="D22" s="1539"/>
      <c r="E22" s="1539"/>
      <c r="F22" s="1539"/>
      <c r="G22" s="1539"/>
      <c r="H22" s="1539"/>
      <c r="I22" s="1539"/>
    </row>
    <row r="27" spans="1:14">
      <c r="B27" s="271"/>
      <c r="C27" s="1540"/>
      <c r="D27" s="1540"/>
      <c r="E27" s="1540"/>
      <c r="F27" s="1554"/>
      <c r="G27" s="1554"/>
      <c r="H27" s="1540"/>
      <c r="I27" s="1540"/>
    </row>
    <row r="28" spans="1:14">
      <c r="D28" s="270" t="s">
        <v>162</v>
      </c>
      <c r="F28" s="1509"/>
      <c r="G28" s="1509"/>
      <c r="H28" s="1509"/>
      <c r="I28" s="1509"/>
    </row>
  </sheetData>
  <mergeCells count="28">
    <mergeCell ref="F28:I28"/>
    <mergeCell ref="C27:E27"/>
    <mergeCell ref="H11:H12"/>
    <mergeCell ref="I11:I12"/>
    <mergeCell ref="A19:I19"/>
    <mergeCell ref="A18:B18"/>
    <mergeCell ref="C11:C12"/>
    <mergeCell ref="D11:D12"/>
    <mergeCell ref="E11:E12"/>
    <mergeCell ref="F11:F12"/>
    <mergeCell ref="G11:G12"/>
    <mergeCell ref="F20:I20"/>
    <mergeCell ref="F21:G21"/>
    <mergeCell ref="F27:G27"/>
    <mergeCell ref="H21:I21"/>
    <mergeCell ref="H27:I27"/>
    <mergeCell ref="A22:I22"/>
    <mergeCell ref="C21:E21"/>
    <mergeCell ref="A2:I2"/>
    <mergeCell ref="A3:I3"/>
    <mergeCell ref="A4:I4"/>
    <mergeCell ref="A6:E6"/>
    <mergeCell ref="A7:E7"/>
    <mergeCell ref="A9:I9"/>
    <mergeCell ref="A11:A12"/>
    <mergeCell ref="B11:B12"/>
    <mergeCell ref="B13:C13"/>
    <mergeCell ref="B16:C16"/>
  </mergeCells>
  <printOptions horizontalCentered="1"/>
  <pageMargins left="0.35433070866141736" right="0.15748031496062992" top="0.23622047244094491" bottom="0.19685039370078741" header="0.15748031496062992" footer="0.19685039370078741"/>
  <pageSetup paperSize="9" scale="97" fitToHeight="0" orientation="landscape" r:id="rId1"/>
  <headerFooter>
    <oddFooter>&amp;R&amp;P</oddFooter>
  </headerFooter>
  <colBreaks count="1" manualBreakCount="1">
    <brk id="9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rgb="FF92D050"/>
  </sheetPr>
  <dimension ref="A1:AB212"/>
  <sheetViews>
    <sheetView view="pageBreakPreview" topLeftCell="A165" zoomScale="85" zoomScaleNormal="85" zoomScaleSheetLayoutView="85" workbookViewId="0">
      <selection activeCell="I181" sqref="I181"/>
    </sheetView>
  </sheetViews>
  <sheetFormatPr defaultColWidth="9.140625" defaultRowHeight="15"/>
  <cols>
    <col min="1" max="1" width="4.28515625" style="1020" customWidth="1"/>
    <col min="2" max="2" width="9.85546875" style="98" customWidth="1"/>
    <col min="3" max="3" width="6.5703125" style="144" hidden="1" customWidth="1"/>
    <col min="4" max="4" width="20.140625" style="2" customWidth="1"/>
    <col min="5" max="5" width="13.28515625" style="2" customWidth="1"/>
    <col min="6" max="6" width="14.140625" style="54" customWidth="1"/>
    <col min="7" max="7" width="17.140625" style="2" customWidth="1"/>
    <col min="8" max="8" width="13.5703125" style="2" customWidth="1"/>
    <col min="9" max="9" width="17.85546875" style="2" customWidth="1"/>
    <col min="10" max="10" width="14.28515625" style="2" customWidth="1"/>
    <col min="11" max="11" width="18" style="2" customWidth="1"/>
    <col min="12" max="12" width="9.140625" style="2" hidden="1" customWidth="1"/>
    <col min="13" max="13" width="16.5703125" style="2" customWidth="1"/>
    <col min="14" max="14" width="15" style="13" customWidth="1"/>
    <col min="15" max="15" width="22.7109375" style="2" hidden="1" customWidth="1"/>
    <col min="16" max="16" width="16.5703125" style="2" hidden="1" customWidth="1"/>
    <col min="17" max="18" width="0" style="2" hidden="1" customWidth="1"/>
    <col min="19" max="16384" width="9.140625" style="2"/>
  </cols>
  <sheetData>
    <row r="1" spans="1:18" ht="22.5">
      <c r="A1" s="1555" t="s">
        <v>56</v>
      </c>
      <c r="B1" s="1555"/>
      <c r="C1" s="1555"/>
      <c r="D1" s="1555"/>
      <c r="E1" s="1555"/>
      <c r="F1" s="1555"/>
      <c r="G1" s="1555"/>
      <c r="H1" s="1555"/>
      <c r="I1" s="1555"/>
      <c r="J1" s="1555"/>
      <c r="K1" s="1555"/>
      <c r="L1" s="1555"/>
      <c r="M1" s="1555"/>
      <c r="N1" s="1555"/>
      <c r="O1" s="944"/>
      <c r="P1" s="944"/>
      <c r="Q1" s="944"/>
      <c r="R1" s="944"/>
    </row>
    <row r="2" spans="1:18" ht="22.5">
      <c r="A2" s="1555" t="s">
        <v>42</v>
      </c>
      <c r="B2" s="1555"/>
      <c r="C2" s="1555"/>
      <c r="D2" s="1555"/>
      <c r="E2" s="1555"/>
      <c r="F2" s="1555"/>
      <c r="G2" s="1555"/>
      <c r="H2" s="1555"/>
      <c r="I2" s="1555"/>
      <c r="J2" s="1555"/>
      <c r="K2" s="1555"/>
      <c r="L2" s="1555"/>
      <c r="M2" s="1555"/>
      <c r="N2" s="1555"/>
      <c r="O2" s="944"/>
      <c r="P2" s="944"/>
      <c r="Q2" s="944"/>
      <c r="R2" s="944"/>
    </row>
    <row r="3" spans="1:18" ht="22.5">
      <c r="A3" s="1558" t="s">
        <v>294</v>
      </c>
      <c r="B3" s="1558"/>
      <c r="C3" s="1558"/>
      <c r="D3" s="1558"/>
      <c r="E3" s="1558"/>
      <c r="F3" s="1558"/>
      <c r="G3" s="1558"/>
      <c r="H3" s="1558"/>
      <c r="I3" s="1558"/>
      <c r="J3" s="1558"/>
      <c r="K3" s="1558"/>
      <c r="L3" s="1558"/>
      <c r="M3" s="1558"/>
      <c r="N3" s="1558"/>
      <c r="O3" s="944"/>
      <c r="P3" s="944"/>
      <c r="Q3" s="944"/>
      <c r="R3" s="944"/>
    </row>
    <row r="5" spans="1:18" s="178" customFormat="1" ht="16.5">
      <c r="A5" s="1557" t="s">
        <v>0</v>
      </c>
      <c r="B5" s="1557"/>
      <c r="C5" s="1557"/>
      <c r="D5" s="1557"/>
      <c r="E5" s="1557"/>
      <c r="F5" s="1557"/>
      <c r="G5" s="1557"/>
      <c r="H5" s="1557"/>
      <c r="I5" s="1557"/>
      <c r="J5" s="140"/>
      <c r="K5" s="140"/>
      <c r="L5" s="140"/>
      <c r="M5" s="140"/>
      <c r="N5" s="140"/>
    </row>
    <row r="6" spans="1:18" s="178" customFormat="1" ht="16.5">
      <c r="A6" s="1443" t="s">
        <v>643</v>
      </c>
      <c r="B6" s="1443"/>
      <c r="C6" s="1443"/>
      <c r="D6" s="1443"/>
      <c r="E6" s="1443"/>
      <c r="F6" s="1443"/>
      <c r="G6" s="1443"/>
      <c r="H6" s="1443"/>
      <c r="I6" s="1443"/>
      <c r="J6" s="140"/>
      <c r="K6" s="140"/>
      <c r="L6" s="140"/>
      <c r="M6" s="140"/>
      <c r="N6" s="140"/>
    </row>
    <row r="7" spans="1:18" s="178" customFormat="1" ht="16.5">
      <c r="F7" s="186"/>
      <c r="N7" s="13"/>
    </row>
    <row r="8" spans="1:18" s="178" customFormat="1" ht="20.25">
      <c r="A8" s="1559" t="s">
        <v>665</v>
      </c>
      <c r="B8" s="1559"/>
      <c r="C8" s="1559"/>
      <c r="D8" s="1559"/>
      <c r="E8" s="1559"/>
      <c r="F8" s="1559"/>
      <c r="G8" s="1559"/>
      <c r="H8" s="1559"/>
      <c r="I8" s="1559"/>
      <c r="J8" s="1559"/>
      <c r="K8" s="1559"/>
      <c r="L8" s="1559"/>
      <c r="M8" s="1559"/>
      <c r="N8" s="1559"/>
    </row>
    <row r="9" spans="1:18" ht="18.75">
      <c r="A9" s="1556"/>
      <c r="B9" s="1556"/>
      <c r="C9" s="1556"/>
      <c r="D9" s="1556"/>
      <c r="E9" s="1556"/>
      <c r="F9" s="1556"/>
      <c r="G9" s="1556"/>
      <c r="H9" s="1556"/>
      <c r="I9" s="1556"/>
      <c r="J9" s="1556"/>
      <c r="K9" s="1556"/>
      <c r="L9" s="1556"/>
      <c r="M9" s="1556"/>
      <c r="N9" s="1556"/>
    </row>
    <row r="10" spans="1:18">
      <c r="A10" s="1022"/>
      <c r="B10" s="143"/>
      <c r="D10" s="13"/>
      <c r="E10" s="13"/>
      <c r="F10" s="145"/>
      <c r="G10" s="13"/>
      <c r="H10" s="13"/>
      <c r="I10" s="13"/>
      <c r="J10" s="13"/>
      <c r="K10" s="13"/>
      <c r="L10" s="13"/>
      <c r="M10" s="13"/>
    </row>
    <row r="11" spans="1:18" ht="29.25" customHeight="1">
      <c r="A11" s="1546" t="s">
        <v>6</v>
      </c>
      <c r="B11" s="1551" t="s">
        <v>97</v>
      </c>
      <c r="C11" s="1546" t="s">
        <v>7</v>
      </c>
      <c r="D11" s="1546"/>
      <c r="E11" s="1546" t="s">
        <v>10</v>
      </c>
      <c r="F11" s="1546" t="s">
        <v>373</v>
      </c>
      <c r="G11" s="1546"/>
      <c r="H11" s="1546"/>
      <c r="I11" s="1551" t="s">
        <v>386</v>
      </c>
      <c r="J11" s="1551" t="s">
        <v>13</v>
      </c>
      <c r="K11" s="1551" t="s">
        <v>367</v>
      </c>
      <c r="L11" s="1551" t="s">
        <v>14</v>
      </c>
      <c r="M11" s="1551" t="s">
        <v>15</v>
      </c>
      <c r="N11" s="1551" t="s">
        <v>70</v>
      </c>
    </row>
    <row r="12" spans="1:18" ht="50.25" customHeight="1">
      <c r="A12" s="1546"/>
      <c r="B12" s="1551"/>
      <c r="C12" s="1018" t="s">
        <v>8</v>
      </c>
      <c r="D12" s="1018" t="s">
        <v>9</v>
      </c>
      <c r="E12" s="1546"/>
      <c r="F12" s="945" t="s">
        <v>24</v>
      </c>
      <c r="G12" s="1019" t="s">
        <v>25</v>
      </c>
      <c r="H12" s="1019" t="s">
        <v>43</v>
      </c>
      <c r="I12" s="1546"/>
      <c r="J12" s="1551"/>
      <c r="K12" s="1551"/>
      <c r="L12" s="1546"/>
      <c r="M12" s="1546"/>
      <c r="N12" s="1546"/>
    </row>
    <row r="13" spans="1:18" ht="24.75" customHeight="1">
      <c r="A13" s="1546" t="s">
        <v>630</v>
      </c>
      <c r="B13" s="1546"/>
      <c r="C13" s="1546"/>
      <c r="D13" s="1546"/>
      <c r="E13" s="282"/>
      <c r="F13" s="946">
        <f t="shared" ref="F13:M13" si="0">SUM(F14:F94)</f>
        <v>0</v>
      </c>
      <c r="G13" s="946">
        <f t="shared" si="0"/>
        <v>199200470</v>
      </c>
      <c r="H13" s="946">
        <f t="shared" si="0"/>
        <v>104669403</v>
      </c>
      <c r="I13" s="946">
        <f t="shared" si="0"/>
        <v>303869873</v>
      </c>
      <c r="J13" s="946">
        <f t="shared" si="0"/>
        <v>0</v>
      </c>
      <c r="K13" s="946">
        <f t="shared" si="0"/>
        <v>303869873</v>
      </c>
      <c r="L13" s="946">
        <f t="shared" si="0"/>
        <v>0</v>
      </c>
      <c r="M13" s="946">
        <f t="shared" si="0"/>
        <v>303869873</v>
      </c>
      <c r="N13" s="1018"/>
    </row>
    <row r="14" spans="1:18" s="148" customFormat="1" ht="21.75" customHeight="1">
      <c r="A14" s="267">
        <v>1</v>
      </c>
      <c r="B14" s="947" t="str">
        <f>'Chấm công KT'!D13</f>
        <v>03456</v>
      </c>
      <c r="C14" s="948" t="s">
        <v>156</v>
      </c>
      <c r="D14" s="786" t="str">
        <f>'CNKT '!C16</f>
        <v>T. Vôn</v>
      </c>
      <c r="E14" s="786" t="s">
        <v>30</v>
      </c>
      <c r="F14" s="781">
        <f>VLOOKUP(D14,'CNKT '!$C$16:$F$93,4,0)</f>
        <v>0</v>
      </c>
      <c r="G14" s="781">
        <f>VLOOKUP(D14,'CNKT '!$C$16:$L$93,10,0)</f>
        <v>1322115</v>
      </c>
      <c r="H14" s="781">
        <f>VLOOKUP(D14,'CNKT '!$C$16:$W$93,21,0)</f>
        <v>1414072</v>
      </c>
      <c r="I14" s="781">
        <f>SUM(F14:H14)</f>
        <v>2736187</v>
      </c>
      <c r="J14" s="781"/>
      <c r="K14" s="781">
        <f>VLOOKUP(D14,'CNKT '!$C$16:$Z$93,24,0)</f>
        <v>2736187</v>
      </c>
      <c r="L14" s="781"/>
      <c r="M14" s="783">
        <f>K14-L14</f>
        <v>2736187</v>
      </c>
      <c r="N14" s="324"/>
      <c r="O14" s="147"/>
    </row>
    <row r="15" spans="1:18" s="148" customFormat="1" ht="21.75" customHeight="1">
      <c r="A15" s="267">
        <v>2</v>
      </c>
      <c r="B15" s="947"/>
      <c r="C15" s="948"/>
      <c r="D15" s="786" t="str">
        <f>'CNKT '!C17</f>
        <v>T. Feng</v>
      </c>
      <c r="E15" s="786" t="s">
        <v>30</v>
      </c>
      <c r="F15" s="781">
        <f>VLOOKUP(D15,'CNKT '!$C$16:$F$93,4,0)</f>
        <v>0</v>
      </c>
      <c r="G15" s="781">
        <f>VLOOKUP(D15,'CNKT '!$C$16:$L$93,10,0)</f>
        <v>1175035</v>
      </c>
      <c r="H15" s="781">
        <f>VLOOKUP(D15,'CNKT '!$C$16:$W$93,21,0)</f>
        <v>1414072</v>
      </c>
      <c r="I15" s="781">
        <f t="shared" ref="I15:I78" si="1">SUM(F15:H15)</f>
        <v>2589107</v>
      </c>
      <c r="J15" s="781"/>
      <c r="K15" s="781">
        <f>VLOOKUP(D15,'CNKT '!$C$16:$Z$93,24,0)</f>
        <v>2589107</v>
      </c>
      <c r="L15" s="781"/>
      <c r="M15" s="783">
        <f t="shared" ref="M15:M78" si="2">K15-L15</f>
        <v>2589107</v>
      </c>
      <c r="N15" s="324"/>
      <c r="O15" s="147"/>
    </row>
    <row r="16" spans="1:18" s="148" customFormat="1" ht="21.75" customHeight="1">
      <c r="A16" s="267">
        <v>3</v>
      </c>
      <c r="B16" s="947" t="str">
        <f>'Chấm công KT'!D15</f>
        <v>02725</v>
      </c>
      <c r="C16" s="948"/>
      <c r="D16" s="786" t="str">
        <f>'CNKT '!C18</f>
        <v>T. Sa Văn</v>
      </c>
      <c r="E16" s="786" t="s">
        <v>30</v>
      </c>
      <c r="F16" s="781">
        <f>VLOOKUP(D16,'CNKT '!$C$16:$F$93,4,0)</f>
        <v>0</v>
      </c>
      <c r="G16" s="781">
        <f>VLOOKUP(D16,'CNKT '!$C$16:$L$93,10,0)</f>
        <v>3613141</v>
      </c>
      <c r="H16" s="781">
        <f>VLOOKUP(D16,'CNKT '!$C$16:$W$93,21,0)</f>
        <v>1506488</v>
      </c>
      <c r="I16" s="781">
        <f t="shared" si="1"/>
        <v>5119629</v>
      </c>
      <c r="J16" s="781"/>
      <c r="K16" s="781">
        <f>VLOOKUP(D16,'CNKT '!$C$16:$Z$93,24,0)</f>
        <v>5119629</v>
      </c>
      <c r="L16" s="781"/>
      <c r="M16" s="783">
        <f t="shared" si="2"/>
        <v>5119629</v>
      </c>
      <c r="N16" s="324"/>
      <c r="O16" s="147"/>
    </row>
    <row r="17" spans="1:15" s="148" customFormat="1" ht="21.75" customHeight="1">
      <c r="A17" s="267">
        <v>4</v>
      </c>
      <c r="B17" s="947"/>
      <c r="C17" s="948"/>
      <c r="D17" s="786" t="str">
        <f>'CNKT '!C19</f>
        <v>Lăm Ma Thu</v>
      </c>
      <c r="E17" s="786" t="s">
        <v>30</v>
      </c>
      <c r="F17" s="781">
        <f>VLOOKUP(D17,'CNKT '!$C$16:$F$93,4,0)</f>
        <v>0</v>
      </c>
      <c r="G17" s="781">
        <f>VLOOKUP(D17,'CNKT '!$C$16:$L$93,10,0)</f>
        <v>2540518</v>
      </c>
      <c r="H17" s="781">
        <f>VLOOKUP(D17,'CNKT '!$C$16:$W$93,21,0)</f>
        <v>1475683</v>
      </c>
      <c r="I17" s="781">
        <f t="shared" si="1"/>
        <v>4016201</v>
      </c>
      <c r="J17" s="781"/>
      <c r="K17" s="781">
        <f>VLOOKUP(D17,'CNKT '!$C$16:$Z$93,24,0)</f>
        <v>4016201</v>
      </c>
      <c r="L17" s="781"/>
      <c r="M17" s="783">
        <f t="shared" si="2"/>
        <v>4016201</v>
      </c>
      <c r="N17" s="324"/>
      <c r="O17" s="147"/>
    </row>
    <row r="18" spans="1:15" s="148" customFormat="1" ht="21.75" customHeight="1">
      <c r="A18" s="267">
        <v>5</v>
      </c>
      <c r="B18" s="947" t="str">
        <f>'Chấm công KT'!D17</f>
        <v>03459</v>
      </c>
      <c r="C18" s="948"/>
      <c r="D18" s="786" t="str">
        <f>'CNKT '!C20</f>
        <v>N. Vạt</v>
      </c>
      <c r="E18" s="786" t="s">
        <v>30</v>
      </c>
      <c r="F18" s="781">
        <f>VLOOKUP(D18,'CNKT '!$C$16:$F$93,4,0)</f>
        <v>0</v>
      </c>
      <c r="G18" s="781">
        <f>VLOOKUP(D18,'CNKT '!$C$16:$L$93,10,0)</f>
        <v>1545152</v>
      </c>
      <c r="H18" s="781">
        <f>VLOOKUP(D18,'CNKT '!$C$16:$W$93,21,0)</f>
        <v>770269</v>
      </c>
      <c r="I18" s="781">
        <f t="shared" si="1"/>
        <v>2315421</v>
      </c>
      <c r="J18" s="781"/>
      <c r="K18" s="781">
        <f>VLOOKUP(D18,'CNKT '!$C$16:$Z$93,24,0)</f>
        <v>2315421</v>
      </c>
      <c r="L18" s="781"/>
      <c r="M18" s="783">
        <f t="shared" si="2"/>
        <v>2315421</v>
      </c>
      <c r="N18" s="324"/>
      <c r="O18" s="147"/>
    </row>
    <row r="19" spans="1:15" s="148" customFormat="1" ht="21.75" customHeight="1">
      <c r="A19" s="267">
        <v>6</v>
      </c>
      <c r="B19" s="947"/>
      <c r="C19" s="948"/>
      <c r="D19" s="786" t="str">
        <f>'CNKT '!C21</f>
        <v>N. Kay Son</v>
      </c>
      <c r="E19" s="786" t="s">
        <v>30</v>
      </c>
      <c r="F19" s="781">
        <f>VLOOKUP(D19,'CNKT '!$C$16:$F$93,4,0)</f>
        <v>0</v>
      </c>
      <c r="G19" s="781">
        <f>VLOOKUP(D19,'CNKT '!$C$16:$L$93,10,0)</f>
        <v>1870725</v>
      </c>
      <c r="H19" s="781">
        <f>VLOOKUP(D19,'CNKT '!$C$16:$W$93,21,0)</f>
        <v>1331880</v>
      </c>
      <c r="I19" s="781">
        <f t="shared" si="1"/>
        <v>3202605</v>
      </c>
      <c r="J19" s="781"/>
      <c r="K19" s="781">
        <f>VLOOKUP(D19,'CNKT '!$C$16:$Z$93,24,0)</f>
        <v>3202605</v>
      </c>
      <c r="L19" s="781"/>
      <c r="M19" s="783">
        <f t="shared" si="2"/>
        <v>3202605</v>
      </c>
      <c r="N19" s="324"/>
      <c r="O19" s="147"/>
    </row>
    <row r="20" spans="1:15" s="148" customFormat="1" ht="21.75" customHeight="1">
      <c r="A20" s="267">
        <v>7</v>
      </c>
      <c r="B20" s="947"/>
      <c r="C20" s="948"/>
      <c r="D20" s="786" t="str">
        <f>'CNKT '!C22</f>
        <v>T. Đèng 1</v>
      </c>
      <c r="E20" s="786" t="s">
        <v>30</v>
      </c>
      <c r="F20" s="781">
        <f>VLOOKUP(D20,'CNKT '!$C$16:$F$93,4,0)</f>
        <v>0</v>
      </c>
      <c r="G20" s="781">
        <f>VLOOKUP(D20,'CNKT '!$C$16:$L$93,10,0)</f>
        <v>2722944</v>
      </c>
      <c r="H20" s="781">
        <f>VLOOKUP(D20,'CNKT '!$C$16:$W$93,21,0)</f>
        <v>1537293</v>
      </c>
      <c r="I20" s="781">
        <f t="shared" si="1"/>
        <v>4260237</v>
      </c>
      <c r="J20" s="781"/>
      <c r="K20" s="781">
        <f>VLOOKUP(D20,'CNKT '!$C$16:$Z$93,24,0)</f>
        <v>4260237</v>
      </c>
      <c r="L20" s="781"/>
      <c r="M20" s="783">
        <f t="shared" si="2"/>
        <v>4260237</v>
      </c>
      <c r="N20" s="324"/>
      <c r="O20" s="147"/>
    </row>
    <row r="21" spans="1:15" s="148" customFormat="1" ht="21.75" customHeight="1">
      <c r="A21" s="267">
        <v>8</v>
      </c>
      <c r="B21" s="947" t="str">
        <f>'Chấm công KT'!D20</f>
        <v>03462</v>
      </c>
      <c r="C21" s="948"/>
      <c r="D21" s="786" t="str">
        <f>'CNKT '!C23</f>
        <v>T . Bua Ngân</v>
      </c>
      <c r="E21" s="786" t="s">
        <v>30</v>
      </c>
      <c r="F21" s="781">
        <f>VLOOKUP(D21,'CNKT '!$C$16:$F$93,4,0)</f>
        <v>0</v>
      </c>
      <c r="G21" s="781">
        <f>VLOOKUP(D21,'CNKT '!$C$16:$L$93,10,0)</f>
        <v>3163226</v>
      </c>
      <c r="H21" s="781">
        <f>VLOOKUP(D21,'CNKT '!$C$16:$W$93,21,0)</f>
        <v>1455101</v>
      </c>
      <c r="I21" s="781">
        <f t="shared" si="1"/>
        <v>4618327</v>
      </c>
      <c r="J21" s="781"/>
      <c r="K21" s="781">
        <f>VLOOKUP(D21,'CNKT '!$C$16:$Z$93,24,0)</f>
        <v>4618327</v>
      </c>
      <c r="L21" s="781"/>
      <c r="M21" s="783">
        <f t="shared" si="2"/>
        <v>4618327</v>
      </c>
      <c r="N21" s="324"/>
      <c r="O21" s="147"/>
    </row>
    <row r="22" spans="1:15" s="148" customFormat="1" ht="21.75" customHeight="1">
      <c r="A22" s="267">
        <v>9</v>
      </c>
      <c r="B22" s="947" t="str">
        <f>'Chấm công KT'!D21</f>
        <v>03463</v>
      </c>
      <c r="C22" s="948"/>
      <c r="D22" s="786" t="str">
        <f>'CNKT '!C24</f>
        <v>T Căng</v>
      </c>
      <c r="E22" s="786" t="s">
        <v>30</v>
      </c>
      <c r="F22" s="781">
        <f>VLOOKUP(D22,'CNKT '!$C$16:$F$93,4,0)</f>
        <v>0</v>
      </c>
      <c r="G22" s="781">
        <f>VLOOKUP(D22,'CNKT '!$C$16:$L$93,10,0)</f>
        <v>3810777</v>
      </c>
      <c r="H22" s="781">
        <f>VLOOKUP(D22,'CNKT '!$C$16:$W$93,21,0)</f>
        <v>1485907</v>
      </c>
      <c r="I22" s="781">
        <f t="shared" si="1"/>
        <v>5296684</v>
      </c>
      <c r="J22" s="781"/>
      <c r="K22" s="781">
        <f>VLOOKUP(D22,'CNKT '!$C$16:$Z$93,24,0)</f>
        <v>5296684</v>
      </c>
      <c r="L22" s="781"/>
      <c r="M22" s="783">
        <f t="shared" si="2"/>
        <v>5296684</v>
      </c>
      <c r="N22" s="324"/>
      <c r="O22" s="147"/>
    </row>
    <row r="23" spans="1:15" s="148" customFormat="1" ht="21.75" customHeight="1">
      <c r="A23" s="267">
        <v>10</v>
      </c>
      <c r="B23" s="947" t="str">
        <f>'Chấm công KT'!D22</f>
        <v>03464</v>
      </c>
      <c r="C23" s="948"/>
      <c r="D23" s="786" t="str">
        <f>'CNKT '!C25</f>
        <v>N. Phôn 1</v>
      </c>
      <c r="E23" s="786" t="s">
        <v>30</v>
      </c>
      <c r="F23" s="781">
        <f>VLOOKUP(D23,'CNKT '!$C$16:$F$93,4,0)</f>
        <v>0</v>
      </c>
      <c r="G23" s="781">
        <f>VLOOKUP(D23,'CNKT '!$C$16:$L$93,10,0)</f>
        <v>3971983</v>
      </c>
      <c r="H23" s="781">
        <f>VLOOKUP(D23,'CNKT '!$C$16:$W$93,21,0)</f>
        <v>1485907</v>
      </c>
      <c r="I23" s="781">
        <f t="shared" si="1"/>
        <v>5457890</v>
      </c>
      <c r="J23" s="781"/>
      <c r="K23" s="781">
        <f>VLOOKUP(D23,'CNKT '!$C$16:$Z$93,24,0)</f>
        <v>5457890</v>
      </c>
      <c r="L23" s="781"/>
      <c r="M23" s="783">
        <f t="shared" si="2"/>
        <v>5457890</v>
      </c>
      <c r="N23" s="324"/>
      <c r="O23" s="147"/>
    </row>
    <row r="24" spans="1:15" s="148" customFormat="1" ht="21.75" customHeight="1">
      <c r="A24" s="267">
        <v>11</v>
      </c>
      <c r="B24" s="947" t="str">
        <f>'Chấm công KT'!D23</f>
        <v>03465</v>
      </c>
      <c r="C24" s="948"/>
      <c r="D24" s="786" t="str">
        <f>'CNKT '!C26</f>
        <v>T. In Păn</v>
      </c>
      <c r="E24" s="786" t="s">
        <v>30</v>
      </c>
      <c r="F24" s="781">
        <f>VLOOKUP(D24,'CNKT '!$C$16:$F$93,4,0)</f>
        <v>0</v>
      </c>
      <c r="G24" s="781">
        <f>VLOOKUP(D24,'CNKT '!$C$16:$L$93,10,0)</f>
        <v>1997329</v>
      </c>
      <c r="H24" s="781">
        <f>VLOOKUP(D24,'CNKT '!$C$16:$W$93,21,0)</f>
        <v>1414072</v>
      </c>
      <c r="I24" s="781">
        <f t="shared" si="1"/>
        <v>3411401</v>
      </c>
      <c r="J24" s="781"/>
      <c r="K24" s="781">
        <f>VLOOKUP(D24,'CNKT '!$C$16:$Z$93,24,0)</f>
        <v>3411401</v>
      </c>
      <c r="L24" s="781"/>
      <c r="M24" s="783">
        <f t="shared" si="2"/>
        <v>3411401</v>
      </c>
      <c r="N24" s="324"/>
      <c r="O24" s="147"/>
    </row>
    <row r="25" spans="1:15" s="148" customFormat="1" ht="21.75" customHeight="1">
      <c r="A25" s="267">
        <v>12</v>
      </c>
      <c r="B25" s="947" t="str">
        <f>'Chấm công KT'!D24</f>
        <v>03466</v>
      </c>
      <c r="C25" s="948"/>
      <c r="D25" s="786" t="str">
        <f>'CNKT '!C27</f>
        <v>N. Keo</v>
      </c>
      <c r="E25" s="786" t="s">
        <v>30</v>
      </c>
      <c r="F25" s="781">
        <f>VLOOKUP(D25,'CNKT '!$C$16:$F$93,4,0)</f>
        <v>0</v>
      </c>
      <c r="G25" s="781">
        <f>VLOOKUP(D25,'CNKT '!$C$16:$L$93,10,0)</f>
        <v>3638295</v>
      </c>
      <c r="H25" s="781">
        <f>VLOOKUP(D25,'CNKT '!$C$16:$W$93,21,0)</f>
        <v>1506488</v>
      </c>
      <c r="I25" s="781">
        <f t="shared" si="1"/>
        <v>5144783</v>
      </c>
      <c r="J25" s="781"/>
      <c r="K25" s="781">
        <f>VLOOKUP(D25,'CNKT '!$C$16:$Z$93,24,0)</f>
        <v>5144783</v>
      </c>
      <c r="L25" s="781"/>
      <c r="M25" s="783">
        <f t="shared" si="2"/>
        <v>5144783</v>
      </c>
      <c r="N25" s="324"/>
      <c r="O25" s="147"/>
    </row>
    <row r="26" spans="1:15" s="148" customFormat="1" ht="21.75" customHeight="1">
      <c r="A26" s="267">
        <v>13</v>
      </c>
      <c r="B26" s="947" t="str">
        <f>'Chấm công KT'!D25</f>
        <v>02727</v>
      </c>
      <c r="C26" s="948"/>
      <c r="D26" s="786" t="str">
        <f>'CNKT '!C28</f>
        <v>T. Thong Đon</v>
      </c>
      <c r="E26" s="786" t="s">
        <v>30</v>
      </c>
      <c r="F26" s="781">
        <f>VLOOKUP(D26,'CNKT '!$C$16:$F$93,4,0)</f>
        <v>0</v>
      </c>
      <c r="G26" s="781">
        <f>VLOOKUP(D26,'CNKT '!$C$16:$L$93,10,0)</f>
        <v>3278957</v>
      </c>
      <c r="H26" s="781">
        <f>VLOOKUP(D26,'CNKT '!$C$16:$W$93,21,0)</f>
        <v>1393490</v>
      </c>
      <c r="I26" s="781">
        <f t="shared" si="1"/>
        <v>4672447</v>
      </c>
      <c r="J26" s="781"/>
      <c r="K26" s="781">
        <f>VLOOKUP(D26,'CNKT '!$C$16:$Z$93,24,0)</f>
        <v>4672447</v>
      </c>
      <c r="L26" s="781"/>
      <c r="M26" s="783">
        <f t="shared" si="2"/>
        <v>4672447</v>
      </c>
      <c r="N26" s="324"/>
      <c r="O26" s="147"/>
    </row>
    <row r="27" spans="1:15" s="148" customFormat="1" ht="21.75" customHeight="1">
      <c r="A27" s="267">
        <v>14</v>
      </c>
      <c r="B27" s="947" t="str">
        <f>'Chấm công KT'!D26</f>
        <v>03467</v>
      </c>
      <c r="C27" s="948"/>
      <c r="D27" s="786" t="str">
        <f>'CNKT '!C29</f>
        <v>T. Hin</v>
      </c>
      <c r="E27" s="786" t="s">
        <v>30</v>
      </c>
      <c r="F27" s="781">
        <f>VLOOKUP(D27,'CNKT '!$C$16:$F$93,4,0)</f>
        <v>0</v>
      </c>
      <c r="G27" s="781">
        <f>VLOOKUP(D27,'CNKT '!$C$16:$L$93,10,0)</f>
        <v>2658697</v>
      </c>
      <c r="H27" s="781">
        <f>VLOOKUP(D27,'CNKT '!$C$16:$W$93,21,0)</f>
        <v>1537293</v>
      </c>
      <c r="I27" s="781">
        <f t="shared" si="1"/>
        <v>4195990</v>
      </c>
      <c r="J27" s="781"/>
      <c r="K27" s="781">
        <f>VLOOKUP(D27,'CNKT '!$C$16:$Z$93,24,0)</f>
        <v>4195990</v>
      </c>
      <c r="L27" s="781"/>
      <c r="M27" s="783">
        <f t="shared" si="2"/>
        <v>4195990</v>
      </c>
      <c r="N27" s="324"/>
      <c r="O27" s="147"/>
    </row>
    <row r="28" spans="1:15" s="148" customFormat="1" ht="21.75" customHeight="1">
      <c r="A28" s="267">
        <v>15</v>
      </c>
      <c r="B28" s="947"/>
      <c r="C28" s="948"/>
      <c r="D28" s="786" t="str">
        <f>'CNKT '!C30</f>
        <v>N. Ly Phon</v>
      </c>
      <c r="E28" s="786" t="s">
        <v>30</v>
      </c>
      <c r="F28" s="781">
        <f>VLOOKUP(D28,'CNKT '!$C$16:$F$93,4,0)</f>
        <v>0</v>
      </c>
      <c r="G28" s="781">
        <f>VLOOKUP(D28,'CNKT '!$C$16:$L$93,10,0)</f>
        <v>2951588</v>
      </c>
      <c r="H28" s="781">
        <f>VLOOKUP(D28,'CNKT '!$C$16:$W$93,21,0)</f>
        <v>1537293</v>
      </c>
      <c r="I28" s="781">
        <f t="shared" si="1"/>
        <v>4488881</v>
      </c>
      <c r="J28" s="781"/>
      <c r="K28" s="781">
        <f>VLOOKUP(D28,'CNKT '!$C$16:$Z$93,24,0)</f>
        <v>4488881</v>
      </c>
      <c r="L28" s="781"/>
      <c r="M28" s="783">
        <f t="shared" si="2"/>
        <v>4488881</v>
      </c>
      <c r="N28" s="324"/>
      <c r="O28" s="147"/>
    </row>
    <row r="29" spans="1:15" s="148" customFormat="1" ht="21.75" customHeight="1">
      <c r="A29" s="267">
        <v>16</v>
      </c>
      <c r="B29" s="947" t="str">
        <f>'Chấm công KT'!D28</f>
        <v>03469</v>
      </c>
      <c r="C29" s="948"/>
      <c r="D29" s="786" t="str">
        <f>'CNKT '!C31</f>
        <v>T. Xôm Va Nít</v>
      </c>
      <c r="E29" s="786" t="s">
        <v>30</v>
      </c>
      <c r="F29" s="781">
        <f>VLOOKUP(D29,'CNKT '!$C$16:$F$93,4,0)</f>
        <v>0</v>
      </c>
      <c r="G29" s="781">
        <f>VLOOKUP(D29,'CNKT '!$C$16:$L$93,10,0)</f>
        <v>3750898</v>
      </c>
      <c r="H29" s="781">
        <f>VLOOKUP(D29,'CNKT '!$C$16:$W$93,21,0)</f>
        <v>1506488</v>
      </c>
      <c r="I29" s="781">
        <f t="shared" si="1"/>
        <v>5257386</v>
      </c>
      <c r="J29" s="781"/>
      <c r="K29" s="781">
        <f>VLOOKUP(D29,'CNKT '!$C$16:$Z$93,24,0)</f>
        <v>5257386</v>
      </c>
      <c r="L29" s="781"/>
      <c r="M29" s="783">
        <f t="shared" si="2"/>
        <v>5257386</v>
      </c>
      <c r="N29" s="324"/>
      <c r="O29" s="147"/>
    </row>
    <row r="30" spans="1:15" s="148" customFormat="1" ht="21.75" customHeight="1">
      <c r="A30" s="267">
        <v>17</v>
      </c>
      <c r="B30" s="947" t="str">
        <f>'Chấm công KT'!D29</f>
        <v>03470</v>
      </c>
      <c r="C30" s="948"/>
      <c r="D30" s="786" t="str">
        <f>'CNKT '!C32</f>
        <v>T. Lọi</v>
      </c>
      <c r="E30" s="786" t="s">
        <v>30</v>
      </c>
      <c r="F30" s="781">
        <f>VLOOKUP(D30,'CNKT '!$C$16:$F$93,4,0)</f>
        <v>0</v>
      </c>
      <c r="G30" s="781">
        <f>VLOOKUP(D30,'CNKT '!$C$16:$L$93,10,0)</f>
        <v>1271715</v>
      </c>
      <c r="H30" s="781">
        <f>VLOOKUP(D30,'CNKT '!$C$16:$W$93,21,0)</f>
        <v>1270269</v>
      </c>
      <c r="I30" s="781">
        <f t="shared" si="1"/>
        <v>2541984</v>
      </c>
      <c r="J30" s="781"/>
      <c r="K30" s="781">
        <f>VLOOKUP(D30,'CNKT '!$C$16:$Z$93,24,0)</f>
        <v>2541984</v>
      </c>
      <c r="L30" s="781"/>
      <c r="M30" s="783">
        <f t="shared" si="2"/>
        <v>2541984</v>
      </c>
      <c r="N30" s="324"/>
      <c r="O30" s="147"/>
    </row>
    <row r="31" spans="1:15" s="148" customFormat="1" ht="21.75" customHeight="1">
      <c r="A31" s="267">
        <v>18</v>
      </c>
      <c r="B31" s="947" t="str">
        <f>'Chấm công KT'!D30</f>
        <v>03471</v>
      </c>
      <c r="C31" s="948"/>
      <c r="D31" s="786" t="str">
        <f>'CNKT '!C33</f>
        <v>T. Phô Thong</v>
      </c>
      <c r="E31" s="786" t="s">
        <v>30</v>
      </c>
      <c r="F31" s="781">
        <f>VLOOKUP(D31,'CNKT '!$C$16:$F$93,4,0)</f>
        <v>0</v>
      </c>
      <c r="G31" s="781">
        <f>VLOOKUP(D31,'CNKT '!$C$16:$L$93,10,0)</f>
        <v>3645079</v>
      </c>
      <c r="H31" s="781">
        <f>VLOOKUP(D31,'CNKT '!$C$16:$W$93,21,0)</f>
        <v>1537293</v>
      </c>
      <c r="I31" s="781">
        <f t="shared" si="1"/>
        <v>5182372</v>
      </c>
      <c r="J31" s="781"/>
      <c r="K31" s="781">
        <f>VLOOKUP(D31,'CNKT '!$C$16:$Z$93,24,0)</f>
        <v>5182372</v>
      </c>
      <c r="L31" s="781"/>
      <c r="M31" s="783">
        <f t="shared" si="2"/>
        <v>5182372</v>
      </c>
      <c r="N31" s="324"/>
      <c r="O31" s="147"/>
    </row>
    <row r="32" spans="1:15" s="148" customFormat="1" ht="21.75" customHeight="1">
      <c r="A32" s="267">
        <v>19</v>
      </c>
      <c r="B32" s="947" t="str">
        <f>'Chấm công KT'!D31</f>
        <v>03472</v>
      </c>
      <c r="C32" s="948"/>
      <c r="D32" s="786" t="str">
        <f>'CNKT '!C34</f>
        <v>N. Soi</v>
      </c>
      <c r="E32" s="786" t="s">
        <v>30</v>
      </c>
      <c r="F32" s="781">
        <f>VLOOKUP(D32,'CNKT '!$C$16:$F$93,4,0)</f>
        <v>0</v>
      </c>
      <c r="G32" s="781">
        <f>VLOOKUP(D32,'CNKT '!$C$16:$L$93,10,0)</f>
        <v>2382812</v>
      </c>
      <c r="H32" s="781">
        <f>VLOOKUP(D32,'CNKT '!$C$16:$W$93,21,0)</f>
        <v>1485907</v>
      </c>
      <c r="I32" s="781">
        <f t="shared" si="1"/>
        <v>3868719</v>
      </c>
      <c r="J32" s="781"/>
      <c r="K32" s="781">
        <f>VLOOKUP(D32,'CNKT '!$C$16:$Z$93,24,0)</f>
        <v>3868719</v>
      </c>
      <c r="L32" s="781"/>
      <c r="M32" s="783">
        <f t="shared" si="2"/>
        <v>3868719</v>
      </c>
      <c r="N32" s="324"/>
      <c r="O32" s="147"/>
    </row>
    <row r="33" spans="1:15" s="148" customFormat="1" ht="21.75" customHeight="1">
      <c r="A33" s="267">
        <v>20</v>
      </c>
      <c r="B33" s="947" t="str">
        <f>'Chấm công KT'!D32</f>
        <v>03473</v>
      </c>
      <c r="C33" s="948"/>
      <c r="D33" s="786" t="str">
        <f>'CNKT '!C35</f>
        <v>N. Me Kha La</v>
      </c>
      <c r="E33" s="786" t="s">
        <v>30</v>
      </c>
      <c r="F33" s="781">
        <f>VLOOKUP(D33,'CNKT '!$C$16:$F$93,4,0)</f>
        <v>0</v>
      </c>
      <c r="G33" s="781">
        <f>VLOOKUP(D33,'CNKT '!$C$16:$L$93,10,0)</f>
        <v>4130712</v>
      </c>
      <c r="H33" s="781">
        <f>VLOOKUP(D33,'CNKT '!$C$16:$W$93,21,0)</f>
        <v>1506488</v>
      </c>
      <c r="I33" s="781">
        <f t="shared" si="1"/>
        <v>5637200</v>
      </c>
      <c r="J33" s="781"/>
      <c r="K33" s="781">
        <f>VLOOKUP(D33,'CNKT '!$C$16:$Z$93,24,0)</f>
        <v>5637200</v>
      </c>
      <c r="L33" s="781"/>
      <c r="M33" s="783">
        <f t="shared" si="2"/>
        <v>5637200</v>
      </c>
      <c r="N33" s="324"/>
      <c r="O33" s="147"/>
    </row>
    <row r="34" spans="1:15" s="148" customFormat="1" ht="21.75" customHeight="1">
      <c r="A34" s="267">
        <v>21</v>
      </c>
      <c r="B34" s="947" t="str">
        <f>'Chấm công KT'!D33</f>
        <v>03474</v>
      </c>
      <c r="C34" s="948"/>
      <c r="D34" s="786" t="str">
        <f>'CNKT '!C36</f>
        <v>N. Mon Khăm</v>
      </c>
      <c r="E34" s="786" t="s">
        <v>30</v>
      </c>
      <c r="F34" s="781">
        <f>VLOOKUP(D34,'CNKT '!$C$16:$F$93,4,0)</f>
        <v>0</v>
      </c>
      <c r="G34" s="781">
        <f>VLOOKUP(D34,'CNKT '!$C$16:$L$93,10,0)</f>
        <v>1910407</v>
      </c>
      <c r="H34" s="781">
        <f>VLOOKUP(D34,'CNKT '!$C$16:$W$93,21,0)</f>
        <v>1444877</v>
      </c>
      <c r="I34" s="781">
        <f t="shared" si="1"/>
        <v>3355284</v>
      </c>
      <c r="J34" s="781"/>
      <c r="K34" s="781">
        <f>VLOOKUP(D34,'CNKT '!$C$16:$Z$93,24,0)</f>
        <v>3355284</v>
      </c>
      <c r="L34" s="781"/>
      <c r="M34" s="783">
        <f t="shared" si="2"/>
        <v>3355284</v>
      </c>
      <c r="N34" s="324"/>
      <c r="O34" s="147"/>
    </row>
    <row r="35" spans="1:15" s="148" customFormat="1" ht="21.75" customHeight="1">
      <c r="A35" s="267">
        <v>22</v>
      </c>
      <c r="B35" s="947"/>
      <c r="C35" s="948"/>
      <c r="D35" s="786" t="str">
        <f>'CNKT '!C37</f>
        <v>N. Bua Lay</v>
      </c>
      <c r="E35" s="786" t="s">
        <v>30</v>
      </c>
      <c r="F35" s="781">
        <f>VLOOKUP(D35,'CNKT '!$C$16:$F$93,4,0)</f>
        <v>0</v>
      </c>
      <c r="G35" s="781">
        <f>VLOOKUP(D35,'CNKT '!$C$16:$L$93,10,0)</f>
        <v>2344679</v>
      </c>
      <c r="H35" s="781">
        <f>VLOOKUP(D35,'CNKT '!$C$16:$W$93,21,0)</f>
        <v>914072</v>
      </c>
      <c r="I35" s="781">
        <f t="shared" si="1"/>
        <v>3258751</v>
      </c>
      <c r="J35" s="781"/>
      <c r="K35" s="781">
        <f>VLOOKUP(D35,'CNKT '!$C$16:$Z$93,24,0)</f>
        <v>3258751</v>
      </c>
      <c r="L35" s="781"/>
      <c r="M35" s="783">
        <f t="shared" si="2"/>
        <v>3258751</v>
      </c>
      <c r="N35" s="324"/>
      <c r="O35" s="147"/>
    </row>
    <row r="36" spans="1:15" s="148" customFormat="1" ht="21.75" customHeight="1">
      <c r="A36" s="267">
        <v>23</v>
      </c>
      <c r="B36" s="947" t="str">
        <f>'Chấm công KT'!D35</f>
        <v>03476</v>
      </c>
      <c r="C36" s="948"/>
      <c r="D36" s="786" t="str">
        <f>'CNKT '!C38</f>
        <v>T. Bin Ly.</v>
      </c>
      <c r="E36" s="786" t="s">
        <v>30</v>
      </c>
      <c r="F36" s="781">
        <f>VLOOKUP(D36,'CNKT '!$C$16:$F$93,4,0)</f>
        <v>0</v>
      </c>
      <c r="G36" s="781">
        <f>VLOOKUP(D36,'CNKT '!$C$16:$L$93,10,0)</f>
        <v>3391870</v>
      </c>
      <c r="H36" s="781">
        <f>VLOOKUP(D36,'CNKT '!$C$16:$W$93,21,0)</f>
        <v>1537293</v>
      </c>
      <c r="I36" s="781">
        <f t="shared" si="1"/>
        <v>4929163</v>
      </c>
      <c r="J36" s="781"/>
      <c r="K36" s="781">
        <f>VLOOKUP(D36,'CNKT '!$C$16:$Z$93,24,0)</f>
        <v>4929163</v>
      </c>
      <c r="L36" s="781"/>
      <c r="M36" s="783">
        <f t="shared" si="2"/>
        <v>4929163</v>
      </c>
      <c r="N36" s="324"/>
      <c r="O36" s="147"/>
    </row>
    <row r="37" spans="1:15" s="148" customFormat="1" ht="21.75" customHeight="1">
      <c r="A37" s="267">
        <v>24</v>
      </c>
      <c r="B37" s="947" t="str">
        <f>'Chấm công KT'!D36</f>
        <v>03477</v>
      </c>
      <c r="C37" s="948"/>
      <c r="D37" s="786" t="str">
        <f>'CNKT '!C39</f>
        <v>N. Phim Phon.</v>
      </c>
      <c r="E37" s="786" t="s">
        <v>30</v>
      </c>
      <c r="F37" s="781">
        <f>VLOOKUP(D37,'CNKT '!$C$16:$F$93,4,0)</f>
        <v>0</v>
      </c>
      <c r="G37" s="781">
        <f>VLOOKUP(D37,'CNKT '!$C$16:$L$93,10,0)</f>
        <v>1945814</v>
      </c>
      <c r="H37" s="781">
        <f>VLOOKUP(D37,'CNKT '!$C$16:$W$93,21,0)</f>
        <v>1362685</v>
      </c>
      <c r="I37" s="781">
        <f t="shared" si="1"/>
        <v>3308499</v>
      </c>
      <c r="J37" s="781"/>
      <c r="K37" s="781">
        <f>VLOOKUP(D37,'CNKT '!$C$16:$Z$93,24,0)</f>
        <v>3308499</v>
      </c>
      <c r="L37" s="781"/>
      <c r="M37" s="783">
        <f t="shared" si="2"/>
        <v>3308499</v>
      </c>
      <c r="N37" s="324"/>
      <c r="O37" s="147"/>
    </row>
    <row r="38" spans="1:15" s="148" customFormat="1" ht="21.75" customHeight="1">
      <c r="A38" s="267">
        <v>25</v>
      </c>
      <c r="B38" s="947" t="str">
        <f>'Chấm công KT'!D37</f>
        <v>03478</v>
      </c>
      <c r="C38" s="948"/>
      <c r="D38" s="786" t="str">
        <f>'CNKT '!C40</f>
        <v>N. Nong</v>
      </c>
      <c r="E38" s="786" t="s">
        <v>30</v>
      </c>
      <c r="F38" s="781">
        <f>VLOOKUP(D38,'CNKT '!$C$16:$F$93,4,0)</f>
        <v>0</v>
      </c>
      <c r="G38" s="781">
        <f>VLOOKUP(D38,'CNKT '!$C$16:$L$93,10,0)</f>
        <v>3397539</v>
      </c>
      <c r="H38" s="781">
        <f>VLOOKUP(D38,'CNKT '!$C$16:$W$93,21,0)</f>
        <v>1485907</v>
      </c>
      <c r="I38" s="781">
        <f t="shared" si="1"/>
        <v>4883446</v>
      </c>
      <c r="J38" s="781"/>
      <c r="K38" s="781">
        <f>VLOOKUP(D38,'CNKT '!$C$16:$Z$93,24,0)</f>
        <v>4883446</v>
      </c>
      <c r="L38" s="781"/>
      <c r="M38" s="783">
        <f t="shared" si="2"/>
        <v>4883446</v>
      </c>
      <c r="N38" s="324"/>
      <c r="O38" s="147"/>
    </row>
    <row r="39" spans="1:15" s="148" customFormat="1" ht="21.75" customHeight="1">
      <c r="A39" s="267">
        <v>26</v>
      </c>
      <c r="B39" s="947" t="str">
        <f>'Chấm công KT'!D38</f>
        <v>03479</v>
      </c>
      <c r="C39" s="948"/>
      <c r="D39" s="786" t="str">
        <f>'CNKT '!C41</f>
        <v>N. Tun 1</v>
      </c>
      <c r="E39" s="786" t="s">
        <v>30</v>
      </c>
      <c r="F39" s="781">
        <f>VLOOKUP(D39,'CNKT '!$C$16:$F$93,4,0)</f>
        <v>0</v>
      </c>
      <c r="G39" s="781">
        <f>VLOOKUP(D39,'CNKT '!$C$16:$L$93,10,0)</f>
        <v>2562326</v>
      </c>
      <c r="H39" s="781">
        <f>VLOOKUP(D39,'CNKT '!$C$16:$W$93,21,0)</f>
        <v>1506488</v>
      </c>
      <c r="I39" s="781">
        <f t="shared" si="1"/>
        <v>4068814</v>
      </c>
      <c r="J39" s="781"/>
      <c r="K39" s="781">
        <f>VLOOKUP(D39,'CNKT '!$C$16:$Z$93,24,0)</f>
        <v>4068814</v>
      </c>
      <c r="L39" s="781"/>
      <c r="M39" s="783">
        <f t="shared" si="2"/>
        <v>4068814</v>
      </c>
      <c r="N39" s="324"/>
      <c r="O39" s="147"/>
    </row>
    <row r="40" spans="1:15" s="148" customFormat="1" ht="21.75" customHeight="1">
      <c r="A40" s="267">
        <v>27</v>
      </c>
      <c r="B40" s="947" t="str">
        <f>'Chấm công KT'!D39</f>
        <v>03480</v>
      </c>
      <c r="C40" s="948"/>
      <c r="D40" s="786" t="str">
        <f>'CNKT '!C42</f>
        <v>T . Lốc</v>
      </c>
      <c r="E40" s="786" t="s">
        <v>30</v>
      </c>
      <c r="F40" s="781">
        <f>VLOOKUP(D40,'CNKT '!$C$16:$F$93,4,0)</f>
        <v>0</v>
      </c>
      <c r="G40" s="781">
        <f>VLOOKUP(D40,'CNKT '!$C$16:$L$93,10,0)</f>
        <v>2438107</v>
      </c>
      <c r="H40" s="781">
        <f>VLOOKUP(D40,'CNKT '!$C$16:$W$93,21,0)</f>
        <v>1506488</v>
      </c>
      <c r="I40" s="781">
        <f t="shared" si="1"/>
        <v>3944595</v>
      </c>
      <c r="J40" s="781"/>
      <c r="K40" s="781">
        <f>VLOOKUP(D40,'CNKT '!$C$16:$Z$93,24,0)</f>
        <v>3944595</v>
      </c>
      <c r="L40" s="781"/>
      <c r="M40" s="783">
        <f t="shared" si="2"/>
        <v>3944595</v>
      </c>
      <c r="N40" s="324"/>
      <c r="O40" s="147"/>
    </row>
    <row r="41" spans="1:15" s="148" customFormat="1" ht="21.75" customHeight="1">
      <c r="A41" s="267">
        <v>28</v>
      </c>
      <c r="B41" s="947" t="str">
        <f>'Chấm công KT'!D40</f>
        <v>03481</v>
      </c>
      <c r="C41" s="948"/>
      <c r="D41" s="786" t="str">
        <f>'CNKT '!C43</f>
        <v>N . Khâm (1)</v>
      </c>
      <c r="E41" s="786" t="s">
        <v>30</v>
      </c>
      <c r="F41" s="781">
        <f>VLOOKUP(D41,'CNKT '!$C$16:$F$93,4,0)</f>
        <v>0</v>
      </c>
      <c r="G41" s="781">
        <f>VLOOKUP(D41,'CNKT '!$C$16:$L$93,10,0)</f>
        <v>3348409</v>
      </c>
      <c r="H41" s="781">
        <f>VLOOKUP(D41,'CNKT '!$C$16:$W$93,21,0)</f>
        <v>1444877</v>
      </c>
      <c r="I41" s="781">
        <f t="shared" si="1"/>
        <v>4793286</v>
      </c>
      <c r="J41" s="781"/>
      <c r="K41" s="781">
        <f>VLOOKUP(D41,'CNKT '!$C$16:$Z$93,24,0)</f>
        <v>4793286</v>
      </c>
      <c r="L41" s="781"/>
      <c r="M41" s="783">
        <f t="shared" si="2"/>
        <v>4793286</v>
      </c>
      <c r="N41" s="324"/>
      <c r="O41" s="147"/>
    </row>
    <row r="42" spans="1:15" s="148" customFormat="1" ht="21.75" customHeight="1">
      <c r="A42" s="267">
        <v>29</v>
      </c>
      <c r="B42" s="947" t="str">
        <f>'Chấm công KT'!D41</f>
        <v>03482</v>
      </c>
      <c r="C42" s="948"/>
      <c r="D42" s="786" t="str">
        <f>'CNKT '!C44</f>
        <v>T . Phết</v>
      </c>
      <c r="E42" s="786" t="s">
        <v>30</v>
      </c>
      <c r="F42" s="781">
        <f>VLOOKUP(D42,'CNKT '!$C$16:$F$93,4,0)</f>
        <v>0</v>
      </c>
      <c r="G42" s="781">
        <f>VLOOKUP(D42,'CNKT '!$C$16:$L$93,10,0)</f>
        <v>3312506</v>
      </c>
      <c r="H42" s="781">
        <f>VLOOKUP(D42,'CNKT '!$C$16:$W$93,21,0)</f>
        <v>1444877</v>
      </c>
      <c r="I42" s="781">
        <f t="shared" si="1"/>
        <v>4757383</v>
      </c>
      <c r="J42" s="781"/>
      <c r="K42" s="781">
        <f>VLOOKUP(D42,'CNKT '!$C$16:$Z$93,24,0)</f>
        <v>4757383</v>
      </c>
      <c r="L42" s="781"/>
      <c r="M42" s="783">
        <f t="shared" si="2"/>
        <v>4757383</v>
      </c>
      <c r="N42" s="324"/>
      <c r="O42" s="147"/>
    </row>
    <row r="43" spans="1:15" s="148" customFormat="1" ht="21.75" customHeight="1">
      <c r="A43" s="267">
        <v>30</v>
      </c>
      <c r="B43" s="947" t="str">
        <f>'Chấm công KT'!D42</f>
        <v>03483</v>
      </c>
      <c r="C43" s="948"/>
      <c r="D43" s="786" t="str">
        <f>'CNKT '!C45</f>
        <v>T. Viêng Sa Văn</v>
      </c>
      <c r="E43" s="786" t="s">
        <v>30</v>
      </c>
      <c r="F43" s="781">
        <f>VLOOKUP(D43,'CNKT '!$C$16:$F$93,4,0)</f>
        <v>0</v>
      </c>
      <c r="G43" s="781">
        <f>VLOOKUP(D43,'CNKT '!$C$16:$L$93,10,0)</f>
        <v>3783021</v>
      </c>
      <c r="H43" s="781">
        <f>VLOOKUP(D43,'CNKT '!$C$16:$W$93,21,0)</f>
        <v>1475683</v>
      </c>
      <c r="I43" s="781">
        <f t="shared" si="1"/>
        <v>5258704</v>
      </c>
      <c r="J43" s="781"/>
      <c r="K43" s="781">
        <f>VLOOKUP(D43,'CNKT '!$C$16:$Z$93,24,0)</f>
        <v>5258704</v>
      </c>
      <c r="L43" s="781"/>
      <c r="M43" s="783">
        <f t="shared" si="2"/>
        <v>5258704</v>
      </c>
      <c r="N43" s="324"/>
      <c r="O43" s="147"/>
    </row>
    <row r="44" spans="1:15" s="148" customFormat="1" ht="21.75" customHeight="1">
      <c r="A44" s="267">
        <v>31</v>
      </c>
      <c r="B44" s="947" t="str">
        <f>'Chấm công KT'!D43</f>
        <v>03484</v>
      </c>
      <c r="C44" s="948"/>
      <c r="D44" s="786" t="str">
        <f>'CNKT '!C46</f>
        <v>T. Ca Te</v>
      </c>
      <c r="E44" s="786" t="s">
        <v>30</v>
      </c>
      <c r="F44" s="781">
        <f>VLOOKUP(D44,'CNKT '!$C$16:$F$93,4,0)</f>
        <v>0</v>
      </c>
      <c r="G44" s="781">
        <f>VLOOKUP(D44,'CNKT '!$C$16:$L$93,10,0)</f>
        <v>3352621</v>
      </c>
      <c r="H44" s="781">
        <f>VLOOKUP(D44,'CNKT '!$C$16:$W$93,21,0)</f>
        <v>1485907</v>
      </c>
      <c r="I44" s="781">
        <f t="shared" si="1"/>
        <v>4838528</v>
      </c>
      <c r="J44" s="781"/>
      <c r="K44" s="781">
        <f>VLOOKUP(D44,'CNKT '!$C$16:$Z$93,24,0)</f>
        <v>4838528</v>
      </c>
      <c r="L44" s="781"/>
      <c r="M44" s="783">
        <f t="shared" si="2"/>
        <v>4838528</v>
      </c>
      <c r="N44" s="324"/>
      <c r="O44" s="147"/>
    </row>
    <row r="45" spans="1:15" s="148" customFormat="1" ht="21.75" customHeight="1">
      <c r="A45" s="267">
        <v>32</v>
      </c>
      <c r="B45" s="947" t="str">
        <f>'Chấm công KT'!D44</f>
        <v>03485</v>
      </c>
      <c r="C45" s="948"/>
      <c r="D45" s="786" t="str">
        <f>'CNKT '!C47</f>
        <v>T. Lâm Phon</v>
      </c>
      <c r="E45" s="786" t="s">
        <v>30</v>
      </c>
      <c r="F45" s="781">
        <f>VLOOKUP(D45,'CNKT '!$C$16:$F$93,4,0)</f>
        <v>0</v>
      </c>
      <c r="G45" s="781">
        <f>VLOOKUP(D45,'CNKT '!$C$16:$L$93,10,0)</f>
        <v>2649249</v>
      </c>
      <c r="H45" s="781">
        <f>VLOOKUP(D45,'CNKT '!$C$16:$W$93,21,0)</f>
        <v>1506488</v>
      </c>
      <c r="I45" s="781">
        <f t="shared" si="1"/>
        <v>4155737</v>
      </c>
      <c r="J45" s="781"/>
      <c r="K45" s="781">
        <f>VLOOKUP(D45,'CNKT '!$C$16:$Z$93,24,0)</f>
        <v>4155737</v>
      </c>
      <c r="L45" s="781"/>
      <c r="M45" s="783">
        <f t="shared" si="2"/>
        <v>4155737</v>
      </c>
      <c r="N45" s="324"/>
      <c r="O45" s="147"/>
    </row>
    <row r="46" spans="1:15" s="148" customFormat="1" ht="21.75" customHeight="1">
      <c r="A46" s="267">
        <v>33</v>
      </c>
      <c r="B46" s="947" t="str">
        <f>'Chấm công KT'!D45</f>
        <v>02712</v>
      </c>
      <c r="C46" s="948"/>
      <c r="D46" s="786" t="str">
        <f>'CNKT '!C48</f>
        <v>T. Sô Đa</v>
      </c>
      <c r="E46" s="786" t="s">
        <v>30</v>
      </c>
      <c r="F46" s="781">
        <f>VLOOKUP(D46,'CNKT '!$C$16:$F$93,4,0)</f>
        <v>0</v>
      </c>
      <c r="G46" s="781">
        <f>VLOOKUP(D46,'CNKT '!$C$16:$L$93,10,0)</f>
        <v>3527923</v>
      </c>
      <c r="H46" s="781">
        <f>VLOOKUP(D46,'CNKT '!$C$16:$W$93,21,0)</f>
        <v>1455101</v>
      </c>
      <c r="I46" s="781">
        <f t="shared" si="1"/>
        <v>4983024</v>
      </c>
      <c r="J46" s="781"/>
      <c r="K46" s="781">
        <f>VLOOKUP(D46,'CNKT '!$C$16:$Z$93,24,0)</f>
        <v>4983024</v>
      </c>
      <c r="L46" s="781"/>
      <c r="M46" s="783">
        <f t="shared" si="2"/>
        <v>4983024</v>
      </c>
      <c r="N46" s="324"/>
      <c r="O46" s="147"/>
    </row>
    <row r="47" spans="1:15" s="148" customFormat="1" ht="21.75" customHeight="1">
      <c r="A47" s="267">
        <v>34</v>
      </c>
      <c r="B47" s="947" t="str">
        <f>'Chấm công KT'!D46</f>
        <v>02722</v>
      </c>
      <c r="C47" s="948"/>
      <c r="D47" s="786" t="str">
        <f>'CNKT '!C49</f>
        <v>T. Phu Ngân</v>
      </c>
      <c r="E47" s="786" t="s">
        <v>30</v>
      </c>
      <c r="F47" s="781">
        <f>VLOOKUP(D47,'CNKT '!$C$16:$F$93,4,0)</f>
        <v>0</v>
      </c>
      <c r="G47" s="781">
        <f>VLOOKUP(D47,'CNKT '!$C$16:$L$93,10,0)</f>
        <v>4196848</v>
      </c>
      <c r="H47" s="781">
        <f>VLOOKUP(D47,'CNKT '!$C$16:$W$93,21,0)</f>
        <v>1506488</v>
      </c>
      <c r="I47" s="781">
        <f t="shared" si="1"/>
        <v>5703336</v>
      </c>
      <c r="J47" s="781"/>
      <c r="K47" s="781">
        <f>VLOOKUP(D47,'CNKT '!$C$16:$Z$93,24,0)</f>
        <v>5703336</v>
      </c>
      <c r="L47" s="781"/>
      <c r="M47" s="783">
        <f t="shared" si="2"/>
        <v>5703336</v>
      </c>
      <c r="N47" s="324"/>
      <c r="O47" s="147"/>
    </row>
    <row r="48" spans="1:15" s="148" customFormat="1" ht="21.75" customHeight="1">
      <c r="A48" s="267">
        <v>35</v>
      </c>
      <c r="B48" s="947" t="str">
        <f>'Chấm công KT'!D47</f>
        <v>02714</v>
      </c>
      <c r="C48" s="948"/>
      <c r="D48" s="786" t="str">
        <f>'CNKT '!C50</f>
        <v>N. Tủn</v>
      </c>
      <c r="E48" s="786" t="s">
        <v>30</v>
      </c>
      <c r="F48" s="781">
        <f>VLOOKUP(D48,'CNKT '!$C$16:$F$93,4,0)</f>
        <v>0</v>
      </c>
      <c r="G48" s="781">
        <f>VLOOKUP(D48,'CNKT '!$C$16:$L$93,10,0)</f>
        <v>2711606</v>
      </c>
      <c r="H48" s="781">
        <f>VLOOKUP(D48,'CNKT '!$C$16:$W$93,21,0)</f>
        <v>1537293</v>
      </c>
      <c r="I48" s="781">
        <f t="shared" si="1"/>
        <v>4248899</v>
      </c>
      <c r="J48" s="781"/>
      <c r="K48" s="781">
        <f>VLOOKUP(D48,'CNKT '!$C$16:$Z$93,24,0)</f>
        <v>4248899</v>
      </c>
      <c r="L48" s="781"/>
      <c r="M48" s="783">
        <f t="shared" si="2"/>
        <v>4248899</v>
      </c>
      <c r="N48" s="324"/>
      <c r="O48" s="147"/>
    </row>
    <row r="49" spans="1:15" s="148" customFormat="1" ht="21.75" customHeight="1">
      <c r="A49" s="267">
        <v>36</v>
      </c>
      <c r="B49" s="947" t="str">
        <f>'Chấm công KT'!D48</f>
        <v>02713</v>
      </c>
      <c r="C49" s="948"/>
      <c r="D49" s="786" t="str">
        <f>'CNKT '!C51</f>
        <v>T. Lung</v>
      </c>
      <c r="E49" s="786" t="s">
        <v>30</v>
      </c>
      <c r="F49" s="781">
        <f>VLOOKUP(D49,'CNKT '!$C$16:$F$93,4,0)</f>
        <v>0</v>
      </c>
      <c r="G49" s="781">
        <f>VLOOKUP(D49,'CNKT '!$C$16:$L$93,10,0)</f>
        <v>2687041</v>
      </c>
      <c r="H49" s="781">
        <f>VLOOKUP(D49,'CNKT '!$C$16:$W$93,21,0)</f>
        <v>1537293</v>
      </c>
      <c r="I49" s="781">
        <f t="shared" si="1"/>
        <v>4224334</v>
      </c>
      <c r="J49" s="781"/>
      <c r="K49" s="781">
        <f>VLOOKUP(D49,'CNKT '!$C$16:$Z$93,24,0)</f>
        <v>4224334</v>
      </c>
      <c r="L49" s="781"/>
      <c r="M49" s="783">
        <f t="shared" si="2"/>
        <v>4224334</v>
      </c>
      <c r="N49" s="324"/>
      <c r="O49" s="147"/>
    </row>
    <row r="50" spans="1:15" s="148" customFormat="1" ht="21.75" customHeight="1">
      <c r="A50" s="267">
        <v>37</v>
      </c>
      <c r="B50" s="947"/>
      <c r="C50" s="948"/>
      <c r="D50" s="786" t="str">
        <f>'CNKT '!C52</f>
        <v>T. Bi Ly (2)</v>
      </c>
      <c r="E50" s="786" t="s">
        <v>30</v>
      </c>
      <c r="F50" s="781">
        <f>VLOOKUP(D50,'CNKT '!$C$16:$F$93,4,0)</f>
        <v>0</v>
      </c>
      <c r="G50" s="781">
        <f>VLOOKUP(D50,'CNKT '!$C$16:$L$93,10,0)</f>
        <v>2987491</v>
      </c>
      <c r="H50" s="781">
        <f>VLOOKUP(D50,'CNKT '!$C$16:$W$93,21,0)</f>
        <v>1537293</v>
      </c>
      <c r="I50" s="781">
        <f t="shared" si="1"/>
        <v>4524784</v>
      </c>
      <c r="J50" s="781"/>
      <c r="K50" s="781">
        <f>VLOOKUP(D50,'CNKT '!$C$16:$Z$93,24,0)</f>
        <v>4524784</v>
      </c>
      <c r="L50" s="781"/>
      <c r="M50" s="783">
        <f t="shared" si="2"/>
        <v>4524784</v>
      </c>
      <c r="N50" s="324"/>
      <c r="O50" s="147"/>
    </row>
    <row r="51" spans="1:15" s="148" customFormat="1" ht="21.75" customHeight="1">
      <c r="A51" s="267">
        <v>38</v>
      </c>
      <c r="B51" s="947" t="str">
        <f>'Chấm công KT'!D50</f>
        <v>03487</v>
      </c>
      <c r="C51" s="948"/>
      <c r="D51" s="786" t="str">
        <f>'CNKT '!C53</f>
        <v>N. Ba Say</v>
      </c>
      <c r="E51" s="786" t="s">
        <v>30</v>
      </c>
      <c r="F51" s="781">
        <f>VLOOKUP(D51,'CNKT '!$C$16:$F$93,4,0)</f>
        <v>0</v>
      </c>
      <c r="G51" s="781">
        <f>VLOOKUP(D51,'CNKT '!$C$16:$L$93,10,0)</f>
        <v>1588273</v>
      </c>
      <c r="H51" s="781">
        <f>VLOOKUP(D51,'CNKT '!$C$16:$W$93,21,0)</f>
        <v>831880</v>
      </c>
      <c r="I51" s="781">
        <f t="shared" si="1"/>
        <v>2420153</v>
      </c>
      <c r="J51" s="781"/>
      <c r="K51" s="781">
        <f>VLOOKUP(D51,'CNKT '!$C$16:$Z$93,24,0)</f>
        <v>2420153</v>
      </c>
      <c r="L51" s="781"/>
      <c r="M51" s="783">
        <f t="shared" si="2"/>
        <v>2420153</v>
      </c>
      <c r="N51" s="324"/>
      <c r="O51" s="147"/>
    </row>
    <row r="52" spans="1:15" s="148" customFormat="1" ht="21.75" customHeight="1">
      <c r="A52" s="267">
        <v>39</v>
      </c>
      <c r="B52" s="947" t="str">
        <f>'Chấm công KT'!D51</f>
        <v>03488</v>
      </c>
      <c r="C52" s="948"/>
      <c r="D52" s="786" t="str">
        <f>'CNKT '!C54</f>
        <v>N. Đeng</v>
      </c>
      <c r="E52" s="786" t="s">
        <v>30</v>
      </c>
      <c r="F52" s="781">
        <f>VLOOKUP(D52,'CNKT '!$C$16:$F$93,4,0)</f>
        <v>0</v>
      </c>
      <c r="G52" s="781">
        <f>VLOOKUP(D52,'CNKT '!$C$16:$L$93,10,0)</f>
        <v>3584611</v>
      </c>
      <c r="H52" s="781">
        <f>VLOOKUP(D52,'CNKT '!$C$16:$W$93,21,0)</f>
        <v>1537293</v>
      </c>
      <c r="I52" s="781">
        <f t="shared" si="1"/>
        <v>5121904</v>
      </c>
      <c r="J52" s="781"/>
      <c r="K52" s="781">
        <f>VLOOKUP(D52,'CNKT '!$C$16:$Z$93,24,0)</f>
        <v>5121904</v>
      </c>
      <c r="L52" s="781"/>
      <c r="M52" s="783">
        <f t="shared" si="2"/>
        <v>5121904</v>
      </c>
      <c r="N52" s="324"/>
      <c r="O52" s="147"/>
    </row>
    <row r="53" spans="1:15" s="148" customFormat="1" ht="21.75" customHeight="1">
      <c r="A53" s="267">
        <v>40</v>
      </c>
      <c r="B53" s="947" t="str">
        <f>'Chấm công KT'!D52</f>
        <v>03489</v>
      </c>
      <c r="C53" s="948"/>
      <c r="D53" s="786" t="str">
        <f>'CNKT '!C55</f>
        <v>T. Tinh</v>
      </c>
      <c r="E53" s="786" t="s">
        <v>30</v>
      </c>
      <c r="F53" s="781">
        <f>VLOOKUP(D53,'CNKT '!$C$16:$F$93,4,0)</f>
        <v>0</v>
      </c>
      <c r="G53" s="781">
        <f>VLOOKUP(D53,'CNKT '!$C$16:$L$93,10,0)</f>
        <v>1638580</v>
      </c>
      <c r="H53" s="781">
        <f>VLOOKUP(D53,'CNKT '!$C$16:$W$93,21,0)</f>
        <v>1362685</v>
      </c>
      <c r="I53" s="781">
        <f t="shared" si="1"/>
        <v>3001265</v>
      </c>
      <c r="J53" s="781"/>
      <c r="K53" s="781">
        <f>VLOOKUP(D53,'CNKT '!$C$16:$Z$93,24,0)</f>
        <v>3001265</v>
      </c>
      <c r="L53" s="781"/>
      <c r="M53" s="783">
        <f t="shared" si="2"/>
        <v>3001265</v>
      </c>
      <c r="N53" s="324"/>
      <c r="O53" s="147"/>
    </row>
    <row r="54" spans="1:15" s="148" customFormat="1" ht="21.75" customHeight="1">
      <c r="A54" s="267">
        <v>41</v>
      </c>
      <c r="B54" s="947">
        <f>'Chấm công KT'!D53</f>
        <v>0</v>
      </c>
      <c r="C54" s="948"/>
      <c r="D54" s="786" t="str">
        <f>'CNKT '!C56</f>
        <v>T. Khăm Pỏi</v>
      </c>
      <c r="E54" s="786" t="s">
        <v>30</v>
      </c>
      <c r="F54" s="781">
        <f>VLOOKUP(D54,'CNKT '!$C$16:$F$93,4,0)</f>
        <v>0</v>
      </c>
      <c r="G54" s="781">
        <f>VLOOKUP(D54,'CNKT '!$C$16:$L$93,10,0)</f>
        <v>2981822</v>
      </c>
      <c r="H54" s="781">
        <f>VLOOKUP(D54,'CNKT '!$C$16:$W$93,21,0)</f>
        <v>1537293</v>
      </c>
      <c r="I54" s="781">
        <f t="shared" si="1"/>
        <v>4519115</v>
      </c>
      <c r="J54" s="781"/>
      <c r="K54" s="781">
        <f>VLOOKUP(D54,'CNKT '!$C$16:$Z$93,24,0)</f>
        <v>4519115</v>
      </c>
      <c r="L54" s="781"/>
      <c r="M54" s="783">
        <f t="shared" si="2"/>
        <v>4519115</v>
      </c>
      <c r="N54" s="324"/>
      <c r="O54" s="147"/>
    </row>
    <row r="55" spans="1:15" s="148" customFormat="1" ht="21.75" customHeight="1">
      <c r="A55" s="267">
        <v>42</v>
      </c>
      <c r="B55" s="947" t="str">
        <f>'Chấm công KT'!D54</f>
        <v>03491</v>
      </c>
      <c r="C55" s="948"/>
      <c r="D55" s="786" t="str">
        <f>'CNKT '!C57</f>
        <v>Lăm Ngân</v>
      </c>
      <c r="E55" s="786" t="s">
        <v>30</v>
      </c>
      <c r="F55" s="781">
        <f>VLOOKUP(D55,'CNKT '!$C$16:$F$93,4,0)</f>
        <v>0</v>
      </c>
      <c r="G55" s="781">
        <f>VLOOKUP(D55,'CNKT '!$C$16:$L$93,10,0)</f>
        <v>3597838</v>
      </c>
      <c r="H55" s="781">
        <f>VLOOKUP(D55,'CNKT '!$C$16:$W$93,21,0)</f>
        <v>1537293</v>
      </c>
      <c r="I55" s="781">
        <f t="shared" si="1"/>
        <v>5135131</v>
      </c>
      <c r="J55" s="781"/>
      <c r="K55" s="781">
        <f>VLOOKUP(D55,'CNKT '!$C$16:$Z$93,24,0)</f>
        <v>5135131</v>
      </c>
      <c r="L55" s="781"/>
      <c r="M55" s="783">
        <f t="shared" si="2"/>
        <v>5135131</v>
      </c>
      <c r="N55" s="324"/>
      <c r="O55" s="147"/>
    </row>
    <row r="56" spans="1:15" s="148" customFormat="1" ht="21.75" customHeight="1">
      <c r="A56" s="267">
        <v>43</v>
      </c>
      <c r="B56" s="947"/>
      <c r="C56" s="948"/>
      <c r="D56" s="786" t="str">
        <f>'CNKT '!C58</f>
        <v>T. Không</v>
      </c>
      <c r="E56" s="786" t="s">
        <v>30</v>
      </c>
      <c r="F56" s="781">
        <f>VLOOKUP(D56,'CNKT '!$C$16:$F$93,4,0)</f>
        <v>0</v>
      </c>
      <c r="G56" s="781">
        <f>VLOOKUP(D56,'CNKT '!$C$16:$L$93,10,0)</f>
        <v>3318484</v>
      </c>
      <c r="H56" s="781">
        <f>VLOOKUP(D56,'CNKT '!$C$16:$W$93,21,0)</f>
        <v>1537293</v>
      </c>
      <c r="I56" s="781">
        <f t="shared" si="1"/>
        <v>4855777</v>
      </c>
      <c r="J56" s="781"/>
      <c r="K56" s="781">
        <f>VLOOKUP(D56,'CNKT '!$C$16:$Z$93,24,0)</f>
        <v>4855777</v>
      </c>
      <c r="L56" s="781"/>
      <c r="M56" s="783">
        <f t="shared" si="2"/>
        <v>4855777</v>
      </c>
      <c r="N56" s="324"/>
      <c r="O56" s="147"/>
    </row>
    <row r="57" spans="1:15" s="148" customFormat="1" ht="21.75" customHeight="1">
      <c r="A57" s="267">
        <v>44</v>
      </c>
      <c r="B57" s="947" t="str">
        <f>'Chấm công KT'!D56</f>
        <v>03492</v>
      </c>
      <c r="C57" s="948"/>
      <c r="D57" s="786" t="str">
        <f>'CNKT '!C59</f>
        <v>T. Lem</v>
      </c>
      <c r="E57" s="786" t="s">
        <v>30</v>
      </c>
      <c r="F57" s="781">
        <f>VLOOKUP(D57,'CNKT '!$C$16:$F$93,4,0)</f>
        <v>0</v>
      </c>
      <c r="G57" s="781">
        <f>VLOOKUP(D57,'CNKT '!$C$16:$L$93,10,0)</f>
        <v>2516975</v>
      </c>
      <c r="H57" s="781">
        <f>VLOOKUP(D57,'CNKT '!$C$16:$W$93,21,0)</f>
        <v>1475683</v>
      </c>
      <c r="I57" s="781">
        <f t="shared" si="1"/>
        <v>3992658</v>
      </c>
      <c r="J57" s="781"/>
      <c r="K57" s="781">
        <f>VLOOKUP(D57,'CNKT '!$C$16:$Z$93,24,0)</f>
        <v>3992658</v>
      </c>
      <c r="L57" s="781"/>
      <c r="M57" s="783">
        <f t="shared" si="2"/>
        <v>3992658</v>
      </c>
      <c r="N57" s="324"/>
      <c r="O57" s="147"/>
    </row>
    <row r="58" spans="1:15" s="148" customFormat="1" ht="21.75" customHeight="1">
      <c r="A58" s="267">
        <v>45</v>
      </c>
      <c r="B58" s="947" t="str">
        <f>'Chấm công KT'!D57</f>
        <v>03493</v>
      </c>
      <c r="C58" s="948"/>
      <c r="D58" s="786" t="str">
        <f>'CNKT '!C60</f>
        <v>T. Pông</v>
      </c>
      <c r="E58" s="786" t="s">
        <v>30</v>
      </c>
      <c r="F58" s="781">
        <f>VLOOKUP(D58,'CNKT '!$C$16:$F$93,4,0)</f>
        <v>0</v>
      </c>
      <c r="G58" s="781">
        <f>VLOOKUP(D58,'CNKT '!$C$16:$L$93,10,0)</f>
        <v>4276212</v>
      </c>
      <c r="H58" s="781">
        <f>VLOOKUP(D58,'CNKT '!$C$16:$W$93,21,0)</f>
        <v>1506488</v>
      </c>
      <c r="I58" s="781">
        <f t="shared" si="1"/>
        <v>5782700</v>
      </c>
      <c r="J58" s="781"/>
      <c r="K58" s="781">
        <f>VLOOKUP(D58,'CNKT '!$C$16:$Z$93,24,0)</f>
        <v>5782700</v>
      </c>
      <c r="L58" s="781"/>
      <c r="M58" s="783">
        <f t="shared" si="2"/>
        <v>5782700</v>
      </c>
      <c r="N58" s="324"/>
      <c r="O58" s="147"/>
    </row>
    <row r="59" spans="1:15" s="148" customFormat="1" ht="21.75" customHeight="1">
      <c r="A59" s="267">
        <v>46</v>
      </c>
      <c r="B59" s="947" t="str">
        <f>'Chấm công KT'!D58</f>
        <v>03496</v>
      </c>
      <c r="C59" s="948"/>
      <c r="D59" s="786" t="str">
        <f>'CNKT '!C61</f>
        <v>T. Lốp</v>
      </c>
      <c r="E59" s="786" t="s">
        <v>30</v>
      </c>
      <c r="F59" s="781">
        <f>VLOOKUP(D59,'CNKT '!$C$16:$F$93,4,0)</f>
        <v>0</v>
      </c>
      <c r="G59" s="781">
        <f>VLOOKUP(D59,'CNKT '!$C$16:$L$93,10,0)</f>
        <v>3792810</v>
      </c>
      <c r="H59" s="781">
        <f>VLOOKUP(D59,'CNKT '!$C$16:$W$93,21,0)</f>
        <v>1444877</v>
      </c>
      <c r="I59" s="781">
        <f t="shared" si="1"/>
        <v>5237687</v>
      </c>
      <c r="J59" s="781"/>
      <c r="K59" s="781">
        <f>VLOOKUP(D59,'CNKT '!$C$16:$Z$93,24,0)</f>
        <v>5237687</v>
      </c>
      <c r="L59" s="781"/>
      <c r="M59" s="783">
        <f t="shared" si="2"/>
        <v>5237687</v>
      </c>
      <c r="N59" s="324"/>
      <c r="O59" s="147"/>
    </row>
    <row r="60" spans="1:15" s="148" customFormat="1" ht="21.75" customHeight="1">
      <c r="A60" s="267">
        <v>47</v>
      </c>
      <c r="B60" s="947"/>
      <c r="C60" s="948"/>
      <c r="D60" s="786" t="str">
        <f>'CNKT '!C62</f>
        <v>N. Nu Ni</v>
      </c>
      <c r="E60" s="786" t="s">
        <v>30</v>
      </c>
      <c r="F60" s="781">
        <f>VLOOKUP(D60,'CNKT '!$C$16:$F$93,4,0)</f>
        <v>0</v>
      </c>
      <c r="G60" s="781">
        <f>VLOOKUP(D60,'CNKT '!$C$16:$L$93,10,0)</f>
        <v>3859288</v>
      </c>
      <c r="H60" s="781">
        <f>VLOOKUP(D60,'CNKT '!$C$16:$W$93,21,0)</f>
        <v>1444877</v>
      </c>
      <c r="I60" s="781">
        <f t="shared" si="1"/>
        <v>5304165</v>
      </c>
      <c r="J60" s="781"/>
      <c r="K60" s="781">
        <f>VLOOKUP(D60,'CNKT '!$C$16:$Z$93,24,0)</f>
        <v>5304165</v>
      </c>
      <c r="L60" s="781"/>
      <c r="M60" s="783">
        <f t="shared" si="2"/>
        <v>5304165</v>
      </c>
      <c r="N60" s="324"/>
      <c r="O60" s="147"/>
    </row>
    <row r="61" spans="1:15" s="148" customFormat="1" ht="21.75" customHeight="1">
      <c r="A61" s="267">
        <v>48</v>
      </c>
      <c r="B61" s="947" t="str">
        <f>'Chấm công KT'!D60</f>
        <v>03494</v>
      </c>
      <c r="C61" s="948"/>
      <c r="D61" s="786" t="str">
        <f>'CNKT '!C63</f>
        <v>T. Đi</v>
      </c>
      <c r="E61" s="786" t="s">
        <v>30</v>
      </c>
      <c r="F61" s="781">
        <f>VLOOKUP(D61,'CNKT '!$C$16:$F$93,4,0)</f>
        <v>0</v>
      </c>
      <c r="G61" s="781">
        <f>VLOOKUP(D61,'CNKT '!$C$16:$L$93,10,0)</f>
        <v>2477262</v>
      </c>
      <c r="H61" s="781">
        <f>VLOOKUP(D61,'CNKT '!$C$16:$W$93,21,0)</f>
        <v>1475683</v>
      </c>
      <c r="I61" s="781">
        <f t="shared" si="1"/>
        <v>3952945</v>
      </c>
      <c r="J61" s="781"/>
      <c r="K61" s="781">
        <f>VLOOKUP(D61,'CNKT '!$C$16:$Z$93,24,0)</f>
        <v>3952945</v>
      </c>
      <c r="L61" s="781"/>
      <c r="M61" s="783">
        <f t="shared" si="2"/>
        <v>3952945</v>
      </c>
      <c r="N61" s="324"/>
      <c r="O61" s="147"/>
    </row>
    <row r="62" spans="1:15" s="148" customFormat="1" ht="21.75" customHeight="1">
      <c r="A62" s="267">
        <v>49</v>
      </c>
      <c r="B62" s="947" t="str">
        <f>'Chấm công KT'!D61</f>
        <v>03495</v>
      </c>
      <c r="C62" s="948"/>
      <c r="D62" s="786" t="str">
        <f>'CNKT '!C64</f>
        <v>N. On Xi</v>
      </c>
      <c r="E62" s="786" t="s">
        <v>30</v>
      </c>
      <c r="F62" s="781">
        <f>VLOOKUP(D62,'CNKT '!$C$16:$F$93,4,0)</f>
        <v>0</v>
      </c>
      <c r="G62" s="781">
        <f>VLOOKUP(D62,'CNKT '!$C$16:$L$93,10,0)</f>
        <v>1258488</v>
      </c>
      <c r="H62" s="781">
        <f>VLOOKUP(D62,'CNKT '!$C$16:$W$93,21,0)</f>
        <v>1383266</v>
      </c>
      <c r="I62" s="781">
        <f t="shared" si="1"/>
        <v>2641754</v>
      </c>
      <c r="J62" s="781"/>
      <c r="K62" s="781">
        <f>VLOOKUP(D62,'CNKT '!$C$16:$Z$93,24,0)</f>
        <v>2641754</v>
      </c>
      <c r="L62" s="781"/>
      <c r="M62" s="783">
        <f t="shared" si="2"/>
        <v>2641754</v>
      </c>
      <c r="N62" s="324"/>
      <c r="O62" s="147"/>
    </row>
    <row r="63" spans="1:15" s="148" customFormat="1" ht="21.75" customHeight="1">
      <c r="A63" s="267">
        <v>50</v>
      </c>
      <c r="B63" s="947"/>
      <c r="C63" s="948"/>
      <c r="D63" s="786" t="str">
        <f>'CNKT '!C65</f>
        <v>N. Thông La</v>
      </c>
      <c r="E63" s="786" t="s">
        <v>30</v>
      </c>
      <c r="F63" s="781">
        <f>VLOOKUP(D63,'CNKT '!$C$16:$F$93,4,0)</f>
        <v>0</v>
      </c>
      <c r="G63" s="781">
        <f>VLOOKUP(D63,'CNKT '!$C$16:$L$93,10,0)</f>
        <v>3110316</v>
      </c>
      <c r="H63" s="781">
        <f>VLOOKUP(D63,'CNKT '!$C$16:$W$93,21,0)</f>
        <v>1537293</v>
      </c>
      <c r="I63" s="781">
        <f t="shared" si="1"/>
        <v>4647609</v>
      </c>
      <c r="J63" s="781"/>
      <c r="K63" s="781">
        <f>VLOOKUP(D63,'CNKT '!$C$16:$Z$93,24,0)</f>
        <v>4647609</v>
      </c>
      <c r="L63" s="781"/>
      <c r="M63" s="783">
        <f t="shared" si="2"/>
        <v>4647609</v>
      </c>
      <c r="N63" s="324"/>
      <c r="O63" s="147"/>
    </row>
    <row r="64" spans="1:15" s="148" customFormat="1" ht="21.75" customHeight="1">
      <c r="A64" s="267">
        <v>51</v>
      </c>
      <c r="B64" s="947" t="str">
        <f>'Chấm công KT'!D63</f>
        <v>03497</v>
      </c>
      <c r="C64" s="948"/>
      <c r="D64" s="786" t="str">
        <f>'CNKT '!C66</f>
        <v>T. Son Xay</v>
      </c>
      <c r="E64" s="786" t="s">
        <v>30</v>
      </c>
      <c r="F64" s="781">
        <f>VLOOKUP(D64,'CNKT '!$C$16:$F$93,4,0)</f>
        <v>0</v>
      </c>
      <c r="G64" s="781">
        <f>VLOOKUP(D64,'CNKT '!$C$16:$L$93,10,0)</f>
        <v>3344629</v>
      </c>
      <c r="H64" s="781">
        <f>VLOOKUP(D64,'CNKT '!$C$16:$W$93,21,0)</f>
        <v>1475683</v>
      </c>
      <c r="I64" s="781">
        <f t="shared" si="1"/>
        <v>4820312</v>
      </c>
      <c r="J64" s="781"/>
      <c r="K64" s="781">
        <f>VLOOKUP(D64,'CNKT '!$C$16:$Z$93,24,0)</f>
        <v>4820312</v>
      </c>
      <c r="L64" s="781"/>
      <c r="M64" s="783">
        <f t="shared" si="2"/>
        <v>4820312</v>
      </c>
      <c r="N64" s="324"/>
      <c r="O64" s="147"/>
    </row>
    <row r="65" spans="1:15" s="148" customFormat="1" ht="21.75" customHeight="1">
      <c r="A65" s="267">
        <v>52</v>
      </c>
      <c r="B65" s="947" t="str">
        <f>'Chấm công KT'!D64</f>
        <v>03498</v>
      </c>
      <c r="C65" s="948"/>
      <c r="D65" s="786" t="str">
        <f>'CNKT '!C67</f>
        <v>N. Lăm Phay</v>
      </c>
      <c r="E65" s="786" t="s">
        <v>30</v>
      </c>
      <c r="F65" s="781">
        <f>VLOOKUP(D65,'CNKT '!$C$16:$F$93,4,0)</f>
        <v>0</v>
      </c>
      <c r="G65" s="781">
        <f>VLOOKUP(D65,'CNKT '!$C$16:$L$93,10,0)</f>
        <v>3310616</v>
      </c>
      <c r="H65" s="781">
        <f>VLOOKUP(D65,'CNKT '!$C$16:$W$93,21,0)</f>
        <v>1475683</v>
      </c>
      <c r="I65" s="781">
        <f t="shared" si="1"/>
        <v>4786299</v>
      </c>
      <c r="J65" s="781"/>
      <c r="K65" s="781">
        <f>VLOOKUP(D65,'CNKT '!$C$16:$Z$93,24,0)</f>
        <v>4786299</v>
      </c>
      <c r="L65" s="781"/>
      <c r="M65" s="783">
        <f t="shared" si="2"/>
        <v>4786299</v>
      </c>
      <c r="N65" s="324"/>
      <c r="O65" s="147"/>
    </row>
    <row r="66" spans="1:15" s="148" customFormat="1" ht="21.75" customHeight="1">
      <c r="A66" s="267">
        <v>53</v>
      </c>
      <c r="B66" s="947" t="str">
        <f>'Chấm công KT'!D65</f>
        <v>02706</v>
      </c>
      <c r="C66" s="948"/>
      <c r="D66" s="786" t="str">
        <f>'CNKT '!C68</f>
        <v>T. Nhung</v>
      </c>
      <c r="E66" s="786" t="s">
        <v>30</v>
      </c>
      <c r="F66" s="781">
        <f>VLOOKUP(D66,'CNKT '!$C$16:$F$93,4,0)</f>
        <v>0</v>
      </c>
      <c r="G66" s="781">
        <f>VLOOKUP(D66,'CNKT '!$C$16:$L$93,10,0)</f>
        <v>3216135</v>
      </c>
      <c r="H66" s="781">
        <f>VLOOKUP(D66,'CNKT '!$C$16:$W$93,21,0)</f>
        <v>1475683</v>
      </c>
      <c r="I66" s="781">
        <f t="shared" si="1"/>
        <v>4691818</v>
      </c>
      <c r="J66" s="781"/>
      <c r="K66" s="781">
        <f>VLOOKUP(D66,'CNKT '!$C$16:$Z$93,24,0)</f>
        <v>4691818</v>
      </c>
      <c r="L66" s="781"/>
      <c r="M66" s="783">
        <f t="shared" si="2"/>
        <v>4691818</v>
      </c>
      <c r="N66" s="324"/>
      <c r="O66" s="147"/>
    </row>
    <row r="67" spans="1:15" s="148" customFormat="1" ht="21.75" customHeight="1">
      <c r="A67" s="267">
        <v>54</v>
      </c>
      <c r="B67" s="947"/>
      <c r="C67" s="948"/>
      <c r="D67" s="786" t="str">
        <f>'CNKT '!C69</f>
        <v>T. Khay Khăm</v>
      </c>
      <c r="E67" s="786" t="s">
        <v>30</v>
      </c>
      <c r="F67" s="781">
        <f>VLOOKUP(D67,'CNKT '!$C$16:$F$93,4,0)</f>
        <v>0</v>
      </c>
      <c r="G67" s="781">
        <f>VLOOKUP(D67,'CNKT '!$C$16:$L$93,10,0)</f>
        <v>1505625</v>
      </c>
      <c r="H67" s="781">
        <f>VLOOKUP(D67,'CNKT '!$C$16:$W$93,21,0)</f>
        <v>1311298</v>
      </c>
      <c r="I67" s="781">
        <f t="shared" si="1"/>
        <v>2816923</v>
      </c>
      <c r="J67" s="781"/>
      <c r="K67" s="781">
        <f>VLOOKUP(D67,'CNKT '!$C$16:$Z$93,24,0)</f>
        <v>2816923</v>
      </c>
      <c r="L67" s="781"/>
      <c r="M67" s="783">
        <f t="shared" si="2"/>
        <v>2816923</v>
      </c>
      <c r="N67" s="324"/>
      <c r="O67" s="147"/>
    </row>
    <row r="68" spans="1:15" s="148" customFormat="1" ht="21.75" customHeight="1">
      <c r="A68" s="267">
        <v>55</v>
      </c>
      <c r="B68" s="947"/>
      <c r="C68" s="948"/>
      <c r="D68" s="786" t="str">
        <f>'CNKT '!C70</f>
        <v>N. Khay Chăn</v>
      </c>
      <c r="E68" s="786" t="s">
        <v>30</v>
      </c>
      <c r="F68" s="781">
        <f>VLOOKUP(D68,'CNKT '!$C$16:$F$93,4,0)</f>
        <v>0</v>
      </c>
      <c r="G68" s="781">
        <f>VLOOKUP(D68,'CNKT '!$C$16:$L$93,10,0)</f>
        <v>3743339</v>
      </c>
      <c r="H68" s="781">
        <f>VLOOKUP(D68,'CNKT '!$C$16:$W$93,21,0)</f>
        <v>1537293</v>
      </c>
      <c r="I68" s="781">
        <f t="shared" si="1"/>
        <v>5280632</v>
      </c>
      <c r="J68" s="781"/>
      <c r="K68" s="781">
        <f>VLOOKUP(D68,'CNKT '!$C$16:$Z$93,24,0)</f>
        <v>5280632</v>
      </c>
      <c r="L68" s="781"/>
      <c r="M68" s="783">
        <f t="shared" si="2"/>
        <v>5280632</v>
      </c>
      <c r="N68" s="324"/>
      <c r="O68" s="147"/>
    </row>
    <row r="69" spans="1:15" s="148" customFormat="1" ht="21.75" customHeight="1">
      <c r="A69" s="267">
        <v>56</v>
      </c>
      <c r="B69" s="947" t="str">
        <f>'Chấm công KT'!D68</f>
        <v>03501</v>
      </c>
      <c r="C69" s="948"/>
      <c r="D69" s="786" t="str">
        <f>'CNKT '!C71</f>
        <v>T Dăn</v>
      </c>
      <c r="E69" s="786" t="s">
        <v>30</v>
      </c>
      <c r="F69" s="781">
        <f>VLOOKUP(D69,'CNKT '!$C$16:$F$93,4,0)</f>
        <v>0</v>
      </c>
      <c r="G69" s="781">
        <f>VLOOKUP(D69,'CNKT '!$C$16:$L$93,10,0)</f>
        <v>2527941</v>
      </c>
      <c r="H69" s="781">
        <f>VLOOKUP(D69,'CNKT '!$C$16:$W$93,21,0)</f>
        <v>1455101</v>
      </c>
      <c r="I69" s="781">
        <f t="shared" si="1"/>
        <v>3983042</v>
      </c>
      <c r="J69" s="781"/>
      <c r="K69" s="781">
        <f>VLOOKUP(D69,'CNKT '!$C$16:$Z$93,24,0)</f>
        <v>3983042</v>
      </c>
      <c r="L69" s="781"/>
      <c r="M69" s="783">
        <f t="shared" si="2"/>
        <v>3983042</v>
      </c>
      <c r="N69" s="324"/>
      <c r="O69" s="147"/>
    </row>
    <row r="70" spans="1:15" s="148" customFormat="1" ht="21.75" customHeight="1">
      <c r="A70" s="267">
        <v>57</v>
      </c>
      <c r="B70" s="947" t="str">
        <f>'Chấm công KT'!D69</f>
        <v>03502</v>
      </c>
      <c r="C70" s="948"/>
      <c r="D70" s="786" t="str">
        <f>'CNKT '!C72</f>
        <v>T. Xợt</v>
      </c>
      <c r="E70" s="786" t="s">
        <v>30</v>
      </c>
      <c r="F70" s="781">
        <f>VLOOKUP(D70,'CNKT '!$C$16:$F$93,4,0)</f>
        <v>0</v>
      </c>
      <c r="G70" s="781">
        <f>VLOOKUP(D70,'CNKT '!$C$16:$L$93,10,0)</f>
        <v>3125433</v>
      </c>
      <c r="H70" s="781">
        <f>VLOOKUP(D70,'CNKT '!$C$16:$W$93,21,0)</f>
        <v>1506488</v>
      </c>
      <c r="I70" s="781">
        <f t="shared" si="1"/>
        <v>4631921</v>
      </c>
      <c r="J70" s="781"/>
      <c r="K70" s="781">
        <f>VLOOKUP(D70,'CNKT '!$C$16:$Z$93,24,0)</f>
        <v>4631921</v>
      </c>
      <c r="L70" s="781"/>
      <c r="M70" s="783">
        <f t="shared" si="2"/>
        <v>4631921</v>
      </c>
      <c r="N70" s="324"/>
      <c r="O70" s="147"/>
    </row>
    <row r="71" spans="1:15" s="148" customFormat="1" ht="21.75" customHeight="1">
      <c r="A71" s="267">
        <v>58</v>
      </c>
      <c r="B71" s="947"/>
      <c r="C71" s="948"/>
      <c r="D71" s="786" t="str">
        <f>'CNKT '!C73</f>
        <v>N. Phết 2</v>
      </c>
      <c r="E71" s="786" t="s">
        <v>30</v>
      </c>
      <c r="F71" s="781">
        <f>VLOOKUP(D71,'CNKT '!$C$16:$F$93,4,0)</f>
        <v>0</v>
      </c>
      <c r="G71" s="781">
        <f>VLOOKUP(D71,'CNKT '!$C$16:$L$93,10,0)</f>
        <v>2728613</v>
      </c>
      <c r="H71" s="781">
        <f>VLOOKUP(D71,'CNKT '!$C$16:$W$93,21,0)</f>
        <v>1506488</v>
      </c>
      <c r="I71" s="781">
        <f t="shared" si="1"/>
        <v>4235101</v>
      </c>
      <c r="J71" s="781"/>
      <c r="K71" s="781">
        <f>VLOOKUP(D71,'CNKT '!$C$16:$Z$93,24,0)</f>
        <v>4235101</v>
      </c>
      <c r="L71" s="781"/>
      <c r="M71" s="783">
        <f t="shared" si="2"/>
        <v>4235101</v>
      </c>
      <c r="N71" s="324"/>
      <c r="O71" s="147"/>
    </row>
    <row r="72" spans="1:15" s="148" customFormat="1" ht="21.75" customHeight="1">
      <c r="A72" s="267">
        <v>59</v>
      </c>
      <c r="B72" s="947" t="str">
        <f>'Chấm công KT'!D71</f>
        <v>03504</v>
      </c>
      <c r="C72" s="948"/>
      <c r="D72" s="786" t="str">
        <f>'CNKT '!C74</f>
        <v>T. Cạp</v>
      </c>
      <c r="E72" s="786" t="s">
        <v>30</v>
      </c>
      <c r="F72" s="781">
        <f>VLOOKUP(D72,'CNKT '!$C$16:$F$93,4,0)</f>
        <v>0</v>
      </c>
      <c r="G72" s="781">
        <f>VLOOKUP(D72,'CNKT '!$C$16:$L$93,10,0)</f>
        <v>2651913</v>
      </c>
      <c r="H72" s="781">
        <f>VLOOKUP(D72,'CNKT '!$C$16:$W$93,21,0)</f>
        <v>1506488</v>
      </c>
      <c r="I72" s="781">
        <f t="shared" si="1"/>
        <v>4158401</v>
      </c>
      <c r="J72" s="781"/>
      <c r="K72" s="781">
        <f>VLOOKUP(D72,'CNKT '!$C$16:$Z$93,24,0)</f>
        <v>4158401</v>
      </c>
      <c r="L72" s="781"/>
      <c r="M72" s="783">
        <f t="shared" si="2"/>
        <v>4158401</v>
      </c>
      <c r="N72" s="324"/>
      <c r="O72" s="147"/>
    </row>
    <row r="73" spans="1:15" s="148" customFormat="1" ht="21.75" customHeight="1">
      <c r="A73" s="267">
        <v>60</v>
      </c>
      <c r="B73" s="947"/>
      <c r="C73" s="948"/>
      <c r="D73" s="786" t="str">
        <f>'CNKT '!C75</f>
        <v>T. Toi</v>
      </c>
      <c r="E73" s="786" t="s">
        <v>30</v>
      </c>
      <c r="F73" s="781">
        <f>VLOOKUP(D73,'CNKT '!$C$16:$F$93,4,0)</f>
        <v>0</v>
      </c>
      <c r="G73" s="781">
        <f>VLOOKUP(D73,'CNKT '!$C$16:$L$93,10,0)</f>
        <v>2516975</v>
      </c>
      <c r="H73" s="781">
        <f>VLOOKUP(D73,'CNKT '!$C$16:$W$93,21,0)</f>
        <v>975683</v>
      </c>
      <c r="I73" s="781">
        <f t="shared" si="1"/>
        <v>3492658</v>
      </c>
      <c r="J73" s="781"/>
      <c r="K73" s="781">
        <f>VLOOKUP(D73,'CNKT '!$C$16:$Z$93,24,0)</f>
        <v>3492658</v>
      </c>
      <c r="L73" s="781"/>
      <c r="M73" s="783">
        <f t="shared" si="2"/>
        <v>3492658</v>
      </c>
      <c r="N73" s="324"/>
      <c r="O73" s="147"/>
    </row>
    <row r="74" spans="1:15" s="148" customFormat="1" ht="21.75" customHeight="1">
      <c r="A74" s="267">
        <v>61</v>
      </c>
      <c r="B74" s="947" t="str">
        <f>'Chấm công KT'!D73</f>
        <v>03506</v>
      </c>
      <c r="C74" s="948"/>
      <c r="D74" s="786" t="str">
        <f>'CNKT '!C76</f>
        <v>N. Bua Hom</v>
      </c>
      <c r="E74" s="786" t="s">
        <v>30</v>
      </c>
      <c r="F74" s="781">
        <f>VLOOKUP(D74,'CNKT '!$C$16:$F$93,4,0)</f>
        <v>0</v>
      </c>
      <c r="G74" s="781">
        <f>VLOOKUP(D74,'CNKT '!$C$16:$L$93,10,0)</f>
        <v>2842362</v>
      </c>
      <c r="H74" s="781">
        <f>VLOOKUP(D74,'CNKT '!$C$16:$W$93,21,0)</f>
        <v>1475683</v>
      </c>
      <c r="I74" s="781">
        <f t="shared" si="1"/>
        <v>4318045</v>
      </c>
      <c r="J74" s="781"/>
      <c r="K74" s="781">
        <f>VLOOKUP(D74,'CNKT '!$C$16:$Z$93,24,0)</f>
        <v>4318045</v>
      </c>
      <c r="L74" s="781"/>
      <c r="M74" s="783">
        <f t="shared" si="2"/>
        <v>4318045</v>
      </c>
      <c r="N74" s="324"/>
      <c r="O74" s="147"/>
    </row>
    <row r="75" spans="1:15" s="148" customFormat="1" ht="21.75" customHeight="1">
      <c r="A75" s="267">
        <v>62</v>
      </c>
      <c r="B75" s="947"/>
      <c r="C75" s="948"/>
      <c r="D75" s="786" t="str">
        <f>'CNKT '!C77</f>
        <v>N. Lăm Phay (2)</v>
      </c>
      <c r="E75" s="786" t="s">
        <v>30</v>
      </c>
      <c r="F75" s="781">
        <f>VLOOKUP(D75,'CNKT '!$C$16:$F$93,4,0)</f>
        <v>0</v>
      </c>
      <c r="G75" s="781">
        <f>VLOOKUP(D75,'CNKT '!$C$16:$L$93,10,0)</f>
        <v>2619015</v>
      </c>
      <c r="H75" s="781">
        <f>VLOOKUP(D75,'CNKT '!$C$16:$W$93,21,0)</f>
        <v>1475683</v>
      </c>
      <c r="I75" s="781">
        <f t="shared" si="1"/>
        <v>4094698</v>
      </c>
      <c r="J75" s="781"/>
      <c r="K75" s="781">
        <f>VLOOKUP(D75,'CNKT '!$C$16:$Z$93,24,0)</f>
        <v>4094698</v>
      </c>
      <c r="L75" s="781"/>
      <c r="M75" s="783">
        <f t="shared" si="2"/>
        <v>4094698</v>
      </c>
      <c r="N75" s="324"/>
      <c r="O75" s="147"/>
    </row>
    <row r="76" spans="1:15" s="148" customFormat="1" ht="21.75" customHeight="1">
      <c r="A76" s="267">
        <v>63</v>
      </c>
      <c r="B76" s="947" t="str">
        <f>'Chấm công KT'!D75</f>
        <v>03508</v>
      </c>
      <c r="C76" s="948"/>
      <c r="D76" s="786" t="str">
        <f>'CNKT '!C78</f>
        <v>T. Đèng</v>
      </c>
      <c r="E76" s="786" t="s">
        <v>30</v>
      </c>
      <c r="F76" s="781">
        <f>VLOOKUP(D76,'CNKT '!$C$16:$F$93,4,0)</f>
        <v>0</v>
      </c>
      <c r="G76" s="781">
        <f>VLOOKUP(D76,'CNKT '!$C$16:$L$93,10,0)</f>
        <v>818206</v>
      </c>
      <c r="H76" s="781">
        <f>VLOOKUP(D76,'CNKT '!$C$16:$W$93,21,0)</f>
        <v>1208658</v>
      </c>
      <c r="I76" s="781">
        <f t="shared" si="1"/>
        <v>2026864</v>
      </c>
      <c r="J76" s="781"/>
      <c r="K76" s="781">
        <f>VLOOKUP(D76,'CNKT '!$C$16:$Z$93,24,0)</f>
        <v>2026864</v>
      </c>
      <c r="L76" s="781"/>
      <c r="M76" s="783">
        <f t="shared" si="2"/>
        <v>2026864</v>
      </c>
      <c r="N76" s="324"/>
      <c r="O76" s="147"/>
    </row>
    <row r="77" spans="1:15" s="148" customFormat="1" ht="21.75" customHeight="1">
      <c r="A77" s="267">
        <v>64</v>
      </c>
      <c r="B77" s="947" t="str">
        <f>'Chấm công KT'!D76</f>
        <v>03512</v>
      </c>
      <c r="C77" s="948"/>
      <c r="D77" s="786" t="str">
        <f>'CNKT '!C79</f>
        <v>N. Đon</v>
      </c>
      <c r="E77" s="786" t="s">
        <v>30</v>
      </c>
      <c r="F77" s="781">
        <f>VLOOKUP(D77,'CNKT '!$C$16:$F$93,4,0)</f>
        <v>0</v>
      </c>
      <c r="G77" s="781">
        <f>VLOOKUP(D77,'CNKT '!$C$16:$L$93,10,0)</f>
        <v>1370874</v>
      </c>
      <c r="H77" s="781">
        <f>VLOOKUP(D77,'CNKT '!$C$16:$W$93,21,0)</f>
        <v>1444877</v>
      </c>
      <c r="I77" s="781">
        <f t="shared" si="1"/>
        <v>2815751</v>
      </c>
      <c r="J77" s="781"/>
      <c r="K77" s="781">
        <f>VLOOKUP(D77,'CNKT '!$C$16:$Z$93,24,0)</f>
        <v>2815751</v>
      </c>
      <c r="L77" s="781"/>
      <c r="M77" s="783">
        <f t="shared" si="2"/>
        <v>2815751</v>
      </c>
      <c r="N77" s="324"/>
      <c r="O77" s="147"/>
    </row>
    <row r="78" spans="1:15" s="148" customFormat="1" ht="21.75" customHeight="1">
      <c r="A78" s="267">
        <v>65</v>
      </c>
      <c r="B78" s="947"/>
      <c r="C78" s="948"/>
      <c r="D78" s="786" t="str">
        <f>'CNKT '!C80</f>
        <v xml:space="preserve">T. La </v>
      </c>
      <c r="E78" s="786" t="s">
        <v>30</v>
      </c>
      <c r="F78" s="781">
        <f>VLOOKUP(D78,'CNKT '!$C$16:$F$93,4,0)</f>
        <v>0</v>
      </c>
      <c r="G78" s="781">
        <f>VLOOKUP(D78,'CNKT '!$C$16:$L$93,10,0)</f>
        <v>1827264</v>
      </c>
      <c r="H78" s="781">
        <f>VLOOKUP(D78,'CNKT '!$C$16:$W$93,21,0)</f>
        <v>1455101</v>
      </c>
      <c r="I78" s="781">
        <f t="shared" si="1"/>
        <v>3282365</v>
      </c>
      <c r="J78" s="781"/>
      <c r="K78" s="781">
        <f>VLOOKUP(D78,'CNKT '!$C$16:$Z$93,24,0)</f>
        <v>3282365</v>
      </c>
      <c r="L78" s="781"/>
      <c r="M78" s="783">
        <f t="shared" si="2"/>
        <v>3282365</v>
      </c>
      <c r="N78" s="324"/>
      <c r="O78" s="147"/>
    </row>
    <row r="79" spans="1:15" s="148" customFormat="1" ht="21.75" customHeight="1">
      <c r="A79" s="267">
        <v>66</v>
      </c>
      <c r="B79" s="947"/>
      <c r="C79" s="948"/>
      <c r="D79" s="786" t="str">
        <f>'CNKT '!C81</f>
        <v>T. Bờm</v>
      </c>
      <c r="E79" s="786" t="s">
        <v>30</v>
      </c>
      <c r="F79" s="781">
        <f>VLOOKUP(D79,'CNKT '!$C$16:$F$93,4,0)</f>
        <v>0</v>
      </c>
      <c r="G79" s="781">
        <f>VLOOKUP(D79,'CNKT '!$C$16:$L$93,10,0)</f>
        <v>1358297</v>
      </c>
      <c r="H79" s="781">
        <f>VLOOKUP(D79,'CNKT '!$C$16:$W$93,21,0)</f>
        <v>944877</v>
      </c>
      <c r="I79" s="781">
        <f t="shared" ref="I79:I86" si="3">SUM(F79:H79)</f>
        <v>2303174</v>
      </c>
      <c r="J79" s="781"/>
      <c r="K79" s="781">
        <f>VLOOKUP(D79,'CNKT '!$C$16:$Z$93,24,0)</f>
        <v>2303174</v>
      </c>
      <c r="L79" s="781"/>
      <c r="M79" s="783">
        <f t="shared" ref="M79:M86" si="4">K79-L79</f>
        <v>2303174</v>
      </c>
      <c r="N79" s="324"/>
      <c r="O79" s="147"/>
    </row>
    <row r="80" spans="1:15" s="148" customFormat="1" ht="21.75" customHeight="1">
      <c r="A80" s="267">
        <v>67</v>
      </c>
      <c r="B80" s="947" t="str">
        <f>'Chấm công KT'!D79</f>
        <v>03546</v>
      </c>
      <c r="C80" s="948"/>
      <c r="D80" s="786" t="str">
        <f>'CNKT '!C82</f>
        <v>T. Nọi</v>
      </c>
      <c r="E80" s="786" t="s">
        <v>30</v>
      </c>
      <c r="F80" s="781">
        <f>VLOOKUP(D80,'CNKT '!$C$16:$F$93,4,0)</f>
        <v>0</v>
      </c>
      <c r="G80" s="781">
        <f>VLOOKUP(D80,'CNKT '!$C$16:$L$93,10,0)</f>
        <v>2388481</v>
      </c>
      <c r="H80" s="781">
        <f>VLOOKUP(D80,'CNKT '!$C$16:$W$93,21,0)</f>
        <v>1537293</v>
      </c>
      <c r="I80" s="781">
        <f t="shared" si="3"/>
        <v>3925774</v>
      </c>
      <c r="J80" s="781"/>
      <c r="K80" s="781">
        <f>VLOOKUP(D80,'CNKT '!$C$16:$Z$93,24,0)</f>
        <v>3925774</v>
      </c>
      <c r="L80" s="781"/>
      <c r="M80" s="783">
        <f t="shared" si="4"/>
        <v>3925774</v>
      </c>
      <c r="N80" s="324"/>
      <c r="O80" s="147"/>
    </row>
    <row r="81" spans="1:16" s="148" customFormat="1" ht="21.75" customHeight="1">
      <c r="A81" s="267">
        <v>68</v>
      </c>
      <c r="B81" s="947" t="str">
        <f>'Chấm công KT'!D80</f>
        <v>03571</v>
      </c>
      <c r="C81" s="948"/>
      <c r="D81" s="786" t="str">
        <f>'CNKT '!C83</f>
        <v>T. Ê</v>
      </c>
      <c r="E81" s="786" t="s">
        <v>30</v>
      </c>
      <c r="F81" s="781">
        <f>VLOOKUP(D81,'CNKT '!$C$16:$F$93,4,0)</f>
        <v>0</v>
      </c>
      <c r="G81" s="781">
        <f>VLOOKUP(D81,'CNKT '!$C$16:$L$93,10,0)</f>
        <v>734846</v>
      </c>
      <c r="H81" s="781">
        <f>VLOOKUP(D81,'CNKT '!$C$16:$W$93,21,0)</f>
        <v>1208658</v>
      </c>
      <c r="I81" s="781">
        <f t="shared" si="3"/>
        <v>1943504</v>
      </c>
      <c r="J81" s="781"/>
      <c r="K81" s="781">
        <f>VLOOKUP(D81,'CNKT '!$C$16:$Z$93,24,0)</f>
        <v>1943504</v>
      </c>
      <c r="L81" s="781"/>
      <c r="M81" s="783">
        <f t="shared" si="4"/>
        <v>1943504</v>
      </c>
      <c r="N81" s="324"/>
      <c r="O81" s="147"/>
    </row>
    <row r="82" spans="1:16" s="148" customFormat="1" ht="21.75" customHeight="1">
      <c r="A82" s="267">
        <v>69</v>
      </c>
      <c r="B82" s="947"/>
      <c r="C82" s="948"/>
      <c r="D82" s="786" t="str">
        <f>'CNKT '!C84</f>
        <v>T Bun</v>
      </c>
      <c r="E82" s="786" t="s">
        <v>30</v>
      </c>
      <c r="F82" s="781">
        <f>VLOOKUP(D82,'CNKT '!$C$16:$F$93,4,0)</f>
        <v>0</v>
      </c>
      <c r="G82" s="781">
        <f>VLOOKUP(D82,'CNKT '!$C$16:$L$93,10,0)</f>
        <v>2687041</v>
      </c>
      <c r="H82" s="781">
        <f>VLOOKUP(D82,'CNKT '!$C$16:$W$93,21,0)</f>
        <v>1362685</v>
      </c>
      <c r="I82" s="781">
        <f t="shared" si="3"/>
        <v>4049726</v>
      </c>
      <c r="J82" s="781"/>
      <c r="K82" s="781">
        <f>VLOOKUP(D82,'CNKT '!$C$16:$Z$93,24,0)</f>
        <v>4049726</v>
      </c>
      <c r="L82" s="781"/>
      <c r="M82" s="783">
        <f t="shared" si="4"/>
        <v>4049726</v>
      </c>
      <c r="N82" s="324"/>
      <c r="O82" s="147"/>
    </row>
    <row r="83" spans="1:16" s="148" customFormat="1" ht="21.75" customHeight="1">
      <c r="A83" s="267">
        <v>70</v>
      </c>
      <c r="B83" s="947" t="str">
        <f>'Chấm công KT'!D82</f>
        <v>03515</v>
      </c>
      <c r="C83" s="948"/>
      <c r="D83" s="786" t="str">
        <f>'CNKT '!C85</f>
        <v>N. Xi</v>
      </c>
      <c r="E83" s="786" t="s">
        <v>30</v>
      </c>
      <c r="F83" s="781">
        <f>VLOOKUP(D83,'CNKT '!$C$16:$F$93,4,0)</f>
        <v>0</v>
      </c>
      <c r="G83" s="781">
        <f>VLOOKUP(D83,'CNKT '!$C$16:$L$93,10,0)</f>
        <v>3106537</v>
      </c>
      <c r="H83" s="781">
        <f>VLOOKUP(D83,'CNKT '!$C$16:$W$93,21,0)</f>
        <v>1506488</v>
      </c>
      <c r="I83" s="781">
        <f t="shared" si="3"/>
        <v>4613025</v>
      </c>
      <c r="J83" s="781"/>
      <c r="K83" s="781">
        <f>VLOOKUP(D83,'CNKT '!$C$16:$Z$93,24,0)</f>
        <v>4613025</v>
      </c>
      <c r="L83" s="781"/>
      <c r="M83" s="783">
        <f t="shared" si="4"/>
        <v>4613025</v>
      </c>
      <c r="N83" s="324"/>
      <c r="O83" s="147"/>
    </row>
    <row r="84" spans="1:16" s="148" customFormat="1" ht="21.75" customHeight="1">
      <c r="A84" s="267">
        <v>71</v>
      </c>
      <c r="B84" s="947" t="str">
        <f>'Chấm công KT'!D83</f>
        <v>03516</v>
      </c>
      <c r="C84" s="948"/>
      <c r="D84" s="786" t="str">
        <f>'CNKT '!C86</f>
        <v>N. Chay</v>
      </c>
      <c r="E84" s="786" t="s">
        <v>30</v>
      </c>
      <c r="F84" s="781">
        <f>VLOOKUP(D84,'CNKT '!$C$16:$F$93,4,0)</f>
        <v>0</v>
      </c>
      <c r="G84" s="781">
        <f>VLOOKUP(D84,'CNKT '!$C$16:$L$93,10,0)</f>
        <v>2152278</v>
      </c>
      <c r="H84" s="781">
        <f>VLOOKUP(D84,'CNKT '!$C$16:$W$93,21,0)</f>
        <v>1475683</v>
      </c>
      <c r="I84" s="781">
        <f t="shared" si="3"/>
        <v>3627961</v>
      </c>
      <c r="J84" s="781"/>
      <c r="K84" s="781">
        <f>VLOOKUP(D84,'CNKT '!$C$16:$Z$93,24,0)</f>
        <v>3627961</v>
      </c>
      <c r="L84" s="781"/>
      <c r="M84" s="783">
        <f t="shared" si="4"/>
        <v>3627961</v>
      </c>
      <c r="N84" s="324"/>
      <c r="O84" s="147"/>
    </row>
    <row r="85" spans="1:16" s="148" customFormat="1" ht="21.75" customHeight="1">
      <c r="A85" s="267">
        <v>72</v>
      </c>
      <c r="B85" s="947" t="str">
        <f>'Chấm công KT'!D84</f>
        <v>03544</v>
      </c>
      <c r="C85" s="948"/>
      <c r="D85" s="786" t="str">
        <f>'CNKT '!C87</f>
        <v>T. Ta</v>
      </c>
      <c r="E85" s="786" t="s">
        <v>30</v>
      </c>
      <c r="F85" s="781">
        <f>VLOOKUP(D85,'CNKT '!$C$16:$F$93,4,0)</f>
        <v>0</v>
      </c>
      <c r="G85" s="781">
        <f>VLOOKUP(D85,'CNKT '!$C$16:$L$93,10,0)</f>
        <v>2040791</v>
      </c>
      <c r="H85" s="781">
        <f>VLOOKUP(D85,'CNKT '!$C$16:$W$93,21,0)</f>
        <v>1537293</v>
      </c>
      <c r="I85" s="781">
        <f t="shared" si="3"/>
        <v>3578084</v>
      </c>
      <c r="J85" s="781"/>
      <c r="K85" s="781">
        <f>VLOOKUP(D85,'CNKT '!$C$16:$Z$93,24,0)</f>
        <v>3578084</v>
      </c>
      <c r="L85" s="781"/>
      <c r="M85" s="783">
        <f t="shared" si="4"/>
        <v>3578084</v>
      </c>
      <c r="N85" s="324"/>
      <c r="O85" s="147"/>
    </row>
    <row r="86" spans="1:16" s="148" customFormat="1" ht="21.75" customHeight="1">
      <c r="A86" s="267">
        <v>73</v>
      </c>
      <c r="B86" s="947"/>
      <c r="C86" s="948"/>
      <c r="D86" s="786" t="str">
        <f>'CNKT '!C88</f>
        <v>T. Ne</v>
      </c>
      <c r="E86" s="786" t="s">
        <v>30</v>
      </c>
      <c r="F86" s="781">
        <f>VLOOKUP(D86,'CNKT '!$C$16:$F$93,4,0)</f>
        <v>0</v>
      </c>
      <c r="G86" s="781">
        <f>VLOOKUP(D86,'CNKT '!$C$16:$L$93,10,0)</f>
        <v>2008667</v>
      </c>
      <c r="H86" s="781">
        <f>VLOOKUP(D86,'CNKT '!$C$16:$W$93,21,0)</f>
        <v>1537293</v>
      </c>
      <c r="I86" s="781">
        <f t="shared" si="3"/>
        <v>3545960</v>
      </c>
      <c r="J86" s="781"/>
      <c r="K86" s="781">
        <f>VLOOKUP(D86,'CNKT '!$C$16:$Z$93,24,0)</f>
        <v>3545960</v>
      </c>
      <c r="L86" s="781"/>
      <c r="M86" s="783">
        <f t="shared" si="4"/>
        <v>3545960</v>
      </c>
      <c r="N86" s="324"/>
      <c r="O86" s="147"/>
    </row>
    <row r="87" spans="1:16" s="148" customFormat="1" ht="21.75" hidden="1" customHeight="1">
      <c r="A87" s="267">
        <v>74</v>
      </c>
      <c r="B87" s="947"/>
      <c r="C87" s="948"/>
      <c r="D87" s="786" t="str">
        <f>'CNKT '!C89</f>
        <v>T. Tý</v>
      </c>
      <c r="E87" s="786" t="s">
        <v>30</v>
      </c>
      <c r="F87" s="781">
        <f>VLOOKUP(D87,'CNKT '!$C$16:$F$93,4,0)</f>
        <v>0</v>
      </c>
      <c r="G87" s="781">
        <f>VLOOKUP(D87,'CNKT '!$C$16:$L$93,10,0)</f>
        <v>0</v>
      </c>
      <c r="H87" s="781">
        <f>VLOOKUP(D87,'CNKT '!$C$16:$W$93,21,0)</f>
        <v>0</v>
      </c>
      <c r="I87" s="781">
        <f t="shared" ref="I87:I94" si="5">SUM(F87:H87)</f>
        <v>0</v>
      </c>
      <c r="J87" s="781"/>
      <c r="K87" s="781">
        <f>VLOOKUP(D87,'CNKT '!$C$16:$Z$93,24,0)</f>
        <v>0</v>
      </c>
      <c r="L87" s="781"/>
      <c r="M87" s="783">
        <f t="shared" ref="M87:M94" si="6">K87-L87</f>
        <v>0</v>
      </c>
      <c r="N87" s="324"/>
      <c r="O87" s="147"/>
    </row>
    <row r="88" spans="1:16" s="148" customFormat="1" ht="21.75" customHeight="1">
      <c r="A88" s="267">
        <v>74</v>
      </c>
      <c r="B88" s="947"/>
      <c r="C88" s="948"/>
      <c r="D88" s="786" t="str">
        <f>'CNKT '!C90</f>
        <v>T.Lã</v>
      </c>
      <c r="E88" s="786" t="s">
        <v>30</v>
      </c>
      <c r="F88" s="781">
        <f>VLOOKUP(D88,'CNKT '!$C$16:$F$93,4,0)</f>
        <v>0</v>
      </c>
      <c r="G88" s="781">
        <f>VLOOKUP(D88,'CNKT '!$C$16:$L$93,10,0)</f>
        <v>352678</v>
      </c>
      <c r="H88" s="781">
        <f>VLOOKUP(D88,'CNKT '!$C$16:$W$93,21,0)</f>
        <v>154027</v>
      </c>
      <c r="I88" s="781">
        <f t="shared" si="5"/>
        <v>506705</v>
      </c>
      <c r="J88" s="781"/>
      <c r="K88" s="781">
        <f>VLOOKUP(D88,'CNKT '!$C$16:$Z$93,24,0)</f>
        <v>506705</v>
      </c>
      <c r="L88" s="781"/>
      <c r="M88" s="783">
        <f t="shared" si="6"/>
        <v>506705</v>
      </c>
      <c r="N88" s="324"/>
      <c r="O88" s="147"/>
    </row>
    <row r="89" spans="1:16" s="148" customFormat="1" ht="21.75" customHeight="1">
      <c r="A89" s="267">
        <v>75</v>
      </c>
      <c r="B89" s="947"/>
      <c r="C89" s="948"/>
      <c r="D89" s="786" t="str">
        <f>'CNKT '!C91</f>
        <v>N. Veo</v>
      </c>
      <c r="E89" s="786" t="s">
        <v>30</v>
      </c>
      <c r="F89" s="781">
        <f>VLOOKUP(D89,'CNKT '!$C$16:$F$93,4,0)</f>
        <v>0</v>
      </c>
      <c r="G89" s="781">
        <f>VLOOKUP(D89,'CNKT '!$C$16:$L$93,10,0)</f>
        <v>211266</v>
      </c>
      <c r="H89" s="781">
        <f>VLOOKUP(D89,'CNKT '!$C$16:$W$93,21,0)</f>
        <v>154027</v>
      </c>
      <c r="I89" s="781">
        <f t="shared" si="5"/>
        <v>365293</v>
      </c>
      <c r="J89" s="781"/>
      <c r="K89" s="781">
        <f>VLOOKUP(D89,'CNKT '!$C$16:$Z$93,24,0)</f>
        <v>365293</v>
      </c>
      <c r="L89" s="781"/>
      <c r="M89" s="783">
        <f t="shared" si="6"/>
        <v>365293</v>
      </c>
      <c r="N89" s="324"/>
      <c r="O89" s="147"/>
    </row>
    <row r="90" spans="1:16" s="148" customFormat="1" ht="21.75" customHeight="1">
      <c r="A90" s="267">
        <v>76</v>
      </c>
      <c r="B90" s="947"/>
      <c r="C90" s="948"/>
      <c r="D90" s="786" t="str">
        <f>'CNKT '!C92</f>
        <v>T.Pu</v>
      </c>
      <c r="E90" s="786" t="s">
        <v>30</v>
      </c>
      <c r="F90" s="781">
        <f>VLOOKUP(D90,'CNKT '!$C$16:$F$97,4,0)</f>
        <v>0</v>
      </c>
      <c r="G90" s="781">
        <f>VLOOKUP(D90,'CNKT '!$C$16:$L$97,10,0)</f>
        <v>20534</v>
      </c>
      <c r="H90" s="781">
        <f>VLOOKUP(D90,'CNKT '!$C$16:$W$97,21,0)</f>
        <v>92422</v>
      </c>
      <c r="I90" s="781">
        <f t="shared" si="5"/>
        <v>112956</v>
      </c>
      <c r="J90" s="781"/>
      <c r="K90" s="781">
        <f>VLOOKUP(D90,'CNKT '!$C$16:$Z$97,24,0)</f>
        <v>112956</v>
      </c>
      <c r="L90" s="781"/>
      <c r="M90" s="783">
        <f t="shared" si="6"/>
        <v>112956</v>
      </c>
      <c r="N90" s="324"/>
      <c r="O90" s="147"/>
    </row>
    <row r="91" spans="1:16" s="148" customFormat="1" ht="21.75" hidden="1" customHeight="1">
      <c r="A91" s="267">
        <v>78</v>
      </c>
      <c r="B91" s="947"/>
      <c r="C91" s="948"/>
      <c r="D91" s="786" t="str">
        <f>'CNKT '!C93</f>
        <v>T.Ta</v>
      </c>
      <c r="E91" s="786" t="s">
        <v>30</v>
      </c>
      <c r="F91" s="781">
        <f>VLOOKUP(D91,'CNKT '!$C$16:$F$97,4,0)</f>
        <v>0</v>
      </c>
      <c r="G91" s="781">
        <f>VLOOKUP(D91,'CNKT '!$C$16:$L$97,10,0)</f>
        <v>0</v>
      </c>
      <c r="H91" s="781">
        <f>VLOOKUP(D91,'CNKT '!$C$16:$W$97,21,0)</f>
        <v>0</v>
      </c>
      <c r="I91" s="781">
        <f t="shared" si="5"/>
        <v>0</v>
      </c>
      <c r="J91" s="781"/>
      <c r="K91" s="781">
        <f>VLOOKUP(D91,'CNKT '!$C$16:$Z$97,24,0)</f>
        <v>0</v>
      </c>
      <c r="L91" s="781"/>
      <c r="M91" s="783">
        <f t="shared" si="6"/>
        <v>0</v>
      </c>
      <c r="N91" s="324"/>
      <c r="O91" s="147"/>
    </row>
    <row r="92" spans="1:16" s="148" customFormat="1" ht="21.75" hidden="1" customHeight="1">
      <c r="A92" s="267">
        <v>79</v>
      </c>
      <c r="B92" s="947"/>
      <c r="C92" s="948"/>
      <c r="D92" s="786" t="str">
        <f>'CNKT '!C94</f>
        <v>N.Nang</v>
      </c>
      <c r="E92" s="786" t="s">
        <v>30</v>
      </c>
      <c r="F92" s="781">
        <f>VLOOKUP(D92,'CNKT '!$C$16:$F$97,4,0)</f>
        <v>0</v>
      </c>
      <c r="G92" s="781">
        <f>VLOOKUP(D92,'CNKT '!$C$16:$L$97,10,0)</f>
        <v>0</v>
      </c>
      <c r="H92" s="781">
        <f>VLOOKUP(D92,'CNKT '!$C$16:$W$97,21,0)</f>
        <v>0</v>
      </c>
      <c r="I92" s="781">
        <f t="shared" si="5"/>
        <v>0</v>
      </c>
      <c r="J92" s="781"/>
      <c r="K92" s="781">
        <f>VLOOKUP(D92,'CNKT '!$C$16:$Z$97,24,0)</f>
        <v>0</v>
      </c>
      <c r="L92" s="781"/>
      <c r="M92" s="783">
        <f t="shared" si="6"/>
        <v>0</v>
      </c>
      <c r="N92" s="324"/>
      <c r="O92" s="147"/>
    </row>
    <row r="93" spans="1:16" s="148" customFormat="1" ht="21.75" hidden="1" customHeight="1">
      <c r="A93" s="267">
        <v>80</v>
      </c>
      <c r="B93" s="947"/>
      <c r="C93" s="948"/>
      <c r="D93" s="786" t="str">
        <f>'CNKT '!C95</f>
        <v>T. Tan</v>
      </c>
      <c r="E93" s="786" t="s">
        <v>30</v>
      </c>
      <c r="F93" s="781">
        <f>VLOOKUP(D93,'CNKT '!$C$16:$F$97,4,0)</f>
        <v>0</v>
      </c>
      <c r="G93" s="781">
        <f>VLOOKUP(D93,'CNKT '!$C$16:$L$97,10,0)</f>
        <v>0</v>
      </c>
      <c r="H93" s="781">
        <f>VLOOKUP(D93,'CNKT '!$C$16:$W$97,21,0)</f>
        <v>0</v>
      </c>
      <c r="I93" s="781">
        <f t="shared" si="5"/>
        <v>0</v>
      </c>
      <c r="J93" s="781"/>
      <c r="K93" s="781">
        <f>VLOOKUP(D93,'CNKT '!$C$16:$Z$97,24,0)</f>
        <v>0</v>
      </c>
      <c r="L93" s="781"/>
      <c r="M93" s="783">
        <f t="shared" si="6"/>
        <v>0</v>
      </c>
      <c r="N93" s="324"/>
      <c r="O93" s="147"/>
    </row>
    <row r="94" spans="1:16" s="148" customFormat="1" ht="21.75" customHeight="1">
      <c r="A94" s="267">
        <v>77</v>
      </c>
      <c r="B94" s="947"/>
      <c r="C94" s="948"/>
      <c r="D94" s="786" t="str">
        <f>'CNKT '!C96</f>
        <v>T.Say</v>
      </c>
      <c r="E94" s="786" t="s">
        <v>30</v>
      </c>
      <c r="F94" s="781">
        <f>VLOOKUP(D94,'CNKT '!$C$16:$F$97,4,0)</f>
        <v>0</v>
      </c>
      <c r="G94" s="781">
        <f>VLOOKUP(D94,'CNKT '!$C$16:$L$97,10,0)</f>
        <v>0</v>
      </c>
      <c r="H94" s="781">
        <f>VLOOKUP(D94,'CNKT '!$C$16:$W$97,21,0)</f>
        <v>0</v>
      </c>
      <c r="I94" s="781">
        <f t="shared" si="5"/>
        <v>0</v>
      </c>
      <c r="J94" s="781"/>
      <c r="K94" s="781">
        <f>VLOOKUP(D94,'CNKT '!$C$16:$Z$97,24,0)</f>
        <v>0</v>
      </c>
      <c r="L94" s="781"/>
      <c r="M94" s="783">
        <f t="shared" si="6"/>
        <v>0</v>
      </c>
      <c r="N94" s="324"/>
      <c r="O94" s="147"/>
    </row>
    <row r="95" spans="1:16" s="148" customFormat="1" ht="21.75" customHeight="1">
      <c r="A95" s="1546" t="s">
        <v>631</v>
      </c>
      <c r="B95" s="1546"/>
      <c r="C95" s="1546"/>
      <c r="D95" s="1546"/>
      <c r="E95" s="1546"/>
      <c r="F95" s="946">
        <f>SUM(F96:F159)</f>
        <v>0</v>
      </c>
      <c r="G95" s="946">
        <f t="shared" ref="G95:M95" si="7">SUM(G96:G159)</f>
        <v>184150425</v>
      </c>
      <c r="H95" s="946">
        <f t="shared" si="7"/>
        <v>86821270</v>
      </c>
      <c r="I95" s="946">
        <f t="shared" si="7"/>
        <v>270971695</v>
      </c>
      <c r="J95" s="946">
        <f t="shared" si="7"/>
        <v>0</v>
      </c>
      <c r="K95" s="946">
        <f t="shared" si="7"/>
        <v>270971695</v>
      </c>
      <c r="L95" s="946">
        <f t="shared" si="7"/>
        <v>0</v>
      </c>
      <c r="M95" s="946">
        <f t="shared" si="7"/>
        <v>270971695</v>
      </c>
      <c r="N95" s="282"/>
      <c r="O95" s="147" t="e">
        <f>I95-#REF!-#REF!-L95</f>
        <v>#REF!</v>
      </c>
      <c r="P95" s="150" t="e">
        <f>#REF!-O95</f>
        <v>#REF!</v>
      </c>
    </row>
    <row r="96" spans="1:16" s="149" customFormat="1" ht="21.75" customHeight="1">
      <c r="A96" s="267">
        <v>1</v>
      </c>
      <c r="B96" s="947"/>
      <c r="C96" s="948"/>
      <c r="D96" s="782" t="str">
        <f>'CNKT '!C98</f>
        <v xml:space="preserve">T. Lun </v>
      </c>
      <c r="E96" s="782" t="s">
        <v>30</v>
      </c>
      <c r="F96" s="781">
        <f>VLOOKUP(D96,'CNKT '!$C$98:$F$161,4,0)</f>
        <v>0</v>
      </c>
      <c r="G96" s="781">
        <f>VLOOKUP(D96,'CNKT '!$C$98:$L$161,10,0)</f>
        <v>3748982</v>
      </c>
      <c r="H96" s="781">
        <f>VLOOKUP(D96,'CNKT '!$C$98:$W$161,21,0)</f>
        <v>1506488</v>
      </c>
      <c r="I96" s="781">
        <f>SUM(F96:H96)</f>
        <v>5255470</v>
      </c>
      <c r="J96" s="781"/>
      <c r="K96" s="781">
        <f>VLOOKUP(D96,'CNKT '!$C$98:$Z$161,24,0)</f>
        <v>5255470</v>
      </c>
      <c r="L96" s="781"/>
      <c r="M96" s="783">
        <f>K96-J96</f>
        <v>5255470</v>
      </c>
      <c r="N96" s="949"/>
    </row>
    <row r="97" spans="1:14" s="149" customFormat="1" ht="21.75" customHeight="1">
      <c r="A97" s="267">
        <v>2</v>
      </c>
      <c r="B97" s="947" t="str">
        <f>'Chấm công KT'!D95</f>
        <v>03466</v>
      </c>
      <c r="C97" s="948"/>
      <c r="D97" s="782" t="str">
        <f>'CNKT '!C99</f>
        <v>N. Keo</v>
      </c>
      <c r="E97" s="782" t="s">
        <v>30</v>
      </c>
      <c r="F97" s="781">
        <f>VLOOKUP(D97,'CNKT '!$C$98:$F$161,4,0)</f>
        <v>0</v>
      </c>
      <c r="G97" s="781">
        <f>VLOOKUP(D97,'CNKT '!$C$98:$L$161,10,0)</f>
        <v>3341565</v>
      </c>
      <c r="H97" s="781">
        <f>VLOOKUP(D97,'CNKT '!$C$98:$W$161,21,0)</f>
        <v>1455101</v>
      </c>
      <c r="I97" s="781">
        <f t="shared" ref="I97:I153" si="8">SUM(F97:H97)</f>
        <v>4796666</v>
      </c>
      <c r="J97" s="781"/>
      <c r="K97" s="781">
        <f>VLOOKUP(D97,'CNKT '!$C$98:$Z$161,24,0)</f>
        <v>4796666</v>
      </c>
      <c r="L97" s="781"/>
      <c r="M97" s="783">
        <f t="shared" ref="M97:M153" si="9">K97-J97</f>
        <v>4796666</v>
      </c>
      <c r="N97" s="949"/>
    </row>
    <row r="98" spans="1:14" s="149" customFormat="1" ht="21.75" customHeight="1">
      <c r="A98" s="267">
        <v>3</v>
      </c>
      <c r="B98" s="947" t="str">
        <f>'Chấm công KT'!D96</f>
        <v>03590</v>
      </c>
      <c r="C98" s="948"/>
      <c r="D98" s="782" t="str">
        <f>'CNKT '!C100</f>
        <v>T .Nhum</v>
      </c>
      <c r="E98" s="782" t="s">
        <v>30</v>
      </c>
      <c r="F98" s="781">
        <f>VLOOKUP(D98,'CNKT '!$C$98:$F$161,4,0)</f>
        <v>0</v>
      </c>
      <c r="G98" s="781">
        <f>VLOOKUP(D98,'CNKT '!$C$98:$L$161,10,0)</f>
        <v>2511781</v>
      </c>
      <c r="H98" s="781">
        <f>VLOOKUP(D98,'CNKT '!$C$98:$W$161,21,0)</f>
        <v>1506488</v>
      </c>
      <c r="I98" s="781">
        <f t="shared" si="8"/>
        <v>4018269</v>
      </c>
      <c r="J98" s="781"/>
      <c r="K98" s="781">
        <f>VLOOKUP(D98,'CNKT '!$C$98:$Z$161,24,0)</f>
        <v>4018269</v>
      </c>
      <c r="L98" s="781"/>
      <c r="M98" s="783">
        <f t="shared" si="9"/>
        <v>4018269</v>
      </c>
      <c r="N98" s="949"/>
    </row>
    <row r="99" spans="1:14" s="149" customFormat="1" ht="21.75" customHeight="1">
      <c r="A99" s="267">
        <v>4</v>
      </c>
      <c r="B99" s="947" t="str">
        <f>'Chấm công KT'!D97</f>
        <v>03591</v>
      </c>
      <c r="C99" s="948"/>
      <c r="D99" s="782" t="str">
        <f>'CNKT '!C101</f>
        <v>N.Vông Ma Ni</v>
      </c>
      <c r="E99" s="782" t="s">
        <v>30</v>
      </c>
      <c r="F99" s="781">
        <f>VLOOKUP(D99,'CNKT '!$C$98:$F$161,4,0)</f>
        <v>0</v>
      </c>
      <c r="G99" s="781">
        <f>VLOOKUP(D99,'CNKT '!$C$98:$L$161,10,0)</f>
        <v>3562094</v>
      </c>
      <c r="H99" s="781">
        <f>VLOOKUP(D99,'CNKT '!$C$98:$W$161,21,0)</f>
        <v>1506488</v>
      </c>
      <c r="I99" s="781">
        <f t="shared" si="8"/>
        <v>5068582</v>
      </c>
      <c r="J99" s="781"/>
      <c r="K99" s="781">
        <f>VLOOKUP(D99,'CNKT '!$C$98:$Z$161,24,0)</f>
        <v>5068582</v>
      </c>
      <c r="L99" s="781"/>
      <c r="M99" s="783">
        <f t="shared" si="9"/>
        <v>5068582</v>
      </c>
      <c r="N99" s="949"/>
    </row>
    <row r="100" spans="1:14" s="149" customFormat="1" ht="21.75" customHeight="1">
      <c r="A100" s="267">
        <v>5</v>
      </c>
      <c r="B100" s="947" t="str">
        <f>'Chấm công KT'!D98</f>
        <v>03592</v>
      </c>
      <c r="C100" s="948"/>
      <c r="D100" s="782" t="str">
        <f>'CNKT '!C102</f>
        <v>Đao Hương</v>
      </c>
      <c r="E100" s="782" t="s">
        <v>30</v>
      </c>
      <c r="F100" s="781">
        <f>VLOOKUP(D100,'CNKT '!$C$98:$F$161,4,0)</f>
        <v>0</v>
      </c>
      <c r="G100" s="781">
        <f>VLOOKUP(D100,'CNKT '!$C$98:$L$161,10,0)</f>
        <v>3449961</v>
      </c>
      <c r="H100" s="781">
        <f>VLOOKUP(D100,'CNKT '!$C$98:$W$161,21,0)</f>
        <v>1506488</v>
      </c>
      <c r="I100" s="781">
        <f t="shared" si="8"/>
        <v>4956449</v>
      </c>
      <c r="J100" s="781"/>
      <c r="K100" s="781">
        <f>VLOOKUP(D100,'CNKT '!$C$98:$Z$161,24,0)</f>
        <v>4956449</v>
      </c>
      <c r="L100" s="781"/>
      <c r="M100" s="783">
        <f t="shared" si="9"/>
        <v>4956449</v>
      </c>
      <c r="N100" s="949"/>
    </row>
    <row r="101" spans="1:14" s="149" customFormat="1" ht="21.75" customHeight="1">
      <c r="A101" s="267">
        <v>6</v>
      </c>
      <c r="B101" s="947" t="str">
        <f>'Chấm công KT'!D99</f>
        <v>03593</v>
      </c>
      <c r="C101" s="948"/>
      <c r="D101" s="782" t="str">
        <f>'CNKT '!C103</f>
        <v>T. Xi Nun</v>
      </c>
      <c r="E101" s="782" t="s">
        <v>30</v>
      </c>
      <c r="F101" s="781">
        <f>VLOOKUP(D101,'CNKT '!$C$98:$F$161,4,0)</f>
        <v>0</v>
      </c>
      <c r="G101" s="781">
        <f>VLOOKUP(D101,'CNKT '!$C$98:$L$161,10,0)</f>
        <v>1570843</v>
      </c>
      <c r="H101" s="781">
        <f>VLOOKUP(D101,'CNKT '!$C$98:$W$161,21,0)</f>
        <v>1198300</v>
      </c>
      <c r="I101" s="781">
        <f t="shared" si="8"/>
        <v>2769143</v>
      </c>
      <c r="J101" s="781"/>
      <c r="K101" s="781">
        <f>VLOOKUP(D101,'CNKT '!$C$98:$Z$161,24,0)</f>
        <v>2769143</v>
      </c>
      <c r="L101" s="781"/>
      <c r="M101" s="783">
        <f t="shared" si="9"/>
        <v>2769143</v>
      </c>
      <c r="N101" s="949"/>
    </row>
    <row r="102" spans="1:14" s="149" customFormat="1" ht="21.75" customHeight="1">
      <c r="A102" s="267">
        <v>7</v>
      </c>
      <c r="B102" s="947" t="str">
        <f>'Chấm công KT'!D100</f>
        <v>03594</v>
      </c>
      <c r="C102" s="948"/>
      <c r="D102" s="782" t="str">
        <f>'CNKT '!C104</f>
        <v>T. Bun Hinh</v>
      </c>
      <c r="E102" s="782" t="s">
        <v>30</v>
      </c>
      <c r="F102" s="781">
        <f>VLOOKUP(D102,'CNKT '!$C$98:$F$161,4,0)</f>
        <v>0</v>
      </c>
      <c r="G102" s="781">
        <f>VLOOKUP(D102,'CNKT '!$C$98:$L$161,10,0)</f>
        <v>3864853</v>
      </c>
      <c r="H102" s="781">
        <f>VLOOKUP(D102,'CNKT '!$C$98:$W$161,21,0)</f>
        <v>1537293</v>
      </c>
      <c r="I102" s="781">
        <f t="shared" si="8"/>
        <v>5402146</v>
      </c>
      <c r="J102" s="781"/>
      <c r="K102" s="781">
        <f>VLOOKUP(D102,'CNKT '!$C$98:$Z$161,24,0)</f>
        <v>5402146</v>
      </c>
      <c r="L102" s="781"/>
      <c r="M102" s="783">
        <f t="shared" si="9"/>
        <v>5402146</v>
      </c>
      <c r="N102" s="949"/>
    </row>
    <row r="103" spans="1:14" s="149" customFormat="1" ht="21.75" customHeight="1">
      <c r="A103" s="267">
        <v>8</v>
      </c>
      <c r="B103" s="947"/>
      <c r="C103" s="948"/>
      <c r="D103" s="782" t="str">
        <f>'CNKT '!C105</f>
        <v>T. Miềng</v>
      </c>
      <c r="E103" s="782" t="s">
        <v>30</v>
      </c>
      <c r="F103" s="781">
        <f>VLOOKUP(D103,'CNKT '!$C$98:$F$161,4,0)</f>
        <v>0</v>
      </c>
      <c r="G103" s="781">
        <f>VLOOKUP(D103,'CNKT '!$C$98:$L$161,10,0)</f>
        <v>2962182</v>
      </c>
      <c r="H103" s="781">
        <f>VLOOKUP(D103,'CNKT '!$C$98:$W$161,21,0)</f>
        <v>1506488</v>
      </c>
      <c r="I103" s="781">
        <f t="shared" si="8"/>
        <v>4468670</v>
      </c>
      <c r="J103" s="781"/>
      <c r="K103" s="781">
        <f>VLOOKUP(D103,'CNKT '!$C$98:$Z$161,24,0)</f>
        <v>4468670</v>
      </c>
      <c r="L103" s="781"/>
      <c r="M103" s="783">
        <f t="shared" si="9"/>
        <v>4468670</v>
      </c>
      <c r="N103" s="949"/>
    </row>
    <row r="104" spans="1:14" s="149" customFormat="1" ht="21.75" customHeight="1">
      <c r="A104" s="267">
        <v>9</v>
      </c>
      <c r="B104" s="947" t="str">
        <f>'Chấm công KT'!D102</f>
        <v>03596</v>
      </c>
      <c r="C104" s="948"/>
      <c r="D104" s="782" t="str">
        <f>'CNKT '!C106</f>
        <v>N. Xúc</v>
      </c>
      <c r="E104" s="782" t="s">
        <v>30</v>
      </c>
      <c r="F104" s="781">
        <f>VLOOKUP(D104,'CNKT '!$C$98:$F$161,4,0)</f>
        <v>0</v>
      </c>
      <c r="G104" s="781">
        <f>VLOOKUP(D104,'CNKT '!$C$98:$L$161,10,0)</f>
        <v>3749411</v>
      </c>
      <c r="H104" s="781">
        <f>VLOOKUP(D104,'CNKT '!$C$98:$W$161,21,0)</f>
        <v>1537293</v>
      </c>
      <c r="I104" s="781">
        <f t="shared" si="8"/>
        <v>5286704</v>
      </c>
      <c r="J104" s="781"/>
      <c r="K104" s="781">
        <f>VLOOKUP(D104,'CNKT '!$C$98:$Z$161,24,0)</f>
        <v>5286704</v>
      </c>
      <c r="L104" s="781"/>
      <c r="M104" s="783">
        <f t="shared" si="9"/>
        <v>5286704</v>
      </c>
      <c r="N104" s="949"/>
    </row>
    <row r="105" spans="1:14" s="149" customFormat="1" ht="21.75" customHeight="1">
      <c r="A105" s="267">
        <v>10</v>
      </c>
      <c r="B105" s="947" t="str">
        <f>'Chấm công KT'!D103</f>
        <v>03597</v>
      </c>
      <c r="C105" s="948"/>
      <c r="D105" s="782" t="str">
        <f>'CNKT '!C107</f>
        <v>N. Lẹ</v>
      </c>
      <c r="E105" s="782" t="s">
        <v>30</v>
      </c>
      <c r="F105" s="781">
        <f>VLOOKUP(D105,'CNKT '!$C$98:$F$161,4,0)</f>
        <v>0</v>
      </c>
      <c r="G105" s="781">
        <f>VLOOKUP(D105,'CNKT '!$C$98:$L$161,10,0)</f>
        <v>2567847</v>
      </c>
      <c r="H105" s="781">
        <f>VLOOKUP(D105,'CNKT '!$C$98:$W$161,21,0)</f>
        <v>1506488</v>
      </c>
      <c r="I105" s="781">
        <f t="shared" si="8"/>
        <v>4074335</v>
      </c>
      <c r="J105" s="781"/>
      <c r="K105" s="781">
        <f>VLOOKUP(D105,'CNKT '!$C$98:$Z$161,24,0)</f>
        <v>4074335</v>
      </c>
      <c r="L105" s="781"/>
      <c r="M105" s="783">
        <f t="shared" si="9"/>
        <v>4074335</v>
      </c>
      <c r="N105" s="949"/>
    </row>
    <row r="106" spans="1:14" s="149" customFormat="1" ht="21.75" customHeight="1">
      <c r="A106" s="267">
        <v>11</v>
      </c>
      <c r="B106" s="947" t="str">
        <f>'Chấm công KT'!D104</f>
        <v>03598</v>
      </c>
      <c r="C106" s="948"/>
      <c r="D106" s="782" t="str">
        <f>'CNKT '!C108</f>
        <v>N . Thích</v>
      </c>
      <c r="E106" s="782" t="s">
        <v>30</v>
      </c>
      <c r="F106" s="781">
        <f>VLOOKUP(D106,'CNKT '!$C$98:$F$161,4,0)</f>
        <v>0</v>
      </c>
      <c r="G106" s="781">
        <f>VLOOKUP(D106,'CNKT '!$C$98:$L$161,10,0)</f>
        <v>3240646</v>
      </c>
      <c r="H106" s="781">
        <f>VLOOKUP(D106,'CNKT '!$C$98:$W$161,21,0)</f>
        <v>1506488</v>
      </c>
      <c r="I106" s="781">
        <f t="shared" si="8"/>
        <v>4747134</v>
      </c>
      <c r="J106" s="781"/>
      <c r="K106" s="781">
        <f>VLOOKUP(D106,'CNKT '!$C$98:$Z$161,24,0)</f>
        <v>4747134</v>
      </c>
      <c r="L106" s="781"/>
      <c r="M106" s="783">
        <f t="shared" si="9"/>
        <v>4747134</v>
      </c>
      <c r="N106" s="949"/>
    </row>
    <row r="107" spans="1:14" s="149" customFormat="1" ht="21.75" customHeight="1">
      <c r="A107" s="267">
        <v>12</v>
      </c>
      <c r="B107" s="947" t="str">
        <f>'Chấm công KT'!D105</f>
        <v>03599</v>
      </c>
      <c r="C107" s="948"/>
      <c r="D107" s="782" t="str">
        <f>'CNKT '!C109</f>
        <v>N. Cong Mi</v>
      </c>
      <c r="E107" s="782" t="s">
        <v>30</v>
      </c>
      <c r="F107" s="781">
        <f>VLOOKUP(D107,'CNKT '!$C$98:$F$161,4,0)</f>
        <v>0</v>
      </c>
      <c r="G107" s="781">
        <f>VLOOKUP(D107,'CNKT '!$C$98:$L$161,10,0)</f>
        <v>3741507</v>
      </c>
      <c r="H107" s="781">
        <f>VLOOKUP(D107,'CNKT '!$C$98:$W$161,21,0)</f>
        <v>1537293</v>
      </c>
      <c r="I107" s="781">
        <f t="shared" si="8"/>
        <v>5278800</v>
      </c>
      <c r="J107" s="781"/>
      <c r="K107" s="781">
        <f>VLOOKUP(D107,'CNKT '!$C$98:$Z$161,24,0)</f>
        <v>5278800</v>
      </c>
      <c r="L107" s="781"/>
      <c r="M107" s="783">
        <f t="shared" si="9"/>
        <v>5278800</v>
      </c>
      <c r="N107" s="949"/>
    </row>
    <row r="108" spans="1:14" s="149" customFormat="1" ht="21.75" customHeight="1">
      <c r="A108" s="267">
        <v>13</v>
      </c>
      <c r="B108" s="947"/>
      <c r="C108" s="948"/>
      <c r="D108" s="782" t="str">
        <f>'CNKT '!C110</f>
        <v>T. Na</v>
      </c>
      <c r="E108" s="782" t="s">
        <v>30</v>
      </c>
      <c r="F108" s="781">
        <f>VLOOKUP(D108,'CNKT '!$C$98:$F$161,4,0)</f>
        <v>0</v>
      </c>
      <c r="G108" s="781">
        <f>VLOOKUP(D108,'CNKT '!$C$98:$L$161,10,0)</f>
        <v>2661904</v>
      </c>
      <c r="H108" s="781">
        <f>VLOOKUP(D108,'CNKT '!$C$98:$W$161,21,0)</f>
        <v>1506488</v>
      </c>
      <c r="I108" s="781">
        <f t="shared" si="8"/>
        <v>4168392</v>
      </c>
      <c r="J108" s="781"/>
      <c r="K108" s="781">
        <f>VLOOKUP(D108,'CNKT '!$C$98:$Z$161,24,0)</f>
        <v>4168392</v>
      </c>
      <c r="L108" s="781"/>
      <c r="M108" s="783">
        <f t="shared" si="9"/>
        <v>4168392</v>
      </c>
      <c r="N108" s="949"/>
    </row>
    <row r="109" spans="1:14" s="149" customFormat="1" ht="21.75" customHeight="1">
      <c r="A109" s="267">
        <v>14</v>
      </c>
      <c r="B109" s="947" t="str">
        <f>'Chấm công KT'!D107</f>
        <v>03601</v>
      </c>
      <c r="C109" s="948"/>
      <c r="D109" s="782" t="str">
        <f>'CNKT '!C111</f>
        <v>T. Khăm Mặn</v>
      </c>
      <c r="E109" s="782" t="s">
        <v>30</v>
      </c>
      <c r="F109" s="781">
        <f>VLOOKUP(D109,'CNKT '!$C$98:$F$161,4,0)</f>
        <v>0</v>
      </c>
      <c r="G109" s="781">
        <f>VLOOKUP(D109,'CNKT '!$C$98:$L$161,10,0)</f>
        <v>4199383</v>
      </c>
      <c r="H109" s="781">
        <f>VLOOKUP(D109,'CNKT '!$C$98:$W$161,21,0)</f>
        <v>1537293</v>
      </c>
      <c r="I109" s="781">
        <f t="shared" si="8"/>
        <v>5736676</v>
      </c>
      <c r="J109" s="781"/>
      <c r="K109" s="781">
        <f>VLOOKUP(D109,'CNKT '!$C$98:$Z$161,24,0)</f>
        <v>5736676</v>
      </c>
      <c r="L109" s="781"/>
      <c r="M109" s="783">
        <f t="shared" si="9"/>
        <v>5736676</v>
      </c>
      <c r="N109" s="949"/>
    </row>
    <row r="110" spans="1:14" s="149" customFormat="1" ht="21.75" customHeight="1">
      <c r="A110" s="267">
        <v>15</v>
      </c>
      <c r="B110" s="947" t="str">
        <f>'Chấm công KT'!D108</f>
        <v>03602</v>
      </c>
      <c r="C110" s="948"/>
      <c r="D110" s="782" t="str">
        <f>'CNKT '!C112</f>
        <v>T . In Tong</v>
      </c>
      <c r="E110" s="782" t="s">
        <v>30</v>
      </c>
      <c r="F110" s="781">
        <f>VLOOKUP(D110,'CNKT '!$C$98:$F$161,4,0)</f>
        <v>0</v>
      </c>
      <c r="G110" s="781">
        <f>VLOOKUP(D110,'CNKT '!$C$98:$L$161,10,0)</f>
        <v>3104217</v>
      </c>
      <c r="H110" s="781">
        <f>VLOOKUP(D110,'CNKT '!$C$98:$W$161,21,0)</f>
        <v>1506488</v>
      </c>
      <c r="I110" s="781">
        <f t="shared" si="8"/>
        <v>4610705</v>
      </c>
      <c r="J110" s="781"/>
      <c r="K110" s="781">
        <f>VLOOKUP(D110,'CNKT '!$C$98:$Z$161,24,0)</f>
        <v>4610705</v>
      </c>
      <c r="L110" s="781"/>
      <c r="M110" s="783">
        <f t="shared" si="9"/>
        <v>4610705</v>
      </c>
      <c r="N110" s="949"/>
    </row>
    <row r="111" spans="1:14" s="149" customFormat="1" ht="21.75" customHeight="1">
      <c r="A111" s="267">
        <v>16</v>
      </c>
      <c r="B111" s="947" t="str">
        <f>'Chấm công KT'!D109</f>
        <v>03496</v>
      </c>
      <c r="C111" s="948"/>
      <c r="D111" s="782" t="str">
        <f>'CNKT '!C113</f>
        <v>T. Lốp</v>
      </c>
      <c r="E111" s="782" t="s">
        <v>30</v>
      </c>
      <c r="F111" s="781">
        <f>VLOOKUP(D111,'CNKT '!$C$98:$F$161,4,0)</f>
        <v>0</v>
      </c>
      <c r="G111" s="781">
        <f>VLOOKUP(D111,'CNKT '!$C$98:$L$161,10,0)</f>
        <v>2260309</v>
      </c>
      <c r="H111" s="781">
        <f>VLOOKUP(D111,'CNKT '!$C$98:$W$161,21,0)</f>
        <v>1352461</v>
      </c>
      <c r="I111" s="781">
        <f t="shared" si="8"/>
        <v>3612770</v>
      </c>
      <c r="J111" s="781"/>
      <c r="K111" s="781">
        <f>VLOOKUP(D111,'CNKT '!$C$98:$Z$161,24,0)</f>
        <v>3612770</v>
      </c>
      <c r="L111" s="781"/>
      <c r="M111" s="783">
        <f t="shared" si="9"/>
        <v>3612770</v>
      </c>
      <c r="N111" s="949"/>
    </row>
    <row r="112" spans="1:14" s="149" customFormat="1" ht="21.75" customHeight="1">
      <c r="A112" s="267">
        <v>17</v>
      </c>
      <c r="B112" s="947" t="str">
        <f>'Chấm công KT'!D110</f>
        <v>03604</v>
      </c>
      <c r="C112" s="948"/>
      <c r="D112" s="782" t="str">
        <f>'CNKT '!C114</f>
        <v>T. Lăm Phêng</v>
      </c>
      <c r="E112" s="782" t="s">
        <v>30</v>
      </c>
      <c r="F112" s="781">
        <f>VLOOKUP(D112,'CNKT '!$C$98:$F$161,4,0)</f>
        <v>0</v>
      </c>
      <c r="G112" s="781">
        <f>VLOOKUP(D112,'CNKT '!$C$98:$L$161,10,0)</f>
        <v>4324599</v>
      </c>
      <c r="H112" s="781">
        <f>VLOOKUP(D112,'CNKT '!$C$98:$W$161,21,0)</f>
        <v>1537293</v>
      </c>
      <c r="I112" s="781">
        <f t="shared" si="8"/>
        <v>5861892</v>
      </c>
      <c r="J112" s="781"/>
      <c r="K112" s="781">
        <f>VLOOKUP(D112,'CNKT '!$C$98:$Z$161,24,0)</f>
        <v>5861892</v>
      </c>
      <c r="L112" s="781"/>
      <c r="M112" s="783">
        <f t="shared" si="9"/>
        <v>5861892</v>
      </c>
      <c r="N112" s="949"/>
    </row>
    <row r="113" spans="1:14" s="149" customFormat="1" ht="21.75" customHeight="1">
      <c r="A113" s="267">
        <v>18</v>
      </c>
      <c r="B113" s="947"/>
      <c r="C113" s="948"/>
      <c r="D113" s="782" t="str">
        <f>'CNKT '!C115</f>
        <v>T Xèng</v>
      </c>
      <c r="E113" s="782" t="s">
        <v>30</v>
      </c>
      <c r="F113" s="781">
        <f>VLOOKUP(D113,'CNKT '!$C$98:$F$161,4,0)</f>
        <v>0</v>
      </c>
      <c r="G113" s="781">
        <f>VLOOKUP(D113,'CNKT '!$C$98:$L$161,10,0)</f>
        <v>4171350</v>
      </c>
      <c r="H113" s="781">
        <f>VLOOKUP(D113,'CNKT '!$C$98:$W$161,21,0)</f>
        <v>1537293</v>
      </c>
      <c r="I113" s="781">
        <f t="shared" si="8"/>
        <v>5708643</v>
      </c>
      <c r="J113" s="781"/>
      <c r="K113" s="781">
        <f>VLOOKUP(D113,'CNKT '!$C$98:$Z$161,24,0)</f>
        <v>5708643</v>
      </c>
      <c r="L113" s="781"/>
      <c r="M113" s="783">
        <f t="shared" si="9"/>
        <v>5708643</v>
      </c>
      <c r="N113" s="949"/>
    </row>
    <row r="114" spans="1:14" s="149" customFormat="1" ht="21.75" customHeight="1">
      <c r="A114" s="267">
        <v>19</v>
      </c>
      <c r="B114" s="947" t="str">
        <f>'Chấm công KT'!D112</f>
        <v>03509</v>
      </c>
      <c r="C114" s="948"/>
      <c r="D114" s="782" t="str">
        <f>'CNKT '!C116</f>
        <v>T. May</v>
      </c>
      <c r="E114" s="782" t="s">
        <v>30</v>
      </c>
      <c r="F114" s="781">
        <f>VLOOKUP(D114,'CNKT '!$C$98:$F$161,4,0)</f>
        <v>0</v>
      </c>
      <c r="G114" s="781">
        <f>VLOOKUP(D114,'CNKT '!$C$98:$L$161,10,0)</f>
        <v>3347172</v>
      </c>
      <c r="H114" s="781">
        <f>VLOOKUP(D114,'CNKT '!$C$98:$W$161,21,0)</f>
        <v>1485907</v>
      </c>
      <c r="I114" s="781">
        <f t="shared" si="8"/>
        <v>4833079</v>
      </c>
      <c r="J114" s="781"/>
      <c r="K114" s="781">
        <f>VLOOKUP(D114,'CNKT '!$C$98:$Z$161,24,0)</f>
        <v>4833079</v>
      </c>
      <c r="L114" s="781"/>
      <c r="M114" s="783">
        <f t="shared" si="9"/>
        <v>4833079</v>
      </c>
      <c r="N114" s="949"/>
    </row>
    <row r="115" spans="1:14" s="149" customFormat="1" ht="21.75" customHeight="1">
      <c r="A115" s="267">
        <v>20</v>
      </c>
      <c r="B115" s="947" t="str">
        <f>'Chấm công KT'!D113</f>
        <v>03607</v>
      </c>
      <c r="C115" s="948"/>
      <c r="D115" s="782" t="str">
        <f>'CNKT '!C117</f>
        <v>T. Huôn</v>
      </c>
      <c r="E115" s="782" t="s">
        <v>30</v>
      </c>
      <c r="F115" s="781">
        <f>VLOOKUP(D115,'CNKT '!$C$98:$F$161,4,0)</f>
        <v>0</v>
      </c>
      <c r="G115" s="781">
        <f>VLOOKUP(D115,'CNKT '!$C$98:$L$161,10,0)</f>
        <v>2769687</v>
      </c>
      <c r="H115" s="781">
        <f>VLOOKUP(D115,'CNKT '!$C$98:$W$161,21,0)</f>
        <v>1485907</v>
      </c>
      <c r="I115" s="781">
        <f t="shared" si="8"/>
        <v>4255594</v>
      </c>
      <c r="J115" s="781"/>
      <c r="K115" s="781">
        <f>VLOOKUP(D115,'CNKT '!$C$98:$Z$161,24,0)</f>
        <v>4255594</v>
      </c>
      <c r="L115" s="781"/>
      <c r="M115" s="783">
        <f t="shared" si="9"/>
        <v>4255594</v>
      </c>
      <c r="N115" s="949"/>
    </row>
    <row r="116" spans="1:14" s="149" customFormat="1" ht="21.75" customHeight="1">
      <c r="A116" s="267">
        <v>21</v>
      </c>
      <c r="B116" s="947" t="str">
        <f>'Chấm công KT'!D114</f>
        <v>02729</v>
      </c>
      <c r="C116" s="948"/>
      <c r="D116" s="782" t="str">
        <f>'CNKT '!C118</f>
        <v>N. Lay</v>
      </c>
      <c r="E116" s="782" t="s">
        <v>30</v>
      </c>
      <c r="F116" s="781">
        <f>VLOOKUP(D116,'CNKT '!$C$98:$F$161,4,0)</f>
        <v>0</v>
      </c>
      <c r="G116" s="781">
        <f>VLOOKUP(D116,'CNKT '!$C$98:$L$161,10,0)</f>
        <v>2663160</v>
      </c>
      <c r="H116" s="781">
        <f>VLOOKUP(D116,'CNKT '!$C$98:$W$161,21,0)</f>
        <v>1485907</v>
      </c>
      <c r="I116" s="781">
        <f t="shared" si="8"/>
        <v>4149067</v>
      </c>
      <c r="J116" s="781"/>
      <c r="K116" s="781">
        <f>VLOOKUP(D116,'CNKT '!$C$98:$Z$161,24,0)</f>
        <v>4149067</v>
      </c>
      <c r="L116" s="781"/>
      <c r="M116" s="783">
        <f t="shared" si="9"/>
        <v>4149067</v>
      </c>
      <c r="N116" s="949"/>
    </row>
    <row r="117" spans="1:14" s="149" customFormat="1" ht="21.75" customHeight="1">
      <c r="A117" s="267">
        <v>22</v>
      </c>
      <c r="B117" s="947" t="str">
        <f>'Chấm công KT'!D115</f>
        <v>03608</v>
      </c>
      <c r="C117" s="948"/>
      <c r="D117" s="782" t="str">
        <f>'CNKT '!C119</f>
        <v>N. Pon</v>
      </c>
      <c r="E117" s="782" t="s">
        <v>30</v>
      </c>
      <c r="F117" s="781">
        <f>VLOOKUP(D117,'CNKT '!$C$98:$F$161,4,0)</f>
        <v>0</v>
      </c>
      <c r="G117" s="781">
        <f>VLOOKUP(D117,'CNKT '!$C$98:$L$161,10,0)</f>
        <v>4133972</v>
      </c>
      <c r="H117" s="781">
        <f>VLOOKUP(D117,'CNKT '!$C$98:$W$161,21,0)</f>
        <v>1537293</v>
      </c>
      <c r="I117" s="781">
        <f t="shared" si="8"/>
        <v>5671265</v>
      </c>
      <c r="J117" s="781"/>
      <c r="K117" s="781">
        <f>VLOOKUP(D117,'CNKT '!$C$98:$Z$161,24,0)</f>
        <v>5671265</v>
      </c>
      <c r="L117" s="781"/>
      <c r="M117" s="783">
        <f t="shared" si="9"/>
        <v>5671265</v>
      </c>
      <c r="N117" s="949"/>
    </row>
    <row r="118" spans="1:14" s="149" customFormat="1" ht="21.75" customHeight="1">
      <c r="A118" s="267">
        <v>23</v>
      </c>
      <c r="B118" s="947" t="str">
        <f>'Chấm công KT'!D116</f>
        <v>03609</v>
      </c>
      <c r="C118" s="948"/>
      <c r="D118" s="782" t="str">
        <f>'CNKT '!C120</f>
        <v>N. Bun Đi</v>
      </c>
      <c r="E118" s="782" t="s">
        <v>30</v>
      </c>
      <c r="F118" s="781">
        <f>VLOOKUP(D118,'CNKT '!$C$98:$F$161,4,0)</f>
        <v>0</v>
      </c>
      <c r="G118" s="781">
        <f>VLOOKUP(D118,'CNKT '!$C$98:$L$161,10,0)</f>
        <v>2859393</v>
      </c>
      <c r="H118" s="781">
        <f>VLOOKUP(D118,'CNKT '!$C$98:$W$161,21,0)</f>
        <v>1537293</v>
      </c>
      <c r="I118" s="781">
        <f t="shared" si="8"/>
        <v>4396686</v>
      </c>
      <c r="J118" s="781"/>
      <c r="K118" s="781">
        <f>VLOOKUP(D118,'CNKT '!$C$98:$Z$161,24,0)</f>
        <v>4396686</v>
      </c>
      <c r="L118" s="781"/>
      <c r="M118" s="783">
        <f t="shared" si="9"/>
        <v>4396686</v>
      </c>
      <c r="N118" s="949"/>
    </row>
    <row r="119" spans="1:14" s="149" customFormat="1" ht="21.75" customHeight="1">
      <c r="A119" s="267">
        <v>24</v>
      </c>
      <c r="B119" s="947" t="str">
        <f>'Chấm công KT'!D117</f>
        <v>03610</v>
      </c>
      <c r="C119" s="948"/>
      <c r="D119" s="782" t="str">
        <f>'CNKT '!C121</f>
        <v>N. Phon</v>
      </c>
      <c r="E119" s="782" t="s">
        <v>30</v>
      </c>
      <c r="F119" s="781">
        <f>VLOOKUP(D119,'CNKT '!$C$98:$F$161,4,0)</f>
        <v>0</v>
      </c>
      <c r="G119" s="781">
        <f>VLOOKUP(D119,'CNKT '!$C$98:$L$161,10,0)</f>
        <v>2907984</v>
      </c>
      <c r="H119" s="781">
        <f>VLOOKUP(D119,'CNKT '!$C$98:$W$161,21,0)</f>
        <v>1537293</v>
      </c>
      <c r="I119" s="781">
        <f t="shared" si="8"/>
        <v>4445277</v>
      </c>
      <c r="J119" s="781"/>
      <c r="K119" s="781">
        <f>VLOOKUP(D119,'CNKT '!$C$98:$Z$161,24,0)</f>
        <v>4445277</v>
      </c>
      <c r="L119" s="781"/>
      <c r="M119" s="783">
        <f t="shared" si="9"/>
        <v>4445277</v>
      </c>
      <c r="N119" s="949"/>
    </row>
    <row r="120" spans="1:14" s="149" customFormat="1" ht="21.75" customHeight="1">
      <c r="A120" s="267">
        <v>25</v>
      </c>
      <c r="B120" s="947"/>
      <c r="C120" s="948"/>
      <c r="D120" s="782" t="str">
        <f>'CNKT '!C122</f>
        <v xml:space="preserve">N. Bun </v>
      </c>
      <c r="E120" s="782" t="s">
        <v>30</v>
      </c>
      <c r="F120" s="781">
        <f>VLOOKUP(D120,'CNKT '!$C$98:$F$161,4,0)</f>
        <v>0</v>
      </c>
      <c r="G120" s="781">
        <f>VLOOKUP(D120,'CNKT '!$C$98:$L$161,10,0)</f>
        <v>3935871</v>
      </c>
      <c r="H120" s="781">
        <f>VLOOKUP(D120,'CNKT '!$C$98:$W$161,21,0)</f>
        <v>1537293</v>
      </c>
      <c r="I120" s="781">
        <f t="shared" si="8"/>
        <v>5473164</v>
      </c>
      <c r="J120" s="781"/>
      <c r="K120" s="781">
        <f>VLOOKUP(D120,'CNKT '!$C$98:$Z$161,24,0)</f>
        <v>5473164</v>
      </c>
      <c r="L120" s="781"/>
      <c r="M120" s="783">
        <f t="shared" si="9"/>
        <v>5473164</v>
      </c>
      <c r="N120" s="949"/>
    </row>
    <row r="121" spans="1:14" s="149" customFormat="1" ht="21.75" customHeight="1">
      <c r="A121" s="267">
        <v>26</v>
      </c>
      <c r="B121" s="947" t="str">
        <f>'Chấm công KT'!D119</f>
        <v>03612</v>
      </c>
      <c r="C121" s="948"/>
      <c r="D121" s="782" t="str">
        <f>'CNKT '!C123</f>
        <v>N. Phu Văn</v>
      </c>
      <c r="E121" s="782" t="s">
        <v>30</v>
      </c>
      <c r="F121" s="781">
        <f>VLOOKUP(D121,'CNKT '!$C$98:$F$161,4,0)</f>
        <v>0</v>
      </c>
      <c r="G121" s="781">
        <f>VLOOKUP(D121,'CNKT '!$C$98:$L$161,10,0)</f>
        <v>4212466</v>
      </c>
      <c r="H121" s="781">
        <f>VLOOKUP(D121,'CNKT '!$C$98:$W$161,21,0)</f>
        <v>1537293</v>
      </c>
      <c r="I121" s="781">
        <f t="shared" si="8"/>
        <v>5749759</v>
      </c>
      <c r="J121" s="781"/>
      <c r="K121" s="781">
        <f>VLOOKUP(D121,'CNKT '!$C$98:$Z$161,24,0)</f>
        <v>5749759</v>
      </c>
      <c r="L121" s="781"/>
      <c r="M121" s="783">
        <f t="shared" si="9"/>
        <v>5749759</v>
      </c>
      <c r="N121" s="949"/>
    </row>
    <row r="122" spans="1:14" s="149" customFormat="1" ht="21.75" customHeight="1">
      <c r="A122" s="267">
        <v>27</v>
      </c>
      <c r="B122" s="947" t="str">
        <f>'Chấm công KT'!D120</f>
        <v>03613</v>
      </c>
      <c r="C122" s="948"/>
      <c r="D122" s="782" t="str">
        <f>'CNKT '!C124</f>
        <v>N. Lỷ</v>
      </c>
      <c r="E122" s="782" t="s">
        <v>30</v>
      </c>
      <c r="F122" s="781">
        <f>VLOOKUP(D122,'CNKT '!$C$98:$F$161,4,0)</f>
        <v>0</v>
      </c>
      <c r="G122" s="781">
        <f>VLOOKUP(D122,'CNKT '!$C$98:$L$161,10,0)</f>
        <v>375646</v>
      </c>
      <c r="H122" s="781">
        <f>VLOOKUP(D122,'CNKT '!$C$98:$W$161,21,0)</f>
        <v>1177853</v>
      </c>
      <c r="I122" s="781">
        <f t="shared" si="8"/>
        <v>1553499</v>
      </c>
      <c r="J122" s="781"/>
      <c r="K122" s="781">
        <f>VLOOKUP(D122,'CNKT '!$C$98:$Z$161,24,0)</f>
        <v>1553499</v>
      </c>
      <c r="L122" s="781"/>
      <c r="M122" s="783">
        <f t="shared" si="9"/>
        <v>1553499</v>
      </c>
      <c r="N122" s="949"/>
    </row>
    <row r="123" spans="1:14" s="149" customFormat="1" ht="21.75" customHeight="1">
      <c r="A123" s="267">
        <v>28</v>
      </c>
      <c r="B123" s="947"/>
      <c r="C123" s="948"/>
      <c r="D123" s="782" t="str">
        <f>'CNKT '!C125</f>
        <v>N. Quen</v>
      </c>
      <c r="E123" s="782" t="s">
        <v>30</v>
      </c>
      <c r="F123" s="781">
        <f>VLOOKUP(D123,'CNKT '!$C$98:$F$161,4,0)</f>
        <v>0</v>
      </c>
      <c r="G123" s="781">
        <f>VLOOKUP(D123,'CNKT '!$C$98:$L$161,10,0)</f>
        <v>3354648</v>
      </c>
      <c r="H123" s="781">
        <f>VLOOKUP(D123,'CNKT '!$C$98:$W$161,21,0)</f>
        <v>1537293</v>
      </c>
      <c r="I123" s="781">
        <f t="shared" si="8"/>
        <v>4891941</v>
      </c>
      <c r="J123" s="781"/>
      <c r="K123" s="781">
        <f>VLOOKUP(D123,'CNKT '!$C$98:$Z$161,24,0)</f>
        <v>4891941</v>
      </c>
      <c r="L123" s="781"/>
      <c r="M123" s="783">
        <f t="shared" si="9"/>
        <v>4891941</v>
      </c>
      <c r="N123" s="949"/>
    </row>
    <row r="124" spans="1:14" s="149" customFormat="1" ht="21.75" customHeight="1">
      <c r="A124" s="267">
        <v>29</v>
      </c>
      <c r="B124" s="947" t="str">
        <f>'Chấm công KT'!D122</f>
        <v>03615</v>
      </c>
      <c r="C124" s="948"/>
      <c r="D124" s="782" t="str">
        <f>'CNKT '!C126</f>
        <v>T. Xi Nuôn</v>
      </c>
      <c r="E124" s="782" t="s">
        <v>30</v>
      </c>
      <c r="F124" s="781">
        <f>VLOOKUP(D124,'CNKT '!$C$98:$F$161,4,0)</f>
        <v>0</v>
      </c>
      <c r="G124" s="781">
        <f>VLOOKUP(D124,'CNKT '!$C$98:$L$161,10,0)</f>
        <v>2143028</v>
      </c>
      <c r="H124" s="781">
        <f>VLOOKUP(D124,'CNKT '!$C$98:$W$161,21,0)</f>
        <v>1167495</v>
      </c>
      <c r="I124" s="781">
        <f t="shared" si="8"/>
        <v>3310523</v>
      </c>
      <c r="J124" s="781"/>
      <c r="K124" s="781">
        <f>VLOOKUP(D124,'CNKT '!$C$98:$Z$161,24,0)</f>
        <v>3310523</v>
      </c>
      <c r="L124" s="781"/>
      <c r="M124" s="783">
        <f t="shared" si="9"/>
        <v>3310523</v>
      </c>
      <c r="N124" s="949"/>
    </row>
    <row r="125" spans="1:14" s="149" customFormat="1" ht="21.75" customHeight="1">
      <c r="A125" s="267">
        <v>30</v>
      </c>
      <c r="B125" s="947" t="str">
        <f>'Chấm công KT'!D123</f>
        <v>03616</v>
      </c>
      <c r="C125" s="948"/>
      <c r="D125" s="782" t="str">
        <f>'CNKT '!C127</f>
        <v>N. Ốc</v>
      </c>
      <c r="E125" s="782" t="s">
        <v>30</v>
      </c>
      <c r="F125" s="781">
        <f>VLOOKUP(D125,'CNKT '!$C$98:$F$161,4,0)</f>
        <v>0</v>
      </c>
      <c r="G125" s="781">
        <f>VLOOKUP(D125,'CNKT '!$C$98:$L$161,10,0)</f>
        <v>405548</v>
      </c>
      <c r="H125" s="781">
        <f>VLOOKUP(D125,'CNKT '!$C$98:$W$161,21,0)</f>
        <v>1177853</v>
      </c>
      <c r="I125" s="781">
        <f t="shared" si="8"/>
        <v>1583401</v>
      </c>
      <c r="J125" s="781"/>
      <c r="K125" s="781">
        <f>VLOOKUP(D125,'CNKT '!$C$98:$Z$161,24,0)</f>
        <v>1583401</v>
      </c>
      <c r="L125" s="781"/>
      <c r="M125" s="783">
        <f t="shared" si="9"/>
        <v>1583401</v>
      </c>
      <c r="N125" s="949"/>
    </row>
    <row r="126" spans="1:14" s="149" customFormat="1" ht="21.75" customHeight="1">
      <c r="A126" s="267">
        <v>31</v>
      </c>
      <c r="B126" s="947" t="str">
        <f>'Chấm công KT'!D124</f>
        <v>03617</v>
      </c>
      <c r="C126" s="948"/>
      <c r="D126" s="782" t="str">
        <f>'CNKT '!C128</f>
        <v>T. Văn Nô</v>
      </c>
      <c r="E126" s="782" t="s">
        <v>30</v>
      </c>
      <c r="F126" s="781">
        <f>VLOOKUP(D126,'CNKT '!$C$98:$F$161,4,0)</f>
        <v>0</v>
      </c>
      <c r="G126" s="781">
        <f>VLOOKUP(D126,'CNKT '!$C$98:$L$161,10,0)</f>
        <v>4272270</v>
      </c>
      <c r="H126" s="781">
        <f>VLOOKUP(D126,'CNKT '!$C$98:$W$161,21,0)</f>
        <v>1537293</v>
      </c>
      <c r="I126" s="781">
        <f t="shared" si="8"/>
        <v>5809563</v>
      </c>
      <c r="J126" s="781"/>
      <c r="K126" s="781">
        <f>VLOOKUP(D126,'CNKT '!$C$98:$Z$161,24,0)</f>
        <v>5809563</v>
      </c>
      <c r="L126" s="781"/>
      <c r="M126" s="783">
        <f t="shared" si="9"/>
        <v>5809563</v>
      </c>
      <c r="N126" s="949"/>
    </row>
    <row r="127" spans="1:14" s="149" customFormat="1" ht="21.75" customHeight="1">
      <c r="A127" s="267">
        <v>32</v>
      </c>
      <c r="B127" s="947" t="str">
        <f>'Chấm công KT'!D125</f>
        <v>03618</v>
      </c>
      <c r="C127" s="948"/>
      <c r="D127" s="782" t="str">
        <f>'CNKT '!C129</f>
        <v>N. Văn Ta</v>
      </c>
      <c r="E127" s="782" t="s">
        <v>30</v>
      </c>
      <c r="F127" s="781">
        <f>VLOOKUP(D127,'CNKT '!$C$98:$F$161,4,0)</f>
        <v>0</v>
      </c>
      <c r="G127" s="781">
        <f>VLOOKUP(D127,'CNKT '!$C$98:$L$161,10,0)</f>
        <v>3012642</v>
      </c>
      <c r="H127" s="781">
        <f>VLOOKUP(D127,'CNKT '!$C$98:$W$161,21,0)</f>
        <v>1475683</v>
      </c>
      <c r="I127" s="781">
        <f t="shared" si="8"/>
        <v>4488325</v>
      </c>
      <c r="J127" s="781"/>
      <c r="K127" s="781">
        <f>VLOOKUP(D127,'CNKT '!$C$98:$Z$161,24,0)</f>
        <v>4488325</v>
      </c>
      <c r="L127" s="781"/>
      <c r="M127" s="783">
        <f t="shared" si="9"/>
        <v>4488325</v>
      </c>
      <c r="N127" s="949"/>
    </row>
    <row r="128" spans="1:14" s="149" customFormat="1" ht="21.75" customHeight="1">
      <c r="A128" s="267">
        <v>33</v>
      </c>
      <c r="B128" s="947" t="str">
        <f>'Chấm công KT'!D126</f>
        <v>03619</v>
      </c>
      <c r="C128" s="948"/>
      <c r="D128" s="782" t="str">
        <f>'CNKT '!C130</f>
        <v>T. Thon</v>
      </c>
      <c r="E128" s="782" t="s">
        <v>30</v>
      </c>
      <c r="F128" s="781">
        <f>VLOOKUP(D128,'CNKT '!$C$98:$F$161,4,0)</f>
        <v>0</v>
      </c>
      <c r="G128" s="781">
        <f>VLOOKUP(D128,'CNKT '!$C$98:$L$161,10,0)</f>
        <v>3358385</v>
      </c>
      <c r="H128" s="781">
        <f>VLOOKUP(D128,'CNKT '!$C$98:$W$161,21,0)</f>
        <v>1424296</v>
      </c>
      <c r="I128" s="781">
        <f t="shared" si="8"/>
        <v>4782681</v>
      </c>
      <c r="J128" s="781"/>
      <c r="K128" s="781">
        <f>VLOOKUP(D128,'CNKT '!$C$98:$Z$161,24,0)</f>
        <v>4782681</v>
      </c>
      <c r="L128" s="781"/>
      <c r="M128" s="783">
        <f t="shared" si="9"/>
        <v>4782681</v>
      </c>
      <c r="N128" s="949"/>
    </row>
    <row r="129" spans="1:14" s="149" customFormat="1" ht="21.75" customHeight="1">
      <c r="A129" s="267">
        <v>34</v>
      </c>
      <c r="B129" s="947" t="str">
        <f>'Chấm công KT'!D127</f>
        <v>03620</v>
      </c>
      <c r="C129" s="948"/>
      <c r="D129" s="782" t="str">
        <f>'CNKT '!C131</f>
        <v>Bun Thon</v>
      </c>
      <c r="E129" s="782" t="s">
        <v>30</v>
      </c>
      <c r="F129" s="781">
        <f>VLOOKUP(D129,'CNKT '!$C$98:$F$161,4,0)</f>
        <v>0</v>
      </c>
      <c r="G129" s="781">
        <f>VLOOKUP(D129,'CNKT '!$C$98:$L$161,10,0)</f>
        <v>3220088</v>
      </c>
      <c r="H129" s="781">
        <f>VLOOKUP(D129,'CNKT '!$C$98:$W$161,21,0)</f>
        <v>1537293</v>
      </c>
      <c r="I129" s="781">
        <f t="shared" si="8"/>
        <v>4757381</v>
      </c>
      <c r="J129" s="781"/>
      <c r="K129" s="781">
        <f>VLOOKUP(D129,'CNKT '!$C$98:$Z$161,24,0)</f>
        <v>4757381</v>
      </c>
      <c r="L129" s="781"/>
      <c r="M129" s="783">
        <f t="shared" si="9"/>
        <v>4757381</v>
      </c>
      <c r="N129" s="949"/>
    </row>
    <row r="130" spans="1:14" s="149" customFormat="1" ht="21.75" customHeight="1">
      <c r="A130" s="267">
        <v>35</v>
      </c>
      <c r="B130" s="947"/>
      <c r="C130" s="948"/>
      <c r="D130" s="782" t="str">
        <f>'CNKT '!C132</f>
        <v>Lăm Thong</v>
      </c>
      <c r="E130" s="782" t="s">
        <v>30</v>
      </c>
      <c r="F130" s="781">
        <f>VLOOKUP(D130,'CNKT '!$C$98:$F$161,4,0)</f>
        <v>0</v>
      </c>
      <c r="G130" s="781">
        <f>VLOOKUP(D130,'CNKT '!$C$98:$L$161,10,0)</f>
        <v>3390156</v>
      </c>
      <c r="H130" s="781">
        <f>VLOOKUP(D130,'CNKT '!$C$98:$W$161,21,0)</f>
        <v>1537293</v>
      </c>
      <c r="I130" s="781">
        <f t="shared" si="8"/>
        <v>4927449</v>
      </c>
      <c r="J130" s="781"/>
      <c r="K130" s="781">
        <f>VLOOKUP(D130,'CNKT '!$C$98:$Z$161,24,0)</f>
        <v>4927449</v>
      </c>
      <c r="L130" s="781"/>
      <c r="M130" s="783">
        <f t="shared" si="9"/>
        <v>4927449</v>
      </c>
      <c r="N130" s="949"/>
    </row>
    <row r="131" spans="1:14" s="149" customFormat="1" ht="21.75" customHeight="1">
      <c r="A131" s="267">
        <v>36</v>
      </c>
      <c r="B131" s="947" t="str">
        <f>'Chấm công KT'!D129</f>
        <v>03622</v>
      </c>
      <c r="C131" s="948"/>
      <c r="D131" s="782" t="str">
        <f>'CNKT '!C133</f>
        <v>N. Xeo Khăm</v>
      </c>
      <c r="E131" s="782" t="s">
        <v>30</v>
      </c>
      <c r="F131" s="781">
        <f>VLOOKUP(D131,'CNKT '!$C$98:$F$161,4,0)</f>
        <v>0</v>
      </c>
      <c r="G131" s="781">
        <f>VLOOKUP(D131,'CNKT '!$C$98:$L$161,10,0)</f>
        <v>2702407</v>
      </c>
      <c r="H131" s="781">
        <f>VLOOKUP(D131,'CNKT '!$C$98:$W$161,21,0)</f>
        <v>1218882</v>
      </c>
      <c r="I131" s="781">
        <f t="shared" si="8"/>
        <v>3921289</v>
      </c>
      <c r="J131" s="781"/>
      <c r="K131" s="781">
        <f>VLOOKUP(D131,'CNKT '!$C$98:$Z$161,24,0)</f>
        <v>3921289</v>
      </c>
      <c r="L131" s="781"/>
      <c r="M131" s="783">
        <f t="shared" si="9"/>
        <v>3921289</v>
      </c>
      <c r="N131" s="949"/>
    </row>
    <row r="132" spans="1:14" s="149" customFormat="1" ht="21.75" customHeight="1">
      <c r="A132" s="267">
        <v>37</v>
      </c>
      <c r="B132" s="947" t="str">
        <f>'Chấm công KT'!D130</f>
        <v>03623</v>
      </c>
      <c r="C132" s="948"/>
      <c r="D132" s="782" t="str">
        <f>'CNKT '!C134</f>
        <v>T. Khăm...</v>
      </c>
      <c r="E132" s="782" t="s">
        <v>30</v>
      </c>
      <c r="F132" s="781">
        <f>VLOOKUP(D132,'CNKT '!$C$98:$F$161,4,0)</f>
        <v>0</v>
      </c>
      <c r="G132" s="781">
        <f>VLOOKUP(D132,'CNKT '!$C$98:$L$161,10,0)</f>
        <v>4277876</v>
      </c>
      <c r="H132" s="781">
        <f>VLOOKUP(D132,'CNKT '!$C$98:$W$161,21,0)</f>
        <v>1537293</v>
      </c>
      <c r="I132" s="781">
        <f t="shared" si="8"/>
        <v>5815169</v>
      </c>
      <c r="J132" s="781"/>
      <c r="K132" s="781">
        <f>VLOOKUP(D132,'CNKT '!$C$98:$Z$161,24,0)</f>
        <v>5815169</v>
      </c>
      <c r="L132" s="781"/>
      <c r="M132" s="783">
        <f t="shared" si="9"/>
        <v>5815169</v>
      </c>
      <c r="N132" s="949"/>
    </row>
    <row r="133" spans="1:14" s="149" customFormat="1" ht="21.75" customHeight="1">
      <c r="A133" s="267">
        <v>38</v>
      </c>
      <c r="B133" s="947"/>
      <c r="C133" s="948"/>
      <c r="D133" s="782" t="str">
        <f>'CNKT '!C135</f>
        <v>N. Túc</v>
      </c>
      <c r="E133" s="782" t="s">
        <v>30</v>
      </c>
      <c r="F133" s="781">
        <f>VLOOKUP(D133,'CNKT '!$C$98:$F$161,4,0)</f>
        <v>0</v>
      </c>
      <c r="G133" s="781">
        <f>VLOOKUP(D133,'CNKT '!$C$98:$L$161,10,0)</f>
        <v>4371321</v>
      </c>
      <c r="H133" s="781">
        <f>VLOOKUP(D133,'CNKT '!$C$98:$W$161,21,0)</f>
        <v>1537293</v>
      </c>
      <c r="I133" s="781">
        <f t="shared" si="8"/>
        <v>5908614</v>
      </c>
      <c r="J133" s="781"/>
      <c r="K133" s="781">
        <f>VLOOKUP(D133,'CNKT '!$C$98:$Z$161,24,0)</f>
        <v>5908614</v>
      </c>
      <c r="L133" s="781"/>
      <c r="M133" s="783">
        <f t="shared" si="9"/>
        <v>5908614</v>
      </c>
      <c r="N133" s="949"/>
    </row>
    <row r="134" spans="1:14" s="149" customFormat="1" ht="21.75" customHeight="1">
      <c r="A134" s="267">
        <v>39</v>
      </c>
      <c r="B134" s="947" t="str">
        <f>'Chấm công KT'!D132</f>
        <v>03625</v>
      </c>
      <c r="C134" s="948"/>
      <c r="D134" s="782" t="str">
        <f>'CNKT '!C136</f>
        <v>N. Pheng</v>
      </c>
      <c r="E134" s="782" t="s">
        <v>30</v>
      </c>
      <c r="F134" s="781">
        <f>VLOOKUP(D134,'CNKT '!$C$98:$F$161,4,0)</f>
        <v>0</v>
      </c>
      <c r="G134" s="781">
        <f>VLOOKUP(D134,'CNKT '!$C$98:$L$161,10,0)</f>
        <v>4107808</v>
      </c>
      <c r="H134" s="781">
        <f>VLOOKUP(D134,'CNKT '!$C$98:$W$161,21,0)</f>
        <v>1537293</v>
      </c>
      <c r="I134" s="781">
        <f t="shared" si="8"/>
        <v>5645101</v>
      </c>
      <c r="J134" s="781"/>
      <c r="K134" s="781">
        <f>VLOOKUP(D134,'CNKT '!$C$98:$Z$161,24,0)</f>
        <v>5645101</v>
      </c>
      <c r="L134" s="781"/>
      <c r="M134" s="783">
        <f t="shared" si="9"/>
        <v>5645101</v>
      </c>
      <c r="N134" s="949"/>
    </row>
    <row r="135" spans="1:14" s="149" customFormat="1" ht="21.75" customHeight="1">
      <c r="A135" s="267">
        <v>40</v>
      </c>
      <c r="B135" s="947" t="str">
        <f>'Chấm công KT'!D133</f>
        <v>03587</v>
      </c>
      <c r="C135" s="948"/>
      <c r="D135" s="782" t="str">
        <f>'CNKT '!C137</f>
        <v>N. Mom</v>
      </c>
      <c r="E135" s="782" t="s">
        <v>30</v>
      </c>
      <c r="F135" s="781">
        <f>VLOOKUP(D135,'CNKT '!$C$98:$F$161,4,0)</f>
        <v>0</v>
      </c>
      <c r="G135" s="781">
        <f>VLOOKUP(D135,'CNKT '!$C$98:$L$161,10,0)</f>
        <v>4388141</v>
      </c>
      <c r="H135" s="781">
        <f>VLOOKUP(D135,'CNKT '!$C$98:$W$161,21,0)</f>
        <v>1537293</v>
      </c>
      <c r="I135" s="781">
        <f t="shared" si="8"/>
        <v>5925434</v>
      </c>
      <c r="J135" s="781"/>
      <c r="K135" s="781">
        <f>VLOOKUP(D135,'CNKT '!$C$98:$Z$161,24,0)</f>
        <v>5925434</v>
      </c>
      <c r="L135" s="781"/>
      <c r="M135" s="783">
        <f t="shared" si="9"/>
        <v>5925434</v>
      </c>
      <c r="N135" s="949"/>
    </row>
    <row r="136" spans="1:14" s="149" customFormat="1" ht="21.75" customHeight="1">
      <c r="A136" s="267">
        <v>41</v>
      </c>
      <c r="B136" s="947"/>
      <c r="C136" s="948"/>
      <c r="D136" s="782" t="str">
        <f>'CNKT '!C138</f>
        <v>T. Môn</v>
      </c>
      <c r="E136" s="782" t="s">
        <v>30</v>
      </c>
      <c r="F136" s="781">
        <f>VLOOKUP(D136,'CNKT '!$C$98:$F$161,4,0)</f>
        <v>0</v>
      </c>
      <c r="G136" s="781">
        <f>VLOOKUP(D136,'CNKT '!$C$98:$L$161,10,0)</f>
        <v>2434452</v>
      </c>
      <c r="H136" s="781">
        <f>VLOOKUP(D136,'CNKT '!$C$98:$W$161,21,0)</f>
        <v>1537293</v>
      </c>
      <c r="I136" s="781">
        <f t="shared" si="8"/>
        <v>3971745</v>
      </c>
      <c r="J136" s="781"/>
      <c r="K136" s="781">
        <f>VLOOKUP(D136,'CNKT '!$C$98:$Z$161,24,0)</f>
        <v>3971745</v>
      </c>
      <c r="L136" s="781"/>
      <c r="M136" s="783">
        <f t="shared" si="9"/>
        <v>3971745</v>
      </c>
      <c r="N136" s="949"/>
    </row>
    <row r="137" spans="1:14" s="149" customFormat="1" ht="21.75" customHeight="1">
      <c r="A137" s="267">
        <v>42</v>
      </c>
      <c r="B137" s="947" t="str">
        <f>'Chấm công KT'!D135</f>
        <v>03628</v>
      </c>
      <c r="C137" s="948"/>
      <c r="D137" s="782" t="str">
        <f>'CNKT '!C139</f>
        <v>Khăn Hạ</v>
      </c>
      <c r="E137" s="782" t="s">
        <v>30</v>
      </c>
      <c r="F137" s="781">
        <f>VLOOKUP(D137,'CNKT '!$C$98:$F$161,4,0)</f>
        <v>0</v>
      </c>
      <c r="G137" s="781">
        <f>VLOOKUP(D137,'CNKT '!$C$98:$L$161,10,0)</f>
        <v>1993763</v>
      </c>
      <c r="H137" s="781">
        <f>VLOOKUP(D137,'CNKT '!$C$98:$W$161,21,0)</f>
        <v>1537293</v>
      </c>
      <c r="I137" s="781">
        <f t="shared" si="8"/>
        <v>3531056</v>
      </c>
      <c r="J137" s="781"/>
      <c r="K137" s="781">
        <f>VLOOKUP(D137,'CNKT '!$C$98:$Z$161,24,0)</f>
        <v>3531056</v>
      </c>
      <c r="L137" s="781"/>
      <c r="M137" s="783">
        <f t="shared" si="9"/>
        <v>3531056</v>
      </c>
      <c r="N137" s="949"/>
    </row>
    <row r="138" spans="1:14" s="149" customFormat="1" ht="21.75" customHeight="1">
      <c r="A138" s="267">
        <v>43</v>
      </c>
      <c r="B138" s="947" t="str">
        <f>'Chấm công KT'!D136</f>
        <v>03629</v>
      </c>
      <c r="C138" s="948"/>
      <c r="D138" s="782" t="str">
        <f>'CNKT '!C140</f>
        <v>T. Chăn La .</v>
      </c>
      <c r="E138" s="782" t="s">
        <v>30</v>
      </c>
      <c r="F138" s="781">
        <f>VLOOKUP(D138,'CNKT '!$C$98:$F$161,4,0)</f>
        <v>0</v>
      </c>
      <c r="G138" s="781">
        <f>VLOOKUP(D138,'CNKT '!$C$98:$L$161,10,0)</f>
        <v>2525077</v>
      </c>
      <c r="H138" s="781">
        <f>VLOOKUP(D138,'CNKT '!$C$98:$W$161,21,0)</f>
        <v>1537293</v>
      </c>
      <c r="I138" s="781">
        <f t="shared" si="8"/>
        <v>4062370</v>
      </c>
      <c r="J138" s="781"/>
      <c r="K138" s="781">
        <f>VLOOKUP(D138,'CNKT '!$C$98:$Z$161,24,0)</f>
        <v>4062370</v>
      </c>
      <c r="L138" s="781"/>
      <c r="M138" s="783">
        <f t="shared" si="9"/>
        <v>4062370</v>
      </c>
      <c r="N138" s="949"/>
    </row>
    <row r="139" spans="1:14" s="149" customFormat="1" ht="21.75" customHeight="1">
      <c r="A139" s="267">
        <v>44</v>
      </c>
      <c r="B139" s="947" t="str">
        <f>'Chấm công KT'!D137</f>
        <v>03630</v>
      </c>
      <c r="C139" s="948"/>
      <c r="D139" s="782" t="str">
        <f>'CNKT '!C141</f>
        <v>T. Nú</v>
      </c>
      <c r="E139" s="782" t="s">
        <v>30</v>
      </c>
      <c r="F139" s="781">
        <f>VLOOKUP(D139,'CNKT '!$C$98:$F$161,4,0)</f>
        <v>0</v>
      </c>
      <c r="G139" s="781">
        <f>VLOOKUP(D139,'CNKT '!$C$98:$L$161,10,0)</f>
        <v>1938677</v>
      </c>
      <c r="H139" s="781">
        <f>VLOOKUP(D139,'CNKT '!$C$98:$W$161,21,0)</f>
        <v>1537293</v>
      </c>
      <c r="I139" s="781">
        <f t="shared" si="8"/>
        <v>3475970</v>
      </c>
      <c r="J139" s="781"/>
      <c r="K139" s="781">
        <f>VLOOKUP(D139,'CNKT '!$C$98:$Z$161,24,0)</f>
        <v>3475970</v>
      </c>
      <c r="L139" s="781"/>
      <c r="M139" s="783">
        <f t="shared" si="9"/>
        <v>3475970</v>
      </c>
      <c r="N139" s="949"/>
    </row>
    <row r="140" spans="1:14" s="149" customFormat="1" ht="21.75" customHeight="1">
      <c r="A140" s="267">
        <v>45</v>
      </c>
      <c r="B140" s="947" t="str">
        <f>'Chấm công KT'!D138</f>
        <v>03631</v>
      </c>
      <c r="C140" s="948"/>
      <c r="D140" s="782" t="str">
        <f>'CNKT '!C142</f>
        <v>T. Xan Nha</v>
      </c>
      <c r="E140" s="782" t="s">
        <v>30</v>
      </c>
      <c r="F140" s="781">
        <f>VLOOKUP(D140,'CNKT '!$C$98:$F$161,4,0)</f>
        <v>0</v>
      </c>
      <c r="G140" s="781">
        <f>VLOOKUP(D140,'CNKT '!$C$98:$L$161,10,0)</f>
        <v>2687456</v>
      </c>
      <c r="H140" s="781">
        <f>VLOOKUP(D140,'CNKT '!$C$98:$W$161,21,0)</f>
        <v>1537293</v>
      </c>
      <c r="I140" s="781">
        <f t="shared" si="8"/>
        <v>4224749</v>
      </c>
      <c r="J140" s="781"/>
      <c r="K140" s="781">
        <f>VLOOKUP(D140,'CNKT '!$C$98:$Z$161,24,0)</f>
        <v>4224749</v>
      </c>
      <c r="L140" s="781"/>
      <c r="M140" s="783">
        <f t="shared" si="9"/>
        <v>4224749</v>
      </c>
      <c r="N140" s="949"/>
    </row>
    <row r="141" spans="1:14" s="149" customFormat="1" ht="21.75" customHeight="1">
      <c r="A141" s="267">
        <v>46</v>
      </c>
      <c r="B141" s="947" t="str">
        <f>'Chấm công KT'!D139</f>
        <v>03632</v>
      </c>
      <c r="C141" s="948"/>
      <c r="D141" s="782" t="str">
        <f>'CNKT '!C143</f>
        <v>T. A lem</v>
      </c>
      <c r="E141" s="782" t="s">
        <v>30</v>
      </c>
      <c r="F141" s="781">
        <f>VLOOKUP(D141,'CNKT '!$C$98:$F$161,4,0)</f>
        <v>0</v>
      </c>
      <c r="G141" s="781">
        <f>VLOOKUP(D141,'CNKT '!$C$98:$L$161,10,0)</f>
        <v>3011968</v>
      </c>
      <c r="H141" s="781">
        <f>VLOOKUP(D141,'CNKT '!$C$98:$W$161,21,0)</f>
        <v>1506488</v>
      </c>
      <c r="I141" s="781">
        <f t="shared" si="8"/>
        <v>4518456</v>
      </c>
      <c r="J141" s="781"/>
      <c r="K141" s="781">
        <f>VLOOKUP(D141,'CNKT '!$C$98:$Z$161,24,0)</f>
        <v>4518456</v>
      </c>
      <c r="L141" s="781"/>
      <c r="M141" s="783">
        <f t="shared" si="9"/>
        <v>4518456</v>
      </c>
      <c r="N141" s="949"/>
    </row>
    <row r="142" spans="1:14" s="149" customFormat="1" ht="21.75" customHeight="1">
      <c r="A142" s="267">
        <v>47</v>
      </c>
      <c r="B142" s="947"/>
      <c r="C142" s="948"/>
      <c r="D142" s="782" t="str">
        <f>'CNKT '!C144</f>
        <v>T. Phan</v>
      </c>
      <c r="E142" s="782" t="s">
        <v>30</v>
      </c>
      <c r="F142" s="781">
        <f>VLOOKUP(D142,'CNKT '!$C$98:$F$161,4,0)</f>
        <v>0</v>
      </c>
      <c r="G142" s="781">
        <f>VLOOKUP(D142,'CNKT '!$C$98:$L$161,10,0)</f>
        <v>2884026</v>
      </c>
      <c r="H142" s="781">
        <f>VLOOKUP(D142,'CNKT '!$C$98:$W$161,21,0)</f>
        <v>1537293</v>
      </c>
      <c r="I142" s="781">
        <f t="shared" si="8"/>
        <v>4421319</v>
      </c>
      <c r="J142" s="781"/>
      <c r="K142" s="781">
        <f>VLOOKUP(D142,'CNKT '!$C$98:$Z$161,24,0)</f>
        <v>4421319</v>
      </c>
      <c r="L142" s="781"/>
      <c r="M142" s="783">
        <f t="shared" si="9"/>
        <v>4421319</v>
      </c>
      <c r="N142" s="949"/>
    </row>
    <row r="143" spans="1:14" s="149" customFormat="1" ht="21.75" customHeight="1">
      <c r="A143" s="267">
        <v>48</v>
      </c>
      <c r="B143" s="947" t="str">
        <f>'Chấm công KT'!D141</f>
        <v>03634</v>
      </c>
      <c r="C143" s="948"/>
      <c r="D143" s="782" t="str">
        <f>'CNKT '!C145</f>
        <v>T . Cổ</v>
      </c>
      <c r="E143" s="782" t="s">
        <v>30</v>
      </c>
      <c r="F143" s="781">
        <f>VLOOKUP(D143,'CNKT '!$C$98:$F$161,4,0)</f>
        <v>0</v>
      </c>
      <c r="G143" s="781">
        <f>VLOOKUP(D143,'CNKT '!$C$98:$L$161,10,0)</f>
        <v>3429403</v>
      </c>
      <c r="H143" s="781">
        <f>VLOOKUP(D143,'CNKT '!$C$98:$W$161,21,0)</f>
        <v>1280493</v>
      </c>
      <c r="I143" s="781">
        <f t="shared" si="8"/>
        <v>4709896</v>
      </c>
      <c r="J143" s="781"/>
      <c r="K143" s="781">
        <f>VLOOKUP(D143,'CNKT '!$C$98:$Z$161,24,0)</f>
        <v>4709896</v>
      </c>
      <c r="L143" s="781"/>
      <c r="M143" s="783">
        <f t="shared" si="9"/>
        <v>4709896</v>
      </c>
      <c r="N143" s="949"/>
    </row>
    <row r="144" spans="1:14" s="149" customFormat="1" ht="21.75" customHeight="1">
      <c r="A144" s="267">
        <v>49</v>
      </c>
      <c r="B144" s="947" t="str">
        <f>'Chấm công KT'!D142</f>
        <v>03635</v>
      </c>
      <c r="C144" s="948"/>
      <c r="D144" s="782" t="str">
        <f>'CNKT '!C146</f>
        <v>N. Phim Pha</v>
      </c>
      <c r="E144" s="782" t="s">
        <v>30</v>
      </c>
      <c r="F144" s="781">
        <f>VLOOKUP(D144,'CNKT '!$C$98:$F$161,4,0)</f>
        <v>0</v>
      </c>
      <c r="G144" s="781">
        <f>VLOOKUP(D144,'CNKT '!$C$98:$L$161,10,0)</f>
        <v>2212483</v>
      </c>
      <c r="H144" s="781">
        <f>VLOOKUP(D144,'CNKT '!$C$98:$W$161,21,0)</f>
        <v>1506488</v>
      </c>
      <c r="I144" s="781">
        <f t="shared" si="8"/>
        <v>3718971</v>
      </c>
      <c r="J144" s="781"/>
      <c r="K144" s="781">
        <f>VLOOKUP(D144,'CNKT '!$C$98:$Z$161,24,0)</f>
        <v>3718971</v>
      </c>
      <c r="L144" s="781"/>
      <c r="M144" s="783">
        <f t="shared" si="9"/>
        <v>3718971</v>
      </c>
      <c r="N144" s="949"/>
    </row>
    <row r="145" spans="1:16" s="149" customFormat="1" ht="21.75" customHeight="1">
      <c r="A145" s="267">
        <v>50</v>
      </c>
      <c r="B145" s="947" t="e">
        <f>'Chấm công KT'!D143</f>
        <v>#N/A</v>
      </c>
      <c r="C145" s="948"/>
      <c r="D145" s="782" t="str">
        <f>'CNKT '!C147</f>
        <v xml:space="preserve">T. Xeng </v>
      </c>
      <c r="E145" s="782" t="s">
        <v>30</v>
      </c>
      <c r="F145" s="781">
        <f>VLOOKUP(D145,'CNKT '!$C$98:$F$161,4,0)</f>
        <v>0</v>
      </c>
      <c r="G145" s="781">
        <f>VLOOKUP(D145,'CNKT '!$C$98:$L$161,10,0)</f>
        <v>3575176</v>
      </c>
      <c r="H145" s="781">
        <f>VLOOKUP(D145,'CNKT '!$C$98:$W$161,21,0)</f>
        <v>1537293</v>
      </c>
      <c r="I145" s="781">
        <f t="shared" si="8"/>
        <v>5112469</v>
      </c>
      <c r="J145" s="781"/>
      <c r="K145" s="781">
        <f>VLOOKUP(D145,'CNKT '!$C$98:$Z$161,24,0)</f>
        <v>5112469</v>
      </c>
      <c r="L145" s="781"/>
      <c r="M145" s="783">
        <f t="shared" si="9"/>
        <v>5112469</v>
      </c>
      <c r="N145" s="949"/>
    </row>
    <row r="146" spans="1:16" s="149" customFormat="1" ht="21.75" customHeight="1">
      <c r="A146" s="267">
        <v>51</v>
      </c>
      <c r="B146" s="947" t="str">
        <f>'Chấm công KT'!D144</f>
        <v>03637</v>
      </c>
      <c r="C146" s="948"/>
      <c r="D146" s="782" t="str">
        <f>'CNKT '!C148</f>
        <v>T. Vạt</v>
      </c>
      <c r="E146" s="782" t="s">
        <v>30</v>
      </c>
      <c r="F146" s="781">
        <f>VLOOKUP(D146,'CNKT '!$C$98:$F$161,4,0)</f>
        <v>0</v>
      </c>
      <c r="G146" s="781">
        <f>VLOOKUP(D146,'CNKT '!$C$98:$L$161,10,0)</f>
        <v>3790098</v>
      </c>
      <c r="H146" s="781">
        <f>VLOOKUP(D146,'CNKT '!$C$98:$W$161,21,0)</f>
        <v>1444877</v>
      </c>
      <c r="I146" s="781">
        <f t="shared" si="8"/>
        <v>5234975</v>
      </c>
      <c r="J146" s="781"/>
      <c r="K146" s="781">
        <f>VLOOKUP(D146,'CNKT '!$C$98:$Z$161,24,0)</f>
        <v>5234975</v>
      </c>
      <c r="L146" s="781"/>
      <c r="M146" s="783">
        <f t="shared" si="9"/>
        <v>5234975</v>
      </c>
      <c r="N146" s="949"/>
    </row>
    <row r="147" spans="1:16" s="149" customFormat="1" ht="21.75" customHeight="1">
      <c r="A147" s="267">
        <v>52</v>
      </c>
      <c r="B147" s="947" t="str">
        <f>'Chấm công KT'!D145</f>
        <v>03638</v>
      </c>
      <c r="C147" s="948"/>
      <c r="D147" s="782" t="str">
        <f>'CNKT '!C149</f>
        <v>T. Lay</v>
      </c>
      <c r="E147" s="782" t="s">
        <v>30</v>
      </c>
      <c r="F147" s="781">
        <f>VLOOKUP(D147,'CNKT '!$C$98:$F$161,4,0)</f>
        <v>0</v>
      </c>
      <c r="G147" s="781">
        <f>VLOOKUP(D147,'CNKT '!$C$98:$L$161,10,0)</f>
        <v>4586242</v>
      </c>
      <c r="H147" s="781">
        <f>VLOOKUP(D147,'CNKT '!$C$98:$W$161,21,0)</f>
        <v>1537293</v>
      </c>
      <c r="I147" s="781">
        <f t="shared" si="8"/>
        <v>6123535</v>
      </c>
      <c r="J147" s="781"/>
      <c r="K147" s="781">
        <f>VLOOKUP(D147,'CNKT '!$C$98:$Z$161,24,0)</f>
        <v>6123535</v>
      </c>
      <c r="L147" s="781"/>
      <c r="M147" s="783">
        <f t="shared" si="9"/>
        <v>6123535</v>
      </c>
      <c r="N147" s="949"/>
    </row>
    <row r="148" spans="1:16" s="149" customFormat="1" ht="21.75" customHeight="1">
      <c r="A148" s="267">
        <v>53</v>
      </c>
      <c r="B148" s="947"/>
      <c r="C148" s="948"/>
      <c r="D148" s="782" t="str">
        <f>'CNKT '!C150</f>
        <v>N. Nọi</v>
      </c>
      <c r="E148" s="782" t="s">
        <v>30</v>
      </c>
      <c r="F148" s="781">
        <f>VLOOKUP(D148,'CNKT '!$C$98:$F$161,4,0)</f>
        <v>0</v>
      </c>
      <c r="G148" s="781">
        <f>VLOOKUP(D148,'CNKT '!$C$98:$L$161,10,0)</f>
        <v>4281614</v>
      </c>
      <c r="H148" s="781">
        <f>VLOOKUP(D148,'CNKT '!$C$98:$W$161,21,0)</f>
        <v>1537293</v>
      </c>
      <c r="I148" s="781">
        <f t="shared" si="8"/>
        <v>5818907</v>
      </c>
      <c r="J148" s="781"/>
      <c r="K148" s="781">
        <f>VLOOKUP(D148,'CNKT '!$C$98:$Z$161,24,0)</f>
        <v>5818907</v>
      </c>
      <c r="L148" s="781"/>
      <c r="M148" s="783">
        <f t="shared" si="9"/>
        <v>5818907</v>
      </c>
      <c r="N148" s="949"/>
    </row>
    <row r="149" spans="1:16" s="149" customFormat="1" ht="21.75" customHeight="1">
      <c r="A149" s="267">
        <v>54</v>
      </c>
      <c r="B149" s="947"/>
      <c r="C149" s="948"/>
      <c r="D149" s="782" t="str">
        <f>'CNKT '!C151</f>
        <v>T Bun Xi</v>
      </c>
      <c r="E149" s="782" t="s">
        <v>30</v>
      </c>
      <c r="F149" s="781">
        <f>VLOOKUP(D149,'CNKT '!$C$98:$F$161,4,0)</f>
        <v>0</v>
      </c>
      <c r="G149" s="781">
        <f>VLOOKUP(D149,'CNKT '!$C$98:$L$161,10,0)</f>
        <v>2438006</v>
      </c>
      <c r="H149" s="781">
        <f>VLOOKUP(D149,'CNKT '!$C$98:$W$161,21,0)</f>
        <v>1352461</v>
      </c>
      <c r="I149" s="781">
        <f t="shared" si="8"/>
        <v>3790467</v>
      </c>
      <c r="J149" s="781"/>
      <c r="K149" s="781">
        <f>VLOOKUP(D149,'CNKT '!$C$98:$Z$161,24,0)</f>
        <v>3790467</v>
      </c>
      <c r="L149" s="781"/>
      <c r="M149" s="783">
        <f t="shared" si="9"/>
        <v>3790467</v>
      </c>
      <c r="N149" s="949"/>
    </row>
    <row r="150" spans="1:16" s="149" customFormat="1" ht="21.75" customHeight="1">
      <c r="A150" s="267">
        <v>55</v>
      </c>
      <c r="B150" s="947"/>
      <c r="C150" s="948"/>
      <c r="D150" s="782" t="str">
        <f>'CNKT '!C152</f>
        <v>N. Bù</v>
      </c>
      <c r="E150" s="782" t="s">
        <v>30</v>
      </c>
      <c r="F150" s="781">
        <f>VLOOKUP(D150,'CNKT '!$C$98:$F$161,4,0)</f>
        <v>0</v>
      </c>
      <c r="G150" s="781">
        <f>VLOOKUP(D150,'CNKT '!$C$98:$L$161,10,0)</f>
        <v>3225204</v>
      </c>
      <c r="H150" s="781">
        <f>VLOOKUP(D150,'CNKT '!$C$98:$W$161,21,0)</f>
        <v>1537293</v>
      </c>
      <c r="I150" s="781">
        <f t="shared" si="8"/>
        <v>4762497</v>
      </c>
      <c r="J150" s="781"/>
      <c r="K150" s="781">
        <f>VLOOKUP(D150,'CNKT '!$C$98:$Z$161,24,0)</f>
        <v>4762497</v>
      </c>
      <c r="L150" s="781"/>
      <c r="M150" s="783">
        <f t="shared" si="9"/>
        <v>4762497</v>
      </c>
      <c r="N150" s="949"/>
    </row>
    <row r="151" spans="1:16" s="149" customFormat="1" ht="21.75" customHeight="1">
      <c r="A151" s="267">
        <v>56</v>
      </c>
      <c r="B151" s="947" t="str">
        <f>'Chấm công KT'!D149</f>
        <v>03642</v>
      </c>
      <c r="C151" s="948"/>
      <c r="D151" s="782" t="str">
        <f>'CNKT '!C153</f>
        <v>T. Xơn</v>
      </c>
      <c r="E151" s="782" t="s">
        <v>30</v>
      </c>
      <c r="F151" s="781">
        <f>VLOOKUP(D151,'CNKT '!$C$98:$F$161,4,0)</f>
        <v>0</v>
      </c>
      <c r="G151" s="781">
        <f>VLOOKUP(D151,'CNKT '!$C$98:$L$161,10,0)</f>
        <v>2450445</v>
      </c>
      <c r="H151" s="781">
        <f>VLOOKUP(D151,'CNKT '!$C$98:$W$161,21,0)</f>
        <v>1352461</v>
      </c>
      <c r="I151" s="781">
        <f t="shared" si="8"/>
        <v>3802906</v>
      </c>
      <c r="J151" s="781"/>
      <c r="K151" s="781">
        <f>VLOOKUP(D151,'CNKT '!$C$98:$Z$161,24,0)</f>
        <v>3802906</v>
      </c>
      <c r="L151" s="781"/>
      <c r="M151" s="783">
        <f t="shared" si="9"/>
        <v>3802906</v>
      </c>
      <c r="N151" s="949"/>
    </row>
    <row r="152" spans="1:16" s="149" customFormat="1" ht="21.75" customHeight="1">
      <c r="A152" s="267">
        <v>57</v>
      </c>
      <c r="B152" s="947"/>
      <c r="C152" s="948"/>
      <c r="D152" s="782" t="str">
        <f>'CNKT '!C154</f>
        <v>T. Thi</v>
      </c>
      <c r="E152" s="782" t="s">
        <v>30</v>
      </c>
      <c r="F152" s="781">
        <f>VLOOKUP(D152,'CNKT '!$C$98:$F$161,4,0)</f>
        <v>0</v>
      </c>
      <c r="G152" s="781">
        <f>VLOOKUP(D152,'CNKT '!$C$98:$L$161,10,0)</f>
        <v>3226981</v>
      </c>
      <c r="H152" s="781">
        <f>VLOOKUP(D152,'CNKT '!$C$98:$W$161,21,0)</f>
        <v>1537293</v>
      </c>
      <c r="I152" s="781">
        <f t="shared" si="8"/>
        <v>4764274</v>
      </c>
      <c r="J152" s="781"/>
      <c r="K152" s="781">
        <f>VLOOKUP(D152,'CNKT '!$C$98:$Z$161,24,0)</f>
        <v>4764274</v>
      </c>
      <c r="L152" s="781"/>
      <c r="M152" s="783">
        <f t="shared" si="9"/>
        <v>4764274</v>
      </c>
      <c r="N152" s="949"/>
    </row>
    <row r="153" spans="1:16" s="149" customFormat="1" ht="21.75" customHeight="1">
      <c r="A153" s="267">
        <v>58</v>
      </c>
      <c r="B153" s="947"/>
      <c r="C153" s="948"/>
      <c r="D153" s="782" t="str">
        <f>'CNKT '!C155</f>
        <v>On chay</v>
      </c>
      <c r="E153" s="782" t="s">
        <v>30</v>
      </c>
      <c r="F153" s="781">
        <f>VLOOKUP(D153,'CNKT '!$C$98:$F$161,4,0)</f>
        <v>0</v>
      </c>
      <c r="G153" s="781">
        <f>VLOOKUP(D153,'CNKT '!$C$98:$L$161,10,0)</f>
        <v>2545421</v>
      </c>
      <c r="H153" s="781">
        <f>VLOOKUP(D153,'CNKT '!$C$98:$W$161,21,0)</f>
        <v>1537293</v>
      </c>
      <c r="I153" s="781">
        <f t="shared" si="8"/>
        <v>4082714</v>
      </c>
      <c r="J153" s="781"/>
      <c r="K153" s="781">
        <f>VLOOKUP(D153,'CNKT '!$C$98:$Z$161,24,0)</f>
        <v>4082714</v>
      </c>
      <c r="L153" s="781"/>
      <c r="M153" s="783">
        <f t="shared" si="9"/>
        <v>4082714</v>
      </c>
      <c r="N153" s="949"/>
    </row>
    <row r="154" spans="1:16" s="149" customFormat="1" ht="21.75" customHeight="1">
      <c r="A154" s="267">
        <v>59</v>
      </c>
      <c r="B154" s="947"/>
      <c r="C154" s="948"/>
      <c r="D154" s="782" t="str">
        <f>'CNKT '!C156</f>
        <v>T. Thong</v>
      </c>
      <c r="E154" s="782" t="s">
        <v>30</v>
      </c>
      <c r="F154" s="781">
        <f>VLOOKUP(D154,'CNKT '!$C$98:$F$161,4,0)</f>
        <v>0</v>
      </c>
      <c r="G154" s="781">
        <f>VLOOKUP(D154,'CNKT '!$C$98:$L$161,10,0)</f>
        <v>1498018</v>
      </c>
      <c r="H154" s="781">
        <f>VLOOKUP(D154,'CNKT '!$C$98:$W$161,21,0)</f>
        <v>616242</v>
      </c>
      <c r="I154" s="781">
        <f t="shared" ref="I154:I158" si="10">SUM(F154:H154)</f>
        <v>2114260</v>
      </c>
      <c r="J154" s="781"/>
      <c r="K154" s="781">
        <f>VLOOKUP(D154,'CNKT '!$C$98:$Z$161,24,0)</f>
        <v>2114260</v>
      </c>
      <c r="L154" s="781"/>
      <c r="M154" s="783">
        <f t="shared" ref="M154:M158" si="11">K154-J154</f>
        <v>2114260</v>
      </c>
      <c r="N154" s="949"/>
    </row>
    <row r="155" spans="1:16" s="149" customFormat="1" ht="21.75" customHeight="1">
      <c r="A155" s="267">
        <v>60</v>
      </c>
      <c r="B155" s="947"/>
      <c r="C155" s="948"/>
      <c r="D155" s="782" t="str">
        <f>'CNKT '!C157</f>
        <v>T. Khách</v>
      </c>
      <c r="E155" s="782" t="s">
        <v>30</v>
      </c>
      <c r="F155" s="781">
        <f>VLOOKUP(D155,'CNKT '!$C$98:$F$161,4,0)</f>
        <v>0</v>
      </c>
      <c r="G155" s="781">
        <f>VLOOKUP(D155,'CNKT '!$C$98:$L$161,10,0)</f>
        <v>172812</v>
      </c>
      <c r="H155" s="781">
        <f>VLOOKUP(D155,'CNKT '!$C$98:$W$161,21,0)</f>
        <v>441640</v>
      </c>
      <c r="I155" s="781">
        <f t="shared" si="10"/>
        <v>614452</v>
      </c>
      <c r="J155" s="781"/>
      <c r="K155" s="781">
        <f>VLOOKUP(D155,'CNKT '!$C$98:$Z$161,24,0)</f>
        <v>614452</v>
      </c>
      <c r="L155" s="781"/>
      <c r="M155" s="783">
        <f t="shared" si="11"/>
        <v>614452</v>
      </c>
      <c r="N155" s="949"/>
    </row>
    <row r="156" spans="1:16" s="149" customFormat="1" ht="21.75" hidden="1" customHeight="1">
      <c r="A156" s="267">
        <v>61</v>
      </c>
      <c r="B156" s="947"/>
      <c r="C156" s="948"/>
      <c r="D156" s="782" t="str">
        <f>'CNKT '!C158</f>
        <v>Nang On Xi</v>
      </c>
      <c r="E156" s="782" t="s">
        <v>30</v>
      </c>
      <c r="F156" s="781">
        <f>VLOOKUP(D156,'CNKT '!$C$98:$F$161,4,0)</f>
        <v>0</v>
      </c>
      <c r="G156" s="781">
        <f>VLOOKUP(D156,'CNKT '!$C$98:$L$161,10,0)</f>
        <v>0</v>
      </c>
      <c r="H156" s="781">
        <f>VLOOKUP(D156,'CNKT '!$C$98:$W$161,21,0)</f>
        <v>0</v>
      </c>
      <c r="I156" s="781">
        <f t="shared" si="10"/>
        <v>0</v>
      </c>
      <c r="J156" s="781"/>
      <c r="K156" s="781">
        <f>VLOOKUP(D156,'CNKT '!$C$98:$Z$161,24,0)</f>
        <v>0</v>
      </c>
      <c r="L156" s="781"/>
      <c r="M156" s="783">
        <f t="shared" si="11"/>
        <v>0</v>
      </c>
      <c r="N156" s="949"/>
    </row>
    <row r="157" spans="1:16" s="149" customFormat="1" ht="21.75" hidden="1" customHeight="1">
      <c r="A157" s="267">
        <v>62</v>
      </c>
      <c r="B157" s="947"/>
      <c r="C157" s="948"/>
      <c r="D157" s="782" t="str">
        <f>'CNKT '!C159</f>
        <v>Thảo Túc</v>
      </c>
      <c r="E157" s="782" t="s">
        <v>30</v>
      </c>
      <c r="F157" s="781">
        <f>VLOOKUP(D157,'CNKT '!$C$98:$F$161,4,0)</f>
        <v>0</v>
      </c>
      <c r="G157" s="781">
        <f>VLOOKUP(D157,'CNKT '!$C$98:$L$161,10,0)</f>
        <v>0</v>
      </c>
      <c r="H157" s="781">
        <f>VLOOKUP(D157,'CNKT '!$C$98:$W$161,21,0)</f>
        <v>0</v>
      </c>
      <c r="I157" s="781">
        <f t="shared" si="10"/>
        <v>0</v>
      </c>
      <c r="J157" s="781"/>
      <c r="K157" s="781">
        <f>VLOOKUP(D157,'CNKT '!$C$98:$Z$161,24,0)</f>
        <v>0</v>
      </c>
      <c r="L157" s="781"/>
      <c r="M157" s="783">
        <f t="shared" si="11"/>
        <v>0</v>
      </c>
      <c r="N157" s="949"/>
    </row>
    <row r="158" spans="1:16" s="149" customFormat="1" ht="21.75" hidden="1" customHeight="1">
      <c r="A158" s="267">
        <v>63</v>
      </c>
      <c r="B158" s="947"/>
      <c r="C158" s="948"/>
      <c r="D158" s="782" t="str">
        <f>'CNKT '!C160</f>
        <v>Mủ Xi Rum</v>
      </c>
      <c r="E158" s="782" t="s">
        <v>372</v>
      </c>
      <c r="F158" s="781">
        <f>VLOOKUP(D158,'CNKT '!$C$98:$F$161,4,0)</f>
        <v>0</v>
      </c>
      <c r="G158" s="781">
        <f>VLOOKUP(D158,'CNKT '!$C$98:$L$161,10,0)</f>
        <v>0</v>
      </c>
      <c r="H158" s="781">
        <f>VLOOKUP(D158,'CNKT '!$C$98:$W$161,21,0)</f>
        <v>0</v>
      </c>
      <c r="I158" s="781">
        <f t="shared" si="10"/>
        <v>0</v>
      </c>
      <c r="J158" s="781"/>
      <c r="K158" s="781">
        <f>VLOOKUP(D158,'CNKT '!$C$98:$Z$161,24,0)</f>
        <v>0</v>
      </c>
      <c r="L158" s="781"/>
      <c r="M158" s="783">
        <f t="shared" si="11"/>
        <v>0</v>
      </c>
      <c r="N158" s="949"/>
    </row>
    <row r="159" spans="1:16" s="149" customFormat="1" ht="21.75" customHeight="1">
      <c r="A159" s="267">
        <v>61</v>
      </c>
      <c r="B159" s="947"/>
      <c r="C159" s="948"/>
      <c r="D159" s="782" t="str">
        <f>'CNKT '!C161</f>
        <v>Lun</v>
      </c>
      <c r="E159" s="782" t="s">
        <v>372</v>
      </c>
      <c r="F159" s="781">
        <f>VLOOKUP(D159,'CNKT '!$C$98:$F$162,4,0)</f>
        <v>0</v>
      </c>
      <c r="G159" s="781">
        <f>VLOOKUP(D159,'CNKT '!$C$98:$L$161,10,0)</f>
        <v>0</v>
      </c>
      <c r="H159" s="781">
        <f>VLOOKUP(D159,'CNKT '!$C$98:$W$161,21,0)</f>
        <v>0</v>
      </c>
      <c r="I159" s="781">
        <f>SUM(F159:H159)</f>
        <v>0</v>
      </c>
      <c r="J159" s="781"/>
      <c r="K159" s="781">
        <f>VLOOKUP(D159,'CNKT '!$C$98:$Z$161,24,0)</f>
        <v>0</v>
      </c>
      <c r="L159" s="781"/>
      <c r="M159" s="783">
        <f>K159-J159</f>
        <v>0</v>
      </c>
      <c r="N159" s="949"/>
    </row>
    <row r="160" spans="1:16" s="148" customFormat="1" ht="21.75" customHeight="1">
      <c r="A160" s="1565" t="s">
        <v>422</v>
      </c>
      <c r="B160" s="1566"/>
      <c r="C160" s="1566"/>
      <c r="D160" s="1566"/>
      <c r="E160" s="1567"/>
      <c r="F160" s="946">
        <f>SUM(F161:F173)</f>
        <v>15677419.35483871</v>
      </c>
      <c r="G160" s="946">
        <f t="shared" ref="G160:M160" si="12">SUM(G161:G173)</f>
        <v>0</v>
      </c>
      <c r="H160" s="946">
        <f t="shared" si="12"/>
        <v>4800000</v>
      </c>
      <c r="I160" s="946">
        <f t="shared" si="12"/>
        <v>20477419.354838714</v>
      </c>
      <c r="J160" s="946">
        <f t="shared" si="12"/>
        <v>65000</v>
      </c>
      <c r="K160" s="946">
        <f t="shared" si="12"/>
        <v>20412419.354838714</v>
      </c>
      <c r="L160" s="946">
        <f t="shared" si="12"/>
        <v>0</v>
      </c>
      <c r="M160" s="946">
        <f t="shared" si="12"/>
        <v>20412419.354838714</v>
      </c>
      <c r="N160" s="951"/>
      <c r="O160" s="147"/>
      <c r="P160" s="151"/>
    </row>
    <row r="161" spans="1:16" s="148" customFormat="1" ht="26.25" customHeight="1">
      <c r="A161" s="348">
        <v>1</v>
      </c>
      <c r="B161" s="429"/>
      <c r="C161" s="948"/>
      <c r="D161" s="324" t="str">
        <f>'Lương bảo vệ '!B13</f>
        <v>N. Tinh</v>
      </c>
      <c r="E161" s="324" t="str">
        <f>'Lương bảo vệ '!C13</f>
        <v>Bảo vệ (CT)</v>
      </c>
      <c r="F161" s="281">
        <f>'Lương bảo vệ '!G13</f>
        <v>2000000</v>
      </c>
      <c r="G161" s="781"/>
      <c r="H161" s="781">
        <f>'Lương bảo vệ '!H13</f>
        <v>600000</v>
      </c>
      <c r="I161" s="950">
        <f>F161+H161</f>
        <v>2600000</v>
      </c>
      <c r="J161" s="781"/>
      <c r="K161" s="950">
        <f>I161-J161</f>
        <v>2600000</v>
      </c>
      <c r="L161" s="281"/>
      <c r="M161" s="783">
        <f>K161</f>
        <v>2600000</v>
      </c>
      <c r="N161" s="951"/>
      <c r="O161" s="147"/>
      <c r="P161" s="151"/>
    </row>
    <row r="162" spans="1:16" s="148" customFormat="1" ht="26.25" customHeight="1">
      <c r="A162" s="348">
        <v>2</v>
      </c>
      <c r="B162" s="429"/>
      <c r="C162" s="948"/>
      <c r="D162" s="324" t="str">
        <f>'Lương bảo vệ '!B14</f>
        <v>Đô La</v>
      </c>
      <c r="E162" s="324" t="str">
        <f>'Lương bảo vệ '!C14</f>
        <v>Bảo vệ (CT)</v>
      </c>
      <c r="F162" s="281">
        <f>'Lương bảo vệ '!G14</f>
        <v>2000000</v>
      </c>
      <c r="G162" s="781"/>
      <c r="H162" s="781">
        <f>'Lương bảo vệ '!H14</f>
        <v>600000</v>
      </c>
      <c r="I162" s="950">
        <f>F162+H162</f>
        <v>2600000</v>
      </c>
      <c r="J162" s="781"/>
      <c r="K162" s="950">
        <f t="shared" ref="K162:K173" si="13">I162-J162</f>
        <v>2600000</v>
      </c>
      <c r="L162" s="281"/>
      <c r="M162" s="783">
        <f>K162</f>
        <v>2600000</v>
      </c>
      <c r="N162" s="951"/>
      <c r="O162" s="147"/>
      <c r="P162" s="151"/>
    </row>
    <row r="163" spans="1:16" s="148" customFormat="1" ht="26.25" customHeight="1">
      <c r="A163" s="348">
        <v>3</v>
      </c>
      <c r="B163" s="1171"/>
      <c r="C163" s="1172"/>
      <c r="D163" s="324" t="str">
        <f>'Lương bảo vệ '!B15</f>
        <v xml:space="preserve">Thảo Mét </v>
      </c>
      <c r="E163" s="324" t="str">
        <f>'Lương bảo vệ '!C15</f>
        <v>Bảo vệ (CT)</v>
      </c>
      <c r="F163" s="281">
        <f>'Lương bảo vệ '!G15</f>
        <v>2000000</v>
      </c>
      <c r="G163" s="781"/>
      <c r="H163" s="781">
        <f>'Lương bảo vệ '!H15</f>
        <v>600000</v>
      </c>
      <c r="I163" s="950">
        <f t="shared" ref="I163:I173" si="14">F163+H163</f>
        <v>2600000</v>
      </c>
      <c r="J163" s="781">
        <f>VLOOKUP(D163,'Lương bảo vệ '!B13:K25,9,0)</f>
        <v>65000</v>
      </c>
      <c r="K163" s="950">
        <f t="shared" si="13"/>
        <v>2535000</v>
      </c>
      <c r="L163" s="281"/>
      <c r="M163" s="783">
        <f t="shared" ref="M163:M173" si="15">K163</f>
        <v>2535000</v>
      </c>
      <c r="N163" s="951"/>
      <c r="O163" s="147"/>
      <c r="P163" s="151"/>
    </row>
    <row r="164" spans="1:16" s="148" customFormat="1" ht="26.25" customHeight="1">
      <c r="A164" s="348">
        <v>4</v>
      </c>
      <c r="B164" s="1171"/>
      <c r="C164" s="1172"/>
      <c r="D164" s="324" t="str">
        <f>'Lương bảo vệ '!B16</f>
        <v>T. A Xong</v>
      </c>
      <c r="E164" s="324" t="str">
        <f>'Lương bảo vệ '!C16</f>
        <v>BVTV</v>
      </c>
      <c r="F164" s="281">
        <f>'Lương bảo vệ '!G16</f>
        <v>967741.93548387103</v>
      </c>
      <c r="G164" s="781"/>
      <c r="H164" s="781">
        <f>'Lương bảo vệ '!H16</f>
        <v>300000</v>
      </c>
      <c r="I164" s="950">
        <f t="shared" si="14"/>
        <v>1267741.935483871</v>
      </c>
      <c r="J164" s="781"/>
      <c r="K164" s="950">
        <f t="shared" si="13"/>
        <v>1267741.935483871</v>
      </c>
      <c r="L164" s="281"/>
      <c r="M164" s="783">
        <f t="shared" si="15"/>
        <v>1267741.935483871</v>
      </c>
      <c r="N164" s="951"/>
      <c r="O164" s="147"/>
      <c r="P164" s="151"/>
    </row>
    <row r="165" spans="1:16" s="148" customFormat="1" ht="26.25" customHeight="1">
      <c r="A165" s="348">
        <v>5</v>
      </c>
      <c r="B165" s="1171"/>
      <c r="C165" s="1172"/>
      <c r="D165" s="324" t="str">
        <f>'Lương bảo vệ '!B17</f>
        <v>T. Khon</v>
      </c>
      <c r="E165" s="324" t="str">
        <f>'Lương bảo vệ '!C17</f>
        <v>BVTV</v>
      </c>
      <c r="F165" s="281">
        <f>'Lương bảo vệ '!G17</f>
        <v>967741.93548387103</v>
      </c>
      <c r="G165" s="781"/>
      <c r="H165" s="781">
        <f>'Lương bảo vệ '!H17</f>
        <v>300000</v>
      </c>
      <c r="I165" s="950">
        <f t="shared" si="14"/>
        <v>1267741.935483871</v>
      </c>
      <c r="J165" s="781"/>
      <c r="K165" s="950">
        <f t="shared" si="13"/>
        <v>1267741.935483871</v>
      </c>
      <c r="L165" s="281"/>
      <c r="M165" s="783">
        <f t="shared" si="15"/>
        <v>1267741.935483871</v>
      </c>
      <c r="N165" s="951"/>
      <c r="O165" s="147"/>
      <c r="P165" s="151"/>
    </row>
    <row r="166" spans="1:16" s="148" customFormat="1" ht="26.25" customHeight="1">
      <c r="A166" s="348">
        <v>6</v>
      </c>
      <c r="B166" s="1171"/>
      <c r="C166" s="1172"/>
      <c r="D166" s="324" t="str">
        <f>'Lương bảo vệ '!B18</f>
        <v>P. Tưng</v>
      </c>
      <c r="E166" s="324" t="str">
        <f>'Lương bảo vệ '!C18</f>
        <v>BVTV</v>
      </c>
      <c r="F166" s="281">
        <f>'Lương bảo vệ '!G18</f>
        <v>967741.93548387103</v>
      </c>
      <c r="G166" s="781"/>
      <c r="H166" s="781">
        <f>'Lương bảo vệ '!H18</f>
        <v>300000</v>
      </c>
      <c r="I166" s="950">
        <f t="shared" si="14"/>
        <v>1267741.935483871</v>
      </c>
      <c r="J166" s="781"/>
      <c r="K166" s="950">
        <f t="shared" si="13"/>
        <v>1267741.935483871</v>
      </c>
      <c r="L166" s="281"/>
      <c r="M166" s="783">
        <f t="shared" si="15"/>
        <v>1267741.935483871</v>
      </c>
      <c r="N166" s="951"/>
      <c r="O166" s="147"/>
      <c r="P166" s="151"/>
    </row>
    <row r="167" spans="1:16" s="148" customFormat="1" ht="26.25" customHeight="1">
      <c r="A167" s="348">
        <v>7</v>
      </c>
      <c r="B167" s="1171"/>
      <c r="C167" s="1172"/>
      <c r="D167" s="324" t="str">
        <f>'Lương bảo vệ '!B19</f>
        <v>T. Bun Lăm</v>
      </c>
      <c r="E167" s="324" t="str">
        <f>'Lương bảo vệ '!C19</f>
        <v>BVTV</v>
      </c>
      <c r="F167" s="281">
        <f>'Lương bảo vệ '!G19</f>
        <v>967741.93548387103</v>
      </c>
      <c r="G167" s="781"/>
      <c r="H167" s="781">
        <f>'Lương bảo vệ '!H19</f>
        <v>300000</v>
      </c>
      <c r="I167" s="950">
        <f t="shared" si="14"/>
        <v>1267741.935483871</v>
      </c>
      <c r="J167" s="781"/>
      <c r="K167" s="950">
        <f t="shared" si="13"/>
        <v>1267741.935483871</v>
      </c>
      <c r="L167" s="281"/>
      <c r="M167" s="783">
        <f t="shared" si="15"/>
        <v>1267741.935483871</v>
      </c>
      <c r="N167" s="951"/>
      <c r="O167" s="147"/>
      <c r="P167" s="151"/>
    </row>
    <row r="168" spans="1:16" s="148" customFormat="1" ht="26.25" customHeight="1">
      <c r="A168" s="348">
        <v>8</v>
      </c>
      <c r="B168" s="1171"/>
      <c r="C168" s="1172"/>
      <c r="D168" s="324" t="str">
        <f>'Lương bảo vệ '!B20</f>
        <v>T. Phước</v>
      </c>
      <c r="E168" s="324" t="str">
        <f>'Lương bảo vệ '!C20</f>
        <v>BVTV</v>
      </c>
      <c r="F168" s="281">
        <f>'Lương bảo vệ '!G20</f>
        <v>967741.93548387103</v>
      </c>
      <c r="G168" s="781"/>
      <c r="H168" s="781">
        <f>'Lương bảo vệ '!H20</f>
        <v>300000</v>
      </c>
      <c r="I168" s="950">
        <f t="shared" si="14"/>
        <v>1267741.935483871</v>
      </c>
      <c r="J168" s="781"/>
      <c r="K168" s="950">
        <f t="shared" si="13"/>
        <v>1267741.935483871</v>
      </c>
      <c r="L168" s="281"/>
      <c r="M168" s="783">
        <f t="shared" si="15"/>
        <v>1267741.935483871</v>
      </c>
      <c r="N168" s="951"/>
      <c r="O168" s="147"/>
      <c r="P168" s="151"/>
    </row>
    <row r="169" spans="1:16" s="148" customFormat="1" ht="26.25" customHeight="1">
      <c r="A169" s="348">
        <v>9</v>
      </c>
      <c r="B169" s="1171"/>
      <c r="C169" s="1172"/>
      <c r="D169" s="324" t="str">
        <f>'Lương bảo vệ '!B21</f>
        <v>T. Thun</v>
      </c>
      <c r="E169" s="324" t="str">
        <f>'Lương bảo vệ '!C21</f>
        <v>BVTV</v>
      </c>
      <c r="F169" s="281">
        <f>'Lương bảo vệ '!G21</f>
        <v>967741.93548387103</v>
      </c>
      <c r="G169" s="781"/>
      <c r="H169" s="781">
        <f>'Lương bảo vệ '!H21</f>
        <v>300000</v>
      </c>
      <c r="I169" s="950">
        <f t="shared" si="14"/>
        <v>1267741.935483871</v>
      </c>
      <c r="J169" s="781"/>
      <c r="K169" s="950">
        <f t="shared" si="13"/>
        <v>1267741.935483871</v>
      </c>
      <c r="L169" s="281"/>
      <c r="M169" s="783">
        <f t="shared" si="15"/>
        <v>1267741.935483871</v>
      </c>
      <c r="N169" s="951"/>
      <c r="O169" s="147"/>
      <c r="P169" s="151"/>
    </row>
    <row r="170" spans="1:16" s="148" customFormat="1" ht="26.25" customHeight="1">
      <c r="A170" s="348">
        <v>10</v>
      </c>
      <c r="B170" s="1171"/>
      <c r="C170" s="1172"/>
      <c r="D170" s="324" t="str">
        <f>'Lương bảo vệ '!B22</f>
        <v>T. Phon</v>
      </c>
      <c r="E170" s="324" t="str">
        <f>'Lương bảo vệ '!C22</f>
        <v>BVTV</v>
      </c>
      <c r="F170" s="281">
        <f>'Lương bảo vệ '!G22</f>
        <v>967741.93548387103</v>
      </c>
      <c r="G170" s="781"/>
      <c r="H170" s="781">
        <f>'Lương bảo vệ '!H22</f>
        <v>300000</v>
      </c>
      <c r="I170" s="950">
        <f t="shared" si="14"/>
        <v>1267741.935483871</v>
      </c>
      <c r="J170" s="781"/>
      <c r="K170" s="950">
        <f t="shared" si="13"/>
        <v>1267741.935483871</v>
      </c>
      <c r="L170" s="281"/>
      <c r="M170" s="783">
        <f t="shared" si="15"/>
        <v>1267741.935483871</v>
      </c>
      <c r="N170" s="951"/>
      <c r="O170" s="147"/>
      <c r="P170" s="151"/>
    </row>
    <row r="171" spans="1:16" s="148" customFormat="1" ht="26.25" customHeight="1">
      <c r="A171" s="348">
        <v>11</v>
      </c>
      <c r="B171" s="1171"/>
      <c r="C171" s="1172"/>
      <c r="D171" s="324" t="str">
        <f>'Lương bảo vệ '!B23</f>
        <v>Khăm Sai</v>
      </c>
      <c r="E171" s="324" t="str">
        <f>'Lương bảo vệ '!C23</f>
        <v>BVTV</v>
      </c>
      <c r="F171" s="281">
        <f>'Lương bảo vệ '!G23</f>
        <v>967741.93548387103</v>
      </c>
      <c r="G171" s="781"/>
      <c r="H171" s="781">
        <f>'Lương bảo vệ '!H23</f>
        <v>300000</v>
      </c>
      <c r="I171" s="950">
        <f t="shared" si="14"/>
        <v>1267741.935483871</v>
      </c>
      <c r="J171" s="781"/>
      <c r="K171" s="950">
        <f t="shared" si="13"/>
        <v>1267741.935483871</v>
      </c>
      <c r="L171" s="281"/>
      <c r="M171" s="783">
        <f t="shared" si="15"/>
        <v>1267741.935483871</v>
      </c>
      <c r="N171" s="951"/>
      <c r="O171" s="147"/>
      <c r="P171" s="151"/>
    </row>
    <row r="172" spans="1:16" s="148" customFormat="1" ht="26.25" customHeight="1">
      <c r="A172" s="348">
        <v>12</v>
      </c>
      <c r="B172" s="1171"/>
      <c r="C172" s="1172"/>
      <c r="D172" s="324" t="str">
        <f>'Lương bảo vệ '!B24</f>
        <v>T. Lả</v>
      </c>
      <c r="E172" s="324" t="str">
        <f>'Lương bảo vệ '!C24</f>
        <v>BVTV</v>
      </c>
      <c r="F172" s="281">
        <f>'Lương bảo vệ '!G24</f>
        <v>967741.93548387103</v>
      </c>
      <c r="G172" s="781"/>
      <c r="H172" s="781">
        <f>'Lương bảo vệ '!H24</f>
        <v>300000</v>
      </c>
      <c r="I172" s="950">
        <f t="shared" si="14"/>
        <v>1267741.935483871</v>
      </c>
      <c r="J172" s="781"/>
      <c r="K172" s="950">
        <f t="shared" si="13"/>
        <v>1267741.935483871</v>
      </c>
      <c r="L172" s="281"/>
      <c r="M172" s="783">
        <f t="shared" si="15"/>
        <v>1267741.935483871</v>
      </c>
      <c r="N172" s="951"/>
      <c r="O172" s="147"/>
      <c r="P172" s="151"/>
    </row>
    <row r="173" spans="1:16" s="148" customFormat="1" ht="26.25" customHeight="1">
      <c r="A173" s="348">
        <v>13</v>
      </c>
      <c r="B173" s="1171"/>
      <c r="C173" s="1172"/>
      <c r="D173" s="324" t="str">
        <f>'Lương bảo vệ '!B25</f>
        <v>T. Ni</v>
      </c>
      <c r="E173" s="324" t="str">
        <f>'Lương bảo vệ '!C25</f>
        <v>BVTV</v>
      </c>
      <c r="F173" s="281">
        <f>'Lương bảo vệ '!G25</f>
        <v>967741.93548387103</v>
      </c>
      <c r="G173" s="781"/>
      <c r="H173" s="781">
        <f>'Lương bảo vệ '!H25</f>
        <v>300000</v>
      </c>
      <c r="I173" s="950">
        <f t="shared" si="14"/>
        <v>1267741.935483871</v>
      </c>
      <c r="J173" s="781"/>
      <c r="K173" s="950">
        <f t="shared" si="13"/>
        <v>1267741.935483871</v>
      </c>
      <c r="L173" s="281"/>
      <c r="M173" s="783">
        <f t="shared" si="15"/>
        <v>1267741.935483871</v>
      </c>
      <c r="N173" s="951"/>
      <c r="O173" s="147"/>
      <c r="P173" s="151"/>
    </row>
    <row r="174" spans="1:16" s="148" customFormat="1" ht="36.75" customHeight="1">
      <c r="A174" s="1565" t="s">
        <v>458</v>
      </c>
      <c r="B174" s="1566"/>
      <c r="C174" s="1566"/>
      <c r="D174" s="1566"/>
      <c r="E174" s="1567"/>
      <c r="F174" s="946">
        <f t="shared" ref="F174:M174" si="16">SUM(F175:F177)</f>
        <v>11569069</v>
      </c>
      <c r="G174" s="946">
        <f t="shared" si="16"/>
        <v>0</v>
      </c>
      <c r="H174" s="946">
        <f t="shared" si="16"/>
        <v>0</v>
      </c>
      <c r="I174" s="946">
        <f t="shared" si="16"/>
        <v>11569069</v>
      </c>
      <c r="J174" s="946">
        <f t="shared" si="16"/>
        <v>383453.45</v>
      </c>
      <c r="K174" s="946">
        <f t="shared" si="16"/>
        <v>11185615.550000001</v>
      </c>
      <c r="L174" s="946">
        <f t="shared" si="16"/>
        <v>0</v>
      </c>
      <c r="M174" s="946">
        <f t="shared" si="16"/>
        <v>11185615.550000001</v>
      </c>
      <c r="N174" s="951"/>
      <c r="O174" s="147"/>
      <c r="P174" s="151"/>
    </row>
    <row r="175" spans="1:16" s="148" customFormat="1" ht="26.25" customHeight="1">
      <c r="A175" s="348">
        <v>1</v>
      </c>
      <c r="B175" s="429"/>
      <c r="C175" s="948"/>
      <c r="D175" s="324" t="str">
        <f>'lương gián tiếp'!B14</f>
        <v>Thảo Văn Vông</v>
      </c>
      <c r="E175" s="324" t="s">
        <v>454</v>
      </c>
      <c r="F175" s="281">
        <f>VLOOKUP(D175,'lương gián tiếp'!B14:G15,6,0)</f>
        <v>4722719</v>
      </c>
      <c r="G175" s="781"/>
      <c r="H175" s="781"/>
      <c r="I175" s="950">
        <f>VLOOKUP(D175,'lương gián tiếp'!B14:G14,6,0)</f>
        <v>4722719</v>
      </c>
      <c r="J175" s="781">
        <f>VLOOKUP(D175,'lương gián tiếp'!B14:H15,7,0)</f>
        <v>171135.95</v>
      </c>
      <c r="K175" s="950">
        <f>I175-J175</f>
        <v>4551583.05</v>
      </c>
      <c r="L175" s="281"/>
      <c r="M175" s="783">
        <f>K175</f>
        <v>4551583.05</v>
      </c>
      <c r="N175" s="951"/>
      <c r="O175" s="147"/>
      <c r="P175" s="151"/>
    </row>
    <row r="176" spans="1:16" s="148" customFormat="1" ht="26.25" customHeight="1">
      <c r="A176" s="348">
        <v>2</v>
      </c>
      <c r="B176" s="429"/>
      <c r="C176" s="948"/>
      <c r="D176" s="324" t="str">
        <f>'lương gián tiếp'!B15</f>
        <v>Thảo Phôn Chay</v>
      </c>
      <c r="E176" s="324" t="s">
        <v>454</v>
      </c>
      <c r="F176" s="281">
        <f>VLOOKUP(D176,'lương gián tiếp'!B15:G15,6,0)</f>
        <v>4846350</v>
      </c>
      <c r="G176" s="781"/>
      <c r="H176" s="781"/>
      <c r="I176" s="950">
        <f>VLOOKUP(D176,'lương gián tiếp'!B15:G15,6,0)</f>
        <v>4846350</v>
      </c>
      <c r="J176" s="781">
        <f>VLOOKUP(D176,'lương gián tiếp'!B15:H15,7,0)</f>
        <v>177317.5</v>
      </c>
      <c r="K176" s="950">
        <f>I176-J176</f>
        <v>4669032.5</v>
      </c>
      <c r="L176" s="281"/>
      <c r="M176" s="783">
        <f>K176</f>
        <v>4669032.5</v>
      </c>
      <c r="N176" s="951"/>
      <c r="O176" s="147"/>
      <c r="P176" s="151"/>
    </row>
    <row r="177" spans="1:28" s="148" customFormat="1" ht="26.25" customHeight="1">
      <c r="A177" s="348">
        <v>3</v>
      </c>
      <c r="B177" s="429"/>
      <c r="C177" s="948"/>
      <c r="D177" s="324" t="str">
        <f>'lương gián tiếp'!B17</f>
        <v>N. Nhung  ( VP)</v>
      </c>
      <c r="E177" s="324" t="s">
        <v>173</v>
      </c>
      <c r="F177" s="281">
        <f>VLOOKUP(D177,'lương gián tiếp'!B16:G18,6,0)</f>
        <v>2000000</v>
      </c>
      <c r="G177" s="781"/>
      <c r="H177" s="781"/>
      <c r="I177" s="950">
        <f>F177</f>
        <v>2000000</v>
      </c>
      <c r="J177" s="781">
        <f>VLOOKUP(D177,'lương gián tiếp'!B17:H18,7,0)</f>
        <v>35000</v>
      </c>
      <c r="K177" s="950">
        <f>I177-J177</f>
        <v>1965000</v>
      </c>
      <c r="L177" s="281"/>
      <c r="M177" s="783">
        <f>K177</f>
        <v>1965000</v>
      </c>
      <c r="N177" s="951"/>
      <c r="O177" s="147"/>
      <c r="P177" s="151"/>
    </row>
    <row r="178" spans="1:28" s="148" customFormat="1" ht="26.25" customHeight="1">
      <c r="A178" s="1561" t="s">
        <v>292</v>
      </c>
      <c r="B178" s="1561"/>
      <c r="C178" s="1561"/>
      <c r="D178" s="1561"/>
      <c r="E178" s="1561"/>
      <c r="F178" s="946">
        <f t="shared" ref="F178:M178" si="17">F13+F95</f>
        <v>0</v>
      </c>
      <c r="G178" s="946">
        <f t="shared" si="17"/>
        <v>383350895</v>
      </c>
      <c r="H178" s="946">
        <f t="shared" si="17"/>
        <v>191490673</v>
      </c>
      <c r="I178" s="946">
        <f t="shared" si="17"/>
        <v>574841568</v>
      </c>
      <c r="J178" s="946">
        <f t="shared" si="17"/>
        <v>0</v>
      </c>
      <c r="K178" s="946">
        <f t="shared" si="17"/>
        <v>574841568</v>
      </c>
      <c r="L178" s="946">
        <f t="shared" si="17"/>
        <v>0</v>
      </c>
      <c r="M178" s="946">
        <f t="shared" si="17"/>
        <v>574841568</v>
      </c>
      <c r="N178" s="952"/>
      <c r="O178" s="152">
        <f>M13+M95</f>
        <v>574841568</v>
      </c>
      <c r="P178" s="1140" t="e">
        <f>#REF!-O178</f>
        <v>#REF!</v>
      </c>
    </row>
    <row r="179" spans="1:28" s="148" customFormat="1" ht="29.25" customHeight="1">
      <c r="A179" s="1562" t="s">
        <v>637</v>
      </c>
      <c r="B179" s="1563"/>
      <c r="C179" s="1563"/>
      <c r="D179" s="1563"/>
      <c r="E179" s="1564"/>
      <c r="F179" s="946">
        <f t="shared" ref="F179:M179" si="18">F160</f>
        <v>15677419.35483871</v>
      </c>
      <c r="G179" s="946">
        <f t="shared" si="18"/>
        <v>0</v>
      </c>
      <c r="H179" s="946">
        <f t="shared" si="18"/>
        <v>4800000</v>
      </c>
      <c r="I179" s="946">
        <f t="shared" si="18"/>
        <v>20477419.354838714</v>
      </c>
      <c r="J179" s="946">
        <f t="shared" si="18"/>
        <v>65000</v>
      </c>
      <c r="K179" s="946">
        <f t="shared" si="18"/>
        <v>20412419.354838714</v>
      </c>
      <c r="L179" s="946">
        <f t="shared" si="18"/>
        <v>0</v>
      </c>
      <c r="M179" s="946">
        <f t="shared" si="18"/>
        <v>20412419.354838714</v>
      </c>
      <c r="N179" s="952"/>
      <c r="O179" s="152"/>
      <c r="P179" s="326"/>
    </row>
    <row r="180" spans="1:28" s="148" customFormat="1" ht="21.75" customHeight="1">
      <c r="A180" s="1565" t="s">
        <v>638</v>
      </c>
      <c r="B180" s="1566"/>
      <c r="C180" s="1566"/>
      <c r="D180" s="1566"/>
      <c r="E180" s="1567"/>
      <c r="F180" s="946">
        <f t="shared" ref="F180:M180" si="19">F174</f>
        <v>11569069</v>
      </c>
      <c r="G180" s="946">
        <f t="shared" si="19"/>
        <v>0</v>
      </c>
      <c r="H180" s="946">
        <f t="shared" si="19"/>
        <v>0</v>
      </c>
      <c r="I180" s="946">
        <f t="shared" si="19"/>
        <v>11569069</v>
      </c>
      <c r="J180" s="946">
        <f t="shared" si="19"/>
        <v>383453.45</v>
      </c>
      <c r="K180" s="946">
        <f t="shared" si="19"/>
        <v>11185615.550000001</v>
      </c>
      <c r="L180" s="946">
        <f t="shared" si="19"/>
        <v>0</v>
      </c>
      <c r="M180" s="946">
        <f t="shared" si="19"/>
        <v>11185615.550000001</v>
      </c>
      <c r="N180" s="952"/>
      <c r="O180" s="152"/>
      <c r="P180" s="326"/>
    </row>
    <row r="181" spans="1:28" s="148" customFormat="1" ht="21.75" customHeight="1">
      <c r="A181" s="1560" t="s">
        <v>639</v>
      </c>
      <c r="B181" s="1560"/>
      <c r="C181" s="1560"/>
      <c r="D181" s="1560"/>
      <c r="E181" s="1560"/>
      <c r="F181" s="946">
        <f t="shared" ref="F181:M181" si="20">SUM(F178:F180)</f>
        <v>27246488.35483871</v>
      </c>
      <c r="G181" s="946">
        <f t="shared" si="20"/>
        <v>383350895</v>
      </c>
      <c r="H181" s="946">
        <f t="shared" si="20"/>
        <v>196290673</v>
      </c>
      <c r="I181" s="953">
        <f t="shared" si="20"/>
        <v>606888056.35483873</v>
      </c>
      <c r="J181" s="946">
        <f t="shared" si="20"/>
        <v>448453.45</v>
      </c>
      <c r="K181" s="946">
        <f t="shared" si="20"/>
        <v>606439602.90483868</v>
      </c>
      <c r="L181" s="946">
        <f t="shared" si="20"/>
        <v>0</v>
      </c>
      <c r="M181" s="946">
        <f t="shared" si="20"/>
        <v>606439602.90483868</v>
      </c>
      <c r="N181" s="954"/>
      <c r="O181" s="147">
        <v>2398773484</v>
      </c>
      <c r="P181" s="150"/>
    </row>
    <row r="182" spans="1:28" s="148" customFormat="1" ht="21.75" customHeight="1">
      <c r="A182" s="1569" t="s">
        <v>747</v>
      </c>
      <c r="B182" s="1569"/>
      <c r="C182" s="1569"/>
      <c r="D182" s="1569"/>
      <c r="E182" s="1569"/>
      <c r="F182" s="1569"/>
      <c r="G182" s="1569"/>
      <c r="H182" s="1569"/>
      <c r="I182" s="1569"/>
      <c r="J182" s="1569"/>
      <c r="K182" s="1569"/>
      <c r="L182" s="1569"/>
      <c r="M182" s="1569"/>
      <c r="N182" s="1569"/>
      <c r="O182" s="147"/>
      <c r="P182" s="150"/>
    </row>
    <row r="183" spans="1:28" ht="16.5">
      <c r="A183" s="1017"/>
      <c r="B183" s="1016"/>
      <c r="C183" s="178"/>
      <c r="D183" s="178"/>
      <c r="E183" s="178"/>
      <c r="F183" s="186"/>
      <c r="G183" s="178"/>
      <c r="H183" s="178"/>
      <c r="I183" s="1574" t="s">
        <v>700</v>
      </c>
      <c r="J183" s="1574"/>
      <c r="K183" s="1574"/>
      <c r="L183" s="1574"/>
      <c r="M183" s="1574"/>
      <c r="N183" s="1574"/>
      <c r="O183" s="55"/>
      <c r="Q183" s="57"/>
    </row>
    <row r="184" spans="1:28" s="46" customFormat="1" ht="16.5">
      <c r="A184" s="1112"/>
      <c r="B184" s="262"/>
      <c r="C184" s="262"/>
      <c r="D184" s="262"/>
      <c r="E184" s="262"/>
      <c r="F184" s="262"/>
      <c r="G184" s="262"/>
      <c r="H184" s="262"/>
      <c r="I184" s="272"/>
      <c r="J184" s="262"/>
      <c r="K184" s="272"/>
      <c r="L184" s="262"/>
      <c r="M184" s="1112"/>
      <c r="N184" s="262"/>
      <c r="O184" s="57"/>
      <c r="P184" s="154"/>
    </row>
    <row r="185" spans="1:28" s="46" customFormat="1" ht="16.5">
      <c r="A185" s="799"/>
      <c r="B185" s="1119" t="s">
        <v>33</v>
      </c>
      <c r="C185" s="1119"/>
      <c r="D185" s="1119"/>
      <c r="E185" s="1568" t="s">
        <v>32</v>
      </c>
      <c r="F185" s="1568"/>
      <c r="G185" s="1568" t="s">
        <v>31</v>
      </c>
      <c r="H185" s="1568"/>
      <c r="I185" s="1568" t="s">
        <v>663</v>
      </c>
      <c r="J185" s="1568"/>
      <c r="K185" s="1568" t="s">
        <v>727</v>
      </c>
      <c r="L185" s="1568"/>
      <c r="M185" s="1568"/>
      <c r="N185" s="1568"/>
      <c r="O185" s="1119"/>
      <c r="P185" s="1119"/>
      <c r="Q185" s="1119"/>
      <c r="S185" s="1119"/>
      <c r="T185" s="1119"/>
      <c r="U185" s="1119"/>
      <c r="V185" s="1119"/>
      <c r="W185" s="1119"/>
      <c r="X185" s="1115"/>
      <c r="Y185" s="1115"/>
      <c r="AA185" s="1115"/>
      <c r="AB185" s="1115"/>
    </row>
    <row r="186" spans="1:28" s="46" customFormat="1" ht="16.5">
      <c r="A186" s="1115"/>
      <c r="B186" s="1115"/>
      <c r="C186" s="1111"/>
      <c r="D186" s="1111"/>
      <c r="E186" s="1111"/>
      <c r="F186" s="1111"/>
      <c r="G186" s="1111"/>
      <c r="H186" s="1111"/>
      <c r="I186" s="1111"/>
      <c r="J186" s="1116"/>
      <c r="K186" s="1111"/>
      <c r="L186" s="800"/>
      <c r="M186" s="1117"/>
      <c r="N186" s="1117"/>
      <c r="O186" s="800">
        <v>878285009</v>
      </c>
      <c r="P186" s="800"/>
      <c r="Q186" s="800"/>
      <c r="R186" s="800"/>
      <c r="S186" s="800"/>
      <c r="T186" s="800"/>
      <c r="U186" s="800"/>
      <c r="V186" s="800"/>
      <c r="W186" s="1118"/>
      <c r="X186" s="1111"/>
      <c r="Y186" s="1111"/>
      <c r="Z186" s="1111"/>
      <c r="AA186" s="1111"/>
      <c r="AB186" s="1117"/>
    </row>
    <row r="187" spans="1:28" ht="16.5">
      <c r="A187" s="1115"/>
      <c r="B187" s="1115"/>
      <c r="C187" s="1111"/>
      <c r="D187" s="1111"/>
      <c r="E187" s="1111"/>
      <c r="F187" s="1111"/>
      <c r="G187" s="1111"/>
      <c r="H187" s="1111"/>
      <c r="I187" s="1111"/>
      <c r="J187" s="1116"/>
      <c r="K187" s="1111"/>
      <c r="L187" s="800"/>
      <c r="M187" s="1117"/>
      <c r="N187" s="1117"/>
      <c r="O187" s="800"/>
      <c r="P187" s="800">
        <f>O186-I181</f>
        <v>271396952.64516127</v>
      </c>
      <c r="Q187" s="800"/>
      <c r="R187" s="800"/>
      <c r="S187" s="800"/>
      <c r="T187" s="800"/>
      <c r="U187" s="800"/>
      <c r="V187" s="800"/>
      <c r="W187" s="1118"/>
      <c r="X187" s="1111"/>
      <c r="Y187" s="1111"/>
      <c r="Z187" s="1111"/>
      <c r="AA187" s="1111"/>
      <c r="AB187" s="1117"/>
    </row>
    <row r="188" spans="1:28" ht="16.5">
      <c r="A188" s="799"/>
      <c r="B188" s="706"/>
      <c r="C188" s="706"/>
      <c r="D188" s="706"/>
      <c r="E188" s="706"/>
      <c r="F188" s="706"/>
      <c r="G188" s="706"/>
      <c r="H188" s="799"/>
      <c r="I188" s="706"/>
      <c r="J188" s="706"/>
      <c r="K188" s="706"/>
      <c r="L188" s="706"/>
      <c r="M188" s="679"/>
      <c r="N188" s="799"/>
      <c r="O188" s="799"/>
      <c r="P188" s="799"/>
      <c r="Q188" s="799"/>
      <c r="R188" s="799"/>
      <c r="S188" s="799"/>
      <c r="T188" s="799"/>
      <c r="U188" s="799"/>
      <c r="V188" s="799"/>
      <c r="W188" s="799"/>
      <c r="X188" s="799"/>
      <c r="Y188" s="799"/>
      <c r="Z188" s="799"/>
      <c r="AA188" s="799"/>
      <c r="AB188" s="799"/>
    </row>
    <row r="189" spans="1:28" ht="16.5">
      <c r="A189" s="1115"/>
      <c r="B189" s="1115"/>
      <c r="C189" s="1111"/>
      <c r="D189" s="1111"/>
      <c r="E189" s="1111"/>
      <c r="F189" s="1111"/>
      <c r="G189" s="1111"/>
      <c r="H189" s="1111"/>
      <c r="I189" s="1111"/>
      <c r="J189" s="1116"/>
      <c r="K189" s="1111"/>
      <c r="L189" s="800"/>
      <c r="M189" s="1117"/>
      <c r="N189" s="1117"/>
      <c r="O189" s="800"/>
      <c r="P189" s="800"/>
      <c r="Q189" s="800"/>
      <c r="R189" s="800"/>
      <c r="S189" s="800"/>
      <c r="T189" s="800"/>
      <c r="U189" s="800"/>
      <c r="V189" s="800"/>
      <c r="W189" s="1118"/>
      <c r="X189" s="1111"/>
      <c r="Y189" s="1111"/>
      <c r="Z189" s="1111"/>
      <c r="AA189" s="1111"/>
      <c r="AB189" s="1117"/>
    </row>
    <row r="190" spans="1:28" ht="16.5">
      <c r="A190" s="1115"/>
      <c r="B190" s="1115"/>
      <c r="C190" s="1111"/>
      <c r="D190" s="1111"/>
      <c r="E190" s="1111"/>
      <c r="F190" s="1111"/>
      <c r="G190" s="1111"/>
      <c r="H190" s="1111"/>
      <c r="I190" s="1111"/>
      <c r="J190" s="1116"/>
      <c r="K190" s="1111"/>
      <c r="L190" s="800"/>
      <c r="M190" s="1117"/>
      <c r="N190" s="1117"/>
      <c r="O190" s="800"/>
      <c r="P190" s="800"/>
      <c r="Q190" s="800"/>
      <c r="R190" s="800"/>
      <c r="S190" s="800"/>
      <c r="T190" s="800"/>
      <c r="U190" s="800"/>
      <c r="V190" s="800"/>
      <c r="W190" s="1118"/>
      <c r="X190" s="1111"/>
      <c r="Y190" s="1111"/>
      <c r="Z190" s="1111"/>
      <c r="AA190" s="1111"/>
      <c r="AB190" s="1117"/>
    </row>
    <row r="191" spans="1:28" ht="16.5">
      <c r="A191" s="1115"/>
      <c r="B191" s="1115"/>
      <c r="C191" s="1111"/>
      <c r="D191" s="1111"/>
      <c r="E191" s="1111"/>
      <c r="F191" s="1111"/>
      <c r="G191" s="1111"/>
      <c r="H191" s="1111"/>
      <c r="I191" s="1111"/>
      <c r="J191" s="1116"/>
      <c r="K191" s="1111"/>
      <c r="L191" s="800"/>
      <c r="M191" s="1117"/>
      <c r="N191" s="1117"/>
      <c r="O191" s="800"/>
      <c r="P191" s="800"/>
      <c r="Q191" s="800"/>
      <c r="R191" s="800"/>
      <c r="S191" s="800"/>
      <c r="T191" s="800"/>
      <c r="U191" s="800"/>
      <c r="V191" s="800"/>
      <c r="W191" s="1118"/>
      <c r="X191" s="1111"/>
      <c r="Y191" s="1111"/>
      <c r="Z191" s="1111"/>
      <c r="AA191" s="1111"/>
      <c r="AB191" s="1117"/>
    </row>
    <row r="192" spans="1:28" ht="16.5">
      <c r="A192" s="1115"/>
      <c r="B192" s="1115"/>
      <c r="C192" s="1111"/>
      <c r="D192" s="1111"/>
      <c r="E192" s="1111"/>
      <c r="F192" s="1111"/>
      <c r="G192" s="1111"/>
      <c r="H192" s="1111"/>
      <c r="I192" s="1111"/>
      <c r="J192" s="1116"/>
      <c r="K192" s="1111"/>
      <c r="L192" s="800"/>
      <c r="M192" s="1117"/>
      <c r="N192" s="1117"/>
      <c r="O192" s="800"/>
      <c r="P192" s="800"/>
      <c r="Q192" s="800"/>
      <c r="R192" s="800"/>
      <c r="S192" s="800"/>
      <c r="T192" s="800"/>
      <c r="U192" s="800"/>
      <c r="V192" s="800"/>
      <c r="W192" s="1118"/>
      <c r="X192" s="1111"/>
      <c r="Y192" s="1111"/>
      <c r="Z192" s="1111"/>
      <c r="AA192" s="1111"/>
      <c r="AB192" s="1117"/>
    </row>
    <row r="193" spans="1:28" ht="16.5">
      <c r="A193" s="1115"/>
      <c r="B193" s="1115"/>
      <c r="C193" s="1111"/>
      <c r="D193" s="1111"/>
      <c r="E193" s="1111"/>
      <c r="F193" s="1111"/>
      <c r="G193" s="1111"/>
      <c r="H193" s="1111"/>
      <c r="I193" s="1111"/>
      <c r="J193" s="1116"/>
      <c r="K193" s="1111"/>
      <c r="L193" s="800"/>
      <c r="M193" s="1117"/>
      <c r="N193" s="1117"/>
      <c r="O193" s="800"/>
      <c r="P193" s="800"/>
      <c r="Q193" s="800"/>
      <c r="R193" s="800"/>
      <c r="S193" s="800"/>
      <c r="T193" s="800"/>
      <c r="U193" s="800"/>
      <c r="V193" s="800"/>
      <c r="W193" s="1118"/>
      <c r="X193" s="1111"/>
      <c r="Y193" s="1111"/>
      <c r="Z193" s="1111"/>
      <c r="AA193" s="1111"/>
      <c r="AB193" s="1117"/>
    </row>
    <row r="194" spans="1:28" ht="16.5">
      <c r="A194" s="1115"/>
      <c r="B194" s="1115"/>
      <c r="C194" s="1111"/>
      <c r="D194" s="1111"/>
      <c r="E194" s="1111"/>
      <c r="F194" s="1111"/>
      <c r="G194" s="1111"/>
      <c r="H194" s="1111"/>
      <c r="I194" s="1111"/>
      <c r="J194" s="1116"/>
      <c r="K194" s="1111"/>
      <c r="L194" s="805"/>
      <c r="M194" s="1117"/>
      <c r="N194" s="1117"/>
      <c r="O194" s="800"/>
      <c r="P194" s="800"/>
      <c r="Q194" s="800"/>
      <c r="R194" s="800"/>
      <c r="S194" s="800"/>
      <c r="T194" s="800"/>
      <c r="U194" s="800"/>
      <c r="V194" s="800"/>
      <c r="W194" s="800"/>
      <c r="X194" s="1111"/>
      <c r="Y194" s="1111"/>
      <c r="Z194" s="1111"/>
      <c r="AA194" s="800"/>
      <c r="AB194" s="1117"/>
    </row>
    <row r="195" spans="1:28" ht="16.5">
      <c r="A195" s="1115"/>
      <c r="B195" s="1115"/>
      <c r="C195" s="1115"/>
      <c r="D195" s="1115"/>
      <c r="E195" s="1115"/>
      <c r="F195" s="1115"/>
      <c r="G195" s="1115"/>
      <c r="H195" s="1115"/>
      <c r="I195" s="1509"/>
      <c r="J195" s="1509"/>
      <c r="K195" s="1509"/>
      <c r="L195" s="1509"/>
      <c r="M195" s="1509"/>
      <c r="N195" s="1509"/>
      <c r="Q195" s="1115"/>
      <c r="R195" s="1115"/>
      <c r="T195" s="1115"/>
      <c r="U195" s="1115"/>
      <c r="V195" s="1115"/>
      <c r="W195" s="1115"/>
      <c r="Y195" s="1115"/>
      <c r="Z195" s="1115"/>
      <c r="AA195" s="1115"/>
      <c r="AB195" s="1115"/>
    </row>
    <row r="196" spans="1:28">
      <c r="F196" s="1023"/>
      <c r="G196" s="1573"/>
      <c r="H196" s="1572"/>
      <c r="I196" s="1024"/>
      <c r="J196" s="1024"/>
    </row>
    <row r="197" spans="1:28" ht="18.75">
      <c r="F197" s="1021"/>
      <c r="G197" s="1570"/>
      <c r="H197" s="1556"/>
      <c r="I197" s="100"/>
      <c r="J197" s="55"/>
      <c r="K197" s="49"/>
    </row>
    <row r="198" spans="1:28">
      <c r="G198" s="1571"/>
      <c r="H198" s="1572"/>
      <c r="I198" s="57"/>
      <c r="K198" s="55"/>
    </row>
    <row r="199" spans="1:28">
      <c r="H199" s="56"/>
      <c r="I199" s="100"/>
      <c r="K199" s="99"/>
    </row>
    <row r="200" spans="1:28">
      <c r="H200" s="57"/>
      <c r="I200" s="57"/>
      <c r="J200" s="55"/>
      <c r="K200" s="55"/>
      <c r="M200" s="1023"/>
    </row>
    <row r="201" spans="1:28">
      <c r="H201" s="100"/>
      <c r="I201" s="56"/>
      <c r="M201" s="54"/>
    </row>
    <row r="202" spans="1:28">
      <c r="F202" s="1023"/>
      <c r="K202" s="57"/>
      <c r="M202" s="56"/>
    </row>
    <row r="203" spans="1:28">
      <c r="F203" s="1023"/>
      <c r="G203" s="56"/>
      <c r="K203" s="57"/>
      <c r="M203" s="56"/>
    </row>
    <row r="204" spans="1:28">
      <c r="F204" s="1023"/>
      <c r="H204" s="55"/>
      <c r="L204" s="56"/>
    </row>
    <row r="205" spans="1:28">
      <c r="M205" s="227"/>
    </row>
    <row r="212" spans="6:6">
      <c r="F212" s="54" t="s">
        <v>167</v>
      </c>
    </row>
  </sheetData>
  <mergeCells count="37">
    <mergeCell ref="E185:F185"/>
    <mergeCell ref="K195:N195"/>
    <mergeCell ref="A182:N182"/>
    <mergeCell ref="G197:H197"/>
    <mergeCell ref="G198:H198"/>
    <mergeCell ref="G196:H196"/>
    <mergeCell ref="I183:N183"/>
    <mergeCell ref="K185:N185"/>
    <mergeCell ref="I195:J195"/>
    <mergeCell ref="I185:J185"/>
    <mergeCell ref="G185:H185"/>
    <mergeCell ref="A181:E181"/>
    <mergeCell ref="A178:E178"/>
    <mergeCell ref="N11:N12"/>
    <mergeCell ref="A95:E95"/>
    <mergeCell ref="M11:M12"/>
    <mergeCell ref="A179:E179"/>
    <mergeCell ref="J11:J12"/>
    <mergeCell ref="K11:K12"/>
    <mergeCell ref="L11:L12"/>
    <mergeCell ref="A11:A12"/>
    <mergeCell ref="B11:B12"/>
    <mergeCell ref="C11:D11"/>
    <mergeCell ref="A180:E180"/>
    <mergeCell ref="A174:E174"/>
    <mergeCell ref="A160:E160"/>
    <mergeCell ref="A1:N1"/>
    <mergeCell ref="A2:N2"/>
    <mergeCell ref="A13:D13"/>
    <mergeCell ref="A9:N9"/>
    <mergeCell ref="A5:I5"/>
    <mergeCell ref="A6:I6"/>
    <mergeCell ref="A3:N3"/>
    <mergeCell ref="A8:N8"/>
    <mergeCell ref="E11:E12"/>
    <mergeCell ref="F11:H11"/>
    <mergeCell ref="I11:I12"/>
  </mergeCells>
  <printOptions horizontalCentered="1"/>
  <pageMargins left="0.27559055118110237" right="0.19685039370078741" top="0.19685039370078741" bottom="0.23622047244094491" header="0.19685039370078741" footer="0.19685039370078741"/>
  <pageSetup paperSize="9" scale="82" fitToHeight="0" orientation="landscape" r:id="rId1"/>
  <headerFooter>
    <oddFooter>&amp;R&amp;P</oddFooter>
  </headerFooter>
  <colBreaks count="1" manualBreakCount="1">
    <brk id="14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A37"/>
  <sheetViews>
    <sheetView topLeftCell="A10" zoomScale="55" zoomScaleNormal="55" workbookViewId="0">
      <selection activeCell="I23" sqref="I23"/>
    </sheetView>
  </sheetViews>
  <sheetFormatPr defaultColWidth="9.140625" defaultRowHeight="12.75"/>
  <cols>
    <col min="1" max="1" width="5.28515625" style="284" customWidth="1"/>
    <col min="2" max="2" width="24.42578125" style="284" customWidth="1"/>
    <col min="3" max="3" width="20.85546875" style="284" customWidth="1"/>
    <col min="4" max="4" width="11.28515625" style="284" customWidth="1"/>
    <col min="5" max="5" width="10" style="284" customWidth="1"/>
    <col min="6" max="6" width="17.5703125" style="284" customWidth="1"/>
    <col min="7" max="7" width="20" style="294" customWidth="1"/>
    <col min="8" max="8" width="22.42578125" style="294" customWidth="1"/>
    <col min="9" max="10" width="19.5703125" style="284" customWidth="1"/>
    <col min="11" max="11" width="12.28515625" style="284" hidden="1" customWidth="1"/>
    <col min="12" max="12" width="21.42578125" style="294" bestFit="1" customWidth="1"/>
    <col min="13" max="13" width="18.7109375" style="294" customWidth="1"/>
    <col min="14" max="14" width="9.28515625" style="303" bestFit="1" customWidth="1"/>
    <col min="15" max="15" width="19.7109375" style="284" customWidth="1"/>
    <col min="16" max="16" width="12.5703125" style="284" customWidth="1"/>
    <col min="17" max="19" width="9.140625" style="284"/>
    <col min="20" max="20" width="9.140625" style="304"/>
    <col min="21" max="16384" width="9.140625" style="284"/>
  </cols>
  <sheetData>
    <row r="1" spans="1:261" ht="18.75">
      <c r="A1" s="1583" t="s">
        <v>56</v>
      </c>
      <c r="B1" s="1583"/>
      <c r="C1" s="1583"/>
      <c r="D1" s="1583"/>
      <c r="E1" s="1583"/>
      <c r="F1" s="1583"/>
      <c r="G1" s="1583"/>
      <c r="H1" s="1583"/>
      <c r="I1" s="1583"/>
      <c r="J1" s="1583"/>
      <c r="K1" s="1583"/>
      <c r="L1" s="1583"/>
      <c r="M1" s="1583"/>
      <c r="N1" s="305"/>
      <c r="O1" s="305"/>
      <c r="P1" s="305"/>
      <c r="Q1" s="305"/>
      <c r="R1" s="305"/>
      <c r="S1" s="305"/>
      <c r="T1" s="305"/>
      <c r="U1" s="305"/>
    </row>
    <row r="2" spans="1:261" ht="18.75">
      <c r="A2" s="1583" t="s">
        <v>1</v>
      </c>
      <c r="B2" s="1583"/>
      <c r="C2" s="1583"/>
      <c r="D2" s="1583"/>
      <c r="E2" s="1583"/>
      <c r="F2" s="1583"/>
      <c r="G2" s="1583"/>
      <c r="H2" s="1583"/>
      <c r="I2" s="1583"/>
      <c r="J2" s="1583"/>
      <c r="K2" s="1583"/>
      <c r="L2" s="1583"/>
      <c r="M2" s="1583"/>
      <c r="N2" s="306"/>
      <c r="O2" s="306"/>
      <c r="P2" s="306"/>
      <c r="Q2" s="306"/>
      <c r="R2" s="306"/>
      <c r="S2" s="306"/>
      <c r="T2" s="306"/>
      <c r="U2" s="306"/>
    </row>
    <row r="3" spans="1:261" ht="18.75">
      <c r="A3" s="1584" t="s">
        <v>283</v>
      </c>
      <c r="B3" s="1584"/>
      <c r="C3" s="1584"/>
      <c r="D3" s="1584"/>
      <c r="E3" s="1584"/>
      <c r="F3" s="1584"/>
      <c r="G3" s="1584"/>
      <c r="H3" s="1584"/>
      <c r="I3" s="1584"/>
      <c r="J3" s="1584"/>
      <c r="K3" s="1584"/>
      <c r="L3" s="1584"/>
      <c r="M3" s="1584"/>
      <c r="N3" s="291"/>
      <c r="O3" s="287"/>
      <c r="P3" s="287"/>
      <c r="Q3" s="287"/>
      <c r="R3" s="287"/>
      <c r="S3" s="287"/>
      <c r="T3" s="288"/>
      <c r="U3" s="287"/>
    </row>
    <row r="4" spans="1:261" ht="18.75">
      <c r="A4" s="1585" t="s">
        <v>2</v>
      </c>
      <c r="B4" s="1585"/>
      <c r="C4" s="1585"/>
      <c r="D4" s="1585"/>
      <c r="E4" s="1585"/>
      <c r="F4" s="1585"/>
      <c r="G4" s="322"/>
      <c r="H4" s="322"/>
      <c r="I4" s="652"/>
      <c r="J4" s="652"/>
      <c r="K4" s="652"/>
      <c r="L4" s="322"/>
      <c r="M4" s="322"/>
      <c r="N4" s="285"/>
      <c r="O4" s="286"/>
      <c r="P4" s="286"/>
      <c r="Q4" s="286"/>
      <c r="R4" s="286"/>
      <c r="S4" s="287"/>
      <c r="T4" s="288"/>
      <c r="U4" s="287"/>
    </row>
    <row r="5" spans="1:261" ht="18.75">
      <c r="A5" s="1583" t="s">
        <v>643</v>
      </c>
      <c r="B5" s="1583"/>
      <c r="C5" s="1583"/>
      <c r="D5" s="1583"/>
      <c r="E5" s="1583"/>
      <c r="F5" s="1583"/>
      <c r="G5" s="323"/>
      <c r="H5" s="323"/>
      <c r="I5" s="648"/>
      <c r="J5" s="648"/>
      <c r="K5" s="648"/>
      <c r="L5" s="323"/>
      <c r="M5" s="323"/>
      <c r="N5" s="289"/>
      <c r="O5" s="647"/>
      <c r="P5" s="647"/>
      <c r="Q5" s="647"/>
      <c r="R5" s="647"/>
      <c r="S5" s="287"/>
      <c r="T5" s="288"/>
      <c r="U5" s="287"/>
    </row>
    <row r="6" spans="1:261" ht="18.75">
      <c r="A6" s="292"/>
      <c r="B6" s="292"/>
      <c r="C6" s="292"/>
      <c r="D6" s="292"/>
      <c r="E6" s="292"/>
      <c r="F6" s="292"/>
      <c r="G6" s="293"/>
      <c r="H6" s="293"/>
      <c r="I6" s="292"/>
      <c r="J6" s="292"/>
      <c r="K6" s="292"/>
      <c r="L6" s="293"/>
      <c r="M6" s="293"/>
      <c r="N6" s="291"/>
      <c r="O6" s="287"/>
      <c r="P6" s="287"/>
      <c r="Q6" s="287"/>
      <c r="R6" s="287"/>
      <c r="S6" s="287"/>
      <c r="T6" s="288"/>
      <c r="U6" s="287"/>
    </row>
    <row r="7" spans="1:261">
      <c r="A7" s="287"/>
      <c r="B7" s="287"/>
      <c r="C7" s="287"/>
      <c r="D7" s="287"/>
      <c r="E7" s="287"/>
      <c r="F7" s="287"/>
      <c r="G7" s="290"/>
      <c r="H7" s="290"/>
      <c r="I7" s="287"/>
      <c r="J7" s="287"/>
      <c r="K7" s="287"/>
      <c r="L7" s="290"/>
      <c r="M7" s="290"/>
      <c r="N7" s="291"/>
      <c r="O7" s="287"/>
      <c r="P7" s="287"/>
      <c r="Q7" s="287"/>
      <c r="R7" s="287"/>
      <c r="S7" s="287"/>
      <c r="T7" s="288"/>
      <c r="U7" s="287"/>
    </row>
    <row r="8" spans="1:261" ht="22.5">
      <c r="A8" s="1582" t="s">
        <v>683</v>
      </c>
      <c r="B8" s="1582"/>
      <c r="C8" s="1582"/>
      <c r="D8" s="1582"/>
      <c r="E8" s="1582"/>
      <c r="F8" s="1582"/>
      <c r="G8" s="1582"/>
      <c r="H8" s="1582"/>
      <c r="I8" s="1582"/>
      <c r="J8" s="1582"/>
      <c r="K8" s="1582"/>
      <c r="L8" s="1582"/>
      <c r="M8" s="1582"/>
      <c r="N8" s="307"/>
      <c r="O8" s="307"/>
      <c r="P8" s="307"/>
      <c r="Q8" s="307"/>
      <c r="R8" s="307"/>
      <c r="S8" s="307"/>
      <c r="T8" s="307"/>
      <c r="U8" s="307"/>
      <c r="V8" s="287"/>
      <c r="W8" s="287"/>
      <c r="X8" s="287"/>
      <c r="Y8" s="287"/>
      <c r="Z8" s="287"/>
      <c r="AA8" s="287"/>
    </row>
    <row r="9" spans="1:261" ht="20.25">
      <c r="A9" s="1576"/>
      <c r="B9" s="1576"/>
      <c r="C9" s="1576"/>
      <c r="D9" s="1576"/>
      <c r="E9" s="1576"/>
      <c r="F9" s="1576"/>
      <c r="G9" s="1576"/>
      <c r="H9" s="1576"/>
      <c r="I9" s="1576"/>
      <c r="J9" s="1576"/>
      <c r="K9" s="1576"/>
      <c r="L9" s="1576"/>
      <c r="M9" s="1576"/>
      <c r="N9" s="307"/>
      <c r="O9" s="307"/>
      <c r="P9" s="307"/>
      <c r="Q9" s="307"/>
      <c r="R9" s="307"/>
      <c r="S9" s="307"/>
      <c r="T9" s="307"/>
      <c r="U9" s="307"/>
      <c r="V9" s="287"/>
      <c r="W9" s="287"/>
      <c r="X9" s="287"/>
      <c r="Y9" s="287"/>
      <c r="Z9" s="287"/>
      <c r="AA9" s="287"/>
    </row>
    <row r="10" spans="1:261" ht="91.5" customHeight="1">
      <c r="A10" s="479" t="s">
        <v>6</v>
      </c>
      <c r="B10" s="479" t="s">
        <v>17</v>
      </c>
      <c r="C10" s="479" t="s">
        <v>10</v>
      </c>
      <c r="D10" s="479" t="s">
        <v>634</v>
      </c>
      <c r="E10" s="479" t="s">
        <v>3</v>
      </c>
      <c r="F10" s="480" t="s">
        <v>289</v>
      </c>
      <c r="G10" s="481" t="s">
        <v>290</v>
      </c>
      <c r="H10" s="482" t="s">
        <v>309</v>
      </c>
      <c r="I10" s="480" t="s">
        <v>307</v>
      </c>
      <c r="J10" s="480" t="s">
        <v>308</v>
      </c>
      <c r="K10" s="480" t="s">
        <v>19</v>
      </c>
      <c r="L10" s="482" t="s">
        <v>301</v>
      </c>
      <c r="M10" s="483" t="s">
        <v>70</v>
      </c>
      <c r="N10" s="309"/>
      <c r="O10" s="309">
        <f>5000000*4</f>
        <v>20000000</v>
      </c>
      <c r="P10" s="309"/>
      <c r="Q10" s="309"/>
      <c r="R10" s="309"/>
      <c r="S10" s="309"/>
      <c r="T10" s="309"/>
      <c r="U10" s="309"/>
      <c r="V10" s="310"/>
      <c r="W10" s="311"/>
      <c r="X10" s="311"/>
      <c r="Y10" s="311"/>
      <c r="Z10" s="311"/>
      <c r="AA10" s="311"/>
      <c r="AB10" s="185"/>
      <c r="AC10" s="185"/>
      <c r="AD10" s="185"/>
      <c r="AE10" s="185"/>
      <c r="AF10" s="185"/>
      <c r="AG10" s="185"/>
      <c r="AH10" s="185"/>
      <c r="AI10" s="185"/>
      <c r="AJ10" s="185"/>
      <c r="AK10" s="185"/>
      <c r="AL10" s="185"/>
      <c r="AM10" s="185"/>
      <c r="AN10" s="185"/>
      <c r="AO10" s="185"/>
      <c r="AP10" s="185"/>
      <c r="AQ10" s="185"/>
      <c r="AR10" s="185"/>
      <c r="AS10" s="185"/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85"/>
      <c r="BG10" s="185"/>
      <c r="BH10" s="185"/>
      <c r="BI10" s="185"/>
      <c r="BJ10" s="185"/>
      <c r="BK10" s="185"/>
      <c r="BL10" s="185"/>
      <c r="BM10" s="185"/>
      <c r="BN10" s="185"/>
      <c r="BO10" s="185"/>
      <c r="BP10" s="185"/>
      <c r="BQ10" s="185"/>
      <c r="BR10" s="185"/>
      <c r="BS10" s="185"/>
      <c r="BT10" s="185"/>
      <c r="BU10" s="185"/>
      <c r="BV10" s="185"/>
      <c r="BW10" s="185"/>
      <c r="BX10" s="185"/>
      <c r="BY10" s="185"/>
      <c r="BZ10" s="185"/>
      <c r="CA10" s="185"/>
      <c r="CB10" s="185"/>
      <c r="CC10" s="185"/>
      <c r="CD10" s="185"/>
      <c r="CE10" s="185"/>
      <c r="CF10" s="185"/>
      <c r="CG10" s="185"/>
      <c r="CH10" s="185"/>
      <c r="CI10" s="185"/>
      <c r="CJ10" s="185"/>
      <c r="CK10" s="185"/>
      <c r="CL10" s="185"/>
      <c r="CM10" s="185"/>
      <c r="CN10" s="185"/>
      <c r="CO10" s="185"/>
      <c r="CP10" s="185"/>
      <c r="CQ10" s="185"/>
      <c r="CR10" s="185"/>
      <c r="CS10" s="185"/>
      <c r="CT10" s="185"/>
      <c r="CU10" s="185"/>
      <c r="CV10" s="185"/>
      <c r="CW10" s="185"/>
      <c r="CX10" s="185"/>
      <c r="CY10" s="185"/>
      <c r="CZ10" s="185"/>
      <c r="DA10" s="185"/>
      <c r="DB10" s="185"/>
      <c r="DC10" s="185"/>
      <c r="DD10" s="185"/>
      <c r="DE10" s="185"/>
      <c r="DF10" s="185"/>
      <c r="DG10" s="185"/>
      <c r="DH10" s="185"/>
      <c r="DI10" s="185"/>
      <c r="DJ10" s="185"/>
      <c r="DK10" s="185"/>
      <c r="DL10" s="185"/>
      <c r="DM10" s="185"/>
      <c r="DN10" s="185"/>
      <c r="DO10" s="185"/>
      <c r="DP10" s="185"/>
      <c r="DQ10" s="185"/>
      <c r="DR10" s="185"/>
      <c r="DS10" s="185"/>
      <c r="DT10" s="185"/>
      <c r="DU10" s="185"/>
      <c r="DV10" s="185"/>
      <c r="DW10" s="185"/>
      <c r="DX10" s="185"/>
      <c r="DY10" s="185"/>
      <c r="DZ10" s="185"/>
      <c r="EA10" s="185"/>
      <c r="EB10" s="185"/>
      <c r="EC10" s="185"/>
      <c r="ED10" s="185"/>
      <c r="EE10" s="185"/>
      <c r="EF10" s="185"/>
      <c r="EG10" s="185"/>
      <c r="EH10" s="185"/>
      <c r="EI10" s="185"/>
      <c r="EJ10" s="185"/>
      <c r="EK10" s="185"/>
      <c r="EL10" s="185"/>
      <c r="EM10" s="185"/>
      <c r="EN10" s="185"/>
      <c r="EO10" s="185"/>
      <c r="EP10" s="185"/>
      <c r="EQ10" s="185"/>
      <c r="ER10" s="185"/>
      <c r="ES10" s="185"/>
      <c r="ET10" s="185"/>
      <c r="EU10" s="185"/>
      <c r="EV10" s="185"/>
      <c r="EW10" s="185"/>
      <c r="EX10" s="185"/>
      <c r="EY10" s="185"/>
      <c r="EZ10" s="185"/>
      <c r="FA10" s="185"/>
      <c r="FB10" s="185"/>
      <c r="FC10" s="185"/>
      <c r="FD10" s="185"/>
      <c r="FE10" s="185"/>
      <c r="FF10" s="185"/>
      <c r="FG10" s="185"/>
      <c r="FH10" s="185"/>
      <c r="FI10" s="185"/>
      <c r="FJ10" s="185"/>
      <c r="FK10" s="185"/>
      <c r="FL10" s="185"/>
      <c r="FM10" s="185"/>
      <c r="FN10" s="185"/>
      <c r="FO10" s="185"/>
      <c r="FP10" s="185"/>
      <c r="FQ10" s="185"/>
      <c r="FR10" s="185"/>
      <c r="FS10" s="185"/>
      <c r="FT10" s="185"/>
      <c r="FU10" s="185"/>
      <c r="FV10" s="185"/>
      <c r="FW10" s="185"/>
      <c r="FX10" s="185"/>
      <c r="FY10" s="185"/>
      <c r="FZ10" s="185"/>
      <c r="GA10" s="185"/>
      <c r="GB10" s="185"/>
      <c r="GC10" s="185"/>
      <c r="GD10" s="185"/>
      <c r="GE10" s="185"/>
      <c r="GF10" s="185"/>
      <c r="GG10" s="185"/>
      <c r="GH10" s="185"/>
      <c r="GI10" s="185"/>
      <c r="GJ10" s="185"/>
      <c r="GK10" s="185"/>
      <c r="GL10" s="185"/>
      <c r="GM10" s="185"/>
      <c r="GN10" s="185"/>
      <c r="GO10" s="185"/>
      <c r="GP10" s="185"/>
      <c r="GQ10" s="185"/>
      <c r="GR10" s="185"/>
      <c r="GS10" s="185"/>
      <c r="GT10" s="185"/>
      <c r="GU10" s="185"/>
      <c r="GV10" s="185"/>
      <c r="GW10" s="185"/>
      <c r="GX10" s="185"/>
      <c r="GY10" s="185"/>
      <c r="GZ10" s="185"/>
      <c r="HA10" s="185"/>
      <c r="HB10" s="185"/>
      <c r="HC10" s="185"/>
      <c r="HD10" s="185"/>
      <c r="HE10" s="185"/>
      <c r="HF10" s="185"/>
      <c r="HG10" s="185"/>
      <c r="HH10" s="185"/>
      <c r="HI10" s="185"/>
      <c r="HJ10" s="185"/>
      <c r="HK10" s="185"/>
      <c r="HL10" s="185"/>
      <c r="HM10" s="185"/>
      <c r="HN10" s="185"/>
      <c r="HO10" s="185"/>
      <c r="HP10" s="185"/>
      <c r="HQ10" s="185"/>
      <c r="HR10" s="185"/>
      <c r="HS10" s="185"/>
      <c r="HT10" s="185"/>
      <c r="HU10" s="185"/>
      <c r="HV10" s="185"/>
      <c r="HW10" s="185"/>
      <c r="HX10" s="185"/>
      <c r="HY10" s="185"/>
      <c r="HZ10" s="185"/>
      <c r="IA10" s="185"/>
      <c r="IB10" s="185"/>
      <c r="IC10" s="185"/>
      <c r="ID10" s="185"/>
      <c r="IE10" s="185"/>
      <c r="IF10" s="185"/>
      <c r="IG10" s="185"/>
      <c r="IH10" s="185"/>
      <c r="II10" s="185"/>
      <c r="IJ10" s="185"/>
      <c r="IK10" s="185"/>
      <c r="IL10" s="185"/>
      <c r="IM10" s="185"/>
      <c r="IN10" s="185"/>
      <c r="IO10" s="185"/>
      <c r="IP10" s="185"/>
      <c r="IQ10" s="185"/>
      <c r="IR10" s="185"/>
      <c r="IS10" s="185"/>
      <c r="IT10" s="185"/>
      <c r="IU10" s="185"/>
      <c r="IV10" s="185"/>
      <c r="IW10" s="185"/>
      <c r="IX10" s="185"/>
      <c r="IY10" s="185"/>
      <c r="IZ10" s="185"/>
      <c r="JA10" s="185"/>
    </row>
    <row r="11" spans="1:261" ht="39" customHeight="1">
      <c r="A11" s="649"/>
      <c r="B11" s="650"/>
      <c r="C11" s="651"/>
      <c r="D11" s="479"/>
      <c r="E11" s="479"/>
      <c r="F11" s="484" t="s">
        <v>284</v>
      </c>
      <c r="G11" s="484" t="s">
        <v>285</v>
      </c>
      <c r="H11" s="484" t="s">
        <v>318</v>
      </c>
      <c r="I11" s="484" t="s">
        <v>286</v>
      </c>
      <c r="J11" s="484" t="s">
        <v>287</v>
      </c>
      <c r="K11" s="484" t="s">
        <v>288</v>
      </c>
      <c r="L11" s="733" t="s">
        <v>446</v>
      </c>
      <c r="M11" s="483"/>
      <c r="N11" s="309"/>
      <c r="O11" s="309"/>
      <c r="P11" s="309"/>
      <c r="Q11" s="309"/>
      <c r="R11" s="309"/>
      <c r="S11" s="309"/>
      <c r="T11" s="309"/>
      <c r="U11" s="309"/>
      <c r="V11" s="310"/>
      <c r="W11" s="311"/>
      <c r="X11" s="311"/>
      <c r="Y11" s="311"/>
      <c r="Z11" s="311"/>
      <c r="AA11" s="311"/>
      <c r="AB11" s="185"/>
      <c r="AC11" s="185"/>
      <c r="AD11" s="185"/>
      <c r="AE11" s="185"/>
      <c r="AF11" s="185"/>
      <c r="AG11" s="185"/>
      <c r="AH11" s="185"/>
      <c r="AI11" s="185"/>
      <c r="AJ11" s="185"/>
      <c r="AK11" s="185"/>
      <c r="AL11" s="185"/>
      <c r="AM11" s="185"/>
      <c r="AN11" s="185"/>
      <c r="AO11" s="185"/>
      <c r="AP11" s="185"/>
      <c r="AQ11" s="185"/>
      <c r="AR11" s="185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/>
      <c r="BD11" s="185"/>
      <c r="BE11" s="185"/>
      <c r="BF11" s="185"/>
      <c r="BG11" s="185"/>
      <c r="BH11" s="185"/>
      <c r="BI11" s="185"/>
      <c r="BJ11" s="185"/>
      <c r="BK11" s="185"/>
      <c r="BL11" s="185"/>
      <c r="BM11" s="185"/>
      <c r="BN11" s="185"/>
      <c r="BO11" s="185"/>
      <c r="BP11" s="185"/>
      <c r="BQ11" s="185"/>
      <c r="BR11" s="185"/>
      <c r="BS11" s="185"/>
      <c r="BT11" s="185"/>
      <c r="BU11" s="185"/>
      <c r="BV11" s="185"/>
      <c r="BW11" s="185"/>
      <c r="BX11" s="185"/>
      <c r="BY11" s="185"/>
      <c r="BZ11" s="185"/>
      <c r="CA11" s="185"/>
      <c r="CB11" s="185"/>
      <c r="CC11" s="185"/>
      <c r="CD11" s="185"/>
      <c r="CE11" s="185"/>
      <c r="CF11" s="185"/>
      <c r="CG11" s="185"/>
      <c r="CH11" s="185"/>
      <c r="CI11" s="185"/>
      <c r="CJ11" s="185"/>
      <c r="CK11" s="185"/>
      <c r="CL11" s="185"/>
      <c r="CM11" s="185"/>
      <c r="CN11" s="185"/>
      <c r="CO11" s="185"/>
      <c r="CP11" s="185"/>
      <c r="CQ11" s="185"/>
      <c r="CR11" s="185"/>
      <c r="CS11" s="185"/>
      <c r="CT11" s="185"/>
      <c r="CU11" s="185"/>
      <c r="CV11" s="185"/>
      <c r="CW11" s="185"/>
      <c r="CX11" s="185"/>
      <c r="CY11" s="185"/>
      <c r="CZ11" s="185"/>
      <c r="DA11" s="185"/>
      <c r="DB11" s="185"/>
      <c r="DC11" s="185"/>
      <c r="DD11" s="185"/>
      <c r="DE11" s="185"/>
      <c r="DF11" s="185"/>
      <c r="DG11" s="185"/>
      <c r="DH11" s="185"/>
      <c r="DI11" s="185"/>
      <c r="DJ11" s="185"/>
      <c r="DK11" s="185"/>
      <c r="DL11" s="185"/>
      <c r="DM11" s="185"/>
      <c r="DN11" s="185"/>
      <c r="DO11" s="185"/>
      <c r="DP11" s="185"/>
      <c r="DQ11" s="185"/>
      <c r="DR11" s="185"/>
      <c r="DS11" s="185"/>
      <c r="DT11" s="185"/>
      <c r="DU11" s="185"/>
      <c r="DV11" s="185"/>
      <c r="DW11" s="185"/>
      <c r="DX11" s="185"/>
      <c r="DY11" s="185"/>
      <c r="DZ11" s="185"/>
      <c r="EA11" s="185"/>
      <c r="EB11" s="185"/>
      <c r="EC11" s="185"/>
      <c r="ED11" s="185"/>
      <c r="EE11" s="185"/>
      <c r="EF11" s="185"/>
      <c r="EG11" s="185"/>
      <c r="EH11" s="185"/>
      <c r="EI11" s="185"/>
      <c r="EJ11" s="185"/>
      <c r="EK11" s="185"/>
      <c r="EL11" s="185"/>
      <c r="EM11" s="185"/>
      <c r="EN11" s="185"/>
      <c r="EO11" s="185"/>
      <c r="EP11" s="185"/>
      <c r="EQ11" s="185"/>
      <c r="ER11" s="185"/>
      <c r="ES11" s="185"/>
      <c r="ET11" s="185"/>
      <c r="EU11" s="185"/>
      <c r="EV11" s="185"/>
      <c r="EW11" s="185"/>
      <c r="EX11" s="185"/>
      <c r="EY11" s="185"/>
      <c r="EZ11" s="185"/>
      <c r="FA11" s="185"/>
      <c r="FB11" s="185"/>
      <c r="FC11" s="185"/>
      <c r="FD11" s="185"/>
      <c r="FE11" s="185"/>
      <c r="FF11" s="185"/>
      <c r="FG11" s="185"/>
      <c r="FH11" s="185"/>
      <c r="FI11" s="185"/>
      <c r="FJ11" s="185"/>
      <c r="FK11" s="185"/>
      <c r="FL11" s="185"/>
      <c r="FM11" s="185"/>
      <c r="FN11" s="185"/>
      <c r="FO11" s="185"/>
      <c r="FP11" s="185"/>
      <c r="FQ11" s="185"/>
      <c r="FR11" s="185"/>
      <c r="FS11" s="185"/>
      <c r="FT11" s="185"/>
      <c r="FU11" s="185"/>
      <c r="FV11" s="185"/>
      <c r="FW11" s="185"/>
      <c r="FX11" s="185"/>
      <c r="FY11" s="185"/>
      <c r="FZ11" s="185"/>
      <c r="GA11" s="185"/>
      <c r="GB11" s="185"/>
      <c r="GC11" s="185"/>
      <c r="GD11" s="185"/>
      <c r="GE11" s="185"/>
      <c r="GF11" s="185"/>
      <c r="GG11" s="185"/>
      <c r="GH11" s="185"/>
      <c r="GI11" s="185"/>
      <c r="GJ11" s="185"/>
      <c r="GK11" s="185"/>
      <c r="GL11" s="185"/>
      <c r="GM11" s="185"/>
      <c r="GN11" s="185"/>
      <c r="GO11" s="185"/>
      <c r="GP11" s="185"/>
      <c r="GQ11" s="185"/>
      <c r="GR11" s="185"/>
      <c r="GS11" s="185"/>
      <c r="GT11" s="185"/>
      <c r="GU11" s="185"/>
      <c r="GV11" s="185"/>
      <c r="GW11" s="185"/>
      <c r="GX11" s="185"/>
      <c r="GY11" s="185"/>
      <c r="GZ11" s="185"/>
      <c r="HA11" s="185"/>
      <c r="HB11" s="185"/>
      <c r="HC11" s="185"/>
      <c r="HD11" s="185"/>
      <c r="HE11" s="185"/>
      <c r="HF11" s="185"/>
      <c r="HG11" s="185"/>
      <c r="HH11" s="185"/>
      <c r="HI11" s="185"/>
      <c r="HJ11" s="185"/>
      <c r="HK11" s="185"/>
      <c r="HL11" s="185"/>
      <c r="HM11" s="185"/>
      <c r="HN11" s="185"/>
      <c r="HO11" s="185"/>
      <c r="HP11" s="185"/>
      <c r="HQ11" s="185"/>
      <c r="HR11" s="185"/>
      <c r="HS11" s="185"/>
      <c r="HT11" s="185"/>
      <c r="HU11" s="185"/>
      <c r="HV11" s="185"/>
      <c r="HW11" s="185"/>
      <c r="HX11" s="185"/>
      <c r="HY11" s="185"/>
      <c r="HZ11" s="185"/>
      <c r="IA11" s="185"/>
      <c r="IB11" s="185"/>
      <c r="IC11" s="185"/>
      <c r="ID11" s="185"/>
      <c r="IE11" s="185"/>
      <c r="IF11" s="185"/>
      <c r="IG11" s="185"/>
      <c r="IH11" s="185"/>
      <c r="II11" s="185"/>
      <c r="IJ11" s="185"/>
      <c r="IK11" s="185"/>
      <c r="IL11" s="185"/>
      <c r="IM11" s="185"/>
      <c r="IN11" s="185"/>
      <c r="IO11" s="185"/>
      <c r="IP11" s="185"/>
      <c r="IQ11" s="185"/>
      <c r="IR11" s="185"/>
      <c r="IS11" s="185"/>
      <c r="IT11" s="185"/>
      <c r="IU11" s="185"/>
      <c r="IV11" s="185"/>
      <c r="IW11" s="185"/>
      <c r="IX11" s="185"/>
      <c r="IY11" s="185"/>
      <c r="IZ11" s="185"/>
      <c r="JA11" s="185"/>
    </row>
    <row r="12" spans="1:261" ht="22.5" customHeight="1">
      <c r="A12" s="1577" t="s">
        <v>139</v>
      </c>
      <c r="B12" s="1578"/>
      <c r="C12" s="1579"/>
      <c r="D12" s="479"/>
      <c r="E12" s="479"/>
      <c r="F12" s="723">
        <f>SUM(F13:F14)</f>
        <v>119</v>
      </c>
      <c r="G12" s="732">
        <f>SUM(G13:G14)</f>
        <v>105.90164300000001</v>
      </c>
      <c r="H12" s="744">
        <f t="shared" ref="H12:H17" si="0">G12/F12*100%</f>
        <v>0.8899297731092437</v>
      </c>
      <c r="I12" s="724"/>
      <c r="J12" s="731">
        <f>SUM(J13:J14)</f>
        <v>446.13367109375008</v>
      </c>
      <c r="K12" s="723">
        <f>SUM(K13:K14)</f>
        <v>0</v>
      </c>
      <c r="L12" s="731">
        <f>SUM(L13:L14)</f>
        <v>1166.1336710937501</v>
      </c>
      <c r="M12" s="483"/>
      <c r="N12" s="309"/>
      <c r="O12" s="309"/>
      <c r="P12" s="309"/>
      <c r="Q12" s="309"/>
      <c r="R12" s="309"/>
      <c r="S12" s="309"/>
      <c r="T12" s="309"/>
      <c r="U12" s="309"/>
      <c r="V12" s="310"/>
      <c r="W12" s="311"/>
      <c r="X12" s="311"/>
      <c r="Y12" s="311"/>
      <c r="Z12" s="311"/>
      <c r="AA12" s="311"/>
      <c r="AB12" s="185"/>
      <c r="AC12" s="185"/>
      <c r="AD12" s="185"/>
      <c r="AE12" s="185"/>
      <c r="AF12" s="185"/>
      <c r="AG12" s="185"/>
      <c r="AH12" s="185"/>
      <c r="AI12" s="185"/>
      <c r="AJ12" s="185"/>
      <c r="AK12" s="185"/>
      <c r="AL12" s="185"/>
      <c r="AM12" s="185"/>
      <c r="AN12" s="185"/>
      <c r="AO12" s="185"/>
      <c r="AP12" s="185"/>
      <c r="AQ12" s="185"/>
      <c r="AR12" s="185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/>
      <c r="BD12" s="185"/>
      <c r="BE12" s="185"/>
      <c r="BF12" s="185"/>
      <c r="BG12" s="185"/>
      <c r="BH12" s="185"/>
      <c r="BI12" s="185"/>
      <c r="BJ12" s="185"/>
      <c r="BK12" s="185"/>
      <c r="BL12" s="185"/>
      <c r="BM12" s="185"/>
      <c r="BN12" s="185"/>
      <c r="BO12" s="185"/>
      <c r="BP12" s="185"/>
      <c r="BQ12" s="185"/>
      <c r="BR12" s="185"/>
      <c r="BS12" s="185"/>
      <c r="BT12" s="185"/>
      <c r="BU12" s="185"/>
      <c r="BV12" s="185"/>
      <c r="BW12" s="185"/>
      <c r="BX12" s="185"/>
      <c r="BY12" s="185"/>
      <c r="BZ12" s="185"/>
      <c r="CA12" s="185"/>
      <c r="CB12" s="185"/>
      <c r="CC12" s="185"/>
      <c r="CD12" s="185"/>
      <c r="CE12" s="185"/>
      <c r="CF12" s="185"/>
      <c r="CG12" s="185"/>
      <c r="CH12" s="185"/>
      <c r="CI12" s="185"/>
      <c r="CJ12" s="185"/>
      <c r="CK12" s="185"/>
      <c r="CL12" s="185"/>
      <c r="CM12" s="185"/>
      <c r="CN12" s="185"/>
      <c r="CO12" s="185"/>
      <c r="CP12" s="185"/>
      <c r="CQ12" s="185"/>
      <c r="CR12" s="185"/>
      <c r="CS12" s="185"/>
      <c r="CT12" s="185"/>
      <c r="CU12" s="185"/>
      <c r="CV12" s="185"/>
      <c r="CW12" s="185"/>
      <c r="CX12" s="185"/>
      <c r="CY12" s="185"/>
      <c r="CZ12" s="185"/>
      <c r="DA12" s="185"/>
      <c r="DB12" s="185"/>
      <c r="DC12" s="185"/>
      <c r="DD12" s="185"/>
      <c r="DE12" s="185"/>
      <c r="DF12" s="185"/>
      <c r="DG12" s="185"/>
      <c r="DH12" s="185"/>
      <c r="DI12" s="185"/>
      <c r="DJ12" s="185"/>
      <c r="DK12" s="185"/>
      <c r="DL12" s="185"/>
      <c r="DM12" s="185"/>
      <c r="DN12" s="185"/>
      <c r="DO12" s="185"/>
      <c r="DP12" s="185"/>
      <c r="DQ12" s="185"/>
      <c r="DR12" s="185"/>
      <c r="DS12" s="185"/>
      <c r="DT12" s="185"/>
      <c r="DU12" s="185"/>
      <c r="DV12" s="185"/>
      <c r="DW12" s="185"/>
      <c r="DX12" s="185"/>
      <c r="DY12" s="185"/>
      <c r="DZ12" s="185"/>
      <c r="EA12" s="185"/>
      <c r="EB12" s="185"/>
      <c r="EC12" s="185"/>
      <c r="ED12" s="185"/>
      <c r="EE12" s="185"/>
      <c r="EF12" s="185"/>
      <c r="EG12" s="185"/>
      <c r="EH12" s="185"/>
      <c r="EI12" s="185"/>
      <c r="EJ12" s="185"/>
      <c r="EK12" s="185"/>
      <c r="EL12" s="185"/>
      <c r="EM12" s="185"/>
      <c r="EN12" s="185"/>
      <c r="EO12" s="185"/>
      <c r="EP12" s="185"/>
      <c r="EQ12" s="185"/>
      <c r="ER12" s="185"/>
      <c r="ES12" s="185"/>
      <c r="ET12" s="185"/>
      <c r="EU12" s="185"/>
      <c r="EV12" s="185"/>
      <c r="EW12" s="185"/>
      <c r="EX12" s="185"/>
      <c r="EY12" s="185"/>
      <c r="EZ12" s="185"/>
      <c r="FA12" s="185"/>
      <c r="FB12" s="185"/>
      <c r="FC12" s="185"/>
      <c r="FD12" s="185"/>
      <c r="FE12" s="185"/>
      <c r="FF12" s="185"/>
      <c r="FG12" s="185"/>
      <c r="FH12" s="185"/>
      <c r="FI12" s="185"/>
      <c r="FJ12" s="185"/>
      <c r="FK12" s="185"/>
      <c r="FL12" s="185"/>
      <c r="FM12" s="185"/>
      <c r="FN12" s="185"/>
      <c r="FO12" s="185"/>
      <c r="FP12" s="185"/>
      <c r="FQ12" s="185"/>
      <c r="FR12" s="185"/>
      <c r="FS12" s="185"/>
      <c r="FT12" s="185"/>
      <c r="FU12" s="185"/>
      <c r="FV12" s="185"/>
      <c r="FW12" s="185"/>
      <c r="FX12" s="185"/>
      <c r="FY12" s="185"/>
      <c r="FZ12" s="185"/>
      <c r="GA12" s="185"/>
      <c r="GB12" s="185"/>
      <c r="GC12" s="185"/>
      <c r="GD12" s="185"/>
      <c r="GE12" s="185"/>
      <c r="GF12" s="185"/>
      <c r="GG12" s="185"/>
      <c r="GH12" s="185"/>
      <c r="GI12" s="185"/>
      <c r="GJ12" s="185"/>
      <c r="GK12" s="185"/>
      <c r="GL12" s="185"/>
      <c r="GM12" s="185"/>
      <c r="GN12" s="185"/>
      <c r="GO12" s="185"/>
      <c r="GP12" s="185"/>
      <c r="GQ12" s="185"/>
      <c r="GR12" s="185"/>
      <c r="GS12" s="185"/>
      <c r="GT12" s="185"/>
      <c r="GU12" s="185"/>
      <c r="GV12" s="185"/>
      <c r="GW12" s="185"/>
      <c r="GX12" s="185"/>
      <c r="GY12" s="185"/>
      <c r="GZ12" s="185"/>
      <c r="HA12" s="185"/>
      <c r="HB12" s="185"/>
      <c r="HC12" s="185"/>
      <c r="HD12" s="185"/>
      <c r="HE12" s="185"/>
      <c r="HF12" s="185"/>
      <c r="HG12" s="185"/>
      <c r="HH12" s="185"/>
      <c r="HI12" s="185"/>
      <c r="HJ12" s="185"/>
      <c r="HK12" s="185"/>
      <c r="HL12" s="185"/>
      <c r="HM12" s="185"/>
      <c r="HN12" s="185"/>
      <c r="HO12" s="185"/>
      <c r="HP12" s="185"/>
      <c r="HQ12" s="185"/>
      <c r="HR12" s="185"/>
      <c r="HS12" s="185"/>
      <c r="HT12" s="185"/>
      <c r="HU12" s="185"/>
      <c r="HV12" s="185"/>
      <c r="HW12" s="185"/>
      <c r="HX12" s="185"/>
      <c r="HY12" s="185"/>
      <c r="HZ12" s="185"/>
      <c r="IA12" s="185"/>
      <c r="IB12" s="185"/>
      <c r="IC12" s="185"/>
      <c r="ID12" s="185"/>
      <c r="IE12" s="185"/>
      <c r="IF12" s="185"/>
      <c r="IG12" s="185"/>
      <c r="IH12" s="185"/>
      <c r="II12" s="185"/>
      <c r="IJ12" s="185"/>
      <c r="IK12" s="185"/>
      <c r="IL12" s="185"/>
      <c r="IM12" s="185"/>
      <c r="IN12" s="185"/>
      <c r="IO12" s="185"/>
      <c r="IP12" s="185"/>
      <c r="IQ12" s="185"/>
      <c r="IR12" s="185"/>
      <c r="IS12" s="185"/>
      <c r="IT12" s="185"/>
      <c r="IU12" s="185"/>
      <c r="IV12" s="185"/>
      <c r="IW12" s="185"/>
      <c r="IX12" s="185"/>
      <c r="IY12" s="185"/>
      <c r="IZ12" s="185"/>
      <c r="JA12" s="185"/>
    </row>
    <row r="13" spans="1:261" ht="42" customHeight="1">
      <c r="A13" s="485">
        <v>1</v>
      </c>
      <c r="B13" s="486" t="s">
        <v>131</v>
      </c>
      <c r="C13" s="486" t="s">
        <v>230</v>
      </c>
      <c r="D13" s="487" t="s">
        <v>635</v>
      </c>
      <c r="E13" s="487" t="s">
        <v>186</v>
      </c>
      <c r="F13" s="488">
        <v>64</v>
      </c>
      <c r="G13" s="627">
        <f>'TRẠM 1'!J97/1000</f>
        <v>55.127006999999971</v>
      </c>
      <c r="H13" s="559">
        <f t="shared" si="0"/>
        <v>0.86135948437499954</v>
      </c>
      <c r="I13" s="487">
        <v>360</v>
      </c>
      <c r="J13" s="557">
        <f>250*H13</f>
        <v>215.33987109374988</v>
      </c>
      <c r="K13" s="1035"/>
      <c r="L13" s="558">
        <f>I13+J13+K13</f>
        <v>575.33987109374993</v>
      </c>
      <c r="M13" s="489"/>
      <c r="N13" s="350" t="e">
        <f>#REF!/#REF!</f>
        <v>#REF!</v>
      </c>
      <c r="O13" s="351" t="e">
        <f>J13*N13</f>
        <v>#REF!</v>
      </c>
      <c r="P13" s="349" t="e">
        <f>I13+O13</f>
        <v>#REF!</v>
      </c>
      <c r="Q13" s="287"/>
      <c r="R13" s="287"/>
      <c r="S13" s="287"/>
      <c r="T13" s="288"/>
      <c r="U13" s="287"/>
      <c r="V13" s="287"/>
      <c r="W13" s="287"/>
      <c r="X13" s="287"/>
      <c r="Y13" s="287"/>
      <c r="Z13" s="287"/>
      <c r="AA13" s="287"/>
    </row>
    <row r="14" spans="1:261" ht="42" customHeight="1">
      <c r="A14" s="485">
        <v>2</v>
      </c>
      <c r="B14" s="486" t="s">
        <v>47</v>
      </c>
      <c r="C14" s="486" t="s">
        <v>230</v>
      </c>
      <c r="D14" s="487" t="s">
        <v>636</v>
      </c>
      <c r="E14" s="487" t="s">
        <v>186</v>
      </c>
      <c r="F14" s="488">
        <v>55</v>
      </c>
      <c r="G14" s="627">
        <f>'TRẠM 2'!J83/1000</f>
        <v>50.774636000000044</v>
      </c>
      <c r="H14" s="559">
        <f t="shared" si="0"/>
        <v>0.92317520000000075</v>
      </c>
      <c r="I14" s="487">
        <v>360</v>
      </c>
      <c r="J14" s="557">
        <f>250*H14</f>
        <v>230.79380000000018</v>
      </c>
      <c r="K14" s="1035"/>
      <c r="L14" s="558">
        <f>I14+J14+K14</f>
        <v>590.79380000000015</v>
      </c>
      <c r="M14" s="489"/>
      <c r="N14" s="350" t="e">
        <f>#REF!/#REF!</f>
        <v>#REF!</v>
      </c>
      <c r="O14" s="351" t="e">
        <f>J14*N14</f>
        <v>#REF!</v>
      </c>
      <c r="P14" s="349" t="e">
        <f>I14+O14</f>
        <v>#REF!</v>
      </c>
      <c r="Q14" s="287"/>
      <c r="R14" s="287"/>
      <c r="S14" s="287"/>
      <c r="T14" s="288"/>
      <c r="U14" s="287"/>
      <c r="V14" s="287"/>
      <c r="W14" s="287"/>
      <c r="X14" s="287"/>
      <c r="Y14" s="287"/>
      <c r="Z14" s="287"/>
      <c r="AA14" s="287"/>
    </row>
    <row r="15" spans="1:261" ht="28.5" customHeight="1">
      <c r="A15" s="1577" t="s">
        <v>302</v>
      </c>
      <c r="B15" s="1578"/>
      <c r="C15" s="1579"/>
      <c r="D15" s="487"/>
      <c r="E15" s="487"/>
      <c r="F15" s="723">
        <f>SUM(F16:F17)</f>
        <v>119</v>
      </c>
      <c r="G15" s="732">
        <f>SUM(G16:G17)</f>
        <v>105.90164300000001</v>
      </c>
      <c r="H15" s="744">
        <f t="shared" si="0"/>
        <v>0.8899297731092437</v>
      </c>
      <c r="I15" s="724"/>
      <c r="J15" s="723">
        <f>SUM(J16:J17)</f>
        <v>3569069</v>
      </c>
      <c r="K15" s="723"/>
      <c r="L15" s="723">
        <f>SUM(L16:L17)</f>
        <v>9569069</v>
      </c>
      <c r="M15" s="489"/>
      <c r="N15" s="291"/>
      <c r="O15" s="287"/>
      <c r="P15" s="287"/>
      <c r="Q15" s="287"/>
      <c r="R15" s="287"/>
      <c r="S15" s="287"/>
      <c r="T15" s="288"/>
      <c r="U15" s="287"/>
      <c r="V15" s="287"/>
      <c r="W15" s="287"/>
      <c r="X15" s="287"/>
      <c r="Y15" s="287"/>
      <c r="Z15" s="287"/>
      <c r="AA15" s="287"/>
    </row>
    <row r="16" spans="1:261" ht="44.25" customHeight="1">
      <c r="A16" s="485">
        <v>1</v>
      </c>
      <c r="B16" s="487" t="s">
        <v>4</v>
      </c>
      <c r="C16" s="1143" t="s">
        <v>696</v>
      </c>
      <c r="D16" s="487" t="s">
        <v>635</v>
      </c>
      <c r="E16" s="487" t="s">
        <v>116</v>
      </c>
      <c r="F16" s="488">
        <f>F13</f>
        <v>64</v>
      </c>
      <c r="G16" s="627">
        <f>G13</f>
        <v>55.127006999999971</v>
      </c>
      <c r="H16" s="559">
        <f t="shared" si="0"/>
        <v>0.86135948437499954</v>
      </c>
      <c r="I16" s="490">
        <v>3000000</v>
      </c>
      <c r="J16" s="491">
        <f>ROUND((2000000*H16),0)</f>
        <v>1722719</v>
      </c>
      <c r="K16" s="491"/>
      <c r="L16" s="489">
        <f>ROUND((I16+J16),0)</f>
        <v>4722719</v>
      </c>
      <c r="M16" s="489"/>
      <c r="N16" s="350" t="e">
        <f>#REF!/#REF!</f>
        <v>#REF!</v>
      </c>
      <c r="O16" s="352" t="e">
        <f>J16*N16</f>
        <v>#REF!</v>
      </c>
      <c r="P16" s="353" t="e">
        <f>I16+O16</f>
        <v>#REF!</v>
      </c>
      <c r="Q16" s="287"/>
      <c r="R16" s="287"/>
      <c r="S16" s="287"/>
      <c r="T16" s="288"/>
      <c r="U16" s="287"/>
      <c r="V16" s="287"/>
      <c r="W16" s="287"/>
      <c r="X16" s="287"/>
      <c r="Y16" s="287"/>
      <c r="Z16" s="287"/>
      <c r="AA16" s="287"/>
    </row>
    <row r="17" spans="1:261" ht="42.75" customHeight="1">
      <c r="A17" s="485">
        <v>3</v>
      </c>
      <c r="B17" s="486" t="s">
        <v>168</v>
      </c>
      <c r="C17" s="1143" t="s">
        <v>696</v>
      </c>
      <c r="D17" s="487" t="s">
        <v>636</v>
      </c>
      <c r="E17" s="487" t="s">
        <v>116</v>
      </c>
      <c r="F17" s="488">
        <f>F14</f>
        <v>55</v>
      </c>
      <c r="G17" s="627">
        <f>G14</f>
        <v>50.774636000000044</v>
      </c>
      <c r="H17" s="559">
        <f t="shared" si="0"/>
        <v>0.92317520000000075</v>
      </c>
      <c r="I17" s="490">
        <v>3000000</v>
      </c>
      <c r="J17" s="491">
        <f>ROUND((2000000*H17),0)</f>
        <v>1846350</v>
      </c>
      <c r="K17" s="491"/>
      <c r="L17" s="489">
        <f>ROUND((I17+J17),0)</f>
        <v>4846350</v>
      </c>
      <c r="M17" s="491"/>
      <c r="N17" s="350" t="e">
        <f>#REF!/#REF!</f>
        <v>#REF!</v>
      </c>
      <c r="O17" s="352" t="e">
        <f>J17*N17</f>
        <v>#REF!</v>
      </c>
      <c r="P17" s="353" t="e">
        <f>I17+O17</f>
        <v>#REF!</v>
      </c>
      <c r="Q17" s="306"/>
      <c r="R17" s="306"/>
      <c r="S17" s="306"/>
      <c r="T17" s="306"/>
      <c r="U17" s="306"/>
      <c r="V17" s="315"/>
      <c r="W17" s="315"/>
      <c r="X17" s="315"/>
      <c r="Y17" s="315"/>
      <c r="Z17" s="315"/>
      <c r="AA17" s="315"/>
      <c r="AB17" s="168"/>
      <c r="AC17" s="168"/>
      <c r="AD17" s="168"/>
      <c r="AE17" s="168"/>
      <c r="AF17" s="168"/>
      <c r="AG17" s="168"/>
      <c r="AH17" s="168"/>
      <c r="AI17" s="168"/>
      <c r="AJ17" s="168"/>
      <c r="AK17" s="168"/>
      <c r="AL17" s="168"/>
      <c r="AM17" s="168"/>
      <c r="AN17" s="168"/>
      <c r="AO17" s="168"/>
      <c r="AP17" s="168"/>
      <c r="AQ17" s="168"/>
      <c r="AR17" s="168"/>
      <c r="AS17" s="168"/>
      <c r="AT17" s="168"/>
      <c r="AU17" s="168"/>
      <c r="AV17" s="168"/>
      <c r="AW17" s="168"/>
      <c r="AX17" s="168"/>
      <c r="AY17" s="168"/>
      <c r="AZ17" s="168"/>
      <c r="BA17" s="168"/>
      <c r="BB17" s="168"/>
      <c r="BC17" s="168"/>
      <c r="BD17" s="168"/>
      <c r="BE17" s="168"/>
      <c r="BF17" s="168"/>
      <c r="BG17" s="168"/>
      <c r="BH17" s="168"/>
      <c r="BI17" s="168"/>
      <c r="BJ17" s="168"/>
      <c r="BK17" s="168"/>
      <c r="BL17" s="168"/>
      <c r="BM17" s="168"/>
      <c r="BN17" s="168"/>
      <c r="BO17" s="168"/>
      <c r="BP17" s="168"/>
      <c r="BQ17" s="168"/>
      <c r="BR17" s="168"/>
      <c r="BS17" s="168"/>
      <c r="BT17" s="168"/>
      <c r="BU17" s="168"/>
      <c r="BV17" s="168"/>
      <c r="BW17" s="168"/>
      <c r="BX17" s="168"/>
      <c r="BY17" s="168"/>
      <c r="BZ17" s="168"/>
      <c r="CA17" s="168"/>
      <c r="CB17" s="168"/>
      <c r="CC17" s="168"/>
      <c r="CD17" s="168"/>
      <c r="CE17" s="168"/>
      <c r="CF17" s="168"/>
      <c r="CG17" s="168"/>
      <c r="CH17" s="168"/>
      <c r="CI17" s="168"/>
      <c r="CJ17" s="168"/>
      <c r="CK17" s="168"/>
      <c r="CL17" s="168"/>
      <c r="CM17" s="168"/>
      <c r="CN17" s="168"/>
      <c r="CO17" s="168"/>
      <c r="CP17" s="168"/>
      <c r="CQ17" s="168"/>
      <c r="CR17" s="168"/>
      <c r="CS17" s="168"/>
      <c r="CT17" s="168"/>
      <c r="CU17" s="168"/>
      <c r="CV17" s="168"/>
      <c r="CW17" s="168"/>
      <c r="CX17" s="168"/>
      <c r="CY17" s="168"/>
      <c r="CZ17" s="168"/>
      <c r="DA17" s="168"/>
      <c r="DB17" s="168"/>
      <c r="DC17" s="168"/>
      <c r="DD17" s="168"/>
      <c r="DE17" s="168"/>
      <c r="DF17" s="168"/>
      <c r="DG17" s="168"/>
      <c r="DH17" s="168"/>
      <c r="DI17" s="168"/>
      <c r="DJ17" s="168"/>
      <c r="DK17" s="168"/>
      <c r="DL17" s="168"/>
      <c r="DM17" s="168"/>
      <c r="DN17" s="168"/>
      <c r="DO17" s="168"/>
      <c r="DP17" s="168"/>
      <c r="DQ17" s="168"/>
      <c r="DR17" s="168"/>
      <c r="DS17" s="168"/>
      <c r="DT17" s="168"/>
      <c r="DU17" s="168"/>
      <c r="DV17" s="168"/>
      <c r="DW17" s="168"/>
      <c r="DX17" s="168"/>
      <c r="DY17" s="168"/>
      <c r="DZ17" s="168"/>
      <c r="EA17" s="168"/>
      <c r="EB17" s="168"/>
      <c r="EC17" s="168"/>
      <c r="ED17" s="168"/>
      <c r="EE17" s="168"/>
      <c r="EF17" s="168"/>
      <c r="EG17" s="168"/>
      <c r="EH17" s="168"/>
      <c r="EI17" s="168"/>
      <c r="EJ17" s="168"/>
      <c r="EK17" s="168"/>
      <c r="EL17" s="168"/>
      <c r="EM17" s="168"/>
      <c r="EN17" s="168"/>
      <c r="EO17" s="168"/>
      <c r="EP17" s="168"/>
      <c r="EQ17" s="168"/>
      <c r="ER17" s="168"/>
      <c r="ES17" s="168"/>
      <c r="ET17" s="168"/>
      <c r="EU17" s="168"/>
      <c r="EV17" s="168"/>
      <c r="EW17" s="168"/>
      <c r="EX17" s="168"/>
      <c r="EY17" s="168"/>
      <c r="EZ17" s="168"/>
      <c r="FA17" s="168"/>
      <c r="FB17" s="168"/>
      <c r="FC17" s="168"/>
      <c r="FD17" s="168"/>
      <c r="FE17" s="168"/>
      <c r="FF17" s="168"/>
      <c r="FG17" s="168"/>
      <c r="FH17" s="168"/>
      <c r="FI17" s="168"/>
      <c r="FJ17" s="168"/>
      <c r="FK17" s="168"/>
      <c r="FL17" s="168"/>
      <c r="FM17" s="168"/>
      <c r="FN17" s="168"/>
      <c r="FO17" s="168"/>
      <c r="FP17" s="168"/>
      <c r="FQ17" s="168"/>
      <c r="FR17" s="168"/>
      <c r="FS17" s="168"/>
      <c r="FT17" s="168"/>
      <c r="FU17" s="168"/>
      <c r="FV17" s="168"/>
      <c r="FW17" s="168"/>
      <c r="FX17" s="168"/>
      <c r="FY17" s="168"/>
      <c r="FZ17" s="168"/>
      <c r="GA17" s="168"/>
      <c r="GB17" s="168"/>
      <c r="GC17" s="168"/>
      <c r="GD17" s="168"/>
      <c r="GE17" s="168"/>
      <c r="GF17" s="168"/>
      <c r="GG17" s="168"/>
      <c r="GH17" s="168"/>
      <c r="GI17" s="168"/>
      <c r="GJ17" s="168"/>
      <c r="GK17" s="168"/>
      <c r="GL17" s="168"/>
      <c r="GM17" s="168"/>
      <c r="GN17" s="168"/>
      <c r="GO17" s="168"/>
      <c r="GP17" s="168"/>
      <c r="GQ17" s="168"/>
      <c r="GR17" s="168"/>
      <c r="GS17" s="168"/>
      <c r="GT17" s="168"/>
      <c r="GU17" s="168"/>
      <c r="GV17" s="168"/>
      <c r="GW17" s="168"/>
      <c r="GX17" s="168"/>
      <c r="GY17" s="168"/>
      <c r="GZ17" s="168"/>
      <c r="HA17" s="168"/>
      <c r="HB17" s="168"/>
      <c r="HC17" s="168"/>
      <c r="HD17" s="168"/>
      <c r="HE17" s="168"/>
      <c r="HF17" s="168"/>
      <c r="HG17" s="168"/>
      <c r="HH17" s="168"/>
      <c r="HI17" s="168"/>
      <c r="HJ17" s="168"/>
      <c r="HK17" s="168"/>
      <c r="HL17" s="168"/>
      <c r="HM17" s="168"/>
      <c r="HN17" s="168"/>
      <c r="HO17" s="168"/>
      <c r="HP17" s="168"/>
      <c r="HQ17" s="168"/>
      <c r="HR17" s="168"/>
      <c r="HS17" s="168"/>
      <c r="HT17" s="168"/>
      <c r="HU17" s="168"/>
      <c r="HV17" s="168"/>
      <c r="HW17" s="168"/>
      <c r="HX17" s="168"/>
      <c r="HY17" s="168"/>
      <c r="HZ17" s="168"/>
      <c r="IA17" s="168"/>
      <c r="IB17" s="168"/>
      <c r="IC17" s="168"/>
      <c r="ID17" s="168"/>
      <c r="IE17" s="168"/>
      <c r="IF17" s="168"/>
      <c r="IG17" s="168"/>
      <c r="IH17" s="168"/>
      <c r="II17" s="168"/>
      <c r="IJ17" s="168"/>
      <c r="IK17" s="168"/>
      <c r="IL17" s="168"/>
      <c r="IM17" s="168"/>
      <c r="IN17" s="168"/>
      <c r="IO17" s="168"/>
      <c r="IP17" s="168"/>
      <c r="IQ17" s="168"/>
      <c r="IR17" s="168"/>
      <c r="IS17" s="168"/>
      <c r="IT17" s="168"/>
      <c r="IU17" s="168"/>
      <c r="IV17" s="168"/>
      <c r="IW17" s="168"/>
      <c r="IX17" s="168"/>
      <c r="IY17" s="168"/>
      <c r="IZ17" s="168"/>
      <c r="JA17" s="168"/>
    </row>
    <row r="18" spans="1:261" ht="29.25" customHeight="1">
      <c r="A18" s="477"/>
      <c r="B18" s="477"/>
      <c r="C18" s="477"/>
      <c r="D18" s="1580" t="s">
        <v>647</v>
      </c>
      <c r="E18" s="1580"/>
      <c r="F18" s="1580"/>
      <c r="G18" s="1580"/>
      <c r="H18" s="1580"/>
      <c r="I18" s="1580"/>
      <c r="J18" s="1580"/>
      <c r="K18" s="1580"/>
      <c r="L18" s="1580"/>
      <c r="M18" s="1580"/>
      <c r="N18" s="312"/>
      <c r="O18" s="295"/>
      <c r="P18" s="318"/>
      <c r="Q18" s="295"/>
      <c r="R18" s="295"/>
      <c r="S18" s="295"/>
      <c r="T18" s="313"/>
      <c r="U18" s="295"/>
      <c r="V18" s="295"/>
      <c r="W18" s="295"/>
      <c r="X18" s="295"/>
      <c r="Y18" s="295"/>
      <c r="Z18" s="295"/>
      <c r="AA18" s="295"/>
      <c r="AB18" s="167"/>
      <c r="AC18" s="167"/>
      <c r="AD18" s="167"/>
      <c r="AE18" s="167"/>
      <c r="AF18" s="167"/>
      <c r="AG18" s="167"/>
      <c r="AH18" s="167"/>
      <c r="AI18" s="167"/>
      <c r="AJ18" s="167"/>
      <c r="AK18" s="167"/>
      <c r="AL18" s="167"/>
      <c r="AM18" s="167"/>
      <c r="AN18" s="167"/>
      <c r="AO18" s="167"/>
      <c r="AP18" s="167"/>
      <c r="AQ18" s="167"/>
      <c r="AR18" s="167"/>
      <c r="AS18" s="167"/>
      <c r="AT18" s="167"/>
      <c r="AU18" s="167"/>
      <c r="AV18" s="167"/>
      <c r="AW18" s="167"/>
      <c r="AX18" s="167"/>
      <c r="AY18" s="167"/>
      <c r="AZ18" s="167"/>
      <c r="BA18" s="167"/>
      <c r="BB18" s="167"/>
      <c r="BC18" s="167"/>
      <c r="BD18" s="167"/>
      <c r="BE18" s="167"/>
      <c r="BF18" s="167"/>
      <c r="BG18" s="167"/>
      <c r="BH18" s="167"/>
      <c r="BI18" s="167"/>
      <c r="BJ18" s="167"/>
      <c r="BK18" s="167"/>
      <c r="BL18" s="167"/>
      <c r="BM18" s="167"/>
      <c r="BN18" s="167"/>
      <c r="BO18" s="167"/>
      <c r="BP18" s="167"/>
      <c r="BQ18" s="167"/>
      <c r="BR18" s="167"/>
      <c r="BS18" s="167"/>
      <c r="BT18" s="167"/>
      <c r="BU18" s="167"/>
      <c r="BV18" s="167"/>
      <c r="BW18" s="167"/>
      <c r="BX18" s="167"/>
      <c r="BY18" s="167"/>
      <c r="BZ18" s="167"/>
      <c r="CA18" s="167"/>
      <c r="CB18" s="167"/>
      <c r="CC18" s="167"/>
      <c r="CD18" s="167"/>
      <c r="CE18" s="167"/>
      <c r="CF18" s="167"/>
      <c r="CG18" s="167"/>
      <c r="CH18" s="167"/>
      <c r="CI18" s="167"/>
      <c r="CJ18" s="167"/>
      <c r="CK18" s="167"/>
      <c r="CL18" s="167"/>
      <c r="CM18" s="167"/>
      <c r="CN18" s="167"/>
      <c r="CO18" s="167"/>
      <c r="CP18" s="167"/>
      <c r="CQ18" s="167"/>
      <c r="CR18" s="167"/>
      <c r="CS18" s="167"/>
      <c r="CT18" s="167"/>
      <c r="CU18" s="167"/>
      <c r="CV18" s="167"/>
      <c r="CW18" s="167"/>
      <c r="CX18" s="167"/>
      <c r="CY18" s="167"/>
      <c r="CZ18" s="167"/>
      <c r="DA18" s="167"/>
      <c r="DB18" s="167"/>
      <c r="DC18" s="167"/>
      <c r="DD18" s="167"/>
      <c r="DE18" s="167"/>
      <c r="DF18" s="167"/>
      <c r="DG18" s="167"/>
      <c r="DH18" s="167"/>
      <c r="DI18" s="167"/>
      <c r="DJ18" s="167"/>
      <c r="DK18" s="167"/>
      <c r="DL18" s="167"/>
      <c r="DM18" s="167"/>
      <c r="DN18" s="167"/>
      <c r="DO18" s="167"/>
      <c r="DP18" s="167"/>
      <c r="DQ18" s="167"/>
      <c r="DR18" s="167"/>
      <c r="DS18" s="167"/>
      <c r="DT18" s="167"/>
      <c r="DU18" s="167"/>
      <c r="DV18" s="167"/>
      <c r="DW18" s="167"/>
      <c r="DX18" s="167"/>
      <c r="DY18" s="167"/>
      <c r="DZ18" s="167"/>
      <c r="EA18" s="167"/>
      <c r="EB18" s="167"/>
      <c r="EC18" s="167"/>
      <c r="ED18" s="167"/>
      <c r="EE18" s="167"/>
      <c r="EF18" s="167"/>
      <c r="EG18" s="167"/>
      <c r="EH18" s="167"/>
      <c r="EI18" s="167"/>
      <c r="EJ18" s="167"/>
      <c r="EK18" s="167"/>
      <c r="EL18" s="167"/>
      <c r="EM18" s="167"/>
      <c r="EN18" s="167"/>
      <c r="EO18" s="167"/>
      <c r="EP18" s="167"/>
      <c r="EQ18" s="167"/>
      <c r="ER18" s="167"/>
      <c r="ES18" s="167"/>
      <c r="ET18" s="167"/>
      <c r="EU18" s="167"/>
      <c r="EV18" s="167"/>
      <c r="EW18" s="167"/>
      <c r="EX18" s="167"/>
      <c r="EY18" s="167"/>
      <c r="EZ18" s="167"/>
      <c r="FA18" s="167"/>
      <c r="FB18" s="167"/>
      <c r="FC18" s="167"/>
      <c r="FD18" s="167"/>
      <c r="FE18" s="167"/>
      <c r="FF18" s="167"/>
      <c r="FG18" s="167"/>
      <c r="FH18" s="167"/>
      <c r="FI18" s="167"/>
      <c r="FJ18" s="167"/>
      <c r="FK18" s="167"/>
      <c r="FL18" s="167"/>
      <c r="FM18" s="167"/>
      <c r="FN18" s="167"/>
      <c r="FO18" s="167"/>
      <c r="FP18" s="167"/>
      <c r="FQ18" s="167"/>
      <c r="FR18" s="167"/>
      <c r="FS18" s="167"/>
      <c r="FT18" s="167"/>
      <c r="FU18" s="167"/>
      <c r="FV18" s="167"/>
      <c r="FW18" s="167"/>
      <c r="FX18" s="167"/>
      <c r="FY18" s="167"/>
      <c r="FZ18" s="167"/>
      <c r="GA18" s="167"/>
      <c r="GB18" s="167"/>
      <c r="GC18" s="167"/>
      <c r="GD18" s="167"/>
      <c r="GE18" s="167"/>
      <c r="GF18" s="167"/>
      <c r="GG18" s="167"/>
      <c r="GH18" s="167"/>
      <c r="GI18" s="167"/>
      <c r="GJ18" s="167"/>
      <c r="GK18" s="167"/>
      <c r="GL18" s="167"/>
      <c r="GM18" s="167"/>
      <c r="GN18" s="167"/>
      <c r="GO18" s="167"/>
      <c r="GP18" s="167"/>
      <c r="GQ18" s="167"/>
      <c r="GR18" s="167"/>
      <c r="GS18" s="167"/>
      <c r="GT18" s="167"/>
      <c r="GU18" s="167"/>
      <c r="GV18" s="167"/>
      <c r="GW18" s="167"/>
      <c r="GX18" s="167"/>
      <c r="GY18" s="167"/>
      <c r="GZ18" s="167"/>
      <c r="HA18" s="167"/>
      <c r="HB18" s="167"/>
      <c r="HC18" s="167"/>
      <c r="HD18" s="167"/>
      <c r="HE18" s="167"/>
      <c r="HF18" s="167"/>
      <c r="HG18" s="167"/>
      <c r="HH18" s="167"/>
      <c r="HI18" s="167"/>
      <c r="HJ18" s="167"/>
      <c r="HK18" s="167"/>
      <c r="HL18" s="167"/>
      <c r="HM18" s="167"/>
      <c r="HN18" s="167"/>
      <c r="HO18" s="167"/>
      <c r="HP18" s="167"/>
      <c r="HQ18" s="167"/>
      <c r="HR18" s="167"/>
      <c r="HS18" s="167"/>
      <c r="HT18" s="167"/>
      <c r="HU18" s="167"/>
      <c r="HV18" s="167"/>
      <c r="HW18" s="167"/>
      <c r="HX18" s="167"/>
      <c r="HY18" s="167"/>
      <c r="HZ18" s="167"/>
      <c r="IA18" s="167"/>
      <c r="IB18" s="167"/>
      <c r="IC18" s="167"/>
      <c r="ID18" s="167"/>
      <c r="IE18" s="167"/>
      <c r="IF18" s="167"/>
      <c r="IG18" s="167"/>
      <c r="IH18" s="167"/>
      <c r="II18" s="167"/>
      <c r="IJ18" s="167"/>
      <c r="IK18" s="167"/>
      <c r="IL18" s="167"/>
      <c r="IM18" s="167"/>
      <c r="IN18" s="167"/>
      <c r="IO18" s="167"/>
      <c r="IP18" s="167"/>
      <c r="IQ18" s="167"/>
      <c r="IR18" s="167"/>
      <c r="IS18" s="167"/>
      <c r="IT18" s="167"/>
      <c r="IU18" s="167"/>
      <c r="IV18" s="167"/>
      <c r="IW18" s="167"/>
      <c r="IX18" s="167"/>
      <c r="IY18" s="167"/>
      <c r="IZ18" s="167"/>
      <c r="JA18" s="167"/>
    </row>
    <row r="19" spans="1:261" ht="12" customHeight="1">
      <c r="A19" s="292"/>
      <c r="B19" s="292"/>
      <c r="C19" s="292"/>
      <c r="D19" s="292"/>
      <c r="E19" s="292"/>
      <c r="F19" s="292"/>
      <c r="G19" s="293"/>
      <c r="H19" s="293"/>
      <c r="I19" s="292"/>
      <c r="J19" s="292"/>
      <c r="K19" s="292"/>
      <c r="L19" s="293"/>
      <c r="M19" s="293"/>
      <c r="N19" s="312"/>
      <c r="O19" s="295"/>
      <c r="P19" s="295"/>
      <c r="Q19" s="295" t="s">
        <v>291</v>
      </c>
      <c r="R19" s="295"/>
      <c r="S19" s="295"/>
      <c r="T19" s="319"/>
      <c r="U19" s="314"/>
      <c r="V19" s="295"/>
      <c r="W19" s="295"/>
      <c r="X19" s="295"/>
      <c r="Y19" s="295"/>
      <c r="Z19" s="295"/>
      <c r="AA19" s="295"/>
      <c r="AB19" s="167"/>
      <c r="AC19" s="167"/>
      <c r="AD19" s="167"/>
      <c r="AE19" s="167"/>
      <c r="AF19" s="167"/>
      <c r="AG19" s="167"/>
      <c r="AH19" s="167"/>
      <c r="AI19" s="167"/>
      <c r="AJ19" s="167"/>
      <c r="AK19" s="167"/>
      <c r="AL19" s="167"/>
      <c r="AM19" s="167"/>
      <c r="AN19" s="167"/>
      <c r="AO19" s="167"/>
      <c r="AP19" s="167"/>
      <c r="AQ19" s="167"/>
      <c r="AR19" s="167"/>
      <c r="AS19" s="167"/>
      <c r="AT19" s="167"/>
      <c r="AU19" s="167"/>
      <c r="AV19" s="167"/>
      <c r="AW19" s="167"/>
      <c r="AX19" s="167"/>
      <c r="AY19" s="167"/>
      <c r="AZ19" s="167"/>
      <c r="BA19" s="167"/>
      <c r="BB19" s="167"/>
      <c r="BC19" s="167"/>
      <c r="BD19" s="167"/>
      <c r="BE19" s="167"/>
      <c r="BF19" s="167"/>
      <c r="BG19" s="167"/>
      <c r="BH19" s="167"/>
      <c r="BI19" s="167"/>
      <c r="BJ19" s="167"/>
      <c r="BK19" s="167"/>
      <c r="BL19" s="167"/>
      <c r="BM19" s="167"/>
      <c r="BN19" s="167"/>
      <c r="BO19" s="167"/>
      <c r="BP19" s="167"/>
      <c r="BQ19" s="167"/>
      <c r="BR19" s="167"/>
      <c r="BS19" s="167"/>
      <c r="BT19" s="167"/>
      <c r="BU19" s="167"/>
      <c r="BV19" s="167"/>
      <c r="BW19" s="167"/>
      <c r="BX19" s="167"/>
      <c r="BY19" s="167"/>
      <c r="BZ19" s="167"/>
      <c r="CA19" s="167"/>
      <c r="CB19" s="167"/>
      <c r="CC19" s="167"/>
      <c r="CD19" s="167"/>
      <c r="CE19" s="167"/>
      <c r="CF19" s="167"/>
      <c r="CG19" s="167"/>
      <c r="CH19" s="167"/>
      <c r="CI19" s="167"/>
      <c r="CJ19" s="167"/>
      <c r="CK19" s="167"/>
      <c r="CL19" s="167"/>
      <c r="CM19" s="167"/>
      <c r="CN19" s="167"/>
      <c r="CO19" s="167"/>
      <c r="CP19" s="167"/>
      <c r="CQ19" s="167"/>
      <c r="CR19" s="167"/>
      <c r="CS19" s="167"/>
      <c r="CT19" s="167"/>
      <c r="CU19" s="167"/>
      <c r="CV19" s="167"/>
      <c r="CW19" s="167"/>
      <c r="CX19" s="167"/>
      <c r="CY19" s="167"/>
      <c r="CZ19" s="167"/>
      <c r="DA19" s="167"/>
      <c r="DB19" s="167"/>
      <c r="DC19" s="167"/>
      <c r="DD19" s="167"/>
      <c r="DE19" s="167"/>
      <c r="DF19" s="167"/>
      <c r="DG19" s="167"/>
      <c r="DH19" s="167"/>
      <c r="DI19" s="167"/>
      <c r="DJ19" s="167"/>
      <c r="DK19" s="167"/>
      <c r="DL19" s="167"/>
      <c r="DM19" s="167"/>
      <c r="DN19" s="167"/>
      <c r="DO19" s="167"/>
      <c r="DP19" s="167"/>
      <c r="DQ19" s="167"/>
      <c r="DR19" s="167"/>
      <c r="DS19" s="167"/>
      <c r="DT19" s="167"/>
      <c r="DU19" s="167"/>
      <c r="DV19" s="167"/>
      <c r="DW19" s="167"/>
      <c r="DX19" s="167"/>
      <c r="DY19" s="167"/>
      <c r="DZ19" s="167"/>
      <c r="EA19" s="167"/>
      <c r="EB19" s="167"/>
      <c r="EC19" s="167"/>
      <c r="ED19" s="167"/>
      <c r="EE19" s="167"/>
      <c r="EF19" s="167"/>
      <c r="EG19" s="167"/>
      <c r="EH19" s="167"/>
      <c r="EI19" s="167"/>
      <c r="EJ19" s="167"/>
      <c r="EK19" s="167"/>
      <c r="EL19" s="167"/>
      <c r="EM19" s="167"/>
      <c r="EN19" s="167"/>
      <c r="EO19" s="167"/>
      <c r="EP19" s="167"/>
      <c r="EQ19" s="167"/>
      <c r="ER19" s="167"/>
      <c r="ES19" s="167"/>
      <c r="ET19" s="167"/>
      <c r="EU19" s="167"/>
      <c r="EV19" s="167"/>
      <c r="EW19" s="167"/>
      <c r="EX19" s="167"/>
      <c r="EY19" s="167"/>
      <c r="EZ19" s="167"/>
      <c r="FA19" s="167"/>
      <c r="FB19" s="167"/>
      <c r="FC19" s="167"/>
      <c r="FD19" s="167"/>
      <c r="FE19" s="167"/>
      <c r="FF19" s="167"/>
      <c r="FG19" s="167"/>
      <c r="FH19" s="167"/>
      <c r="FI19" s="167"/>
      <c r="FJ19" s="167"/>
      <c r="FK19" s="167"/>
      <c r="FL19" s="167"/>
      <c r="FM19" s="167"/>
      <c r="FN19" s="167"/>
      <c r="FO19" s="167"/>
      <c r="FP19" s="167"/>
      <c r="FQ19" s="167"/>
      <c r="FR19" s="167"/>
      <c r="FS19" s="167"/>
      <c r="FT19" s="167"/>
      <c r="FU19" s="167"/>
      <c r="FV19" s="167"/>
      <c r="FW19" s="167"/>
      <c r="FX19" s="167"/>
      <c r="FY19" s="167"/>
      <c r="FZ19" s="167"/>
      <c r="GA19" s="167"/>
      <c r="GB19" s="167"/>
      <c r="GC19" s="167"/>
      <c r="GD19" s="167"/>
      <c r="GE19" s="167"/>
      <c r="GF19" s="167"/>
      <c r="GG19" s="167"/>
      <c r="GH19" s="167"/>
      <c r="GI19" s="167"/>
      <c r="GJ19" s="167"/>
      <c r="GK19" s="167"/>
      <c r="GL19" s="167"/>
      <c r="GM19" s="167"/>
      <c r="GN19" s="167"/>
      <c r="GO19" s="167"/>
      <c r="GP19" s="167"/>
      <c r="GQ19" s="167"/>
      <c r="GR19" s="167"/>
      <c r="GS19" s="167"/>
      <c r="GT19" s="167"/>
      <c r="GU19" s="167"/>
      <c r="GV19" s="167"/>
      <c r="GW19" s="167"/>
      <c r="GX19" s="167"/>
      <c r="GY19" s="167"/>
      <c r="GZ19" s="167"/>
      <c r="HA19" s="167"/>
      <c r="HB19" s="167"/>
      <c r="HC19" s="167"/>
      <c r="HD19" s="167"/>
      <c r="HE19" s="167"/>
      <c r="HF19" s="167"/>
      <c r="HG19" s="167"/>
      <c r="HH19" s="167"/>
      <c r="HI19" s="167"/>
      <c r="HJ19" s="167"/>
      <c r="HK19" s="167"/>
      <c r="HL19" s="167"/>
      <c r="HM19" s="167"/>
      <c r="HN19" s="167"/>
      <c r="HO19" s="167"/>
      <c r="HP19" s="167"/>
      <c r="HQ19" s="167"/>
      <c r="HR19" s="167"/>
      <c r="HS19" s="167"/>
      <c r="HT19" s="167"/>
      <c r="HU19" s="167"/>
      <c r="HV19" s="167"/>
      <c r="HW19" s="167"/>
      <c r="HX19" s="167"/>
      <c r="HY19" s="167"/>
      <c r="HZ19" s="167"/>
      <c r="IA19" s="167"/>
      <c r="IB19" s="167"/>
      <c r="IC19" s="167"/>
      <c r="ID19" s="167"/>
      <c r="IE19" s="167"/>
      <c r="IF19" s="167"/>
      <c r="IG19" s="167"/>
      <c r="IH19" s="167"/>
      <c r="II19" s="167"/>
      <c r="IJ19" s="167"/>
      <c r="IK19" s="167"/>
      <c r="IL19" s="167"/>
      <c r="IM19" s="167"/>
      <c r="IN19" s="167"/>
      <c r="IO19" s="167"/>
      <c r="IP19" s="167"/>
      <c r="IQ19" s="167"/>
      <c r="IR19" s="167"/>
      <c r="IS19" s="167"/>
      <c r="IT19" s="167"/>
      <c r="IU19" s="167"/>
      <c r="IV19" s="167"/>
      <c r="IW19" s="167"/>
      <c r="IX19" s="167"/>
      <c r="IY19" s="167"/>
      <c r="IZ19" s="167"/>
      <c r="JA19" s="167"/>
    </row>
    <row r="20" spans="1:261" ht="19.5">
      <c r="A20" s="1575" t="s">
        <v>666</v>
      </c>
      <c r="B20" s="1575"/>
      <c r="C20" s="1575"/>
      <c r="D20" s="1575"/>
      <c r="E20" s="1575"/>
      <c r="F20" s="1575"/>
      <c r="G20" s="1575"/>
      <c r="H20" s="1575"/>
      <c r="I20" s="1575"/>
      <c r="J20" s="1575"/>
      <c r="K20" s="1575"/>
      <c r="L20" s="1575"/>
      <c r="M20" s="1575"/>
      <c r="N20" s="316"/>
      <c r="O20" s="510">
        <f>SUM(G13:G14)</f>
        <v>105.90164300000001</v>
      </c>
      <c r="P20" s="320"/>
      <c r="Q20" s="315"/>
      <c r="R20" s="315"/>
      <c r="S20" s="315"/>
      <c r="T20" s="317"/>
      <c r="U20" s="315"/>
      <c r="V20" s="315"/>
      <c r="W20" s="315"/>
      <c r="X20" s="315"/>
      <c r="Y20" s="315"/>
      <c r="Z20" s="315"/>
      <c r="AA20" s="315"/>
      <c r="AB20" s="168"/>
      <c r="AC20" s="168"/>
      <c r="AD20" s="168"/>
      <c r="AE20" s="168"/>
      <c r="AF20" s="168"/>
      <c r="AG20" s="168"/>
      <c r="AH20" s="168"/>
      <c r="AI20" s="168"/>
      <c r="AJ20" s="168"/>
      <c r="AK20" s="168"/>
      <c r="AL20" s="168"/>
      <c r="AM20" s="168"/>
      <c r="AN20" s="168"/>
      <c r="AO20" s="168"/>
      <c r="AP20" s="168"/>
      <c r="AQ20" s="168"/>
      <c r="AR20" s="168"/>
      <c r="AS20" s="168"/>
      <c r="AT20" s="168"/>
      <c r="AU20" s="168"/>
      <c r="AV20" s="168"/>
      <c r="AW20" s="168"/>
      <c r="AX20" s="168"/>
      <c r="AY20" s="168"/>
      <c r="AZ20" s="168"/>
      <c r="BA20" s="168"/>
      <c r="BB20" s="168"/>
      <c r="BC20" s="168"/>
      <c r="BD20" s="168"/>
      <c r="BE20" s="168"/>
      <c r="BF20" s="168"/>
      <c r="BG20" s="168"/>
      <c r="BH20" s="168"/>
      <c r="BI20" s="168"/>
      <c r="BJ20" s="168"/>
      <c r="BK20" s="168"/>
      <c r="BL20" s="168"/>
      <c r="BM20" s="168"/>
      <c r="BN20" s="168"/>
      <c r="BO20" s="168"/>
      <c r="BP20" s="168"/>
      <c r="BQ20" s="168"/>
      <c r="BR20" s="168"/>
      <c r="BS20" s="168"/>
      <c r="BT20" s="168"/>
      <c r="BU20" s="168"/>
      <c r="BV20" s="168"/>
      <c r="BW20" s="168"/>
      <c r="BX20" s="168"/>
      <c r="BY20" s="168"/>
      <c r="BZ20" s="168"/>
      <c r="CA20" s="168"/>
      <c r="CB20" s="168"/>
      <c r="CC20" s="168"/>
      <c r="CD20" s="168"/>
      <c r="CE20" s="168"/>
      <c r="CF20" s="168"/>
      <c r="CG20" s="168"/>
      <c r="CH20" s="168"/>
      <c r="CI20" s="168"/>
      <c r="CJ20" s="168"/>
      <c r="CK20" s="168"/>
      <c r="CL20" s="168"/>
      <c r="CM20" s="168"/>
      <c r="CN20" s="168"/>
      <c r="CO20" s="168"/>
      <c r="CP20" s="168"/>
      <c r="CQ20" s="168"/>
      <c r="CR20" s="168"/>
      <c r="CS20" s="168"/>
      <c r="CT20" s="168"/>
      <c r="CU20" s="168"/>
      <c r="CV20" s="168"/>
      <c r="CW20" s="168"/>
      <c r="CX20" s="168"/>
      <c r="CY20" s="168"/>
      <c r="CZ20" s="168"/>
      <c r="DA20" s="168"/>
      <c r="DB20" s="168"/>
      <c r="DC20" s="168"/>
      <c r="DD20" s="168"/>
      <c r="DE20" s="168"/>
      <c r="DF20" s="168"/>
      <c r="DG20" s="168"/>
      <c r="DH20" s="168"/>
      <c r="DI20" s="168"/>
      <c r="DJ20" s="168"/>
      <c r="DK20" s="168"/>
      <c r="DL20" s="168"/>
      <c r="DM20" s="168"/>
      <c r="DN20" s="168"/>
      <c r="DO20" s="168"/>
      <c r="DP20" s="168"/>
      <c r="DQ20" s="168"/>
      <c r="DR20" s="168"/>
      <c r="DS20" s="168"/>
      <c r="DT20" s="168"/>
      <c r="DU20" s="168"/>
      <c r="DV20" s="168"/>
      <c r="DW20" s="168"/>
      <c r="DX20" s="168"/>
      <c r="DY20" s="168"/>
      <c r="DZ20" s="168"/>
      <c r="EA20" s="168"/>
      <c r="EB20" s="168"/>
      <c r="EC20" s="168"/>
      <c r="ED20" s="168"/>
      <c r="EE20" s="168"/>
      <c r="EF20" s="168"/>
      <c r="EG20" s="168"/>
      <c r="EH20" s="168"/>
      <c r="EI20" s="168"/>
      <c r="EJ20" s="168"/>
      <c r="EK20" s="168"/>
      <c r="EL20" s="168"/>
      <c r="EM20" s="168"/>
      <c r="EN20" s="168"/>
      <c r="EO20" s="168"/>
      <c r="EP20" s="168"/>
      <c r="EQ20" s="168"/>
      <c r="ER20" s="168"/>
      <c r="ES20" s="168"/>
      <c r="ET20" s="168"/>
      <c r="EU20" s="168"/>
      <c r="EV20" s="168"/>
      <c r="EW20" s="168"/>
      <c r="EX20" s="168"/>
      <c r="EY20" s="168"/>
      <c r="EZ20" s="168"/>
      <c r="FA20" s="168"/>
      <c r="FB20" s="168"/>
      <c r="FC20" s="168"/>
      <c r="FD20" s="168"/>
      <c r="FE20" s="168"/>
      <c r="FF20" s="168"/>
      <c r="FG20" s="168"/>
      <c r="FH20" s="168"/>
      <c r="FI20" s="168"/>
      <c r="FJ20" s="168"/>
      <c r="FK20" s="168"/>
      <c r="FL20" s="168"/>
      <c r="FM20" s="168"/>
      <c r="FN20" s="168"/>
      <c r="FO20" s="168"/>
      <c r="FP20" s="168"/>
      <c r="FQ20" s="168"/>
      <c r="FR20" s="168"/>
      <c r="FS20" s="168"/>
      <c r="FT20" s="168"/>
      <c r="FU20" s="168"/>
      <c r="FV20" s="168"/>
      <c r="FW20" s="168"/>
      <c r="FX20" s="168"/>
      <c r="FY20" s="168"/>
      <c r="FZ20" s="168"/>
      <c r="GA20" s="168"/>
      <c r="GB20" s="168"/>
      <c r="GC20" s="168"/>
      <c r="GD20" s="168"/>
      <c r="GE20" s="168"/>
      <c r="GF20" s="168"/>
      <c r="GG20" s="168"/>
      <c r="GH20" s="168"/>
      <c r="GI20" s="168"/>
      <c r="GJ20" s="168"/>
      <c r="GK20" s="168"/>
      <c r="GL20" s="168"/>
      <c r="GM20" s="168"/>
      <c r="GN20" s="168"/>
      <c r="GO20" s="168"/>
      <c r="GP20" s="168"/>
      <c r="GQ20" s="168"/>
      <c r="GR20" s="168"/>
      <c r="GS20" s="168"/>
      <c r="GT20" s="168"/>
      <c r="GU20" s="168"/>
      <c r="GV20" s="168"/>
      <c r="GW20" s="168"/>
      <c r="GX20" s="168"/>
      <c r="GY20" s="168"/>
      <c r="GZ20" s="168"/>
      <c r="HA20" s="168"/>
      <c r="HB20" s="168"/>
      <c r="HC20" s="168"/>
      <c r="HD20" s="168"/>
      <c r="HE20" s="168"/>
      <c r="HF20" s="168"/>
      <c r="HG20" s="168"/>
      <c r="HH20" s="168"/>
      <c r="HI20" s="168"/>
      <c r="HJ20" s="168"/>
      <c r="HK20" s="168"/>
      <c r="HL20" s="168"/>
      <c r="HM20" s="168"/>
      <c r="HN20" s="168"/>
      <c r="HO20" s="168"/>
      <c r="HP20" s="168"/>
      <c r="HQ20" s="168"/>
      <c r="HR20" s="168"/>
      <c r="HS20" s="168"/>
      <c r="HT20" s="168"/>
      <c r="HU20" s="168"/>
      <c r="HV20" s="168"/>
      <c r="HW20" s="168"/>
      <c r="HX20" s="168"/>
      <c r="HY20" s="168"/>
      <c r="HZ20" s="168"/>
      <c r="IA20" s="168"/>
      <c r="IB20" s="168"/>
      <c r="IC20" s="168"/>
      <c r="ID20" s="168"/>
      <c r="IE20" s="168"/>
      <c r="IF20" s="168"/>
      <c r="IG20" s="168"/>
      <c r="IH20" s="168"/>
      <c r="II20" s="168"/>
      <c r="IJ20" s="168"/>
      <c r="IK20" s="168"/>
      <c r="IL20" s="168"/>
      <c r="IM20" s="168"/>
      <c r="IN20" s="168"/>
      <c r="IO20" s="168"/>
      <c r="IP20" s="168"/>
      <c r="IQ20" s="168"/>
      <c r="IR20" s="168"/>
      <c r="IS20" s="168"/>
      <c r="IT20" s="168"/>
      <c r="IU20" s="168"/>
      <c r="IV20" s="168"/>
      <c r="IW20" s="168"/>
      <c r="IX20" s="168"/>
      <c r="IY20" s="168"/>
      <c r="IZ20" s="168"/>
      <c r="JA20" s="168"/>
    </row>
    <row r="21" spans="1:261" ht="19.5">
      <c r="A21" s="477"/>
      <c r="B21" s="477"/>
      <c r="C21" s="477"/>
      <c r="D21" s="477"/>
      <c r="E21" s="477"/>
      <c r="F21" s="477"/>
      <c r="G21" s="478"/>
      <c r="H21" s="478"/>
      <c r="I21" s="477"/>
      <c r="J21" s="477"/>
      <c r="K21" s="477"/>
      <c r="L21" s="478"/>
      <c r="M21" s="478"/>
      <c r="N21" s="312"/>
      <c r="O21" s="295"/>
      <c r="P21" s="295"/>
      <c r="Q21" s="295"/>
      <c r="R21" s="295"/>
      <c r="S21" s="295"/>
      <c r="T21" s="313"/>
      <c r="U21" s="295"/>
      <c r="V21" s="295"/>
      <c r="W21" s="295"/>
      <c r="X21" s="295"/>
      <c r="Y21" s="295"/>
      <c r="Z21" s="295"/>
      <c r="AA21" s="295"/>
      <c r="AB21" s="167"/>
      <c r="AC21" s="167"/>
      <c r="AD21" s="167"/>
      <c r="AE21" s="167"/>
      <c r="AF21" s="167"/>
      <c r="AG21" s="167"/>
      <c r="AH21" s="167"/>
      <c r="AI21" s="167"/>
      <c r="AJ21" s="167"/>
      <c r="AK21" s="167"/>
      <c r="AL21" s="167"/>
      <c r="AM21" s="167"/>
      <c r="AN21" s="167"/>
      <c r="AO21" s="167"/>
      <c r="AP21" s="167"/>
      <c r="AQ21" s="167"/>
      <c r="AR21" s="167"/>
      <c r="AS21" s="167"/>
      <c r="AT21" s="167"/>
      <c r="AU21" s="167"/>
      <c r="AV21" s="167"/>
      <c r="AW21" s="167"/>
      <c r="AX21" s="167"/>
      <c r="AY21" s="167"/>
      <c r="AZ21" s="167"/>
      <c r="BA21" s="167"/>
      <c r="BB21" s="167"/>
      <c r="BC21" s="167"/>
      <c r="BD21" s="167"/>
      <c r="BE21" s="167"/>
      <c r="BF21" s="167"/>
      <c r="BG21" s="167"/>
      <c r="BH21" s="167"/>
      <c r="BI21" s="167"/>
      <c r="BJ21" s="167"/>
      <c r="BK21" s="167"/>
      <c r="BL21" s="167"/>
      <c r="BM21" s="167"/>
      <c r="BN21" s="167"/>
      <c r="BO21" s="167"/>
      <c r="BP21" s="167"/>
      <c r="BQ21" s="167"/>
      <c r="BR21" s="167"/>
      <c r="BS21" s="167"/>
      <c r="BT21" s="167"/>
      <c r="BU21" s="167"/>
      <c r="BV21" s="167"/>
      <c r="BW21" s="167"/>
      <c r="BX21" s="167"/>
      <c r="BY21" s="167"/>
      <c r="BZ21" s="167"/>
      <c r="CA21" s="167"/>
      <c r="CB21" s="167"/>
      <c r="CC21" s="167"/>
      <c r="CD21" s="167"/>
      <c r="CE21" s="167"/>
      <c r="CF21" s="167"/>
      <c r="CG21" s="167"/>
      <c r="CH21" s="167"/>
      <c r="CI21" s="167"/>
      <c r="CJ21" s="167"/>
      <c r="CK21" s="167"/>
      <c r="CL21" s="167"/>
      <c r="CM21" s="167"/>
      <c r="CN21" s="167"/>
      <c r="CO21" s="167"/>
      <c r="CP21" s="167"/>
      <c r="CQ21" s="167"/>
      <c r="CR21" s="167"/>
      <c r="CS21" s="167"/>
      <c r="CT21" s="167"/>
      <c r="CU21" s="167"/>
      <c r="CV21" s="167"/>
      <c r="CW21" s="167"/>
      <c r="CX21" s="167"/>
      <c r="CY21" s="167"/>
      <c r="CZ21" s="167"/>
      <c r="DA21" s="167"/>
      <c r="DB21" s="167"/>
      <c r="DC21" s="167"/>
      <c r="DD21" s="167"/>
      <c r="DE21" s="167"/>
      <c r="DF21" s="167"/>
      <c r="DG21" s="167"/>
      <c r="DH21" s="167"/>
      <c r="DI21" s="167"/>
      <c r="DJ21" s="167"/>
      <c r="DK21" s="167"/>
      <c r="DL21" s="167"/>
      <c r="DM21" s="167"/>
      <c r="DN21" s="167"/>
      <c r="DO21" s="167"/>
      <c r="DP21" s="167"/>
      <c r="DQ21" s="167"/>
      <c r="DR21" s="167"/>
      <c r="DS21" s="167"/>
      <c r="DT21" s="167"/>
      <c r="DU21" s="167"/>
      <c r="DV21" s="167"/>
      <c r="DW21" s="167"/>
      <c r="DX21" s="167"/>
      <c r="DY21" s="167"/>
      <c r="DZ21" s="167"/>
      <c r="EA21" s="167"/>
      <c r="EB21" s="167"/>
      <c r="EC21" s="167"/>
      <c r="ED21" s="167"/>
      <c r="EE21" s="167"/>
      <c r="EF21" s="167"/>
      <c r="EG21" s="167"/>
      <c r="EH21" s="167"/>
      <c r="EI21" s="167"/>
      <c r="EJ21" s="167"/>
      <c r="EK21" s="167"/>
      <c r="EL21" s="167"/>
      <c r="EM21" s="167"/>
      <c r="EN21" s="167"/>
      <c r="EO21" s="167"/>
      <c r="EP21" s="167"/>
      <c r="EQ21" s="167"/>
      <c r="ER21" s="167"/>
      <c r="ES21" s="167"/>
      <c r="ET21" s="167"/>
      <c r="EU21" s="167"/>
      <c r="EV21" s="167"/>
      <c r="EW21" s="167"/>
      <c r="EX21" s="167"/>
      <c r="EY21" s="167"/>
      <c r="EZ21" s="167"/>
      <c r="FA21" s="167"/>
      <c r="FB21" s="167"/>
      <c r="FC21" s="167"/>
      <c r="FD21" s="167"/>
      <c r="FE21" s="167"/>
      <c r="FF21" s="167"/>
      <c r="FG21" s="167"/>
      <c r="FH21" s="167"/>
      <c r="FI21" s="167"/>
      <c r="FJ21" s="167"/>
      <c r="FK21" s="167"/>
      <c r="FL21" s="167"/>
      <c r="FM21" s="167"/>
      <c r="FN21" s="167"/>
      <c r="FO21" s="167"/>
      <c r="FP21" s="167"/>
      <c r="FQ21" s="167"/>
      <c r="FR21" s="167"/>
      <c r="FS21" s="167"/>
      <c r="FT21" s="167"/>
      <c r="FU21" s="167"/>
      <c r="FV21" s="167"/>
      <c r="FW21" s="167"/>
      <c r="FX21" s="167"/>
      <c r="FY21" s="167"/>
      <c r="FZ21" s="167"/>
      <c r="GA21" s="167"/>
      <c r="GB21" s="167"/>
      <c r="GC21" s="167"/>
      <c r="GD21" s="167"/>
      <c r="GE21" s="167"/>
      <c r="GF21" s="167"/>
      <c r="GG21" s="167"/>
      <c r="GH21" s="167"/>
      <c r="GI21" s="167"/>
      <c r="GJ21" s="167"/>
      <c r="GK21" s="167"/>
      <c r="GL21" s="167"/>
      <c r="GM21" s="167"/>
      <c r="GN21" s="167"/>
      <c r="GO21" s="167"/>
      <c r="GP21" s="167"/>
      <c r="GQ21" s="167"/>
      <c r="GR21" s="167"/>
      <c r="GS21" s="167"/>
      <c r="GT21" s="167"/>
      <c r="GU21" s="167"/>
      <c r="GV21" s="167"/>
      <c r="GW21" s="167"/>
      <c r="GX21" s="167"/>
      <c r="GY21" s="167"/>
      <c r="GZ21" s="167"/>
      <c r="HA21" s="167"/>
      <c r="HB21" s="167"/>
      <c r="HC21" s="167"/>
      <c r="HD21" s="167"/>
      <c r="HE21" s="167"/>
      <c r="HF21" s="167"/>
      <c r="HG21" s="167"/>
      <c r="HH21" s="167"/>
      <c r="HI21" s="167"/>
      <c r="HJ21" s="167"/>
      <c r="HK21" s="167"/>
      <c r="HL21" s="167"/>
      <c r="HM21" s="167"/>
      <c r="HN21" s="167"/>
      <c r="HO21" s="167"/>
      <c r="HP21" s="167"/>
      <c r="HQ21" s="167"/>
      <c r="HR21" s="167"/>
      <c r="HS21" s="167"/>
      <c r="HT21" s="167"/>
      <c r="HU21" s="167"/>
      <c r="HV21" s="167"/>
      <c r="HW21" s="167"/>
      <c r="HX21" s="167"/>
      <c r="HY21" s="167"/>
      <c r="HZ21" s="167"/>
      <c r="IA21" s="167"/>
      <c r="IB21" s="167"/>
      <c r="IC21" s="167"/>
      <c r="ID21" s="167"/>
      <c r="IE21" s="167"/>
      <c r="IF21" s="167"/>
      <c r="IG21" s="167"/>
      <c r="IH21" s="167"/>
      <c r="II21" s="167"/>
      <c r="IJ21" s="167"/>
      <c r="IK21" s="167"/>
      <c r="IL21" s="167"/>
      <c r="IM21" s="167"/>
      <c r="IN21" s="167"/>
      <c r="IO21" s="167"/>
      <c r="IP21" s="167"/>
      <c r="IQ21" s="167"/>
      <c r="IR21" s="167"/>
      <c r="IS21" s="167"/>
      <c r="IT21" s="167"/>
      <c r="IU21" s="167"/>
      <c r="IV21" s="167"/>
      <c r="IW21" s="167"/>
      <c r="IX21" s="167"/>
      <c r="IY21" s="167"/>
      <c r="IZ21" s="167"/>
      <c r="JA21" s="167"/>
    </row>
    <row r="22" spans="1:261" ht="19.5">
      <c r="A22" s="477"/>
      <c r="B22" s="477"/>
      <c r="C22" s="477"/>
      <c r="D22" s="477"/>
      <c r="E22" s="477"/>
      <c r="F22" s="477"/>
      <c r="G22" s="478"/>
      <c r="H22" s="478"/>
      <c r="I22" s="477"/>
      <c r="J22" s="477"/>
      <c r="K22" s="477"/>
      <c r="L22" s="478"/>
      <c r="M22" s="478"/>
      <c r="N22" s="312"/>
      <c r="O22" s="295"/>
      <c r="P22" s="295"/>
      <c r="Q22" s="295"/>
      <c r="R22" s="295"/>
      <c r="S22" s="295"/>
      <c r="T22" s="313"/>
      <c r="U22" s="295"/>
      <c r="V22" s="295"/>
      <c r="W22" s="295"/>
      <c r="X22" s="295"/>
      <c r="Y22" s="295"/>
      <c r="Z22" s="295"/>
      <c r="AA22" s="295"/>
      <c r="AB22" s="167"/>
      <c r="AC22" s="167"/>
      <c r="AD22" s="167"/>
      <c r="AE22" s="167"/>
      <c r="AF22" s="167"/>
      <c r="AG22" s="167"/>
      <c r="AH22" s="167"/>
      <c r="AI22" s="167"/>
      <c r="AJ22" s="167"/>
      <c r="AK22" s="167"/>
      <c r="AL22" s="167"/>
      <c r="AM22" s="167"/>
      <c r="AN22" s="167"/>
      <c r="AO22" s="167"/>
      <c r="AP22" s="167"/>
      <c r="AQ22" s="167"/>
      <c r="AR22" s="167"/>
      <c r="AS22" s="167"/>
      <c r="AT22" s="167"/>
      <c r="AU22" s="167"/>
      <c r="AV22" s="167"/>
      <c r="AW22" s="167"/>
      <c r="AX22" s="167"/>
      <c r="AY22" s="167"/>
      <c r="AZ22" s="167"/>
      <c r="BA22" s="167"/>
      <c r="BB22" s="167"/>
      <c r="BC22" s="167"/>
      <c r="BD22" s="167"/>
      <c r="BE22" s="167"/>
      <c r="BF22" s="167"/>
      <c r="BG22" s="167"/>
      <c r="BH22" s="167"/>
      <c r="BI22" s="167"/>
      <c r="BJ22" s="167"/>
      <c r="BK22" s="167"/>
      <c r="BL22" s="167"/>
      <c r="BM22" s="167"/>
      <c r="BN22" s="167"/>
      <c r="BO22" s="167"/>
      <c r="BP22" s="167"/>
      <c r="BQ22" s="167"/>
      <c r="BR22" s="167"/>
      <c r="BS22" s="167"/>
      <c r="BT22" s="167"/>
      <c r="BU22" s="167"/>
      <c r="BV22" s="167"/>
      <c r="BW22" s="167"/>
      <c r="BX22" s="167"/>
      <c r="BY22" s="167"/>
      <c r="BZ22" s="167"/>
      <c r="CA22" s="167"/>
      <c r="CB22" s="167"/>
      <c r="CC22" s="167"/>
      <c r="CD22" s="167"/>
      <c r="CE22" s="167"/>
      <c r="CF22" s="167"/>
      <c r="CG22" s="167"/>
      <c r="CH22" s="167"/>
      <c r="CI22" s="167"/>
      <c r="CJ22" s="167"/>
      <c r="CK22" s="167"/>
      <c r="CL22" s="167"/>
      <c r="CM22" s="167"/>
      <c r="CN22" s="167"/>
      <c r="CO22" s="167"/>
      <c r="CP22" s="167"/>
      <c r="CQ22" s="167"/>
      <c r="CR22" s="167"/>
      <c r="CS22" s="167"/>
      <c r="CT22" s="167"/>
      <c r="CU22" s="167"/>
      <c r="CV22" s="167"/>
      <c r="CW22" s="167"/>
      <c r="CX22" s="167"/>
      <c r="CY22" s="167"/>
      <c r="CZ22" s="167"/>
      <c r="DA22" s="167"/>
      <c r="DB22" s="167"/>
      <c r="DC22" s="167"/>
      <c r="DD22" s="167"/>
      <c r="DE22" s="167"/>
      <c r="DF22" s="167"/>
      <c r="DG22" s="167"/>
      <c r="DH22" s="167"/>
      <c r="DI22" s="167"/>
      <c r="DJ22" s="167"/>
      <c r="DK22" s="167"/>
      <c r="DL22" s="167"/>
      <c r="DM22" s="167"/>
      <c r="DN22" s="167"/>
      <c r="DO22" s="167"/>
      <c r="DP22" s="167"/>
      <c r="DQ22" s="167"/>
      <c r="DR22" s="167"/>
      <c r="DS22" s="167"/>
      <c r="DT22" s="167"/>
      <c r="DU22" s="167"/>
      <c r="DV22" s="167"/>
      <c r="DW22" s="167"/>
      <c r="DX22" s="167"/>
      <c r="DY22" s="167"/>
      <c r="DZ22" s="167"/>
      <c r="EA22" s="167"/>
      <c r="EB22" s="167"/>
      <c r="EC22" s="167"/>
      <c r="ED22" s="167"/>
      <c r="EE22" s="167"/>
      <c r="EF22" s="167"/>
      <c r="EG22" s="167"/>
      <c r="EH22" s="167"/>
      <c r="EI22" s="167"/>
      <c r="EJ22" s="167"/>
      <c r="EK22" s="167"/>
      <c r="EL22" s="167"/>
      <c r="EM22" s="167"/>
      <c r="EN22" s="167"/>
      <c r="EO22" s="167"/>
      <c r="EP22" s="167"/>
      <c r="EQ22" s="167"/>
      <c r="ER22" s="167"/>
      <c r="ES22" s="167"/>
      <c r="ET22" s="167"/>
      <c r="EU22" s="167"/>
      <c r="EV22" s="167"/>
      <c r="EW22" s="167"/>
      <c r="EX22" s="167"/>
      <c r="EY22" s="167"/>
      <c r="EZ22" s="167"/>
      <c r="FA22" s="167"/>
      <c r="FB22" s="167"/>
      <c r="FC22" s="167"/>
      <c r="FD22" s="167"/>
      <c r="FE22" s="167"/>
      <c r="FF22" s="167"/>
      <c r="FG22" s="167"/>
      <c r="FH22" s="167"/>
      <c r="FI22" s="167"/>
      <c r="FJ22" s="167"/>
      <c r="FK22" s="167"/>
      <c r="FL22" s="167"/>
      <c r="FM22" s="167"/>
      <c r="FN22" s="167"/>
      <c r="FO22" s="167"/>
      <c r="FP22" s="167"/>
      <c r="FQ22" s="167"/>
      <c r="FR22" s="167"/>
      <c r="FS22" s="167"/>
      <c r="FT22" s="167"/>
      <c r="FU22" s="167"/>
      <c r="FV22" s="167"/>
      <c r="FW22" s="167"/>
      <c r="FX22" s="167"/>
      <c r="FY22" s="167"/>
      <c r="FZ22" s="167"/>
      <c r="GA22" s="167"/>
      <c r="GB22" s="167"/>
      <c r="GC22" s="167"/>
      <c r="GD22" s="167"/>
      <c r="GE22" s="167"/>
      <c r="GF22" s="167"/>
      <c r="GG22" s="167"/>
      <c r="GH22" s="167"/>
      <c r="GI22" s="167"/>
      <c r="GJ22" s="167"/>
      <c r="GK22" s="167"/>
      <c r="GL22" s="167"/>
      <c r="GM22" s="167"/>
      <c r="GN22" s="167"/>
      <c r="GO22" s="167"/>
      <c r="GP22" s="167"/>
      <c r="GQ22" s="167"/>
      <c r="GR22" s="167"/>
      <c r="GS22" s="167"/>
      <c r="GT22" s="167"/>
      <c r="GU22" s="167"/>
      <c r="GV22" s="167"/>
      <c r="GW22" s="167"/>
      <c r="GX22" s="167"/>
      <c r="GY22" s="167"/>
      <c r="GZ22" s="167"/>
      <c r="HA22" s="167"/>
      <c r="HB22" s="167"/>
      <c r="HC22" s="167"/>
      <c r="HD22" s="167"/>
      <c r="HE22" s="167"/>
      <c r="HF22" s="167"/>
      <c r="HG22" s="167"/>
      <c r="HH22" s="167"/>
      <c r="HI22" s="167"/>
      <c r="HJ22" s="167"/>
      <c r="HK22" s="167"/>
      <c r="HL22" s="167"/>
      <c r="HM22" s="167"/>
      <c r="HN22" s="167"/>
      <c r="HO22" s="167"/>
      <c r="HP22" s="167"/>
      <c r="HQ22" s="167"/>
      <c r="HR22" s="167"/>
      <c r="HS22" s="167"/>
      <c r="HT22" s="167"/>
      <c r="HU22" s="167"/>
      <c r="HV22" s="167"/>
      <c r="HW22" s="167"/>
      <c r="HX22" s="167"/>
      <c r="HY22" s="167"/>
      <c r="HZ22" s="167"/>
      <c r="IA22" s="167"/>
      <c r="IB22" s="167"/>
      <c r="IC22" s="167"/>
      <c r="ID22" s="167"/>
      <c r="IE22" s="167"/>
      <c r="IF22" s="167"/>
      <c r="IG22" s="167"/>
      <c r="IH22" s="167"/>
      <c r="II22" s="167"/>
      <c r="IJ22" s="167"/>
      <c r="IK22" s="167"/>
      <c r="IL22" s="167"/>
      <c r="IM22" s="167"/>
      <c r="IN22" s="167"/>
      <c r="IO22" s="167"/>
      <c r="IP22" s="167"/>
      <c r="IQ22" s="167"/>
      <c r="IR22" s="167"/>
      <c r="IS22" s="167"/>
      <c r="IT22" s="167"/>
      <c r="IU22" s="167"/>
      <c r="IV22" s="167"/>
      <c r="IW22" s="167"/>
      <c r="IX22" s="167"/>
      <c r="IY22" s="167"/>
      <c r="IZ22" s="167"/>
      <c r="JA22" s="167"/>
    </row>
    <row r="23" spans="1:261" ht="19.5">
      <c r="A23" s="477"/>
      <c r="B23" s="477"/>
      <c r="C23" s="477"/>
      <c r="D23" s="477"/>
      <c r="E23" s="477"/>
      <c r="F23" s="477"/>
      <c r="G23" s="478"/>
      <c r="H23" s="478"/>
      <c r="I23" s="477"/>
      <c r="J23" s="477"/>
      <c r="K23" s="477"/>
      <c r="L23" s="478"/>
      <c r="M23" s="478"/>
      <c r="N23" s="312"/>
      <c r="O23" s="295"/>
      <c r="P23" s="295"/>
      <c r="Q23" s="295"/>
      <c r="R23" s="295"/>
      <c r="S23" s="295"/>
      <c r="T23" s="313"/>
      <c r="U23" s="295"/>
      <c r="V23" s="295"/>
      <c r="W23" s="295"/>
      <c r="X23" s="295"/>
      <c r="Y23" s="295"/>
      <c r="Z23" s="295"/>
      <c r="AA23" s="295"/>
      <c r="AB23" s="167"/>
      <c r="AC23" s="167"/>
      <c r="AD23" s="167"/>
      <c r="AE23" s="167"/>
      <c r="AF23" s="167"/>
      <c r="AG23" s="167"/>
      <c r="AH23" s="167"/>
      <c r="AI23" s="167"/>
      <c r="AJ23" s="167"/>
      <c r="AK23" s="167"/>
      <c r="AL23" s="167"/>
      <c r="AM23" s="167"/>
      <c r="AN23" s="167"/>
      <c r="AO23" s="167"/>
      <c r="AP23" s="167"/>
      <c r="AQ23" s="167"/>
      <c r="AR23" s="167"/>
      <c r="AS23" s="167"/>
      <c r="AT23" s="167"/>
      <c r="AU23" s="167"/>
      <c r="AV23" s="167"/>
      <c r="AW23" s="167"/>
      <c r="AX23" s="167"/>
      <c r="AY23" s="167"/>
      <c r="AZ23" s="167"/>
      <c r="BA23" s="167"/>
      <c r="BB23" s="167"/>
      <c r="BC23" s="167"/>
      <c r="BD23" s="167"/>
      <c r="BE23" s="167"/>
      <c r="BF23" s="167"/>
      <c r="BG23" s="167"/>
      <c r="BH23" s="167"/>
      <c r="BI23" s="167"/>
      <c r="BJ23" s="167"/>
      <c r="BK23" s="167"/>
      <c r="BL23" s="167"/>
      <c r="BM23" s="167"/>
      <c r="BN23" s="167"/>
      <c r="BO23" s="167"/>
      <c r="BP23" s="167"/>
      <c r="BQ23" s="167"/>
      <c r="BR23" s="167"/>
      <c r="BS23" s="167"/>
      <c r="BT23" s="167"/>
      <c r="BU23" s="167"/>
      <c r="BV23" s="167"/>
      <c r="BW23" s="167"/>
      <c r="BX23" s="167"/>
      <c r="BY23" s="167"/>
      <c r="BZ23" s="167"/>
      <c r="CA23" s="167"/>
      <c r="CB23" s="167"/>
      <c r="CC23" s="167"/>
      <c r="CD23" s="167"/>
      <c r="CE23" s="167"/>
      <c r="CF23" s="167"/>
      <c r="CG23" s="167"/>
      <c r="CH23" s="167"/>
      <c r="CI23" s="167"/>
      <c r="CJ23" s="167"/>
      <c r="CK23" s="167"/>
      <c r="CL23" s="167"/>
      <c r="CM23" s="167"/>
      <c r="CN23" s="167"/>
      <c r="CO23" s="167"/>
      <c r="CP23" s="167"/>
      <c r="CQ23" s="167"/>
      <c r="CR23" s="167"/>
      <c r="CS23" s="167"/>
      <c r="CT23" s="167"/>
      <c r="CU23" s="167"/>
      <c r="CV23" s="167"/>
      <c r="CW23" s="167"/>
      <c r="CX23" s="167"/>
      <c r="CY23" s="167"/>
      <c r="CZ23" s="167"/>
      <c r="DA23" s="167"/>
      <c r="DB23" s="167"/>
      <c r="DC23" s="167"/>
      <c r="DD23" s="167"/>
      <c r="DE23" s="167"/>
      <c r="DF23" s="167"/>
      <c r="DG23" s="167"/>
      <c r="DH23" s="167"/>
      <c r="DI23" s="167"/>
      <c r="DJ23" s="167"/>
      <c r="DK23" s="167"/>
      <c r="DL23" s="167"/>
      <c r="DM23" s="167"/>
      <c r="DN23" s="167"/>
      <c r="DO23" s="167"/>
      <c r="DP23" s="167"/>
      <c r="DQ23" s="167"/>
      <c r="DR23" s="167"/>
      <c r="DS23" s="167"/>
      <c r="DT23" s="167"/>
      <c r="DU23" s="167"/>
      <c r="DV23" s="167"/>
      <c r="DW23" s="167"/>
      <c r="DX23" s="167"/>
      <c r="DY23" s="167"/>
      <c r="DZ23" s="167"/>
      <c r="EA23" s="167"/>
      <c r="EB23" s="167"/>
      <c r="EC23" s="167"/>
      <c r="ED23" s="167"/>
      <c r="EE23" s="167"/>
      <c r="EF23" s="167"/>
      <c r="EG23" s="167"/>
      <c r="EH23" s="167"/>
      <c r="EI23" s="167"/>
      <c r="EJ23" s="167"/>
      <c r="EK23" s="167"/>
      <c r="EL23" s="167"/>
      <c r="EM23" s="167"/>
      <c r="EN23" s="167"/>
      <c r="EO23" s="167"/>
      <c r="EP23" s="167"/>
      <c r="EQ23" s="167"/>
      <c r="ER23" s="167"/>
      <c r="ES23" s="167"/>
      <c r="ET23" s="167"/>
      <c r="EU23" s="167"/>
      <c r="EV23" s="167"/>
      <c r="EW23" s="167"/>
      <c r="EX23" s="167"/>
      <c r="EY23" s="167"/>
      <c r="EZ23" s="167"/>
      <c r="FA23" s="167"/>
      <c r="FB23" s="167"/>
      <c r="FC23" s="167"/>
      <c r="FD23" s="167"/>
      <c r="FE23" s="167"/>
      <c r="FF23" s="167"/>
      <c r="FG23" s="167"/>
      <c r="FH23" s="167"/>
      <c r="FI23" s="167"/>
      <c r="FJ23" s="167"/>
      <c r="FK23" s="167"/>
      <c r="FL23" s="167"/>
      <c r="FM23" s="167"/>
      <c r="FN23" s="167"/>
      <c r="FO23" s="167"/>
      <c r="FP23" s="167"/>
      <c r="FQ23" s="167"/>
      <c r="FR23" s="167"/>
      <c r="FS23" s="167"/>
      <c r="FT23" s="167"/>
      <c r="FU23" s="167"/>
      <c r="FV23" s="167"/>
      <c r="FW23" s="167"/>
      <c r="FX23" s="167"/>
      <c r="FY23" s="167"/>
      <c r="FZ23" s="167"/>
      <c r="GA23" s="167"/>
      <c r="GB23" s="167"/>
      <c r="GC23" s="167"/>
      <c r="GD23" s="167"/>
      <c r="GE23" s="167"/>
      <c r="GF23" s="167"/>
      <c r="GG23" s="167"/>
      <c r="GH23" s="167"/>
      <c r="GI23" s="167"/>
      <c r="GJ23" s="167"/>
      <c r="GK23" s="167"/>
      <c r="GL23" s="167"/>
      <c r="GM23" s="167"/>
      <c r="GN23" s="167"/>
      <c r="GO23" s="167"/>
      <c r="GP23" s="167"/>
      <c r="GQ23" s="167"/>
      <c r="GR23" s="167"/>
      <c r="GS23" s="167"/>
      <c r="GT23" s="167"/>
      <c r="GU23" s="167"/>
      <c r="GV23" s="167"/>
      <c r="GW23" s="167"/>
      <c r="GX23" s="167"/>
      <c r="GY23" s="167"/>
      <c r="GZ23" s="167"/>
      <c r="HA23" s="167"/>
      <c r="HB23" s="167"/>
      <c r="HC23" s="167"/>
      <c r="HD23" s="167"/>
      <c r="HE23" s="167"/>
      <c r="HF23" s="167"/>
      <c r="HG23" s="167"/>
      <c r="HH23" s="167"/>
      <c r="HI23" s="167"/>
      <c r="HJ23" s="167"/>
      <c r="HK23" s="167"/>
      <c r="HL23" s="167"/>
      <c r="HM23" s="167"/>
      <c r="HN23" s="167"/>
      <c r="HO23" s="167"/>
      <c r="HP23" s="167"/>
      <c r="HQ23" s="167"/>
      <c r="HR23" s="167"/>
      <c r="HS23" s="167"/>
      <c r="HT23" s="167"/>
      <c r="HU23" s="167"/>
      <c r="HV23" s="167"/>
      <c r="HW23" s="167"/>
      <c r="HX23" s="167"/>
      <c r="HY23" s="167"/>
      <c r="HZ23" s="167"/>
      <c r="IA23" s="167"/>
      <c r="IB23" s="167"/>
      <c r="IC23" s="167"/>
      <c r="ID23" s="167"/>
      <c r="IE23" s="167"/>
      <c r="IF23" s="167"/>
      <c r="IG23" s="167"/>
      <c r="IH23" s="167"/>
      <c r="II23" s="167"/>
      <c r="IJ23" s="167"/>
      <c r="IK23" s="167"/>
      <c r="IL23" s="167"/>
      <c r="IM23" s="167"/>
      <c r="IN23" s="167"/>
      <c r="IO23" s="167"/>
      <c r="IP23" s="167"/>
      <c r="IQ23" s="167"/>
      <c r="IR23" s="167"/>
      <c r="IS23" s="167"/>
      <c r="IT23" s="167"/>
      <c r="IU23" s="167"/>
      <c r="IV23" s="167"/>
      <c r="IW23" s="167"/>
      <c r="IX23" s="167"/>
      <c r="IY23" s="167"/>
      <c r="IZ23" s="167"/>
      <c r="JA23" s="167"/>
    </row>
    <row r="24" spans="1:261" ht="19.5">
      <c r="A24" s="477"/>
      <c r="B24" s="477"/>
      <c r="C24" s="477"/>
      <c r="D24" s="477"/>
      <c r="E24" s="477"/>
      <c r="F24" s="477"/>
      <c r="G24" s="478"/>
      <c r="H24" s="478"/>
      <c r="I24" s="477"/>
      <c r="J24" s="477"/>
      <c r="K24" s="477"/>
      <c r="L24" s="478"/>
      <c r="M24" s="478"/>
      <c r="N24" s="312"/>
      <c r="O24" s="295"/>
      <c r="P24" s="295"/>
      <c r="Q24" s="295"/>
      <c r="R24" s="295"/>
      <c r="S24" s="295"/>
      <c r="T24" s="313"/>
      <c r="U24" s="314"/>
      <c r="V24" s="295"/>
      <c r="W24" s="295"/>
      <c r="X24" s="295"/>
      <c r="Y24" s="295"/>
      <c r="Z24" s="295"/>
      <c r="AA24" s="295"/>
      <c r="AB24" s="167"/>
      <c r="AC24" s="167"/>
      <c r="AD24" s="167"/>
      <c r="AE24" s="167"/>
      <c r="AF24" s="167"/>
      <c r="AG24" s="167"/>
      <c r="AH24" s="167"/>
      <c r="AI24" s="167"/>
      <c r="AJ24" s="167"/>
      <c r="AK24" s="167"/>
      <c r="AL24" s="167"/>
      <c r="AM24" s="167"/>
      <c r="AN24" s="167"/>
      <c r="AO24" s="167"/>
      <c r="AP24" s="167"/>
      <c r="AQ24" s="167"/>
      <c r="AR24" s="167"/>
      <c r="AS24" s="167"/>
      <c r="AT24" s="167"/>
      <c r="AU24" s="167"/>
      <c r="AV24" s="167"/>
      <c r="AW24" s="167"/>
      <c r="AX24" s="167"/>
      <c r="AY24" s="167"/>
      <c r="AZ24" s="167"/>
      <c r="BA24" s="167"/>
      <c r="BB24" s="167"/>
      <c r="BC24" s="167"/>
      <c r="BD24" s="167"/>
      <c r="BE24" s="167"/>
      <c r="BF24" s="167"/>
      <c r="BG24" s="167"/>
      <c r="BH24" s="167"/>
      <c r="BI24" s="167"/>
      <c r="BJ24" s="167"/>
      <c r="BK24" s="167"/>
      <c r="BL24" s="167"/>
      <c r="BM24" s="167"/>
      <c r="BN24" s="167"/>
      <c r="BO24" s="167"/>
      <c r="BP24" s="167"/>
      <c r="BQ24" s="167"/>
      <c r="BR24" s="167"/>
      <c r="BS24" s="167"/>
      <c r="BT24" s="167"/>
      <c r="BU24" s="167"/>
      <c r="BV24" s="167"/>
      <c r="BW24" s="167"/>
      <c r="BX24" s="167"/>
      <c r="BY24" s="167"/>
      <c r="BZ24" s="167"/>
      <c r="CA24" s="167"/>
      <c r="CB24" s="167"/>
      <c r="CC24" s="167"/>
      <c r="CD24" s="167"/>
      <c r="CE24" s="167"/>
      <c r="CF24" s="167"/>
      <c r="CG24" s="167"/>
      <c r="CH24" s="167"/>
      <c r="CI24" s="167"/>
      <c r="CJ24" s="167"/>
      <c r="CK24" s="167"/>
      <c r="CL24" s="167"/>
      <c r="CM24" s="167"/>
      <c r="CN24" s="167"/>
      <c r="CO24" s="167"/>
      <c r="CP24" s="167"/>
      <c r="CQ24" s="167"/>
      <c r="CR24" s="167"/>
      <c r="CS24" s="167"/>
      <c r="CT24" s="167"/>
      <c r="CU24" s="167"/>
      <c r="CV24" s="167"/>
      <c r="CW24" s="167"/>
      <c r="CX24" s="167"/>
      <c r="CY24" s="167"/>
      <c r="CZ24" s="167"/>
      <c r="DA24" s="167"/>
      <c r="DB24" s="167"/>
      <c r="DC24" s="167"/>
      <c r="DD24" s="167"/>
      <c r="DE24" s="167"/>
      <c r="DF24" s="167"/>
      <c r="DG24" s="167"/>
      <c r="DH24" s="167"/>
      <c r="DI24" s="167"/>
      <c r="DJ24" s="167"/>
      <c r="DK24" s="167"/>
      <c r="DL24" s="167"/>
      <c r="DM24" s="167"/>
      <c r="DN24" s="167"/>
      <c r="DO24" s="167"/>
      <c r="DP24" s="167"/>
      <c r="DQ24" s="167"/>
      <c r="DR24" s="167"/>
      <c r="DS24" s="167"/>
      <c r="DT24" s="167"/>
      <c r="DU24" s="167"/>
      <c r="DV24" s="167"/>
      <c r="DW24" s="167"/>
      <c r="DX24" s="167"/>
      <c r="DY24" s="167"/>
      <c r="DZ24" s="167"/>
      <c r="EA24" s="167"/>
      <c r="EB24" s="167"/>
      <c r="EC24" s="167"/>
      <c r="ED24" s="167"/>
      <c r="EE24" s="167"/>
      <c r="EF24" s="167"/>
      <c r="EG24" s="167"/>
      <c r="EH24" s="167"/>
      <c r="EI24" s="167"/>
      <c r="EJ24" s="167"/>
      <c r="EK24" s="167"/>
      <c r="EL24" s="167"/>
      <c r="EM24" s="167"/>
      <c r="EN24" s="167"/>
      <c r="EO24" s="167"/>
      <c r="EP24" s="167"/>
      <c r="EQ24" s="167"/>
      <c r="ER24" s="167"/>
      <c r="ES24" s="167"/>
      <c r="ET24" s="167"/>
      <c r="EU24" s="167"/>
      <c r="EV24" s="167"/>
      <c r="EW24" s="167"/>
      <c r="EX24" s="167"/>
      <c r="EY24" s="167"/>
      <c r="EZ24" s="167"/>
      <c r="FA24" s="167"/>
      <c r="FB24" s="167"/>
      <c r="FC24" s="167"/>
      <c r="FD24" s="167"/>
      <c r="FE24" s="167"/>
      <c r="FF24" s="167"/>
      <c r="FG24" s="167"/>
      <c r="FH24" s="167"/>
      <c r="FI24" s="167"/>
      <c r="FJ24" s="167"/>
      <c r="FK24" s="167"/>
      <c r="FL24" s="167"/>
      <c r="FM24" s="167"/>
      <c r="FN24" s="167"/>
      <c r="FO24" s="167"/>
      <c r="FP24" s="167"/>
      <c r="FQ24" s="167"/>
      <c r="FR24" s="167"/>
      <c r="FS24" s="167"/>
      <c r="FT24" s="167"/>
      <c r="FU24" s="167"/>
      <c r="FV24" s="167"/>
      <c r="FW24" s="167"/>
      <c r="FX24" s="167"/>
      <c r="FY24" s="167"/>
      <c r="FZ24" s="167"/>
      <c r="GA24" s="167"/>
      <c r="GB24" s="167"/>
      <c r="GC24" s="167"/>
      <c r="GD24" s="167"/>
      <c r="GE24" s="167"/>
      <c r="GF24" s="167"/>
      <c r="GG24" s="167"/>
      <c r="GH24" s="167"/>
      <c r="GI24" s="167"/>
      <c r="GJ24" s="167"/>
      <c r="GK24" s="167"/>
      <c r="GL24" s="167"/>
      <c r="GM24" s="167"/>
      <c r="GN24" s="167"/>
      <c r="GO24" s="167"/>
      <c r="GP24" s="167"/>
      <c r="GQ24" s="167"/>
      <c r="GR24" s="167"/>
      <c r="GS24" s="167"/>
      <c r="GT24" s="167"/>
      <c r="GU24" s="167"/>
      <c r="GV24" s="167"/>
      <c r="GW24" s="167"/>
      <c r="GX24" s="167"/>
      <c r="GY24" s="167"/>
      <c r="GZ24" s="167"/>
      <c r="HA24" s="167"/>
      <c r="HB24" s="167"/>
      <c r="HC24" s="167"/>
      <c r="HD24" s="167"/>
      <c r="HE24" s="167"/>
      <c r="HF24" s="167"/>
      <c r="HG24" s="167"/>
      <c r="HH24" s="167"/>
      <c r="HI24" s="167"/>
      <c r="HJ24" s="167"/>
      <c r="HK24" s="167"/>
      <c r="HL24" s="167"/>
      <c r="HM24" s="167"/>
      <c r="HN24" s="167"/>
      <c r="HO24" s="167"/>
      <c r="HP24" s="167"/>
      <c r="HQ24" s="167"/>
      <c r="HR24" s="167"/>
      <c r="HS24" s="167"/>
      <c r="HT24" s="167"/>
      <c r="HU24" s="167"/>
      <c r="HV24" s="167"/>
      <c r="HW24" s="167"/>
      <c r="HX24" s="167"/>
      <c r="HY24" s="167"/>
      <c r="HZ24" s="167"/>
      <c r="IA24" s="167"/>
      <c r="IB24" s="167"/>
      <c r="IC24" s="167"/>
      <c r="ID24" s="167"/>
      <c r="IE24" s="167"/>
      <c r="IF24" s="167"/>
      <c r="IG24" s="167"/>
      <c r="IH24" s="167"/>
      <c r="II24" s="167"/>
      <c r="IJ24" s="167"/>
      <c r="IK24" s="167"/>
      <c r="IL24" s="167"/>
      <c r="IM24" s="167"/>
      <c r="IN24" s="167"/>
      <c r="IO24" s="167"/>
      <c r="IP24" s="167"/>
      <c r="IQ24" s="167"/>
      <c r="IR24" s="167"/>
      <c r="IS24" s="167"/>
      <c r="IT24" s="167"/>
      <c r="IU24" s="167"/>
      <c r="IV24" s="167"/>
      <c r="IW24" s="167"/>
      <c r="IX24" s="167"/>
      <c r="IY24" s="167"/>
      <c r="IZ24" s="167"/>
      <c r="JA24" s="167"/>
    </row>
    <row r="25" spans="1:261" ht="19.5">
      <c r="A25" s="477"/>
      <c r="B25" s="477"/>
      <c r="C25" s="477"/>
      <c r="D25" s="477"/>
      <c r="E25" s="477"/>
      <c r="F25" s="477"/>
      <c r="G25" s="478"/>
      <c r="H25" s="478"/>
      <c r="I25" s="477"/>
      <c r="J25" s="477"/>
      <c r="K25" s="477"/>
      <c r="L25" s="478"/>
      <c r="M25" s="478"/>
      <c r="N25" s="312"/>
      <c r="O25" s="321"/>
      <c r="P25" s="321"/>
      <c r="Q25" s="321"/>
      <c r="R25" s="321"/>
      <c r="S25" s="295"/>
      <c r="T25" s="313"/>
      <c r="U25" s="295"/>
      <c r="V25" s="295"/>
      <c r="W25" s="295"/>
      <c r="X25" s="295"/>
      <c r="Y25" s="295"/>
      <c r="Z25" s="295"/>
      <c r="AA25" s="295"/>
      <c r="AB25" s="167"/>
      <c r="AC25" s="167"/>
      <c r="AD25" s="167"/>
      <c r="AE25" s="167"/>
      <c r="AF25" s="167"/>
      <c r="AG25" s="167"/>
      <c r="AH25" s="167"/>
      <c r="AI25" s="167"/>
      <c r="AJ25" s="167"/>
      <c r="AK25" s="167"/>
      <c r="AL25" s="167"/>
      <c r="AM25" s="167"/>
      <c r="AN25" s="167"/>
      <c r="AO25" s="167"/>
      <c r="AP25" s="167"/>
      <c r="AQ25" s="167"/>
      <c r="AR25" s="167"/>
      <c r="AS25" s="167"/>
      <c r="AT25" s="167"/>
      <c r="AU25" s="167"/>
      <c r="AV25" s="167"/>
      <c r="AW25" s="167"/>
      <c r="AX25" s="167"/>
      <c r="AY25" s="167"/>
      <c r="AZ25" s="167"/>
      <c r="BA25" s="167"/>
      <c r="BB25" s="167"/>
      <c r="BC25" s="167"/>
      <c r="BD25" s="167"/>
      <c r="BE25" s="167"/>
      <c r="BF25" s="167"/>
      <c r="BG25" s="167"/>
      <c r="BH25" s="167"/>
      <c r="BI25" s="167"/>
      <c r="BJ25" s="167"/>
      <c r="BK25" s="167"/>
      <c r="BL25" s="167"/>
      <c r="BM25" s="167"/>
      <c r="BN25" s="167"/>
      <c r="BO25" s="167"/>
      <c r="BP25" s="167"/>
      <c r="BQ25" s="167"/>
      <c r="BR25" s="167"/>
      <c r="BS25" s="167"/>
      <c r="BT25" s="167"/>
      <c r="BU25" s="167"/>
      <c r="BV25" s="167"/>
      <c r="BW25" s="167"/>
      <c r="BX25" s="167"/>
      <c r="BY25" s="167"/>
      <c r="BZ25" s="167"/>
      <c r="CA25" s="167"/>
      <c r="CB25" s="167"/>
      <c r="CC25" s="167"/>
      <c r="CD25" s="167"/>
      <c r="CE25" s="167"/>
      <c r="CF25" s="167"/>
      <c r="CG25" s="167"/>
      <c r="CH25" s="167"/>
      <c r="CI25" s="167"/>
      <c r="CJ25" s="167"/>
      <c r="CK25" s="167"/>
      <c r="CL25" s="167"/>
      <c r="CM25" s="167"/>
      <c r="CN25" s="167"/>
      <c r="CO25" s="167"/>
      <c r="CP25" s="167"/>
      <c r="CQ25" s="167"/>
      <c r="CR25" s="167"/>
      <c r="CS25" s="167"/>
      <c r="CT25" s="167"/>
      <c r="CU25" s="167"/>
      <c r="CV25" s="167"/>
      <c r="CW25" s="167"/>
      <c r="CX25" s="167"/>
      <c r="CY25" s="167"/>
      <c r="CZ25" s="167"/>
      <c r="DA25" s="167"/>
      <c r="DB25" s="167"/>
      <c r="DC25" s="167"/>
      <c r="DD25" s="167"/>
      <c r="DE25" s="167"/>
      <c r="DF25" s="167"/>
      <c r="DG25" s="167"/>
      <c r="DH25" s="167"/>
      <c r="DI25" s="167"/>
      <c r="DJ25" s="167"/>
      <c r="DK25" s="167"/>
      <c r="DL25" s="167"/>
      <c r="DM25" s="167"/>
      <c r="DN25" s="167"/>
      <c r="DO25" s="167"/>
      <c r="DP25" s="167"/>
      <c r="DQ25" s="167"/>
      <c r="DR25" s="167"/>
      <c r="DS25" s="167"/>
      <c r="DT25" s="167"/>
      <c r="DU25" s="167"/>
      <c r="DV25" s="167"/>
      <c r="DW25" s="167"/>
      <c r="DX25" s="167"/>
      <c r="DY25" s="167"/>
      <c r="DZ25" s="167"/>
      <c r="EA25" s="167"/>
      <c r="EB25" s="167"/>
      <c r="EC25" s="167"/>
      <c r="ED25" s="167"/>
      <c r="EE25" s="167"/>
      <c r="EF25" s="167"/>
      <c r="EG25" s="167"/>
      <c r="EH25" s="167"/>
      <c r="EI25" s="167"/>
      <c r="EJ25" s="167"/>
      <c r="EK25" s="167"/>
      <c r="EL25" s="167"/>
      <c r="EM25" s="167"/>
      <c r="EN25" s="167"/>
      <c r="EO25" s="167"/>
      <c r="EP25" s="167"/>
      <c r="EQ25" s="167"/>
      <c r="ER25" s="167"/>
      <c r="ES25" s="167"/>
      <c r="ET25" s="167"/>
      <c r="EU25" s="167"/>
      <c r="EV25" s="167"/>
      <c r="EW25" s="167"/>
      <c r="EX25" s="167"/>
      <c r="EY25" s="167"/>
      <c r="EZ25" s="167"/>
      <c r="FA25" s="167"/>
      <c r="FB25" s="167"/>
      <c r="FC25" s="167"/>
      <c r="FD25" s="167"/>
      <c r="FE25" s="167"/>
      <c r="FF25" s="167"/>
      <c r="FG25" s="167"/>
      <c r="FH25" s="167"/>
      <c r="FI25" s="167"/>
      <c r="FJ25" s="167"/>
      <c r="FK25" s="167"/>
      <c r="FL25" s="167"/>
      <c r="FM25" s="167"/>
      <c r="FN25" s="167"/>
      <c r="FO25" s="167"/>
      <c r="FP25" s="167"/>
      <c r="FQ25" s="167"/>
      <c r="FR25" s="167"/>
      <c r="FS25" s="167"/>
      <c r="FT25" s="167"/>
      <c r="FU25" s="167"/>
      <c r="FV25" s="167"/>
      <c r="FW25" s="167"/>
      <c r="FX25" s="167"/>
      <c r="FY25" s="167"/>
      <c r="FZ25" s="167"/>
      <c r="GA25" s="167"/>
      <c r="GB25" s="167"/>
      <c r="GC25" s="167"/>
      <c r="GD25" s="167"/>
      <c r="GE25" s="167"/>
      <c r="GF25" s="167"/>
      <c r="GG25" s="167"/>
      <c r="GH25" s="167"/>
      <c r="GI25" s="167"/>
      <c r="GJ25" s="167"/>
      <c r="GK25" s="167"/>
      <c r="GL25" s="167"/>
      <c r="GM25" s="167"/>
      <c r="GN25" s="167"/>
      <c r="GO25" s="167"/>
      <c r="GP25" s="167"/>
      <c r="GQ25" s="167"/>
      <c r="GR25" s="167"/>
      <c r="GS25" s="167"/>
      <c r="GT25" s="167"/>
      <c r="GU25" s="167"/>
      <c r="GV25" s="167"/>
      <c r="GW25" s="167"/>
      <c r="GX25" s="167"/>
      <c r="GY25" s="167"/>
      <c r="GZ25" s="167"/>
      <c r="HA25" s="167"/>
      <c r="HB25" s="167"/>
      <c r="HC25" s="167"/>
      <c r="HD25" s="167"/>
      <c r="HE25" s="167"/>
      <c r="HF25" s="167"/>
      <c r="HG25" s="167"/>
      <c r="HH25" s="167"/>
      <c r="HI25" s="167"/>
      <c r="HJ25" s="167"/>
      <c r="HK25" s="167"/>
      <c r="HL25" s="167"/>
      <c r="HM25" s="167"/>
      <c r="HN25" s="167"/>
      <c r="HO25" s="167"/>
      <c r="HP25" s="167"/>
      <c r="HQ25" s="167"/>
      <c r="HR25" s="167"/>
      <c r="HS25" s="167"/>
      <c r="HT25" s="167"/>
      <c r="HU25" s="167"/>
      <c r="HV25" s="167"/>
      <c r="HW25" s="167"/>
      <c r="HX25" s="167"/>
      <c r="HY25" s="167"/>
      <c r="HZ25" s="167"/>
      <c r="IA25" s="167"/>
      <c r="IB25" s="167"/>
      <c r="IC25" s="167"/>
      <c r="ID25" s="167"/>
      <c r="IE25" s="167"/>
      <c r="IF25" s="167"/>
      <c r="IG25" s="167"/>
      <c r="IH25" s="167"/>
      <c r="II25" s="167"/>
      <c r="IJ25" s="167"/>
      <c r="IK25" s="167"/>
      <c r="IL25" s="167"/>
      <c r="IM25" s="167"/>
      <c r="IN25" s="167"/>
      <c r="IO25" s="167"/>
      <c r="IP25" s="167"/>
      <c r="IQ25" s="167"/>
      <c r="IR25" s="167"/>
      <c r="IS25" s="167"/>
      <c r="IT25" s="167"/>
      <c r="IU25" s="167"/>
      <c r="IV25" s="167"/>
      <c r="IW25" s="167"/>
      <c r="IX25" s="167"/>
      <c r="IY25" s="167"/>
      <c r="IZ25" s="167"/>
      <c r="JA25" s="167"/>
    </row>
    <row r="26" spans="1:261" ht="19.5">
      <c r="A26" s="477"/>
      <c r="B26" s="477"/>
      <c r="C26" s="477"/>
      <c r="D26" s="477"/>
      <c r="E26" s="477"/>
      <c r="F26" s="477"/>
      <c r="G26" s="478"/>
      <c r="H26" s="478"/>
      <c r="I26" s="477"/>
      <c r="J26" s="477"/>
      <c r="K26" s="477"/>
      <c r="L26" s="478"/>
      <c r="M26" s="478"/>
      <c r="N26" s="312"/>
      <c r="O26" s="295"/>
      <c r="P26" s="295"/>
      <c r="Q26" s="295"/>
      <c r="R26" s="295"/>
      <c r="S26" s="295"/>
      <c r="T26" s="313"/>
      <c r="U26" s="295"/>
      <c r="V26" s="295"/>
      <c r="W26" s="287"/>
      <c r="X26" s="292"/>
      <c r="Y26" s="292"/>
      <c r="Z26" s="292"/>
      <c r="AA26" s="295"/>
      <c r="AB26" s="167"/>
      <c r="AC26" s="167"/>
      <c r="AD26" s="167"/>
      <c r="AE26" s="167"/>
      <c r="AF26" s="167"/>
      <c r="AG26" s="167"/>
      <c r="AH26" s="167"/>
      <c r="AI26" s="167"/>
      <c r="AJ26" s="167"/>
      <c r="AK26" s="167"/>
      <c r="AL26" s="167"/>
      <c r="AM26" s="167"/>
      <c r="AN26" s="167"/>
      <c r="AO26" s="167"/>
      <c r="AP26" s="167"/>
      <c r="AQ26" s="167"/>
      <c r="AR26" s="167"/>
      <c r="AS26" s="167"/>
      <c r="AT26" s="167"/>
      <c r="AU26" s="167"/>
      <c r="AV26" s="167"/>
      <c r="AW26" s="167"/>
      <c r="AX26" s="167"/>
      <c r="AY26" s="167"/>
      <c r="AZ26" s="167"/>
      <c r="BA26" s="167"/>
      <c r="BB26" s="167"/>
      <c r="BC26" s="167"/>
      <c r="BD26" s="167"/>
      <c r="BE26" s="167"/>
      <c r="BF26" s="167"/>
      <c r="BG26" s="167"/>
      <c r="BH26" s="167"/>
      <c r="BI26" s="167"/>
      <c r="BJ26" s="167"/>
      <c r="BK26" s="167"/>
      <c r="BL26" s="167"/>
      <c r="BM26" s="167"/>
      <c r="BN26" s="167"/>
      <c r="BO26" s="167"/>
      <c r="BP26" s="167"/>
      <c r="BQ26" s="167"/>
      <c r="BR26" s="167"/>
      <c r="BS26" s="167"/>
      <c r="BT26" s="167"/>
      <c r="BU26" s="167"/>
      <c r="BV26" s="167"/>
      <c r="BW26" s="167"/>
      <c r="BX26" s="167"/>
      <c r="BY26" s="167"/>
      <c r="BZ26" s="167"/>
      <c r="CA26" s="167"/>
      <c r="CB26" s="167"/>
      <c r="CC26" s="167"/>
      <c r="CD26" s="167"/>
      <c r="CE26" s="167"/>
      <c r="CF26" s="167"/>
      <c r="CG26" s="167"/>
      <c r="CH26" s="167"/>
      <c r="CI26" s="167"/>
      <c r="CJ26" s="167"/>
      <c r="CK26" s="167"/>
      <c r="CL26" s="167"/>
      <c r="CM26" s="167"/>
      <c r="CN26" s="167"/>
      <c r="CO26" s="167"/>
      <c r="CP26" s="167"/>
      <c r="CQ26" s="167"/>
      <c r="CR26" s="167"/>
      <c r="CS26" s="167"/>
      <c r="CT26" s="167"/>
      <c r="CU26" s="167"/>
      <c r="CV26" s="167"/>
      <c r="CW26" s="167"/>
      <c r="CX26" s="167"/>
      <c r="CY26" s="167"/>
      <c r="CZ26" s="167"/>
      <c r="DA26" s="167"/>
      <c r="DB26" s="167"/>
      <c r="DC26" s="167"/>
      <c r="DD26" s="167"/>
      <c r="DE26" s="167"/>
      <c r="DF26" s="167"/>
      <c r="DG26" s="167"/>
      <c r="DH26" s="167"/>
      <c r="DI26" s="167"/>
      <c r="DJ26" s="167"/>
      <c r="DK26" s="167"/>
      <c r="DL26" s="167"/>
      <c r="DM26" s="167"/>
      <c r="DN26" s="167"/>
      <c r="DO26" s="167"/>
      <c r="DP26" s="167"/>
      <c r="DQ26" s="167"/>
      <c r="DR26" s="167"/>
      <c r="DS26" s="167"/>
      <c r="DT26" s="167"/>
      <c r="DU26" s="167"/>
      <c r="DV26" s="167"/>
      <c r="DW26" s="167"/>
      <c r="DX26" s="167"/>
      <c r="DY26" s="167"/>
      <c r="DZ26" s="167"/>
      <c r="EA26" s="167"/>
      <c r="EB26" s="167"/>
      <c r="EC26" s="167"/>
      <c r="ED26" s="167"/>
      <c r="EE26" s="167"/>
      <c r="EF26" s="167"/>
      <c r="EG26" s="167"/>
      <c r="EH26" s="167"/>
      <c r="EI26" s="167"/>
      <c r="EJ26" s="167"/>
      <c r="EK26" s="167"/>
      <c r="EL26" s="167"/>
      <c r="EM26" s="167"/>
      <c r="EN26" s="167"/>
      <c r="EO26" s="167"/>
      <c r="EP26" s="167"/>
      <c r="EQ26" s="167"/>
      <c r="ER26" s="167"/>
      <c r="ES26" s="167"/>
      <c r="ET26" s="167"/>
      <c r="EU26" s="167"/>
      <c r="EV26" s="167"/>
      <c r="EW26" s="167"/>
      <c r="EX26" s="167"/>
      <c r="EY26" s="167"/>
      <c r="EZ26" s="167"/>
      <c r="FA26" s="167"/>
      <c r="FB26" s="167"/>
      <c r="FC26" s="167"/>
      <c r="FD26" s="167"/>
      <c r="FE26" s="167"/>
      <c r="FF26" s="167"/>
      <c r="FG26" s="167"/>
      <c r="FH26" s="167"/>
      <c r="FI26" s="167"/>
      <c r="FJ26" s="167"/>
      <c r="FK26" s="167"/>
      <c r="FL26" s="167"/>
      <c r="FM26" s="167"/>
      <c r="FN26" s="167"/>
      <c r="FO26" s="167"/>
      <c r="FP26" s="167"/>
      <c r="FQ26" s="167"/>
      <c r="FR26" s="167"/>
      <c r="FS26" s="167"/>
      <c r="FT26" s="167"/>
      <c r="FU26" s="167"/>
      <c r="FV26" s="167"/>
      <c r="FW26" s="167"/>
      <c r="FX26" s="167"/>
      <c r="FY26" s="167"/>
      <c r="FZ26" s="167"/>
      <c r="GA26" s="167"/>
      <c r="GB26" s="167"/>
      <c r="GC26" s="167"/>
      <c r="GD26" s="167"/>
      <c r="GE26" s="167"/>
      <c r="GF26" s="167"/>
      <c r="GG26" s="167"/>
      <c r="GH26" s="167"/>
      <c r="GI26" s="167"/>
      <c r="GJ26" s="167"/>
      <c r="GK26" s="167"/>
      <c r="GL26" s="167"/>
      <c r="GM26" s="167"/>
      <c r="GN26" s="167"/>
      <c r="GO26" s="167"/>
      <c r="GP26" s="167"/>
      <c r="GQ26" s="167"/>
      <c r="GR26" s="167"/>
      <c r="GS26" s="167"/>
      <c r="GT26" s="167"/>
      <c r="GU26" s="167"/>
      <c r="GV26" s="167"/>
      <c r="GW26" s="167"/>
      <c r="GX26" s="167"/>
      <c r="GY26" s="167"/>
      <c r="GZ26" s="167"/>
      <c r="HA26" s="167"/>
      <c r="HB26" s="167"/>
      <c r="HC26" s="167"/>
      <c r="HD26" s="167"/>
      <c r="HE26" s="167"/>
      <c r="HF26" s="167"/>
      <c r="HG26" s="167"/>
      <c r="HH26" s="167"/>
      <c r="HI26" s="167"/>
      <c r="HJ26" s="167"/>
      <c r="HK26" s="167"/>
      <c r="HL26" s="167"/>
      <c r="HM26" s="167"/>
      <c r="HN26" s="167"/>
      <c r="HO26" s="167"/>
      <c r="HP26" s="167"/>
      <c r="HQ26" s="167"/>
      <c r="HR26" s="167"/>
      <c r="HS26" s="167"/>
      <c r="HT26" s="167"/>
      <c r="HU26" s="167"/>
      <c r="HV26" s="167"/>
      <c r="HW26" s="167"/>
      <c r="HX26" s="167"/>
      <c r="HY26" s="167"/>
      <c r="HZ26" s="167"/>
      <c r="IA26" s="167"/>
      <c r="IB26" s="167"/>
      <c r="IC26" s="167"/>
      <c r="ID26" s="167"/>
      <c r="IE26" s="167"/>
      <c r="IF26" s="167"/>
      <c r="IG26" s="167"/>
      <c r="IH26" s="167"/>
      <c r="II26" s="167"/>
      <c r="IJ26" s="167"/>
      <c r="IK26" s="167"/>
      <c r="IL26" s="167"/>
      <c r="IM26" s="167"/>
      <c r="IN26" s="167"/>
      <c r="IO26" s="167"/>
      <c r="IP26" s="167"/>
      <c r="IQ26" s="167"/>
      <c r="IR26" s="167"/>
      <c r="IS26" s="167"/>
      <c r="IT26" s="167"/>
      <c r="IU26" s="167"/>
      <c r="IV26" s="167"/>
      <c r="IW26" s="167"/>
      <c r="IX26" s="167"/>
      <c r="IY26" s="167"/>
      <c r="IZ26" s="167"/>
      <c r="JA26" s="167"/>
    </row>
    <row r="27" spans="1:261" ht="19.5">
      <c r="A27" s="1581"/>
      <c r="B27" s="1581"/>
      <c r="C27" s="477"/>
      <c r="D27" s="477"/>
      <c r="E27" s="477"/>
      <c r="F27" s="477"/>
      <c r="G27" s="478"/>
      <c r="H27" s="478"/>
      <c r="I27" s="477"/>
      <c r="J27" s="477"/>
      <c r="K27" s="477"/>
      <c r="L27" s="478"/>
      <c r="M27" s="478"/>
      <c r="N27" s="312"/>
      <c r="O27" s="295"/>
      <c r="P27" s="295"/>
      <c r="Q27" s="295"/>
      <c r="R27" s="295"/>
      <c r="S27" s="295"/>
      <c r="T27" s="313"/>
      <c r="U27" s="295"/>
      <c r="V27" s="295"/>
      <c r="W27" s="286"/>
      <c r="X27" s="296"/>
      <c r="Y27" s="296"/>
      <c r="Z27" s="166"/>
      <c r="AA27" s="295"/>
      <c r="AB27" s="167"/>
      <c r="AC27" s="167"/>
      <c r="AD27" s="167"/>
      <c r="AE27" s="167"/>
      <c r="AF27" s="167"/>
      <c r="AG27" s="167"/>
      <c r="AH27" s="167"/>
      <c r="AI27" s="167"/>
      <c r="AJ27" s="167"/>
      <c r="AK27" s="167"/>
      <c r="AL27" s="167"/>
      <c r="AM27" s="167"/>
      <c r="AN27" s="167"/>
      <c r="AO27" s="167"/>
      <c r="AP27" s="167"/>
      <c r="AQ27" s="167"/>
      <c r="AR27" s="167"/>
      <c r="AS27" s="167"/>
      <c r="AT27" s="167"/>
      <c r="AU27" s="167"/>
      <c r="AV27" s="167"/>
      <c r="AW27" s="167"/>
      <c r="AX27" s="167"/>
      <c r="AY27" s="167"/>
      <c r="AZ27" s="167"/>
      <c r="BA27" s="167"/>
      <c r="BB27" s="167"/>
      <c r="BC27" s="167"/>
      <c r="BD27" s="167"/>
      <c r="BE27" s="167"/>
      <c r="BF27" s="167"/>
      <c r="BG27" s="167"/>
      <c r="BH27" s="167"/>
      <c r="BI27" s="167"/>
      <c r="BJ27" s="167"/>
      <c r="BK27" s="167"/>
      <c r="BL27" s="167"/>
      <c r="BM27" s="167"/>
      <c r="BN27" s="167"/>
      <c r="BO27" s="167"/>
      <c r="BP27" s="167"/>
      <c r="BQ27" s="167"/>
      <c r="BR27" s="167"/>
      <c r="BS27" s="167"/>
      <c r="BT27" s="167"/>
      <c r="BU27" s="167"/>
      <c r="BV27" s="167"/>
      <c r="BW27" s="167"/>
      <c r="BX27" s="167"/>
      <c r="BY27" s="167"/>
      <c r="BZ27" s="167"/>
      <c r="CA27" s="167"/>
      <c r="CB27" s="167"/>
      <c r="CC27" s="167"/>
      <c r="CD27" s="167"/>
      <c r="CE27" s="167"/>
      <c r="CF27" s="167"/>
      <c r="CG27" s="167"/>
      <c r="CH27" s="167"/>
      <c r="CI27" s="167"/>
      <c r="CJ27" s="167"/>
      <c r="CK27" s="167"/>
      <c r="CL27" s="167"/>
      <c r="CM27" s="167"/>
      <c r="CN27" s="167"/>
      <c r="CO27" s="167"/>
      <c r="CP27" s="167"/>
      <c r="CQ27" s="167"/>
      <c r="CR27" s="167"/>
      <c r="CS27" s="167"/>
      <c r="CT27" s="167"/>
      <c r="CU27" s="167"/>
      <c r="CV27" s="167"/>
      <c r="CW27" s="167"/>
      <c r="CX27" s="167"/>
      <c r="CY27" s="167"/>
      <c r="CZ27" s="167"/>
      <c r="DA27" s="167"/>
      <c r="DB27" s="167"/>
      <c r="DC27" s="167"/>
      <c r="DD27" s="167"/>
      <c r="DE27" s="167"/>
      <c r="DF27" s="167"/>
      <c r="DG27" s="167"/>
      <c r="DH27" s="167"/>
      <c r="DI27" s="167"/>
      <c r="DJ27" s="167"/>
      <c r="DK27" s="167"/>
      <c r="DL27" s="167"/>
      <c r="DM27" s="167"/>
      <c r="DN27" s="167"/>
      <c r="DO27" s="167"/>
      <c r="DP27" s="167"/>
      <c r="DQ27" s="167"/>
      <c r="DR27" s="167"/>
      <c r="DS27" s="167"/>
      <c r="DT27" s="167"/>
      <c r="DU27" s="167"/>
      <c r="DV27" s="167"/>
      <c r="DW27" s="167"/>
      <c r="DX27" s="167"/>
      <c r="DY27" s="167"/>
      <c r="DZ27" s="167"/>
      <c r="EA27" s="167"/>
      <c r="EB27" s="167"/>
      <c r="EC27" s="167"/>
      <c r="ED27" s="167"/>
      <c r="EE27" s="167"/>
      <c r="EF27" s="167"/>
      <c r="EG27" s="167"/>
      <c r="EH27" s="167"/>
      <c r="EI27" s="167"/>
      <c r="EJ27" s="167"/>
      <c r="EK27" s="167"/>
      <c r="EL27" s="167"/>
      <c r="EM27" s="167"/>
      <c r="EN27" s="167"/>
      <c r="EO27" s="167"/>
      <c r="EP27" s="167"/>
      <c r="EQ27" s="167"/>
      <c r="ER27" s="167"/>
      <c r="ES27" s="167"/>
      <c r="ET27" s="167"/>
      <c r="EU27" s="167"/>
      <c r="EV27" s="167"/>
      <c r="EW27" s="167"/>
      <c r="EX27" s="167"/>
      <c r="EY27" s="167"/>
      <c r="EZ27" s="167"/>
      <c r="FA27" s="167"/>
      <c r="FB27" s="167"/>
      <c r="FC27" s="167"/>
      <c r="FD27" s="167"/>
      <c r="FE27" s="167"/>
      <c r="FF27" s="167"/>
      <c r="FG27" s="167"/>
      <c r="FH27" s="167"/>
      <c r="FI27" s="167"/>
      <c r="FJ27" s="167"/>
      <c r="FK27" s="167"/>
      <c r="FL27" s="167"/>
      <c r="FM27" s="167"/>
      <c r="FN27" s="167"/>
      <c r="FO27" s="167"/>
      <c r="FP27" s="167"/>
      <c r="FQ27" s="167"/>
      <c r="FR27" s="167"/>
      <c r="FS27" s="167"/>
      <c r="FT27" s="167"/>
      <c r="FU27" s="167"/>
      <c r="FV27" s="167"/>
      <c r="FW27" s="167"/>
      <c r="FX27" s="167"/>
      <c r="FY27" s="167"/>
      <c r="FZ27" s="167"/>
      <c r="GA27" s="167"/>
      <c r="GB27" s="167"/>
      <c r="GC27" s="167"/>
      <c r="GD27" s="167"/>
      <c r="GE27" s="167"/>
      <c r="GF27" s="167"/>
      <c r="GG27" s="167"/>
      <c r="GH27" s="167"/>
      <c r="GI27" s="167"/>
      <c r="GJ27" s="167"/>
      <c r="GK27" s="167"/>
      <c r="GL27" s="167"/>
      <c r="GM27" s="167"/>
      <c r="GN27" s="167"/>
      <c r="GO27" s="167"/>
      <c r="GP27" s="167"/>
      <c r="GQ27" s="167"/>
      <c r="GR27" s="167"/>
      <c r="GS27" s="167"/>
      <c r="GT27" s="167"/>
      <c r="GU27" s="167"/>
      <c r="GV27" s="167"/>
      <c r="GW27" s="167"/>
      <c r="GX27" s="167"/>
      <c r="GY27" s="167"/>
      <c r="GZ27" s="167"/>
      <c r="HA27" s="167"/>
      <c r="HB27" s="167"/>
      <c r="HC27" s="167"/>
      <c r="HD27" s="167"/>
      <c r="HE27" s="167"/>
      <c r="HF27" s="167"/>
      <c r="HG27" s="167"/>
      <c r="HH27" s="167"/>
      <c r="HI27" s="167"/>
      <c r="HJ27" s="167"/>
      <c r="HK27" s="167"/>
      <c r="HL27" s="167"/>
      <c r="HM27" s="167"/>
      <c r="HN27" s="167"/>
      <c r="HO27" s="167"/>
      <c r="HP27" s="167"/>
      <c r="HQ27" s="167"/>
      <c r="HR27" s="167"/>
      <c r="HS27" s="167"/>
      <c r="HT27" s="167"/>
      <c r="HU27" s="167"/>
      <c r="HV27" s="167"/>
      <c r="HW27" s="167"/>
      <c r="HX27" s="167"/>
      <c r="HY27" s="167"/>
      <c r="HZ27" s="167"/>
      <c r="IA27" s="167"/>
      <c r="IB27" s="167"/>
      <c r="IC27" s="167"/>
      <c r="ID27" s="167"/>
      <c r="IE27" s="167"/>
      <c r="IF27" s="167"/>
      <c r="IG27" s="167"/>
      <c r="IH27" s="167"/>
      <c r="II27" s="167"/>
      <c r="IJ27" s="167"/>
      <c r="IK27" s="167"/>
      <c r="IL27" s="167"/>
      <c r="IM27" s="167"/>
      <c r="IN27" s="167"/>
      <c r="IO27" s="167"/>
      <c r="IP27" s="167"/>
      <c r="IQ27" s="167"/>
      <c r="IR27" s="167"/>
      <c r="IS27" s="167"/>
      <c r="IT27" s="167"/>
      <c r="IU27" s="167"/>
      <c r="IV27" s="167"/>
      <c r="IW27" s="167"/>
      <c r="IX27" s="167"/>
      <c r="IY27" s="167"/>
      <c r="IZ27" s="167"/>
      <c r="JA27" s="167"/>
    </row>
    <row r="28" spans="1:261" ht="19.5">
      <c r="A28" s="1575" t="s">
        <v>728</v>
      </c>
      <c r="B28" s="1575"/>
      <c r="C28" s="1575"/>
      <c r="D28" s="1575"/>
      <c r="E28" s="1575"/>
      <c r="F28" s="1575"/>
      <c r="G28" s="1575"/>
      <c r="H28" s="1575"/>
      <c r="I28" s="1575"/>
      <c r="J28" s="1575"/>
      <c r="K28" s="1575"/>
      <c r="L28" s="1575"/>
      <c r="M28" s="1575"/>
      <c r="N28" s="312"/>
      <c r="O28" s="295"/>
      <c r="P28" s="295"/>
      <c r="Q28" s="295"/>
      <c r="R28" s="295"/>
      <c r="S28" s="295"/>
      <c r="T28" s="313"/>
      <c r="U28" s="295"/>
      <c r="V28" s="295"/>
      <c r="W28" s="286"/>
      <c r="X28" s="286"/>
      <c r="Y28" s="286"/>
      <c r="Z28" s="297"/>
      <c r="AA28" s="295"/>
      <c r="AB28" s="167"/>
      <c r="AC28" s="167"/>
      <c r="AD28" s="167"/>
      <c r="AE28" s="167"/>
      <c r="AF28" s="167"/>
      <c r="AG28" s="167"/>
      <c r="AH28" s="167"/>
      <c r="AI28" s="167"/>
      <c r="AJ28" s="167"/>
      <c r="AK28" s="167"/>
      <c r="AL28" s="167"/>
      <c r="AM28" s="167"/>
      <c r="AN28" s="167"/>
      <c r="AO28" s="167"/>
      <c r="AP28" s="167"/>
      <c r="AQ28" s="167"/>
      <c r="AR28" s="167"/>
      <c r="AS28" s="167"/>
      <c r="AT28" s="167"/>
      <c r="AU28" s="167"/>
      <c r="AV28" s="167"/>
      <c r="AW28" s="167"/>
      <c r="AX28" s="167"/>
      <c r="AY28" s="167"/>
      <c r="AZ28" s="167"/>
      <c r="BA28" s="167"/>
      <c r="BB28" s="167"/>
      <c r="BC28" s="167"/>
      <c r="BD28" s="167"/>
      <c r="BE28" s="167"/>
      <c r="BF28" s="167"/>
      <c r="BG28" s="167"/>
      <c r="BH28" s="167"/>
      <c r="BI28" s="167"/>
      <c r="BJ28" s="167"/>
      <c r="BK28" s="167"/>
      <c r="BL28" s="167"/>
      <c r="BM28" s="167"/>
      <c r="BN28" s="167"/>
      <c r="BO28" s="167"/>
      <c r="BP28" s="167"/>
      <c r="BQ28" s="167"/>
      <c r="BR28" s="167"/>
      <c r="BS28" s="167"/>
      <c r="BT28" s="167"/>
      <c r="BU28" s="167"/>
      <c r="BV28" s="167"/>
      <c r="BW28" s="167"/>
      <c r="BX28" s="167"/>
      <c r="BY28" s="167"/>
      <c r="BZ28" s="167"/>
      <c r="CA28" s="167"/>
      <c r="CB28" s="167"/>
      <c r="CC28" s="167"/>
      <c r="CD28" s="167"/>
      <c r="CE28" s="167"/>
      <c r="CF28" s="167"/>
      <c r="CG28" s="167"/>
      <c r="CH28" s="167"/>
      <c r="CI28" s="167"/>
      <c r="CJ28" s="167"/>
      <c r="CK28" s="167"/>
      <c r="CL28" s="167"/>
      <c r="CM28" s="167"/>
      <c r="CN28" s="167"/>
      <c r="CO28" s="167"/>
      <c r="CP28" s="167"/>
      <c r="CQ28" s="167"/>
      <c r="CR28" s="167"/>
      <c r="CS28" s="167"/>
      <c r="CT28" s="167"/>
      <c r="CU28" s="167"/>
      <c r="CV28" s="167"/>
      <c r="CW28" s="167"/>
      <c r="CX28" s="167"/>
      <c r="CY28" s="167"/>
      <c r="CZ28" s="167"/>
      <c r="DA28" s="167"/>
      <c r="DB28" s="167"/>
      <c r="DC28" s="167"/>
      <c r="DD28" s="167"/>
      <c r="DE28" s="167"/>
      <c r="DF28" s="167"/>
      <c r="DG28" s="167"/>
      <c r="DH28" s="167"/>
      <c r="DI28" s="167"/>
      <c r="DJ28" s="167"/>
      <c r="DK28" s="167"/>
      <c r="DL28" s="167"/>
      <c r="DM28" s="167"/>
      <c r="DN28" s="167"/>
      <c r="DO28" s="167"/>
      <c r="DP28" s="167"/>
      <c r="DQ28" s="167"/>
      <c r="DR28" s="167"/>
      <c r="DS28" s="167"/>
      <c r="DT28" s="167"/>
      <c r="DU28" s="167"/>
      <c r="DV28" s="167"/>
      <c r="DW28" s="167"/>
      <c r="DX28" s="167"/>
      <c r="DY28" s="167"/>
      <c r="DZ28" s="167"/>
      <c r="EA28" s="167"/>
      <c r="EB28" s="167"/>
      <c r="EC28" s="167"/>
      <c r="ED28" s="167"/>
      <c r="EE28" s="167"/>
      <c r="EF28" s="167"/>
      <c r="EG28" s="167"/>
      <c r="EH28" s="167"/>
      <c r="EI28" s="167"/>
      <c r="EJ28" s="167"/>
      <c r="EK28" s="167"/>
      <c r="EL28" s="167"/>
      <c r="EM28" s="167"/>
      <c r="EN28" s="167"/>
      <c r="EO28" s="167"/>
      <c r="EP28" s="167"/>
      <c r="EQ28" s="167"/>
      <c r="ER28" s="167"/>
      <c r="ES28" s="167"/>
      <c r="ET28" s="167"/>
      <c r="EU28" s="167"/>
      <c r="EV28" s="167"/>
      <c r="EW28" s="167"/>
      <c r="EX28" s="167"/>
      <c r="EY28" s="167"/>
      <c r="EZ28" s="167"/>
      <c r="FA28" s="167"/>
      <c r="FB28" s="167"/>
      <c r="FC28" s="167"/>
      <c r="FD28" s="167"/>
      <c r="FE28" s="167"/>
      <c r="FF28" s="167"/>
      <c r="FG28" s="167"/>
      <c r="FH28" s="167"/>
      <c r="FI28" s="167"/>
      <c r="FJ28" s="167"/>
      <c r="FK28" s="167"/>
      <c r="FL28" s="167"/>
      <c r="FM28" s="167"/>
      <c r="FN28" s="167"/>
      <c r="FO28" s="167"/>
      <c r="FP28" s="167"/>
      <c r="FQ28" s="167"/>
      <c r="FR28" s="167"/>
      <c r="FS28" s="167"/>
      <c r="FT28" s="167"/>
      <c r="FU28" s="167"/>
      <c r="FV28" s="167"/>
      <c r="FW28" s="167"/>
      <c r="FX28" s="167"/>
      <c r="FY28" s="167"/>
      <c r="FZ28" s="167"/>
      <c r="GA28" s="167"/>
      <c r="GB28" s="167"/>
      <c r="GC28" s="167"/>
      <c r="GD28" s="167"/>
      <c r="GE28" s="167"/>
      <c r="GF28" s="167"/>
      <c r="GG28" s="167"/>
      <c r="GH28" s="167"/>
      <c r="GI28" s="167"/>
      <c r="GJ28" s="167"/>
      <c r="GK28" s="167"/>
      <c r="GL28" s="167"/>
      <c r="GM28" s="167"/>
      <c r="GN28" s="167"/>
      <c r="GO28" s="167"/>
      <c r="GP28" s="167"/>
      <c r="GQ28" s="167"/>
      <c r="GR28" s="167"/>
      <c r="GS28" s="167"/>
      <c r="GT28" s="167"/>
      <c r="GU28" s="167"/>
      <c r="GV28" s="167"/>
      <c r="GW28" s="167"/>
      <c r="GX28" s="167"/>
      <c r="GY28" s="167"/>
      <c r="GZ28" s="167"/>
      <c r="HA28" s="167"/>
      <c r="HB28" s="167"/>
      <c r="HC28" s="167"/>
      <c r="HD28" s="167"/>
      <c r="HE28" s="167"/>
      <c r="HF28" s="167"/>
      <c r="HG28" s="167"/>
      <c r="HH28" s="167"/>
      <c r="HI28" s="167"/>
      <c r="HJ28" s="167"/>
      <c r="HK28" s="167"/>
      <c r="HL28" s="167"/>
      <c r="HM28" s="167"/>
      <c r="HN28" s="167"/>
      <c r="HO28" s="167"/>
      <c r="HP28" s="167"/>
      <c r="HQ28" s="167"/>
      <c r="HR28" s="167"/>
      <c r="HS28" s="167"/>
      <c r="HT28" s="167"/>
      <c r="HU28" s="167"/>
      <c r="HV28" s="167"/>
      <c r="HW28" s="167"/>
      <c r="HX28" s="167"/>
      <c r="HY28" s="167"/>
      <c r="HZ28" s="167"/>
      <c r="IA28" s="167"/>
      <c r="IB28" s="167"/>
      <c r="IC28" s="167"/>
      <c r="ID28" s="167"/>
      <c r="IE28" s="167"/>
      <c r="IF28" s="167"/>
      <c r="IG28" s="167"/>
      <c r="IH28" s="167"/>
      <c r="II28" s="167"/>
      <c r="IJ28" s="167"/>
      <c r="IK28" s="167"/>
      <c r="IL28" s="167"/>
      <c r="IM28" s="167"/>
      <c r="IN28" s="167"/>
      <c r="IO28" s="167"/>
      <c r="IP28" s="167"/>
      <c r="IQ28" s="167"/>
      <c r="IR28" s="167"/>
      <c r="IS28" s="167"/>
      <c r="IT28" s="167"/>
      <c r="IU28" s="167"/>
      <c r="IV28" s="167"/>
      <c r="IW28" s="167"/>
      <c r="IX28" s="167"/>
      <c r="IY28" s="167"/>
      <c r="IZ28" s="167"/>
      <c r="JA28" s="167"/>
    </row>
    <row r="29" spans="1:261" ht="19.5">
      <c r="A29" s="477"/>
      <c r="B29" s="477"/>
      <c r="C29" s="477"/>
      <c r="D29" s="477"/>
      <c r="E29" s="477"/>
      <c r="F29" s="477"/>
      <c r="G29" s="478"/>
      <c r="H29" s="478"/>
      <c r="I29" s="477"/>
      <c r="J29" s="477"/>
      <c r="K29" s="477"/>
      <c r="L29" s="478"/>
      <c r="M29" s="478"/>
      <c r="N29" s="312"/>
      <c r="O29" s="295"/>
      <c r="P29" s="295"/>
      <c r="Q29" s="295"/>
      <c r="R29" s="295"/>
      <c r="S29" s="295"/>
      <c r="T29" s="313"/>
      <c r="U29" s="295"/>
      <c r="V29" s="295"/>
      <c r="W29" s="286"/>
      <c r="X29" s="286"/>
      <c r="Y29" s="286"/>
      <c r="Z29" s="297"/>
      <c r="AA29" s="295"/>
      <c r="AB29" s="167"/>
      <c r="AC29" s="167"/>
      <c r="AD29" s="167"/>
      <c r="AE29" s="167"/>
      <c r="AF29" s="167"/>
      <c r="AG29" s="167"/>
      <c r="AH29" s="167"/>
      <c r="AI29" s="167"/>
      <c r="AJ29" s="167"/>
      <c r="AK29" s="167"/>
      <c r="AL29" s="167"/>
      <c r="AM29" s="167"/>
      <c r="AN29" s="167"/>
      <c r="AO29" s="167"/>
      <c r="AP29" s="167"/>
      <c r="AQ29" s="167"/>
      <c r="AR29" s="167"/>
      <c r="AS29" s="167"/>
      <c r="AT29" s="167"/>
      <c r="AU29" s="167"/>
      <c r="AV29" s="167"/>
      <c r="AW29" s="167"/>
      <c r="AX29" s="167"/>
      <c r="AY29" s="167"/>
      <c r="AZ29" s="167"/>
      <c r="BA29" s="167"/>
      <c r="BB29" s="167"/>
      <c r="BC29" s="167"/>
      <c r="BD29" s="167"/>
      <c r="BE29" s="167"/>
      <c r="BF29" s="167"/>
      <c r="BG29" s="167"/>
      <c r="BH29" s="167"/>
      <c r="BI29" s="167"/>
      <c r="BJ29" s="167"/>
      <c r="BK29" s="167"/>
      <c r="BL29" s="167"/>
      <c r="BM29" s="167"/>
      <c r="BN29" s="167"/>
      <c r="BO29" s="167"/>
      <c r="BP29" s="167"/>
      <c r="BQ29" s="167"/>
      <c r="BR29" s="167"/>
      <c r="BS29" s="167"/>
      <c r="BT29" s="167"/>
      <c r="BU29" s="167"/>
      <c r="BV29" s="167"/>
      <c r="BW29" s="167"/>
      <c r="BX29" s="167"/>
      <c r="BY29" s="167"/>
      <c r="BZ29" s="167"/>
      <c r="CA29" s="167"/>
      <c r="CB29" s="167"/>
      <c r="CC29" s="167"/>
      <c r="CD29" s="167"/>
      <c r="CE29" s="167"/>
      <c r="CF29" s="167"/>
      <c r="CG29" s="167"/>
      <c r="CH29" s="167"/>
      <c r="CI29" s="167"/>
      <c r="CJ29" s="167"/>
      <c r="CK29" s="167"/>
      <c r="CL29" s="167"/>
      <c r="CM29" s="167"/>
      <c r="CN29" s="167"/>
      <c r="CO29" s="167"/>
      <c r="CP29" s="167"/>
      <c r="CQ29" s="167"/>
      <c r="CR29" s="167"/>
      <c r="CS29" s="167"/>
      <c r="CT29" s="167"/>
      <c r="CU29" s="167"/>
      <c r="CV29" s="167"/>
      <c r="CW29" s="167"/>
      <c r="CX29" s="167"/>
      <c r="CY29" s="167"/>
      <c r="CZ29" s="167"/>
      <c r="DA29" s="167"/>
      <c r="DB29" s="167"/>
      <c r="DC29" s="167"/>
      <c r="DD29" s="167"/>
      <c r="DE29" s="167"/>
      <c r="DF29" s="167"/>
      <c r="DG29" s="167"/>
      <c r="DH29" s="167"/>
      <c r="DI29" s="167"/>
      <c r="DJ29" s="167"/>
      <c r="DK29" s="167"/>
      <c r="DL29" s="167"/>
      <c r="DM29" s="167"/>
      <c r="DN29" s="167"/>
      <c r="DO29" s="167"/>
      <c r="DP29" s="167"/>
      <c r="DQ29" s="167"/>
      <c r="DR29" s="167"/>
      <c r="DS29" s="167"/>
      <c r="DT29" s="167"/>
      <c r="DU29" s="167"/>
      <c r="DV29" s="167"/>
      <c r="DW29" s="167"/>
      <c r="DX29" s="167"/>
      <c r="DY29" s="167"/>
      <c r="DZ29" s="167"/>
      <c r="EA29" s="167"/>
      <c r="EB29" s="167"/>
      <c r="EC29" s="167"/>
      <c r="ED29" s="167"/>
      <c r="EE29" s="167"/>
      <c r="EF29" s="167"/>
      <c r="EG29" s="167"/>
      <c r="EH29" s="167"/>
      <c r="EI29" s="167"/>
      <c r="EJ29" s="167"/>
      <c r="EK29" s="167"/>
      <c r="EL29" s="167"/>
      <c r="EM29" s="167"/>
      <c r="EN29" s="167"/>
      <c r="EO29" s="167"/>
      <c r="EP29" s="167"/>
      <c r="EQ29" s="167"/>
      <c r="ER29" s="167"/>
      <c r="ES29" s="167"/>
      <c r="ET29" s="167"/>
      <c r="EU29" s="167"/>
      <c r="EV29" s="167"/>
      <c r="EW29" s="167"/>
      <c r="EX29" s="167"/>
      <c r="EY29" s="167"/>
      <c r="EZ29" s="167"/>
      <c r="FA29" s="167"/>
      <c r="FB29" s="167"/>
      <c r="FC29" s="167"/>
      <c r="FD29" s="167"/>
      <c r="FE29" s="167"/>
      <c r="FF29" s="167"/>
      <c r="FG29" s="167"/>
      <c r="FH29" s="167"/>
      <c r="FI29" s="167"/>
      <c r="FJ29" s="167"/>
      <c r="FK29" s="167"/>
      <c r="FL29" s="167"/>
      <c r="FM29" s="167"/>
      <c r="FN29" s="167"/>
      <c r="FO29" s="167"/>
      <c r="FP29" s="167"/>
      <c r="FQ29" s="167"/>
      <c r="FR29" s="167"/>
      <c r="FS29" s="167"/>
      <c r="FT29" s="167"/>
      <c r="FU29" s="167"/>
      <c r="FV29" s="167"/>
      <c r="FW29" s="167"/>
      <c r="FX29" s="167"/>
      <c r="FY29" s="167"/>
      <c r="FZ29" s="167"/>
      <c r="GA29" s="167"/>
      <c r="GB29" s="167"/>
      <c r="GC29" s="167"/>
      <c r="GD29" s="167"/>
      <c r="GE29" s="167"/>
      <c r="GF29" s="167"/>
      <c r="GG29" s="167"/>
      <c r="GH29" s="167"/>
      <c r="GI29" s="167"/>
      <c r="GJ29" s="167"/>
      <c r="GK29" s="167"/>
      <c r="GL29" s="167"/>
      <c r="GM29" s="167"/>
      <c r="GN29" s="167"/>
      <c r="GO29" s="167"/>
      <c r="GP29" s="167"/>
      <c r="GQ29" s="167"/>
      <c r="GR29" s="167"/>
      <c r="GS29" s="167"/>
      <c r="GT29" s="167"/>
      <c r="GU29" s="167"/>
      <c r="GV29" s="167"/>
      <c r="GW29" s="167"/>
      <c r="GX29" s="167"/>
      <c r="GY29" s="167"/>
      <c r="GZ29" s="167"/>
      <c r="HA29" s="167"/>
      <c r="HB29" s="167"/>
      <c r="HC29" s="167"/>
      <c r="HD29" s="167"/>
      <c r="HE29" s="167"/>
      <c r="HF29" s="167"/>
      <c r="HG29" s="167"/>
      <c r="HH29" s="167"/>
      <c r="HI29" s="167"/>
      <c r="HJ29" s="167"/>
      <c r="HK29" s="167"/>
      <c r="HL29" s="167"/>
      <c r="HM29" s="167"/>
      <c r="HN29" s="167"/>
      <c r="HO29" s="167"/>
      <c r="HP29" s="167"/>
      <c r="HQ29" s="167"/>
      <c r="HR29" s="167"/>
      <c r="HS29" s="167"/>
      <c r="HT29" s="167"/>
      <c r="HU29" s="167"/>
      <c r="HV29" s="167"/>
      <c r="HW29" s="167"/>
      <c r="HX29" s="167"/>
      <c r="HY29" s="167"/>
      <c r="HZ29" s="167"/>
      <c r="IA29" s="167"/>
      <c r="IB29" s="167"/>
      <c r="IC29" s="167"/>
      <c r="ID29" s="167"/>
      <c r="IE29" s="167"/>
      <c r="IF29" s="167"/>
      <c r="IG29" s="167"/>
      <c r="IH29" s="167"/>
      <c r="II29" s="167"/>
      <c r="IJ29" s="167"/>
      <c r="IK29" s="167"/>
      <c r="IL29" s="167"/>
      <c r="IM29" s="167"/>
      <c r="IN29" s="167"/>
      <c r="IO29" s="167"/>
      <c r="IP29" s="167"/>
      <c r="IQ29" s="167"/>
      <c r="IR29" s="167"/>
      <c r="IS29" s="167"/>
      <c r="IT29" s="167"/>
      <c r="IU29" s="167"/>
      <c r="IV29" s="167"/>
      <c r="IW29" s="167"/>
      <c r="IX29" s="167"/>
      <c r="IY29" s="167"/>
      <c r="IZ29" s="167"/>
      <c r="JA29" s="167"/>
    </row>
    <row r="30" spans="1:261" ht="16.5">
      <c r="A30" s="295"/>
      <c r="B30" s="295"/>
      <c r="C30" s="295"/>
      <c r="D30" s="295"/>
      <c r="E30" s="295"/>
      <c r="F30" s="295"/>
      <c r="G30" s="308"/>
      <c r="H30" s="308"/>
      <c r="I30" s="295"/>
      <c r="J30" s="295"/>
      <c r="K30" s="295"/>
      <c r="L30" s="308"/>
      <c r="M30" s="308"/>
      <c r="N30" s="312"/>
      <c r="O30" s="295"/>
      <c r="P30" s="295"/>
      <c r="Q30" s="295"/>
      <c r="R30" s="295"/>
      <c r="S30" s="295"/>
      <c r="T30" s="313"/>
      <c r="U30" s="295"/>
      <c r="V30" s="295"/>
      <c r="W30" s="286"/>
      <c r="X30" s="286"/>
      <c r="Y30" s="286"/>
      <c r="Z30" s="297"/>
      <c r="AA30" s="295"/>
      <c r="AB30" s="167"/>
      <c r="AC30" s="167"/>
      <c r="AD30" s="167"/>
      <c r="AE30" s="167"/>
      <c r="AF30" s="167"/>
      <c r="AG30" s="167"/>
      <c r="AH30" s="167"/>
      <c r="AI30" s="167"/>
      <c r="AJ30" s="167"/>
      <c r="AK30" s="167"/>
      <c r="AL30" s="167"/>
      <c r="AM30" s="167"/>
      <c r="AN30" s="167"/>
      <c r="AO30" s="167"/>
      <c r="AP30" s="167"/>
      <c r="AQ30" s="167"/>
      <c r="AR30" s="167"/>
      <c r="AS30" s="167"/>
      <c r="AT30" s="167"/>
      <c r="AU30" s="167"/>
      <c r="AV30" s="167"/>
      <c r="AW30" s="167"/>
      <c r="AX30" s="167"/>
      <c r="AY30" s="167"/>
      <c r="AZ30" s="167"/>
      <c r="BA30" s="167"/>
      <c r="BB30" s="167"/>
      <c r="BC30" s="167"/>
      <c r="BD30" s="167"/>
      <c r="BE30" s="167"/>
      <c r="BF30" s="167"/>
      <c r="BG30" s="167"/>
      <c r="BH30" s="167"/>
      <c r="BI30" s="167"/>
      <c r="BJ30" s="167"/>
      <c r="BK30" s="167"/>
      <c r="BL30" s="167"/>
      <c r="BM30" s="167"/>
      <c r="BN30" s="167"/>
      <c r="BO30" s="167"/>
      <c r="BP30" s="167"/>
      <c r="BQ30" s="167"/>
      <c r="BR30" s="167"/>
      <c r="BS30" s="167"/>
      <c r="BT30" s="167"/>
      <c r="BU30" s="167"/>
      <c r="BV30" s="167"/>
      <c r="BW30" s="167"/>
      <c r="BX30" s="167"/>
      <c r="BY30" s="167"/>
      <c r="BZ30" s="167"/>
      <c r="CA30" s="167"/>
      <c r="CB30" s="167"/>
      <c r="CC30" s="167"/>
      <c r="CD30" s="167"/>
      <c r="CE30" s="167"/>
      <c r="CF30" s="167"/>
      <c r="CG30" s="167"/>
      <c r="CH30" s="167"/>
      <c r="CI30" s="167"/>
      <c r="CJ30" s="167"/>
      <c r="CK30" s="167"/>
      <c r="CL30" s="167"/>
      <c r="CM30" s="167"/>
      <c r="CN30" s="167"/>
      <c r="CO30" s="167"/>
      <c r="CP30" s="167"/>
      <c r="CQ30" s="167"/>
      <c r="CR30" s="167"/>
      <c r="CS30" s="167"/>
      <c r="CT30" s="167"/>
      <c r="CU30" s="167"/>
      <c r="CV30" s="167"/>
      <c r="CW30" s="167"/>
      <c r="CX30" s="167"/>
      <c r="CY30" s="167"/>
      <c r="CZ30" s="167"/>
      <c r="DA30" s="167"/>
      <c r="DB30" s="167"/>
      <c r="DC30" s="167"/>
      <c r="DD30" s="167"/>
      <c r="DE30" s="167"/>
      <c r="DF30" s="167"/>
      <c r="DG30" s="167"/>
      <c r="DH30" s="167"/>
      <c r="DI30" s="167"/>
      <c r="DJ30" s="167"/>
      <c r="DK30" s="167"/>
      <c r="DL30" s="167"/>
      <c r="DM30" s="167"/>
      <c r="DN30" s="167"/>
      <c r="DO30" s="167"/>
      <c r="DP30" s="167"/>
      <c r="DQ30" s="167"/>
      <c r="DR30" s="167"/>
      <c r="DS30" s="167"/>
      <c r="DT30" s="167"/>
      <c r="DU30" s="167"/>
      <c r="DV30" s="167"/>
      <c r="DW30" s="167"/>
      <c r="DX30" s="167"/>
      <c r="DY30" s="167"/>
      <c r="DZ30" s="167"/>
      <c r="EA30" s="167"/>
      <c r="EB30" s="167"/>
      <c r="EC30" s="167"/>
      <c r="ED30" s="167"/>
      <c r="EE30" s="167"/>
      <c r="EF30" s="167"/>
      <c r="EG30" s="167"/>
      <c r="EH30" s="167"/>
      <c r="EI30" s="167"/>
      <c r="EJ30" s="167"/>
      <c r="EK30" s="167"/>
      <c r="EL30" s="167"/>
      <c r="EM30" s="167"/>
      <c r="EN30" s="167"/>
      <c r="EO30" s="167"/>
      <c r="EP30" s="167"/>
      <c r="EQ30" s="167"/>
      <c r="ER30" s="167"/>
      <c r="ES30" s="167"/>
      <c r="ET30" s="167"/>
      <c r="EU30" s="167"/>
      <c r="EV30" s="167"/>
      <c r="EW30" s="167"/>
      <c r="EX30" s="167"/>
      <c r="EY30" s="167"/>
      <c r="EZ30" s="167"/>
      <c r="FA30" s="167"/>
      <c r="FB30" s="167"/>
      <c r="FC30" s="167"/>
      <c r="FD30" s="167"/>
      <c r="FE30" s="167"/>
      <c r="FF30" s="167"/>
      <c r="FG30" s="167"/>
      <c r="FH30" s="167"/>
      <c r="FI30" s="167"/>
      <c r="FJ30" s="167"/>
      <c r="FK30" s="167"/>
      <c r="FL30" s="167"/>
      <c r="FM30" s="167"/>
      <c r="FN30" s="167"/>
      <c r="FO30" s="167"/>
      <c r="FP30" s="167"/>
      <c r="FQ30" s="167"/>
      <c r="FR30" s="167"/>
      <c r="FS30" s="167"/>
      <c r="FT30" s="167"/>
      <c r="FU30" s="167"/>
      <c r="FV30" s="167"/>
      <c r="FW30" s="167"/>
      <c r="FX30" s="167"/>
      <c r="FY30" s="167"/>
      <c r="FZ30" s="167"/>
      <c r="GA30" s="167"/>
      <c r="GB30" s="167"/>
      <c r="GC30" s="167"/>
      <c r="GD30" s="167"/>
      <c r="GE30" s="167"/>
      <c r="GF30" s="167"/>
      <c r="GG30" s="167"/>
      <c r="GH30" s="167"/>
      <c r="GI30" s="167"/>
      <c r="GJ30" s="167"/>
      <c r="GK30" s="167"/>
      <c r="GL30" s="167"/>
      <c r="GM30" s="167"/>
      <c r="GN30" s="167"/>
      <c r="GO30" s="167"/>
      <c r="GP30" s="167"/>
      <c r="GQ30" s="167"/>
      <c r="GR30" s="167"/>
      <c r="GS30" s="167"/>
      <c r="GT30" s="167"/>
      <c r="GU30" s="167"/>
      <c r="GV30" s="167"/>
      <c r="GW30" s="167"/>
      <c r="GX30" s="167"/>
      <c r="GY30" s="167"/>
      <c r="GZ30" s="167"/>
      <c r="HA30" s="167"/>
      <c r="HB30" s="167"/>
      <c r="HC30" s="167"/>
      <c r="HD30" s="167"/>
      <c r="HE30" s="167"/>
      <c r="HF30" s="167"/>
      <c r="HG30" s="167"/>
      <c r="HH30" s="167"/>
      <c r="HI30" s="167"/>
      <c r="HJ30" s="167"/>
      <c r="HK30" s="167"/>
      <c r="HL30" s="167"/>
      <c r="HM30" s="167"/>
      <c r="HN30" s="167"/>
      <c r="HO30" s="167"/>
      <c r="HP30" s="167"/>
      <c r="HQ30" s="167"/>
      <c r="HR30" s="167"/>
      <c r="HS30" s="167"/>
      <c r="HT30" s="167"/>
      <c r="HU30" s="167"/>
      <c r="HV30" s="167"/>
      <c r="HW30" s="167"/>
      <c r="HX30" s="167"/>
      <c r="HY30" s="167"/>
      <c r="HZ30" s="167"/>
      <c r="IA30" s="167"/>
      <c r="IB30" s="167"/>
      <c r="IC30" s="167"/>
      <c r="ID30" s="167"/>
      <c r="IE30" s="167"/>
      <c r="IF30" s="167"/>
      <c r="IG30" s="167"/>
      <c r="IH30" s="167"/>
      <c r="II30" s="167"/>
      <c r="IJ30" s="167"/>
      <c r="IK30" s="167"/>
      <c r="IL30" s="167"/>
      <c r="IM30" s="167"/>
      <c r="IN30" s="167"/>
      <c r="IO30" s="167"/>
      <c r="IP30" s="167"/>
      <c r="IQ30" s="167"/>
      <c r="IR30" s="167"/>
      <c r="IS30" s="167"/>
      <c r="IT30" s="167"/>
      <c r="IU30" s="167"/>
      <c r="IV30" s="167"/>
      <c r="IW30" s="167"/>
      <c r="IX30" s="167"/>
      <c r="IY30" s="167"/>
      <c r="IZ30" s="167"/>
      <c r="JA30" s="167"/>
    </row>
    <row r="31" spans="1:261" ht="16.5">
      <c r="A31" s="295"/>
      <c r="B31" s="295"/>
      <c r="C31" s="295"/>
      <c r="D31" s="295"/>
      <c r="E31" s="295"/>
      <c r="F31" s="295"/>
      <c r="G31" s="308"/>
      <c r="H31" s="308"/>
      <c r="I31" s="295"/>
      <c r="J31" s="295"/>
      <c r="K31" s="295"/>
      <c r="L31" s="308"/>
      <c r="M31" s="308"/>
      <c r="N31" s="312"/>
      <c r="O31" s="295"/>
      <c r="P31" s="295"/>
      <c r="Q31" s="295"/>
      <c r="R31" s="295"/>
      <c r="S31" s="295"/>
      <c r="T31" s="313"/>
      <c r="U31" s="295"/>
      <c r="V31" s="295"/>
      <c r="W31" s="286"/>
      <c r="X31" s="286"/>
      <c r="Y31" s="286"/>
      <c r="Z31" s="297"/>
      <c r="AA31" s="295"/>
      <c r="AB31" s="167"/>
      <c r="AC31" s="167"/>
      <c r="AD31" s="167"/>
      <c r="AE31" s="167"/>
      <c r="AF31" s="167"/>
      <c r="AG31" s="167"/>
      <c r="AH31" s="167"/>
      <c r="AI31" s="167"/>
      <c r="AJ31" s="167"/>
      <c r="AK31" s="167"/>
      <c r="AL31" s="167"/>
      <c r="AM31" s="167"/>
      <c r="AN31" s="167"/>
      <c r="AO31" s="167"/>
      <c r="AP31" s="167"/>
      <c r="AQ31" s="167"/>
      <c r="AR31" s="167"/>
      <c r="AS31" s="167"/>
      <c r="AT31" s="167"/>
      <c r="AU31" s="167"/>
      <c r="AV31" s="167"/>
      <c r="AW31" s="167"/>
      <c r="AX31" s="167"/>
      <c r="AY31" s="167"/>
      <c r="AZ31" s="167"/>
      <c r="BA31" s="167"/>
      <c r="BB31" s="167"/>
      <c r="BC31" s="167"/>
      <c r="BD31" s="167"/>
      <c r="BE31" s="167"/>
      <c r="BF31" s="167"/>
      <c r="BG31" s="167"/>
      <c r="BH31" s="167"/>
      <c r="BI31" s="167"/>
      <c r="BJ31" s="167"/>
      <c r="BK31" s="167"/>
      <c r="BL31" s="167"/>
      <c r="BM31" s="167"/>
      <c r="BN31" s="167"/>
      <c r="BO31" s="167"/>
      <c r="BP31" s="167"/>
      <c r="BQ31" s="167"/>
      <c r="BR31" s="167"/>
      <c r="BS31" s="167"/>
      <c r="BT31" s="167"/>
      <c r="BU31" s="167"/>
      <c r="BV31" s="167"/>
      <c r="BW31" s="167"/>
      <c r="BX31" s="167"/>
      <c r="BY31" s="167"/>
      <c r="BZ31" s="167"/>
      <c r="CA31" s="167"/>
      <c r="CB31" s="167"/>
      <c r="CC31" s="167"/>
      <c r="CD31" s="167"/>
      <c r="CE31" s="167"/>
      <c r="CF31" s="167"/>
      <c r="CG31" s="167"/>
      <c r="CH31" s="167"/>
      <c r="CI31" s="167"/>
      <c r="CJ31" s="167"/>
      <c r="CK31" s="167"/>
      <c r="CL31" s="167"/>
      <c r="CM31" s="167"/>
      <c r="CN31" s="167"/>
      <c r="CO31" s="167"/>
      <c r="CP31" s="167"/>
      <c r="CQ31" s="167"/>
      <c r="CR31" s="167"/>
      <c r="CS31" s="167"/>
      <c r="CT31" s="167"/>
      <c r="CU31" s="167"/>
      <c r="CV31" s="167"/>
      <c r="CW31" s="167"/>
      <c r="CX31" s="167"/>
      <c r="CY31" s="167"/>
      <c r="CZ31" s="167"/>
      <c r="DA31" s="167"/>
      <c r="DB31" s="167"/>
      <c r="DC31" s="167"/>
      <c r="DD31" s="167"/>
      <c r="DE31" s="167"/>
      <c r="DF31" s="167"/>
      <c r="DG31" s="167"/>
      <c r="DH31" s="167"/>
      <c r="DI31" s="167"/>
      <c r="DJ31" s="167"/>
      <c r="DK31" s="167"/>
      <c r="DL31" s="167"/>
      <c r="DM31" s="167"/>
      <c r="DN31" s="167"/>
      <c r="DO31" s="167"/>
      <c r="DP31" s="167"/>
      <c r="DQ31" s="167"/>
      <c r="DR31" s="167"/>
      <c r="DS31" s="167"/>
      <c r="DT31" s="167"/>
      <c r="DU31" s="167"/>
      <c r="DV31" s="167"/>
      <c r="DW31" s="167"/>
      <c r="DX31" s="167"/>
      <c r="DY31" s="167"/>
      <c r="DZ31" s="167"/>
      <c r="EA31" s="167"/>
      <c r="EB31" s="167"/>
      <c r="EC31" s="167"/>
      <c r="ED31" s="167"/>
      <c r="EE31" s="167"/>
      <c r="EF31" s="167"/>
      <c r="EG31" s="167"/>
      <c r="EH31" s="167"/>
      <c r="EI31" s="167"/>
      <c r="EJ31" s="167"/>
      <c r="EK31" s="167"/>
      <c r="EL31" s="167"/>
      <c r="EM31" s="167"/>
      <c r="EN31" s="167"/>
      <c r="EO31" s="167"/>
      <c r="EP31" s="167"/>
      <c r="EQ31" s="167"/>
      <c r="ER31" s="167"/>
      <c r="ES31" s="167"/>
      <c r="ET31" s="167"/>
      <c r="EU31" s="167"/>
      <c r="EV31" s="167"/>
      <c r="EW31" s="167"/>
      <c r="EX31" s="167"/>
      <c r="EY31" s="167"/>
      <c r="EZ31" s="167"/>
      <c r="FA31" s="167"/>
      <c r="FB31" s="167"/>
      <c r="FC31" s="167"/>
      <c r="FD31" s="167"/>
      <c r="FE31" s="167"/>
      <c r="FF31" s="167"/>
      <c r="FG31" s="167"/>
      <c r="FH31" s="167"/>
      <c r="FI31" s="167"/>
      <c r="FJ31" s="167"/>
      <c r="FK31" s="167"/>
      <c r="FL31" s="167"/>
      <c r="FM31" s="167"/>
      <c r="FN31" s="167"/>
      <c r="FO31" s="167"/>
      <c r="FP31" s="167"/>
      <c r="FQ31" s="167"/>
      <c r="FR31" s="167"/>
      <c r="FS31" s="167"/>
      <c r="FT31" s="167"/>
      <c r="FU31" s="167"/>
      <c r="FV31" s="167"/>
      <c r="FW31" s="167"/>
      <c r="FX31" s="167"/>
      <c r="FY31" s="167"/>
      <c r="FZ31" s="167"/>
      <c r="GA31" s="167"/>
      <c r="GB31" s="167"/>
      <c r="GC31" s="167"/>
      <c r="GD31" s="167"/>
      <c r="GE31" s="167"/>
      <c r="GF31" s="167"/>
      <c r="GG31" s="167"/>
      <c r="GH31" s="167"/>
      <c r="GI31" s="167"/>
      <c r="GJ31" s="167"/>
      <c r="GK31" s="167"/>
      <c r="GL31" s="167"/>
      <c r="GM31" s="167"/>
      <c r="GN31" s="167"/>
      <c r="GO31" s="167"/>
      <c r="GP31" s="167"/>
      <c r="GQ31" s="167"/>
      <c r="GR31" s="167"/>
      <c r="GS31" s="167"/>
      <c r="GT31" s="167"/>
      <c r="GU31" s="167"/>
      <c r="GV31" s="167"/>
      <c r="GW31" s="167"/>
      <c r="GX31" s="167"/>
      <c r="GY31" s="167"/>
      <c r="GZ31" s="167"/>
      <c r="HA31" s="167"/>
      <c r="HB31" s="167"/>
      <c r="HC31" s="167"/>
      <c r="HD31" s="167"/>
      <c r="HE31" s="167"/>
      <c r="HF31" s="167"/>
      <c r="HG31" s="167"/>
      <c r="HH31" s="167"/>
      <c r="HI31" s="167"/>
      <c r="HJ31" s="167"/>
      <c r="HK31" s="167"/>
      <c r="HL31" s="167"/>
      <c r="HM31" s="167"/>
      <c r="HN31" s="167"/>
      <c r="HO31" s="167"/>
      <c r="HP31" s="167"/>
      <c r="HQ31" s="167"/>
      <c r="HR31" s="167"/>
      <c r="HS31" s="167"/>
      <c r="HT31" s="167"/>
      <c r="HU31" s="167"/>
      <c r="HV31" s="167"/>
      <c r="HW31" s="167"/>
      <c r="HX31" s="167"/>
      <c r="HY31" s="167"/>
      <c r="HZ31" s="167"/>
      <c r="IA31" s="167"/>
      <c r="IB31" s="167"/>
      <c r="IC31" s="167"/>
      <c r="ID31" s="167"/>
      <c r="IE31" s="167"/>
      <c r="IF31" s="167"/>
      <c r="IG31" s="167"/>
      <c r="IH31" s="167"/>
      <c r="II31" s="167"/>
      <c r="IJ31" s="167"/>
      <c r="IK31" s="167"/>
      <c r="IL31" s="167"/>
      <c r="IM31" s="167"/>
      <c r="IN31" s="167"/>
      <c r="IO31" s="167"/>
      <c r="IP31" s="167"/>
      <c r="IQ31" s="167"/>
      <c r="IR31" s="167"/>
      <c r="IS31" s="167"/>
      <c r="IT31" s="167"/>
      <c r="IU31" s="167"/>
      <c r="IV31" s="167"/>
      <c r="IW31" s="167"/>
      <c r="IX31" s="167"/>
      <c r="IY31" s="167"/>
      <c r="IZ31" s="167"/>
      <c r="JA31" s="167"/>
    </row>
    <row r="32" spans="1:261" ht="16.5">
      <c r="A32" s="295"/>
      <c r="B32" s="295"/>
      <c r="C32" s="295"/>
      <c r="D32" s="295"/>
      <c r="E32" s="295"/>
      <c r="F32" s="295"/>
      <c r="G32" s="308"/>
      <c r="H32" s="308"/>
      <c r="I32" s="295"/>
      <c r="J32" s="295"/>
      <c r="K32" s="295"/>
      <c r="L32" s="308"/>
      <c r="M32" s="308"/>
      <c r="N32" s="312"/>
      <c r="O32" s="295"/>
      <c r="P32" s="295"/>
      <c r="Q32" s="295"/>
      <c r="R32" s="295"/>
      <c r="S32" s="295"/>
      <c r="T32" s="313"/>
      <c r="U32" s="295"/>
      <c r="V32" s="295"/>
      <c r="W32" s="298"/>
      <c r="X32" s="299"/>
      <c r="Y32" s="299"/>
      <c r="Z32" s="299"/>
      <c r="AA32" s="295"/>
      <c r="AB32" s="167"/>
      <c r="AC32" s="167"/>
      <c r="AD32" s="167"/>
      <c r="AE32" s="167"/>
      <c r="AF32" s="167"/>
      <c r="AG32" s="167"/>
      <c r="AH32" s="167"/>
      <c r="AI32" s="167"/>
      <c r="AJ32" s="167"/>
      <c r="AK32" s="167"/>
      <c r="AL32" s="167"/>
      <c r="AM32" s="167"/>
      <c r="AN32" s="167"/>
      <c r="AO32" s="167"/>
      <c r="AP32" s="167"/>
      <c r="AQ32" s="167"/>
      <c r="AR32" s="167"/>
      <c r="AS32" s="167"/>
      <c r="AT32" s="167"/>
      <c r="AU32" s="167"/>
      <c r="AV32" s="167"/>
      <c r="AW32" s="167"/>
      <c r="AX32" s="167"/>
      <c r="AY32" s="167"/>
      <c r="AZ32" s="167"/>
      <c r="BA32" s="167"/>
      <c r="BB32" s="167"/>
      <c r="BC32" s="167"/>
      <c r="BD32" s="167"/>
      <c r="BE32" s="167"/>
      <c r="BF32" s="167"/>
      <c r="BG32" s="167"/>
      <c r="BH32" s="167"/>
      <c r="BI32" s="167"/>
      <c r="BJ32" s="167"/>
      <c r="BK32" s="167"/>
      <c r="BL32" s="167"/>
      <c r="BM32" s="167"/>
      <c r="BN32" s="167"/>
      <c r="BO32" s="167"/>
      <c r="BP32" s="167"/>
      <c r="BQ32" s="167"/>
      <c r="BR32" s="167"/>
      <c r="BS32" s="167"/>
      <c r="BT32" s="167"/>
      <c r="BU32" s="167"/>
      <c r="BV32" s="167"/>
      <c r="BW32" s="167"/>
      <c r="BX32" s="167"/>
      <c r="BY32" s="167"/>
      <c r="BZ32" s="167"/>
      <c r="CA32" s="167"/>
      <c r="CB32" s="167"/>
      <c r="CC32" s="167"/>
      <c r="CD32" s="167"/>
      <c r="CE32" s="167"/>
      <c r="CF32" s="167"/>
      <c r="CG32" s="167"/>
      <c r="CH32" s="167"/>
      <c r="CI32" s="167"/>
      <c r="CJ32" s="167"/>
      <c r="CK32" s="167"/>
      <c r="CL32" s="167"/>
      <c r="CM32" s="167"/>
      <c r="CN32" s="167"/>
      <c r="CO32" s="167"/>
      <c r="CP32" s="167"/>
      <c r="CQ32" s="167"/>
      <c r="CR32" s="167"/>
      <c r="CS32" s="167"/>
      <c r="CT32" s="167"/>
      <c r="CU32" s="167"/>
      <c r="CV32" s="167"/>
      <c r="CW32" s="167"/>
      <c r="CX32" s="167"/>
      <c r="CY32" s="167"/>
      <c r="CZ32" s="167"/>
      <c r="DA32" s="167"/>
      <c r="DB32" s="167"/>
      <c r="DC32" s="167"/>
      <c r="DD32" s="167"/>
      <c r="DE32" s="167"/>
      <c r="DF32" s="167"/>
      <c r="DG32" s="167"/>
      <c r="DH32" s="167"/>
      <c r="DI32" s="167"/>
      <c r="DJ32" s="167"/>
      <c r="DK32" s="167"/>
      <c r="DL32" s="167"/>
      <c r="DM32" s="167"/>
      <c r="DN32" s="167"/>
      <c r="DO32" s="167"/>
      <c r="DP32" s="167"/>
      <c r="DQ32" s="167"/>
      <c r="DR32" s="167"/>
      <c r="DS32" s="167"/>
      <c r="DT32" s="167"/>
      <c r="DU32" s="167"/>
      <c r="DV32" s="167"/>
      <c r="DW32" s="167"/>
      <c r="DX32" s="167"/>
      <c r="DY32" s="167"/>
      <c r="DZ32" s="167"/>
      <c r="EA32" s="167"/>
      <c r="EB32" s="167"/>
      <c r="EC32" s="167"/>
      <c r="ED32" s="167"/>
      <c r="EE32" s="167"/>
      <c r="EF32" s="167"/>
      <c r="EG32" s="167"/>
      <c r="EH32" s="167"/>
      <c r="EI32" s="167"/>
      <c r="EJ32" s="167"/>
      <c r="EK32" s="167"/>
      <c r="EL32" s="167"/>
      <c r="EM32" s="167"/>
      <c r="EN32" s="167"/>
      <c r="EO32" s="167"/>
      <c r="EP32" s="167"/>
      <c r="EQ32" s="167"/>
      <c r="ER32" s="167"/>
      <c r="ES32" s="167"/>
      <c r="ET32" s="167"/>
      <c r="EU32" s="167"/>
      <c r="EV32" s="167"/>
      <c r="EW32" s="167"/>
      <c r="EX32" s="167"/>
      <c r="EY32" s="167"/>
      <c r="EZ32" s="167"/>
      <c r="FA32" s="167"/>
      <c r="FB32" s="167"/>
      <c r="FC32" s="167"/>
      <c r="FD32" s="167"/>
      <c r="FE32" s="167"/>
      <c r="FF32" s="167"/>
      <c r="FG32" s="167"/>
      <c r="FH32" s="167"/>
      <c r="FI32" s="167"/>
      <c r="FJ32" s="167"/>
      <c r="FK32" s="167"/>
      <c r="FL32" s="167"/>
      <c r="FM32" s="167"/>
      <c r="FN32" s="167"/>
      <c r="FO32" s="167"/>
      <c r="FP32" s="167"/>
      <c r="FQ32" s="167"/>
      <c r="FR32" s="167"/>
      <c r="FS32" s="167"/>
      <c r="FT32" s="167"/>
      <c r="FU32" s="167"/>
      <c r="FV32" s="167"/>
      <c r="FW32" s="167"/>
      <c r="FX32" s="167"/>
      <c r="FY32" s="167"/>
      <c r="FZ32" s="167"/>
      <c r="GA32" s="167"/>
      <c r="GB32" s="167"/>
      <c r="GC32" s="167"/>
      <c r="GD32" s="167"/>
      <c r="GE32" s="167"/>
      <c r="GF32" s="167"/>
      <c r="GG32" s="167"/>
      <c r="GH32" s="167"/>
      <c r="GI32" s="167"/>
      <c r="GJ32" s="167"/>
      <c r="GK32" s="167"/>
      <c r="GL32" s="167"/>
      <c r="GM32" s="167"/>
      <c r="GN32" s="167"/>
      <c r="GO32" s="167"/>
      <c r="GP32" s="167"/>
      <c r="GQ32" s="167"/>
      <c r="GR32" s="167"/>
      <c r="GS32" s="167"/>
      <c r="GT32" s="167"/>
      <c r="GU32" s="167"/>
      <c r="GV32" s="167"/>
      <c r="GW32" s="167"/>
      <c r="GX32" s="167"/>
      <c r="GY32" s="167"/>
      <c r="GZ32" s="167"/>
      <c r="HA32" s="167"/>
      <c r="HB32" s="167"/>
      <c r="HC32" s="167"/>
      <c r="HD32" s="167"/>
      <c r="HE32" s="167"/>
      <c r="HF32" s="167"/>
      <c r="HG32" s="167"/>
      <c r="HH32" s="167"/>
      <c r="HI32" s="167"/>
      <c r="HJ32" s="167"/>
      <c r="HK32" s="167"/>
      <c r="HL32" s="167"/>
      <c r="HM32" s="167"/>
      <c r="HN32" s="167"/>
      <c r="HO32" s="167"/>
      <c r="HP32" s="167"/>
      <c r="HQ32" s="167"/>
      <c r="HR32" s="167"/>
      <c r="HS32" s="167"/>
      <c r="HT32" s="167"/>
      <c r="HU32" s="167"/>
      <c r="HV32" s="167"/>
      <c r="HW32" s="167"/>
      <c r="HX32" s="167"/>
      <c r="HY32" s="167"/>
      <c r="HZ32" s="167"/>
      <c r="IA32" s="167"/>
      <c r="IB32" s="167"/>
      <c r="IC32" s="167"/>
      <c r="ID32" s="167"/>
      <c r="IE32" s="167"/>
      <c r="IF32" s="167"/>
      <c r="IG32" s="167"/>
      <c r="IH32" s="167"/>
      <c r="II32" s="167"/>
      <c r="IJ32" s="167"/>
      <c r="IK32" s="167"/>
      <c r="IL32" s="167"/>
      <c r="IM32" s="167"/>
      <c r="IN32" s="167"/>
      <c r="IO32" s="167"/>
      <c r="IP32" s="167"/>
      <c r="IQ32" s="167"/>
      <c r="IR32" s="167"/>
      <c r="IS32" s="167"/>
      <c r="IT32" s="167"/>
      <c r="IU32" s="167"/>
      <c r="IV32" s="167"/>
      <c r="IW32" s="167"/>
      <c r="IX32" s="167"/>
      <c r="IY32" s="167"/>
      <c r="IZ32" s="167"/>
      <c r="JA32" s="167"/>
    </row>
    <row r="33" spans="1:261" ht="16.5">
      <c r="A33" s="295"/>
      <c r="B33" s="295"/>
      <c r="C33" s="295"/>
      <c r="D33" s="295"/>
      <c r="E33" s="295"/>
      <c r="F33" s="295"/>
      <c r="G33" s="308"/>
      <c r="H33" s="308"/>
      <c r="I33" s="295"/>
      <c r="J33" s="295"/>
      <c r="K33" s="295"/>
      <c r="L33" s="308"/>
      <c r="M33" s="308"/>
      <c r="N33" s="312"/>
      <c r="O33" s="295"/>
      <c r="P33" s="295"/>
      <c r="Q33" s="295"/>
      <c r="R33" s="295"/>
      <c r="S33" s="295"/>
      <c r="T33" s="313"/>
      <c r="U33" s="295"/>
      <c r="V33" s="295"/>
      <c r="W33" s="300"/>
      <c r="X33" s="301"/>
      <c r="Y33" s="301"/>
      <c r="Z33" s="301"/>
      <c r="AA33" s="295"/>
      <c r="AB33" s="167"/>
      <c r="AC33" s="167"/>
      <c r="AD33" s="167"/>
      <c r="AE33" s="167"/>
      <c r="AF33" s="167"/>
      <c r="AG33" s="167"/>
      <c r="AH33" s="167"/>
      <c r="AI33" s="167"/>
      <c r="AJ33" s="167"/>
      <c r="AK33" s="167"/>
      <c r="AL33" s="167"/>
      <c r="AM33" s="167"/>
      <c r="AN33" s="167"/>
      <c r="AO33" s="167"/>
      <c r="AP33" s="167"/>
      <c r="AQ33" s="167"/>
      <c r="AR33" s="167"/>
      <c r="AS33" s="167"/>
      <c r="AT33" s="167"/>
      <c r="AU33" s="167"/>
      <c r="AV33" s="167"/>
      <c r="AW33" s="167"/>
      <c r="AX33" s="167"/>
      <c r="AY33" s="167"/>
      <c r="AZ33" s="167"/>
      <c r="BA33" s="167"/>
      <c r="BB33" s="167"/>
      <c r="BC33" s="167"/>
      <c r="BD33" s="167"/>
      <c r="BE33" s="167"/>
      <c r="BF33" s="167"/>
      <c r="BG33" s="167"/>
      <c r="BH33" s="167"/>
      <c r="BI33" s="167"/>
      <c r="BJ33" s="167"/>
      <c r="BK33" s="167"/>
      <c r="BL33" s="167"/>
      <c r="BM33" s="167"/>
      <c r="BN33" s="167"/>
      <c r="BO33" s="167"/>
      <c r="BP33" s="167"/>
      <c r="BQ33" s="167"/>
      <c r="BR33" s="167"/>
      <c r="BS33" s="167"/>
      <c r="BT33" s="167"/>
      <c r="BU33" s="167"/>
      <c r="BV33" s="167"/>
      <c r="BW33" s="167"/>
      <c r="BX33" s="167"/>
      <c r="BY33" s="167"/>
      <c r="BZ33" s="167"/>
      <c r="CA33" s="167"/>
      <c r="CB33" s="167"/>
      <c r="CC33" s="167"/>
      <c r="CD33" s="167"/>
      <c r="CE33" s="167"/>
      <c r="CF33" s="167"/>
      <c r="CG33" s="167"/>
      <c r="CH33" s="167"/>
      <c r="CI33" s="167"/>
      <c r="CJ33" s="167"/>
      <c r="CK33" s="167"/>
      <c r="CL33" s="167"/>
      <c r="CM33" s="167"/>
      <c r="CN33" s="167"/>
      <c r="CO33" s="167"/>
      <c r="CP33" s="167"/>
      <c r="CQ33" s="167"/>
      <c r="CR33" s="167"/>
      <c r="CS33" s="167"/>
      <c r="CT33" s="167"/>
      <c r="CU33" s="167"/>
      <c r="CV33" s="167"/>
      <c r="CW33" s="167"/>
      <c r="CX33" s="167"/>
      <c r="CY33" s="167"/>
      <c r="CZ33" s="167"/>
      <c r="DA33" s="167"/>
      <c r="DB33" s="167"/>
      <c r="DC33" s="167"/>
      <c r="DD33" s="167"/>
      <c r="DE33" s="167"/>
      <c r="DF33" s="167"/>
      <c r="DG33" s="167"/>
      <c r="DH33" s="167"/>
      <c r="DI33" s="167"/>
      <c r="DJ33" s="167"/>
      <c r="DK33" s="167"/>
      <c r="DL33" s="167"/>
      <c r="DM33" s="167"/>
      <c r="DN33" s="167"/>
      <c r="DO33" s="167"/>
      <c r="DP33" s="167"/>
      <c r="DQ33" s="167"/>
      <c r="DR33" s="167"/>
      <c r="DS33" s="167"/>
      <c r="DT33" s="167"/>
      <c r="DU33" s="167"/>
      <c r="DV33" s="167"/>
      <c r="DW33" s="167"/>
      <c r="DX33" s="167"/>
      <c r="DY33" s="167"/>
      <c r="DZ33" s="167"/>
      <c r="EA33" s="167"/>
      <c r="EB33" s="167"/>
      <c r="EC33" s="167"/>
      <c r="ED33" s="167"/>
      <c r="EE33" s="167"/>
      <c r="EF33" s="167"/>
      <c r="EG33" s="167"/>
      <c r="EH33" s="167"/>
      <c r="EI33" s="167"/>
      <c r="EJ33" s="167"/>
      <c r="EK33" s="167"/>
      <c r="EL33" s="167"/>
      <c r="EM33" s="167"/>
      <c r="EN33" s="167"/>
      <c r="EO33" s="167"/>
      <c r="EP33" s="167"/>
      <c r="EQ33" s="167"/>
      <c r="ER33" s="167"/>
      <c r="ES33" s="167"/>
      <c r="ET33" s="167"/>
      <c r="EU33" s="167"/>
      <c r="EV33" s="167"/>
      <c r="EW33" s="167"/>
      <c r="EX33" s="167"/>
      <c r="EY33" s="167"/>
      <c r="EZ33" s="167"/>
      <c r="FA33" s="167"/>
      <c r="FB33" s="167"/>
      <c r="FC33" s="167"/>
      <c r="FD33" s="167"/>
      <c r="FE33" s="167"/>
      <c r="FF33" s="167"/>
      <c r="FG33" s="167"/>
      <c r="FH33" s="167"/>
      <c r="FI33" s="167"/>
      <c r="FJ33" s="167"/>
      <c r="FK33" s="167"/>
      <c r="FL33" s="167"/>
      <c r="FM33" s="167"/>
      <c r="FN33" s="167"/>
      <c r="FO33" s="167"/>
      <c r="FP33" s="167"/>
      <c r="FQ33" s="167"/>
      <c r="FR33" s="167"/>
      <c r="FS33" s="167"/>
      <c r="FT33" s="167"/>
      <c r="FU33" s="167"/>
      <c r="FV33" s="167"/>
      <c r="FW33" s="167"/>
      <c r="FX33" s="167"/>
      <c r="FY33" s="167"/>
      <c r="FZ33" s="167"/>
      <c r="GA33" s="167"/>
      <c r="GB33" s="167"/>
      <c r="GC33" s="167"/>
      <c r="GD33" s="167"/>
      <c r="GE33" s="167"/>
      <c r="GF33" s="167"/>
      <c r="GG33" s="167"/>
      <c r="GH33" s="167"/>
      <c r="GI33" s="167"/>
      <c r="GJ33" s="167"/>
      <c r="GK33" s="167"/>
      <c r="GL33" s="167"/>
      <c r="GM33" s="167"/>
      <c r="GN33" s="167"/>
      <c r="GO33" s="167"/>
      <c r="GP33" s="167"/>
      <c r="GQ33" s="167"/>
      <c r="GR33" s="167"/>
      <c r="GS33" s="167"/>
      <c r="GT33" s="167"/>
      <c r="GU33" s="167"/>
      <c r="GV33" s="167"/>
      <c r="GW33" s="167"/>
      <c r="GX33" s="167"/>
      <c r="GY33" s="167"/>
      <c r="GZ33" s="167"/>
      <c r="HA33" s="167"/>
      <c r="HB33" s="167"/>
      <c r="HC33" s="167"/>
      <c r="HD33" s="167"/>
      <c r="HE33" s="167"/>
      <c r="HF33" s="167"/>
      <c r="HG33" s="167"/>
      <c r="HH33" s="167"/>
      <c r="HI33" s="167"/>
      <c r="HJ33" s="167"/>
      <c r="HK33" s="167"/>
      <c r="HL33" s="167"/>
      <c r="HM33" s="167"/>
      <c r="HN33" s="167"/>
      <c r="HO33" s="167"/>
      <c r="HP33" s="167"/>
      <c r="HQ33" s="167"/>
      <c r="HR33" s="167"/>
      <c r="HS33" s="167"/>
      <c r="HT33" s="167"/>
      <c r="HU33" s="167"/>
      <c r="HV33" s="167"/>
      <c r="HW33" s="167"/>
      <c r="HX33" s="167"/>
      <c r="HY33" s="167"/>
      <c r="HZ33" s="167"/>
      <c r="IA33" s="167"/>
      <c r="IB33" s="167"/>
      <c r="IC33" s="167"/>
      <c r="ID33" s="167"/>
      <c r="IE33" s="167"/>
      <c r="IF33" s="167"/>
      <c r="IG33" s="167"/>
      <c r="IH33" s="167"/>
      <c r="II33" s="167"/>
      <c r="IJ33" s="167"/>
      <c r="IK33" s="167"/>
      <c r="IL33" s="167"/>
      <c r="IM33" s="167"/>
      <c r="IN33" s="167"/>
      <c r="IO33" s="167"/>
      <c r="IP33" s="167"/>
      <c r="IQ33" s="167"/>
      <c r="IR33" s="167"/>
      <c r="IS33" s="167"/>
      <c r="IT33" s="167"/>
      <c r="IU33" s="167"/>
      <c r="IV33" s="167"/>
      <c r="IW33" s="167"/>
      <c r="IX33" s="167"/>
      <c r="IY33" s="167"/>
      <c r="IZ33" s="167"/>
      <c r="JA33" s="167"/>
    </row>
    <row r="34" spans="1:261" ht="16.5">
      <c r="A34" s="295"/>
      <c r="B34" s="295"/>
      <c r="C34" s="295"/>
      <c r="D34" s="295"/>
      <c r="E34" s="295"/>
      <c r="F34" s="295"/>
      <c r="G34" s="308"/>
      <c r="H34" s="308"/>
      <c r="I34" s="295"/>
      <c r="J34" s="295"/>
      <c r="K34" s="295"/>
      <c r="L34" s="308"/>
      <c r="M34" s="308"/>
      <c r="N34" s="312"/>
      <c r="O34" s="295"/>
      <c r="P34" s="295"/>
      <c r="Q34" s="295"/>
      <c r="R34" s="295"/>
      <c r="S34" s="295"/>
      <c r="T34" s="313"/>
      <c r="U34" s="295"/>
      <c r="V34" s="295"/>
      <c r="W34" s="286"/>
      <c r="X34" s="295"/>
      <c r="Y34" s="295"/>
      <c r="Z34" s="302"/>
      <c r="AA34" s="295"/>
      <c r="AB34" s="167"/>
      <c r="AC34" s="167"/>
      <c r="AD34" s="167"/>
      <c r="AE34" s="167"/>
      <c r="AF34" s="167"/>
      <c r="AG34" s="167"/>
      <c r="AH34" s="167"/>
      <c r="AI34" s="167"/>
      <c r="AJ34" s="167"/>
      <c r="AK34" s="167"/>
      <c r="AL34" s="167"/>
      <c r="AM34" s="167"/>
      <c r="AN34" s="167"/>
      <c r="AO34" s="167"/>
      <c r="AP34" s="167"/>
      <c r="AQ34" s="167"/>
      <c r="AR34" s="167"/>
      <c r="AS34" s="167"/>
      <c r="AT34" s="167"/>
      <c r="AU34" s="167"/>
      <c r="AV34" s="167"/>
      <c r="AW34" s="167"/>
      <c r="AX34" s="167"/>
      <c r="AY34" s="167"/>
      <c r="AZ34" s="167"/>
      <c r="BA34" s="167"/>
      <c r="BB34" s="167"/>
      <c r="BC34" s="167"/>
      <c r="BD34" s="167"/>
      <c r="BE34" s="167"/>
      <c r="BF34" s="167"/>
      <c r="BG34" s="167"/>
      <c r="BH34" s="167"/>
      <c r="BI34" s="167"/>
      <c r="BJ34" s="167"/>
      <c r="BK34" s="167"/>
      <c r="BL34" s="167"/>
      <c r="BM34" s="167"/>
      <c r="BN34" s="167"/>
      <c r="BO34" s="167"/>
      <c r="BP34" s="167"/>
      <c r="BQ34" s="167"/>
      <c r="BR34" s="167"/>
      <c r="BS34" s="167"/>
      <c r="BT34" s="167"/>
      <c r="BU34" s="167"/>
      <c r="BV34" s="167"/>
      <c r="BW34" s="167"/>
      <c r="BX34" s="167"/>
      <c r="BY34" s="167"/>
      <c r="BZ34" s="167"/>
      <c r="CA34" s="167"/>
      <c r="CB34" s="167"/>
      <c r="CC34" s="167"/>
      <c r="CD34" s="167"/>
      <c r="CE34" s="167"/>
      <c r="CF34" s="167"/>
      <c r="CG34" s="167"/>
      <c r="CH34" s="167"/>
      <c r="CI34" s="167"/>
      <c r="CJ34" s="167"/>
      <c r="CK34" s="167"/>
      <c r="CL34" s="167"/>
      <c r="CM34" s="167"/>
      <c r="CN34" s="167"/>
      <c r="CO34" s="167"/>
      <c r="CP34" s="167"/>
      <c r="CQ34" s="167"/>
      <c r="CR34" s="167"/>
      <c r="CS34" s="167"/>
      <c r="CT34" s="167"/>
      <c r="CU34" s="167"/>
      <c r="CV34" s="167"/>
      <c r="CW34" s="167"/>
      <c r="CX34" s="167"/>
      <c r="CY34" s="167"/>
      <c r="CZ34" s="167"/>
      <c r="DA34" s="167"/>
      <c r="DB34" s="167"/>
      <c r="DC34" s="167"/>
      <c r="DD34" s="167"/>
      <c r="DE34" s="167"/>
      <c r="DF34" s="167"/>
      <c r="DG34" s="167"/>
      <c r="DH34" s="167"/>
      <c r="DI34" s="167"/>
      <c r="DJ34" s="167"/>
      <c r="DK34" s="167"/>
      <c r="DL34" s="167"/>
      <c r="DM34" s="167"/>
      <c r="DN34" s="167"/>
      <c r="DO34" s="167"/>
      <c r="DP34" s="167"/>
      <c r="DQ34" s="167"/>
      <c r="DR34" s="167"/>
      <c r="DS34" s="167"/>
      <c r="DT34" s="167"/>
      <c r="DU34" s="167"/>
      <c r="DV34" s="167"/>
      <c r="DW34" s="167"/>
      <c r="DX34" s="167"/>
      <c r="DY34" s="167"/>
      <c r="DZ34" s="167"/>
      <c r="EA34" s="167"/>
      <c r="EB34" s="167"/>
      <c r="EC34" s="167"/>
      <c r="ED34" s="167"/>
      <c r="EE34" s="167"/>
      <c r="EF34" s="167"/>
      <c r="EG34" s="167"/>
      <c r="EH34" s="167"/>
      <c r="EI34" s="167"/>
      <c r="EJ34" s="167"/>
      <c r="EK34" s="167"/>
      <c r="EL34" s="167"/>
      <c r="EM34" s="167"/>
      <c r="EN34" s="167"/>
      <c r="EO34" s="167"/>
      <c r="EP34" s="167"/>
      <c r="EQ34" s="167"/>
      <c r="ER34" s="167"/>
      <c r="ES34" s="167"/>
      <c r="ET34" s="167"/>
      <c r="EU34" s="167"/>
      <c r="EV34" s="167"/>
      <c r="EW34" s="167"/>
      <c r="EX34" s="167"/>
      <c r="EY34" s="167"/>
      <c r="EZ34" s="167"/>
      <c r="FA34" s="167"/>
      <c r="FB34" s="167"/>
      <c r="FC34" s="167"/>
      <c r="FD34" s="167"/>
      <c r="FE34" s="167"/>
      <c r="FF34" s="167"/>
      <c r="FG34" s="167"/>
      <c r="FH34" s="167"/>
      <c r="FI34" s="167"/>
      <c r="FJ34" s="167"/>
      <c r="FK34" s="167"/>
      <c r="FL34" s="167"/>
      <c r="FM34" s="167"/>
      <c r="FN34" s="167"/>
      <c r="FO34" s="167"/>
      <c r="FP34" s="167"/>
      <c r="FQ34" s="167"/>
      <c r="FR34" s="167"/>
      <c r="FS34" s="167"/>
      <c r="FT34" s="167"/>
      <c r="FU34" s="167"/>
      <c r="FV34" s="167"/>
      <c r="FW34" s="167"/>
      <c r="FX34" s="167"/>
      <c r="FY34" s="167"/>
      <c r="FZ34" s="167"/>
      <c r="GA34" s="167"/>
      <c r="GB34" s="167"/>
      <c r="GC34" s="167"/>
      <c r="GD34" s="167"/>
      <c r="GE34" s="167"/>
      <c r="GF34" s="167"/>
      <c r="GG34" s="167"/>
      <c r="GH34" s="167"/>
      <c r="GI34" s="167"/>
      <c r="GJ34" s="167"/>
      <c r="GK34" s="167"/>
      <c r="GL34" s="167"/>
      <c r="GM34" s="167"/>
      <c r="GN34" s="167"/>
      <c r="GO34" s="167"/>
      <c r="GP34" s="167"/>
      <c r="GQ34" s="167"/>
      <c r="GR34" s="167"/>
      <c r="GS34" s="167"/>
      <c r="GT34" s="167"/>
      <c r="GU34" s="167"/>
      <c r="GV34" s="167"/>
      <c r="GW34" s="167"/>
      <c r="GX34" s="167"/>
      <c r="GY34" s="167"/>
      <c r="GZ34" s="167"/>
      <c r="HA34" s="167"/>
      <c r="HB34" s="167"/>
      <c r="HC34" s="167"/>
      <c r="HD34" s="167"/>
      <c r="HE34" s="167"/>
      <c r="HF34" s="167"/>
      <c r="HG34" s="167"/>
      <c r="HH34" s="167"/>
      <c r="HI34" s="167"/>
      <c r="HJ34" s="167"/>
      <c r="HK34" s="167"/>
      <c r="HL34" s="167"/>
      <c r="HM34" s="167"/>
      <c r="HN34" s="167"/>
      <c r="HO34" s="167"/>
      <c r="HP34" s="167"/>
      <c r="HQ34" s="167"/>
      <c r="HR34" s="167"/>
      <c r="HS34" s="167"/>
      <c r="HT34" s="167"/>
      <c r="HU34" s="167"/>
      <c r="HV34" s="167"/>
      <c r="HW34" s="167"/>
      <c r="HX34" s="167"/>
      <c r="HY34" s="167"/>
      <c r="HZ34" s="167"/>
      <c r="IA34" s="167"/>
      <c r="IB34" s="167"/>
      <c r="IC34" s="167"/>
      <c r="ID34" s="167"/>
      <c r="IE34" s="167"/>
      <c r="IF34" s="167"/>
      <c r="IG34" s="167"/>
      <c r="IH34" s="167"/>
      <c r="II34" s="167"/>
      <c r="IJ34" s="167"/>
      <c r="IK34" s="167"/>
      <c r="IL34" s="167"/>
      <c r="IM34" s="167"/>
      <c r="IN34" s="167"/>
      <c r="IO34" s="167"/>
      <c r="IP34" s="167"/>
      <c r="IQ34" s="167"/>
      <c r="IR34" s="167"/>
      <c r="IS34" s="167"/>
      <c r="IT34" s="167"/>
      <c r="IU34" s="167"/>
      <c r="IV34" s="167"/>
      <c r="IW34" s="167"/>
      <c r="IX34" s="167"/>
      <c r="IY34" s="167"/>
      <c r="IZ34" s="167"/>
      <c r="JA34" s="167"/>
    </row>
    <row r="35" spans="1:261" ht="16.5">
      <c r="A35" s="295"/>
      <c r="B35" s="295"/>
      <c r="C35" s="295"/>
      <c r="D35" s="295"/>
      <c r="E35" s="295"/>
      <c r="F35" s="295"/>
      <c r="G35" s="308"/>
      <c r="H35" s="308"/>
      <c r="I35" s="295"/>
      <c r="J35" s="295"/>
      <c r="K35" s="295"/>
      <c r="L35" s="308"/>
      <c r="M35" s="308"/>
      <c r="N35" s="312"/>
      <c r="O35" s="295"/>
      <c r="P35" s="295"/>
      <c r="Q35" s="295"/>
      <c r="R35" s="295"/>
      <c r="S35" s="295"/>
      <c r="T35" s="313"/>
      <c r="U35" s="295"/>
      <c r="V35" s="295"/>
      <c r="W35" s="286"/>
      <c r="X35" s="295"/>
      <c r="Y35" s="295"/>
      <c r="Z35" s="302"/>
      <c r="AA35" s="295"/>
      <c r="AB35" s="167"/>
      <c r="AC35" s="167"/>
      <c r="AD35" s="167"/>
      <c r="AE35" s="167"/>
      <c r="AF35" s="167"/>
      <c r="AG35" s="167"/>
      <c r="AH35" s="167"/>
      <c r="AI35" s="167"/>
      <c r="AJ35" s="167"/>
      <c r="AK35" s="167"/>
      <c r="AL35" s="167"/>
      <c r="AM35" s="167"/>
      <c r="AN35" s="167"/>
      <c r="AO35" s="167"/>
      <c r="AP35" s="167"/>
      <c r="AQ35" s="167"/>
      <c r="AR35" s="167"/>
      <c r="AS35" s="167"/>
      <c r="AT35" s="167"/>
      <c r="AU35" s="167"/>
      <c r="AV35" s="167"/>
      <c r="AW35" s="167"/>
      <c r="AX35" s="167"/>
      <c r="AY35" s="167"/>
      <c r="AZ35" s="167"/>
      <c r="BA35" s="167"/>
      <c r="BB35" s="167"/>
      <c r="BC35" s="167"/>
      <c r="BD35" s="167"/>
      <c r="BE35" s="167"/>
      <c r="BF35" s="167"/>
      <c r="BG35" s="167"/>
      <c r="BH35" s="167"/>
      <c r="BI35" s="167"/>
      <c r="BJ35" s="167"/>
      <c r="BK35" s="167"/>
      <c r="BL35" s="167"/>
      <c r="BM35" s="167"/>
      <c r="BN35" s="167"/>
      <c r="BO35" s="167"/>
      <c r="BP35" s="167"/>
      <c r="BQ35" s="167"/>
      <c r="BR35" s="167"/>
      <c r="BS35" s="167"/>
      <c r="BT35" s="167"/>
      <c r="BU35" s="167"/>
      <c r="BV35" s="167"/>
      <c r="BW35" s="167"/>
      <c r="BX35" s="167"/>
      <c r="BY35" s="167"/>
      <c r="BZ35" s="167"/>
      <c r="CA35" s="167"/>
      <c r="CB35" s="167"/>
      <c r="CC35" s="167"/>
      <c r="CD35" s="167"/>
      <c r="CE35" s="167"/>
      <c r="CF35" s="167"/>
      <c r="CG35" s="167"/>
      <c r="CH35" s="167"/>
      <c r="CI35" s="167"/>
      <c r="CJ35" s="167"/>
      <c r="CK35" s="167"/>
      <c r="CL35" s="167"/>
      <c r="CM35" s="167"/>
      <c r="CN35" s="167"/>
      <c r="CO35" s="167"/>
      <c r="CP35" s="167"/>
      <c r="CQ35" s="167"/>
      <c r="CR35" s="167"/>
      <c r="CS35" s="167"/>
      <c r="CT35" s="167"/>
      <c r="CU35" s="167"/>
      <c r="CV35" s="167"/>
      <c r="CW35" s="167"/>
      <c r="CX35" s="167"/>
      <c r="CY35" s="167"/>
      <c r="CZ35" s="167"/>
      <c r="DA35" s="167"/>
      <c r="DB35" s="167"/>
      <c r="DC35" s="167"/>
      <c r="DD35" s="167"/>
      <c r="DE35" s="167"/>
      <c r="DF35" s="167"/>
      <c r="DG35" s="167"/>
      <c r="DH35" s="167"/>
      <c r="DI35" s="167"/>
      <c r="DJ35" s="167"/>
      <c r="DK35" s="167"/>
      <c r="DL35" s="167"/>
      <c r="DM35" s="167"/>
      <c r="DN35" s="167"/>
      <c r="DO35" s="167"/>
      <c r="DP35" s="167"/>
      <c r="DQ35" s="167"/>
      <c r="DR35" s="167"/>
      <c r="DS35" s="167"/>
      <c r="DT35" s="167"/>
      <c r="DU35" s="167"/>
      <c r="DV35" s="167"/>
      <c r="DW35" s="167"/>
      <c r="DX35" s="167"/>
      <c r="DY35" s="167"/>
      <c r="DZ35" s="167"/>
      <c r="EA35" s="167"/>
      <c r="EB35" s="167"/>
      <c r="EC35" s="167"/>
      <c r="ED35" s="167"/>
      <c r="EE35" s="167"/>
      <c r="EF35" s="167"/>
      <c r="EG35" s="167"/>
      <c r="EH35" s="167"/>
      <c r="EI35" s="167"/>
      <c r="EJ35" s="167"/>
      <c r="EK35" s="167"/>
      <c r="EL35" s="167"/>
      <c r="EM35" s="167"/>
      <c r="EN35" s="167"/>
      <c r="EO35" s="167"/>
      <c r="EP35" s="167"/>
      <c r="EQ35" s="167"/>
      <c r="ER35" s="167"/>
      <c r="ES35" s="167"/>
      <c r="ET35" s="167"/>
      <c r="EU35" s="167"/>
      <c r="EV35" s="167"/>
      <c r="EW35" s="167"/>
      <c r="EX35" s="167"/>
      <c r="EY35" s="167"/>
      <c r="EZ35" s="167"/>
      <c r="FA35" s="167"/>
      <c r="FB35" s="167"/>
      <c r="FC35" s="167"/>
      <c r="FD35" s="167"/>
      <c r="FE35" s="167"/>
      <c r="FF35" s="167"/>
      <c r="FG35" s="167"/>
      <c r="FH35" s="167"/>
      <c r="FI35" s="167"/>
      <c r="FJ35" s="167"/>
      <c r="FK35" s="167"/>
      <c r="FL35" s="167"/>
      <c r="FM35" s="167"/>
      <c r="FN35" s="167"/>
      <c r="FO35" s="167"/>
      <c r="FP35" s="167"/>
      <c r="FQ35" s="167"/>
      <c r="FR35" s="167"/>
      <c r="FS35" s="167"/>
      <c r="FT35" s="167"/>
      <c r="FU35" s="167"/>
      <c r="FV35" s="167"/>
      <c r="FW35" s="167"/>
      <c r="FX35" s="167"/>
      <c r="FY35" s="167"/>
      <c r="FZ35" s="167"/>
      <c r="GA35" s="167"/>
      <c r="GB35" s="167"/>
      <c r="GC35" s="167"/>
      <c r="GD35" s="167"/>
      <c r="GE35" s="167"/>
      <c r="GF35" s="167"/>
      <c r="GG35" s="167"/>
      <c r="GH35" s="167"/>
      <c r="GI35" s="167"/>
      <c r="GJ35" s="167"/>
      <c r="GK35" s="167"/>
      <c r="GL35" s="167"/>
      <c r="GM35" s="167"/>
      <c r="GN35" s="167"/>
      <c r="GO35" s="167"/>
      <c r="GP35" s="167"/>
      <c r="GQ35" s="167"/>
      <c r="GR35" s="167"/>
      <c r="GS35" s="167"/>
      <c r="GT35" s="167"/>
      <c r="GU35" s="167"/>
      <c r="GV35" s="167"/>
      <c r="GW35" s="167"/>
      <c r="GX35" s="167"/>
      <c r="GY35" s="167"/>
      <c r="GZ35" s="167"/>
      <c r="HA35" s="167"/>
      <c r="HB35" s="167"/>
      <c r="HC35" s="167"/>
      <c r="HD35" s="167"/>
      <c r="HE35" s="167"/>
      <c r="HF35" s="167"/>
      <c r="HG35" s="167"/>
      <c r="HH35" s="167"/>
      <c r="HI35" s="167"/>
      <c r="HJ35" s="167"/>
      <c r="HK35" s="167"/>
      <c r="HL35" s="167"/>
      <c r="HM35" s="167"/>
      <c r="HN35" s="167"/>
      <c r="HO35" s="167"/>
      <c r="HP35" s="167"/>
      <c r="HQ35" s="167"/>
      <c r="HR35" s="167"/>
      <c r="HS35" s="167"/>
      <c r="HT35" s="167"/>
      <c r="HU35" s="167"/>
      <c r="HV35" s="167"/>
      <c r="HW35" s="167"/>
      <c r="HX35" s="167"/>
      <c r="HY35" s="167"/>
      <c r="HZ35" s="167"/>
      <c r="IA35" s="167"/>
      <c r="IB35" s="167"/>
      <c r="IC35" s="167"/>
      <c r="ID35" s="167"/>
      <c r="IE35" s="167"/>
      <c r="IF35" s="167"/>
      <c r="IG35" s="167"/>
      <c r="IH35" s="167"/>
      <c r="II35" s="167"/>
      <c r="IJ35" s="167"/>
      <c r="IK35" s="167"/>
      <c r="IL35" s="167"/>
      <c r="IM35" s="167"/>
      <c r="IN35" s="167"/>
      <c r="IO35" s="167"/>
      <c r="IP35" s="167"/>
      <c r="IQ35" s="167"/>
      <c r="IR35" s="167"/>
      <c r="IS35" s="167"/>
      <c r="IT35" s="167"/>
      <c r="IU35" s="167"/>
      <c r="IV35" s="167"/>
      <c r="IW35" s="167"/>
      <c r="IX35" s="167"/>
      <c r="IY35" s="167"/>
      <c r="IZ35" s="167"/>
      <c r="JA35" s="167"/>
    </row>
    <row r="36" spans="1:261" ht="16.5">
      <c r="A36" s="295"/>
      <c r="B36" s="295"/>
      <c r="C36" s="295"/>
      <c r="D36" s="295"/>
      <c r="E36" s="295"/>
      <c r="F36" s="295"/>
      <c r="G36" s="308"/>
      <c r="H36" s="308"/>
      <c r="I36" s="295"/>
      <c r="J36" s="295"/>
      <c r="K36" s="295"/>
      <c r="L36" s="308"/>
      <c r="M36" s="308"/>
      <c r="N36" s="312"/>
      <c r="O36" s="295"/>
      <c r="P36" s="295"/>
      <c r="Q36" s="295"/>
      <c r="R36" s="295"/>
      <c r="S36" s="295"/>
      <c r="T36" s="313"/>
      <c r="U36" s="295"/>
      <c r="V36" s="295"/>
      <c r="W36" s="286"/>
      <c r="X36" s="295"/>
      <c r="Y36" s="295"/>
      <c r="Z36" s="302"/>
      <c r="AA36" s="295"/>
      <c r="AB36" s="167"/>
      <c r="AC36" s="167"/>
      <c r="AD36" s="167"/>
      <c r="AE36" s="167"/>
      <c r="AF36" s="167"/>
      <c r="AG36" s="167"/>
      <c r="AH36" s="167"/>
      <c r="AI36" s="167"/>
      <c r="AJ36" s="167"/>
      <c r="AK36" s="167"/>
      <c r="AL36" s="167"/>
      <c r="AM36" s="167"/>
      <c r="AN36" s="167"/>
      <c r="AO36" s="167"/>
      <c r="AP36" s="167"/>
      <c r="AQ36" s="167"/>
      <c r="AR36" s="167"/>
      <c r="AS36" s="167"/>
      <c r="AT36" s="167"/>
      <c r="AU36" s="167"/>
      <c r="AV36" s="167"/>
      <c r="AW36" s="167"/>
      <c r="AX36" s="167"/>
      <c r="AY36" s="167"/>
      <c r="AZ36" s="167"/>
      <c r="BA36" s="167"/>
      <c r="BB36" s="167"/>
      <c r="BC36" s="167"/>
      <c r="BD36" s="167"/>
      <c r="BE36" s="167"/>
      <c r="BF36" s="167"/>
      <c r="BG36" s="167"/>
      <c r="BH36" s="167"/>
      <c r="BI36" s="167"/>
      <c r="BJ36" s="167"/>
      <c r="BK36" s="167"/>
      <c r="BL36" s="167"/>
      <c r="BM36" s="167"/>
      <c r="BN36" s="167"/>
      <c r="BO36" s="167"/>
      <c r="BP36" s="167"/>
      <c r="BQ36" s="167"/>
      <c r="BR36" s="167"/>
      <c r="BS36" s="167"/>
      <c r="BT36" s="167"/>
      <c r="BU36" s="167"/>
      <c r="BV36" s="167"/>
      <c r="BW36" s="167"/>
      <c r="BX36" s="167"/>
      <c r="BY36" s="167"/>
      <c r="BZ36" s="167"/>
      <c r="CA36" s="167"/>
      <c r="CB36" s="167"/>
      <c r="CC36" s="167"/>
      <c r="CD36" s="167"/>
      <c r="CE36" s="167"/>
      <c r="CF36" s="167"/>
      <c r="CG36" s="167"/>
      <c r="CH36" s="167"/>
      <c r="CI36" s="167"/>
      <c r="CJ36" s="167"/>
      <c r="CK36" s="167"/>
      <c r="CL36" s="167"/>
      <c r="CM36" s="167"/>
      <c r="CN36" s="167"/>
      <c r="CO36" s="167"/>
      <c r="CP36" s="167"/>
      <c r="CQ36" s="167"/>
      <c r="CR36" s="167"/>
      <c r="CS36" s="167"/>
      <c r="CT36" s="167"/>
      <c r="CU36" s="167"/>
      <c r="CV36" s="167"/>
      <c r="CW36" s="167"/>
      <c r="CX36" s="167"/>
      <c r="CY36" s="167"/>
      <c r="CZ36" s="167"/>
      <c r="DA36" s="167"/>
      <c r="DB36" s="167"/>
      <c r="DC36" s="167"/>
      <c r="DD36" s="167"/>
      <c r="DE36" s="167"/>
      <c r="DF36" s="167"/>
      <c r="DG36" s="167"/>
      <c r="DH36" s="167"/>
      <c r="DI36" s="167"/>
      <c r="DJ36" s="167"/>
      <c r="DK36" s="167"/>
      <c r="DL36" s="167"/>
      <c r="DM36" s="167"/>
      <c r="DN36" s="167"/>
      <c r="DO36" s="167"/>
      <c r="DP36" s="167"/>
      <c r="DQ36" s="167"/>
      <c r="DR36" s="167"/>
      <c r="DS36" s="167"/>
      <c r="DT36" s="167"/>
      <c r="DU36" s="167"/>
      <c r="DV36" s="167"/>
      <c r="DW36" s="167"/>
      <c r="DX36" s="167"/>
      <c r="DY36" s="167"/>
      <c r="DZ36" s="167"/>
      <c r="EA36" s="167"/>
      <c r="EB36" s="167"/>
      <c r="EC36" s="167"/>
      <c r="ED36" s="167"/>
      <c r="EE36" s="167"/>
      <c r="EF36" s="167"/>
      <c r="EG36" s="167"/>
      <c r="EH36" s="167"/>
      <c r="EI36" s="167"/>
      <c r="EJ36" s="167"/>
      <c r="EK36" s="167"/>
      <c r="EL36" s="167"/>
      <c r="EM36" s="167"/>
      <c r="EN36" s="167"/>
      <c r="EO36" s="167"/>
      <c r="EP36" s="167"/>
      <c r="EQ36" s="167"/>
      <c r="ER36" s="167"/>
      <c r="ES36" s="167"/>
      <c r="ET36" s="167"/>
      <c r="EU36" s="167"/>
      <c r="EV36" s="167"/>
      <c r="EW36" s="167"/>
      <c r="EX36" s="167"/>
      <c r="EY36" s="167"/>
      <c r="EZ36" s="167"/>
      <c r="FA36" s="167"/>
      <c r="FB36" s="167"/>
      <c r="FC36" s="167"/>
      <c r="FD36" s="167"/>
      <c r="FE36" s="167"/>
      <c r="FF36" s="167"/>
      <c r="FG36" s="167"/>
      <c r="FH36" s="167"/>
      <c r="FI36" s="167"/>
      <c r="FJ36" s="167"/>
      <c r="FK36" s="167"/>
      <c r="FL36" s="167"/>
      <c r="FM36" s="167"/>
      <c r="FN36" s="167"/>
      <c r="FO36" s="167"/>
      <c r="FP36" s="167"/>
      <c r="FQ36" s="167"/>
      <c r="FR36" s="167"/>
      <c r="FS36" s="167"/>
      <c r="FT36" s="167"/>
      <c r="FU36" s="167"/>
      <c r="FV36" s="167"/>
      <c r="FW36" s="167"/>
      <c r="FX36" s="167"/>
      <c r="FY36" s="167"/>
      <c r="FZ36" s="167"/>
      <c r="GA36" s="167"/>
      <c r="GB36" s="167"/>
      <c r="GC36" s="167"/>
      <c r="GD36" s="167"/>
      <c r="GE36" s="167"/>
      <c r="GF36" s="167"/>
      <c r="GG36" s="167"/>
      <c r="GH36" s="167"/>
      <c r="GI36" s="167"/>
      <c r="GJ36" s="167"/>
      <c r="GK36" s="167"/>
      <c r="GL36" s="167"/>
      <c r="GM36" s="167"/>
      <c r="GN36" s="167"/>
      <c r="GO36" s="167"/>
      <c r="GP36" s="167"/>
      <c r="GQ36" s="167"/>
      <c r="GR36" s="167"/>
      <c r="GS36" s="167"/>
      <c r="GT36" s="167"/>
      <c r="GU36" s="167"/>
      <c r="GV36" s="167"/>
      <c r="GW36" s="167"/>
      <c r="GX36" s="167"/>
      <c r="GY36" s="167"/>
      <c r="GZ36" s="167"/>
      <c r="HA36" s="167"/>
      <c r="HB36" s="167"/>
      <c r="HC36" s="167"/>
      <c r="HD36" s="167"/>
      <c r="HE36" s="167"/>
      <c r="HF36" s="167"/>
      <c r="HG36" s="167"/>
      <c r="HH36" s="167"/>
      <c r="HI36" s="167"/>
      <c r="HJ36" s="167"/>
      <c r="HK36" s="167"/>
      <c r="HL36" s="167"/>
      <c r="HM36" s="167"/>
      <c r="HN36" s="167"/>
      <c r="HO36" s="167"/>
      <c r="HP36" s="167"/>
      <c r="HQ36" s="167"/>
      <c r="HR36" s="167"/>
      <c r="HS36" s="167"/>
      <c r="HT36" s="167"/>
      <c r="HU36" s="167"/>
      <c r="HV36" s="167"/>
      <c r="HW36" s="167"/>
      <c r="HX36" s="167"/>
      <c r="HY36" s="167"/>
      <c r="HZ36" s="167"/>
      <c r="IA36" s="167"/>
      <c r="IB36" s="167"/>
      <c r="IC36" s="167"/>
      <c r="ID36" s="167"/>
      <c r="IE36" s="167"/>
      <c r="IF36" s="167"/>
      <c r="IG36" s="167"/>
      <c r="IH36" s="167"/>
      <c r="II36" s="167"/>
      <c r="IJ36" s="167"/>
      <c r="IK36" s="167"/>
      <c r="IL36" s="167"/>
      <c r="IM36" s="167"/>
      <c r="IN36" s="167"/>
      <c r="IO36" s="167"/>
      <c r="IP36" s="167"/>
      <c r="IQ36" s="167"/>
      <c r="IR36" s="167"/>
      <c r="IS36" s="167"/>
      <c r="IT36" s="167"/>
      <c r="IU36" s="167"/>
      <c r="IV36" s="167"/>
      <c r="IW36" s="167"/>
      <c r="IX36" s="167"/>
      <c r="IY36" s="167"/>
      <c r="IZ36" s="167"/>
      <c r="JA36" s="167"/>
    </row>
    <row r="37" spans="1:261" ht="16.5">
      <c r="A37" s="295"/>
      <c r="B37" s="295"/>
      <c r="C37" s="295"/>
      <c r="D37" s="295"/>
      <c r="E37" s="295"/>
      <c r="F37" s="295"/>
      <c r="G37" s="308"/>
      <c r="H37" s="308"/>
      <c r="I37" s="295"/>
      <c r="J37" s="295"/>
      <c r="K37" s="295"/>
      <c r="L37" s="308"/>
      <c r="M37" s="308"/>
      <c r="N37" s="312"/>
      <c r="O37" s="295"/>
      <c r="P37" s="295"/>
      <c r="Q37" s="295"/>
      <c r="R37" s="295"/>
      <c r="S37" s="295"/>
      <c r="T37" s="313"/>
      <c r="U37" s="295"/>
      <c r="V37" s="295"/>
      <c r="W37" s="286"/>
      <c r="X37" s="295"/>
      <c r="Y37" s="295"/>
      <c r="Z37" s="302"/>
      <c r="AA37" s="295"/>
      <c r="AB37" s="167"/>
      <c r="AC37" s="167"/>
      <c r="AD37" s="167"/>
      <c r="AE37" s="167"/>
      <c r="AF37" s="167"/>
      <c r="AG37" s="167"/>
      <c r="AH37" s="167"/>
      <c r="AI37" s="167"/>
      <c r="AJ37" s="167"/>
      <c r="AK37" s="167"/>
      <c r="AL37" s="167"/>
      <c r="AM37" s="167"/>
      <c r="AN37" s="167"/>
      <c r="AO37" s="167"/>
      <c r="AP37" s="167"/>
      <c r="AQ37" s="167"/>
      <c r="AR37" s="167"/>
      <c r="AS37" s="167"/>
      <c r="AT37" s="167"/>
      <c r="AU37" s="167"/>
      <c r="AV37" s="167"/>
      <c r="AW37" s="167"/>
      <c r="AX37" s="167"/>
      <c r="AY37" s="167"/>
      <c r="AZ37" s="167"/>
      <c r="BA37" s="167"/>
      <c r="BB37" s="167"/>
      <c r="BC37" s="167"/>
      <c r="BD37" s="167"/>
      <c r="BE37" s="167"/>
      <c r="BF37" s="167"/>
      <c r="BG37" s="167"/>
      <c r="BH37" s="167"/>
      <c r="BI37" s="167"/>
      <c r="BJ37" s="167"/>
      <c r="BK37" s="167"/>
      <c r="BL37" s="167"/>
      <c r="BM37" s="167"/>
      <c r="BN37" s="167"/>
      <c r="BO37" s="167"/>
      <c r="BP37" s="167"/>
      <c r="BQ37" s="167"/>
      <c r="BR37" s="167"/>
      <c r="BS37" s="167"/>
      <c r="BT37" s="167"/>
      <c r="BU37" s="167"/>
      <c r="BV37" s="167"/>
      <c r="BW37" s="167"/>
      <c r="BX37" s="167"/>
      <c r="BY37" s="167"/>
      <c r="BZ37" s="167"/>
      <c r="CA37" s="167"/>
      <c r="CB37" s="167"/>
      <c r="CC37" s="167"/>
      <c r="CD37" s="167"/>
      <c r="CE37" s="167"/>
      <c r="CF37" s="167"/>
      <c r="CG37" s="167"/>
      <c r="CH37" s="167"/>
      <c r="CI37" s="167"/>
      <c r="CJ37" s="167"/>
      <c r="CK37" s="167"/>
      <c r="CL37" s="167"/>
      <c r="CM37" s="167"/>
      <c r="CN37" s="167"/>
      <c r="CO37" s="167"/>
      <c r="CP37" s="167"/>
      <c r="CQ37" s="167"/>
      <c r="CR37" s="167"/>
      <c r="CS37" s="167"/>
      <c r="CT37" s="167"/>
      <c r="CU37" s="167"/>
      <c r="CV37" s="167"/>
      <c r="CW37" s="167"/>
      <c r="CX37" s="167"/>
      <c r="CY37" s="167"/>
      <c r="CZ37" s="167"/>
      <c r="DA37" s="167"/>
      <c r="DB37" s="167"/>
      <c r="DC37" s="167"/>
      <c r="DD37" s="167"/>
      <c r="DE37" s="167"/>
      <c r="DF37" s="167"/>
      <c r="DG37" s="167"/>
      <c r="DH37" s="167"/>
      <c r="DI37" s="167"/>
      <c r="DJ37" s="167"/>
      <c r="DK37" s="167"/>
      <c r="DL37" s="167"/>
      <c r="DM37" s="167"/>
      <c r="DN37" s="167"/>
      <c r="DO37" s="167"/>
      <c r="DP37" s="167"/>
      <c r="DQ37" s="167"/>
      <c r="DR37" s="167"/>
      <c r="DS37" s="167"/>
      <c r="DT37" s="167"/>
      <c r="DU37" s="167"/>
      <c r="DV37" s="167"/>
      <c r="DW37" s="167"/>
      <c r="DX37" s="167"/>
      <c r="DY37" s="167"/>
      <c r="DZ37" s="167"/>
      <c r="EA37" s="167"/>
      <c r="EB37" s="167"/>
      <c r="EC37" s="167"/>
      <c r="ED37" s="167"/>
      <c r="EE37" s="167"/>
      <c r="EF37" s="167"/>
      <c r="EG37" s="167"/>
      <c r="EH37" s="167"/>
      <c r="EI37" s="167"/>
      <c r="EJ37" s="167"/>
      <c r="EK37" s="167"/>
      <c r="EL37" s="167"/>
      <c r="EM37" s="167"/>
      <c r="EN37" s="167"/>
      <c r="EO37" s="167"/>
      <c r="EP37" s="167"/>
      <c r="EQ37" s="167"/>
      <c r="ER37" s="167"/>
      <c r="ES37" s="167"/>
      <c r="ET37" s="167"/>
      <c r="EU37" s="167"/>
      <c r="EV37" s="167"/>
      <c r="EW37" s="167"/>
      <c r="EX37" s="167"/>
      <c r="EY37" s="167"/>
      <c r="EZ37" s="167"/>
      <c r="FA37" s="167"/>
      <c r="FB37" s="167"/>
      <c r="FC37" s="167"/>
      <c r="FD37" s="167"/>
      <c r="FE37" s="167"/>
      <c r="FF37" s="167"/>
      <c r="FG37" s="167"/>
      <c r="FH37" s="167"/>
      <c r="FI37" s="167"/>
      <c r="FJ37" s="167"/>
      <c r="FK37" s="167"/>
      <c r="FL37" s="167"/>
      <c r="FM37" s="167"/>
      <c r="FN37" s="167"/>
      <c r="FO37" s="167"/>
      <c r="FP37" s="167"/>
      <c r="FQ37" s="167"/>
      <c r="FR37" s="167"/>
      <c r="FS37" s="167"/>
      <c r="FT37" s="167"/>
      <c r="FU37" s="167"/>
      <c r="FV37" s="167"/>
      <c r="FW37" s="167"/>
      <c r="FX37" s="167"/>
      <c r="FY37" s="167"/>
      <c r="FZ37" s="167"/>
      <c r="GA37" s="167"/>
      <c r="GB37" s="167"/>
      <c r="GC37" s="167"/>
      <c r="GD37" s="167"/>
      <c r="GE37" s="167"/>
      <c r="GF37" s="167"/>
      <c r="GG37" s="167"/>
      <c r="GH37" s="167"/>
      <c r="GI37" s="167"/>
      <c r="GJ37" s="167"/>
      <c r="GK37" s="167"/>
      <c r="GL37" s="167"/>
      <c r="GM37" s="167"/>
      <c r="GN37" s="167"/>
      <c r="GO37" s="167"/>
      <c r="GP37" s="167"/>
      <c r="GQ37" s="167"/>
      <c r="GR37" s="167"/>
      <c r="GS37" s="167"/>
      <c r="GT37" s="167"/>
      <c r="GU37" s="167"/>
      <c r="GV37" s="167"/>
      <c r="GW37" s="167"/>
      <c r="GX37" s="167"/>
      <c r="GY37" s="167"/>
      <c r="GZ37" s="167"/>
      <c r="HA37" s="167"/>
      <c r="HB37" s="167"/>
      <c r="HC37" s="167"/>
      <c r="HD37" s="167"/>
      <c r="HE37" s="167"/>
      <c r="HF37" s="167"/>
      <c r="HG37" s="167"/>
      <c r="HH37" s="167"/>
      <c r="HI37" s="167"/>
      <c r="HJ37" s="167"/>
      <c r="HK37" s="167"/>
      <c r="HL37" s="167"/>
      <c r="HM37" s="167"/>
      <c r="HN37" s="167"/>
      <c r="HO37" s="167"/>
      <c r="HP37" s="167"/>
      <c r="HQ37" s="167"/>
      <c r="HR37" s="167"/>
      <c r="HS37" s="167"/>
      <c r="HT37" s="167"/>
      <c r="HU37" s="167"/>
      <c r="HV37" s="167"/>
      <c r="HW37" s="167"/>
      <c r="HX37" s="167"/>
      <c r="HY37" s="167"/>
      <c r="HZ37" s="167"/>
      <c r="IA37" s="167"/>
      <c r="IB37" s="167"/>
      <c r="IC37" s="167"/>
      <c r="ID37" s="167"/>
      <c r="IE37" s="167"/>
      <c r="IF37" s="167"/>
      <c r="IG37" s="167"/>
      <c r="IH37" s="167"/>
      <c r="II37" s="167"/>
      <c r="IJ37" s="167"/>
      <c r="IK37" s="167"/>
      <c r="IL37" s="167"/>
      <c r="IM37" s="167"/>
      <c r="IN37" s="167"/>
      <c r="IO37" s="167"/>
      <c r="IP37" s="167"/>
      <c r="IQ37" s="167"/>
      <c r="IR37" s="167"/>
      <c r="IS37" s="167"/>
      <c r="IT37" s="167"/>
      <c r="IU37" s="167"/>
      <c r="IV37" s="167"/>
      <c r="IW37" s="167"/>
      <c r="IX37" s="167"/>
      <c r="IY37" s="167"/>
      <c r="IZ37" s="167"/>
      <c r="JA37" s="167"/>
    </row>
  </sheetData>
  <mergeCells count="13">
    <mergeCell ref="A8:M8"/>
    <mergeCell ref="A1:M1"/>
    <mergeCell ref="A2:M2"/>
    <mergeCell ref="A3:M3"/>
    <mergeCell ref="A4:F4"/>
    <mergeCell ref="A5:F5"/>
    <mergeCell ref="A28:M28"/>
    <mergeCell ref="A9:M9"/>
    <mergeCell ref="A12:C12"/>
    <mergeCell ref="A15:C15"/>
    <mergeCell ref="D18:M18"/>
    <mergeCell ref="A20:M20"/>
    <mergeCell ref="A27:B27"/>
  </mergeCells>
  <printOptions horizontalCentered="1"/>
  <pageMargins left="0.196850393700787" right="0.196850393700787" top="0.34" bottom="0.59055118110236204" header="0.2" footer="0.31496062992126"/>
  <pageSetup paperSize="9" scale="65" fitToHeight="0" orientation="landscape" r:id="rId1"/>
  <colBreaks count="1" manualBreakCount="1">
    <brk id="13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N46"/>
  <sheetViews>
    <sheetView topLeftCell="A15" zoomScale="90" zoomScaleNormal="90" zoomScaleSheetLayoutView="100" workbookViewId="0">
      <selection activeCell="G22" sqref="G22:G31"/>
    </sheetView>
  </sheetViews>
  <sheetFormatPr defaultColWidth="9.140625" defaultRowHeight="15.75"/>
  <cols>
    <col min="1" max="1" width="5.85546875" style="4" customWidth="1"/>
    <col min="2" max="2" width="45.85546875" style="4" customWidth="1"/>
    <col min="3" max="3" width="13.7109375" style="26" customWidth="1"/>
    <col min="4" max="4" width="15.5703125" style="235" customWidth="1"/>
    <col min="5" max="5" width="17.7109375" style="1042" hidden="1" customWidth="1"/>
    <col min="6" max="6" width="25.5703125" style="153" customWidth="1"/>
    <col min="7" max="7" width="23.7109375" style="153" customWidth="1"/>
    <col min="8" max="8" width="19.42578125" style="153" hidden="1" customWidth="1"/>
    <col min="9" max="9" width="24.42578125" style="246" customWidth="1"/>
    <col min="10" max="10" width="15" style="4" hidden="1" customWidth="1"/>
    <col min="11" max="11" width="18.42578125" style="4" hidden="1" customWidth="1"/>
    <col min="12" max="12" width="21.28515625" style="4" hidden="1" customWidth="1"/>
    <col min="13" max="13" width="15.5703125" style="4" hidden="1" customWidth="1"/>
    <col min="14" max="14" width="11.85546875" style="4" customWidth="1"/>
    <col min="15" max="16384" width="9.140625" style="4"/>
  </cols>
  <sheetData>
    <row r="2" spans="1:13">
      <c r="A2" s="1443" t="s">
        <v>56</v>
      </c>
      <c r="B2" s="1443"/>
      <c r="C2" s="1443"/>
      <c r="D2" s="1443"/>
      <c r="E2" s="1443"/>
      <c r="F2" s="1443"/>
      <c r="G2" s="1443"/>
      <c r="H2" s="1443"/>
      <c r="I2" s="1443"/>
    </row>
    <row r="3" spans="1:13">
      <c r="A3" s="1443" t="s">
        <v>1</v>
      </c>
      <c r="B3" s="1443"/>
      <c r="C3" s="1443"/>
      <c r="D3" s="1443"/>
      <c r="E3" s="1443"/>
      <c r="F3" s="1443"/>
      <c r="G3" s="1443"/>
      <c r="H3" s="1443"/>
      <c r="I3" s="1443"/>
    </row>
    <row r="4" spans="1:13">
      <c r="A4" s="1586" t="s">
        <v>295</v>
      </c>
      <c r="B4" s="1443"/>
      <c r="C4" s="1443"/>
      <c r="D4" s="1443"/>
      <c r="E4" s="1443"/>
      <c r="F4" s="1443"/>
      <c r="G4" s="1443"/>
      <c r="H4" s="1443"/>
      <c r="I4" s="1443"/>
    </row>
    <row r="5" spans="1:13" ht="13.5" customHeight="1">
      <c r="H5" s="235"/>
      <c r="I5" s="242"/>
    </row>
    <row r="6" spans="1:13" ht="18" customHeight="1">
      <c r="A6" s="1587" t="s">
        <v>0</v>
      </c>
      <c r="B6" s="1587"/>
      <c r="C6" s="1587"/>
      <c r="H6" s="235"/>
      <c r="I6" s="242"/>
    </row>
    <row r="7" spans="1:13" ht="15" customHeight="1">
      <c r="A7" s="1588" t="s">
        <v>643</v>
      </c>
      <c r="B7" s="1588"/>
      <c r="C7" s="1588"/>
      <c r="H7" s="235"/>
      <c r="I7" s="242"/>
    </row>
    <row r="8" spans="1:13" ht="15" customHeight="1">
      <c r="A8" s="1040"/>
      <c r="B8" s="1040"/>
      <c r="C8" s="1040"/>
      <c r="H8" s="235"/>
      <c r="I8" s="242"/>
    </row>
    <row r="9" spans="1:13" s="97" customFormat="1" ht="20.25" customHeight="1">
      <c r="A9" s="1592" t="s">
        <v>684</v>
      </c>
      <c r="B9" s="1592"/>
      <c r="C9" s="1592"/>
      <c r="D9" s="1592"/>
      <c r="E9" s="1592"/>
      <c r="F9" s="1592"/>
      <c r="G9" s="1592"/>
      <c r="H9" s="1592"/>
      <c r="I9" s="1592"/>
    </row>
    <row r="10" spans="1:13" ht="15.75" customHeight="1">
      <c r="A10" s="1593" t="s">
        <v>685</v>
      </c>
      <c r="B10" s="1594"/>
      <c r="C10" s="1594"/>
      <c r="D10" s="1594"/>
      <c r="E10" s="1594"/>
      <c r="F10" s="1594"/>
      <c r="G10" s="1594"/>
      <c r="H10" s="1594"/>
      <c r="I10" s="1594"/>
    </row>
    <row r="11" spans="1:13" ht="15.75" customHeight="1">
      <c r="A11" s="1039"/>
      <c r="B11" s="1039"/>
      <c r="F11" s="235"/>
      <c r="G11" s="235"/>
      <c r="H11" s="1595" t="s">
        <v>426</v>
      </c>
      <c r="I11" s="1595"/>
      <c r="J11" s="4">
        <f>'CNKT '!E11</f>
        <v>668.23</v>
      </c>
      <c r="K11" s="1293">
        <v>603.28</v>
      </c>
    </row>
    <row r="12" spans="1:13" s="207" customFormat="1" ht="45" customHeight="1">
      <c r="A12" s="405" t="s">
        <v>6</v>
      </c>
      <c r="B12" s="405" t="s">
        <v>176</v>
      </c>
      <c r="C12" s="206" t="s">
        <v>11</v>
      </c>
      <c r="D12" s="236" t="s">
        <v>177</v>
      </c>
      <c r="E12" s="236" t="s">
        <v>178</v>
      </c>
      <c r="F12" s="236" t="s">
        <v>179</v>
      </c>
      <c r="G12" s="236" t="s">
        <v>411</v>
      </c>
      <c r="H12" s="236" t="s">
        <v>412</v>
      </c>
      <c r="I12" s="243" t="s">
        <v>70</v>
      </c>
    </row>
    <row r="13" spans="1:13" ht="30.75" customHeight="1">
      <c r="A13" s="1043" t="s">
        <v>73</v>
      </c>
      <c r="B13" s="1044" t="s">
        <v>374</v>
      </c>
      <c r="C13" s="231"/>
      <c r="D13" s="1310"/>
      <c r="E13" s="1310"/>
      <c r="F13" s="1310"/>
      <c r="G13" s="1041">
        <f>G14+G31</f>
        <v>595318987</v>
      </c>
      <c r="H13" s="1041">
        <f>H14+H31</f>
        <v>595614961.33871794</v>
      </c>
      <c r="I13" s="1311"/>
      <c r="K13" s="1045"/>
      <c r="L13" s="1046"/>
    </row>
    <row r="14" spans="1:13" ht="30.75" customHeight="1">
      <c r="A14" s="1047">
        <v>1</v>
      </c>
      <c r="B14" s="225" t="s">
        <v>181</v>
      </c>
      <c r="C14" s="1312"/>
      <c r="D14" s="1310"/>
      <c r="E14" s="1310"/>
      <c r="F14" s="1310"/>
      <c r="G14" s="1310">
        <f>G15+G21+G30</f>
        <v>574841568</v>
      </c>
      <c r="H14" s="1310">
        <f>H15+H21+H30</f>
        <v>575137541.98387921</v>
      </c>
      <c r="I14" s="1313"/>
      <c r="K14" s="1048"/>
    </row>
    <row r="15" spans="1:13" ht="30.75" customHeight="1">
      <c r="A15" s="208" t="s">
        <v>319</v>
      </c>
      <c r="B15" s="1049" t="s">
        <v>182</v>
      </c>
      <c r="C15" s="1314"/>
      <c r="D15" s="1317">
        <f ca="1">SUM(D16:D20)</f>
        <v>105584.20704903672</v>
      </c>
      <c r="E15" s="1317">
        <f>SUM(E16:E20)</f>
        <v>105901.643</v>
      </c>
      <c r="F15" s="1317"/>
      <c r="G15" s="1317">
        <f>SUM(G16:G20)</f>
        <v>383350895</v>
      </c>
      <c r="H15" s="1310">
        <f>SUM(H16:H19)</f>
        <v>383646869.61087918</v>
      </c>
      <c r="I15" s="1313"/>
      <c r="K15" s="209">
        <f>'LƯƠNG CN TRỰC TIẾP '!M178</f>
        <v>574841568</v>
      </c>
      <c r="L15" s="1050"/>
      <c r="M15" s="1051"/>
    </row>
    <row r="16" spans="1:13" ht="30.75" customHeight="1">
      <c r="A16" s="1047"/>
      <c r="B16" s="225" t="s">
        <v>303</v>
      </c>
      <c r="C16" s="1315" t="s">
        <v>183</v>
      </c>
      <c r="D16" s="1317">
        <f ca="1">SUMIF('BTH mủ tạp'!AK17:AL161,"A",'BTH mủ tạp'!AJ17:AJ161)</f>
        <v>75496.172267381087</v>
      </c>
      <c r="E16" s="1317">
        <f>SUMIF('BTH mủ tạp'!AL17:AL161,"A",'BTH mủ tạp'!AK17:AK161)</f>
        <v>75496.172267381087</v>
      </c>
      <c r="F16" s="1317">
        <f>6.1*$K$11</f>
        <v>3680.0079999999998</v>
      </c>
      <c r="G16" s="1317">
        <f>ROUND((E16*F16),0)</f>
        <v>277826518</v>
      </c>
      <c r="H16" s="1310">
        <f>E16*F16</f>
        <v>277826517.91334051</v>
      </c>
      <c r="I16" s="1313"/>
      <c r="K16" s="767">
        <f>G14-K15</f>
        <v>0</v>
      </c>
      <c r="L16" s="190"/>
    </row>
    <row r="17" spans="1:14" ht="30.75" customHeight="1">
      <c r="A17" s="1047"/>
      <c r="B17" s="225" t="s">
        <v>304</v>
      </c>
      <c r="C17" s="1314" t="s">
        <v>183</v>
      </c>
      <c r="D17" s="1317">
        <f ca="1">SUMIF('BTH mủ tạp'!AK17:AL160,"B",'BTH mủ tạp'!AJ17:AJ160)</f>
        <v>27260.882662997141</v>
      </c>
      <c r="E17" s="1317">
        <f>SUMIF('BTH mủ tạp'!AL17:AL160,"B",'BTH mủ tạp'!AK17:AK160)</f>
        <v>27260.882662997141</v>
      </c>
      <c r="F17" s="1317">
        <f>5.8*$K$11</f>
        <v>3499.0239999999999</v>
      </c>
      <c r="G17" s="1317">
        <f>ROUND((E17*F17),0)</f>
        <v>95386483</v>
      </c>
      <c r="H17" s="1310">
        <f>E17*F17</f>
        <v>95386482.699010909</v>
      </c>
      <c r="I17" s="1313"/>
    </row>
    <row r="18" spans="1:14" ht="30.75" customHeight="1">
      <c r="A18" s="1047"/>
      <c r="B18" s="225" t="s">
        <v>305</v>
      </c>
      <c r="C18" s="1314" t="s">
        <v>183</v>
      </c>
      <c r="D18" s="1317">
        <f ca="1">SUMIF('BTH mủ tạp'!AK17:AL160,"C",'BTH mủ tạp'!AJ17:AJ160)+SUMIF('BTH mủ tạp'!AK17:AK160,"C.",'BTH mủ tạp'!AJ17:AJ160)</f>
        <v>2827.1521186584882</v>
      </c>
      <c r="E18" s="1317">
        <f>SUMIF('BTH mủ tạp'!AL17:AL160,"C",'BTH mủ tạp'!AK17:AK160)+SUMIF('BTH mủ tạp'!AL17:AL160,"C.",'BTH mủ tạp'!AK17:AK160)</f>
        <v>3144.5880696217582</v>
      </c>
      <c r="F18" s="1317">
        <f>5.5*$K$11</f>
        <v>3318.04</v>
      </c>
      <c r="G18" s="1317">
        <f>ROUND((E18*F18),0)-256878-39097</f>
        <v>10137894</v>
      </c>
      <c r="H18" s="1310">
        <f>E18*F18</f>
        <v>10433868.998527778</v>
      </c>
      <c r="I18" s="1313"/>
      <c r="K18" s="237"/>
    </row>
    <row r="19" spans="1:14" ht="30.75" hidden="1" customHeight="1">
      <c r="A19" s="1047"/>
      <c r="B19" s="225" t="s">
        <v>306</v>
      </c>
      <c r="C19" s="1314" t="s">
        <v>183</v>
      </c>
      <c r="D19" s="1317"/>
      <c r="E19" s="1317">
        <f>SUMIF('BTH mủ tạp'!AL17:AL160,"D",'BTH mủ tạp'!AK17:AK160)</f>
        <v>0</v>
      </c>
      <c r="F19" s="1317">
        <f>5.2*$J$11</f>
        <v>3474.7960000000003</v>
      </c>
      <c r="G19" s="1317">
        <f>E19*F19</f>
        <v>0</v>
      </c>
      <c r="H19" s="1310">
        <f>E19*F19</f>
        <v>0</v>
      </c>
      <c r="I19" s="1313"/>
      <c r="K19" s="767">
        <f>'CNKT '!L163</f>
        <v>383350895</v>
      </c>
      <c r="L19" s="767">
        <f>'CNKT '!W163</f>
        <v>191490673</v>
      </c>
    </row>
    <row r="20" spans="1:14" ht="30.75" hidden="1" customHeight="1">
      <c r="A20" s="1047"/>
      <c r="B20" s="225" t="s">
        <v>511</v>
      </c>
      <c r="C20" s="1314" t="s">
        <v>183</v>
      </c>
      <c r="D20" s="1317"/>
      <c r="E20" s="1317">
        <f>'BTH mủ Sỉum'!AJ21</f>
        <v>0</v>
      </c>
      <c r="F20" s="1317">
        <f>6.1*$J$11</f>
        <v>4076.203</v>
      </c>
      <c r="G20" s="1317">
        <f>ROUND((E20*F20),0)</f>
        <v>0</v>
      </c>
      <c r="H20" s="1310"/>
      <c r="I20" s="1313"/>
      <c r="K20" s="374">
        <f>G15-K19</f>
        <v>0</v>
      </c>
      <c r="L20" s="374">
        <f>G21-L19</f>
        <v>0</v>
      </c>
    </row>
    <row r="21" spans="1:14" ht="30.75" customHeight="1">
      <c r="A21" s="208" t="s">
        <v>320</v>
      </c>
      <c r="B21" s="1049" t="s">
        <v>184</v>
      </c>
      <c r="C21" s="231" t="s">
        <v>130</v>
      </c>
      <c r="D21" s="1317"/>
      <c r="E21" s="1318"/>
      <c r="F21" s="1317"/>
      <c r="G21" s="1317">
        <f>SUM(G22:G29)</f>
        <v>191490673</v>
      </c>
      <c r="H21" s="1310">
        <f>SUM(H22:H29)</f>
        <v>191490672.37300003</v>
      </c>
      <c r="I21" s="1310"/>
      <c r="K21" s="209"/>
      <c r="L21" s="1046"/>
      <c r="M21" s="190"/>
    </row>
    <row r="22" spans="1:14" ht="30.75" customHeight="1">
      <c r="A22" s="1047"/>
      <c r="B22" s="225" t="s">
        <v>444</v>
      </c>
      <c r="C22" s="231" t="s">
        <v>130</v>
      </c>
      <c r="D22" s="1317">
        <f>'CNKT '!M163</f>
        <v>3352</v>
      </c>
      <c r="E22" s="1318"/>
      <c r="F22" s="1317">
        <f>46.1*$J$11</f>
        <v>30805.403000000002</v>
      </c>
      <c r="G22" s="1317">
        <f>ROUND((D22*F22),0)</f>
        <v>103259711</v>
      </c>
      <c r="H22" s="1310">
        <f t="shared" ref="H22:H29" si="0">D22*F22</f>
        <v>103259710.85600001</v>
      </c>
      <c r="I22" s="1310"/>
      <c r="K22" s="1048"/>
      <c r="M22" s="1048"/>
    </row>
    <row r="23" spans="1:14" ht="30.75" customHeight="1">
      <c r="A23" s="1047"/>
      <c r="B23" s="225" t="s">
        <v>267</v>
      </c>
      <c r="C23" s="231" t="s">
        <v>130</v>
      </c>
      <c r="D23" s="1317">
        <f>'CNKT '!N163</f>
        <v>491</v>
      </c>
      <c r="E23" s="1318"/>
      <c r="F23" s="1317">
        <f>76.9*$J$11</f>
        <v>51386.887000000002</v>
      </c>
      <c r="G23" s="1317">
        <f>ROUND((D23*F23),0)</f>
        <v>25230962</v>
      </c>
      <c r="H23" s="1310">
        <f t="shared" si="0"/>
        <v>25230961.517000001</v>
      </c>
      <c r="I23" s="1310"/>
      <c r="K23" s="1048"/>
      <c r="L23" s="1048"/>
      <c r="M23" s="1048"/>
    </row>
    <row r="24" spans="1:14" s="96" customFormat="1" ht="30.75" hidden="1" customHeight="1">
      <c r="A24" s="1047"/>
      <c r="B24" s="225" t="s">
        <v>478</v>
      </c>
      <c r="C24" s="231" t="s">
        <v>130</v>
      </c>
      <c r="D24" s="1317">
        <f>'CNKT '!O163</f>
        <v>0</v>
      </c>
      <c r="E24" s="1317"/>
      <c r="F24" s="1317">
        <f>92.2*$J$11</f>
        <v>61610.806000000004</v>
      </c>
      <c r="G24" s="1317">
        <f>D24*F24</f>
        <v>0</v>
      </c>
      <c r="H24" s="1310">
        <f t="shared" si="0"/>
        <v>0</v>
      </c>
      <c r="I24" s="1310"/>
      <c r="K24" s="1052"/>
    </row>
    <row r="25" spans="1:14" s="96" customFormat="1" ht="30.75" hidden="1" customHeight="1">
      <c r="A25" s="1047"/>
      <c r="B25" s="225" t="s">
        <v>445</v>
      </c>
      <c r="C25" s="231" t="s">
        <v>130</v>
      </c>
      <c r="D25" s="1317">
        <f>'CNKT '!P163</f>
        <v>0</v>
      </c>
      <c r="E25" s="1317"/>
      <c r="F25" s="1317">
        <f>153.8*$J$11</f>
        <v>102773.774</v>
      </c>
      <c r="G25" s="1317">
        <f>D25*F25</f>
        <v>0</v>
      </c>
      <c r="H25" s="1310">
        <f t="shared" si="0"/>
        <v>0</v>
      </c>
      <c r="I25" s="1310"/>
      <c r="K25" s="1052"/>
    </row>
    <row r="26" spans="1:14" s="96" customFormat="1" ht="30.75" hidden="1" customHeight="1">
      <c r="A26" s="1047"/>
      <c r="B26" s="225" t="s">
        <v>479</v>
      </c>
      <c r="C26" s="231" t="s">
        <v>130</v>
      </c>
      <c r="D26" s="1317">
        <f>'CNKT '!Q163</f>
        <v>0</v>
      </c>
      <c r="E26" s="1317"/>
      <c r="F26" s="1317">
        <f>92.2*$J$11</f>
        <v>61610.806000000004</v>
      </c>
      <c r="G26" s="1317">
        <f>ROUND((D26*F26),0)</f>
        <v>0</v>
      </c>
      <c r="H26" s="1310">
        <f t="shared" si="0"/>
        <v>0</v>
      </c>
      <c r="I26" s="1310"/>
      <c r="K26" s="1052"/>
    </row>
    <row r="27" spans="1:14" s="96" customFormat="1" ht="30.75" hidden="1" customHeight="1">
      <c r="A27" s="1047"/>
      <c r="B27" s="225" t="s">
        <v>476</v>
      </c>
      <c r="C27" s="231" t="s">
        <v>130</v>
      </c>
      <c r="D27" s="1317">
        <f>'CNKT '!R163</f>
        <v>0</v>
      </c>
      <c r="E27" s="1317"/>
      <c r="F27" s="1317">
        <f>153.8*$J$11</f>
        <v>102773.774</v>
      </c>
      <c r="G27" s="1317">
        <f>D27*F27</f>
        <v>0</v>
      </c>
      <c r="H27" s="1310">
        <f t="shared" si="0"/>
        <v>0</v>
      </c>
      <c r="I27" s="1310"/>
      <c r="K27" s="1052"/>
    </row>
    <row r="28" spans="1:14" s="96" customFormat="1" ht="30.75" customHeight="1">
      <c r="A28" s="1047"/>
      <c r="B28" s="225" t="s">
        <v>600</v>
      </c>
      <c r="C28" s="231" t="s">
        <v>130</v>
      </c>
      <c r="D28" s="1317">
        <f>'CNKT '!S163</f>
        <v>2520</v>
      </c>
      <c r="E28" s="1317"/>
      <c r="F28" s="1317">
        <v>25000</v>
      </c>
      <c r="G28" s="1317">
        <f>ROUND((D28*F28),0)</f>
        <v>63000000</v>
      </c>
      <c r="H28" s="1310">
        <f t="shared" si="0"/>
        <v>63000000</v>
      </c>
      <c r="I28" s="1310"/>
      <c r="K28" s="1052"/>
    </row>
    <row r="29" spans="1:14" s="96" customFormat="1" ht="30.75" hidden="1" customHeight="1">
      <c r="A29" s="1047"/>
      <c r="B29" s="225" t="s">
        <v>594</v>
      </c>
      <c r="C29" s="231" t="s">
        <v>130</v>
      </c>
      <c r="D29" s="1317">
        <f>'CNKT '!U163</f>
        <v>0</v>
      </c>
      <c r="E29" s="1317"/>
      <c r="F29" s="1317">
        <v>30000</v>
      </c>
      <c r="G29" s="1317">
        <f>ROUND((D29*F29),0)</f>
        <v>0</v>
      </c>
      <c r="H29" s="1310">
        <f t="shared" si="0"/>
        <v>0</v>
      </c>
      <c r="I29" s="1310"/>
      <c r="K29" s="1052"/>
    </row>
    <row r="30" spans="1:14" ht="30.75" customHeight="1">
      <c r="A30" s="208" t="s">
        <v>321</v>
      </c>
      <c r="B30" s="225" t="s">
        <v>185</v>
      </c>
      <c r="C30" s="231" t="s">
        <v>130</v>
      </c>
      <c r="D30" s="1319">
        <f>'CNKT '!E163</f>
        <v>0</v>
      </c>
      <c r="E30" s="1317"/>
      <c r="F30" s="1317">
        <v>25000</v>
      </c>
      <c r="G30" s="1317">
        <f>ROUND((D30*F30),0)</f>
        <v>0</v>
      </c>
      <c r="H30" s="1310">
        <f>'CNKT '!F163</f>
        <v>0</v>
      </c>
      <c r="I30" s="1310"/>
      <c r="K30" s="1048"/>
      <c r="L30" s="1053"/>
    </row>
    <row r="31" spans="1:14" s="5" customFormat="1" ht="30.75" customHeight="1">
      <c r="A31" s="1047">
        <v>2</v>
      </c>
      <c r="B31" s="225" t="s">
        <v>187</v>
      </c>
      <c r="C31" s="231" t="s">
        <v>130</v>
      </c>
      <c r="D31" s="1317">
        <f>H31/F31</f>
        <v>819.09677419354853</v>
      </c>
      <c r="E31" s="1317"/>
      <c r="F31" s="1317">
        <v>25000</v>
      </c>
      <c r="G31" s="1317">
        <f>ROUND((D31*F31),0)</f>
        <v>20477419</v>
      </c>
      <c r="H31" s="1310">
        <f>'Lương bảo vệ '!I26</f>
        <v>20477419.354838714</v>
      </c>
      <c r="I31" s="1310"/>
      <c r="K31" s="153"/>
      <c r="L31" s="1054"/>
      <c r="N31" s="1054"/>
    </row>
    <row r="32" spans="1:14" s="1036" customFormat="1" ht="30.75" customHeight="1">
      <c r="A32" s="1055" t="s">
        <v>96</v>
      </c>
      <c r="B32" s="1056" t="s">
        <v>457</v>
      </c>
      <c r="C32" s="1055"/>
      <c r="D32" s="1320"/>
      <c r="E32" s="1320"/>
      <c r="F32" s="1320"/>
      <c r="G32" s="1321">
        <f>SUM(G33:G34)</f>
        <v>11569069</v>
      </c>
      <c r="H32" s="1041">
        <f>SUM(H33:H34)</f>
        <v>11185615.550000001</v>
      </c>
      <c r="I32" s="1311"/>
      <c r="J32" s="155"/>
      <c r="K32" s="156"/>
      <c r="L32" s="1057"/>
      <c r="N32" s="1057"/>
    </row>
    <row r="33" spans="1:14" ht="30.75" customHeight="1">
      <c r="A33" s="127">
        <v>1</v>
      </c>
      <c r="B33" s="283" t="s">
        <v>456</v>
      </c>
      <c r="C33" s="231" t="s">
        <v>116</v>
      </c>
      <c r="D33" s="1313"/>
      <c r="E33" s="1310"/>
      <c r="F33" s="1316"/>
      <c r="G33" s="1316">
        <f>'lương gián tiếp'!G13</f>
        <v>9569069</v>
      </c>
      <c r="H33" s="1310">
        <f>'lương gián tiếp'!I13</f>
        <v>9220615.5500000007</v>
      </c>
      <c r="I33" s="1313"/>
      <c r="M33" s="190"/>
    </row>
    <row r="34" spans="1:14" s="5" customFormat="1" ht="30.75" customHeight="1">
      <c r="A34" s="1047">
        <v>3</v>
      </c>
      <c r="B34" s="1049" t="s">
        <v>358</v>
      </c>
      <c r="C34" s="231" t="s">
        <v>116</v>
      </c>
      <c r="D34" s="1310"/>
      <c r="E34" s="1310"/>
      <c r="F34" s="1310"/>
      <c r="G34" s="1310">
        <f>'lương gián tiếp'!G16</f>
        <v>2000000</v>
      </c>
      <c r="H34" s="1310">
        <f>'lương gián tiếp'!I17</f>
        <v>1965000</v>
      </c>
      <c r="I34" s="1313"/>
      <c r="K34" s="1058"/>
      <c r="L34" s="1054"/>
      <c r="N34" s="1054"/>
    </row>
    <row r="35" spans="1:14" ht="30.75" customHeight="1">
      <c r="A35" s="1596" t="s">
        <v>191</v>
      </c>
      <c r="B35" s="1596"/>
      <c r="C35" s="335"/>
      <c r="D35" s="1310"/>
      <c r="E35" s="1041"/>
      <c r="F35" s="1310"/>
      <c r="G35" s="1041">
        <f>G13+G32</f>
        <v>606888056</v>
      </c>
      <c r="H35" s="1041" t="e">
        <f>H13+#REF!+#REF!+H32</f>
        <v>#REF!</v>
      </c>
      <c r="I35" s="1311"/>
      <c r="K35" s="1297">
        <f>G35-'[3]Phân toán  '!$G$37</f>
        <v>-229797000</v>
      </c>
      <c r="L35" s="153" t="e">
        <f>SUM(#REF!)</f>
        <v>#REF!</v>
      </c>
      <c r="M35" s="190"/>
    </row>
    <row r="36" spans="1:14" ht="30.75" customHeight="1">
      <c r="A36" s="1597" t="s">
        <v>748</v>
      </c>
      <c r="B36" s="1598"/>
      <c r="C36" s="1598"/>
      <c r="D36" s="1598"/>
      <c r="E36" s="1598"/>
      <c r="F36" s="1598"/>
      <c r="G36" s="1598"/>
      <c r="H36" s="1598"/>
      <c r="I36" s="1599"/>
      <c r="K36" s="190"/>
      <c r="L36" s="375"/>
    </row>
    <row r="37" spans="1:14" s="189" customFormat="1" ht="18.75">
      <c r="A37" s="210"/>
      <c r="B37" s="210"/>
      <c r="C37" s="1059"/>
      <c r="D37" s="1060"/>
      <c r="E37" s="1061"/>
      <c r="F37" s="1590" t="s">
        <v>697</v>
      </c>
      <c r="G37" s="1590"/>
      <c r="H37" s="1590"/>
      <c r="I37" s="1590"/>
      <c r="K37" s="221"/>
      <c r="L37" s="211"/>
      <c r="M37" s="212"/>
    </row>
    <row r="38" spans="1:14" s="189" customFormat="1" ht="18.75">
      <c r="A38" s="222"/>
      <c r="B38" s="222"/>
      <c r="C38" s="233"/>
      <c r="D38" s="239"/>
      <c r="E38" s="1061"/>
      <c r="F38" s="1590"/>
      <c r="G38" s="1590"/>
      <c r="H38" s="1590"/>
      <c r="I38" s="1590"/>
      <c r="K38" s="211"/>
      <c r="L38" s="1049"/>
    </row>
    <row r="39" spans="1:14" s="214" customFormat="1" ht="18.75">
      <c r="A39" s="1600" t="s">
        <v>667</v>
      </c>
      <c r="B39" s="1600"/>
      <c r="C39" s="1601" t="s">
        <v>668</v>
      </c>
      <c r="D39" s="1601"/>
      <c r="E39" s="1556" t="s">
        <v>736</v>
      </c>
      <c r="F39" s="1556"/>
      <c r="G39" s="1589" t="s">
        <v>669</v>
      </c>
      <c r="H39" s="1589"/>
      <c r="I39" s="1589"/>
      <c r="K39" s="226" t="e">
        <f>H35-#REF!</f>
        <v>#REF!</v>
      </c>
      <c r="L39" s="215"/>
    </row>
    <row r="40" spans="1:14" s="189" customFormat="1" ht="18.75">
      <c r="A40" s="222"/>
      <c r="B40" s="222"/>
      <c r="C40" s="233"/>
      <c r="D40" s="239"/>
      <c r="E40" s="1061"/>
      <c r="F40" s="1062"/>
      <c r="G40" s="1062"/>
      <c r="H40" s="239"/>
      <c r="I40" s="247"/>
      <c r="K40" s="1063"/>
    </row>
    <row r="41" spans="1:14" s="189" customFormat="1" ht="18.75">
      <c r="A41" s="222"/>
      <c r="B41" s="222"/>
      <c r="C41" s="233"/>
      <c r="D41" s="239"/>
      <c r="E41" s="1061"/>
      <c r="F41" s="1062"/>
      <c r="G41" s="1062"/>
      <c r="H41" s="239"/>
      <c r="I41" s="247"/>
    </row>
    <row r="42" spans="1:14" s="189" customFormat="1" ht="18.75">
      <c r="A42" s="222"/>
      <c r="B42" s="222"/>
      <c r="C42" s="233"/>
      <c r="D42" s="239"/>
      <c r="E42" s="1061"/>
      <c r="F42" s="1062"/>
      <c r="G42" s="1062"/>
      <c r="H42" s="239"/>
      <c r="I42" s="247"/>
    </row>
    <row r="43" spans="1:14" s="189" customFormat="1" ht="18.75">
      <c r="A43" s="222"/>
      <c r="B43" s="222"/>
      <c r="C43" s="233"/>
      <c r="D43" s="239"/>
      <c r="E43" s="1061"/>
      <c r="F43" s="1062"/>
      <c r="G43" s="1062"/>
      <c r="H43" s="239"/>
      <c r="I43" s="247"/>
    </row>
    <row r="44" spans="1:14" s="189" customFormat="1" ht="18.75">
      <c r="A44" s="222"/>
      <c r="B44" s="222"/>
      <c r="C44" s="233"/>
      <c r="D44" s="239"/>
      <c r="E44" s="1061"/>
      <c r="F44" s="1113"/>
      <c r="G44" s="1113"/>
      <c r="H44" s="1113"/>
      <c r="I44" s="1113"/>
    </row>
    <row r="45" spans="1:14">
      <c r="A45" s="223"/>
      <c r="B45" s="223"/>
      <c r="C45" s="234"/>
      <c r="D45" s="240"/>
      <c r="E45" s="240"/>
      <c r="F45" s="240"/>
      <c r="G45" s="240"/>
      <c r="H45" s="240"/>
      <c r="I45" s="248"/>
    </row>
    <row r="46" spans="1:14">
      <c r="A46" s="223"/>
      <c r="B46" s="224"/>
      <c r="C46" s="234"/>
      <c r="D46" s="240"/>
      <c r="E46" s="1591"/>
      <c r="F46" s="1591"/>
      <c r="G46" s="1591"/>
      <c r="H46" s="1591"/>
      <c r="I46" s="1591"/>
    </row>
  </sheetData>
  <mergeCells count="17">
    <mergeCell ref="G39:I39"/>
    <mergeCell ref="E39:F39"/>
    <mergeCell ref="F37:I37"/>
    <mergeCell ref="E46:I46"/>
    <mergeCell ref="A9:I9"/>
    <mergeCell ref="A10:I10"/>
    <mergeCell ref="H11:I11"/>
    <mergeCell ref="A35:B35"/>
    <mergeCell ref="A36:I36"/>
    <mergeCell ref="F38:I38"/>
    <mergeCell ref="A39:B39"/>
    <mergeCell ref="C39:D39"/>
    <mergeCell ref="A2:I2"/>
    <mergeCell ref="A3:I3"/>
    <mergeCell ref="A4:I4"/>
    <mergeCell ref="A6:C6"/>
    <mergeCell ref="A7:C7"/>
  </mergeCells>
  <printOptions horizontalCentered="1"/>
  <pageMargins left="0.196850393700787" right="0" top="0.196850393700787" bottom="0.196850393700787" header="0.2" footer="0.31496062992126"/>
  <pageSetup paperSize="9" scale="90" fitToHeight="0" orientation="landscape" r:id="rId1"/>
  <colBreaks count="1" manualBreakCount="1">
    <brk id="9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N46"/>
  <sheetViews>
    <sheetView tabSelected="1" zoomScale="90" zoomScaleNormal="90" zoomScaleSheetLayoutView="100" workbookViewId="0">
      <selection activeCell="B34" sqref="B34"/>
    </sheetView>
  </sheetViews>
  <sheetFormatPr defaultColWidth="9.140625" defaultRowHeight="15.75"/>
  <cols>
    <col min="1" max="1" width="5.85546875" style="4" customWidth="1"/>
    <col min="2" max="2" width="45.85546875" style="4" customWidth="1"/>
    <col min="3" max="3" width="13.7109375" style="26" customWidth="1"/>
    <col min="4" max="4" width="15.5703125" style="235" customWidth="1"/>
    <col min="5" max="5" width="17.7109375" style="1042" hidden="1" customWidth="1"/>
    <col min="6" max="6" width="25.5703125" style="153" customWidth="1"/>
    <col min="7" max="7" width="23.7109375" style="153" customWidth="1"/>
    <col min="8" max="8" width="19.42578125" style="153" hidden="1" customWidth="1"/>
    <col min="9" max="9" width="21.5703125" style="246" customWidth="1"/>
    <col min="10" max="10" width="15" style="4" hidden="1" customWidth="1"/>
    <col min="11" max="11" width="18.42578125" style="4" hidden="1" customWidth="1"/>
    <col min="12" max="12" width="21.28515625" style="4" hidden="1" customWidth="1"/>
    <col min="13" max="13" width="15.5703125" style="4" hidden="1" customWidth="1"/>
    <col min="14" max="14" width="19.42578125" style="4" customWidth="1"/>
    <col min="15" max="16384" width="9.140625" style="4"/>
  </cols>
  <sheetData>
    <row r="2" spans="1:13">
      <c r="A2" s="1443" t="s">
        <v>56</v>
      </c>
      <c r="B2" s="1443"/>
      <c r="C2" s="1443"/>
      <c r="D2" s="1443"/>
      <c r="E2" s="1443"/>
      <c r="F2" s="1443"/>
      <c r="G2" s="1443"/>
      <c r="H2" s="1443"/>
      <c r="I2" s="1443"/>
    </row>
    <row r="3" spans="1:13">
      <c r="A3" s="1443" t="s">
        <v>1</v>
      </c>
      <c r="B3" s="1443"/>
      <c r="C3" s="1443"/>
      <c r="D3" s="1443"/>
      <c r="E3" s="1443"/>
      <c r="F3" s="1443"/>
      <c r="G3" s="1443"/>
      <c r="H3" s="1443"/>
      <c r="I3" s="1443"/>
    </row>
    <row r="4" spans="1:13">
      <c r="A4" s="1586" t="s">
        <v>295</v>
      </c>
      <c r="B4" s="1443"/>
      <c r="C4" s="1443"/>
      <c r="D4" s="1443"/>
      <c r="E4" s="1443"/>
      <c r="F4" s="1443"/>
      <c r="G4" s="1443"/>
      <c r="H4" s="1443"/>
      <c r="I4" s="1443"/>
    </row>
    <row r="5" spans="1:13" ht="13.5" customHeight="1">
      <c r="H5" s="235"/>
      <c r="I5" s="242"/>
    </row>
    <row r="6" spans="1:13" ht="18" customHeight="1">
      <c r="A6" s="1587" t="s">
        <v>0</v>
      </c>
      <c r="B6" s="1587"/>
      <c r="C6" s="1587"/>
      <c r="H6" s="235"/>
      <c r="I6" s="242"/>
    </row>
    <row r="7" spans="1:13" ht="15" customHeight="1">
      <c r="A7" s="1588" t="s">
        <v>643</v>
      </c>
      <c r="B7" s="1588"/>
      <c r="C7" s="1588"/>
      <c r="H7" s="235"/>
      <c r="I7" s="242"/>
    </row>
    <row r="8" spans="1:13" ht="15" customHeight="1">
      <c r="A8" s="1327"/>
      <c r="B8" s="1327"/>
      <c r="C8" s="1327"/>
      <c r="H8" s="235"/>
      <c r="I8" s="242"/>
    </row>
    <row r="9" spans="1:13" s="97" customFormat="1" ht="20.25" customHeight="1">
      <c r="A9" s="1592" t="s">
        <v>684</v>
      </c>
      <c r="B9" s="1592"/>
      <c r="C9" s="1592"/>
      <c r="D9" s="1592"/>
      <c r="E9" s="1592"/>
      <c r="F9" s="1592"/>
      <c r="G9" s="1592"/>
      <c r="H9" s="1592"/>
      <c r="I9" s="1592"/>
    </row>
    <row r="10" spans="1:13" ht="15.75" customHeight="1">
      <c r="A10" s="1593" t="s">
        <v>685</v>
      </c>
      <c r="B10" s="1594"/>
      <c r="C10" s="1594"/>
      <c r="D10" s="1594"/>
      <c r="E10" s="1594"/>
      <c r="F10" s="1594"/>
      <c r="G10" s="1594"/>
      <c r="H10" s="1594"/>
      <c r="I10" s="1594"/>
    </row>
    <row r="11" spans="1:13" ht="15.75" customHeight="1">
      <c r="A11" s="1326"/>
      <c r="B11" s="1326"/>
      <c r="F11" s="235"/>
      <c r="G11" s="235"/>
      <c r="H11" s="1595" t="s">
        <v>426</v>
      </c>
      <c r="I11" s="1595"/>
      <c r="J11" s="4">
        <f>'CNKT '!E11</f>
        <v>668.23</v>
      </c>
      <c r="K11" s="1293">
        <v>603.28</v>
      </c>
    </row>
    <row r="12" spans="1:13" s="207" customFormat="1" ht="45" customHeight="1">
      <c r="A12" s="405" t="s">
        <v>6</v>
      </c>
      <c r="B12" s="405" t="s">
        <v>176</v>
      </c>
      <c r="C12" s="206" t="s">
        <v>11</v>
      </c>
      <c r="D12" s="236" t="s">
        <v>177</v>
      </c>
      <c r="E12" s="236" t="s">
        <v>178</v>
      </c>
      <c r="F12" s="236" t="s">
        <v>179</v>
      </c>
      <c r="G12" s="236" t="s">
        <v>411</v>
      </c>
      <c r="H12" s="236" t="s">
        <v>412</v>
      </c>
      <c r="I12" s="243" t="s">
        <v>70</v>
      </c>
    </row>
    <row r="13" spans="1:13" ht="30.75" customHeight="1">
      <c r="A13" s="1043" t="s">
        <v>73</v>
      </c>
      <c r="B13" s="1044" t="s">
        <v>749</v>
      </c>
      <c r="C13" s="231"/>
      <c r="D13" s="1310"/>
      <c r="E13" s="1310"/>
      <c r="F13" s="1310"/>
      <c r="G13" s="1041">
        <f>G14+G31</f>
        <v>595318987</v>
      </c>
      <c r="H13" s="1041">
        <f>H14+H31</f>
        <v>595614961.33871794</v>
      </c>
      <c r="I13" s="1311"/>
      <c r="K13" s="1045"/>
      <c r="L13" s="1046"/>
    </row>
    <row r="14" spans="1:13" ht="30.75" customHeight="1">
      <c r="A14" s="1047">
        <v>1</v>
      </c>
      <c r="B14" s="225" t="s">
        <v>181</v>
      </c>
      <c r="C14" s="1312"/>
      <c r="D14" s="1310"/>
      <c r="E14" s="1310"/>
      <c r="F14" s="1310"/>
      <c r="G14" s="1310">
        <f>G15+G21+G30</f>
        <v>574841568</v>
      </c>
      <c r="H14" s="1310">
        <f>H15+H21+H30</f>
        <v>575137541.98387921</v>
      </c>
      <c r="I14" s="1313"/>
      <c r="K14" s="1048"/>
    </row>
    <row r="15" spans="1:13" ht="30.75" customHeight="1">
      <c r="A15" s="208" t="s">
        <v>319</v>
      </c>
      <c r="B15" s="1049" t="s">
        <v>182</v>
      </c>
      <c r="C15" s="1314"/>
      <c r="D15" s="1317">
        <f ca="1">SUM(D16:D20)</f>
        <v>105901.643</v>
      </c>
      <c r="E15" s="1317">
        <f>SUM(E16:E20)</f>
        <v>105901.643</v>
      </c>
      <c r="F15" s="1317"/>
      <c r="G15" s="1317">
        <f>SUM(G16:G20)</f>
        <v>383350895</v>
      </c>
      <c r="H15" s="1310">
        <f>SUM(H16:H19)</f>
        <v>383646869.61087918</v>
      </c>
      <c r="I15" s="1313"/>
      <c r="K15" s="209">
        <f>'LƯƠNG CN TRỰC TIẾP '!M178</f>
        <v>574841568</v>
      </c>
      <c r="L15" s="1050"/>
      <c r="M15" s="1051"/>
    </row>
    <row r="16" spans="1:13" ht="30.75" customHeight="1">
      <c r="A16" s="1047"/>
      <c r="B16" s="225" t="s">
        <v>303</v>
      </c>
      <c r="C16" s="1315" t="s">
        <v>183</v>
      </c>
      <c r="D16" s="1317">
        <f ca="1">SUMIF('BTH mủ tạp'!AK17:AL161,"A",'BTH mủ tạp'!AJ17:AJ161)</f>
        <v>75496.172267381087</v>
      </c>
      <c r="E16" s="1317">
        <f>SUMIF('BTH mủ tạp'!AL17:AL161,"A",'BTH mủ tạp'!AK17:AK161)</f>
        <v>75496.172267381087</v>
      </c>
      <c r="F16" s="1317">
        <f>6.1*$K$11</f>
        <v>3680.0079999999998</v>
      </c>
      <c r="G16" s="1317">
        <f>ROUND((E16*F16),0)</f>
        <v>277826518</v>
      </c>
      <c r="H16" s="1310">
        <f>E16*F16</f>
        <v>277826517.91334051</v>
      </c>
      <c r="I16" s="1313"/>
      <c r="K16" s="767">
        <f>G14-K15</f>
        <v>0</v>
      </c>
      <c r="L16" s="190"/>
    </row>
    <row r="17" spans="1:14" ht="30.75" customHeight="1">
      <c r="A17" s="1047"/>
      <c r="B17" s="225" t="s">
        <v>304</v>
      </c>
      <c r="C17" s="1314" t="s">
        <v>183</v>
      </c>
      <c r="D17" s="1317">
        <f ca="1">SUMIF('BTH mủ tạp'!AK17:AL160,"B",'BTH mủ tạp'!AJ17:AJ160)</f>
        <v>27260.882662997141</v>
      </c>
      <c r="E17" s="1317">
        <f>SUMIF('BTH mủ tạp'!AL17:AL160,"B",'BTH mủ tạp'!AK17:AK160)</f>
        <v>27260.882662997141</v>
      </c>
      <c r="F17" s="1317">
        <f>5.8*$K$11</f>
        <v>3499.0239999999999</v>
      </c>
      <c r="G17" s="1317">
        <f>ROUND((E17*F17),0)</f>
        <v>95386483</v>
      </c>
      <c r="H17" s="1310">
        <f>E17*F17</f>
        <v>95386482.699010909</v>
      </c>
      <c r="I17" s="1313"/>
    </row>
    <row r="18" spans="1:14" ht="30.75" customHeight="1">
      <c r="A18" s="1047"/>
      <c r="B18" s="225" t="s">
        <v>305</v>
      </c>
      <c r="C18" s="1314" t="s">
        <v>183</v>
      </c>
      <c r="D18" s="1317">
        <v>3144.5880696217582</v>
      </c>
      <c r="E18" s="1317">
        <f>SUMIF('BTH mủ tạp'!AL17:AL160,"C",'BTH mủ tạp'!AK17:AK160)+SUMIF('BTH mủ tạp'!AL17:AL160,"C.",'BTH mủ tạp'!AK17:AK160)</f>
        <v>3144.5880696217582</v>
      </c>
      <c r="F18" s="1317">
        <f>5.5*$K$11</f>
        <v>3318.04</v>
      </c>
      <c r="G18" s="1317">
        <v>10137894</v>
      </c>
      <c r="H18" s="1310">
        <f>E18*F18</f>
        <v>10433868.998527778</v>
      </c>
      <c r="I18" s="1313"/>
      <c r="K18" s="237"/>
      <c r="N18" s="153"/>
    </row>
    <row r="19" spans="1:14" ht="30.75" hidden="1" customHeight="1">
      <c r="A19" s="1047"/>
      <c r="B19" s="225" t="s">
        <v>306</v>
      </c>
      <c r="C19" s="1314" t="s">
        <v>183</v>
      </c>
      <c r="D19" s="1317"/>
      <c r="E19" s="1317">
        <f>SUMIF('BTH mủ tạp'!AL17:AL160,"D",'BTH mủ tạp'!AK17:AK160)</f>
        <v>0</v>
      </c>
      <c r="F19" s="1317">
        <f>5.2*$J$11</f>
        <v>3474.7960000000003</v>
      </c>
      <c r="G19" s="1317">
        <f>E19*F19</f>
        <v>0</v>
      </c>
      <c r="H19" s="1310">
        <f>E19*F19</f>
        <v>0</v>
      </c>
      <c r="I19" s="1313"/>
      <c r="K19" s="767">
        <f>'CNKT '!L163</f>
        <v>383350895</v>
      </c>
      <c r="L19" s="767">
        <f>'CNKT '!W163</f>
        <v>191490673</v>
      </c>
    </row>
    <row r="20" spans="1:14" ht="30.75" hidden="1" customHeight="1">
      <c r="A20" s="1047"/>
      <c r="B20" s="225" t="s">
        <v>511</v>
      </c>
      <c r="C20" s="1314" t="s">
        <v>183</v>
      </c>
      <c r="D20" s="1317"/>
      <c r="E20" s="1317">
        <f>'BTH mủ Sỉum'!AJ21</f>
        <v>0</v>
      </c>
      <c r="F20" s="1317">
        <f>6.1*$J$11</f>
        <v>4076.203</v>
      </c>
      <c r="G20" s="1317">
        <f>ROUND((E20*F20),0)</f>
        <v>0</v>
      </c>
      <c r="H20" s="1310"/>
      <c r="I20" s="1313"/>
      <c r="K20" s="374">
        <f>G15-K19</f>
        <v>0</v>
      </c>
      <c r="L20" s="374">
        <f>G21-L19</f>
        <v>0</v>
      </c>
    </row>
    <row r="21" spans="1:14" ht="30.75" customHeight="1">
      <c r="A21" s="208" t="s">
        <v>320</v>
      </c>
      <c r="B21" s="1049" t="s">
        <v>184</v>
      </c>
      <c r="C21" s="231" t="s">
        <v>130</v>
      </c>
      <c r="D21" s="1317"/>
      <c r="E21" s="1318"/>
      <c r="F21" s="1317"/>
      <c r="G21" s="1317">
        <f>SUM(G22:G29)</f>
        <v>191490673</v>
      </c>
      <c r="H21" s="1310">
        <f>SUM(H22:H29)</f>
        <v>191490672.37300003</v>
      </c>
      <c r="I21" s="1310"/>
      <c r="K21" s="209"/>
      <c r="L21" s="1046"/>
      <c r="M21" s="190"/>
    </row>
    <row r="22" spans="1:14" ht="30.75" customHeight="1">
      <c r="A22" s="1047"/>
      <c r="B22" s="225" t="s">
        <v>444</v>
      </c>
      <c r="C22" s="231" t="s">
        <v>130</v>
      </c>
      <c r="D22" s="1317">
        <f>'CNKT '!M163</f>
        <v>3352</v>
      </c>
      <c r="E22" s="1318"/>
      <c r="F22" s="1317">
        <f>46.1*$J$11</f>
        <v>30805.403000000002</v>
      </c>
      <c r="G22" s="1317">
        <f>ROUND((D22*F22),0)</f>
        <v>103259711</v>
      </c>
      <c r="H22" s="1310">
        <f t="shared" ref="H22:H29" si="0">D22*F22</f>
        <v>103259710.85600001</v>
      </c>
      <c r="I22" s="1310"/>
      <c r="K22" s="1048"/>
      <c r="M22" s="1048"/>
    </row>
    <row r="23" spans="1:14" ht="30.75" customHeight="1">
      <c r="A23" s="1047"/>
      <c r="B23" s="225" t="s">
        <v>267</v>
      </c>
      <c r="C23" s="231" t="s">
        <v>130</v>
      </c>
      <c r="D23" s="1317">
        <f>'CNKT '!N163</f>
        <v>491</v>
      </c>
      <c r="E23" s="1318"/>
      <c r="F23" s="1317">
        <f>76.9*$J$11</f>
        <v>51386.887000000002</v>
      </c>
      <c r="G23" s="1317">
        <f>ROUND((D23*F23),0)</f>
        <v>25230962</v>
      </c>
      <c r="H23" s="1310">
        <f t="shared" si="0"/>
        <v>25230961.517000001</v>
      </c>
      <c r="I23" s="1310"/>
      <c r="K23" s="1048"/>
      <c r="L23" s="1048"/>
      <c r="M23" s="1048"/>
    </row>
    <row r="24" spans="1:14" s="96" customFormat="1" ht="30.75" hidden="1" customHeight="1">
      <c r="A24" s="1047"/>
      <c r="B24" s="225" t="s">
        <v>478</v>
      </c>
      <c r="C24" s="231" t="s">
        <v>130</v>
      </c>
      <c r="D24" s="1317">
        <f>'CNKT '!O163</f>
        <v>0</v>
      </c>
      <c r="E24" s="1317"/>
      <c r="F24" s="1317">
        <f>92.2*$J$11</f>
        <v>61610.806000000004</v>
      </c>
      <c r="G24" s="1317">
        <f>D24*F24</f>
        <v>0</v>
      </c>
      <c r="H24" s="1310">
        <f t="shared" si="0"/>
        <v>0</v>
      </c>
      <c r="I24" s="1310"/>
      <c r="K24" s="1052"/>
    </row>
    <row r="25" spans="1:14" s="96" customFormat="1" ht="30.75" hidden="1" customHeight="1">
      <c r="A25" s="1047"/>
      <c r="B25" s="225" t="s">
        <v>445</v>
      </c>
      <c r="C25" s="231" t="s">
        <v>130</v>
      </c>
      <c r="D25" s="1317">
        <f>'CNKT '!P163</f>
        <v>0</v>
      </c>
      <c r="E25" s="1317"/>
      <c r="F25" s="1317">
        <f>153.8*$J$11</f>
        <v>102773.774</v>
      </c>
      <c r="G25" s="1317">
        <f>D25*F25</f>
        <v>0</v>
      </c>
      <c r="H25" s="1310">
        <f t="shared" si="0"/>
        <v>0</v>
      </c>
      <c r="I25" s="1310"/>
      <c r="K25" s="1052"/>
    </row>
    <row r="26" spans="1:14" s="96" customFormat="1" ht="30.75" hidden="1" customHeight="1">
      <c r="A26" s="1047"/>
      <c r="B26" s="225" t="s">
        <v>479</v>
      </c>
      <c r="C26" s="231" t="s">
        <v>130</v>
      </c>
      <c r="D26" s="1317">
        <f>'CNKT '!Q163</f>
        <v>0</v>
      </c>
      <c r="E26" s="1317"/>
      <c r="F26" s="1317">
        <f>92.2*$J$11</f>
        <v>61610.806000000004</v>
      </c>
      <c r="G26" s="1317">
        <f>ROUND((D26*F26),0)</f>
        <v>0</v>
      </c>
      <c r="H26" s="1310">
        <f t="shared" si="0"/>
        <v>0</v>
      </c>
      <c r="I26" s="1310"/>
      <c r="K26" s="1052"/>
    </row>
    <row r="27" spans="1:14" s="96" customFormat="1" ht="30.75" hidden="1" customHeight="1">
      <c r="A27" s="1047"/>
      <c r="B27" s="225" t="s">
        <v>476</v>
      </c>
      <c r="C27" s="231" t="s">
        <v>130</v>
      </c>
      <c r="D27" s="1317">
        <f>'CNKT '!R163</f>
        <v>0</v>
      </c>
      <c r="E27" s="1317"/>
      <c r="F27" s="1317">
        <f>153.8*$J$11</f>
        <v>102773.774</v>
      </c>
      <c r="G27" s="1317">
        <f>D27*F27</f>
        <v>0</v>
      </c>
      <c r="H27" s="1310">
        <f t="shared" si="0"/>
        <v>0</v>
      </c>
      <c r="I27" s="1310"/>
      <c r="K27" s="1052"/>
    </row>
    <row r="28" spans="1:14" s="96" customFormat="1" ht="30.75" customHeight="1">
      <c r="A28" s="1047"/>
      <c r="B28" s="225" t="s">
        <v>600</v>
      </c>
      <c r="C28" s="231" t="s">
        <v>130</v>
      </c>
      <c r="D28" s="1317">
        <f>'CNKT '!S163</f>
        <v>2520</v>
      </c>
      <c r="E28" s="1317"/>
      <c r="F28" s="1317">
        <v>25000</v>
      </c>
      <c r="G28" s="1317">
        <f>ROUND((D28*F28),0)</f>
        <v>63000000</v>
      </c>
      <c r="H28" s="1310">
        <f t="shared" si="0"/>
        <v>63000000</v>
      </c>
      <c r="I28" s="1310"/>
      <c r="K28" s="1052"/>
    </row>
    <row r="29" spans="1:14" s="96" customFormat="1" ht="30.75" hidden="1" customHeight="1">
      <c r="A29" s="1047"/>
      <c r="B29" s="225" t="s">
        <v>594</v>
      </c>
      <c r="C29" s="231" t="s">
        <v>130</v>
      </c>
      <c r="D29" s="1317">
        <f>'CNKT '!U163</f>
        <v>0</v>
      </c>
      <c r="E29" s="1317"/>
      <c r="F29" s="1317">
        <v>30000</v>
      </c>
      <c r="G29" s="1317">
        <f>ROUND((D29*F29),0)</f>
        <v>0</v>
      </c>
      <c r="H29" s="1310">
        <f t="shared" si="0"/>
        <v>0</v>
      </c>
      <c r="I29" s="1310"/>
      <c r="K29" s="1052"/>
    </row>
    <row r="30" spans="1:14" ht="30.75" hidden="1" customHeight="1">
      <c r="A30" s="208" t="s">
        <v>321</v>
      </c>
      <c r="B30" s="225" t="s">
        <v>185</v>
      </c>
      <c r="C30" s="231" t="s">
        <v>130</v>
      </c>
      <c r="D30" s="1319">
        <f>'CNKT '!E163</f>
        <v>0</v>
      </c>
      <c r="E30" s="1317"/>
      <c r="F30" s="1317">
        <v>25000</v>
      </c>
      <c r="G30" s="1317">
        <f>ROUND((D30*F30),0)</f>
        <v>0</v>
      </c>
      <c r="H30" s="1310">
        <f>'CNKT '!F163</f>
        <v>0</v>
      </c>
      <c r="I30" s="1310"/>
      <c r="K30" s="1048"/>
      <c r="L30" s="1053"/>
    </row>
    <row r="31" spans="1:14" s="5" customFormat="1" ht="30.75" customHeight="1">
      <c r="A31" s="1047">
        <v>2</v>
      </c>
      <c r="B31" s="225" t="s">
        <v>187</v>
      </c>
      <c r="C31" s="231" t="s">
        <v>130</v>
      </c>
      <c r="D31" s="1317">
        <f>H31/F31</f>
        <v>819.09677419354853</v>
      </c>
      <c r="E31" s="1317"/>
      <c r="F31" s="1317">
        <v>25000</v>
      </c>
      <c r="G31" s="1317">
        <f>ROUND((D31*F31),0)</f>
        <v>20477419</v>
      </c>
      <c r="H31" s="1310">
        <f>'Lương bảo vệ '!I26</f>
        <v>20477419.354838714</v>
      </c>
      <c r="I31" s="1310"/>
      <c r="K31" s="153"/>
      <c r="L31" s="1054"/>
      <c r="N31" s="1054"/>
    </row>
    <row r="32" spans="1:14" s="1325" customFormat="1" ht="30.75" customHeight="1">
      <c r="A32" s="1055" t="s">
        <v>65</v>
      </c>
      <c r="B32" s="1056" t="s">
        <v>457</v>
      </c>
      <c r="C32" s="1055"/>
      <c r="D32" s="1320"/>
      <c r="E32" s="1320"/>
      <c r="F32" s="1320"/>
      <c r="G32" s="1321">
        <f>SUM(G33:G34)</f>
        <v>11569069</v>
      </c>
      <c r="H32" s="1041">
        <f>SUM(H33:H34)</f>
        <v>11185615.550000001</v>
      </c>
      <c r="I32" s="1311"/>
      <c r="J32" s="155"/>
      <c r="K32" s="156"/>
      <c r="L32" s="1057"/>
      <c r="N32" s="1057"/>
    </row>
    <row r="33" spans="1:14" ht="30.75" customHeight="1">
      <c r="A33" s="127">
        <v>1</v>
      </c>
      <c r="B33" s="283" t="s">
        <v>456</v>
      </c>
      <c r="C33" s="231" t="s">
        <v>116</v>
      </c>
      <c r="D33" s="1313"/>
      <c r="E33" s="1310"/>
      <c r="F33" s="1316"/>
      <c r="G33" s="1316">
        <f>'lương gián tiếp'!G13</f>
        <v>9569069</v>
      </c>
      <c r="H33" s="1310">
        <f>'lương gián tiếp'!I13</f>
        <v>9220615.5500000007</v>
      </c>
      <c r="I33" s="1313"/>
      <c r="M33" s="190"/>
    </row>
    <row r="34" spans="1:14" s="5" customFormat="1" ht="30.75" customHeight="1">
      <c r="A34" s="1047">
        <v>2</v>
      </c>
      <c r="B34" s="1049" t="s">
        <v>358</v>
      </c>
      <c r="C34" s="231" t="s">
        <v>116</v>
      </c>
      <c r="D34" s="1310"/>
      <c r="E34" s="1310"/>
      <c r="F34" s="1310"/>
      <c r="G34" s="1310">
        <f>'lương gián tiếp'!G16</f>
        <v>2000000</v>
      </c>
      <c r="H34" s="1310">
        <f>'lương gián tiếp'!I17</f>
        <v>1965000</v>
      </c>
      <c r="I34" s="1313"/>
      <c r="K34" s="1058"/>
      <c r="L34" s="1054"/>
      <c r="N34" s="1054"/>
    </row>
    <row r="35" spans="1:14" ht="30.75" customHeight="1">
      <c r="A35" s="1596" t="s">
        <v>191</v>
      </c>
      <c r="B35" s="1596"/>
      <c r="C35" s="335"/>
      <c r="D35" s="1310"/>
      <c r="E35" s="1041"/>
      <c r="F35" s="1310"/>
      <c r="G35" s="1041">
        <f>G13+G32</f>
        <v>606888056</v>
      </c>
      <c r="H35" s="1041" t="e">
        <f>H13+#REF!+#REF!+H32</f>
        <v>#REF!</v>
      </c>
      <c r="I35" s="1311"/>
      <c r="K35" s="1297">
        <f>G35-'[3]Phân toán  '!$G$37</f>
        <v>-229797000</v>
      </c>
      <c r="L35" s="153" t="e">
        <f>SUM(#REF!)</f>
        <v>#REF!</v>
      </c>
      <c r="M35" s="190"/>
    </row>
    <row r="36" spans="1:14" ht="30.75" customHeight="1">
      <c r="A36" s="1597" t="s">
        <v>750</v>
      </c>
      <c r="B36" s="1598"/>
      <c r="C36" s="1598"/>
      <c r="D36" s="1598"/>
      <c r="E36" s="1598"/>
      <c r="F36" s="1598"/>
      <c r="G36" s="1598"/>
      <c r="H36" s="1598"/>
      <c r="I36" s="1599"/>
      <c r="K36" s="190"/>
      <c r="L36" s="375"/>
    </row>
    <row r="37" spans="1:14" s="189" customFormat="1" ht="18.75">
      <c r="A37" s="210"/>
      <c r="B37" s="210"/>
      <c r="C37" s="1059"/>
      <c r="D37" s="1060"/>
      <c r="E37" s="1061"/>
      <c r="F37" s="1590" t="s">
        <v>697</v>
      </c>
      <c r="G37" s="1590"/>
      <c r="H37" s="1590"/>
      <c r="I37" s="1590"/>
      <c r="K37" s="221"/>
      <c r="L37" s="211"/>
      <c r="M37" s="212"/>
    </row>
    <row r="38" spans="1:14" s="189" customFormat="1" ht="18.75">
      <c r="A38" s="222"/>
      <c r="B38" s="222"/>
      <c r="C38" s="233"/>
      <c r="D38" s="239"/>
      <c r="E38" s="1061"/>
      <c r="F38" s="1590"/>
      <c r="G38" s="1590"/>
      <c r="H38" s="1590"/>
      <c r="I38" s="1590"/>
      <c r="K38" s="211"/>
      <c r="L38" s="1049"/>
    </row>
    <row r="39" spans="1:14" s="214" customFormat="1" ht="18.75">
      <c r="A39" s="1600" t="s">
        <v>667</v>
      </c>
      <c r="B39" s="1600"/>
      <c r="C39" s="1601" t="s">
        <v>668</v>
      </c>
      <c r="D39" s="1601"/>
      <c r="E39" s="1556" t="s">
        <v>736</v>
      </c>
      <c r="F39" s="1556"/>
      <c r="G39" s="1589" t="s">
        <v>669</v>
      </c>
      <c r="H39" s="1589"/>
      <c r="I39" s="1589"/>
      <c r="K39" s="226" t="e">
        <f>H35-#REF!</f>
        <v>#REF!</v>
      </c>
      <c r="L39" s="215"/>
    </row>
    <row r="40" spans="1:14" s="189" customFormat="1" ht="18.75">
      <c r="A40" s="222"/>
      <c r="B40" s="222"/>
      <c r="C40" s="233"/>
      <c r="D40" s="239"/>
      <c r="E40" s="1061"/>
      <c r="F40" s="1062"/>
      <c r="G40" s="1062"/>
      <c r="H40" s="239"/>
      <c r="I40" s="247"/>
      <c r="K40" s="1063"/>
    </row>
    <row r="41" spans="1:14" s="189" customFormat="1" ht="18.75">
      <c r="A41" s="222"/>
      <c r="B41" s="222"/>
      <c r="C41" s="233"/>
      <c r="D41" s="239"/>
      <c r="E41" s="1061"/>
      <c r="F41" s="1062"/>
      <c r="G41" s="1062"/>
      <c r="H41" s="239"/>
      <c r="I41" s="247"/>
    </row>
    <row r="42" spans="1:14" s="189" customFormat="1" ht="18.75">
      <c r="A42" s="222"/>
      <c r="B42" s="222"/>
      <c r="C42" s="233"/>
      <c r="D42" s="239"/>
      <c r="E42" s="1061"/>
      <c r="F42" s="1062"/>
      <c r="G42" s="1062"/>
      <c r="H42" s="239"/>
      <c r="I42" s="247"/>
    </row>
    <row r="43" spans="1:14" s="189" customFormat="1" ht="18.75">
      <c r="A43" s="222"/>
      <c r="B43" s="222"/>
      <c r="C43" s="233"/>
      <c r="D43" s="239"/>
      <c r="E43" s="1061"/>
      <c r="F43" s="1062"/>
      <c r="G43" s="1062"/>
      <c r="H43" s="239"/>
      <c r="I43" s="247"/>
    </row>
    <row r="44" spans="1:14" s="189" customFormat="1" ht="18.75">
      <c r="A44" s="222"/>
      <c r="B44" s="222"/>
      <c r="C44" s="233"/>
      <c r="D44" s="239"/>
      <c r="E44" s="1061"/>
      <c r="F44" s="1113"/>
      <c r="G44" s="1113"/>
      <c r="H44" s="1113"/>
      <c r="I44" s="1113"/>
    </row>
    <row r="45" spans="1:14">
      <c r="A45" s="223"/>
      <c r="B45" s="223"/>
      <c r="C45" s="234"/>
      <c r="D45" s="240"/>
      <c r="E45" s="240"/>
      <c r="F45" s="240"/>
      <c r="G45" s="240"/>
      <c r="H45" s="240"/>
      <c r="I45" s="248"/>
    </row>
    <row r="46" spans="1:14">
      <c r="A46" s="223"/>
      <c r="B46" s="224"/>
      <c r="C46" s="234"/>
      <c r="D46" s="240"/>
      <c r="E46" s="1591"/>
      <c r="F46" s="1591"/>
      <c r="G46" s="1591"/>
      <c r="H46" s="1591"/>
      <c r="I46" s="1591"/>
    </row>
  </sheetData>
  <mergeCells count="17">
    <mergeCell ref="F38:I38"/>
    <mergeCell ref="A2:I2"/>
    <mergeCell ref="A3:I3"/>
    <mergeCell ref="A4:I4"/>
    <mergeCell ref="A6:C6"/>
    <mergeCell ref="A7:C7"/>
    <mergeCell ref="A9:I9"/>
    <mergeCell ref="A10:I10"/>
    <mergeCell ref="H11:I11"/>
    <mergeCell ref="A35:B35"/>
    <mergeCell ref="A36:I36"/>
    <mergeCell ref="F37:I37"/>
    <mergeCell ref="A39:B39"/>
    <mergeCell ref="C39:D39"/>
    <mergeCell ref="E39:F39"/>
    <mergeCell ref="G39:I39"/>
    <mergeCell ref="E46:I46"/>
  </mergeCells>
  <printOptions horizontalCentered="1"/>
  <pageMargins left="0.196850393700787" right="0" top="0.196850393700787" bottom="0.196850393700787" header="0.2" footer="0.31496062992126"/>
  <pageSetup paperSize="9" scale="90" fitToHeight="0" orientation="landscape" r:id="rId1"/>
  <colBreaks count="1" manualBreakCount="1">
    <brk id="9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S27"/>
  <sheetViews>
    <sheetView topLeftCell="A4" workbookViewId="0">
      <selection activeCell="A19" sqref="A19:F27"/>
    </sheetView>
  </sheetViews>
  <sheetFormatPr defaultColWidth="9.140625" defaultRowHeight="15"/>
  <cols>
    <col min="1" max="1" width="5.42578125" style="142" customWidth="1"/>
    <col min="2" max="2" width="40.5703125" style="142" customWidth="1"/>
    <col min="3" max="3" width="16.5703125" style="142" customWidth="1"/>
    <col min="4" max="4" width="27.28515625" style="142" customWidth="1"/>
    <col min="5" max="5" width="22.42578125" style="142" customWidth="1"/>
    <col min="6" max="6" width="23.42578125" style="142" customWidth="1"/>
    <col min="7" max="7" width="9.140625" style="142"/>
    <col min="8" max="8" width="21.5703125" style="142" customWidth="1"/>
    <col min="9" max="9" width="12.28515625" style="142" bestFit="1" customWidth="1"/>
    <col min="10" max="11" width="9.140625" style="142"/>
    <col min="12" max="12" width="12.28515625" style="142" bestFit="1" customWidth="1"/>
    <col min="13" max="14" width="9.140625" style="142"/>
    <col min="15" max="15" width="13.42578125" style="142" bestFit="1" customWidth="1"/>
    <col min="16" max="16" width="13.42578125" style="142" customWidth="1"/>
    <col min="17" max="17" width="12.5703125" style="142" customWidth="1"/>
    <col min="18" max="18" width="15.5703125" style="142" customWidth="1"/>
    <col min="19" max="16384" width="9.140625" style="142"/>
  </cols>
  <sheetData>
    <row r="2" spans="1:19" ht="16.5">
      <c r="A2" s="1541" t="s">
        <v>56</v>
      </c>
      <c r="B2" s="1541"/>
      <c r="C2" s="1541"/>
      <c r="D2" s="1541"/>
      <c r="E2" s="1541"/>
      <c r="F2" s="1541"/>
    </row>
    <row r="3" spans="1:19" ht="16.5">
      <c r="A3" s="1541" t="s">
        <v>42</v>
      </c>
      <c r="B3" s="1541"/>
      <c r="C3" s="1541"/>
      <c r="D3" s="1541"/>
      <c r="E3" s="1541"/>
      <c r="F3" s="1541"/>
    </row>
    <row r="4" spans="1:19" ht="17.25" customHeight="1">
      <c r="A4" s="1542" t="s">
        <v>294</v>
      </c>
      <c r="B4" s="1541"/>
      <c r="C4" s="1541"/>
      <c r="D4" s="1541"/>
      <c r="E4" s="1541"/>
      <c r="F4" s="1541"/>
    </row>
    <row r="5" spans="1:19" ht="9.75" customHeight="1">
      <c r="F5" s="94"/>
    </row>
    <row r="6" spans="1:19" ht="15.75">
      <c r="A6" s="1443" t="s">
        <v>0</v>
      </c>
      <c r="B6" s="1443"/>
      <c r="C6" s="1443"/>
      <c r="D6" s="643"/>
      <c r="E6" s="643"/>
      <c r="F6" s="94"/>
    </row>
    <row r="7" spans="1:19" ht="15.75">
      <c r="A7" s="1443" t="s">
        <v>658</v>
      </c>
      <c r="B7" s="1443"/>
      <c r="C7" s="1443"/>
      <c r="D7" s="644"/>
      <c r="E7" s="644"/>
      <c r="F7" s="94"/>
    </row>
    <row r="8" spans="1:19" ht="15.75">
      <c r="A8" s="3"/>
      <c r="B8" s="3"/>
      <c r="C8" s="3"/>
      <c r="D8" s="644"/>
      <c r="E8" s="644"/>
      <c r="F8" s="94"/>
    </row>
    <row r="9" spans="1:19" s="187" customFormat="1" ht="18" customHeight="1">
      <c r="A9" s="1604" t="s">
        <v>671</v>
      </c>
      <c r="B9" s="1604"/>
      <c r="C9" s="1604"/>
      <c r="D9" s="1604"/>
      <c r="E9" s="1604"/>
      <c r="F9" s="1604"/>
    </row>
    <row r="10" spans="1:19" s="188" customFormat="1" ht="11.25" customHeight="1">
      <c r="A10" s="1605"/>
      <c r="B10" s="1605"/>
      <c r="C10" s="1605"/>
      <c r="D10" s="1605"/>
      <c r="E10" s="1605"/>
      <c r="F10" s="1605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7"/>
      <c r="R10" s="187"/>
      <c r="S10" s="187"/>
    </row>
    <row r="11" spans="1:19" ht="30" customHeight="1">
      <c r="A11" s="282" t="s">
        <v>6</v>
      </c>
      <c r="B11" s="646" t="s">
        <v>68</v>
      </c>
      <c r="C11" s="331" t="s">
        <v>163</v>
      </c>
      <c r="D11" s="507" t="s">
        <v>164</v>
      </c>
      <c r="E11" s="331" t="s">
        <v>165</v>
      </c>
      <c r="F11" s="280" t="s">
        <v>66</v>
      </c>
      <c r="G11" s="187"/>
      <c r="H11" s="187"/>
      <c r="I11" s="187"/>
      <c r="J11" s="187"/>
      <c r="K11" s="187"/>
      <c r="L11" s="187"/>
      <c r="M11" s="187"/>
      <c r="N11" s="187"/>
      <c r="O11" s="187"/>
      <c r="P11" s="187"/>
      <c r="Q11" s="187"/>
      <c r="R11" s="187"/>
      <c r="S11" s="187"/>
    </row>
    <row r="12" spans="1:19" ht="23.25" customHeight="1">
      <c r="A12" s="492">
        <v>1</v>
      </c>
      <c r="B12" s="508" t="s">
        <v>592</v>
      </c>
      <c r="C12" s="497">
        <v>10</v>
      </c>
      <c r="D12" s="497">
        <v>25000</v>
      </c>
      <c r="E12" s="379">
        <f>+C12*D12</f>
        <v>250000</v>
      </c>
      <c r="F12" s="493"/>
      <c r="G12" s="187"/>
      <c r="H12" s="628" t="e">
        <f>#REF!+#REF!</f>
        <v>#REF!</v>
      </c>
      <c r="I12" s="264"/>
      <c r="J12" s="187"/>
      <c r="K12" s="187"/>
      <c r="L12" s="187"/>
      <c r="M12" s="187">
        <f>3000/25000</f>
        <v>0.12</v>
      </c>
      <c r="N12" s="187"/>
      <c r="O12" s="187"/>
      <c r="P12" s="187"/>
      <c r="Q12" s="187"/>
      <c r="R12" s="187"/>
      <c r="S12" s="187"/>
    </row>
    <row r="13" spans="1:19" ht="23.25" customHeight="1">
      <c r="A13" s="492">
        <v>2</v>
      </c>
      <c r="B13" s="1071" t="s">
        <v>686</v>
      </c>
      <c r="C13" s="1141">
        <v>20.2</v>
      </c>
      <c r="D13" s="497">
        <v>25000</v>
      </c>
      <c r="E13" s="379">
        <f>+C13*D13</f>
        <v>505000</v>
      </c>
      <c r="F13" s="493"/>
      <c r="G13" s="187"/>
      <c r="H13" s="628" t="e">
        <f>#REF!</f>
        <v>#REF!</v>
      </c>
      <c r="I13" s="264"/>
      <c r="J13" s="187"/>
      <c r="K13" s="187"/>
      <c r="L13" s="187"/>
      <c r="M13" s="187"/>
      <c r="N13" s="187"/>
      <c r="O13" s="187"/>
      <c r="P13" s="187"/>
      <c r="Q13" s="187"/>
      <c r="R13" s="187"/>
      <c r="S13" s="187"/>
    </row>
    <row r="14" spans="1:19" ht="25.5" customHeight="1">
      <c r="A14" s="492">
        <v>3</v>
      </c>
      <c r="B14" s="1071" t="s">
        <v>687</v>
      </c>
      <c r="C14" s="1141">
        <v>261.60000000000002</v>
      </c>
      <c r="D14" s="497">
        <v>25000</v>
      </c>
      <c r="E14" s="379">
        <f>C14*D14</f>
        <v>6540000.0000000009</v>
      </c>
      <c r="F14" s="493"/>
      <c r="G14" s="187"/>
      <c r="H14" s="628" t="e">
        <f>SUM(H12:H13)</f>
        <v>#REF!</v>
      </c>
      <c r="I14" s="264"/>
      <c r="J14" s="187"/>
      <c r="K14" s="187"/>
      <c r="L14" s="187"/>
      <c r="M14" s="187"/>
      <c r="N14" s="187"/>
      <c r="O14" s="187"/>
      <c r="P14" s="187"/>
      <c r="Q14" s="187"/>
      <c r="R14" s="187"/>
      <c r="S14" s="187"/>
    </row>
    <row r="15" spans="1:19" ht="25.5" customHeight="1">
      <c r="A15" s="492">
        <v>4</v>
      </c>
      <c r="B15" s="1142" t="s">
        <v>688</v>
      </c>
      <c r="C15" s="629">
        <v>24</v>
      </c>
      <c r="D15" s="497">
        <v>25000</v>
      </c>
      <c r="E15" s="379">
        <f>C15*D15</f>
        <v>600000</v>
      </c>
      <c r="F15" s="493"/>
      <c r="G15" s="187"/>
      <c r="H15" s="628"/>
      <c r="I15" s="264"/>
      <c r="J15" s="187"/>
      <c r="K15" s="187"/>
      <c r="L15" s="187"/>
      <c r="M15" s="187"/>
      <c r="N15" s="187"/>
      <c r="O15" s="187"/>
      <c r="P15" s="187"/>
      <c r="Q15" s="187"/>
      <c r="R15" s="187"/>
      <c r="S15" s="187"/>
    </row>
    <row r="16" spans="1:19" ht="25.5" customHeight="1">
      <c r="A16" s="492">
        <v>5</v>
      </c>
      <c r="B16" s="1070" t="s">
        <v>689</v>
      </c>
      <c r="C16" s="629">
        <v>10</v>
      </c>
      <c r="D16" s="497">
        <v>25000</v>
      </c>
      <c r="E16" s="379">
        <f>C16*D16</f>
        <v>250000</v>
      </c>
      <c r="F16" s="493"/>
      <c r="G16" s="187"/>
      <c r="H16" s="628"/>
      <c r="I16" s="264"/>
      <c r="J16" s="187"/>
      <c r="K16" s="187"/>
      <c r="L16" s="187"/>
      <c r="M16" s="187"/>
      <c r="N16" s="187"/>
      <c r="O16" s="187"/>
      <c r="P16" s="187"/>
      <c r="Q16" s="187"/>
      <c r="R16" s="187"/>
      <c r="S16" s="187"/>
    </row>
    <row r="17" spans="1:13" ht="21.75" customHeight="1">
      <c r="A17" s="1606" t="s">
        <v>61</v>
      </c>
      <c r="B17" s="1607"/>
      <c r="C17" s="498">
        <f>SUM(C12:C16)</f>
        <v>325.8</v>
      </c>
      <c r="D17" s="498"/>
      <c r="E17" s="764">
        <f>SUM(E12:E16)</f>
        <v>8145000.0000000009</v>
      </c>
      <c r="F17" s="380"/>
      <c r="H17" s="496"/>
    </row>
    <row r="18" spans="1:13" ht="20.25" customHeight="1">
      <c r="A18" s="381"/>
      <c r="B18" s="381"/>
      <c r="C18" s="381"/>
      <c r="D18" s="381"/>
      <c r="E18" s="1608" t="s">
        <v>705</v>
      </c>
      <c r="F18" s="1608"/>
    </row>
    <row r="19" spans="1:13" ht="23.25" customHeight="1">
      <c r="A19" s="1603" t="s">
        <v>670</v>
      </c>
      <c r="B19" s="1603"/>
      <c r="C19" s="1603"/>
      <c r="D19" s="1603"/>
      <c r="E19" s="1603"/>
      <c r="F19" s="1603"/>
      <c r="G19" s="1122"/>
      <c r="H19" s="1122"/>
      <c r="I19" s="1122"/>
      <c r="J19" s="1122"/>
      <c r="K19" s="1122"/>
      <c r="L19" s="1122"/>
      <c r="M19" s="1122"/>
    </row>
    <row r="20" spans="1:13" ht="19.5">
      <c r="A20" s="295"/>
      <c r="B20" s="295"/>
      <c r="C20" s="295"/>
      <c r="D20" s="295"/>
      <c r="E20" s="295"/>
      <c r="F20" s="295"/>
      <c r="G20" s="478"/>
      <c r="H20" s="478"/>
      <c r="I20" s="477"/>
      <c r="J20" s="477"/>
      <c r="K20" s="477"/>
      <c r="L20" s="478"/>
      <c r="M20" s="478"/>
    </row>
    <row r="21" spans="1:13" ht="17.25" hidden="1" customHeight="1">
      <c r="A21" s="295"/>
      <c r="B21" s="295"/>
      <c r="C21" s="295"/>
      <c r="D21" s="295"/>
      <c r="E21" s="295"/>
      <c r="F21" s="295"/>
      <c r="G21" s="478"/>
      <c r="H21" s="478"/>
      <c r="I21" s="477"/>
      <c r="J21" s="477"/>
      <c r="K21" s="477"/>
      <c r="L21" s="478"/>
      <c r="M21" s="478"/>
    </row>
    <row r="22" spans="1:13" ht="19.5" hidden="1">
      <c r="A22" s="295"/>
      <c r="B22" s="295"/>
      <c r="C22" s="295"/>
      <c r="D22" s="295"/>
      <c r="E22" s="295"/>
      <c r="F22" s="295"/>
      <c r="G22" s="478"/>
      <c r="H22" s="478"/>
      <c r="I22" s="477"/>
      <c r="J22" s="477"/>
      <c r="K22" s="477"/>
      <c r="L22" s="478"/>
      <c r="M22" s="478"/>
    </row>
    <row r="23" spans="1:13" ht="19.5">
      <c r="A23" s="295"/>
      <c r="B23" s="295"/>
      <c r="C23" s="295"/>
      <c r="D23" s="295"/>
      <c r="E23" s="295"/>
      <c r="F23" s="295"/>
      <c r="G23" s="478"/>
      <c r="H23" s="478"/>
      <c r="I23" s="477"/>
      <c r="J23" s="477"/>
      <c r="K23" s="477"/>
      <c r="L23" s="478"/>
      <c r="M23" s="478"/>
    </row>
    <row r="24" spans="1:13" ht="19.5">
      <c r="A24" s="295"/>
      <c r="B24" s="295"/>
      <c r="C24" s="295"/>
      <c r="D24" s="295"/>
      <c r="E24" s="295"/>
      <c r="F24" s="295"/>
      <c r="G24" s="478"/>
      <c r="H24" s="478"/>
      <c r="I24" s="477"/>
      <c r="J24" s="477"/>
      <c r="K24" s="477"/>
      <c r="L24" s="478"/>
      <c r="M24" s="478"/>
    </row>
    <row r="25" spans="1:13" ht="19.5">
      <c r="A25" s="295"/>
      <c r="B25" s="295"/>
      <c r="C25" s="295"/>
      <c r="D25" s="295"/>
      <c r="E25" s="295"/>
      <c r="F25" s="295"/>
      <c r="G25" s="478"/>
      <c r="H25" s="478"/>
      <c r="I25" s="477"/>
      <c r="J25" s="477"/>
      <c r="K25" s="477"/>
      <c r="L25" s="478"/>
      <c r="M25" s="478"/>
    </row>
    <row r="26" spans="1:13" ht="19.5">
      <c r="A26" s="1602"/>
      <c r="B26" s="1602"/>
      <c r="C26" s="295"/>
      <c r="D26" s="295"/>
      <c r="E26" s="295"/>
      <c r="F26" s="295"/>
      <c r="G26" s="478"/>
      <c r="H26" s="478"/>
      <c r="I26" s="477"/>
      <c r="J26" s="477"/>
      <c r="K26" s="477"/>
      <c r="L26" s="478"/>
      <c r="M26" s="478"/>
    </row>
    <row r="27" spans="1:13" ht="19.5">
      <c r="A27" s="1603" t="s">
        <v>729</v>
      </c>
      <c r="B27" s="1603"/>
      <c r="C27" s="1603"/>
      <c r="D27" s="1603"/>
      <c r="E27" s="1603"/>
      <c r="F27" s="1603"/>
      <c r="G27" s="1122"/>
      <c r="H27" s="1122"/>
      <c r="I27" s="1122"/>
      <c r="J27" s="1122"/>
      <c r="K27" s="1122"/>
      <c r="L27" s="1122"/>
      <c r="M27" s="1122"/>
    </row>
  </sheetData>
  <mergeCells count="12">
    <mergeCell ref="A26:B26"/>
    <mergeCell ref="A19:F19"/>
    <mergeCell ref="A27:F27"/>
    <mergeCell ref="A2:F2"/>
    <mergeCell ref="A3:F3"/>
    <mergeCell ref="A4:F4"/>
    <mergeCell ref="A6:C6"/>
    <mergeCell ref="A7:C7"/>
    <mergeCell ref="A9:F9"/>
    <mergeCell ref="A10:F10"/>
    <mergeCell ref="A17:B17"/>
    <mergeCell ref="E18:F18"/>
  </mergeCells>
  <printOptions horizontalCentered="1"/>
  <pageMargins left="0.33" right="0.46" top="0.46" bottom="0.43" header="0.3" footer="0.3"/>
  <pageSetup paperSize="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28"/>
  <sheetViews>
    <sheetView topLeftCell="A13" workbookViewId="0">
      <selection activeCell="C34" sqref="C34"/>
    </sheetView>
  </sheetViews>
  <sheetFormatPr defaultColWidth="9.140625" defaultRowHeight="16.5"/>
  <cols>
    <col min="1" max="1" width="7.140625" style="270" customWidth="1"/>
    <col min="2" max="2" width="21.7109375" style="270" customWidth="1"/>
    <col min="3" max="3" width="17.7109375" style="270" customWidth="1"/>
    <col min="4" max="5" width="23" style="270" customWidth="1"/>
    <col min="6" max="6" width="19" style="270" customWidth="1"/>
    <col min="7" max="7" width="24.85546875" style="270" customWidth="1"/>
    <col min="8" max="8" width="8.42578125" style="270" customWidth="1"/>
    <col min="9" max="9" width="12.85546875" style="270" customWidth="1"/>
    <col min="10" max="10" width="20.7109375" style="270" customWidth="1"/>
    <col min="11" max="11" width="19.5703125" style="270" customWidth="1"/>
    <col min="12" max="12" width="7.85546875" style="270" customWidth="1"/>
    <col min="13" max="13" width="7.28515625" style="270" customWidth="1"/>
    <col min="14" max="14" width="7.42578125" style="270" customWidth="1"/>
    <col min="15" max="15" width="6.28515625" style="270" customWidth="1"/>
    <col min="16" max="16" width="5.7109375" style="270" customWidth="1"/>
    <col min="17" max="17" width="6" style="270" customWidth="1"/>
    <col min="18" max="18" width="4.85546875" style="270" customWidth="1"/>
    <col min="19" max="19" width="6" style="270" customWidth="1"/>
    <col min="20" max="20" width="6.5703125" style="270" customWidth="1"/>
    <col min="21" max="21" width="8.140625" style="270" customWidth="1"/>
    <col min="22" max="22" width="6" style="270" customWidth="1"/>
    <col min="23" max="23" width="8.140625" style="270" customWidth="1"/>
    <col min="24" max="24" width="15" style="270" bestFit="1" customWidth="1"/>
    <col min="25" max="25" width="17.85546875" style="270" bestFit="1" customWidth="1"/>
    <col min="26" max="26" width="12.85546875" style="270" bestFit="1" customWidth="1"/>
    <col min="27" max="16384" width="9.140625" style="270"/>
  </cols>
  <sheetData>
    <row r="1" spans="1:26" ht="11.25" customHeight="1">
      <c r="A1" s="141"/>
      <c r="B1" s="141"/>
      <c r="C1" s="141"/>
      <c r="D1" s="141"/>
      <c r="E1" s="141"/>
      <c r="F1" s="141"/>
      <c r="G1" s="141"/>
    </row>
    <row r="2" spans="1:26">
      <c r="A2" s="1541" t="s">
        <v>56</v>
      </c>
      <c r="B2" s="1541"/>
      <c r="C2" s="1541"/>
      <c r="D2" s="1541"/>
      <c r="E2" s="1541"/>
      <c r="F2" s="1541"/>
      <c r="G2" s="1541"/>
      <c r="H2" s="15"/>
      <c r="I2" s="15"/>
      <c r="J2" s="15"/>
      <c r="K2" s="382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spans="1:26">
      <c r="A3" s="1541" t="s">
        <v>42</v>
      </c>
      <c r="B3" s="1541"/>
      <c r="C3" s="1541"/>
      <c r="D3" s="1541"/>
      <c r="E3" s="1541"/>
      <c r="F3" s="1541"/>
      <c r="G3" s="1541"/>
      <c r="H3" s="16"/>
      <c r="I3" s="16"/>
      <c r="J3" s="16"/>
      <c r="K3" s="16"/>
      <c r="L3" s="383"/>
      <c r="N3" s="16"/>
      <c r="O3" s="16"/>
      <c r="P3" s="16"/>
      <c r="Q3" s="16"/>
      <c r="R3" s="16"/>
      <c r="S3" s="16"/>
      <c r="T3" s="16"/>
      <c r="U3" s="16"/>
      <c r="V3" s="16"/>
      <c r="W3" s="383"/>
    </row>
    <row r="4" spans="1:26" ht="19.5" customHeight="1">
      <c r="A4" s="1542" t="s">
        <v>294</v>
      </c>
      <c r="B4" s="1541"/>
      <c r="C4" s="1541"/>
      <c r="D4" s="1541"/>
      <c r="E4" s="1541"/>
      <c r="F4" s="1541"/>
      <c r="G4" s="1541"/>
      <c r="H4" s="16"/>
      <c r="I4" s="16"/>
      <c r="J4" s="16"/>
      <c r="K4" s="16"/>
      <c r="L4" s="383"/>
      <c r="N4" s="16"/>
      <c r="O4" s="16"/>
      <c r="P4" s="16"/>
      <c r="Q4" s="16"/>
      <c r="R4" s="16"/>
      <c r="S4" s="16"/>
      <c r="T4" s="16"/>
      <c r="U4" s="16"/>
      <c r="V4" s="16"/>
      <c r="W4" s="383"/>
    </row>
    <row r="5" spans="1:26" ht="7.5" customHeight="1">
      <c r="A5" s="141"/>
      <c r="B5" s="141"/>
      <c r="C5" s="141"/>
      <c r="D5" s="141"/>
      <c r="E5" s="141"/>
      <c r="F5" s="384"/>
      <c r="G5" s="384"/>
      <c r="H5" s="385"/>
      <c r="I5" s="385"/>
      <c r="J5" s="385"/>
      <c r="K5" s="386"/>
      <c r="L5" s="387"/>
      <c r="M5" s="388"/>
      <c r="N5" s="389"/>
      <c r="O5" s="389"/>
      <c r="P5" s="389"/>
      <c r="Q5" s="389"/>
      <c r="R5" s="389"/>
      <c r="S5" s="389"/>
      <c r="T5" s="389"/>
      <c r="U5" s="389"/>
      <c r="V5" s="389"/>
      <c r="W5" s="383"/>
      <c r="X5" s="390">
        <f>1372+388</f>
        <v>1760</v>
      </c>
      <c r="Y5" s="270">
        <f>X5*30000</f>
        <v>52800000</v>
      </c>
      <c r="Z5" s="270" t="e">
        <f>Y5+#REF!+#REF!</f>
        <v>#REF!</v>
      </c>
    </row>
    <row r="6" spans="1:26">
      <c r="A6" s="3" t="s">
        <v>0</v>
      </c>
      <c r="B6" s="3"/>
      <c r="C6" s="3"/>
      <c r="D6" s="122"/>
      <c r="E6" s="180"/>
      <c r="F6" s="384"/>
      <c r="G6" s="384"/>
      <c r="H6" s="385"/>
      <c r="I6" s="385"/>
      <c r="J6" s="385"/>
      <c r="K6" s="386"/>
      <c r="L6" s="387"/>
      <c r="M6" s="388"/>
      <c r="N6" s="389"/>
      <c r="O6" s="389"/>
      <c r="P6" s="389"/>
      <c r="Q6" s="389"/>
      <c r="R6" s="389"/>
      <c r="S6" s="389"/>
      <c r="T6" s="389"/>
      <c r="U6" s="389"/>
      <c r="V6" s="389"/>
      <c r="W6" s="383"/>
      <c r="X6" s="390"/>
    </row>
    <row r="7" spans="1:26">
      <c r="A7" s="1443" t="s">
        <v>658</v>
      </c>
      <c r="B7" s="1443"/>
      <c r="C7" s="1443"/>
      <c r="D7" s="1198"/>
      <c r="E7" s="384"/>
      <c r="F7" s="384"/>
      <c r="G7" s="384"/>
      <c r="H7" s="385"/>
      <c r="I7" s="385"/>
      <c r="J7" s="385"/>
      <c r="K7" s="386"/>
      <c r="L7" s="387"/>
      <c r="M7" s="388"/>
      <c r="N7" s="389"/>
      <c r="O7" s="389"/>
      <c r="P7" s="389"/>
      <c r="Q7" s="389"/>
      <c r="R7" s="389"/>
      <c r="S7" s="389"/>
      <c r="T7" s="389"/>
      <c r="U7" s="389"/>
      <c r="V7" s="389"/>
      <c r="W7" s="383"/>
      <c r="X7" s="390"/>
    </row>
    <row r="8" spans="1:26" ht="28.5" customHeight="1">
      <c r="A8" s="1613" t="s">
        <v>672</v>
      </c>
      <c r="B8" s="1614"/>
      <c r="C8" s="1614"/>
      <c r="D8" s="1614"/>
      <c r="E8" s="1614"/>
      <c r="F8" s="1614"/>
      <c r="G8" s="1614"/>
      <c r="H8" s="391"/>
      <c r="I8" s="391"/>
      <c r="J8" s="391"/>
      <c r="K8" s="391"/>
      <c r="L8" s="392"/>
      <c r="M8" s="392"/>
      <c r="N8" s="392"/>
      <c r="O8" s="392"/>
      <c r="P8" s="392"/>
      <c r="Q8" s="392"/>
      <c r="R8" s="392"/>
      <c r="S8" s="392"/>
      <c r="T8" s="392"/>
      <c r="U8" s="392"/>
      <c r="V8" s="392"/>
      <c r="W8" s="392"/>
    </row>
    <row r="9" spans="1:26" ht="18" customHeight="1">
      <c r="A9" s="653"/>
      <c r="B9" s="393"/>
      <c r="C9" s="653"/>
      <c r="D9" s="653"/>
      <c r="E9" s="653"/>
      <c r="F9" s="393"/>
      <c r="G9" s="393"/>
      <c r="H9" s="394"/>
      <c r="I9" s="395"/>
      <c r="J9" s="396"/>
    </row>
    <row r="10" spans="1:26" ht="15" customHeight="1">
      <c r="A10" s="1546" t="s">
        <v>6</v>
      </c>
      <c r="B10" s="1546" t="s">
        <v>69</v>
      </c>
      <c r="C10" s="1546" t="s">
        <v>35</v>
      </c>
      <c r="D10" s="1552" t="s">
        <v>238</v>
      </c>
      <c r="E10" s="1546" t="s">
        <v>20</v>
      </c>
      <c r="F10" s="1546" t="s">
        <v>12</v>
      </c>
      <c r="G10" s="1546" t="s">
        <v>70</v>
      </c>
      <c r="H10" s="397"/>
      <c r="I10" s="398"/>
      <c r="J10" s="399"/>
    </row>
    <row r="11" spans="1:26" ht="18" customHeight="1">
      <c r="A11" s="1546"/>
      <c r="B11" s="1546"/>
      <c r="C11" s="1546"/>
      <c r="D11" s="1552"/>
      <c r="E11" s="1546"/>
      <c r="F11" s="1546"/>
      <c r="G11" s="1546"/>
      <c r="H11" s="400"/>
      <c r="I11" s="398"/>
      <c r="J11" s="399"/>
    </row>
    <row r="12" spans="1:26" ht="24.75" customHeight="1">
      <c r="A12" s="267">
        <v>1</v>
      </c>
      <c r="B12" s="611" t="s">
        <v>215</v>
      </c>
      <c r="C12" s="745">
        <f>'BTH CVK'!C12</f>
        <v>10</v>
      </c>
      <c r="D12" s="268">
        <v>25000</v>
      </c>
      <c r="E12" s="269">
        <f>+C12*D12</f>
        <v>250000</v>
      </c>
      <c r="F12" s="267"/>
      <c r="G12" s="267"/>
      <c r="H12" s="400"/>
      <c r="I12" s="401"/>
      <c r="J12" s="402"/>
    </row>
    <row r="13" spans="1:26" ht="24.75" customHeight="1">
      <c r="A13" s="267">
        <v>2</v>
      </c>
      <c r="B13" s="611" t="s">
        <v>348</v>
      </c>
      <c r="C13" s="745">
        <f>'BTH CVK'!C13</f>
        <v>20.2</v>
      </c>
      <c r="D13" s="268">
        <v>25000</v>
      </c>
      <c r="E13" s="269">
        <f t="shared" ref="E13:E16" si="0">+C13*D13</f>
        <v>505000</v>
      </c>
      <c r="F13" s="267"/>
      <c r="G13" s="267"/>
      <c r="H13" s="400"/>
      <c r="I13" s="401"/>
      <c r="J13" s="402">
        <v>15200000</v>
      </c>
    </row>
    <row r="14" spans="1:26" ht="24.75" customHeight="1">
      <c r="A14" s="267">
        <v>3</v>
      </c>
      <c r="B14" s="611" t="s">
        <v>690</v>
      </c>
      <c r="C14" s="745">
        <f>'BTH CVK'!C14</f>
        <v>261.60000000000002</v>
      </c>
      <c r="D14" s="268">
        <v>25000</v>
      </c>
      <c r="E14" s="269">
        <f t="shared" si="0"/>
        <v>6540000.0000000009</v>
      </c>
      <c r="F14" s="267"/>
      <c r="G14" s="267"/>
      <c r="H14" s="400"/>
      <c r="I14" s="401"/>
      <c r="J14" s="402"/>
    </row>
    <row r="15" spans="1:26" ht="24.75" customHeight="1">
      <c r="A15" s="267">
        <v>4</v>
      </c>
      <c r="B15" s="611" t="s">
        <v>691</v>
      </c>
      <c r="C15" s="745">
        <f>'BTH CVK'!C15</f>
        <v>24</v>
      </c>
      <c r="D15" s="268">
        <v>25000</v>
      </c>
      <c r="E15" s="269">
        <f t="shared" si="0"/>
        <v>600000</v>
      </c>
      <c r="F15" s="267"/>
      <c r="G15" s="267"/>
      <c r="H15" s="400"/>
      <c r="I15" s="401"/>
      <c r="J15" s="402"/>
    </row>
    <row r="16" spans="1:26" ht="24.75" customHeight="1">
      <c r="A16" s="267">
        <v>5</v>
      </c>
      <c r="B16" s="611" t="s">
        <v>93</v>
      </c>
      <c r="C16" s="745">
        <f>'BTH CVK'!C16</f>
        <v>10</v>
      </c>
      <c r="D16" s="268">
        <v>25000</v>
      </c>
      <c r="E16" s="269">
        <f t="shared" si="0"/>
        <v>250000</v>
      </c>
      <c r="F16" s="267"/>
      <c r="G16" s="267"/>
      <c r="H16" s="400"/>
      <c r="I16" s="401"/>
      <c r="J16" s="402">
        <v>15532549</v>
      </c>
    </row>
    <row r="17" spans="1:12" ht="24.75" customHeight="1">
      <c r="A17" s="1546" t="s">
        <v>158</v>
      </c>
      <c r="B17" s="1546"/>
      <c r="C17" s="331">
        <f>SUM(C12:C16)</f>
        <v>325.8</v>
      </c>
      <c r="D17" s="280"/>
      <c r="E17" s="332">
        <f>SUM(E12:E16)</f>
        <v>8145000.0000000009</v>
      </c>
      <c r="F17" s="642"/>
      <c r="G17" s="267"/>
      <c r="H17" s="400"/>
      <c r="I17" s="401"/>
      <c r="J17" s="905">
        <v>129900000</v>
      </c>
    </row>
    <row r="18" spans="1:12" ht="20.25" customHeight="1">
      <c r="A18" s="1609" t="s">
        <v>692</v>
      </c>
      <c r="B18" s="1610"/>
      <c r="C18" s="1610"/>
      <c r="D18" s="1610"/>
      <c r="E18" s="1610"/>
      <c r="F18" s="1610"/>
      <c r="G18" s="1611"/>
      <c r="J18" s="905">
        <v>2651211</v>
      </c>
    </row>
    <row r="19" spans="1:12" ht="23.25" customHeight="1">
      <c r="E19" s="1612" t="s">
        <v>706</v>
      </c>
      <c r="F19" s="1612"/>
      <c r="G19" s="1612"/>
      <c r="H19" s="403"/>
      <c r="I19" s="403"/>
      <c r="J19" s="402" t="e">
        <f>#REF!-#REF!-#REF!-J17-J18</f>
        <v>#REF!</v>
      </c>
      <c r="K19" s="403"/>
      <c r="L19" s="403"/>
    </row>
    <row r="20" spans="1:12">
      <c r="A20" s="1603" t="s">
        <v>670</v>
      </c>
      <c r="B20" s="1603"/>
      <c r="C20" s="1603"/>
      <c r="D20" s="1603"/>
      <c r="E20" s="1603"/>
      <c r="F20" s="1603"/>
      <c r="G20" s="1603"/>
      <c r="H20" s="1120"/>
      <c r="I20" s="1120"/>
    </row>
    <row r="21" spans="1:12">
      <c r="A21" s="295"/>
      <c r="B21" s="295"/>
      <c r="C21" s="295"/>
      <c r="D21" s="295"/>
      <c r="E21" s="295"/>
      <c r="F21" s="295"/>
    </row>
    <row r="22" spans="1:12">
      <c r="A22" s="295"/>
      <c r="B22" s="295"/>
      <c r="C22" s="295"/>
      <c r="D22" s="295"/>
      <c r="E22" s="295"/>
      <c r="F22" s="295"/>
    </row>
    <row r="23" spans="1:12" hidden="1">
      <c r="A23" s="295"/>
      <c r="B23" s="295"/>
      <c r="C23" s="295"/>
      <c r="D23" s="295"/>
      <c r="E23" s="295"/>
      <c r="F23" s="295"/>
    </row>
    <row r="24" spans="1:12" hidden="1">
      <c r="A24" s="295"/>
      <c r="B24" s="295"/>
      <c r="C24" s="295"/>
      <c r="D24" s="295"/>
      <c r="E24" s="295"/>
      <c r="F24" s="295"/>
    </row>
    <row r="25" spans="1:12">
      <c r="A25" s="295"/>
      <c r="B25" s="295"/>
      <c r="C25" s="295"/>
      <c r="D25" s="295"/>
      <c r="E25" s="295"/>
      <c r="F25" s="295"/>
      <c r="G25" s="1211"/>
      <c r="H25" s="1540"/>
      <c r="I25" s="1540"/>
    </row>
    <row r="26" spans="1:12">
      <c r="A26" s="295"/>
      <c r="B26" s="295"/>
      <c r="C26" s="295"/>
      <c r="D26" s="295"/>
      <c r="E26" s="295"/>
      <c r="F26" s="295"/>
      <c r="G26" s="1115"/>
      <c r="H26" s="1115"/>
      <c r="I26" s="1115"/>
    </row>
    <row r="27" spans="1:12">
      <c r="A27" s="1602"/>
      <c r="B27" s="1602"/>
      <c r="C27" s="295"/>
      <c r="D27" s="295"/>
      <c r="E27" s="295"/>
      <c r="F27" s="295"/>
    </row>
    <row r="28" spans="1:12">
      <c r="A28" s="1603" t="s">
        <v>735</v>
      </c>
      <c r="B28" s="1603"/>
      <c r="C28" s="1603"/>
      <c r="D28" s="1603"/>
      <c r="E28" s="1603"/>
      <c r="F28" s="1603"/>
      <c r="G28" s="1603"/>
    </row>
  </sheetData>
  <mergeCells count="19">
    <mergeCell ref="A7:C7"/>
    <mergeCell ref="A2:G2"/>
    <mergeCell ref="A3:G3"/>
    <mergeCell ref="A4:G4"/>
    <mergeCell ref="A8:G8"/>
    <mergeCell ref="F10:F11"/>
    <mergeCell ref="H25:I25"/>
    <mergeCell ref="A20:G20"/>
    <mergeCell ref="A27:B27"/>
    <mergeCell ref="A28:G28"/>
    <mergeCell ref="G10:G11"/>
    <mergeCell ref="A18:G18"/>
    <mergeCell ref="E19:G19"/>
    <mergeCell ref="A17:B17"/>
    <mergeCell ref="A10:A11"/>
    <mergeCell ref="B10:B11"/>
    <mergeCell ref="C10:C11"/>
    <mergeCell ref="D10:D11"/>
    <mergeCell ref="E10:E11"/>
  </mergeCells>
  <printOptions horizontalCentered="1"/>
  <pageMargins left="0.38" right="0.46" top="0.46" bottom="0.45" header="0.3" footer="0.3"/>
  <pageSetup paperSize="9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24"/>
  <sheetViews>
    <sheetView topLeftCell="A2602" zoomScale="70" zoomScaleNormal="70" workbookViewId="0">
      <selection activeCell="M2623" sqref="M2623"/>
    </sheetView>
  </sheetViews>
  <sheetFormatPr defaultColWidth="17.85546875" defaultRowHeight="21" customHeight="1"/>
  <cols>
    <col min="1" max="1" width="28.5703125" style="13" customWidth="1"/>
    <col min="2" max="2" width="27.85546875" style="13" customWidth="1"/>
    <col min="3" max="3" width="7.42578125" style="13" customWidth="1"/>
    <col min="4" max="4" width="10.5703125" style="13" customWidth="1"/>
    <col min="5" max="5" width="12.85546875" style="13" customWidth="1"/>
    <col min="6" max="6" width="0.85546875" style="13" customWidth="1"/>
    <col min="7" max="7" width="26.5703125" style="13" customWidth="1"/>
    <col min="8" max="8" width="26.7109375" style="13" customWidth="1"/>
    <col min="9" max="9" width="6.5703125" style="13" customWidth="1"/>
    <col min="10" max="10" width="11.28515625" style="13" customWidth="1"/>
    <col min="11" max="11" width="12.28515625" style="13" customWidth="1"/>
    <col min="12" max="16384" width="17.85546875" style="13"/>
  </cols>
  <sheetData>
    <row r="1" spans="1:12" ht="15.75" customHeight="1"/>
    <row r="2" spans="1:12" ht="15.75" customHeight="1">
      <c r="A2" s="13" t="s">
        <v>400</v>
      </c>
      <c r="B2" s="13">
        <f>'CNKT '!E11</f>
        <v>668.23</v>
      </c>
    </row>
    <row r="3" spans="1:12" ht="6" customHeight="1"/>
    <row r="4" spans="1:12" s="31" customFormat="1" ht="15.75" customHeight="1">
      <c r="A4" s="1615" t="s">
        <v>558</v>
      </c>
      <c r="B4" s="1616"/>
      <c r="C4" s="1616"/>
      <c r="D4" s="1616"/>
      <c r="E4" s="977">
        <v>1</v>
      </c>
      <c r="F4" s="817"/>
      <c r="G4" s="1615" t="str">
        <f>A4</f>
        <v>LƯƠNG THÁNG 01/2025</v>
      </c>
      <c r="H4" s="1616"/>
      <c r="I4" s="1616"/>
      <c r="J4" s="1616"/>
      <c r="K4" s="898">
        <v>2</v>
      </c>
      <c r="L4" s="818"/>
    </row>
    <row r="5" spans="1:12" s="31" customFormat="1" ht="15.75" customHeight="1">
      <c r="A5" s="976" t="s">
        <v>17</v>
      </c>
      <c r="B5" s="976" t="str">
        <f>'CNKT '!C16</f>
        <v>T. Vôn</v>
      </c>
      <c r="C5" s="819"/>
      <c r="D5" s="973" t="s">
        <v>398</v>
      </c>
      <c r="E5" s="973" t="s">
        <v>20</v>
      </c>
      <c r="F5" s="820"/>
      <c r="G5" s="976" t="s">
        <v>17</v>
      </c>
      <c r="H5" s="976" t="str">
        <f>'CNKT '!C17</f>
        <v>T. Feng</v>
      </c>
      <c r="I5" s="819"/>
      <c r="J5" s="973" t="s">
        <v>398</v>
      </c>
      <c r="K5" s="973" t="s">
        <v>20</v>
      </c>
      <c r="L5" s="818"/>
    </row>
    <row r="6" spans="1:12" s="31" customFormat="1" ht="15.75" customHeight="1">
      <c r="A6" s="821" t="s">
        <v>399</v>
      </c>
      <c r="B6" s="978" t="s">
        <v>559</v>
      </c>
      <c r="C6" s="822" t="str">
        <f>VLOOKUP(B5,'BTH mủ tạp'!$C$17:$AL$94,36,0)</f>
        <v>C</v>
      </c>
      <c r="D6" s="823"/>
      <c r="E6" s="823"/>
      <c r="F6" s="820"/>
      <c r="G6" s="821" t="s">
        <v>399</v>
      </c>
      <c r="H6" s="978" t="s">
        <v>559</v>
      </c>
      <c r="I6" s="822" t="str">
        <f>VLOOKUP(H5,'BTH mủ tạp'!$C$17:$AL$94,36,0)</f>
        <v>B</v>
      </c>
      <c r="J6" s="823"/>
      <c r="K6" s="823"/>
      <c r="L6" s="818"/>
    </row>
    <row r="7" spans="1:12" s="31" customFormat="1" ht="15.75" customHeight="1">
      <c r="A7" s="821" t="s">
        <v>79</v>
      </c>
      <c r="B7" s="979" t="s">
        <v>432</v>
      </c>
      <c r="C7" s="824">
        <f>VLOOKUP(B5,'CNKT '!$C$16:$Z$96,3,0)</f>
        <v>0</v>
      </c>
      <c r="D7" s="825">
        <v>25000</v>
      </c>
      <c r="E7" s="823">
        <f t="shared" ref="E7:E14" si="0">C7*D7</f>
        <v>0</v>
      </c>
      <c r="F7" s="820"/>
      <c r="G7" s="821" t="s">
        <v>79</v>
      </c>
      <c r="H7" s="979" t="s">
        <v>432</v>
      </c>
      <c r="I7" s="824">
        <f>VLOOKUP(H5,'CNKT '!$C$16:$Z$96,3,0)</f>
        <v>0</v>
      </c>
      <c r="J7" s="825">
        <v>25000</v>
      </c>
      <c r="K7" s="823">
        <f t="shared" ref="K7:K14" si="1">I7*J7</f>
        <v>0</v>
      </c>
      <c r="L7" s="818"/>
    </row>
    <row r="8" spans="1:12" s="31" customFormat="1" ht="15.75" customHeight="1">
      <c r="A8" s="821" t="s">
        <v>310</v>
      </c>
      <c r="B8" s="980" t="s">
        <v>560</v>
      </c>
      <c r="C8" s="879">
        <f>VLOOKUP(B5,'CNKT '!$C$16:$Z$96,11,0)</f>
        <v>23</v>
      </c>
      <c r="D8" s="826">
        <f>46.1*$B$2</f>
        <v>30805.403000000002</v>
      </c>
      <c r="E8" s="823">
        <f t="shared" si="0"/>
        <v>708524.26900000009</v>
      </c>
      <c r="F8" s="820"/>
      <c r="G8" s="821" t="s">
        <v>310</v>
      </c>
      <c r="H8" s="980" t="s">
        <v>560</v>
      </c>
      <c r="I8" s="879">
        <f>VLOOKUP(H5,'CNKT '!$C$16:$Z$96,11,0)</f>
        <v>23</v>
      </c>
      <c r="J8" s="826">
        <f>46.1*$B$2</f>
        <v>30805.403000000002</v>
      </c>
      <c r="K8" s="823">
        <f t="shared" si="1"/>
        <v>708524.26900000009</v>
      </c>
      <c r="L8" s="818"/>
    </row>
    <row r="9" spans="1:12" s="31" customFormat="1" ht="15.75" customHeight="1">
      <c r="A9" s="821" t="s">
        <v>401</v>
      </c>
      <c r="B9" s="980" t="s">
        <v>561</v>
      </c>
      <c r="C9" s="879">
        <f>VLOOKUP(B5,'CNKT '!$C$16:$Z$96,12,0)</f>
        <v>4</v>
      </c>
      <c r="D9" s="825">
        <f>76.9*$B$2</f>
        <v>51386.887000000002</v>
      </c>
      <c r="E9" s="823">
        <f t="shared" si="0"/>
        <v>205547.54800000001</v>
      </c>
      <c r="F9" s="820"/>
      <c r="G9" s="821" t="s">
        <v>401</v>
      </c>
      <c r="H9" s="980" t="s">
        <v>561</v>
      </c>
      <c r="I9" s="879">
        <f>VLOOKUP(H5,'CNKT '!$C$16:$Z$96,12,0)</f>
        <v>4</v>
      </c>
      <c r="J9" s="825">
        <f>76.9*$B$2</f>
        <v>51386.887000000002</v>
      </c>
      <c r="K9" s="823">
        <f t="shared" si="1"/>
        <v>205547.54800000001</v>
      </c>
      <c r="L9" s="818"/>
    </row>
    <row r="10" spans="1:12" s="31" customFormat="1" ht="15.75" customHeight="1">
      <c r="A10" s="821" t="s">
        <v>80</v>
      </c>
      <c r="B10" s="980" t="s">
        <v>562</v>
      </c>
      <c r="C10" s="879">
        <f>VLOOKUP(B5,'CNKT '!$C$16:$Z$96,8,0)</f>
        <v>398.462703937257</v>
      </c>
      <c r="D10" s="825">
        <f>IF(C6="A",6.1,IF(C6="B",5.8,IF(C6="C",5.5,IF(C6="C.",5.5,IF(C6="D",5.2)))))*$B$2</f>
        <v>3675.2650000000003</v>
      </c>
      <c r="E10" s="823">
        <f t="shared" si="0"/>
        <v>1464456.0295859629</v>
      </c>
      <c r="F10" s="820"/>
      <c r="G10" s="821" t="s">
        <v>80</v>
      </c>
      <c r="H10" s="980" t="s">
        <v>562</v>
      </c>
      <c r="I10" s="879">
        <f>VLOOKUP(H5,'CNKT '!$C$16:$Z$96,8,0)</f>
        <v>335.81779429763674</v>
      </c>
      <c r="J10" s="825">
        <f>IF(I6="A",6.1,IF(I6="B",5.8,IF(I6="C",5.5,IF(I6="C.",5.5,IF(I6="D",5.2)))))*$B$2</f>
        <v>3875.7339999999999</v>
      </c>
      <c r="K10" s="823">
        <f t="shared" si="1"/>
        <v>1301540.4431643568</v>
      </c>
      <c r="L10" s="818"/>
    </row>
    <row r="11" spans="1:12" s="31" customFormat="1" ht="15.75" customHeight="1">
      <c r="A11" s="821" t="s">
        <v>495</v>
      </c>
      <c r="B11" s="980" t="s">
        <v>563</v>
      </c>
      <c r="C11" s="879">
        <f>VLOOKUP(B5,'CNKT '!$C$16:$Z$96,15,0)</f>
        <v>0</v>
      </c>
      <c r="D11" s="826">
        <f>92.2*$B$2</f>
        <v>61610.806000000004</v>
      </c>
      <c r="E11" s="823">
        <f t="shared" si="0"/>
        <v>0</v>
      </c>
      <c r="F11" s="820"/>
      <c r="G11" s="821" t="s">
        <v>495</v>
      </c>
      <c r="H11" s="980" t="s">
        <v>563</v>
      </c>
      <c r="I11" s="879">
        <f>VLOOKUP(H5,'CNKT '!$C$16:$Z$96,15,0)</f>
        <v>0</v>
      </c>
      <c r="J11" s="826">
        <f>92.2*$B$2</f>
        <v>61610.806000000004</v>
      </c>
      <c r="K11" s="823">
        <f t="shared" si="1"/>
        <v>0</v>
      </c>
      <c r="L11" s="818"/>
    </row>
    <row r="12" spans="1:12" s="31" customFormat="1" ht="15.75" customHeight="1">
      <c r="A12" s="821" t="s">
        <v>496</v>
      </c>
      <c r="B12" s="980" t="s">
        <v>500</v>
      </c>
      <c r="C12" s="879">
        <f>VLOOKUP(B5,'CNKT '!$C$16:$Z$96,16,0)</f>
        <v>0</v>
      </c>
      <c r="D12" s="825">
        <f>153.8*$B$2</f>
        <v>102773.774</v>
      </c>
      <c r="E12" s="823">
        <f t="shared" si="0"/>
        <v>0</v>
      </c>
      <c r="F12" s="820"/>
      <c r="G12" s="821" t="s">
        <v>496</v>
      </c>
      <c r="H12" s="980" t="s">
        <v>500</v>
      </c>
      <c r="I12" s="879">
        <f>VLOOKUP(H5,'CNKT '!$C$16:$Z$96,16,0)</f>
        <v>0</v>
      </c>
      <c r="J12" s="825">
        <f>153.8*$B$2</f>
        <v>102773.774</v>
      </c>
      <c r="K12" s="823">
        <f t="shared" si="1"/>
        <v>0</v>
      </c>
      <c r="L12" s="818"/>
    </row>
    <row r="13" spans="1:12" s="31" customFormat="1" ht="15.75" customHeight="1">
      <c r="A13" s="821" t="s">
        <v>455</v>
      </c>
      <c r="B13" s="980" t="s">
        <v>501</v>
      </c>
      <c r="C13" s="879">
        <f>VLOOKUP(B5,'CNKT '!$C$16:$Z$96,18,0)</f>
        <v>0</v>
      </c>
      <c r="D13" s="825">
        <v>10000</v>
      </c>
      <c r="E13" s="823">
        <f t="shared" si="0"/>
        <v>0</v>
      </c>
      <c r="F13" s="820"/>
      <c r="G13" s="821" t="s">
        <v>455</v>
      </c>
      <c r="H13" s="980" t="s">
        <v>501</v>
      </c>
      <c r="I13" s="879">
        <f>VLOOKUP(H5,'CNKT '!$C$16:$Z$96,18,0)</f>
        <v>0</v>
      </c>
      <c r="J13" s="825">
        <v>10000</v>
      </c>
      <c r="K13" s="823">
        <f t="shared" si="1"/>
        <v>0</v>
      </c>
      <c r="L13" s="818"/>
    </row>
    <row r="14" spans="1:12" s="31" customFormat="1" ht="15.75" customHeight="1">
      <c r="A14" s="821" t="s">
        <v>455</v>
      </c>
      <c r="B14" s="980" t="s">
        <v>501</v>
      </c>
      <c r="C14" s="879">
        <f>VLOOKUP(B5,'CNKT '!$C$16:$Z$96,19,0)</f>
        <v>0</v>
      </c>
      <c r="D14" s="825">
        <v>20000</v>
      </c>
      <c r="E14" s="823">
        <f t="shared" si="0"/>
        <v>0</v>
      </c>
      <c r="F14" s="820"/>
      <c r="G14" s="821" t="s">
        <v>455</v>
      </c>
      <c r="H14" s="980" t="s">
        <v>501</v>
      </c>
      <c r="I14" s="879">
        <f>VLOOKUP(H5,'CNKT '!$C$16:$Z$96,19,0)</f>
        <v>0</v>
      </c>
      <c r="J14" s="825">
        <v>20000</v>
      </c>
      <c r="K14" s="823">
        <f t="shared" si="1"/>
        <v>0</v>
      </c>
      <c r="L14" s="818"/>
    </row>
    <row r="15" spans="1:12" s="31" customFormat="1" ht="15.75" customHeight="1">
      <c r="A15" s="821" t="s">
        <v>517</v>
      </c>
      <c r="B15" s="980" t="s">
        <v>519</v>
      </c>
      <c r="C15" s="879"/>
      <c r="D15" s="825"/>
      <c r="E15" s="823"/>
      <c r="F15" s="820"/>
      <c r="G15" s="821" t="s">
        <v>517</v>
      </c>
      <c r="H15" s="980" t="s">
        <v>519</v>
      </c>
      <c r="I15" s="879"/>
      <c r="J15" s="825"/>
      <c r="K15" s="823"/>
      <c r="L15" s="818"/>
    </row>
    <row r="16" spans="1:12" s="31" customFormat="1" ht="15.75" customHeight="1">
      <c r="A16" s="827" t="s">
        <v>81</v>
      </c>
      <c r="B16" s="981" t="s">
        <v>564</v>
      </c>
      <c r="C16" s="828"/>
      <c r="D16" s="829"/>
      <c r="E16" s="828"/>
      <c r="F16" s="820"/>
      <c r="G16" s="827" t="s">
        <v>81</v>
      </c>
      <c r="H16" s="981" t="s">
        <v>564</v>
      </c>
      <c r="I16" s="828"/>
      <c r="J16" s="829"/>
      <c r="K16" s="828"/>
      <c r="L16" s="818"/>
    </row>
    <row r="17" spans="1:13" s="31" customFormat="1" ht="15.75" customHeight="1">
      <c r="A17" s="830" t="s">
        <v>82</v>
      </c>
      <c r="B17" s="982" t="s">
        <v>565</v>
      </c>
      <c r="C17" s="828"/>
      <c r="D17" s="828"/>
      <c r="E17" s="828"/>
      <c r="F17" s="820"/>
      <c r="G17" s="830" t="s">
        <v>82</v>
      </c>
      <c r="H17" s="982" t="s">
        <v>565</v>
      </c>
      <c r="I17" s="828"/>
      <c r="J17" s="828"/>
      <c r="K17" s="828"/>
      <c r="L17" s="818"/>
    </row>
    <row r="18" spans="1:13" s="31" customFormat="1" ht="15.75" customHeight="1">
      <c r="A18" s="830" t="s">
        <v>83</v>
      </c>
      <c r="B18" s="983" t="s">
        <v>566</v>
      </c>
      <c r="C18" s="828"/>
      <c r="D18" s="828"/>
      <c r="E18" s="823">
        <f>SUM(E17)</f>
        <v>0</v>
      </c>
      <c r="F18" s="820"/>
      <c r="G18" s="830" t="s">
        <v>83</v>
      </c>
      <c r="H18" s="983" t="s">
        <v>566</v>
      </c>
      <c r="I18" s="828"/>
      <c r="J18" s="828"/>
      <c r="K18" s="823">
        <f>SUM(K17)</f>
        <v>0</v>
      </c>
      <c r="L18" s="818"/>
      <c r="M18" s="831">
        <f>E18+K18</f>
        <v>0</v>
      </c>
    </row>
    <row r="19" spans="1:13" s="31" customFormat="1" ht="15.75" customHeight="1">
      <c r="A19" s="832" t="s">
        <v>84</v>
      </c>
      <c r="B19" s="984" t="s">
        <v>438</v>
      </c>
      <c r="C19" s="833"/>
      <c r="D19" s="833"/>
      <c r="E19" s="833">
        <f>(E7+E8+E9+E10+E11+E12+E13+E14+E15)-E18</f>
        <v>2378527.8465859629</v>
      </c>
      <c r="F19" s="834"/>
      <c r="G19" s="832" t="s">
        <v>84</v>
      </c>
      <c r="H19" s="984" t="s">
        <v>438</v>
      </c>
      <c r="I19" s="833"/>
      <c r="J19" s="833"/>
      <c r="K19" s="833">
        <f>(K7+K8+K9+K10+K11+K12+K13+K14+K15)-K18</f>
        <v>2215612.2601643568</v>
      </c>
      <c r="L19" s="835">
        <f>E19+K19</f>
        <v>4594140.1067503197</v>
      </c>
    </row>
    <row r="20" spans="1:13" s="31" customFormat="1" ht="15.75" customHeight="1">
      <c r="L20" s="818"/>
      <c r="M20" s="784"/>
    </row>
    <row r="21" spans="1:13" s="836" customFormat="1" ht="15.75" customHeight="1">
      <c r="A21" s="1615" t="s">
        <v>558</v>
      </c>
      <c r="B21" s="1616"/>
      <c r="C21" s="1616"/>
      <c r="D21" s="1616"/>
      <c r="E21" s="898">
        <v>3</v>
      </c>
      <c r="F21" s="975"/>
      <c r="G21" s="1615" t="str">
        <f>A21</f>
        <v>LƯƠNG THÁNG 01/2025</v>
      </c>
      <c r="H21" s="1618"/>
      <c r="I21" s="1618"/>
      <c r="J21" s="1619"/>
      <c r="K21" s="985">
        <v>4</v>
      </c>
      <c r="L21" s="818"/>
    </row>
    <row r="22" spans="1:13" s="836" customFormat="1" ht="15.75" customHeight="1">
      <c r="A22" s="837" t="s">
        <v>17</v>
      </c>
      <c r="B22" s="976" t="str">
        <f>'CNKT '!C18</f>
        <v>T. Sa Văn</v>
      </c>
      <c r="C22" s="819"/>
      <c r="D22" s="973" t="s">
        <v>398</v>
      </c>
      <c r="E22" s="973" t="s">
        <v>20</v>
      </c>
      <c r="F22" s="838"/>
      <c r="G22" s="837" t="s">
        <v>17</v>
      </c>
      <c r="H22" s="976" t="str">
        <f>'CNKT '!C19</f>
        <v>Lăm Ma Thu</v>
      </c>
      <c r="I22" s="819"/>
      <c r="J22" s="973" t="s">
        <v>398</v>
      </c>
      <c r="K22" s="973" t="s">
        <v>20</v>
      </c>
      <c r="L22" s="818"/>
    </row>
    <row r="23" spans="1:13" s="836" customFormat="1" ht="15.75" customHeight="1">
      <c r="A23" s="821" t="s">
        <v>399</v>
      </c>
      <c r="B23" s="978" t="s">
        <v>559</v>
      </c>
      <c r="C23" s="822" t="str">
        <f>VLOOKUP(B22,'BTH mủ tạp'!$C$17:$AL$94,36,0)</f>
        <v>B</v>
      </c>
      <c r="D23" s="823"/>
      <c r="E23" s="823"/>
      <c r="F23" s="838"/>
      <c r="G23" s="821" t="s">
        <v>399</v>
      </c>
      <c r="H23" s="978" t="s">
        <v>559</v>
      </c>
      <c r="I23" s="822" t="str">
        <f>VLOOKUP(H22,'BTH mủ tạp'!$C$17:$AL$94,36,0)</f>
        <v>B</v>
      </c>
      <c r="J23" s="823"/>
      <c r="K23" s="823"/>
      <c r="L23" s="818"/>
    </row>
    <row r="24" spans="1:13" s="836" customFormat="1" ht="15.75" customHeight="1">
      <c r="A24" s="821" t="s">
        <v>79</v>
      </c>
      <c r="B24" s="979" t="s">
        <v>432</v>
      </c>
      <c r="C24" s="824">
        <f>VLOOKUP(B22,'CNKT '!$C$16:$Z$96,3,0)</f>
        <v>0</v>
      </c>
      <c r="D24" s="825">
        <v>25000</v>
      </c>
      <c r="E24" s="823">
        <f t="shared" ref="E24:E31" si="2">C24*D24</f>
        <v>0</v>
      </c>
      <c r="F24" s="838"/>
      <c r="G24" s="821" t="s">
        <v>79</v>
      </c>
      <c r="H24" s="979" t="s">
        <v>432</v>
      </c>
      <c r="I24" s="824">
        <f>VLOOKUP(H22,'CNKT '!$C$16:$Z$96,3,0)</f>
        <v>0</v>
      </c>
      <c r="J24" s="825">
        <v>25000</v>
      </c>
      <c r="K24" s="823">
        <f t="shared" ref="K24:K31" si="3">I24*J24</f>
        <v>0</v>
      </c>
      <c r="L24" s="818"/>
    </row>
    <row r="25" spans="1:13" s="31" customFormat="1" ht="15.75" customHeight="1">
      <c r="A25" s="821" t="s">
        <v>310</v>
      </c>
      <c r="B25" s="980" t="s">
        <v>560</v>
      </c>
      <c r="C25" s="879">
        <f>VLOOKUP(B22,'CNKT '!$C$16:$Z$96,11,0)</f>
        <v>26</v>
      </c>
      <c r="D25" s="826">
        <f>46.1*$B$2</f>
        <v>30805.403000000002</v>
      </c>
      <c r="E25" s="823">
        <f t="shared" si="2"/>
        <v>800940.478</v>
      </c>
      <c r="F25" s="975"/>
      <c r="G25" s="821" t="s">
        <v>310</v>
      </c>
      <c r="H25" s="980" t="s">
        <v>560</v>
      </c>
      <c r="I25" s="879">
        <f>VLOOKUP(H22,'CNKT '!$C$16:$Z$96,11,0)</f>
        <v>25</v>
      </c>
      <c r="J25" s="826">
        <f>46.1*$B$2</f>
        <v>30805.403000000002</v>
      </c>
      <c r="K25" s="823">
        <f t="shared" si="3"/>
        <v>770135.07500000007</v>
      </c>
      <c r="L25" s="818"/>
    </row>
    <row r="26" spans="1:13" s="836" customFormat="1" ht="15.75" customHeight="1">
      <c r="A26" s="821" t="s">
        <v>401</v>
      </c>
      <c r="B26" s="980" t="s">
        <v>561</v>
      </c>
      <c r="C26" s="879">
        <f>VLOOKUP(B22,'CNKT '!$C$16:$Z$96,12,0)</f>
        <v>4</v>
      </c>
      <c r="D26" s="825">
        <f>76.9*$B$2</f>
        <v>51386.887000000002</v>
      </c>
      <c r="E26" s="823">
        <f t="shared" si="2"/>
        <v>205547.54800000001</v>
      </c>
      <c r="F26" s="839"/>
      <c r="G26" s="821" t="s">
        <v>401</v>
      </c>
      <c r="H26" s="980" t="s">
        <v>561</v>
      </c>
      <c r="I26" s="879">
        <f>VLOOKUP(H22,'CNKT '!$C$16:$Z$96,12,0)</f>
        <v>4</v>
      </c>
      <c r="J26" s="825">
        <f>76.9*$B$2</f>
        <v>51386.887000000002</v>
      </c>
      <c r="K26" s="823">
        <f t="shared" si="3"/>
        <v>205547.54800000001</v>
      </c>
      <c r="L26" s="818"/>
    </row>
    <row r="27" spans="1:13" s="840" customFormat="1" ht="15.75" customHeight="1">
      <c r="A27" s="821" t="s">
        <v>80</v>
      </c>
      <c r="B27" s="980" t="s">
        <v>562</v>
      </c>
      <c r="C27" s="879">
        <f>VLOOKUP(B22,'CNKT '!$C$16:$Z$96,8,0)</f>
        <v>1032.614043321938</v>
      </c>
      <c r="D27" s="825">
        <f>IF(C23="A",6.1,IF(C23="B",5.8,IF(C23="C",5.5,IF(C23="C.",5.5,IF(C23="D",5.2)))))*$B$2</f>
        <v>3875.7339999999999</v>
      </c>
      <c r="E27" s="823">
        <f t="shared" si="2"/>
        <v>4002137.3565803077</v>
      </c>
      <c r="F27" s="975"/>
      <c r="G27" s="821" t="s">
        <v>80</v>
      </c>
      <c r="H27" s="980" t="s">
        <v>562</v>
      </c>
      <c r="I27" s="879">
        <f>VLOOKUP(H22,'CNKT '!$C$16:$Z$96,8,0)</f>
        <v>726.0647723805173</v>
      </c>
      <c r="J27" s="825">
        <f>IF(I23="A",6.1,IF(I23="B",5.8,IF(I23="C",5.5,IF(I23="C.",5.5,IF(I23="D",5.2)))))*$B$2</f>
        <v>3875.7339999999999</v>
      </c>
      <c r="K27" s="823">
        <f t="shared" si="3"/>
        <v>2814033.9245174318</v>
      </c>
      <c r="L27" s="818"/>
    </row>
    <row r="28" spans="1:13" s="840" customFormat="1" ht="15.75" customHeight="1">
      <c r="A28" s="821" t="s">
        <v>495</v>
      </c>
      <c r="B28" s="980" t="s">
        <v>563</v>
      </c>
      <c r="C28" s="879">
        <f>VLOOKUP(B22,'CNKT '!$C$16:$Z$96,15,0)</f>
        <v>0</v>
      </c>
      <c r="D28" s="826">
        <f>92.2*$B$2</f>
        <v>61610.806000000004</v>
      </c>
      <c r="E28" s="823">
        <f t="shared" si="2"/>
        <v>0</v>
      </c>
      <c r="F28" s="975"/>
      <c r="G28" s="821" t="s">
        <v>495</v>
      </c>
      <c r="H28" s="980" t="s">
        <v>563</v>
      </c>
      <c r="I28" s="879">
        <f>VLOOKUP(H22,'CNKT '!$C$16:$Z$96,15,0)</f>
        <v>0</v>
      </c>
      <c r="J28" s="826">
        <f>92.2*$B$2</f>
        <v>61610.806000000004</v>
      </c>
      <c r="K28" s="823">
        <f t="shared" si="3"/>
        <v>0</v>
      </c>
      <c r="L28" s="818"/>
    </row>
    <row r="29" spans="1:13" s="840" customFormat="1" ht="15.75" customHeight="1">
      <c r="A29" s="821" t="s">
        <v>496</v>
      </c>
      <c r="B29" s="980" t="s">
        <v>500</v>
      </c>
      <c r="C29" s="879">
        <f>VLOOKUP(B22,'CNKT '!$C$16:$Z$96,16,0)</f>
        <v>0</v>
      </c>
      <c r="D29" s="825">
        <f>153.8*$B$2</f>
        <v>102773.774</v>
      </c>
      <c r="E29" s="823">
        <f t="shared" si="2"/>
        <v>0</v>
      </c>
      <c r="F29" s="975"/>
      <c r="G29" s="821" t="s">
        <v>496</v>
      </c>
      <c r="H29" s="980" t="s">
        <v>500</v>
      </c>
      <c r="I29" s="879">
        <f>VLOOKUP(H22,'CNKT '!$C$16:$Z$96,16,0)</f>
        <v>0</v>
      </c>
      <c r="J29" s="825">
        <f>153.8*$B$2</f>
        <v>102773.774</v>
      </c>
      <c r="K29" s="823">
        <f t="shared" si="3"/>
        <v>0</v>
      </c>
      <c r="L29" s="818"/>
    </row>
    <row r="30" spans="1:13" s="840" customFormat="1" ht="15.75" customHeight="1">
      <c r="A30" s="821" t="s">
        <v>455</v>
      </c>
      <c r="B30" s="980" t="s">
        <v>501</v>
      </c>
      <c r="C30" s="879">
        <f>VLOOKUP(B22,'CNKT '!$C$16:$Z$96,18,0)</f>
        <v>0</v>
      </c>
      <c r="D30" s="825">
        <v>10000</v>
      </c>
      <c r="E30" s="823">
        <f t="shared" si="2"/>
        <v>0</v>
      </c>
      <c r="F30" s="975"/>
      <c r="G30" s="821" t="s">
        <v>455</v>
      </c>
      <c r="H30" s="980" t="s">
        <v>501</v>
      </c>
      <c r="I30" s="879">
        <f>VLOOKUP(H22,'CNKT '!$C$16:$Z$96,18,0)</f>
        <v>0</v>
      </c>
      <c r="J30" s="825">
        <v>10000</v>
      </c>
      <c r="K30" s="823">
        <f t="shared" si="3"/>
        <v>0</v>
      </c>
      <c r="L30" s="818"/>
    </row>
    <row r="31" spans="1:13" s="840" customFormat="1" ht="15.75" customHeight="1">
      <c r="A31" s="821" t="s">
        <v>455</v>
      </c>
      <c r="B31" s="980" t="s">
        <v>501</v>
      </c>
      <c r="C31" s="879">
        <f>VLOOKUP(B22,'CNKT '!$C$16:$Z$96,19,0)</f>
        <v>0</v>
      </c>
      <c r="D31" s="825">
        <v>20000</v>
      </c>
      <c r="E31" s="823">
        <f t="shared" si="2"/>
        <v>0</v>
      </c>
      <c r="F31" s="975"/>
      <c r="G31" s="821" t="s">
        <v>455</v>
      </c>
      <c r="H31" s="980" t="s">
        <v>501</v>
      </c>
      <c r="I31" s="879">
        <f>VLOOKUP(H22,'CNKT '!$C$16:$Z$96,19,0)</f>
        <v>0</v>
      </c>
      <c r="J31" s="825">
        <v>20000</v>
      </c>
      <c r="K31" s="823">
        <f t="shared" si="3"/>
        <v>0</v>
      </c>
      <c r="L31" s="818"/>
    </row>
    <row r="32" spans="1:13" s="840" customFormat="1" ht="15.75" customHeight="1">
      <c r="A32" s="821" t="s">
        <v>517</v>
      </c>
      <c r="B32" s="980" t="s">
        <v>519</v>
      </c>
      <c r="C32" s="879"/>
      <c r="D32" s="825"/>
      <c r="E32" s="823"/>
      <c r="F32" s="975"/>
      <c r="G32" s="821" t="s">
        <v>517</v>
      </c>
      <c r="H32" s="980" t="s">
        <v>519</v>
      </c>
      <c r="I32" s="879"/>
      <c r="J32" s="825"/>
      <c r="K32" s="823"/>
      <c r="L32" s="818"/>
    </row>
    <row r="33" spans="1:13" s="836" customFormat="1" ht="15.75" customHeight="1">
      <c r="A33" s="827" t="s">
        <v>81</v>
      </c>
      <c r="B33" s="981" t="s">
        <v>564</v>
      </c>
      <c r="C33" s="828"/>
      <c r="D33" s="829"/>
      <c r="E33" s="828"/>
      <c r="F33" s="838"/>
      <c r="G33" s="827" t="s">
        <v>81</v>
      </c>
      <c r="H33" s="981" t="s">
        <v>564</v>
      </c>
      <c r="I33" s="828"/>
      <c r="J33" s="829"/>
      <c r="K33" s="828"/>
      <c r="L33" s="818"/>
    </row>
    <row r="34" spans="1:13" s="836" customFormat="1" ht="15.75" customHeight="1">
      <c r="A34" s="830" t="s">
        <v>82</v>
      </c>
      <c r="B34" s="982" t="s">
        <v>565</v>
      </c>
      <c r="C34" s="828"/>
      <c r="D34" s="828"/>
      <c r="E34" s="828"/>
      <c r="F34" s="838"/>
      <c r="G34" s="830" t="s">
        <v>82</v>
      </c>
      <c r="H34" s="982" t="s">
        <v>565</v>
      </c>
      <c r="I34" s="828"/>
      <c r="J34" s="828"/>
      <c r="K34" s="828"/>
      <c r="L34" s="818"/>
    </row>
    <row r="35" spans="1:13" s="31" customFormat="1" ht="15.75" customHeight="1">
      <c r="A35" s="830" t="s">
        <v>83</v>
      </c>
      <c r="B35" s="983" t="s">
        <v>566</v>
      </c>
      <c r="C35" s="828"/>
      <c r="D35" s="828"/>
      <c r="E35" s="823">
        <f>SUM(E34)</f>
        <v>0</v>
      </c>
      <c r="F35" s="838"/>
      <c r="G35" s="830" t="s">
        <v>83</v>
      </c>
      <c r="H35" s="983" t="s">
        <v>566</v>
      </c>
      <c r="I35" s="828"/>
      <c r="J35" s="828"/>
      <c r="K35" s="823">
        <f>SUM(K34)</f>
        <v>0</v>
      </c>
      <c r="L35" s="818"/>
      <c r="M35" s="831">
        <f>E35+K35</f>
        <v>0</v>
      </c>
    </row>
    <row r="36" spans="1:13" s="31" customFormat="1" ht="15.75" customHeight="1">
      <c r="A36" s="832" t="s">
        <v>84</v>
      </c>
      <c r="B36" s="984" t="s">
        <v>438</v>
      </c>
      <c r="C36" s="833"/>
      <c r="D36" s="833"/>
      <c r="E36" s="833">
        <f>(E24+E25+E26+E27+E28+E29+E30+E31+E32)-E35</f>
        <v>5008625.3825803082</v>
      </c>
      <c r="F36" s="838"/>
      <c r="G36" s="832" t="s">
        <v>84</v>
      </c>
      <c r="H36" s="984" t="s">
        <v>438</v>
      </c>
      <c r="I36" s="833"/>
      <c r="J36" s="833"/>
      <c r="K36" s="833">
        <f>(K24+K25+K26+K27+K28+K29+K30+K31+K32)-K35</f>
        <v>3789716.5475174319</v>
      </c>
      <c r="L36" s="835">
        <f>E36+K36</f>
        <v>8798341.9300977401</v>
      </c>
    </row>
    <row r="37" spans="1:13" s="31" customFormat="1" ht="15.75" customHeight="1">
      <c r="A37" s="841"/>
      <c r="B37" s="842"/>
      <c r="C37" s="975"/>
      <c r="D37" s="975"/>
      <c r="E37" s="838"/>
      <c r="F37" s="838"/>
      <c r="G37" s="841"/>
      <c r="H37" s="842"/>
      <c r="I37" s="975"/>
      <c r="J37" s="838"/>
      <c r="K37" s="836"/>
      <c r="L37" s="818"/>
    </row>
    <row r="38" spans="1:13" s="31" customFormat="1" ht="15.75" customHeight="1">
      <c r="A38" s="1615" t="str">
        <f>G21</f>
        <v>LƯƠNG THÁNG 01/2025</v>
      </c>
      <c r="B38" s="1616"/>
      <c r="C38" s="1616"/>
      <c r="D38" s="1616"/>
      <c r="E38" s="898">
        <v>5</v>
      </c>
      <c r="F38" s="838"/>
      <c r="G38" s="1615" t="str">
        <f>G21</f>
        <v>LƯƠNG THÁNG 01/2025</v>
      </c>
      <c r="H38" s="1616"/>
      <c r="I38" s="1616"/>
      <c r="J38" s="1617"/>
      <c r="K38" s="898">
        <v>6</v>
      </c>
      <c r="L38" s="818"/>
    </row>
    <row r="39" spans="1:13" s="31" customFormat="1" ht="15.75" customHeight="1">
      <c r="A39" s="837" t="s">
        <v>17</v>
      </c>
      <c r="B39" s="976" t="str">
        <f>'CNKT '!C20</f>
        <v>N. Vạt</v>
      </c>
      <c r="C39" s="819"/>
      <c r="D39" s="973" t="s">
        <v>398</v>
      </c>
      <c r="E39" s="973" t="s">
        <v>20</v>
      </c>
      <c r="F39" s="838"/>
      <c r="G39" s="837" t="s">
        <v>17</v>
      </c>
      <c r="H39" s="976" t="str">
        <f>'CNKT '!C21</f>
        <v>N. Kay Son</v>
      </c>
      <c r="I39" s="819"/>
      <c r="J39" s="973" t="s">
        <v>398</v>
      </c>
      <c r="K39" s="973" t="s">
        <v>20</v>
      </c>
      <c r="L39" s="818"/>
    </row>
    <row r="40" spans="1:13" s="31" customFormat="1" ht="15.75" customHeight="1">
      <c r="A40" s="821" t="s">
        <v>399</v>
      </c>
      <c r="B40" s="978" t="s">
        <v>559</v>
      </c>
      <c r="C40" s="822" t="str">
        <f>VLOOKUP(B39,'BTH mủ tạp'!$C$17:$AL$94,36,0)</f>
        <v>B</v>
      </c>
      <c r="D40" s="823"/>
      <c r="E40" s="823"/>
      <c r="F40" s="842"/>
      <c r="G40" s="821" t="s">
        <v>399</v>
      </c>
      <c r="H40" s="978" t="s">
        <v>559</v>
      </c>
      <c r="I40" s="822" t="str">
        <f>VLOOKUP(H39,'BTH mủ tạp'!$C$17:$AL$94,36,0)</f>
        <v>C</v>
      </c>
      <c r="J40" s="823"/>
      <c r="K40" s="823"/>
      <c r="L40" s="818"/>
    </row>
    <row r="41" spans="1:13" s="31" customFormat="1" ht="15.75" customHeight="1">
      <c r="A41" s="821" t="s">
        <v>79</v>
      </c>
      <c r="B41" s="979" t="s">
        <v>432</v>
      </c>
      <c r="C41" s="824">
        <f>VLOOKUP(B39,'CNKT '!$C$16:$Z$96,3,0)</f>
        <v>0</v>
      </c>
      <c r="D41" s="825">
        <v>25000</v>
      </c>
      <c r="E41" s="823">
        <f t="shared" ref="E41:E48" si="4">C41*D41</f>
        <v>0</v>
      </c>
      <c r="F41" s="842"/>
      <c r="G41" s="821" t="s">
        <v>79</v>
      </c>
      <c r="H41" s="979" t="s">
        <v>432</v>
      </c>
      <c r="I41" s="824">
        <f>VLOOKUP(H39,'CNKT '!$C$16:$Z$96,3,0)</f>
        <v>0</v>
      </c>
      <c r="J41" s="825">
        <v>25000</v>
      </c>
      <c r="K41" s="823">
        <f t="shared" ref="K41:K48" si="5">I41*J41</f>
        <v>0</v>
      </c>
      <c r="L41" s="818"/>
    </row>
    <row r="42" spans="1:13" s="31" customFormat="1" ht="15.75" customHeight="1">
      <c r="A42" s="821" t="s">
        <v>310</v>
      </c>
      <c r="B42" s="980" t="s">
        <v>560</v>
      </c>
      <c r="C42" s="879">
        <f>VLOOKUP(B39,'CNKT '!$C$16:$Z$96,11,0)</f>
        <v>20</v>
      </c>
      <c r="D42" s="826">
        <f>46.1*$B$2</f>
        <v>30805.403000000002</v>
      </c>
      <c r="E42" s="823">
        <f t="shared" si="4"/>
        <v>616108.06000000006</v>
      </c>
      <c r="F42" s="975"/>
      <c r="G42" s="821" t="s">
        <v>310</v>
      </c>
      <c r="H42" s="980" t="s">
        <v>560</v>
      </c>
      <c r="I42" s="879">
        <f>VLOOKUP(H39,'CNKT '!$C$16:$Z$96,11,0)</f>
        <v>22</v>
      </c>
      <c r="J42" s="826">
        <f>46.1*$B$2</f>
        <v>30805.403000000002</v>
      </c>
      <c r="K42" s="823">
        <f t="shared" si="5"/>
        <v>677718.86600000004</v>
      </c>
      <c r="L42" s="818"/>
    </row>
    <row r="43" spans="1:13" s="31" customFormat="1" ht="15.75" customHeight="1">
      <c r="A43" s="821" t="s">
        <v>401</v>
      </c>
      <c r="B43" s="980" t="s">
        <v>561</v>
      </c>
      <c r="C43" s="879">
        <f>VLOOKUP(B39,'CNKT '!$C$16:$Z$96,12,0)</f>
        <v>3</v>
      </c>
      <c r="D43" s="825">
        <f>76.9*$B$2</f>
        <v>51386.887000000002</v>
      </c>
      <c r="E43" s="823">
        <f t="shared" si="4"/>
        <v>154160.66100000002</v>
      </c>
      <c r="F43" s="843"/>
      <c r="G43" s="821" t="s">
        <v>401</v>
      </c>
      <c r="H43" s="980" t="s">
        <v>561</v>
      </c>
      <c r="I43" s="879">
        <f>VLOOKUP(H39,'CNKT '!$C$16:$Z$96,12,0)</f>
        <v>3</v>
      </c>
      <c r="J43" s="825">
        <f>76.9*$B$2</f>
        <v>51386.887000000002</v>
      </c>
      <c r="K43" s="823">
        <f t="shared" si="5"/>
        <v>154160.66100000002</v>
      </c>
      <c r="L43" s="818"/>
    </row>
    <row r="44" spans="1:13" s="31" customFormat="1" ht="15.75" customHeight="1">
      <c r="A44" s="821" t="s">
        <v>80</v>
      </c>
      <c r="B44" s="980" t="s">
        <v>562</v>
      </c>
      <c r="C44" s="879">
        <f>VLOOKUP(B39,'CNKT '!$C$16:$Z$96,8,0)</f>
        <v>441.59526467273332</v>
      </c>
      <c r="D44" s="825">
        <f>IF(C40="A",6.1,IF(C40="B",5.8,IF(C40="C",5.5,IF(C40="C.",5.5,IF(C40="D",5.2)))))*$B$2</f>
        <v>3875.7339999999999</v>
      </c>
      <c r="E44" s="823">
        <f t="shared" si="4"/>
        <v>1711505.7815311113</v>
      </c>
      <c r="F44" s="842"/>
      <c r="G44" s="821" t="s">
        <v>80</v>
      </c>
      <c r="H44" s="980" t="s">
        <v>562</v>
      </c>
      <c r="I44" s="879">
        <f>VLOOKUP(H39,'CNKT '!$C$16:$Z$96,8,0)</f>
        <v>563.80418675658279</v>
      </c>
      <c r="J44" s="825">
        <f>IF(I40="A",6.1,IF(I40="B",5.8,IF(I40="C",5.5,IF(I40="C.",5.5,IF(I40="D",5.2)))))*$B$2</f>
        <v>3675.2650000000003</v>
      </c>
      <c r="K44" s="823">
        <f t="shared" si="5"/>
        <v>2072129.7944399326</v>
      </c>
      <c r="L44" s="818"/>
    </row>
    <row r="45" spans="1:13" s="31" customFormat="1" ht="15.75" customHeight="1">
      <c r="A45" s="821" t="s">
        <v>495</v>
      </c>
      <c r="B45" s="980" t="s">
        <v>563</v>
      </c>
      <c r="C45" s="879">
        <f>VLOOKUP(B39,'CNKT '!$C$16:$Z$96,15,0)</f>
        <v>0</v>
      </c>
      <c r="D45" s="826">
        <f>92.2*$B$2</f>
        <v>61610.806000000004</v>
      </c>
      <c r="E45" s="823">
        <f t="shared" si="4"/>
        <v>0</v>
      </c>
      <c r="F45" s="842"/>
      <c r="G45" s="821" t="s">
        <v>495</v>
      </c>
      <c r="H45" s="980" t="s">
        <v>563</v>
      </c>
      <c r="I45" s="879">
        <f>VLOOKUP(H39,'CNKT '!$C$16:$Z$96,15,0)</f>
        <v>0</v>
      </c>
      <c r="J45" s="826">
        <f>92.2*$B$2</f>
        <v>61610.806000000004</v>
      </c>
      <c r="K45" s="823">
        <f t="shared" si="5"/>
        <v>0</v>
      </c>
      <c r="L45" s="818"/>
    </row>
    <row r="46" spans="1:13" s="31" customFormat="1" ht="15.75" customHeight="1">
      <c r="A46" s="821" t="s">
        <v>496</v>
      </c>
      <c r="B46" s="980" t="s">
        <v>500</v>
      </c>
      <c r="C46" s="879">
        <f>VLOOKUP(B39,'CNKT '!$C$16:$Z$96,16,0)</f>
        <v>0</v>
      </c>
      <c r="D46" s="825">
        <f>153.8*$B$2</f>
        <v>102773.774</v>
      </c>
      <c r="E46" s="823">
        <f t="shared" si="4"/>
        <v>0</v>
      </c>
      <c r="F46" s="842"/>
      <c r="G46" s="821" t="s">
        <v>496</v>
      </c>
      <c r="H46" s="980" t="s">
        <v>500</v>
      </c>
      <c r="I46" s="879">
        <f>VLOOKUP(H39,'CNKT '!$C$16:$Z$96,16,0)</f>
        <v>0</v>
      </c>
      <c r="J46" s="825">
        <f>153.8*$B$2</f>
        <v>102773.774</v>
      </c>
      <c r="K46" s="823">
        <f t="shared" si="5"/>
        <v>0</v>
      </c>
      <c r="L46" s="818"/>
    </row>
    <row r="47" spans="1:13" s="31" customFormat="1" ht="15.75" customHeight="1">
      <c r="A47" s="821" t="s">
        <v>455</v>
      </c>
      <c r="B47" s="980" t="s">
        <v>501</v>
      </c>
      <c r="C47" s="879">
        <f>VLOOKUP(B39,'CNKT '!$C$16:$Z$96,18,0)</f>
        <v>0</v>
      </c>
      <c r="D47" s="825">
        <v>10000</v>
      </c>
      <c r="E47" s="823">
        <f t="shared" si="4"/>
        <v>0</v>
      </c>
      <c r="F47" s="842"/>
      <c r="G47" s="821" t="s">
        <v>455</v>
      </c>
      <c r="H47" s="980" t="s">
        <v>501</v>
      </c>
      <c r="I47" s="879">
        <f>VLOOKUP(H39,'CNKT '!$C$16:$Z$96,18,0)</f>
        <v>0</v>
      </c>
      <c r="J47" s="825">
        <v>10000</v>
      </c>
      <c r="K47" s="823">
        <f t="shared" si="5"/>
        <v>0</v>
      </c>
      <c r="L47" s="818"/>
    </row>
    <row r="48" spans="1:13" s="31" customFormat="1" ht="15.75" customHeight="1">
      <c r="A48" s="821" t="s">
        <v>455</v>
      </c>
      <c r="B48" s="980" t="s">
        <v>501</v>
      </c>
      <c r="C48" s="879">
        <f>VLOOKUP(B39,'CNKT '!$C$16:$Z$96,19,0)</f>
        <v>0</v>
      </c>
      <c r="D48" s="825">
        <v>20000</v>
      </c>
      <c r="E48" s="823">
        <f t="shared" si="4"/>
        <v>0</v>
      </c>
      <c r="F48" s="842"/>
      <c r="G48" s="821" t="s">
        <v>455</v>
      </c>
      <c r="H48" s="980" t="s">
        <v>501</v>
      </c>
      <c r="I48" s="879">
        <f>VLOOKUP(H39,'CNKT '!$C$16:$Z$96,19,0)</f>
        <v>0</v>
      </c>
      <c r="J48" s="825">
        <v>20000</v>
      </c>
      <c r="K48" s="823">
        <f t="shared" si="5"/>
        <v>0</v>
      </c>
      <c r="L48" s="818"/>
    </row>
    <row r="49" spans="1:13" s="31" customFormat="1" ht="15.75" customHeight="1">
      <c r="A49" s="821" t="s">
        <v>517</v>
      </c>
      <c r="B49" s="980" t="s">
        <v>519</v>
      </c>
      <c r="C49" s="879"/>
      <c r="D49" s="825"/>
      <c r="E49" s="823"/>
      <c r="F49" s="842"/>
      <c r="G49" s="821" t="s">
        <v>517</v>
      </c>
      <c r="H49" s="980" t="s">
        <v>519</v>
      </c>
      <c r="I49" s="879"/>
      <c r="J49" s="825"/>
      <c r="K49" s="823"/>
      <c r="L49" s="818"/>
    </row>
    <row r="50" spans="1:13" s="31" customFormat="1" ht="15.75" customHeight="1">
      <c r="A50" s="827" t="s">
        <v>81</v>
      </c>
      <c r="B50" s="981" t="s">
        <v>564</v>
      </c>
      <c r="C50" s="828"/>
      <c r="D50" s="829"/>
      <c r="E50" s="828"/>
      <c r="F50" s="975"/>
      <c r="G50" s="827" t="s">
        <v>81</v>
      </c>
      <c r="H50" s="981" t="s">
        <v>564</v>
      </c>
      <c r="I50" s="828"/>
      <c r="J50" s="829"/>
      <c r="K50" s="828"/>
      <c r="L50" s="818"/>
    </row>
    <row r="51" spans="1:13" s="31" customFormat="1" ht="15.75" customHeight="1">
      <c r="A51" s="830" t="s">
        <v>82</v>
      </c>
      <c r="B51" s="982" t="s">
        <v>565</v>
      </c>
      <c r="C51" s="828"/>
      <c r="D51" s="828"/>
      <c r="E51" s="828"/>
      <c r="F51" s="838"/>
      <c r="G51" s="830" t="s">
        <v>82</v>
      </c>
      <c r="H51" s="982" t="s">
        <v>565</v>
      </c>
      <c r="I51" s="828"/>
      <c r="J51" s="828"/>
      <c r="K51" s="828"/>
      <c r="L51" s="818"/>
    </row>
    <row r="52" spans="1:13" s="31" customFormat="1" ht="15.75" customHeight="1">
      <c r="A52" s="830" t="s">
        <v>83</v>
      </c>
      <c r="B52" s="983" t="s">
        <v>566</v>
      </c>
      <c r="C52" s="828"/>
      <c r="D52" s="828"/>
      <c r="E52" s="823">
        <f>SUM(E51)</f>
        <v>0</v>
      </c>
      <c r="F52" s="838"/>
      <c r="G52" s="830" t="s">
        <v>83</v>
      </c>
      <c r="H52" s="983" t="s">
        <v>566</v>
      </c>
      <c r="I52" s="828"/>
      <c r="J52" s="828"/>
      <c r="K52" s="823">
        <f>SUM(K51)</f>
        <v>0</v>
      </c>
      <c r="L52" s="818"/>
      <c r="M52" s="831">
        <f>E52+K52</f>
        <v>0</v>
      </c>
    </row>
    <row r="53" spans="1:13" s="31" customFormat="1" ht="15.75" customHeight="1">
      <c r="A53" s="832" t="s">
        <v>84</v>
      </c>
      <c r="B53" s="984" t="s">
        <v>438</v>
      </c>
      <c r="C53" s="833"/>
      <c r="D53" s="833"/>
      <c r="E53" s="833">
        <f>(E41+E42+E43+E44+E45+E46+E47+E48+E49)-E52</f>
        <v>2481774.5025311112</v>
      </c>
      <c r="F53" s="838"/>
      <c r="G53" s="832" t="s">
        <v>84</v>
      </c>
      <c r="H53" s="984" t="s">
        <v>438</v>
      </c>
      <c r="I53" s="833"/>
      <c r="J53" s="833"/>
      <c r="K53" s="833">
        <f>(K41+K42+K43+K44+K45+K46+K47+K48+K49)-K52</f>
        <v>2904009.3214399326</v>
      </c>
      <c r="L53" s="835">
        <f>E53+K53</f>
        <v>5385783.8239710443</v>
      </c>
    </row>
    <row r="54" spans="1:13" s="31" customFormat="1" ht="15.75" customHeight="1">
      <c r="A54" s="838"/>
      <c r="B54" s="844"/>
      <c r="C54" s="845"/>
      <c r="D54" s="845"/>
      <c r="E54" s="843"/>
      <c r="F54" s="838"/>
      <c r="G54" s="838"/>
      <c r="H54" s="844"/>
      <c r="I54" s="845"/>
      <c r="J54" s="843"/>
      <c r="K54" s="836"/>
      <c r="L54" s="818"/>
    </row>
    <row r="55" spans="1:13" s="31" customFormat="1" ht="15.75" customHeight="1">
      <c r="A55" s="1615" t="str">
        <f>G38</f>
        <v>LƯƠNG THÁNG 01/2025</v>
      </c>
      <c r="B55" s="1616"/>
      <c r="C55" s="1616"/>
      <c r="D55" s="1616"/>
      <c r="E55" s="898">
        <v>7</v>
      </c>
      <c r="F55" s="975"/>
      <c r="G55" s="1615" t="str">
        <f>G38</f>
        <v>LƯƠNG THÁNG 01/2025</v>
      </c>
      <c r="H55" s="1616"/>
      <c r="I55" s="1616"/>
      <c r="J55" s="1617"/>
      <c r="K55" s="898">
        <v>8</v>
      </c>
      <c r="L55" s="818"/>
    </row>
    <row r="56" spans="1:13" s="31" customFormat="1" ht="15.75" customHeight="1">
      <c r="A56" s="837" t="s">
        <v>17</v>
      </c>
      <c r="B56" s="976" t="str">
        <f>'CNKT '!C22</f>
        <v>T. Đèng 1</v>
      </c>
      <c r="C56" s="819"/>
      <c r="D56" s="973" t="s">
        <v>398</v>
      </c>
      <c r="E56" s="973" t="s">
        <v>20</v>
      </c>
      <c r="F56" s="843"/>
      <c r="G56" s="837" t="s">
        <v>17</v>
      </c>
      <c r="H56" s="976" t="str">
        <f>'CNKT '!C23</f>
        <v>T . Bua Ngân</v>
      </c>
      <c r="I56" s="819"/>
      <c r="J56" s="973" t="s">
        <v>398</v>
      </c>
      <c r="K56" s="973" t="s">
        <v>20</v>
      </c>
      <c r="L56" s="818"/>
    </row>
    <row r="57" spans="1:13" s="31" customFormat="1" ht="15.75" customHeight="1">
      <c r="A57" s="821" t="s">
        <v>399</v>
      </c>
      <c r="B57" s="978" t="s">
        <v>559</v>
      </c>
      <c r="C57" s="822" t="str">
        <f>VLOOKUP(B56,'BTH mủ tạp'!$C$17:$AL$94,36,0)</f>
        <v>A</v>
      </c>
      <c r="D57" s="823"/>
      <c r="E57" s="823"/>
      <c r="F57" s="843"/>
      <c r="G57" s="821" t="s">
        <v>399</v>
      </c>
      <c r="H57" s="978" t="s">
        <v>559</v>
      </c>
      <c r="I57" s="822" t="str">
        <f>VLOOKUP(H56,'BTH mủ tạp'!$C$17:$AL$94,36,0)</f>
        <v>A</v>
      </c>
      <c r="J57" s="823"/>
      <c r="K57" s="823"/>
      <c r="L57" s="818"/>
    </row>
    <row r="58" spans="1:13" s="31" customFormat="1" ht="15.75" customHeight="1">
      <c r="A58" s="821" t="s">
        <v>79</v>
      </c>
      <c r="B58" s="979" t="s">
        <v>432</v>
      </c>
      <c r="C58" s="824">
        <f>VLOOKUP(B56,'CNKT '!$C$16:$Z$96,3,0)</f>
        <v>0</v>
      </c>
      <c r="D58" s="825">
        <v>25000</v>
      </c>
      <c r="E58" s="823">
        <f t="shared" ref="E58:E65" si="6">C58*D58</f>
        <v>0</v>
      </c>
      <c r="F58" s="842"/>
      <c r="G58" s="821" t="s">
        <v>79</v>
      </c>
      <c r="H58" s="979" t="s">
        <v>432</v>
      </c>
      <c r="I58" s="824">
        <f>VLOOKUP(H56,'CNKT '!$C$16:$Z$96,3,0)</f>
        <v>0</v>
      </c>
      <c r="J58" s="825">
        <v>25000</v>
      </c>
      <c r="K58" s="823">
        <f t="shared" ref="K58:K65" si="7">I58*J58</f>
        <v>0</v>
      </c>
      <c r="L58" s="818"/>
    </row>
    <row r="59" spans="1:13" s="31" customFormat="1" ht="15.75" customHeight="1">
      <c r="A59" s="821" t="s">
        <v>310</v>
      </c>
      <c r="B59" s="980" t="s">
        <v>560</v>
      </c>
      <c r="C59" s="879">
        <f>VLOOKUP(B56,'CNKT '!$C$16:$Z$96,11,0)</f>
        <v>27</v>
      </c>
      <c r="D59" s="826">
        <f>46.1*$B$2</f>
        <v>30805.403000000002</v>
      </c>
      <c r="E59" s="823">
        <f t="shared" si="6"/>
        <v>831745.88100000005</v>
      </c>
      <c r="F59" s="975"/>
      <c r="G59" s="821" t="s">
        <v>310</v>
      </c>
      <c r="H59" s="980" t="s">
        <v>560</v>
      </c>
      <c r="I59" s="879">
        <f>VLOOKUP(H56,'CNKT '!$C$16:$Z$96,11,0)</f>
        <v>26</v>
      </c>
      <c r="J59" s="826">
        <f>46.1*$B$2</f>
        <v>30805.403000000002</v>
      </c>
      <c r="K59" s="823">
        <f t="shared" si="7"/>
        <v>800940.478</v>
      </c>
      <c r="L59" s="818"/>
    </row>
    <row r="60" spans="1:13" s="31" customFormat="1" ht="15.75" customHeight="1">
      <c r="A60" s="821" t="s">
        <v>401</v>
      </c>
      <c r="B60" s="980" t="s">
        <v>561</v>
      </c>
      <c r="C60" s="879">
        <f>VLOOKUP(B56,'CNKT '!$C$16:$Z$96,12,0)</f>
        <v>4</v>
      </c>
      <c r="D60" s="825">
        <f>76.9*$B$2</f>
        <v>51386.887000000002</v>
      </c>
      <c r="E60" s="823">
        <f t="shared" si="6"/>
        <v>205547.54800000001</v>
      </c>
      <c r="F60" s="838"/>
      <c r="G60" s="821" t="s">
        <v>401</v>
      </c>
      <c r="H60" s="980" t="s">
        <v>561</v>
      </c>
      <c r="I60" s="879">
        <f>VLOOKUP(H56,'CNKT '!$C$16:$Z$96,12,0)</f>
        <v>3</v>
      </c>
      <c r="J60" s="825">
        <f>76.9*$B$2</f>
        <v>51386.887000000002</v>
      </c>
      <c r="K60" s="823">
        <f t="shared" si="7"/>
        <v>154160.66100000002</v>
      </c>
      <c r="L60" s="818"/>
    </row>
    <row r="61" spans="1:13" s="31" customFormat="1" ht="15.75" customHeight="1">
      <c r="A61" s="821" t="s">
        <v>80</v>
      </c>
      <c r="B61" s="980" t="s">
        <v>562</v>
      </c>
      <c r="C61" s="879">
        <f>VLOOKUP(B56,'CNKT '!$C$16:$Z$96,8,0)</f>
        <v>739.92880975977755</v>
      </c>
      <c r="D61" s="825">
        <f>IF(C57="A",6.1,IF(C57="B",5.8,IF(C57="C",5.5,IF(C57="C.",5.5,IF(C57="D",5.2)))))*$B$2</f>
        <v>4076.203</v>
      </c>
      <c r="E61" s="823">
        <f t="shared" si="6"/>
        <v>3016100.0341292345</v>
      </c>
      <c r="F61" s="838"/>
      <c r="G61" s="821" t="s">
        <v>80</v>
      </c>
      <c r="H61" s="980" t="s">
        <v>562</v>
      </c>
      <c r="I61" s="879">
        <f>VLOOKUP(H56,'CNKT '!$C$16:$Z$96,8,0)</f>
        <v>859.57031751413433</v>
      </c>
      <c r="J61" s="825">
        <f>IF(I57="A",6.1,IF(I57="B",5.8,IF(I57="C",5.5,IF(I57="C.",5.5,IF(I57="D",5.2)))))*$B$2</f>
        <v>4076.203</v>
      </c>
      <c r="K61" s="823">
        <f t="shared" si="7"/>
        <v>3503783.1069620671</v>
      </c>
      <c r="L61" s="818"/>
    </row>
    <row r="62" spans="1:13" s="31" customFormat="1" ht="15.75" customHeight="1">
      <c r="A62" s="821" t="s">
        <v>495</v>
      </c>
      <c r="B62" s="980" t="s">
        <v>563</v>
      </c>
      <c r="C62" s="879">
        <f>VLOOKUP(B56,'CNKT '!$C$16:$Z$96,15,0)</f>
        <v>0</v>
      </c>
      <c r="D62" s="826">
        <f>92.2*$B$2</f>
        <v>61610.806000000004</v>
      </c>
      <c r="E62" s="823">
        <f t="shared" si="6"/>
        <v>0</v>
      </c>
      <c r="F62" s="838"/>
      <c r="G62" s="821" t="s">
        <v>495</v>
      </c>
      <c r="H62" s="980" t="s">
        <v>563</v>
      </c>
      <c r="I62" s="879">
        <f>VLOOKUP(H56,'CNKT '!$C$16:$Z$96,15,0)</f>
        <v>0</v>
      </c>
      <c r="J62" s="826">
        <f>92.2*$B$2</f>
        <v>61610.806000000004</v>
      </c>
      <c r="K62" s="823">
        <f t="shared" si="7"/>
        <v>0</v>
      </c>
      <c r="L62" s="818"/>
    </row>
    <row r="63" spans="1:13" s="31" customFormat="1" ht="15.75" customHeight="1">
      <c r="A63" s="821" t="s">
        <v>496</v>
      </c>
      <c r="B63" s="980" t="s">
        <v>500</v>
      </c>
      <c r="C63" s="879">
        <f>VLOOKUP(B56,'CNKT '!$C$16:$Z$96,16,0)</f>
        <v>0</v>
      </c>
      <c r="D63" s="825">
        <f>153.8*$B$2</f>
        <v>102773.774</v>
      </c>
      <c r="E63" s="823">
        <f t="shared" si="6"/>
        <v>0</v>
      </c>
      <c r="F63" s="838"/>
      <c r="G63" s="821" t="s">
        <v>496</v>
      </c>
      <c r="H63" s="980" t="s">
        <v>500</v>
      </c>
      <c r="I63" s="879">
        <f>VLOOKUP(H56,'CNKT '!$C$16:$Z$96,16,0)</f>
        <v>0</v>
      </c>
      <c r="J63" s="825">
        <f>153.8*$B$2</f>
        <v>102773.774</v>
      </c>
      <c r="K63" s="823">
        <f t="shared" si="7"/>
        <v>0</v>
      </c>
      <c r="L63" s="818"/>
    </row>
    <row r="64" spans="1:13" s="31" customFormat="1" ht="15.75" customHeight="1">
      <c r="A64" s="821" t="s">
        <v>455</v>
      </c>
      <c r="B64" s="980" t="s">
        <v>501</v>
      </c>
      <c r="C64" s="879">
        <f>VLOOKUP(B56,'CNKT '!$C$16:$Z$96,18,0)</f>
        <v>0</v>
      </c>
      <c r="D64" s="825">
        <v>10000</v>
      </c>
      <c r="E64" s="823">
        <f t="shared" si="6"/>
        <v>0</v>
      </c>
      <c r="F64" s="838"/>
      <c r="G64" s="821" t="s">
        <v>455</v>
      </c>
      <c r="H64" s="980" t="s">
        <v>501</v>
      </c>
      <c r="I64" s="879">
        <f>VLOOKUP(H56,'CNKT '!$C$16:$Z$96,18,0)</f>
        <v>0</v>
      </c>
      <c r="J64" s="825">
        <v>10000</v>
      </c>
      <c r="K64" s="823">
        <f t="shared" si="7"/>
        <v>0</v>
      </c>
      <c r="L64" s="818"/>
    </row>
    <row r="65" spans="1:13" s="31" customFormat="1" ht="15.75" customHeight="1">
      <c r="A65" s="821" t="s">
        <v>455</v>
      </c>
      <c r="B65" s="980" t="s">
        <v>501</v>
      </c>
      <c r="C65" s="879">
        <f>VLOOKUP(B56,'CNKT '!$C$16:$Z$96,19,0)</f>
        <v>0</v>
      </c>
      <c r="D65" s="825">
        <v>20000</v>
      </c>
      <c r="E65" s="823">
        <f t="shared" si="6"/>
        <v>0</v>
      </c>
      <c r="F65" s="838"/>
      <c r="G65" s="821" t="s">
        <v>455</v>
      </c>
      <c r="H65" s="980" t="s">
        <v>501</v>
      </c>
      <c r="I65" s="879">
        <f>VLOOKUP(H56,'CNKT '!$C$16:$Z$96,19,0)</f>
        <v>0</v>
      </c>
      <c r="J65" s="825">
        <v>20000</v>
      </c>
      <c r="K65" s="823">
        <f t="shared" si="7"/>
        <v>0</v>
      </c>
      <c r="L65" s="818"/>
    </row>
    <row r="66" spans="1:13" s="31" customFormat="1" ht="15.75" customHeight="1">
      <c r="A66" s="821" t="s">
        <v>517</v>
      </c>
      <c r="B66" s="980" t="s">
        <v>519</v>
      </c>
      <c r="C66" s="879"/>
      <c r="D66" s="825"/>
      <c r="E66" s="823"/>
      <c r="F66" s="838"/>
      <c r="G66" s="821" t="s">
        <v>517</v>
      </c>
      <c r="H66" s="980" t="s">
        <v>519</v>
      </c>
      <c r="I66" s="879"/>
      <c r="J66" s="825"/>
      <c r="K66" s="823"/>
      <c r="L66" s="818"/>
    </row>
    <row r="67" spans="1:13" s="31" customFormat="1" ht="15.75" customHeight="1">
      <c r="A67" s="827" t="s">
        <v>81</v>
      </c>
      <c r="B67" s="981" t="s">
        <v>564</v>
      </c>
      <c r="C67" s="828"/>
      <c r="D67" s="829"/>
      <c r="E67" s="828"/>
      <c r="F67" s="838"/>
      <c r="G67" s="827" t="s">
        <v>81</v>
      </c>
      <c r="H67" s="981" t="s">
        <v>564</v>
      </c>
      <c r="I67" s="828"/>
      <c r="J67" s="829"/>
      <c r="K67" s="828"/>
      <c r="L67" s="818"/>
    </row>
    <row r="68" spans="1:13" s="31" customFormat="1" ht="15.75" customHeight="1">
      <c r="A68" s="830" t="s">
        <v>82</v>
      </c>
      <c r="B68" s="982" t="s">
        <v>565</v>
      </c>
      <c r="C68" s="828"/>
      <c r="D68" s="828"/>
      <c r="E68" s="828"/>
      <c r="F68" s="838"/>
      <c r="G68" s="830" t="s">
        <v>82</v>
      </c>
      <c r="H68" s="982" t="s">
        <v>565</v>
      </c>
      <c r="I68" s="828"/>
      <c r="J68" s="828"/>
      <c r="K68" s="828"/>
      <c r="L68" s="818"/>
    </row>
    <row r="69" spans="1:13" s="31" customFormat="1" ht="15.75" customHeight="1">
      <c r="A69" s="830" t="s">
        <v>83</v>
      </c>
      <c r="B69" s="983" t="s">
        <v>566</v>
      </c>
      <c r="C69" s="828"/>
      <c r="D69" s="828"/>
      <c r="E69" s="823">
        <f>SUM(E68)</f>
        <v>0</v>
      </c>
      <c r="F69" s="838"/>
      <c r="G69" s="830" t="s">
        <v>83</v>
      </c>
      <c r="H69" s="983" t="s">
        <v>566</v>
      </c>
      <c r="I69" s="828"/>
      <c r="J69" s="828"/>
      <c r="K69" s="823">
        <f>SUM(K68)</f>
        <v>0</v>
      </c>
      <c r="L69" s="818"/>
      <c r="M69" s="831">
        <f>E69+K69</f>
        <v>0</v>
      </c>
    </row>
    <row r="70" spans="1:13" s="31" customFormat="1" ht="15.75" customHeight="1">
      <c r="A70" s="832" t="s">
        <v>84</v>
      </c>
      <c r="B70" s="984" t="s">
        <v>438</v>
      </c>
      <c r="C70" s="833"/>
      <c r="D70" s="833"/>
      <c r="E70" s="833">
        <f>(E58+E59+E60+E61+E62+E63+E64+E65+E66)-E69</f>
        <v>4053393.4631292345</v>
      </c>
      <c r="F70" s="838"/>
      <c r="G70" s="832" t="s">
        <v>84</v>
      </c>
      <c r="H70" s="984" t="s">
        <v>438</v>
      </c>
      <c r="I70" s="833"/>
      <c r="J70" s="833"/>
      <c r="K70" s="833">
        <f>(K58+K59+K60+K61+K62+K63+K64+K65+K66)-K69</f>
        <v>4458884.2459620666</v>
      </c>
      <c r="L70" s="835">
        <f>E70+K70</f>
        <v>8512277.709091302</v>
      </c>
    </row>
    <row r="71" spans="1:13" s="31" customFormat="1" ht="15.75" customHeight="1">
      <c r="A71" s="838"/>
      <c r="B71" s="844"/>
      <c r="C71" s="845"/>
      <c r="D71" s="845"/>
      <c r="E71" s="843"/>
      <c r="F71" s="838"/>
      <c r="G71" s="838"/>
      <c r="H71" s="844"/>
      <c r="I71" s="845"/>
      <c r="J71" s="843"/>
      <c r="K71" s="846"/>
      <c r="L71" s="818"/>
    </row>
    <row r="72" spans="1:13" s="31" customFormat="1" ht="15.75" customHeight="1">
      <c r="A72" s="1615" t="str">
        <f>G55</f>
        <v>LƯƠNG THÁNG 01/2025</v>
      </c>
      <c r="B72" s="1616"/>
      <c r="C72" s="1616"/>
      <c r="D72" s="1616"/>
      <c r="E72" s="898">
        <v>9</v>
      </c>
      <c r="F72" s="975"/>
      <c r="G72" s="1615" t="str">
        <f>A72</f>
        <v>LƯƠNG THÁNG 01/2025</v>
      </c>
      <c r="H72" s="1616"/>
      <c r="I72" s="1616"/>
      <c r="J72" s="1617"/>
      <c r="K72" s="898">
        <v>10</v>
      </c>
      <c r="L72" s="818"/>
    </row>
    <row r="73" spans="1:13" s="31" customFormat="1" ht="15.75" customHeight="1">
      <c r="A73" s="837" t="s">
        <v>17</v>
      </c>
      <c r="B73" s="976" t="str">
        <f>'CNKT '!C24</f>
        <v>T Căng</v>
      </c>
      <c r="C73" s="819"/>
      <c r="D73" s="973" t="s">
        <v>398</v>
      </c>
      <c r="E73" s="973" t="s">
        <v>20</v>
      </c>
      <c r="F73" s="838"/>
      <c r="G73" s="837" t="s">
        <v>17</v>
      </c>
      <c r="H73" s="976" t="str">
        <f>'CNKT '!C25</f>
        <v>N. Phôn 1</v>
      </c>
      <c r="I73" s="819"/>
      <c r="J73" s="973" t="s">
        <v>398</v>
      </c>
      <c r="K73" s="973" t="s">
        <v>20</v>
      </c>
      <c r="L73" s="818"/>
    </row>
    <row r="74" spans="1:13" s="31" customFormat="1" ht="15.75" customHeight="1">
      <c r="A74" s="821" t="s">
        <v>399</v>
      </c>
      <c r="B74" s="978" t="s">
        <v>559</v>
      </c>
      <c r="C74" s="822" t="str">
        <f>VLOOKUP(B73,'BTH mủ tạp'!$C$17:$AL$94,36,0)</f>
        <v>B</v>
      </c>
      <c r="D74" s="823"/>
      <c r="E74" s="823"/>
      <c r="F74" s="838"/>
      <c r="G74" s="821" t="s">
        <v>399</v>
      </c>
      <c r="H74" s="978" t="s">
        <v>559</v>
      </c>
      <c r="I74" s="822" t="str">
        <f>VLOOKUP(H73,'BTH mủ tạp'!$C$17:$AL$94,36,0)</f>
        <v>A</v>
      </c>
      <c r="J74" s="823"/>
      <c r="K74" s="823"/>
      <c r="L74" s="818"/>
    </row>
    <row r="75" spans="1:13" s="31" customFormat="1" ht="15.75" customHeight="1">
      <c r="A75" s="821" t="s">
        <v>79</v>
      </c>
      <c r="B75" s="979" t="s">
        <v>432</v>
      </c>
      <c r="C75" s="824">
        <f>VLOOKUP(B73,'CNKT '!$C$16:$Z$96,3,0)</f>
        <v>0</v>
      </c>
      <c r="D75" s="825">
        <v>25000</v>
      </c>
      <c r="E75" s="823">
        <f t="shared" ref="E75:E82" si="8">C75*D75</f>
        <v>0</v>
      </c>
      <c r="F75" s="838"/>
      <c r="G75" s="821" t="s">
        <v>79</v>
      </c>
      <c r="H75" s="979" t="s">
        <v>432</v>
      </c>
      <c r="I75" s="824">
        <f>VLOOKUP(H73,'CNKT '!$C$16:$Z$96,3,0)</f>
        <v>0</v>
      </c>
      <c r="J75" s="825">
        <v>25000</v>
      </c>
      <c r="K75" s="823">
        <f t="shared" ref="K75:K82" si="9">I75*J75</f>
        <v>0</v>
      </c>
      <c r="L75" s="818"/>
    </row>
    <row r="76" spans="1:13" s="31" customFormat="1" ht="15.75" customHeight="1">
      <c r="A76" s="821" t="s">
        <v>310</v>
      </c>
      <c r="B76" s="980" t="s">
        <v>560</v>
      </c>
      <c r="C76" s="879">
        <f>VLOOKUP(B73,'CNKT '!$C$16:$Z$96,11,0)</f>
        <v>27</v>
      </c>
      <c r="D76" s="826">
        <f>46.1*$B$2</f>
        <v>30805.403000000002</v>
      </c>
      <c r="E76" s="823">
        <f t="shared" si="8"/>
        <v>831745.88100000005</v>
      </c>
      <c r="F76" s="838"/>
      <c r="G76" s="821" t="s">
        <v>310</v>
      </c>
      <c r="H76" s="980" t="s">
        <v>560</v>
      </c>
      <c r="I76" s="879">
        <f>VLOOKUP(H73,'CNKT '!$C$16:$Z$96,11,0)</f>
        <v>27</v>
      </c>
      <c r="J76" s="826">
        <f>46.1*$B$2</f>
        <v>30805.403000000002</v>
      </c>
      <c r="K76" s="823">
        <f t="shared" si="9"/>
        <v>831745.88100000005</v>
      </c>
      <c r="L76" s="818"/>
    </row>
    <row r="77" spans="1:13" s="31" customFormat="1" ht="15.75" customHeight="1">
      <c r="A77" s="821" t="s">
        <v>401</v>
      </c>
      <c r="B77" s="980" t="s">
        <v>561</v>
      </c>
      <c r="C77" s="879">
        <f>VLOOKUP(B73,'CNKT '!$C$16:$Z$96,12,0)</f>
        <v>3</v>
      </c>
      <c r="D77" s="825">
        <f>76.9*$B$2</f>
        <v>51386.887000000002</v>
      </c>
      <c r="E77" s="823">
        <f t="shared" si="8"/>
        <v>154160.66100000002</v>
      </c>
      <c r="F77" s="842"/>
      <c r="G77" s="821" t="s">
        <v>401</v>
      </c>
      <c r="H77" s="980" t="s">
        <v>561</v>
      </c>
      <c r="I77" s="879">
        <f>VLOOKUP(H73,'CNKT '!$C$16:$Z$96,12,0)</f>
        <v>3</v>
      </c>
      <c r="J77" s="825">
        <f>76.9*$B$2</f>
        <v>51386.887000000002</v>
      </c>
      <c r="K77" s="823">
        <f t="shared" si="9"/>
        <v>154160.66100000002</v>
      </c>
      <c r="L77" s="818"/>
    </row>
    <row r="78" spans="1:13" s="31" customFormat="1" ht="15.75" customHeight="1">
      <c r="A78" s="821" t="s">
        <v>80</v>
      </c>
      <c r="B78" s="980" t="s">
        <v>562</v>
      </c>
      <c r="C78" s="879">
        <f>VLOOKUP(B73,'CNKT '!$C$16:$Z$96,8,0)</f>
        <v>1089.0971585707759</v>
      </c>
      <c r="D78" s="825">
        <f>IF(C74="A",6.1,IF(C74="B",5.8,IF(C74="C",5.5,IF(C74="C.",5.5,IF(C74="D",5.2)))))*$B$2</f>
        <v>3875.7339999999999</v>
      </c>
      <c r="E78" s="823">
        <f t="shared" si="8"/>
        <v>4221050.8867761474</v>
      </c>
      <c r="F78" s="842"/>
      <c r="G78" s="821" t="s">
        <v>80</v>
      </c>
      <c r="H78" s="980" t="s">
        <v>562</v>
      </c>
      <c r="I78" s="879">
        <f>VLOOKUP(H73,'CNKT '!$C$16:$Z$96,8,0)</f>
        <v>1079.340984118704</v>
      </c>
      <c r="J78" s="825">
        <f>IF(I74="A",6.1,IF(I74="B",5.8,IF(I74="C",5.5,IF(I74="C.",5.5,IF(I74="D",5.2)))))*$B$2</f>
        <v>4076.203</v>
      </c>
      <c r="K78" s="823">
        <f t="shared" si="9"/>
        <v>4399612.9574876139</v>
      </c>
      <c r="L78" s="818"/>
    </row>
    <row r="79" spans="1:13" s="31" customFormat="1" ht="15.75" customHeight="1">
      <c r="A79" s="821" t="s">
        <v>495</v>
      </c>
      <c r="B79" s="980" t="s">
        <v>563</v>
      </c>
      <c r="C79" s="879">
        <f>VLOOKUP(B73,'CNKT '!$C$16:$Z$96,15,0)</f>
        <v>0</v>
      </c>
      <c r="D79" s="826">
        <f>92.2*$B$2</f>
        <v>61610.806000000004</v>
      </c>
      <c r="E79" s="823">
        <f t="shared" si="8"/>
        <v>0</v>
      </c>
      <c r="F79" s="842"/>
      <c r="G79" s="821" t="s">
        <v>495</v>
      </c>
      <c r="H79" s="980" t="s">
        <v>563</v>
      </c>
      <c r="I79" s="879">
        <f>VLOOKUP(H73,'CNKT '!$C$16:$Z$96,15,0)</f>
        <v>0</v>
      </c>
      <c r="J79" s="826">
        <f>92.2*$B$2</f>
        <v>61610.806000000004</v>
      </c>
      <c r="K79" s="823">
        <f t="shared" si="9"/>
        <v>0</v>
      </c>
      <c r="L79" s="818"/>
    </row>
    <row r="80" spans="1:13" s="31" customFormat="1" ht="15.75" customHeight="1">
      <c r="A80" s="821" t="s">
        <v>496</v>
      </c>
      <c r="B80" s="980" t="s">
        <v>500</v>
      </c>
      <c r="C80" s="879">
        <f>VLOOKUP(B73,'CNKT '!$C$16:$Z$96,16,0)</f>
        <v>0</v>
      </c>
      <c r="D80" s="825">
        <f>153.8*$B$2</f>
        <v>102773.774</v>
      </c>
      <c r="E80" s="823">
        <f t="shared" si="8"/>
        <v>0</v>
      </c>
      <c r="F80" s="842"/>
      <c r="G80" s="821" t="s">
        <v>496</v>
      </c>
      <c r="H80" s="980" t="s">
        <v>500</v>
      </c>
      <c r="I80" s="879">
        <f>VLOOKUP(H73,'CNKT '!$C$16:$Z$96,16,0)</f>
        <v>0</v>
      </c>
      <c r="J80" s="825">
        <f>153.8*$B$2</f>
        <v>102773.774</v>
      </c>
      <c r="K80" s="823">
        <f t="shared" si="9"/>
        <v>0</v>
      </c>
      <c r="L80" s="818"/>
    </row>
    <row r="81" spans="1:13" s="31" customFormat="1" ht="15.75" customHeight="1">
      <c r="A81" s="821" t="s">
        <v>455</v>
      </c>
      <c r="B81" s="980" t="s">
        <v>501</v>
      </c>
      <c r="C81" s="879">
        <f>VLOOKUP(B73,'CNKT '!$C$16:$Z$96,18,0)</f>
        <v>0</v>
      </c>
      <c r="D81" s="825">
        <v>10000</v>
      </c>
      <c r="E81" s="823">
        <f t="shared" si="8"/>
        <v>0</v>
      </c>
      <c r="F81" s="842"/>
      <c r="G81" s="821" t="s">
        <v>455</v>
      </c>
      <c r="H81" s="980" t="s">
        <v>501</v>
      </c>
      <c r="I81" s="879">
        <f>VLOOKUP(H73,'CNKT '!$C$16:$Z$96,18,0)</f>
        <v>0</v>
      </c>
      <c r="J81" s="825">
        <v>10000</v>
      </c>
      <c r="K81" s="823">
        <f t="shared" si="9"/>
        <v>0</v>
      </c>
      <c r="L81" s="818"/>
    </row>
    <row r="82" spans="1:13" s="31" customFormat="1" ht="15.75" customHeight="1">
      <c r="A82" s="821" t="s">
        <v>455</v>
      </c>
      <c r="B82" s="980" t="s">
        <v>501</v>
      </c>
      <c r="C82" s="879">
        <f>VLOOKUP(B73,'CNKT '!$C$16:$Z$96,19,0)</f>
        <v>0</v>
      </c>
      <c r="D82" s="825">
        <v>20000</v>
      </c>
      <c r="E82" s="823">
        <f t="shared" si="8"/>
        <v>0</v>
      </c>
      <c r="F82" s="842"/>
      <c r="G82" s="821" t="s">
        <v>455</v>
      </c>
      <c r="H82" s="980" t="s">
        <v>501</v>
      </c>
      <c r="I82" s="879">
        <f>VLOOKUP(H73,'CNKT '!$C$16:$Z$96,19,0)</f>
        <v>0</v>
      </c>
      <c r="J82" s="825">
        <v>20000</v>
      </c>
      <c r="K82" s="823">
        <f t="shared" si="9"/>
        <v>0</v>
      </c>
      <c r="L82" s="818"/>
    </row>
    <row r="83" spans="1:13" s="31" customFormat="1" ht="15.75" customHeight="1">
      <c r="A83" s="821" t="s">
        <v>517</v>
      </c>
      <c r="B83" s="980" t="s">
        <v>519</v>
      </c>
      <c r="C83" s="879"/>
      <c r="D83" s="825"/>
      <c r="E83" s="823"/>
      <c r="F83" s="842"/>
      <c r="G83" s="821" t="s">
        <v>517</v>
      </c>
      <c r="H83" s="980" t="s">
        <v>519</v>
      </c>
      <c r="I83" s="879"/>
      <c r="J83" s="825"/>
      <c r="K83" s="823"/>
      <c r="L83" s="818"/>
    </row>
    <row r="84" spans="1:13" s="31" customFormat="1" ht="15.75" customHeight="1">
      <c r="A84" s="827" t="s">
        <v>81</v>
      </c>
      <c r="B84" s="981" t="s">
        <v>564</v>
      </c>
      <c r="C84" s="828"/>
      <c r="D84" s="829"/>
      <c r="E84" s="828"/>
      <c r="F84" s="975"/>
      <c r="G84" s="827" t="s">
        <v>81</v>
      </c>
      <c r="H84" s="981" t="s">
        <v>564</v>
      </c>
      <c r="I84" s="828"/>
      <c r="J84" s="829"/>
      <c r="K84" s="828"/>
      <c r="L84" s="818"/>
    </row>
    <row r="85" spans="1:13" s="31" customFormat="1" ht="15.75" customHeight="1">
      <c r="A85" s="830" t="s">
        <v>82</v>
      </c>
      <c r="B85" s="982" t="s">
        <v>565</v>
      </c>
      <c r="C85" s="828"/>
      <c r="D85" s="828"/>
      <c r="E85" s="828"/>
      <c r="F85" s="843"/>
      <c r="G85" s="830" t="s">
        <v>82</v>
      </c>
      <c r="H85" s="982" t="s">
        <v>565</v>
      </c>
      <c r="I85" s="828"/>
      <c r="J85" s="828"/>
      <c r="K85" s="828"/>
      <c r="L85" s="818"/>
    </row>
    <row r="86" spans="1:13" s="31" customFormat="1" ht="15.75" customHeight="1">
      <c r="A86" s="830" t="s">
        <v>83</v>
      </c>
      <c r="B86" s="983" t="s">
        <v>566</v>
      </c>
      <c r="C86" s="828"/>
      <c r="D86" s="828"/>
      <c r="E86" s="823">
        <f>SUM(E85)</f>
        <v>0</v>
      </c>
      <c r="F86" s="843"/>
      <c r="G86" s="830" t="s">
        <v>83</v>
      </c>
      <c r="H86" s="983" t="s">
        <v>566</v>
      </c>
      <c r="I86" s="828"/>
      <c r="J86" s="828"/>
      <c r="K86" s="823">
        <f>SUM(K85)</f>
        <v>0</v>
      </c>
      <c r="L86" s="818"/>
      <c r="M86" s="831">
        <f>E86+K86</f>
        <v>0</v>
      </c>
    </row>
    <row r="87" spans="1:13" s="31" customFormat="1" ht="15.75" customHeight="1">
      <c r="A87" s="832" t="s">
        <v>84</v>
      </c>
      <c r="B87" s="984" t="s">
        <v>438</v>
      </c>
      <c r="C87" s="833"/>
      <c r="D87" s="833"/>
      <c r="E87" s="833">
        <f>(E75+E76+E77+E78+E79+E80+E81+E82+E83)-E86</f>
        <v>5206957.4287761478</v>
      </c>
      <c r="F87" s="843"/>
      <c r="G87" s="832" t="s">
        <v>84</v>
      </c>
      <c r="H87" s="984" t="s">
        <v>438</v>
      </c>
      <c r="I87" s="833"/>
      <c r="J87" s="833"/>
      <c r="K87" s="833">
        <f>(K75+K76+K77+K78+K79+K80+K81+K82+K83)-K86</f>
        <v>5385519.4994876143</v>
      </c>
      <c r="L87" s="835">
        <f>E87+K87</f>
        <v>10592476.928263761</v>
      </c>
    </row>
    <row r="88" spans="1:13" s="31" customFormat="1" ht="70.5" customHeight="1">
      <c r="A88" s="838"/>
      <c r="B88" s="844"/>
      <c r="C88" s="845"/>
      <c r="D88" s="845"/>
      <c r="E88" s="843"/>
      <c r="F88" s="843"/>
      <c r="G88" s="838"/>
      <c r="H88" s="844"/>
      <c r="I88" s="845"/>
      <c r="J88" s="843"/>
      <c r="K88" s="836"/>
      <c r="L88" s="818"/>
    </row>
    <row r="89" spans="1:13" s="31" customFormat="1" ht="17.25" customHeight="1">
      <c r="A89" s="1615" t="str">
        <f>G72</f>
        <v>LƯƠNG THÁNG 01/2025</v>
      </c>
      <c r="B89" s="1616"/>
      <c r="C89" s="1616"/>
      <c r="D89" s="1616"/>
      <c r="E89" s="898">
        <v>11</v>
      </c>
      <c r="F89" s="838"/>
      <c r="G89" s="1615" t="str">
        <f>A89</f>
        <v>LƯƠNG THÁNG 01/2025</v>
      </c>
      <c r="H89" s="1616"/>
      <c r="I89" s="1616"/>
      <c r="J89" s="1617"/>
      <c r="K89" s="898">
        <v>12</v>
      </c>
      <c r="L89" s="818"/>
    </row>
    <row r="90" spans="1:13" s="31" customFormat="1" ht="17.25" customHeight="1">
      <c r="A90" s="837" t="s">
        <v>17</v>
      </c>
      <c r="B90" s="976" t="str">
        <f>'CNKT '!C26</f>
        <v>T. In Păn</v>
      </c>
      <c r="C90" s="819"/>
      <c r="D90" s="973" t="s">
        <v>398</v>
      </c>
      <c r="E90" s="973" t="s">
        <v>20</v>
      </c>
      <c r="F90" s="842"/>
      <c r="G90" s="837" t="s">
        <v>17</v>
      </c>
      <c r="H90" s="976" t="str">
        <f>'CNKT '!C27</f>
        <v>N. Keo</v>
      </c>
      <c r="I90" s="819"/>
      <c r="J90" s="973" t="s">
        <v>398</v>
      </c>
      <c r="K90" s="973" t="s">
        <v>20</v>
      </c>
      <c r="L90" s="818"/>
    </row>
    <row r="91" spans="1:13" s="31" customFormat="1" ht="17.25" customHeight="1">
      <c r="A91" s="821" t="s">
        <v>399</v>
      </c>
      <c r="B91" s="978" t="s">
        <v>559</v>
      </c>
      <c r="C91" s="822" t="str">
        <f>VLOOKUP(B90,'BTH mủ tạp'!$C$17:$AL$94,36,0)</f>
        <v>A</v>
      </c>
      <c r="D91" s="823"/>
      <c r="E91" s="823"/>
      <c r="F91" s="842"/>
      <c r="G91" s="821" t="s">
        <v>399</v>
      </c>
      <c r="H91" s="978" t="s">
        <v>559</v>
      </c>
      <c r="I91" s="822" t="str">
        <f>VLOOKUP(H90,'BTH mủ tạp'!$C$17:$AL$94,36,0)</f>
        <v>B</v>
      </c>
      <c r="J91" s="823"/>
      <c r="K91" s="823"/>
      <c r="L91" s="818"/>
    </row>
    <row r="92" spans="1:13" s="31" customFormat="1" ht="17.25" customHeight="1">
      <c r="A92" s="821" t="s">
        <v>79</v>
      </c>
      <c r="B92" s="979" t="s">
        <v>432</v>
      </c>
      <c r="C92" s="824">
        <f>VLOOKUP(B90,'CNKT '!$C$16:$Z$96,3,0)</f>
        <v>0</v>
      </c>
      <c r="D92" s="825">
        <v>25000</v>
      </c>
      <c r="E92" s="823">
        <f t="shared" ref="E92:E99" si="10">C92*D92</f>
        <v>0</v>
      </c>
      <c r="F92" s="975"/>
      <c r="G92" s="821" t="s">
        <v>79</v>
      </c>
      <c r="H92" s="979" t="s">
        <v>432</v>
      </c>
      <c r="I92" s="824">
        <f>VLOOKUP(H90,'CNKT '!$C$16:$Z$96,3,0)</f>
        <v>0</v>
      </c>
      <c r="J92" s="825">
        <v>25000</v>
      </c>
      <c r="K92" s="823">
        <f t="shared" ref="K92:K99" si="11">I92*J92</f>
        <v>0</v>
      </c>
      <c r="L92" s="818"/>
    </row>
    <row r="93" spans="1:13" s="31" customFormat="1" ht="17.25" customHeight="1">
      <c r="A93" s="821" t="s">
        <v>310</v>
      </c>
      <c r="B93" s="980" t="s">
        <v>560</v>
      </c>
      <c r="C93" s="879">
        <f>VLOOKUP(B90,'CNKT '!$C$16:$Z$96,11,0)</f>
        <v>23</v>
      </c>
      <c r="D93" s="826">
        <f>46.1*$B$2</f>
        <v>30805.403000000002</v>
      </c>
      <c r="E93" s="823">
        <f t="shared" si="10"/>
        <v>708524.26900000009</v>
      </c>
      <c r="F93" s="843"/>
      <c r="G93" s="821" t="s">
        <v>310</v>
      </c>
      <c r="H93" s="980" t="s">
        <v>560</v>
      </c>
      <c r="I93" s="879">
        <f>VLOOKUP(H90,'CNKT '!$C$16:$Z$96,11,0)</f>
        <v>26</v>
      </c>
      <c r="J93" s="826">
        <f>46.1*$B$2</f>
        <v>30805.403000000002</v>
      </c>
      <c r="K93" s="823">
        <f t="shared" si="11"/>
        <v>800940.478</v>
      </c>
      <c r="L93" s="818"/>
    </row>
    <row r="94" spans="1:13" s="31" customFormat="1" ht="17.25" customHeight="1">
      <c r="A94" s="821" t="s">
        <v>401</v>
      </c>
      <c r="B94" s="980" t="s">
        <v>561</v>
      </c>
      <c r="C94" s="879">
        <f>VLOOKUP(B90,'CNKT '!$C$16:$Z$96,12,0)</f>
        <v>4</v>
      </c>
      <c r="D94" s="825">
        <f>76.9*$B$2</f>
        <v>51386.887000000002</v>
      </c>
      <c r="E94" s="823">
        <f t="shared" si="10"/>
        <v>205547.54800000001</v>
      </c>
      <c r="F94" s="843"/>
      <c r="G94" s="821" t="s">
        <v>401</v>
      </c>
      <c r="H94" s="980" t="s">
        <v>561</v>
      </c>
      <c r="I94" s="879">
        <f>VLOOKUP(H90,'CNKT '!$C$16:$Z$96,12,0)</f>
        <v>4</v>
      </c>
      <c r="J94" s="825">
        <f>76.9*$B$2</f>
        <v>51386.887000000002</v>
      </c>
      <c r="K94" s="823">
        <f t="shared" si="11"/>
        <v>205547.54800000001</v>
      </c>
      <c r="L94" s="818"/>
    </row>
    <row r="95" spans="1:13" s="31" customFormat="1" ht="17.25" customHeight="1">
      <c r="A95" s="821" t="s">
        <v>80</v>
      </c>
      <c r="B95" s="980" t="s">
        <v>562</v>
      </c>
      <c r="C95" s="879">
        <f>VLOOKUP(B90,'CNKT '!$C$16:$Z$96,8,0)</f>
        <v>542.75138925474312</v>
      </c>
      <c r="D95" s="825">
        <f>IF(C91="A",6.1,IF(C91="B",5.8,IF(C91="C",5.5,IF(C91="C.",5.5,IF(C91="D",5.2)))))*$B$2</f>
        <v>4076.203</v>
      </c>
      <c r="E95" s="823">
        <f t="shared" si="10"/>
        <v>2212364.8411343517</v>
      </c>
      <c r="F95" s="843"/>
      <c r="G95" s="821" t="s">
        <v>80</v>
      </c>
      <c r="H95" s="980" t="s">
        <v>562</v>
      </c>
      <c r="I95" s="879">
        <f>VLOOKUP(H90,'CNKT '!$C$16:$Z$96,8,0)</f>
        <v>1039.8028034445174</v>
      </c>
      <c r="J95" s="825">
        <f>IF(I91="A",6.1,IF(I91="B",5.8,IF(I91="C",5.5,IF(I91="C.",5.5,IF(I91="D",5.2)))))*$B$2</f>
        <v>3875.7339999999999</v>
      </c>
      <c r="K95" s="823">
        <f t="shared" si="11"/>
        <v>4029999.0786052332</v>
      </c>
      <c r="L95" s="818"/>
    </row>
    <row r="96" spans="1:13" s="31" customFormat="1" ht="17.25" customHeight="1">
      <c r="A96" s="821" t="s">
        <v>495</v>
      </c>
      <c r="B96" s="980" t="s">
        <v>563</v>
      </c>
      <c r="C96" s="879">
        <f>VLOOKUP(B90,'CNKT '!$C$16:$Z$96,15,0)</f>
        <v>0</v>
      </c>
      <c r="D96" s="826">
        <f>92.2*$B$2</f>
        <v>61610.806000000004</v>
      </c>
      <c r="E96" s="823">
        <f t="shared" si="10"/>
        <v>0</v>
      </c>
      <c r="F96" s="843"/>
      <c r="G96" s="821" t="s">
        <v>495</v>
      </c>
      <c r="H96" s="980" t="s">
        <v>563</v>
      </c>
      <c r="I96" s="879">
        <f>VLOOKUP(H90,'CNKT '!$C$16:$Z$96,15,0)</f>
        <v>0</v>
      </c>
      <c r="J96" s="826">
        <f>92.2*$B$2</f>
        <v>61610.806000000004</v>
      </c>
      <c r="K96" s="823">
        <f t="shared" si="11"/>
        <v>0</v>
      </c>
      <c r="L96" s="818"/>
    </row>
    <row r="97" spans="1:13" s="31" customFormat="1" ht="17.25" customHeight="1">
      <c r="A97" s="821" t="s">
        <v>496</v>
      </c>
      <c r="B97" s="980" t="s">
        <v>500</v>
      </c>
      <c r="C97" s="879">
        <f>VLOOKUP(B90,'CNKT '!$C$16:$Z$96,16,0)</f>
        <v>0</v>
      </c>
      <c r="D97" s="825">
        <f>153.8*$B$2</f>
        <v>102773.774</v>
      </c>
      <c r="E97" s="823">
        <f t="shared" si="10"/>
        <v>0</v>
      </c>
      <c r="F97" s="843"/>
      <c r="G97" s="821" t="s">
        <v>496</v>
      </c>
      <c r="H97" s="980" t="s">
        <v>500</v>
      </c>
      <c r="I97" s="879">
        <f>VLOOKUP(H90,'CNKT '!$C$16:$Z$96,16,0)</f>
        <v>0</v>
      </c>
      <c r="J97" s="825">
        <f>153.8*$B$2</f>
        <v>102773.774</v>
      </c>
      <c r="K97" s="823">
        <f t="shared" si="11"/>
        <v>0</v>
      </c>
      <c r="L97" s="818"/>
    </row>
    <row r="98" spans="1:13" s="31" customFormat="1" ht="17.25" customHeight="1">
      <c r="A98" s="821" t="s">
        <v>455</v>
      </c>
      <c r="B98" s="980" t="s">
        <v>501</v>
      </c>
      <c r="C98" s="879">
        <f>VLOOKUP(B90,'CNKT '!$C$16:$Z$96,18,0)</f>
        <v>0</v>
      </c>
      <c r="D98" s="825">
        <v>10000</v>
      </c>
      <c r="E98" s="823">
        <f t="shared" si="10"/>
        <v>0</v>
      </c>
      <c r="F98" s="843"/>
      <c r="G98" s="821" t="s">
        <v>455</v>
      </c>
      <c r="H98" s="980" t="s">
        <v>501</v>
      </c>
      <c r="I98" s="879">
        <f>VLOOKUP(H90,'CNKT '!$C$16:$Z$96,18,0)</f>
        <v>0</v>
      </c>
      <c r="J98" s="825">
        <v>10000</v>
      </c>
      <c r="K98" s="823">
        <f t="shared" si="11"/>
        <v>0</v>
      </c>
      <c r="L98" s="818"/>
    </row>
    <row r="99" spans="1:13" s="31" customFormat="1" ht="17.25" customHeight="1">
      <c r="A99" s="821" t="s">
        <v>455</v>
      </c>
      <c r="B99" s="980" t="s">
        <v>501</v>
      </c>
      <c r="C99" s="879">
        <f>VLOOKUP(B90,'CNKT '!$C$16:$Z$96,19,0)</f>
        <v>0</v>
      </c>
      <c r="D99" s="825">
        <v>20000</v>
      </c>
      <c r="E99" s="823">
        <f t="shared" si="10"/>
        <v>0</v>
      </c>
      <c r="F99" s="843"/>
      <c r="G99" s="821" t="s">
        <v>455</v>
      </c>
      <c r="H99" s="980" t="s">
        <v>501</v>
      </c>
      <c r="I99" s="879">
        <f>VLOOKUP(H90,'CNKT '!$C$16:$Z$96,19,0)</f>
        <v>0</v>
      </c>
      <c r="J99" s="825">
        <v>20000</v>
      </c>
      <c r="K99" s="823">
        <f t="shared" si="11"/>
        <v>0</v>
      </c>
      <c r="L99" s="818"/>
    </row>
    <row r="100" spans="1:13" s="31" customFormat="1" ht="17.25" customHeight="1">
      <c r="A100" s="821" t="s">
        <v>517</v>
      </c>
      <c r="B100" s="980" t="s">
        <v>519</v>
      </c>
      <c r="C100" s="879"/>
      <c r="D100" s="825"/>
      <c r="E100" s="823"/>
      <c r="F100" s="843"/>
      <c r="G100" s="821" t="s">
        <v>517</v>
      </c>
      <c r="H100" s="980" t="s">
        <v>519</v>
      </c>
      <c r="I100" s="879"/>
      <c r="J100" s="825"/>
      <c r="K100" s="823"/>
      <c r="L100" s="818"/>
    </row>
    <row r="101" spans="1:13" s="31" customFormat="1" ht="17.25" customHeight="1">
      <c r="A101" s="827" t="s">
        <v>81</v>
      </c>
      <c r="B101" s="981" t="s">
        <v>564</v>
      </c>
      <c r="C101" s="828"/>
      <c r="D101" s="829"/>
      <c r="E101" s="828"/>
      <c r="F101" s="843"/>
      <c r="G101" s="827" t="s">
        <v>81</v>
      </c>
      <c r="H101" s="981" t="s">
        <v>564</v>
      </c>
      <c r="I101" s="828"/>
      <c r="J101" s="829"/>
      <c r="K101" s="828"/>
      <c r="L101" s="818"/>
    </row>
    <row r="102" spans="1:13" s="31" customFormat="1" ht="17.25" customHeight="1">
      <c r="A102" s="830" t="s">
        <v>82</v>
      </c>
      <c r="B102" s="982" t="s">
        <v>565</v>
      </c>
      <c r="C102" s="828"/>
      <c r="D102" s="828"/>
      <c r="E102" s="828"/>
      <c r="F102" s="843"/>
      <c r="G102" s="830" t="s">
        <v>82</v>
      </c>
      <c r="H102" s="982" t="s">
        <v>565</v>
      </c>
      <c r="I102" s="828"/>
      <c r="J102" s="828"/>
      <c r="K102" s="828"/>
      <c r="L102" s="818"/>
    </row>
    <row r="103" spans="1:13" s="31" customFormat="1" ht="17.25" customHeight="1">
      <c r="A103" s="830" t="s">
        <v>83</v>
      </c>
      <c r="B103" s="983" t="s">
        <v>566</v>
      </c>
      <c r="C103" s="828"/>
      <c r="D103" s="828"/>
      <c r="E103" s="823">
        <f>SUM(E102)</f>
        <v>0</v>
      </c>
      <c r="F103" s="843"/>
      <c r="G103" s="830" t="s">
        <v>83</v>
      </c>
      <c r="H103" s="983" t="s">
        <v>566</v>
      </c>
      <c r="I103" s="828"/>
      <c r="J103" s="828"/>
      <c r="K103" s="823">
        <f>SUM(K102)</f>
        <v>0</v>
      </c>
      <c r="L103" s="818"/>
      <c r="M103" s="831">
        <f>E103+K103</f>
        <v>0</v>
      </c>
    </row>
    <row r="104" spans="1:13" s="31" customFormat="1" ht="17.25" customHeight="1">
      <c r="A104" s="832" t="s">
        <v>84</v>
      </c>
      <c r="B104" s="984" t="s">
        <v>438</v>
      </c>
      <c r="C104" s="833"/>
      <c r="D104" s="833"/>
      <c r="E104" s="833">
        <f>(E92+E93+E94+E95+E96+E97+E98+E99+E100)-E103</f>
        <v>3126436.6581343515</v>
      </c>
      <c r="F104" s="843"/>
      <c r="G104" s="832" t="s">
        <v>84</v>
      </c>
      <c r="H104" s="984" t="s">
        <v>438</v>
      </c>
      <c r="I104" s="833"/>
      <c r="J104" s="833"/>
      <c r="K104" s="833">
        <f>(K92+K93+K94+K95+K96+K97+K98+K99+K100)-K103</f>
        <v>5036487.1046052333</v>
      </c>
      <c r="L104" s="835">
        <f>E104+K104</f>
        <v>8162923.7627395848</v>
      </c>
    </row>
    <row r="105" spans="1:13" s="31" customFormat="1" ht="17.25" customHeight="1">
      <c r="A105" s="838"/>
      <c r="B105" s="844"/>
      <c r="C105" s="845"/>
      <c r="D105" s="845"/>
      <c r="E105" s="843"/>
      <c r="F105" s="843"/>
      <c r="G105" s="838"/>
      <c r="H105" s="844"/>
      <c r="I105" s="845"/>
      <c r="J105" s="843"/>
      <c r="K105" s="974"/>
      <c r="L105" s="818"/>
    </row>
    <row r="106" spans="1:13" s="31" customFormat="1" ht="17.25" customHeight="1">
      <c r="A106" s="1615" t="str">
        <f>G89</f>
        <v>LƯƠNG THÁNG 01/2025</v>
      </c>
      <c r="B106" s="1616"/>
      <c r="C106" s="1616"/>
      <c r="D106" s="1616"/>
      <c r="E106" s="898">
        <v>13</v>
      </c>
      <c r="F106" s="838"/>
      <c r="G106" s="1615" t="str">
        <f>A106</f>
        <v>LƯƠNG THÁNG 01/2025</v>
      </c>
      <c r="H106" s="1616"/>
      <c r="I106" s="1616"/>
      <c r="J106" s="1617"/>
      <c r="K106" s="898">
        <v>14</v>
      </c>
      <c r="L106" s="818"/>
    </row>
    <row r="107" spans="1:13" s="31" customFormat="1" ht="17.25" customHeight="1">
      <c r="A107" s="837" t="s">
        <v>17</v>
      </c>
      <c r="B107" s="976" t="str">
        <f>'CNKT '!C28</f>
        <v>T. Thong Đon</v>
      </c>
      <c r="C107" s="819"/>
      <c r="D107" s="973" t="s">
        <v>398</v>
      </c>
      <c r="E107" s="973" t="s">
        <v>20</v>
      </c>
      <c r="F107" s="842"/>
      <c r="G107" s="837" t="s">
        <v>17</v>
      </c>
      <c r="H107" s="976" t="str">
        <f>'CNKT '!C29</f>
        <v>T. Hin</v>
      </c>
      <c r="I107" s="819"/>
      <c r="J107" s="973" t="s">
        <v>398</v>
      </c>
      <c r="K107" s="973" t="s">
        <v>20</v>
      </c>
      <c r="L107" s="818"/>
    </row>
    <row r="108" spans="1:13" s="31" customFormat="1" ht="17.25" customHeight="1">
      <c r="A108" s="821" t="s">
        <v>399</v>
      </c>
      <c r="B108" s="978" t="s">
        <v>559</v>
      </c>
      <c r="C108" s="822" t="str">
        <f>VLOOKUP(B107,'BTH mủ tạp'!$C$17:$AL$94,36,0)</f>
        <v>B</v>
      </c>
      <c r="D108" s="823"/>
      <c r="E108" s="823"/>
      <c r="F108" s="842"/>
      <c r="G108" s="821" t="s">
        <v>399</v>
      </c>
      <c r="H108" s="978" t="s">
        <v>559</v>
      </c>
      <c r="I108" s="822" t="str">
        <f>VLOOKUP(H107,'BTH mủ tạp'!$C$17:$AL$94,36,0)</f>
        <v>A</v>
      </c>
      <c r="J108" s="823"/>
      <c r="K108" s="823"/>
      <c r="L108" s="818"/>
    </row>
    <row r="109" spans="1:13" s="31" customFormat="1" ht="17.25" customHeight="1">
      <c r="A109" s="821" t="s">
        <v>79</v>
      </c>
      <c r="B109" s="979" t="s">
        <v>432</v>
      </c>
      <c r="C109" s="824">
        <f>VLOOKUP(B107,'CNKT '!$C$16:$Z$96,3,0)</f>
        <v>0</v>
      </c>
      <c r="D109" s="825">
        <v>25000</v>
      </c>
      <c r="E109" s="823">
        <f t="shared" ref="E109:E116" si="12">C109*D109</f>
        <v>0</v>
      </c>
      <c r="F109" s="975"/>
      <c r="G109" s="821" t="s">
        <v>79</v>
      </c>
      <c r="H109" s="979" t="s">
        <v>432</v>
      </c>
      <c r="I109" s="824">
        <f>VLOOKUP(H107,'CNKT '!$C$16:$Z$96,3,0)</f>
        <v>0</v>
      </c>
      <c r="J109" s="825">
        <v>25000</v>
      </c>
      <c r="K109" s="823">
        <f t="shared" ref="K109:K116" si="13">I109*J109</f>
        <v>0</v>
      </c>
      <c r="L109" s="818"/>
    </row>
    <row r="110" spans="1:13" s="31" customFormat="1" ht="17.25" customHeight="1">
      <c r="A110" s="821" t="s">
        <v>310</v>
      </c>
      <c r="B110" s="980" t="s">
        <v>560</v>
      </c>
      <c r="C110" s="879">
        <f>VLOOKUP(B107,'CNKT '!$C$16:$Z$96,11,0)</f>
        <v>24</v>
      </c>
      <c r="D110" s="826">
        <f>46.1*$B$2</f>
        <v>30805.403000000002</v>
      </c>
      <c r="E110" s="823">
        <f t="shared" si="12"/>
        <v>739329.67200000002</v>
      </c>
      <c r="F110" s="843"/>
      <c r="G110" s="821" t="s">
        <v>310</v>
      </c>
      <c r="H110" s="980" t="s">
        <v>560</v>
      </c>
      <c r="I110" s="879">
        <f>VLOOKUP(H107,'CNKT '!$C$16:$Z$96,11,0)</f>
        <v>27</v>
      </c>
      <c r="J110" s="826">
        <f>46.1*$B$2</f>
        <v>30805.403000000002</v>
      </c>
      <c r="K110" s="823">
        <f t="shared" si="13"/>
        <v>831745.88100000005</v>
      </c>
      <c r="L110" s="818"/>
    </row>
    <row r="111" spans="1:13" s="31" customFormat="1" ht="17.25" customHeight="1">
      <c r="A111" s="821" t="s">
        <v>401</v>
      </c>
      <c r="B111" s="980" t="s">
        <v>561</v>
      </c>
      <c r="C111" s="879">
        <f>VLOOKUP(B107,'CNKT '!$C$16:$Z$96,12,0)</f>
        <v>3</v>
      </c>
      <c r="D111" s="825">
        <f>76.9*$B$2</f>
        <v>51386.887000000002</v>
      </c>
      <c r="E111" s="823">
        <f t="shared" si="12"/>
        <v>154160.66100000002</v>
      </c>
      <c r="F111" s="843"/>
      <c r="G111" s="821" t="s">
        <v>401</v>
      </c>
      <c r="H111" s="980" t="s">
        <v>561</v>
      </c>
      <c r="I111" s="879">
        <f>VLOOKUP(H107,'CNKT '!$C$16:$Z$96,12,0)</f>
        <v>4</v>
      </c>
      <c r="J111" s="825">
        <f>76.9*$B$2</f>
        <v>51386.887000000002</v>
      </c>
      <c r="K111" s="823">
        <f t="shared" si="13"/>
        <v>205547.54800000001</v>
      </c>
      <c r="L111" s="818"/>
    </row>
    <row r="112" spans="1:13" s="31" customFormat="1" ht="17.25" customHeight="1">
      <c r="A112" s="821" t="s">
        <v>80</v>
      </c>
      <c r="B112" s="980" t="s">
        <v>562</v>
      </c>
      <c r="C112" s="879">
        <f>VLOOKUP(B107,'CNKT '!$C$16:$Z$96,8,0)</f>
        <v>937.10623026481198</v>
      </c>
      <c r="D112" s="825">
        <f>IF(C108="A",6.1,IF(C108="B",5.8,IF(C108="C",5.5,IF(C108="C.",5.5,IF(C108="D",5.2)))))*$B$2</f>
        <v>3875.7339999999999</v>
      </c>
      <c r="E112" s="823">
        <f t="shared" si="12"/>
        <v>3631974.4782491606</v>
      </c>
      <c r="F112" s="975"/>
      <c r="G112" s="821" t="s">
        <v>80</v>
      </c>
      <c r="H112" s="980" t="s">
        <v>562</v>
      </c>
      <c r="I112" s="879">
        <f>VLOOKUP(H107,'CNKT '!$C$16:$Z$96,8,0)</f>
        <v>722.47039231922759</v>
      </c>
      <c r="J112" s="825">
        <f>IF(I108="A",6.1,IF(I108="B",5.8,IF(I108="C",5.5,IF(I108="C.",5.5,IF(I108="D",5.2)))))*$B$2</f>
        <v>4076.203</v>
      </c>
      <c r="K112" s="823">
        <f t="shared" si="13"/>
        <v>2944935.9805828123</v>
      </c>
      <c r="L112" s="818"/>
    </row>
    <row r="113" spans="1:13" s="31" customFormat="1" ht="17.25" customHeight="1">
      <c r="A113" s="821" t="s">
        <v>495</v>
      </c>
      <c r="B113" s="980" t="s">
        <v>563</v>
      </c>
      <c r="C113" s="879">
        <f>VLOOKUP(B107,'CNKT '!$C$16:$Z$96,15,0)</f>
        <v>0</v>
      </c>
      <c r="D113" s="826">
        <f>92.2*$B$2</f>
        <v>61610.806000000004</v>
      </c>
      <c r="E113" s="823">
        <f t="shared" si="12"/>
        <v>0</v>
      </c>
      <c r="F113" s="975"/>
      <c r="G113" s="821" t="s">
        <v>495</v>
      </c>
      <c r="H113" s="980" t="s">
        <v>563</v>
      </c>
      <c r="I113" s="879">
        <f>VLOOKUP(H107,'CNKT '!$C$16:$Z$96,15,0)</f>
        <v>0</v>
      </c>
      <c r="J113" s="826">
        <f>92.2*$B$2</f>
        <v>61610.806000000004</v>
      </c>
      <c r="K113" s="823">
        <f t="shared" si="13"/>
        <v>0</v>
      </c>
      <c r="L113" s="818"/>
    </row>
    <row r="114" spans="1:13" s="31" customFormat="1" ht="17.25" customHeight="1">
      <c r="A114" s="821" t="s">
        <v>496</v>
      </c>
      <c r="B114" s="980" t="s">
        <v>500</v>
      </c>
      <c r="C114" s="879">
        <f>VLOOKUP(B107,'CNKT '!$C$16:$Z$96,16,0)</f>
        <v>0</v>
      </c>
      <c r="D114" s="825">
        <f>153.8*$B$2</f>
        <v>102773.774</v>
      </c>
      <c r="E114" s="823">
        <f t="shared" si="12"/>
        <v>0</v>
      </c>
      <c r="F114" s="975"/>
      <c r="G114" s="821" t="s">
        <v>496</v>
      </c>
      <c r="H114" s="980" t="s">
        <v>500</v>
      </c>
      <c r="I114" s="879">
        <f>VLOOKUP(H107,'CNKT '!$C$16:$Z$96,16,0)</f>
        <v>0</v>
      </c>
      <c r="J114" s="825">
        <f>153.8*$B$2</f>
        <v>102773.774</v>
      </c>
      <c r="K114" s="823">
        <f t="shared" si="13"/>
        <v>0</v>
      </c>
      <c r="L114" s="818"/>
    </row>
    <row r="115" spans="1:13" s="31" customFormat="1" ht="17.25" customHeight="1">
      <c r="A115" s="821" t="s">
        <v>455</v>
      </c>
      <c r="B115" s="980" t="s">
        <v>501</v>
      </c>
      <c r="C115" s="879">
        <f>VLOOKUP(B107,'CNKT '!$C$16:$Z$96,18,0)</f>
        <v>0</v>
      </c>
      <c r="D115" s="825">
        <v>10000</v>
      </c>
      <c r="E115" s="823">
        <f t="shared" si="12"/>
        <v>0</v>
      </c>
      <c r="F115" s="975"/>
      <c r="G115" s="821" t="s">
        <v>455</v>
      </c>
      <c r="H115" s="980" t="s">
        <v>501</v>
      </c>
      <c r="I115" s="879">
        <f>VLOOKUP(H107,'CNKT '!$C$16:$Z$96,18,0)</f>
        <v>0</v>
      </c>
      <c r="J115" s="825">
        <v>10000</v>
      </c>
      <c r="K115" s="823">
        <f t="shared" si="13"/>
        <v>0</v>
      </c>
      <c r="L115" s="818"/>
    </row>
    <row r="116" spans="1:13" s="31" customFormat="1" ht="17.25" customHeight="1">
      <c r="A116" s="821" t="s">
        <v>455</v>
      </c>
      <c r="B116" s="980" t="s">
        <v>501</v>
      </c>
      <c r="C116" s="879">
        <f>VLOOKUP(B107,'CNKT '!$C$16:$Z$96,19,0)</f>
        <v>0</v>
      </c>
      <c r="D116" s="825">
        <v>20000</v>
      </c>
      <c r="E116" s="823">
        <f t="shared" si="12"/>
        <v>0</v>
      </c>
      <c r="F116" s="975"/>
      <c r="G116" s="821" t="s">
        <v>455</v>
      </c>
      <c r="H116" s="980" t="s">
        <v>501</v>
      </c>
      <c r="I116" s="879">
        <f>VLOOKUP(H107,'CNKT '!$C$16:$Z$96,19,0)</f>
        <v>0</v>
      </c>
      <c r="J116" s="825">
        <v>20000</v>
      </c>
      <c r="K116" s="823">
        <f t="shared" si="13"/>
        <v>0</v>
      </c>
      <c r="L116" s="818"/>
    </row>
    <row r="117" spans="1:13" s="31" customFormat="1" ht="17.25" customHeight="1">
      <c r="A117" s="821" t="s">
        <v>517</v>
      </c>
      <c r="B117" s="980" t="s">
        <v>519</v>
      </c>
      <c r="C117" s="879"/>
      <c r="D117" s="825"/>
      <c r="E117" s="823"/>
      <c r="F117" s="975"/>
      <c r="G117" s="821" t="s">
        <v>517</v>
      </c>
      <c r="H117" s="980" t="s">
        <v>519</v>
      </c>
      <c r="I117" s="879"/>
      <c r="J117" s="825"/>
      <c r="K117" s="823"/>
      <c r="L117" s="818"/>
    </row>
    <row r="118" spans="1:13" s="31" customFormat="1" ht="17.25" customHeight="1">
      <c r="A118" s="827" t="s">
        <v>81</v>
      </c>
      <c r="B118" s="981" t="s">
        <v>564</v>
      </c>
      <c r="C118" s="828"/>
      <c r="D118" s="829"/>
      <c r="E118" s="828"/>
      <c r="F118" s="838"/>
      <c r="G118" s="827" t="s">
        <v>81</v>
      </c>
      <c r="H118" s="981" t="s">
        <v>564</v>
      </c>
      <c r="I118" s="828"/>
      <c r="J118" s="829"/>
      <c r="K118" s="828"/>
      <c r="L118" s="818"/>
    </row>
    <row r="119" spans="1:13" s="31" customFormat="1" ht="17.25" customHeight="1">
      <c r="A119" s="830" t="s">
        <v>82</v>
      </c>
      <c r="B119" s="982" t="s">
        <v>565</v>
      </c>
      <c r="C119" s="828"/>
      <c r="D119" s="828"/>
      <c r="E119" s="828"/>
      <c r="F119" s="838"/>
      <c r="G119" s="830" t="s">
        <v>82</v>
      </c>
      <c r="H119" s="982" t="s">
        <v>565</v>
      </c>
      <c r="I119" s="828"/>
      <c r="J119" s="828"/>
      <c r="K119" s="828"/>
      <c r="L119" s="818"/>
    </row>
    <row r="120" spans="1:13" s="31" customFormat="1" ht="17.25" customHeight="1">
      <c r="A120" s="830" t="s">
        <v>83</v>
      </c>
      <c r="B120" s="983" t="s">
        <v>566</v>
      </c>
      <c r="C120" s="828"/>
      <c r="D120" s="828"/>
      <c r="E120" s="823">
        <f>SUM(E119)</f>
        <v>0</v>
      </c>
      <c r="F120" s="838"/>
      <c r="G120" s="830" t="s">
        <v>83</v>
      </c>
      <c r="H120" s="983" t="s">
        <v>566</v>
      </c>
      <c r="I120" s="828"/>
      <c r="J120" s="828"/>
      <c r="K120" s="823">
        <f>SUM(K119)</f>
        <v>0</v>
      </c>
      <c r="L120" s="818"/>
      <c r="M120" s="831">
        <f>E120+K120</f>
        <v>0</v>
      </c>
    </row>
    <row r="121" spans="1:13" s="31" customFormat="1" ht="17.25" customHeight="1">
      <c r="A121" s="832" t="s">
        <v>84</v>
      </c>
      <c r="B121" s="984" t="s">
        <v>438</v>
      </c>
      <c r="C121" s="833"/>
      <c r="D121" s="833"/>
      <c r="E121" s="833">
        <f>(E109+E110+E111+E112+E113+E114+E115+E116+E117)-E120</f>
        <v>4525464.8112491611</v>
      </c>
      <c r="F121" s="838"/>
      <c r="G121" s="832" t="s">
        <v>84</v>
      </c>
      <c r="H121" s="984" t="s">
        <v>438</v>
      </c>
      <c r="I121" s="833"/>
      <c r="J121" s="833"/>
      <c r="K121" s="833">
        <f>(K109+K110+K111+K112+K113+K114+K115+K116+K117)-K120</f>
        <v>3982229.4095828123</v>
      </c>
      <c r="L121" s="835">
        <f>E121+K121</f>
        <v>8507694.2208319735</v>
      </c>
    </row>
    <row r="122" spans="1:13" s="31" customFormat="1" ht="17.25" customHeight="1">
      <c r="A122" s="838"/>
      <c r="B122" s="844"/>
      <c r="C122" s="845"/>
      <c r="D122" s="845"/>
      <c r="E122" s="843"/>
      <c r="F122" s="838"/>
      <c r="G122" s="838"/>
      <c r="H122" s="844"/>
      <c r="I122" s="845"/>
      <c r="J122" s="843"/>
      <c r="K122" s="836"/>
      <c r="L122" s="818"/>
    </row>
    <row r="123" spans="1:13" s="31" customFormat="1" ht="17.25" customHeight="1">
      <c r="A123" s="1615" t="str">
        <f>G106</f>
        <v>LƯƠNG THÁNG 01/2025</v>
      </c>
      <c r="B123" s="1616"/>
      <c r="C123" s="1616"/>
      <c r="D123" s="1616"/>
      <c r="E123" s="898">
        <v>15</v>
      </c>
      <c r="F123" s="843"/>
      <c r="G123" s="1615" t="str">
        <f>A123</f>
        <v>LƯƠNG THÁNG 01/2025</v>
      </c>
      <c r="H123" s="1616"/>
      <c r="I123" s="1616"/>
      <c r="J123" s="1617"/>
      <c r="K123" s="898">
        <v>16</v>
      </c>
      <c r="L123" s="818"/>
    </row>
    <row r="124" spans="1:13" s="31" customFormat="1" ht="17.25" customHeight="1">
      <c r="A124" s="837" t="s">
        <v>17</v>
      </c>
      <c r="B124" s="976" t="str">
        <f>'CNKT '!C30</f>
        <v>N. Ly Phon</v>
      </c>
      <c r="C124" s="819"/>
      <c r="D124" s="973" t="s">
        <v>398</v>
      </c>
      <c r="E124" s="973" t="s">
        <v>20</v>
      </c>
      <c r="F124" s="843"/>
      <c r="G124" s="837" t="s">
        <v>17</v>
      </c>
      <c r="H124" s="976" t="str">
        <f>'CNKT '!C31</f>
        <v>T. Xôm Va Nít</v>
      </c>
      <c r="I124" s="819"/>
      <c r="J124" s="973" t="s">
        <v>398</v>
      </c>
      <c r="K124" s="973" t="s">
        <v>20</v>
      </c>
      <c r="L124" s="818"/>
    </row>
    <row r="125" spans="1:13" s="31" customFormat="1" ht="17.25" customHeight="1">
      <c r="A125" s="821" t="s">
        <v>399</v>
      </c>
      <c r="B125" s="978" t="s">
        <v>559</v>
      </c>
      <c r="C125" s="822" t="str">
        <f>VLOOKUP(B124,'BTH mủ tạp'!$C$17:$AL$94,36,0)</f>
        <v>A</v>
      </c>
      <c r="D125" s="823"/>
      <c r="E125" s="823"/>
      <c r="F125" s="843"/>
      <c r="G125" s="821" t="s">
        <v>399</v>
      </c>
      <c r="H125" s="978" t="s">
        <v>559</v>
      </c>
      <c r="I125" s="822" t="str">
        <f>VLOOKUP(H124,'BTH mủ tạp'!$C$17:$AL$94,36,0)</f>
        <v>A</v>
      </c>
      <c r="J125" s="823"/>
      <c r="K125" s="823"/>
      <c r="L125" s="818"/>
    </row>
    <row r="126" spans="1:13" s="31" customFormat="1" ht="17.25" customHeight="1">
      <c r="A126" s="821" t="s">
        <v>79</v>
      </c>
      <c r="B126" s="979" t="s">
        <v>432</v>
      </c>
      <c r="C126" s="824">
        <f>VLOOKUP(B124,'CNKT '!$C$16:$Z$96,3,0)</f>
        <v>0</v>
      </c>
      <c r="D126" s="825">
        <v>25000</v>
      </c>
      <c r="E126" s="823">
        <f t="shared" ref="E126:E133" si="14">C126*D126</f>
        <v>0</v>
      </c>
      <c r="F126" s="975"/>
      <c r="G126" s="821" t="s">
        <v>79</v>
      </c>
      <c r="H126" s="979" t="s">
        <v>432</v>
      </c>
      <c r="I126" s="824">
        <f>VLOOKUP(H124,'CNKT '!$C$16:$Z$96,3,0)</f>
        <v>0</v>
      </c>
      <c r="J126" s="825">
        <v>25000</v>
      </c>
      <c r="K126" s="823">
        <f t="shared" ref="K126:K133" si="15">I126*J126</f>
        <v>0</v>
      </c>
      <c r="L126" s="818"/>
    </row>
    <row r="127" spans="1:13" s="31" customFormat="1" ht="17.25" customHeight="1">
      <c r="A127" s="821" t="s">
        <v>310</v>
      </c>
      <c r="B127" s="980" t="s">
        <v>560</v>
      </c>
      <c r="C127" s="879">
        <f>VLOOKUP(B124,'CNKT '!$C$16:$Z$96,11,0)</f>
        <v>27</v>
      </c>
      <c r="D127" s="826">
        <f>46.1*$B$2</f>
        <v>30805.403000000002</v>
      </c>
      <c r="E127" s="823">
        <f t="shared" si="14"/>
        <v>831745.88100000005</v>
      </c>
      <c r="F127" s="838"/>
      <c r="G127" s="821" t="s">
        <v>310</v>
      </c>
      <c r="H127" s="980" t="s">
        <v>560</v>
      </c>
      <c r="I127" s="879">
        <f>VLOOKUP(H124,'CNKT '!$C$16:$Z$96,11,0)</f>
        <v>26</v>
      </c>
      <c r="J127" s="826">
        <f>46.1*$B$2</f>
        <v>30805.403000000002</v>
      </c>
      <c r="K127" s="823">
        <f t="shared" si="15"/>
        <v>800940.478</v>
      </c>
      <c r="L127" s="818"/>
    </row>
    <row r="128" spans="1:13" s="31" customFormat="1" ht="17.25" customHeight="1">
      <c r="A128" s="821" t="s">
        <v>401</v>
      </c>
      <c r="B128" s="980" t="s">
        <v>561</v>
      </c>
      <c r="C128" s="879">
        <f>VLOOKUP(B124,'CNKT '!$C$16:$Z$96,12,0)</f>
        <v>4</v>
      </c>
      <c r="D128" s="825">
        <f>76.9*$B$2</f>
        <v>51386.887000000002</v>
      </c>
      <c r="E128" s="823">
        <f t="shared" si="14"/>
        <v>205547.54800000001</v>
      </c>
      <c r="F128" s="838"/>
      <c r="G128" s="821" t="s">
        <v>401</v>
      </c>
      <c r="H128" s="980" t="s">
        <v>561</v>
      </c>
      <c r="I128" s="879">
        <f>VLOOKUP(H124,'CNKT '!$C$16:$Z$96,12,0)</f>
        <v>4</v>
      </c>
      <c r="J128" s="825">
        <f>76.9*$B$2</f>
        <v>51386.887000000002</v>
      </c>
      <c r="K128" s="823">
        <f t="shared" si="15"/>
        <v>205547.54800000001</v>
      </c>
      <c r="L128" s="818"/>
    </row>
    <row r="129" spans="1:13" s="31" customFormat="1" ht="17.25" customHeight="1">
      <c r="A129" s="821" t="s">
        <v>80</v>
      </c>
      <c r="B129" s="980" t="s">
        <v>562</v>
      </c>
      <c r="C129" s="879">
        <f>VLOOKUP(B124,'CNKT '!$C$16:$Z$96,8,0)</f>
        <v>802.06023653349928</v>
      </c>
      <c r="D129" s="825">
        <f>IF(C125="A",6.1,IF(C125="B",5.8,IF(C125="C",5.5,IF(C125="C.",5.5,IF(C125="D",5.2)))))*$B$2</f>
        <v>4076.203</v>
      </c>
      <c r="E129" s="823">
        <f t="shared" si="14"/>
        <v>3269360.3423385592</v>
      </c>
      <c r="F129" s="838"/>
      <c r="G129" s="821" t="s">
        <v>80</v>
      </c>
      <c r="H129" s="980" t="s">
        <v>562</v>
      </c>
      <c r="I129" s="879">
        <f>VLOOKUP(H124,'CNKT '!$C$16:$Z$96,8,0)</f>
        <v>1019.2634888085763</v>
      </c>
      <c r="J129" s="825">
        <f>IF(I125="A",6.1,IF(I125="B",5.8,IF(I125="C",5.5,IF(I125="C.",5.5,IF(I125="D",5.2)))))*$B$2</f>
        <v>4076.203</v>
      </c>
      <c r="K129" s="823">
        <f t="shared" si="15"/>
        <v>4154724.8908719853</v>
      </c>
      <c r="L129" s="818"/>
    </row>
    <row r="130" spans="1:13" s="31" customFormat="1" ht="17.25" customHeight="1">
      <c r="A130" s="821" t="s">
        <v>495</v>
      </c>
      <c r="B130" s="980" t="s">
        <v>563</v>
      </c>
      <c r="C130" s="879">
        <f>VLOOKUP(B124,'CNKT '!$C$16:$Z$96,15,0)</f>
        <v>0</v>
      </c>
      <c r="D130" s="826">
        <f>92.2*$B$2</f>
        <v>61610.806000000004</v>
      </c>
      <c r="E130" s="823">
        <f t="shared" si="14"/>
        <v>0</v>
      </c>
      <c r="F130" s="838"/>
      <c r="G130" s="821" t="s">
        <v>495</v>
      </c>
      <c r="H130" s="980" t="s">
        <v>563</v>
      </c>
      <c r="I130" s="879">
        <f>VLOOKUP(H124,'CNKT '!$C$16:$Z$96,15,0)</f>
        <v>0</v>
      </c>
      <c r="J130" s="826">
        <f>92.2*$B$2</f>
        <v>61610.806000000004</v>
      </c>
      <c r="K130" s="823">
        <f t="shared" si="15"/>
        <v>0</v>
      </c>
      <c r="L130" s="818"/>
    </row>
    <row r="131" spans="1:13" s="31" customFormat="1" ht="17.25" customHeight="1">
      <c r="A131" s="821" t="s">
        <v>496</v>
      </c>
      <c r="B131" s="980" t="s">
        <v>500</v>
      </c>
      <c r="C131" s="879">
        <f>VLOOKUP(B124,'CNKT '!$C$16:$Z$96,16,0)</f>
        <v>0</v>
      </c>
      <c r="D131" s="825">
        <f>153.8*$B$2</f>
        <v>102773.774</v>
      </c>
      <c r="E131" s="823">
        <f t="shared" si="14"/>
        <v>0</v>
      </c>
      <c r="F131" s="838"/>
      <c r="G131" s="821" t="s">
        <v>496</v>
      </c>
      <c r="H131" s="980" t="s">
        <v>500</v>
      </c>
      <c r="I131" s="879">
        <f>VLOOKUP(H124,'CNKT '!$C$16:$Z$96,16,0)</f>
        <v>0</v>
      </c>
      <c r="J131" s="825">
        <f>153.8*$B$2</f>
        <v>102773.774</v>
      </c>
      <c r="K131" s="823">
        <f t="shared" si="15"/>
        <v>0</v>
      </c>
      <c r="L131" s="818"/>
    </row>
    <row r="132" spans="1:13" s="31" customFormat="1" ht="17.25" customHeight="1">
      <c r="A132" s="821" t="s">
        <v>455</v>
      </c>
      <c r="B132" s="980" t="s">
        <v>501</v>
      </c>
      <c r="C132" s="879">
        <f>VLOOKUP(B124,'CNKT '!$C$16:$Z$96,18,0)</f>
        <v>0</v>
      </c>
      <c r="D132" s="825">
        <v>10000</v>
      </c>
      <c r="E132" s="823">
        <f t="shared" si="14"/>
        <v>0</v>
      </c>
      <c r="F132" s="838"/>
      <c r="G132" s="821" t="s">
        <v>455</v>
      </c>
      <c r="H132" s="980" t="s">
        <v>501</v>
      </c>
      <c r="I132" s="879">
        <f>VLOOKUP(H124,'CNKT '!$C$16:$Z$96,18,0)</f>
        <v>0</v>
      </c>
      <c r="J132" s="825">
        <v>10000</v>
      </c>
      <c r="K132" s="823">
        <f t="shared" si="15"/>
        <v>0</v>
      </c>
      <c r="L132" s="818"/>
    </row>
    <row r="133" spans="1:13" s="31" customFormat="1" ht="17.25" customHeight="1">
      <c r="A133" s="821" t="s">
        <v>455</v>
      </c>
      <c r="B133" s="980" t="s">
        <v>501</v>
      </c>
      <c r="C133" s="879">
        <f>VLOOKUP(B124,'CNKT '!$C$16:$Z$96,19,0)</f>
        <v>0</v>
      </c>
      <c r="D133" s="825">
        <v>20000</v>
      </c>
      <c r="E133" s="823">
        <f t="shared" si="14"/>
        <v>0</v>
      </c>
      <c r="F133" s="838"/>
      <c r="G133" s="821" t="s">
        <v>455</v>
      </c>
      <c r="H133" s="980" t="s">
        <v>501</v>
      </c>
      <c r="I133" s="879">
        <f>VLOOKUP(H124,'CNKT '!$C$16:$Z$96,19,0)</f>
        <v>0</v>
      </c>
      <c r="J133" s="825">
        <v>20000</v>
      </c>
      <c r="K133" s="823">
        <f t="shared" si="15"/>
        <v>0</v>
      </c>
      <c r="L133" s="818"/>
    </row>
    <row r="134" spans="1:13" s="31" customFormat="1" ht="17.25" customHeight="1">
      <c r="A134" s="821" t="s">
        <v>517</v>
      </c>
      <c r="B134" s="980" t="s">
        <v>519</v>
      </c>
      <c r="C134" s="879"/>
      <c r="D134" s="825"/>
      <c r="E134" s="823"/>
      <c r="F134" s="838"/>
      <c r="G134" s="821" t="s">
        <v>517</v>
      </c>
      <c r="H134" s="980" t="s">
        <v>519</v>
      </c>
      <c r="I134" s="879"/>
      <c r="J134" s="825"/>
      <c r="K134" s="823"/>
      <c r="L134" s="818"/>
    </row>
    <row r="135" spans="1:13" s="31" customFormat="1" ht="17.25" customHeight="1">
      <c r="A135" s="827" t="s">
        <v>81</v>
      </c>
      <c r="B135" s="981" t="s">
        <v>564</v>
      </c>
      <c r="C135" s="828"/>
      <c r="D135" s="829"/>
      <c r="E135" s="828"/>
      <c r="F135" s="838"/>
      <c r="G135" s="827" t="s">
        <v>81</v>
      </c>
      <c r="H135" s="981" t="s">
        <v>564</v>
      </c>
      <c r="I135" s="828"/>
      <c r="J135" s="829"/>
      <c r="K135" s="828"/>
      <c r="L135" s="818"/>
    </row>
    <row r="136" spans="1:13" s="31" customFormat="1" ht="17.25" customHeight="1">
      <c r="A136" s="830" t="s">
        <v>82</v>
      </c>
      <c r="B136" s="982" t="s">
        <v>565</v>
      </c>
      <c r="C136" s="828"/>
      <c r="D136" s="828"/>
      <c r="E136" s="828"/>
      <c r="F136" s="842"/>
      <c r="G136" s="830" t="s">
        <v>82</v>
      </c>
      <c r="H136" s="982" t="s">
        <v>565</v>
      </c>
      <c r="I136" s="828"/>
      <c r="J136" s="828"/>
      <c r="K136" s="828"/>
      <c r="L136" s="818"/>
    </row>
    <row r="137" spans="1:13" s="31" customFormat="1" ht="17.25" customHeight="1">
      <c r="A137" s="830" t="s">
        <v>83</v>
      </c>
      <c r="B137" s="983" t="s">
        <v>566</v>
      </c>
      <c r="C137" s="828"/>
      <c r="D137" s="828"/>
      <c r="E137" s="823">
        <f>SUM(E136)</f>
        <v>0</v>
      </c>
      <c r="F137" s="842"/>
      <c r="G137" s="830" t="s">
        <v>83</v>
      </c>
      <c r="H137" s="983" t="s">
        <v>566</v>
      </c>
      <c r="I137" s="828"/>
      <c r="J137" s="828"/>
      <c r="K137" s="823">
        <f>SUM(K136)</f>
        <v>0</v>
      </c>
      <c r="L137" s="818"/>
      <c r="M137" s="831">
        <f>E137+K137</f>
        <v>0</v>
      </c>
    </row>
    <row r="138" spans="1:13" s="31" customFormat="1" ht="17.25" customHeight="1">
      <c r="A138" s="832" t="s">
        <v>84</v>
      </c>
      <c r="B138" s="984" t="s">
        <v>438</v>
      </c>
      <c r="C138" s="833"/>
      <c r="D138" s="833"/>
      <c r="E138" s="833">
        <f>(E126+E127+E128+E129+E130+E131+E132+E133+E134)-E137</f>
        <v>4306653.7713385597</v>
      </c>
      <c r="F138" s="842"/>
      <c r="G138" s="832" t="s">
        <v>84</v>
      </c>
      <c r="H138" s="984" t="s">
        <v>438</v>
      </c>
      <c r="I138" s="833"/>
      <c r="J138" s="833"/>
      <c r="K138" s="833">
        <f>(K126+K127+K128+K129+K130+K131+K132+K133+K134)-K137</f>
        <v>5161212.9168719854</v>
      </c>
      <c r="L138" s="835">
        <f>E138+K138</f>
        <v>9467866.6882105451</v>
      </c>
    </row>
    <row r="139" spans="1:13" s="31" customFormat="1" ht="6.75" customHeight="1">
      <c r="A139" s="838"/>
      <c r="B139" s="844"/>
      <c r="C139" s="845"/>
      <c r="D139" s="845"/>
      <c r="E139" s="843"/>
      <c r="F139" s="842"/>
      <c r="G139" s="838"/>
      <c r="H139" s="844"/>
      <c r="I139" s="845"/>
      <c r="J139" s="843"/>
      <c r="K139" s="846"/>
      <c r="L139" s="818"/>
    </row>
    <row r="140" spans="1:13" s="31" customFormat="1" ht="17.25" customHeight="1">
      <c r="A140" s="1615" t="str">
        <f>G123</f>
        <v>LƯƠNG THÁNG 01/2025</v>
      </c>
      <c r="B140" s="1616"/>
      <c r="C140" s="1616"/>
      <c r="D140" s="1616"/>
      <c r="E140" s="898">
        <v>17</v>
      </c>
      <c r="F140" s="838"/>
      <c r="G140" s="1615" t="str">
        <f>A140</f>
        <v>LƯƠNG THÁNG 01/2025</v>
      </c>
      <c r="H140" s="1616"/>
      <c r="I140" s="1616"/>
      <c r="J140" s="1617"/>
      <c r="K140" s="898">
        <v>18</v>
      </c>
      <c r="L140" s="818"/>
    </row>
    <row r="141" spans="1:13" s="31" customFormat="1" ht="17.25" customHeight="1">
      <c r="A141" s="837" t="s">
        <v>17</v>
      </c>
      <c r="B141" s="976" t="str">
        <f>'CNKT '!C32</f>
        <v>T. Lọi</v>
      </c>
      <c r="C141" s="819"/>
      <c r="D141" s="973" t="s">
        <v>398</v>
      </c>
      <c r="E141" s="973" t="s">
        <v>20</v>
      </c>
      <c r="F141" s="838"/>
      <c r="G141" s="837" t="s">
        <v>17</v>
      </c>
      <c r="H141" s="976" t="str">
        <f>'CNKT '!C33</f>
        <v>T. Phô Thong</v>
      </c>
      <c r="I141" s="819"/>
      <c r="J141" s="973" t="s">
        <v>398</v>
      </c>
      <c r="K141" s="973" t="s">
        <v>20</v>
      </c>
      <c r="L141" s="818"/>
    </row>
    <row r="142" spans="1:13" s="31" customFormat="1" ht="17.25" customHeight="1">
      <c r="A142" s="821" t="s">
        <v>399</v>
      </c>
      <c r="B142" s="978" t="s">
        <v>559</v>
      </c>
      <c r="C142" s="822" t="str">
        <f>VLOOKUP(B141,'BTH mủ tạp'!$C$17:$AL$94,36,0)</f>
        <v>A</v>
      </c>
      <c r="D142" s="823"/>
      <c r="E142" s="823"/>
      <c r="F142" s="838"/>
      <c r="G142" s="821" t="s">
        <v>399</v>
      </c>
      <c r="H142" s="978" t="s">
        <v>559</v>
      </c>
      <c r="I142" s="822" t="str">
        <f>VLOOKUP(H141,'BTH mủ tạp'!$C$17:$AL$94,36,0)</f>
        <v>A</v>
      </c>
      <c r="J142" s="823"/>
      <c r="K142" s="823"/>
      <c r="L142" s="818"/>
    </row>
    <row r="143" spans="1:13" s="31" customFormat="1" ht="17.25" customHeight="1">
      <c r="A143" s="821" t="s">
        <v>79</v>
      </c>
      <c r="B143" s="979" t="s">
        <v>432</v>
      </c>
      <c r="C143" s="824">
        <f>VLOOKUP(B141,'CNKT '!$C$16:$Z$96,3,0)</f>
        <v>0</v>
      </c>
      <c r="D143" s="825">
        <v>25000</v>
      </c>
      <c r="E143" s="823">
        <f t="shared" ref="E143:E150" si="16">C143*D143</f>
        <v>0</v>
      </c>
      <c r="F143" s="838"/>
      <c r="G143" s="821" t="s">
        <v>79</v>
      </c>
      <c r="H143" s="979" t="s">
        <v>432</v>
      </c>
      <c r="I143" s="824">
        <f>VLOOKUP(H141,'CNKT '!$C$16:$Z$96,3,0)</f>
        <v>0</v>
      </c>
      <c r="J143" s="825">
        <v>25000</v>
      </c>
      <c r="K143" s="823">
        <f t="shared" ref="K143:K150" si="17">I143*J143</f>
        <v>0</v>
      </c>
      <c r="L143" s="818"/>
    </row>
    <row r="144" spans="1:13" s="31" customFormat="1" ht="17.25" customHeight="1">
      <c r="A144" s="821" t="s">
        <v>310</v>
      </c>
      <c r="B144" s="980" t="s">
        <v>560</v>
      </c>
      <c r="C144" s="879">
        <f>VLOOKUP(B141,'CNKT '!$C$16:$Z$96,11,0)</f>
        <v>20</v>
      </c>
      <c r="D144" s="826">
        <f>46.1*$B$2</f>
        <v>30805.403000000002</v>
      </c>
      <c r="E144" s="823">
        <f t="shared" si="16"/>
        <v>616108.06000000006</v>
      </c>
      <c r="F144" s="838"/>
      <c r="G144" s="821" t="s">
        <v>310</v>
      </c>
      <c r="H144" s="980" t="s">
        <v>560</v>
      </c>
      <c r="I144" s="879">
        <f>VLOOKUP(H141,'CNKT '!$C$16:$Z$96,11,0)</f>
        <v>27</v>
      </c>
      <c r="J144" s="826">
        <f>46.1*$B$2</f>
        <v>30805.403000000002</v>
      </c>
      <c r="K144" s="823">
        <f t="shared" si="17"/>
        <v>831745.88100000005</v>
      </c>
      <c r="L144" s="818"/>
    </row>
    <row r="145" spans="1:13" s="31" customFormat="1" ht="17.25" customHeight="1">
      <c r="A145" s="821" t="s">
        <v>401</v>
      </c>
      <c r="B145" s="980" t="s">
        <v>561</v>
      </c>
      <c r="C145" s="879">
        <f>VLOOKUP(B141,'CNKT '!$C$16:$Z$96,12,0)</f>
        <v>3</v>
      </c>
      <c r="D145" s="825">
        <f>76.9*$B$2</f>
        <v>51386.887000000002</v>
      </c>
      <c r="E145" s="823">
        <f t="shared" si="16"/>
        <v>154160.66100000002</v>
      </c>
      <c r="F145" s="842"/>
      <c r="G145" s="821" t="s">
        <v>401</v>
      </c>
      <c r="H145" s="980" t="s">
        <v>561</v>
      </c>
      <c r="I145" s="879">
        <f>VLOOKUP(H141,'CNKT '!$C$16:$Z$96,12,0)</f>
        <v>4</v>
      </c>
      <c r="J145" s="825">
        <f>76.9*$B$2</f>
        <v>51386.887000000002</v>
      </c>
      <c r="K145" s="823">
        <f t="shared" si="17"/>
        <v>205547.54800000001</v>
      </c>
      <c r="L145" s="818"/>
    </row>
    <row r="146" spans="1:13" s="31" customFormat="1" ht="17.25" customHeight="1">
      <c r="A146" s="821" t="s">
        <v>80</v>
      </c>
      <c r="B146" s="980" t="s">
        <v>562</v>
      </c>
      <c r="C146" s="879">
        <f>VLOOKUP(B141,'CNKT '!$C$16:$Z$96,8,0)</f>
        <v>345.57396874970874</v>
      </c>
      <c r="D146" s="825">
        <f>IF(C142="A",6.1,IF(C142="B",5.8,IF(C142="C",5.5,IF(C142="C.",5.5,IF(C142="D",5.2)))))*$B$2</f>
        <v>4076.203</v>
      </c>
      <c r="E146" s="823">
        <f t="shared" si="16"/>
        <v>1408629.6481394691</v>
      </c>
      <c r="F146" s="975"/>
      <c r="G146" s="821" t="s">
        <v>80</v>
      </c>
      <c r="H146" s="980" t="s">
        <v>562</v>
      </c>
      <c r="I146" s="879">
        <f>VLOOKUP(H141,'CNKT '!$C$16:$Z$96,8,0)</f>
        <v>990.50844831825873</v>
      </c>
      <c r="J146" s="825">
        <f>IF(I142="A",6.1,IF(I142="B",5.8,IF(I142="C",5.5,IF(I142="C.",5.5,IF(I142="D",5.2)))))*$B$2</f>
        <v>4076.203</v>
      </c>
      <c r="K146" s="823">
        <f t="shared" si="17"/>
        <v>4037513.508560231</v>
      </c>
      <c r="L146" s="818"/>
    </row>
    <row r="147" spans="1:13" s="31" customFormat="1" ht="17.25" customHeight="1">
      <c r="A147" s="821" t="s">
        <v>495</v>
      </c>
      <c r="B147" s="980" t="s">
        <v>563</v>
      </c>
      <c r="C147" s="879">
        <f>VLOOKUP(B141,'CNKT '!$C$16:$Z$96,15,0)</f>
        <v>0</v>
      </c>
      <c r="D147" s="826">
        <f>92.2*$B$2</f>
        <v>61610.806000000004</v>
      </c>
      <c r="E147" s="823">
        <f t="shared" si="16"/>
        <v>0</v>
      </c>
      <c r="F147" s="975"/>
      <c r="G147" s="821" t="s">
        <v>495</v>
      </c>
      <c r="H147" s="980" t="s">
        <v>563</v>
      </c>
      <c r="I147" s="879">
        <f>VLOOKUP(H141,'CNKT '!$C$16:$Z$96,15,0)</f>
        <v>0</v>
      </c>
      <c r="J147" s="826">
        <f>92.2*$B$2</f>
        <v>61610.806000000004</v>
      </c>
      <c r="K147" s="823">
        <f t="shared" si="17"/>
        <v>0</v>
      </c>
      <c r="L147" s="818"/>
    </row>
    <row r="148" spans="1:13" s="31" customFormat="1" ht="17.25" customHeight="1">
      <c r="A148" s="821" t="s">
        <v>496</v>
      </c>
      <c r="B148" s="980" t="s">
        <v>500</v>
      </c>
      <c r="C148" s="879">
        <f>VLOOKUP(B141,'CNKT '!$C$16:$Z$96,16,0)</f>
        <v>0</v>
      </c>
      <c r="D148" s="825">
        <f>153.8*$B$2</f>
        <v>102773.774</v>
      </c>
      <c r="E148" s="823">
        <f t="shared" si="16"/>
        <v>0</v>
      </c>
      <c r="F148" s="975"/>
      <c r="G148" s="821" t="s">
        <v>496</v>
      </c>
      <c r="H148" s="980" t="s">
        <v>500</v>
      </c>
      <c r="I148" s="879">
        <f>VLOOKUP(H141,'CNKT '!$C$16:$Z$96,16,0)</f>
        <v>0</v>
      </c>
      <c r="J148" s="825">
        <f>153.8*$B$2</f>
        <v>102773.774</v>
      </c>
      <c r="K148" s="823">
        <f t="shared" si="17"/>
        <v>0</v>
      </c>
      <c r="L148" s="818"/>
    </row>
    <row r="149" spans="1:13" s="31" customFormat="1" ht="17.25" customHeight="1">
      <c r="A149" s="821" t="s">
        <v>455</v>
      </c>
      <c r="B149" s="980" t="s">
        <v>501</v>
      </c>
      <c r="C149" s="879">
        <f>VLOOKUP(B141,'CNKT '!$C$16:$Z$96,18,0)</f>
        <v>0</v>
      </c>
      <c r="D149" s="825">
        <v>10000</v>
      </c>
      <c r="E149" s="823">
        <f t="shared" si="16"/>
        <v>0</v>
      </c>
      <c r="F149" s="975"/>
      <c r="G149" s="821" t="s">
        <v>455</v>
      </c>
      <c r="H149" s="980" t="s">
        <v>501</v>
      </c>
      <c r="I149" s="879">
        <f>VLOOKUP(H141,'CNKT '!$C$16:$Z$96,18,0)</f>
        <v>0</v>
      </c>
      <c r="J149" s="825">
        <v>10000</v>
      </c>
      <c r="K149" s="823">
        <f t="shared" si="17"/>
        <v>0</v>
      </c>
      <c r="L149" s="818"/>
    </row>
    <row r="150" spans="1:13" s="31" customFormat="1" ht="17.25" customHeight="1">
      <c r="A150" s="821" t="s">
        <v>455</v>
      </c>
      <c r="B150" s="980" t="s">
        <v>501</v>
      </c>
      <c r="C150" s="879">
        <f>VLOOKUP(B141,'CNKT '!$C$16:$Z$96,19,0)</f>
        <v>0</v>
      </c>
      <c r="D150" s="825">
        <v>20000</v>
      </c>
      <c r="E150" s="823">
        <f t="shared" si="16"/>
        <v>0</v>
      </c>
      <c r="F150" s="975"/>
      <c r="G150" s="821" t="s">
        <v>455</v>
      </c>
      <c r="H150" s="980" t="s">
        <v>501</v>
      </c>
      <c r="I150" s="879">
        <f>VLOOKUP(H141,'CNKT '!$C$16:$Z$96,19,0)</f>
        <v>0</v>
      </c>
      <c r="J150" s="825">
        <v>20000</v>
      </c>
      <c r="K150" s="823">
        <f t="shared" si="17"/>
        <v>0</v>
      </c>
      <c r="L150" s="818"/>
    </row>
    <row r="151" spans="1:13" s="31" customFormat="1" ht="17.25" customHeight="1">
      <c r="A151" s="821" t="s">
        <v>517</v>
      </c>
      <c r="B151" s="980" t="s">
        <v>519</v>
      </c>
      <c r="C151" s="879"/>
      <c r="D151" s="825"/>
      <c r="E151" s="823"/>
      <c r="F151" s="975"/>
      <c r="G151" s="821" t="s">
        <v>517</v>
      </c>
      <c r="H151" s="980" t="s">
        <v>519</v>
      </c>
      <c r="I151" s="879"/>
      <c r="J151" s="825"/>
      <c r="K151" s="823"/>
      <c r="L151" s="818"/>
    </row>
    <row r="152" spans="1:13" s="31" customFormat="1" ht="17.25" customHeight="1">
      <c r="A152" s="827" t="s">
        <v>81</v>
      </c>
      <c r="B152" s="981" t="s">
        <v>564</v>
      </c>
      <c r="C152" s="828"/>
      <c r="D152" s="829"/>
      <c r="E152" s="828"/>
      <c r="F152" s="843"/>
      <c r="G152" s="827" t="s">
        <v>81</v>
      </c>
      <c r="H152" s="981" t="s">
        <v>564</v>
      </c>
      <c r="I152" s="828"/>
      <c r="J152" s="829"/>
      <c r="K152" s="828"/>
      <c r="L152" s="818"/>
    </row>
    <row r="153" spans="1:13" s="31" customFormat="1" ht="17.25" customHeight="1">
      <c r="A153" s="830" t="s">
        <v>82</v>
      </c>
      <c r="B153" s="982" t="s">
        <v>565</v>
      </c>
      <c r="C153" s="828"/>
      <c r="D153" s="828"/>
      <c r="E153" s="828"/>
      <c r="F153" s="843"/>
      <c r="G153" s="830" t="s">
        <v>82</v>
      </c>
      <c r="H153" s="982" t="s">
        <v>565</v>
      </c>
      <c r="I153" s="828"/>
      <c r="J153" s="828"/>
      <c r="K153" s="828"/>
      <c r="L153" s="818"/>
    </row>
    <row r="154" spans="1:13" s="31" customFormat="1" ht="17.25" customHeight="1">
      <c r="A154" s="830" t="s">
        <v>83</v>
      </c>
      <c r="B154" s="983" t="s">
        <v>566</v>
      </c>
      <c r="C154" s="828"/>
      <c r="D154" s="828"/>
      <c r="E154" s="823">
        <f>SUM(E153)</f>
        <v>0</v>
      </c>
      <c r="F154" s="843"/>
      <c r="G154" s="830" t="s">
        <v>83</v>
      </c>
      <c r="H154" s="983" t="s">
        <v>566</v>
      </c>
      <c r="I154" s="828"/>
      <c r="J154" s="828"/>
      <c r="K154" s="823">
        <f>SUM(K153)</f>
        <v>0</v>
      </c>
      <c r="L154" s="818"/>
      <c r="M154" s="831">
        <f>E154+K154</f>
        <v>0</v>
      </c>
    </row>
    <row r="155" spans="1:13" s="31" customFormat="1" ht="17.25" customHeight="1">
      <c r="A155" s="832" t="s">
        <v>84</v>
      </c>
      <c r="B155" s="984" t="s">
        <v>438</v>
      </c>
      <c r="C155" s="833"/>
      <c r="D155" s="833"/>
      <c r="E155" s="833">
        <f>(E143+E144+E145+E146+E147+E148+E149+E150+E151)-E154</f>
        <v>2178898.3691394692</v>
      </c>
      <c r="F155" s="843"/>
      <c r="G155" s="832" t="s">
        <v>84</v>
      </c>
      <c r="H155" s="984" t="s">
        <v>438</v>
      </c>
      <c r="I155" s="833"/>
      <c r="J155" s="833"/>
      <c r="K155" s="833">
        <f>(K143+K144+K145+K146+K147+K148+K149+K150+K151)-K154</f>
        <v>5074806.9375602305</v>
      </c>
      <c r="L155" s="835">
        <f>E155+K155</f>
        <v>7253705.3066996997</v>
      </c>
    </row>
    <row r="156" spans="1:13" s="31" customFormat="1" ht="12" customHeight="1">
      <c r="A156" s="838"/>
      <c r="B156" s="844"/>
      <c r="C156" s="845"/>
      <c r="D156" s="845"/>
      <c r="E156" s="843"/>
      <c r="F156" s="843"/>
      <c r="G156" s="838"/>
      <c r="H156" s="844"/>
      <c r="I156" s="845"/>
      <c r="J156" s="843"/>
      <c r="K156" s="974"/>
      <c r="L156" s="818"/>
    </row>
    <row r="157" spans="1:13" s="31" customFormat="1" ht="17.25" customHeight="1">
      <c r="A157" s="1615" t="str">
        <f>G140</f>
        <v>LƯƠNG THÁNG 01/2025</v>
      </c>
      <c r="B157" s="1616"/>
      <c r="C157" s="1616"/>
      <c r="D157" s="1616"/>
      <c r="E157" s="898">
        <v>19</v>
      </c>
      <c r="F157" s="838"/>
      <c r="G157" s="1615" t="str">
        <f>A157</f>
        <v>LƯƠNG THÁNG 01/2025</v>
      </c>
      <c r="H157" s="1616"/>
      <c r="I157" s="1616"/>
      <c r="J157" s="1617"/>
      <c r="K157" s="898">
        <v>20</v>
      </c>
      <c r="L157" s="818"/>
    </row>
    <row r="158" spans="1:13" s="31" customFormat="1" ht="17.25" customHeight="1">
      <c r="A158" s="837" t="s">
        <v>17</v>
      </c>
      <c r="B158" s="976" t="str">
        <f>'CNKT '!C34</f>
        <v>N. Soi</v>
      </c>
      <c r="C158" s="819"/>
      <c r="D158" s="973" t="s">
        <v>398</v>
      </c>
      <c r="E158" s="973" t="s">
        <v>20</v>
      </c>
      <c r="F158" s="842"/>
      <c r="G158" s="837" t="s">
        <v>17</v>
      </c>
      <c r="H158" s="976" t="str">
        <f>'CNKT '!C35</f>
        <v>N. Me Kha La</v>
      </c>
      <c r="I158" s="819"/>
      <c r="J158" s="973" t="s">
        <v>398</v>
      </c>
      <c r="K158" s="973" t="s">
        <v>20</v>
      </c>
      <c r="L158" s="818"/>
    </row>
    <row r="159" spans="1:13" s="31" customFormat="1" ht="17.25" customHeight="1">
      <c r="A159" s="821" t="s">
        <v>399</v>
      </c>
      <c r="B159" s="978" t="s">
        <v>559</v>
      </c>
      <c r="C159" s="822" t="str">
        <f>VLOOKUP(B158,'BTH mủ tạp'!$C$17:$AL$94,36,0)</f>
        <v>A</v>
      </c>
      <c r="D159" s="823"/>
      <c r="E159" s="823"/>
      <c r="F159" s="842"/>
      <c r="G159" s="821" t="s">
        <v>399</v>
      </c>
      <c r="H159" s="978" t="s">
        <v>559</v>
      </c>
      <c r="I159" s="822" t="str">
        <f>VLOOKUP(H158,'BTH mủ tạp'!$C$17:$AL$94,36,0)</f>
        <v>A</v>
      </c>
      <c r="J159" s="823"/>
      <c r="K159" s="823"/>
      <c r="L159" s="818"/>
    </row>
    <row r="160" spans="1:13" s="31" customFormat="1" ht="17.25" customHeight="1">
      <c r="A160" s="821" t="s">
        <v>79</v>
      </c>
      <c r="B160" s="979" t="s">
        <v>432</v>
      </c>
      <c r="C160" s="824">
        <f>VLOOKUP(B158,'CNKT '!$C$16:$Z$96,3,0)</f>
        <v>0</v>
      </c>
      <c r="D160" s="825">
        <v>25000</v>
      </c>
      <c r="E160" s="823">
        <f t="shared" ref="E160:E167" si="18">C160*D160</f>
        <v>0</v>
      </c>
      <c r="F160" s="975"/>
      <c r="G160" s="821" t="s">
        <v>79</v>
      </c>
      <c r="H160" s="979" t="s">
        <v>432</v>
      </c>
      <c r="I160" s="824">
        <f>VLOOKUP(H158,'CNKT '!$C$16:$Z$96,3,0)</f>
        <v>0</v>
      </c>
      <c r="J160" s="825">
        <v>25000</v>
      </c>
      <c r="K160" s="823">
        <f t="shared" ref="K160:K167" si="19">I160*J160</f>
        <v>0</v>
      </c>
      <c r="L160" s="818"/>
    </row>
    <row r="161" spans="1:13" s="31" customFormat="1" ht="17.25" customHeight="1">
      <c r="A161" s="821" t="s">
        <v>310</v>
      </c>
      <c r="B161" s="980" t="s">
        <v>560</v>
      </c>
      <c r="C161" s="879">
        <f>VLOOKUP(B158,'CNKT '!$C$16:$Z$96,11,0)</f>
        <v>27</v>
      </c>
      <c r="D161" s="826">
        <f>46.1*$B$2</f>
        <v>30805.403000000002</v>
      </c>
      <c r="E161" s="823">
        <f t="shared" si="18"/>
        <v>831745.88100000005</v>
      </c>
      <c r="F161" s="843"/>
      <c r="G161" s="821" t="s">
        <v>310</v>
      </c>
      <c r="H161" s="980" t="s">
        <v>560</v>
      </c>
      <c r="I161" s="879">
        <f>VLOOKUP(H158,'CNKT '!$C$16:$Z$96,11,0)</f>
        <v>26</v>
      </c>
      <c r="J161" s="826">
        <f>46.1*$B$2</f>
        <v>30805.403000000002</v>
      </c>
      <c r="K161" s="823">
        <f t="shared" si="19"/>
        <v>800940.478</v>
      </c>
      <c r="L161" s="818"/>
    </row>
    <row r="162" spans="1:13" s="31" customFormat="1" ht="17.25" customHeight="1">
      <c r="A162" s="821" t="s">
        <v>401</v>
      </c>
      <c r="B162" s="980" t="s">
        <v>561</v>
      </c>
      <c r="C162" s="879">
        <f>VLOOKUP(B158,'CNKT '!$C$16:$Z$96,12,0)</f>
        <v>3</v>
      </c>
      <c r="D162" s="825">
        <f>76.9*$B$2</f>
        <v>51386.887000000002</v>
      </c>
      <c r="E162" s="823">
        <f t="shared" si="18"/>
        <v>154160.66100000002</v>
      </c>
      <c r="F162" s="842"/>
      <c r="G162" s="821" t="s">
        <v>401</v>
      </c>
      <c r="H162" s="980" t="s">
        <v>561</v>
      </c>
      <c r="I162" s="879">
        <f>VLOOKUP(H158,'CNKT '!$C$16:$Z$96,12,0)</f>
        <v>4</v>
      </c>
      <c r="J162" s="825">
        <f>76.9*$B$2</f>
        <v>51386.887000000002</v>
      </c>
      <c r="K162" s="823">
        <f t="shared" si="19"/>
        <v>205547.54800000001</v>
      </c>
      <c r="L162" s="818"/>
    </row>
    <row r="163" spans="1:13" s="31" customFormat="1" ht="17.25" customHeight="1">
      <c r="A163" s="821" t="s">
        <v>80</v>
      </c>
      <c r="B163" s="980" t="s">
        <v>562</v>
      </c>
      <c r="C163" s="879">
        <f>VLOOKUP(B158,'CNKT '!$C$16:$Z$96,8,0)</f>
        <v>647.50189389804268</v>
      </c>
      <c r="D163" s="825">
        <f>IF(C159="A",6.1,IF(C159="B",5.8,IF(C159="C",5.5,IF(C159="C.",5.5,IF(C159="D",5.2)))))*$B$2</f>
        <v>4076.203</v>
      </c>
      <c r="E163" s="823">
        <f t="shared" si="18"/>
        <v>2639349.1624128832</v>
      </c>
      <c r="F163" s="975"/>
      <c r="G163" s="821" t="s">
        <v>80</v>
      </c>
      <c r="H163" s="980" t="s">
        <v>562</v>
      </c>
      <c r="I163" s="879">
        <f>VLOOKUP(H158,'CNKT '!$C$16:$Z$96,8,0)</f>
        <v>1122.4735448541803</v>
      </c>
      <c r="J163" s="825">
        <f>IF(I159="A",6.1,IF(I159="B",5.8,IF(I159="C",5.5,IF(I159="C.",5.5,IF(I159="D",5.2)))))*$B$2</f>
        <v>4076.203</v>
      </c>
      <c r="K163" s="823">
        <f t="shared" si="19"/>
        <v>4575430.0309552448</v>
      </c>
      <c r="L163" s="818"/>
    </row>
    <row r="164" spans="1:13" s="31" customFormat="1" ht="17.25" customHeight="1">
      <c r="A164" s="821" t="s">
        <v>495</v>
      </c>
      <c r="B164" s="980" t="s">
        <v>563</v>
      </c>
      <c r="C164" s="879">
        <f>VLOOKUP(B158,'CNKT '!$C$16:$Z$96,15,0)</f>
        <v>0</v>
      </c>
      <c r="D164" s="826">
        <f>92.2*$B$2</f>
        <v>61610.806000000004</v>
      </c>
      <c r="E164" s="823">
        <f t="shared" si="18"/>
        <v>0</v>
      </c>
      <c r="F164" s="975"/>
      <c r="G164" s="821" t="s">
        <v>495</v>
      </c>
      <c r="H164" s="980" t="s">
        <v>563</v>
      </c>
      <c r="I164" s="879">
        <f>VLOOKUP(H158,'CNKT '!$C$16:$Z$96,15,0)</f>
        <v>0</v>
      </c>
      <c r="J164" s="826">
        <f>92.2*$B$2</f>
        <v>61610.806000000004</v>
      </c>
      <c r="K164" s="823">
        <f t="shared" si="19"/>
        <v>0</v>
      </c>
      <c r="L164" s="818"/>
    </row>
    <row r="165" spans="1:13" s="31" customFormat="1" ht="17.25" customHeight="1">
      <c r="A165" s="821" t="s">
        <v>496</v>
      </c>
      <c r="B165" s="980" t="s">
        <v>500</v>
      </c>
      <c r="C165" s="879">
        <f>VLOOKUP(B158,'CNKT '!$C$16:$Z$96,16,0)</f>
        <v>0</v>
      </c>
      <c r="D165" s="825">
        <f>153.8*$B$2</f>
        <v>102773.774</v>
      </c>
      <c r="E165" s="823">
        <f t="shared" si="18"/>
        <v>0</v>
      </c>
      <c r="F165" s="975"/>
      <c r="G165" s="821" t="s">
        <v>496</v>
      </c>
      <c r="H165" s="980" t="s">
        <v>500</v>
      </c>
      <c r="I165" s="879">
        <f>VLOOKUP(H158,'CNKT '!$C$16:$Z$96,16,0)</f>
        <v>0</v>
      </c>
      <c r="J165" s="825">
        <f>153.8*$B$2</f>
        <v>102773.774</v>
      </c>
      <c r="K165" s="823">
        <f t="shared" si="19"/>
        <v>0</v>
      </c>
      <c r="L165" s="818"/>
    </row>
    <row r="166" spans="1:13" s="31" customFormat="1" ht="17.25" customHeight="1">
      <c r="A166" s="821" t="s">
        <v>455</v>
      </c>
      <c r="B166" s="980" t="s">
        <v>501</v>
      </c>
      <c r="C166" s="879">
        <f>VLOOKUP(B158,'CNKT '!$C$16:$Z$96,18,0)</f>
        <v>0</v>
      </c>
      <c r="D166" s="825">
        <v>10000</v>
      </c>
      <c r="E166" s="823">
        <f t="shared" si="18"/>
        <v>0</v>
      </c>
      <c r="F166" s="975"/>
      <c r="G166" s="821" t="s">
        <v>455</v>
      </c>
      <c r="H166" s="980" t="s">
        <v>501</v>
      </c>
      <c r="I166" s="879">
        <f>VLOOKUP(H158,'CNKT '!$C$16:$Z$96,18,0)</f>
        <v>0</v>
      </c>
      <c r="J166" s="825">
        <v>10000</v>
      </c>
      <c r="K166" s="823">
        <f t="shared" si="19"/>
        <v>0</v>
      </c>
      <c r="L166" s="818"/>
    </row>
    <row r="167" spans="1:13" s="31" customFormat="1" ht="17.25" customHeight="1">
      <c r="A167" s="821" t="s">
        <v>455</v>
      </c>
      <c r="B167" s="980" t="s">
        <v>501</v>
      </c>
      <c r="C167" s="879">
        <f>VLOOKUP(B158,'CNKT '!$C$16:$Z$96,19,0)</f>
        <v>0</v>
      </c>
      <c r="D167" s="825">
        <v>20000</v>
      </c>
      <c r="E167" s="823">
        <f t="shared" si="18"/>
        <v>0</v>
      </c>
      <c r="F167" s="975"/>
      <c r="G167" s="821" t="s">
        <v>455</v>
      </c>
      <c r="H167" s="980" t="s">
        <v>501</v>
      </c>
      <c r="I167" s="879">
        <f>VLOOKUP(H158,'CNKT '!$C$16:$Z$96,19,0)</f>
        <v>0</v>
      </c>
      <c r="J167" s="825">
        <v>20000</v>
      </c>
      <c r="K167" s="823">
        <f t="shared" si="19"/>
        <v>0</v>
      </c>
      <c r="L167" s="818"/>
    </row>
    <row r="168" spans="1:13" s="31" customFormat="1" ht="17.25" customHeight="1">
      <c r="A168" s="821" t="s">
        <v>517</v>
      </c>
      <c r="B168" s="980" t="s">
        <v>519</v>
      </c>
      <c r="C168" s="879"/>
      <c r="D168" s="825"/>
      <c r="E168" s="823"/>
      <c r="F168" s="975"/>
      <c r="G168" s="821" t="s">
        <v>517</v>
      </c>
      <c r="H168" s="980" t="s">
        <v>519</v>
      </c>
      <c r="I168" s="879"/>
      <c r="J168" s="825"/>
      <c r="K168" s="823"/>
      <c r="L168" s="818"/>
    </row>
    <row r="169" spans="1:13" s="31" customFormat="1" ht="17.25" customHeight="1">
      <c r="A169" s="827" t="s">
        <v>81</v>
      </c>
      <c r="B169" s="981" t="s">
        <v>564</v>
      </c>
      <c r="C169" s="828"/>
      <c r="D169" s="829"/>
      <c r="E169" s="828"/>
      <c r="F169" s="838"/>
      <c r="G169" s="827" t="s">
        <v>81</v>
      </c>
      <c r="H169" s="981" t="s">
        <v>564</v>
      </c>
      <c r="I169" s="828"/>
      <c r="J169" s="829"/>
      <c r="K169" s="828"/>
      <c r="L169" s="818"/>
    </row>
    <row r="170" spans="1:13" s="31" customFormat="1" ht="17.25" customHeight="1">
      <c r="A170" s="830" t="s">
        <v>82</v>
      </c>
      <c r="B170" s="982" t="s">
        <v>565</v>
      </c>
      <c r="C170" s="828"/>
      <c r="D170" s="828"/>
      <c r="E170" s="828"/>
      <c r="F170" s="838"/>
      <c r="G170" s="830" t="s">
        <v>82</v>
      </c>
      <c r="H170" s="982" t="s">
        <v>565</v>
      </c>
      <c r="I170" s="828"/>
      <c r="J170" s="828"/>
      <c r="K170" s="828"/>
      <c r="L170" s="818"/>
    </row>
    <row r="171" spans="1:13" s="31" customFormat="1" ht="17.25" customHeight="1">
      <c r="A171" s="830" t="s">
        <v>83</v>
      </c>
      <c r="B171" s="983" t="s">
        <v>566</v>
      </c>
      <c r="C171" s="828"/>
      <c r="D171" s="828"/>
      <c r="E171" s="823">
        <f>SUM(E170)</f>
        <v>0</v>
      </c>
      <c r="F171" s="838"/>
      <c r="G171" s="830" t="s">
        <v>83</v>
      </c>
      <c r="H171" s="983" t="s">
        <v>566</v>
      </c>
      <c r="I171" s="828"/>
      <c r="J171" s="828"/>
      <c r="K171" s="823">
        <f>SUM(K170)</f>
        <v>0</v>
      </c>
      <c r="L171" s="818"/>
      <c r="M171" s="831">
        <f>E171+K171</f>
        <v>0</v>
      </c>
    </row>
    <row r="172" spans="1:13" s="31" customFormat="1" ht="17.25" customHeight="1">
      <c r="A172" s="832" t="s">
        <v>84</v>
      </c>
      <c r="B172" s="984" t="s">
        <v>438</v>
      </c>
      <c r="C172" s="833"/>
      <c r="D172" s="833"/>
      <c r="E172" s="833">
        <f>(E160+E161+E162+E163+E164+E165+E166+E167+E168)-E171</f>
        <v>3625255.7044128831</v>
      </c>
      <c r="F172" s="838"/>
      <c r="G172" s="832" t="s">
        <v>84</v>
      </c>
      <c r="H172" s="984" t="s">
        <v>438</v>
      </c>
      <c r="I172" s="833"/>
      <c r="J172" s="833"/>
      <c r="K172" s="833">
        <f>(K160+K161+K162+K163+K164+K165+K166+K167+K168)-K171</f>
        <v>5581918.0569552444</v>
      </c>
      <c r="L172" s="835">
        <f>E172+K172</f>
        <v>9207173.7613681275</v>
      </c>
    </row>
    <row r="173" spans="1:13" s="31" customFormat="1" ht="63" customHeight="1">
      <c r="A173" s="847"/>
      <c r="B173" s="842"/>
      <c r="C173" s="842"/>
      <c r="D173" s="842"/>
      <c r="E173" s="842"/>
      <c r="F173" s="975"/>
      <c r="G173" s="847"/>
      <c r="H173" s="842"/>
      <c r="I173" s="842"/>
      <c r="J173" s="842"/>
      <c r="K173" s="836"/>
      <c r="L173" s="818"/>
    </row>
    <row r="174" spans="1:13" s="31" customFormat="1" ht="17.25" customHeight="1">
      <c r="A174" s="1615" t="str">
        <f>G157</f>
        <v>LƯƠNG THÁNG 01/2025</v>
      </c>
      <c r="B174" s="1616"/>
      <c r="C174" s="1616"/>
      <c r="D174" s="1616"/>
      <c r="E174" s="898">
        <v>21</v>
      </c>
      <c r="F174" s="843"/>
      <c r="G174" s="1615" t="str">
        <f>A174</f>
        <v>LƯƠNG THÁNG 01/2025</v>
      </c>
      <c r="H174" s="1616"/>
      <c r="I174" s="1616"/>
      <c r="J174" s="1617"/>
      <c r="K174" s="898">
        <v>22</v>
      </c>
      <c r="L174" s="818"/>
    </row>
    <row r="175" spans="1:13" s="31" customFormat="1" ht="17.25" customHeight="1">
      <c r="A175" s="837" t="s">
        <v>17</v>
      </c>
      <c r="B175" s="976" t="str">
        <f>'CNKT '!C36</f>
        <v>N. Mon Khăm</v>
      </c>
      <c r="C175" s="819"/>
      <c r="D175" s="973" t="s">
        <v>398</v>
      </c>
      <c r="E175" s="973" t="s">
        <v>20</v>
      </c>
      <c r="F175" s="843"/>
      <c r="G175" s="837" t="s">
        <v>17</v>
      </c>
      <c r="H175" s="976" t="str">
        <f>'CNKT '!C37</f>
        <v>N. Bua Lay</v>
      </c>
      <c r="I175" s="819"/>
      <c r="J175" s="973" t="s">
        <v>398</v>
      </c>
      <c r="K175" s="973" t="s">
        <v>20</v>
      </c>
      <c r="L175" s="818"/>
    </row>
    <row r="176" spans="1:13" s="31" customFormat="1" ht="17.25" customHeight="1">
      <c r="A176" s="821" t="s">
        <v>399</v>
      </c>
      <c r="B176" s="978" t="s">
        <v>559</v>
      </c>
      <c r="C176" s="822" t="str">
        <f>VLOOKUP(B175,'BTH mủ tạp'!$C$17:$AL$94,36,0)</f>
        <v>A</v>
      </c>
      <c r="D176" s="823"/>
      <c r="E176" s="823"/>
      <c r="F176" s="843"/>
      <c r="G176" s="821" t="s">
        <v>399</v>
      </c>
      <c r="H176" s="978" t="s">
        <v>559</v>
      </c>
      <c r="I176" s="822" t="str">
        <f>VLOOKUP(H175,'BTH mủ tạp'!$C$17:$AL$94,36,0)</f>
        <v>B</v>
      </c>
      <c r="J176" s="823"/>
      <c r="K176" s="823"/>
      <c r="L176" s="818"/>
    </row>
    <row r="177" spans="1:13" s="31" customFormat="1" ht="17.25" customHeight="1">
      <c r="A177" s="821" t="s">
        <v>79</v>
      </c>
      <c r="B177" s="979" t="s">
        <v>432</v>
      </c>
      <c r="C177" s="824">
        <f>VLOOKUP(B175,'CNKT '!$C$16:$Z$96,3,0)</f>
        <v>0</v>
      </c>
      <c r="D177" s="825">
        <v>25000</v>
      </c>
      <c r="E177" s="823">
        <f t="shared" ref="E177:E184" si="20">C177*D177</f>
        <v>0</v>
      </c>
      <c r="F177" s="843"/>
      <c r="G177" s="821" t="s">
        <v>79</v>
      </c>
      <c r="H177" s="979" t="s">
        <v>432</v>
      </c>
      <c r="I177" s="824">
        <f>VLOOKUP(H175,'CNKT '!$C$16:$Z$96,3,0)</f>
        <v>0</v>
      </c>
      <c r="J177" s="825">
        <v>25000</v>
      </c>
      <c r="K177" s="823">
        <f t="shared" ref="K177:K184" si="21">I177*J177</f>
        <v>0</v>
      </c>
      <c r="L177" s="818"/>
    </row>
    <row r="178" spans="1:13" s="31" customFormat="1" ht="17.25" customHeight="1">
      <c r="A178" s="821" t="s">
        <v>310</v>
      </c>
      <c r="B178" s="980" t="s">
        <v>560</v>
      </c>
      <c r="C178" s="879">
        <f>VLOOKUP(B175,'CNKT '!$C$16:$Z$96,11,0)</f>
        <v>24</v>
      </c>
      <c r="D178" s="826">
        <f>46.1*$B$2</f>
        <v>30805.403000000002</v>
      </c>
      <c r="E178" s="823">
        <f t="shared" si="20"/>
        <v>739329.67200000002</v>
      </c>
      <c r="F178" s="843"/>
      <c r="G178" s="821" t="s">
        <v>310</v>
      </c>
      <c r="H178" s="980" t="s">
        <v>560</v>
      </c>
      <c r="I178" s="879">
        <f>VLOOKUP(H175,'CNKT '!$C$16:$Z$96,11,0)</f>
        <v>23</v>
      </c>
      <c r="J178" s="826">
        <f>46.1*$B$2</f>
        <v>30805.403000000002</v>
      </c>
      <c r="K178" s="823">
        <f t="shared" si="21"/>
        <v>708524.26900000009</v>
      </c>
      <c r="L178" s="818"/>
    </row>
    <row r="179" spans="1:13" s="31" customFormat="1" ht="17.25" customHeight="1">
      <c r="A179" s="821" t="s">
        <v>401</v>
      </c>
      <c r="B179" s="980" t="s">
        <v>561</v>
      </c>
      <c r="C179" s="879">
        <f>VLOOKUP(B175,'CNKT '!$C$16:$Z$96,12,0)</f>
        <v>4</v>
      </c>
      <c r="D179" s="825">
        <f>76.9*$B$2</f>
        <v>51386.887000000002</v>
      </c>
      <c r="E179" s="823">
        <f t="shared" si="20"/>
        <v>205547.54800000001</v>
      </c>
      <c r="F179" s="975"/>
      <c r="G179" s="821" t="s">
        <v>401</v>
      </c>
      <c r="H179" s="980" t="s">
        <v>561</v>
      </c>
      <c r="I179" s="879">
        <f>VLOOKUP(H175,'CNKT '!$C$16:$Z$96,12,0)</f>
        <v>4</v>
      </c>
      <c r="J179" s="825">
        <f>76.9*$B$2</f>
        <v>51386.887000000002</v>
      </c>
      <c r="K179" s="823">
        <f t="shared" si="21"/>
        <v>205547.54800000001</v>
      </c>
      <c r="L179" s="818"/>
    </row>
    <row r="180" spans="1:13" s="31" customFormat="1" ht="17.25" customHeight="1">
      <c r="A180" s="821" t="s">
        <v>80</v>
      </c>
      <c r="B180" s="980" t="s">
        <v>562</v>
      </c>
      <c r="C180" s="879">
        <f>VLOOKUP(B175,'CNKT '!$C$16:$Z$96,8,0)</f>
        <v>519.13117742341092</v>
      </c>
      <c r="D180" s="825">
        <f>IF(C176="A",6.1,IF(C176="B",5.8,IF(C176="C",5.5,IF(C176="C.",5.5,IF(C176="D",5.2)))))*$B$2</f>
        <v>4076.203</v>
      </c>
      <c r="E180" s="823">
        <f t="shared" si="20"/>
        <v>2116084.0628068401</v>
      </c>
      <c r="F180" s="838"/>
      <c r="G180" s="821" t="s">
        <v>80</v>
      </c>
      <c r="H180" s="980" t="s">
        <v>562</v>
      </c>
      <c r="I180" s="879">
        <f>VLOOKUP(H175,'CNKT '!$C$16:$Z$96,8,0)</f>
        <v>670.09513999757792</v>
      </c>
      <c r="J180" s="825">
        <f>IF(I176="A",6.1,IF(I176="B",5.8,IF(I176="C",5.5,IF(I176="C.",5.5,IF(I176="D",5.2)))))*$B$2</f>
        <v>3875.7339999999999</v>
      </c>
      <c r="K180" s="823">
        <f t="shared" si="21"/>
        <v>2597110.5173233724</v>
      </c>
      <c r="L180" s="818"/>
    </row>
    <row r="181" spans="1:13" s="31" customFormat="1" ht="17.25" customHeight="1">
      <c r="A181" s="821" t="s">
        <v>495</v>
      </c>
      <c r="B181" s="980" t="s">
        <v>563</v>
      </c>
      <c r="C181" s="879">
        <f>VLOOKUP(B175,'CNKT '!$C$16:$Z$96,15,0)</f>
        <v>0</v>
      </c>
      <c r="D181" s="826">
        <f>92.2*$B$2</f>
        <v>61610.806000000004</v>
      </c>
      <c r="E181" s="823">
        <f t="shared" si="20"/>
        <v>0</v>
      </c>
      <c r="F181" s="838"/>
      <c r="G181" s="821" t="s">
        <v>495</v>
      </c>
      <c r="H181" s="980" t="s">
        <v>563</v>
      </c>
      <c r="I181" s="879">
        <f>VLOOKUP(H175,'CNKT '!$C$16:$Z$96,15,0)</f>
        <v>0</v>
      </c>
      <c r="J181" s="826">
        <f>92.2*$B$2</f>
        <v>61610.806000000004</v>
      </c>
      <c r="K181" s="823">
        <f t="shared" si="21"/>
        <v>0</v>
      </c>
      <c r="L181" s="818"/>
    </row>
    <row r="182" spans="1:13" s="31" customFormat="1" ht="17.25" customHeight="1">
      <c r="A182" s="821" t="s">
        <v>496</v>
      </c>
      <c r="B182" s="980" t="s">
        <v>500</v>
      </c>
      <c r="C182" s="879">
        <f>VLOOKUP(B175,'CNKT '!$C$16:$Z$96,16,0)</f>
        <v>0</v>
      </c>
      <c r="D182" s="825">
        <f>153.8*$B$2</f>
        <v>102773.774</v>
      </c>
      <c r="E182" s="823">
        <f t="shared" si="20"/>
        <v>0</v>
      </c>
      <c r="F182" s="838"/>
      <c r="G182" s="821" t="s">
        <v>496</v>
      </c>
      <c r="H182" s="980" t="s">
        <v>500</v>
      </c>
      <c r="I182" s="879">
        <f>VLOOKUP(H175,'CNKT '!$C$16:$Z$96,16,0)</f>
        <v>0</v>
      </c>
      <c r="J182" s="825">
        <f>153.8*$B$2</f>
        <v>102773.774</v>
      </c>
      <c r="K182" s="823">
        <f t="shared" si="21"/>
        <v>0</v>
      </c>
      <c r="L182" s="818"/>
    </row>
    <row r="183" spans="1:13" s="31" customFormat="1" ht="17.25" customHeight="1">
      <c r="A183" s="821" t="s">
        <v>455</v>
      </c>
      <c r="B183" s="980" t="s">
        <v>501</v>
      </c>
      <c r="C183" s="879">
        <f>VLOOKUP(B175,'CNKT '!$C$16:$Z$96,18,0)</f>
        <v>0</v>
      </c>
      <c r="D183" s="825">
        <v>10000</v>
      </c>
      <c r="E183" s="823">
        <f t="shared" si="20"/>
        <v>0</v>
      </c>
      <c r="F183" s="838"/>
      <c r="G183" s="821" t="s">
        <v>455</v>
      </c>
      <c r="H183" s="980" t="s">
        <v>501</v>
      </c>
      <c r="I183" s="879">
        <f>VLOOKUP(H175,'CNKT '!$C$16:$Z$96,18,0)</f>
        <v>0</v>
      </c>
      <c r="J183" s="825">
        <v>10000</v>
      </c>
      <c r="K183" s="823">
        <f t="shared" si="21"/>
        <v>0</v>
      </c>
      <c r="L183" s="818"/>
    </row>
    <row r="184" spans="1:13" s="31" customFormat="1" ht="17.25" customHeight="1">
      <c r="A184" s="821" t="s">
        <v>455</v>
      </c>
      <c r="B184" s="980" t="s">
        <v>501</v>
      </c>
      <c r="C184" s="879">
        <f>VLOOKUP(B175,'CNKT '!$C$16:$Z$96,19,0)</f>
        <v>0</v>
      </c>
      <c r="D184" s="825">
        <v>20000</v>
      </c>
      <c r="E184" s="823">
        <f t="shared" si="20"/>
        <v>0</v>
      </c>
      <c r="F184" s="838"/>
      <c r="G184" s="821" t="s">
        <v>455</v>
      </c>
      <c r="H184" s="980" t="s">
        <v>501</v>
      </c>
      <c r="I184" s="879">
        <f>VLOOKUP(H175,'CNKT '!$C$16:$Z$96,19,0)</f>
        <v>0</v>
      </c>
      <c r="J184" s="825">
        <v>20000</v>
      </c>
      <c r="K184" s="823">
        <f t="shared" si="21"/>
        <v>0</v>
      </c>
      <c r="L184" s="818"/>
    </row>
    <row r="185" spans="1:13" s="31" customFormat="1" ht="17.25" customHeight="1">
      <c r="A185" s="821" t="s">
        <v>517</v>
      </c>
      <c r="B185" s="980" t="s">
        <v>519</v>
      </c>
      <c r="C185" s="879"/>
      <c r="D185" s="825"/>
      <c r="E185" s="823"/>
      <c r="F185" s="838"/>
      <c r="G185" s="821" t="s">
        <v>517</v>
      </c>
      <c r="H185" s="980" t="s">
        <v>519</v>
      </c>
      <c r="I185" s="879"/>
      <c r="J185" s="825"/>
      <c r="K185" s="823"/>
      <c r="L185" s="818"/>
    </row>
    <row r="186" spans="1:13" s="31" customFormat="1" ht="17.25" customHeight="1">
      <c r="A186" s="827" t="s">
        <v>81</v>
      </c>
      <c r="B186" s="981" t="s">
        <v>564</v>
      </c>
      <c r="C186" s="828"/>
      <c r="D186" s="829"/>
      <c r="E186" s="828"/>
      <c r="F186" s="838"/>
      <c r="G186" s="827" t="s">
        <v>81</v>
      </c>
      <c r="H186" s="981" t="s">
        <v>564</v>
      </c>
      <c r="I186" s="828"/>
      <c r="J186" s="829"/>
      <c r="K186" s="828"/>
      <c r="L186" s="818"/>
    </row>
    <row r="187" spans="1:13" s="31" customFormat="1" ht="17.25" customHeight="1">
      <c r="A187" s="830" t="s">
        <v>82</v>
      </c>
      <c r="B187" s="982" t="s">
        <v>565</v>
      </c>
      <c r="C187" s="828"/>
      <c r="D187" s="828"/>
      <c r="E187" s="828"/>
      <c r="F187" s="838"/>
      <c r="G187" s="830" t="s">
        <v>82</v>
      </c>
      <c r="H187" s="982" t="s">
        <v>565</v>
      </c>
      <c r="I187" s="828"/>
      <c r="J187" s="828"/>
      <c r="K187" s="828"/>
      <c r="L187" s="818"/>
    </row>
    <row r="188" spans="1:13" s="31" customFormat="1" ht="17.25" customHeight="1">
      <c r="A188" s="830" t="s">
        <v>83</v>
      </c>
      <c r="B188" s="983" t="s">
        <v>566</v>
      </c>
      <c r="C188" s="828"/>
      <c r="D188" s="828"/>
      <c r="E188" s="823">
        <f>SUM(E187)</f>
        <v>0</v>
      </c>
      <c r="F188" s="838"/>
      <c r="G188" s="830" t="s">
        <v>83</v>
      </c>
      <c r="H188" s="983" t="s">
        <v>566</v>
      </c>
      <c r="I188" s="828"/>
      <c r="J188" s="828"/>
      <c r="K188" s="823">
        <f>SUM(K187)</f>
        <v>0</v>
      </c>
      <c r="L188" s="818"/>
      <c r="M188" s="831">
        <f>E188+K188</f>
        <v>0</v>
      </c>
    </row>
    <row r="189" spans="1:13" s="31" customFormat="1" ht="17.25" customHeight="1">
      <c r="A189" s="832" t="s">
        <v>84</v>
      </c>
      <c r="B189" s="984" t="s">
        <v>438</v>
      </c>
      <c r="C189" s="833"/>
      <c r="D189" s="833"/>
      <c r="E189" s="833">
        <f>(E177+E178+E179+E180+E181+E182+E183+E184+E185)-E188</f>
        <v>3060961.2828068398</v>
      </c>
      <c r="F189" s="838"/>
      <c r="G189" s="832" t="s">
        <v>84</v>
      </c>
      <c r="H189" s="984" t="s">
        <v>438</v>
      </c>
      <c r="I189" s="833"/>
      <c r="J189" s="833"/>
      <c r="K189" s="833">
        <f>(K177+K178+K179+K180+K181+K182+K183+K184+K185)-K188</f>
        <v>3511182.3343233727</v>
      </c>
      <c r="L189" s="835">
        <f>E189+K189</f>
        <v>6572143.6171302125</v>
      </c>
    </row>
    <row r="190" spans="1:13" s="31" customFormat="1" ht="17.25" customHeight="1">
      <c r="A190" s="838"/>
      <c r="B190" s="844"/>
      <c r="C190" s="845"/>
      <c r="D190" s="845"/>
      <c r="E190" s="843"/>
      <c r="F190" s="838"/>
      <c r="G190" s="838"/>
      <c r="H190" s="844"/>
      <c r="I190" s="845"/>
      <c r="J190" s="843"/>
      <c r="K190" s="836"/>
      <c r="L190" s="818"/>
    </row>
    <row r="191" spans="1:13" s="31" customFormat="1" ht="17.25" customHeight="1">
      <c r="A191" s="1615" t="str">
        <f>G174</f>
        <v>LƯƠNG THÁNG 01/2025</v>
      </c>
      <c r="B191" s="1616"/>
      <c r="C191" s="1616"/>
      <c r="D191" s="1616"/>
      <c r="E191" s="898">
        <v>23</v>
      </c>
      <c r="F191" s="843"/>
      <c r="G191" s="1615" t="str">
        <f>A191</f>
        <v>LƯƠNG THÁNG 01/2025</v>
      </c>
      <c r="H191" s="1616"/>
      <c r="I191" s="1616"/>
      <c r="J191" s="1617"/>
      <c r="K191" s="898">
        <v>24</v>
      </c>
      <c r="L191" s="818"/>
    </row>
    <row r="192" spans="1:13" s="31" customFormat="1" ht="17.25" customHeight="1">
      <c r="A192" s="837" t="s">
        <v>17</v>
      </c>
      <c r="B192" s="976" t="str">
        <f>'CNKT '!C38</f>
        <v>T. Bin Ly.</v>
      </c>
      <c r="C192" s="819"/>
      <c r="D192" s="973" t="s">
        <v>398</v>
      </c>
      <c r="E192" s="973" t="s">
        <v>20</v>
      </c>
      <c r="F192" s="843"/>
      <c r="G192" s="837" t="s">
        <v>17</v>
      </c>
      <c r="H192" s="976" t="str">
        <f>'CNKT '!C39</f>
        <v>N. Phim Phon.</v>
      </c>
      <c r="I192" s="819"/>
      <c r="J192" s="973" t="s">
        <v>398</v>
      </c>
      <c r="K192" s="973" t="s">
        <v>20</v>
      </c>
      <c r="L192" s="818"/>
    </row>
    <row r="193" spans="1:13" s="31" customFormat="1" ht="17.25" customHeight="1">
      <c r="A193" s="821" t="s">
        <v>399</v>
      </c>
      <c r="B193" s="978" t="s">
        <v>559</v>
      </c>
      <c r="C193" s="822" t="str">
        <f>VLOOKUP(B192,'BTH mủ tạp'!$C$17:$AL$94,36,0)</f>
        <v>A</v>
      </c>
      <c r="D193" s="823"/>
      <c r="E193" s="823"/>
      <c r="F193" s="975"/>
      <c r="G193" s="821" t="s">
        <v>399</v>
      </c>
      <c r="H193" s="978" t="s">
        <v>559</v>
      </c>
      <c r="I193" s="822" t="str">
        <f>VLOOKUP(H192,'BTH mủ tạp'!$C$17:$AL$94,36,0)</f>
        <v>B</v>
      </c>
      <c r="J193" s="823"/>
      <c r="K193" s="823"/>
      <c r="L193" s="818"/>
    </row>
    <row r="194" spans="1:13" s="31" customFormat="1" ht="17.25" customHeight="1">
      <c r="A194" s="821" t="s">
        <v>79</v>
      </c>
      <c r="B194" s="979" t="s">
        <v>432</v>
      </c>
      <c r="C194" s="824">
        <f>VLOOKUP(B192,'CNKT '!$C$16:$Z$96,3,0)</f>
        <v>0</v>
      </c>
      <c r="D194" s="825">
        <v>25000</v>
      </c>
      <c r="E194" s="823">
        <f t="shared" ref="E194:E201" si="22">C194*D194</f>
        <v>0</v>
      </c>
      <c r="F194" s="838"/>
      <c r="G194" s="821" t="s">
        <v>79</v>
      </c>
      <c r="H194" s="979" t="s">
        <v>432</v>
      </c>
      <c r="I194" s="824">
        <f>VLOOKUP(H192,'CNKT '!$C$16:$Z$96,3,0)</f>
        <v>0</v>
      </c>
      <c r="J194" s="825">
        <v>25000</v>
      </c>
      <c r="K194" s="823">
        <f t="shared" ref="K194:K201" si="23">I194*J194</f>
        <v>0</v>
      </c>
      <c r="L194" s="818"/>
    </row>
    <row r="195" spans="1:13" s="31" customFormat="1" ht="17.25" customHeight="1">
      <c r="A195" s="821" t="s">
        <v>310</v>
      </c>
      <c r="B195" s="980" t="s">
        <v>560</v>
      </c>
      <c r="C195" s="879">
        <f>VLOOKUP(B192,'CNKT '!$C$16:$Z$96,11,0)</f>
        <v>27</v>
      </c>
      <c r="D195" s="826">
        <f>46.1*$B$2</f>
        <v>30805.403000000002</v>
      </c>
      <c r="E195" s="823">
        <f t="shared" si="22"/>
        <v>831745.88100000005</v>
      </c>
      <c r="F195" s="838"/>
      <c r="G195" s="821" t="s">
        <v>310</v>
      </c>
      <c r="H195" s="980" t="s">
        <v>560</v>
      </c>
      <c r="I195" s="879">
        <f>VLOOKUP(H192,'CNKT '!$C$16:$Z$96,11,0)</f>
        <v>23</v>
      </c>
      <c r="J195" s="826">
        <f>46.1*$B$2</f>
        <v>30805.403000000002</v>
      </c>
      <c r="K195" s="823">
        <f t="shared" si="23"/>
        <v>708524.26900000009</v>
      </c>
      <c r="L195" s="818"/>
    </row>
    <row r="196" spans="1:13" s="31" customFormat="1" ht="17.25" customHeight="1">
      <c r="A196" s="821" t="s">
        <v>401</v>
      </c>
      <c r="B196" s="980" t="s">
        <v>561</v>
      </c>
      <c r="C196" s="879">
        <f>VLOOKUP(B192,'CNKT '!$C$16:$Z$96,12,0)</f>
        <v>4</v>
      </c>
      <c r="D196" s="825">
        <f>76.9*$B$2</f>
        <v>51386.887000000002</v>
      </c>
      <c r="E196" s="823">
        <f t="shared" si="22"/>
        <v>205547.54800000001</v>
      </c>
      <c r="F196" s="838"/>
      <c r="G196" s="821" t="s">
        <v>401</v>
      </c>
      <c r="H196" s="980" t="s">
        <v>561</v>
      </c>
      <c r="I196" s="879">
        <f>VLOOKUP(H192,'CNKT '!$C$16:$Z$96,12,0)</f>
        <v>3</v>
      </c>
      <c r="J196" s="825">
        <f>76.9*$B$2</f>
        <v>51386.887000000002</v>
      </c>
      <c r="K196" s="823">
        <f t="shared" si="23"/>
        <v>154160.66100000002</v>
      </c>
      <c r="L196" s="818"/>
    </row>
    <row r="197" spans="1:13" s="31" customFormat="1" ht="17.25" customHeight="1">
      <c r="A197" s="821" t="s">
        <v>80</v>
      </c>
      <c r="B197" s="980" t="s">
        <v>562</v>
      </c>
      <c r="C197" s="879">
        <f>VLOOKUP(B192,'CNKT '!$C$16:$Z$96,8,0)</f>
        <v>921.70174428785617</v>
      </c>
      <c r="D197" s="825">
        <f>IF(C193="A",6.1,IF(C193="B",5.8,IF(C193="C",5.5,IF(C193="C.",5.5,IF(C193="D",5.2)))))*$B$2</f>
        <v>4076.203</v>
      </c>
      <c r="E197" s="823">
        <f t="shared" si="22"/>
        <v>3757043.4151713923</v>
      </c>
      <c r="F197" s="838"/>
      <c r="G197" s="821" t="s">
        <v>80</v>
      </c>
      <c r="H197" s="980" t="s">
        <v>562</v>
      </c>
      <c r="I197" s="879">
        <f>VLOOKUP(H192,'CNKT '!$C$16:$Z$96,8,0)</f>
        <v>556.10194376810489</v>
      </c>
      <c r="J197" s="825">
        <f>IF(I193="A",6.1,IF(I193="B",5.8,IF(I193="C",5.5,IF(I193="C.",5.5,IF(I193="D",5.2)))))*$B$2</f>
        <v>3875.7339999999999</v>
      </c>
      <c r="K197" s="823">
        <f t="shared" si="23"/>
        <v>2155303.2109281323</v>
      </c>
      <c r="L197" s="818"/>
    </row>
    <row r="198" spans="1:13" s="31" customFormat="1" ht="17.25" customHeight="1">
      <c r="A198" s="821" t="s">
        <v>495</v>
      </c>
      <c r="B198" s="980" t="s">
        <v>563</v>
      </c>
      <c r="C198" s="879">
        <f>VLOOKUP(B192,'CNKT '!$C$16:$Z$96,15,0)</f>
        <v>0</v>
      </c>
      <c r="D198" s="826">
        <f>92.2*$B$2</f>
        <v>61610.806000000004</v>
      </c>
      <c r="E198" s="823">
        <f t="shared" si="22"/>
        <v>0</v>
      </c>
      <c r="F198" s="838"/>
      <c r="G198" s="821" t="s">
        <v>495</v>
      </c>
      <c r="H198" s="980" t="s">
        <v>563</v>
      </c>
      <c r="I198" s="879">
        <f>VLOOKUP(H192,'CNKT '!$C$16:$Z$96,15,0)</f>
        <v>0</v>
      </c>
      <c r="J198" s="826">
        <f>92.2*$B$2</f>
        <v>61610.806000000004</v>
      </c>
      <c r="K198" s="823">
        <f t="shared" si="23"/>
        <v>0</v>
      </c>
      <c r="L198" s="818"/>
    </row>
    <row r="199" spans="1:13" s="31" customFormat="1" ht="17.25" customHeight="1">
      <c r="A199" s="821" t="s">
        <v>496</v>
      </c>
      <c r="B199" s="980" t="s">
        <v>500</v>
      </c>
      <c r="C199" s="879">
        <f>VLOOKUP(B192,'CNKT '!$C$16:$Z$96,16,0)</f>
        <v>0</v>
      </c>
      <c r="D199" s="825">
        <f>153.8*$B$2</f>
        <v>102773.774</v>
      </c>
      <c r="E199" s="823">
        <f t="shared" si="22"/>
        <v>0</v>
      </c>
      <c r="F199" s="838"/>
      <c r="G199" s="821" t="s">
        <v>496</v>
      </c>
      <c r="H199" s="980" t="s">
        <v>500</v>
      </c>
      <c r="I199" s="879">
        <f>VLOOKUP(H192,'CNKT '!$C$16:$Z$96,16,0)</f>
        <v>0</v>
      </c>
      <c r="J199" s="825">
        <f>153.8*$B$2</f>
        <v>102773.774</v>
      </c>
      <c r="K199" s="823">
        <f t="shared" si="23"/>
        <v>0</v>
      </c>
      <c r="L199" s="818"/>
    </row>
    <row r="200" spans="1:13" s="31" customFormat="1" ht="17.25" customHeight="1">
      <c r="A200" s="821" t="s">
        <v>455</v>
      </c>
      <c r="B200" s="980" t="s">
        <v>501</v>
      </c>
      <c r="C200" s="879">
        <f>VLOOKUP(B192,'CNKT '!$C$16:$Z$96,18,0)</f>
        <v>0</v>
      </c>
      <c r="D200" s="825">
        <v>10000</v>
      </c>
      <c r="E200" s="823">
        <f t="shared" si="22"/>
        <v>0</v>
      </c>
      <c r="F200" s="838"/>
      <c r="G200" s="821" t="s">
        <v>455</v>
      </c>
      <c r="H200" s="980" t="s">
        <v>501</v>
      </c>
      <c r="I200" s="879">
        <f>VLOOKUP(H192,'CNKT '!$C$16:$Z$96,18,0)</f>
        <v>0</v>
      </c>
      <c r="J200" s="825">
        <v>10000</v>
      </c>
      <c r="K200" s="823">
        <f t="shared" si="23"/>
        <v>0</v>
      </c>
      <c r="L200" s="818"/>
    </row>
    <row r="201" spans="1:13" s="31" customFormat="1" ht="17.25" customHeight="1">
      <c r="A201" s="821" t="s">
        <v>455</v>
      </c>
      <c r="B201" s="980" t="s">
        <v>501</v>
      </c>
      <c r="C201" s="879">
        <f>VLOOKUP(B192,'CNKT '!$C$16:$Z$96,19,0)</f>
        <v>0</v>
      </c>
      <c r="D201" s="825">
        <v>20000</v>
      </c>
      <c r="E201" s="823">
        <f t="shared" si="22"/>
        <v>0</v>
      </c>
      <c r="F201" s="838"/>
      <c r="G201" s="821" t="s">
        <v>455</v>
      </c>
      <c r="H201" s="980" t="s">
        <v>501</v>
      </c>
      <c r="I201" s="879">
        <f>VLOOKUP(H192,'CNKT '!$C$16:$Z$96,19,0)</f>
        <v>0</v>
      </c>
      <c r="J201" s="825">
        <v>20000</v>
      </c>
      <c r="K201" s="823">
        <f t="shared" si="23"/>
        <v>0</v>
      </c>
      <c r="L201" s="818"/>
    </row>
    <row r="202" spans="1:13" s="31" customFormat="1" ht="17.25" customHeight="1">
      <c r="A202" s="821" t="s">
        <v>517</v>
      </c>
      <c r="B202" s="980" t="s">
        <v>519</v>
      </c>
      <c r="C202" s="879"/>
      <c r="D202" s="825"/>
      <c r="E202" s="823"/>
      <c r="F202" s="838"/>
      <c r="G202" s="821" t="s">
        <v>517</v>
      </c>
      <c r="H202" s="980" t="s">
        <v>519</v>
      </c>
      <c r="I202" s="879"/>
      <c r="J202" s="825"/>
      <c r="K202" s="823"/>
      <c r="L202" s="818"/>
    </row>
    <row r="203" spans="1:13" s="31" customFormat="1" ht="17.25" customHeight="1">
      <c r="A203" s="827" t="s">
        <v>81</v>
      </c>
      <c r="B203" s="981" t="s">
        <v>564</v>
      </c>
      <c r="C203" s="828"/>
      <c r="D203" s="829"/>
      <c r="E203" s="828"/>
      <c r="F203" s="842"/>
      <c r="G203" s="827" t="s">
        <v>81</v>
      </c>
      <c r="H203" s="981" t="s">
        <v>564</v>
      </c>
      <c r="I203" s="828"/>
      <c r="J203" s="829"/>
      <c r="K203" s="828"/>
      <c r="L203" s="818"/>
    </row>
    <row r="204" spans="1:13" s="31" customFormat="1" ht="17.25" customHeight="1">
      <c r="A204" s="830" t="s">
        <v>82</v>
      </c>
      <c r="B204" s="982" t="s">
        <v>565</v>
      </c>
      <c r="C204" s="828"/>
      <c r="D204" s="828"/>
      <c r="E204" s="828"/>
      <c r="F204" s="842"/>
      <c r="G204" s="830" t="s">
        <v>82</v>
      </c>
      <c r="H204" s="982" t="s">
        <v>565</v>
      </c>
      <c r="I204" s="828"/>
      <c r="J204" s="828"/>
      <c r="K204" s="828"/>
      <c r="L204" s="818"/>
    </row>
    <row r="205" spans="1:13" s="31" customFormat="1" ht="17.25" customHeight="1">
      <c r="A205" s="830" t="s">
        <v>83</v>
      </c>
      <c r="B205" s="983" t="s">
        <v>566</v>
      </c>
      <c r="C205" s="828"/>
      <c r="D205" s="828"/>
      <c r="E205" s="823">
        <f>SUM(E204)</f>
        <v>0</v>
      </c>
      <c r="F205" s="842"/>
      <c r="G205" s="830" t="s">
        <v>83</v>
      </c>
      <c r="H205" s="983" t="s">
        <v>566</v>
      </c>
      <c r="I205" s="828"/>
      <c r="J205" s="828"/>
      <c r="K205" s="823">
        <f>SUM(K204)</f>
        <v>0</v>
      </c>
      <c r="L205" s="818"/>
      <c r="M205" s="831">
        <f>E205+K205</f>
        <v>0</v>
      </c>
    </row>
    <row r="206" spans="1:13" s="31" customFormat="1" ht="17.25" customHeight="1">
      <c r="A206" s="832" t="s">
        <v>84</v>
      </c>
      <c r="B206" s="984" t="s">
        <v>438</v>
      </c>
      <c r="C206" s="833"/>
      <c r="D206" s="833"/>
      <c r="E206" s="833">
        <f>(E194+E195+E196+E197+E198+E199+E200+E201+E202)-E205</f>
        <v>4794336.8441713918</v>
      </c>
      <c r="F206" s="842"/>
      <c r="G206" s="832" t="s">
        <v>84</v>
      </c>
      <c r="H206" s="984" t="s">
        <v>438</v>
      </c>
      <c r="I206" s="833"/>
      <c r="J206" s="833"/>
      <c r="K206" s="833">
        <f>(K194+K195+K196+K197+K198+K199+K200+K201+K202)-K205</f>
        <v>3017988.1409281325</v>
      </c>
      <c r="L206" s="835">
        <f>E206+K206</f>
        <v>7812324.9850995243</v>
      </c>
    </row>
    <row r="207" spans="1:13" s="31" customFormat="1" ht="17.25" customHeight="1">
      <c r="A207" s="838"/>
      <c r="B207" s="844"/>
      <c r="C207" s="845"/>
      <c r="D207" s="845"/>
      <c r="E207" s="843"/>
      <c r="F207" s="842"/>
      <c r="G207" s="838"/>
      <c r="H207" s="844"/>
      <c r="I207" s="845"/>
      <c r="J207" s="843"/>
      <c r="K207" s="846"/>
      <c r="L207" s="818"/>
    </row>
    <row r="208" spans="1:13" s="31" customFormat="1" ht="17.25" customHeight="1">
      <c r="A208" s="1615" t="str">
        <f>G191</f>
        <v>LƯƠNG THÁNG 01/2025</v>
      </c>
      <c r="B208" s="1616"/>
      <c r="C208" s="1616"/>
      <c r="D208" s="1616"/>
      <c r="E208" s="898">
        <v>25</v>
      </c>
      <c r="F208" s="838"/>
      <c r="G208" s="1615" t="str">
        <f>A208</f>
        <v>LƯƠNG THÁNG 01/2025</v>
      </c>
      <c r="H208" s="1616"/>
      <c r="I208" s="1616"/>
      <c r="J208" s="1617"/>
      <c r="K208" s="898">
        <v>26</v>
      </c>
      <c r="L208" s="818"/>
    </row>
    <row r="209" spans="1:13" s="31" customFormat="1" ht="17.25" customHeight="1">
      <c r="A209" s="837" t="s">
        <v>17</v>
      </c>
      <c r="B209" s="976" t="str">
        <f>'CNKT '!C40</f>
        <v>N. Nong</v>
      </c>
      <c r="C209" s="819"/>
      <c r="D209" s="973" t="s">
        <v>398</v>
      </c>
      <c r="E209" s="973" t="s">
        <v>20</v>
      </c>
      <c r="F209" s="838"/>
      <c r="G209" s="837" t="s">
        <v>17</v>
      </c>
      <c r="H209" s="976" t="str">
        <f>'CNKT '!C41</f>
        <v>N. Tun 1</v>
      </c>
      <c r="I209" s="819"/>
      <c r="J209" s="973" t="s">
        <v>398</v>
      </c>
      <c r="K209" s="973" t="s">
        <v>20</v>
      </c>
      <c r="L209" s="818"/>
    </row>
    <row r="210" spans="1:13" s="31" customFormat="1" ht="17.25" customHeight="1">
      <c r="A210" s="821" t="s">
        <v>399</v>
      </c>
      <c r="B210" s="978" t="s">
        <v>559</v>
      </c>
      <c r="C210" s="822" t="str">
        <f>VLOOKUP(B209,'BTH mủ tạp'!$C$17:$AL$94,36,0)</f>
        <v>A</v>
      </c>
      <c r="D210" s="823"/>
      <c r="E210" s="823"/>
      <c r="F210" s="838"/>
      <c r="G210" s="821" t="s">
        <v>399</v>
      </c>
      <c r="H210" s="978" t="s">
        <v>559</v>
      </c>
      <c r="I210" s="822" t="str">
        <f>VLOOKUP(H209,'BTH mủ tạp'!$C$17:$AL$94,36,0)</f>
        <v>A</v>
      </c>
      <c r="J210" s="823"/>
      <c r="K210" s="823"/>
      <c r="L210" s="818"/>
    </row>
    <row r="211" spans="1:13" s="31" customFormat="1" ht="17.25" customHeight="1">
      <c r="A211" s="821" t="s">
        <v>79</v>
      </c>
      <c r="B211" s="979" t="s">
        <v>432</v>
      </c>
      <c r="C211" s="824">
        <f>VLOOKUP(B209,'CNKT '!$C$16:$Z$96,3,0)</f>
        <v>0</v>
      </c>
      <c r="D211" s="825">
        <v>25000</v>
      </c>
      <c r="E211" s="823">
        <f t="shared" ref="E211:E218" si="24">C211*D211</f>
        <v>0</v>
      </c>
      <c r="F211" s="838"/>
      <c r="G211" s="821" t="s">
        <v>79</v>
      </c>
      <c r="H211" s="979" t="s">
        <v>432</v>
      </c>
      <c r="I211" s="824">
        <f>VLOOKUP(H209,'CNKT '!$C$16:$Z$96,3,0)</f>
        <v>0</v>
      </c>
      <c r="J211" s="825">
        <v>25000</v>
      </c>
      <c r="K211" s="823">
        <f t="shared" ref="K211:K218" si="25">I211*J211</f>
        <v>0</v>
      </c>
      <c r="L211" s="818"/>
    </row>
    <row r="212" spans="1:13" s="31" customFormat="1" ht="17.25" customHeight="1">
      <c r="A212" s="821" t="s">
        <v>310</v>
      </c>
      <c r="B212" s="980" t="s">
        <v>560</v>
      </c>
      <c r="C212" s="879">
        <f>VLOOKUP(B209,'CNKT '!$C$16:$Z$96,11,0)</f>
        <v>27</v>
      </c>
      <c r="D212" s="826">
        <f>46.1*$B$2</f>
        <v>30805.403000000002</v>
      </c>
      <c r="E212" s="823">
        <f t="shared" si="24"/>
        <v>831745.88100000005</v>
      </c>
      <c r="F212" s="842"/>
      <c r="G212" s="821" t="s">
        <v>310</v>
      </c>
      <c r="H212" s="980" t="s">
        <v>560</v>
      </c>
      <c r="I212" s="879">
        <f>VLOOKUP(H209,'CNKT '!$C$16:$Z$96,11,0)</f>
        <v>26</v>
      </c>
      <c r="J212" s="826">
        <f>46.1*$B$2</f>
        <v>30805.403000000002</v>
      </c>
      <c r="K212" s="823">
        <f t="shared" si="25"/>
        <v>800940.478</v>
      </c>
      <c r="L212" s="818"/>
    </row>
    <row r="213" spans="1:13" s="31" customFormat="1" ht="17.25" customHeight="1">
      <c r="A213" s="821" t="s">
        <v>401</v>
      </c>
      <c r="B213" s="980" t="s">
        <v>561</v>
      </c>
      <c r="C213" s="879">
        <f>VLOOKUP(B209,'CNKT '!$C$16:$Z$96,12,0)</f>
        <v>3</v>
      </c>
      <c r="D213" s="825">
        <f>76.9*$B$2</f>
        <v>51386.887000000002</v>
      </c>
      <c r="E213" s="823">
        <f t="shared" si="24"/>
        <v>154160.66100000002</v>
      </c>
      <c r="F213" s="975"/>
      <c r="G213" s="821" t="s">
        <v>401</v>
      </c>
      <c r="H213" s="980" t="s">
        <v>561</v>
      </c>
      <c r="I213" s="879">
        <f>VLOOKUP(H209,'CNKT '!$C$16:$Z$96,12,0)</f>
        <v>4</v>
      </c>
      <c r="J213" s="825">
        <f>76.9*$B$2</f>
        <v>51386.887000000002</v>
      </c>
      <c r="K213" s="823">
        <f t="shared" si="25"/>
        <v>205547.54800000001</v>
      </c>
      <c r="L213" s="818"/>
    </row>
    <row r="214" spans="1:13" s="31" customFormat="1" ht="17.25" customHeight="1">
      <c r="A214" s="821" t="s">
        <v>80</v>
      </c>
      <c r="B214" s="980" t="s">
        <v>562</v>
      </c>
      <c r="C214" s="879">
        <f>VLOOKUP(B209,'CNKT '!$C$16:$Z$96,8,0)</f>
        <v>923.24219288555173</v>
      </c>
      <c r="D214" s="825">
        <f>IF(C210="A",6.1,IF(C210="B",5.8,IF(C210="C",5.5,IF(C210="C.",5.5,IF(C210="D",5.2)))))*$B$2</f>
        <v>4076.203</v>
      </c>
      <c r="E214" s="823">
        <f t="shared" si="24"/>
        <v>3763322.5963666644</v>
      </c>
      <c r="F214" s="843"/>
      <c r="G214" s="821" t="s">
        <v>80</v>
      </c>
      <c r="H214" s="980" t="s">
        <v>562</v>
      </c>
      <c r="I214" s="879">
        <f>VLOOKUP(H209,'CNKT '!$C$16:$Z$96,8,0)</f>
        <v>696.28276615840275</v>
      </c>
      <c r="J214" s="825">
        <f>IF(I210="A",6.1,IF(I210="B",5.8,IF(I210="C",5.5,IF(I210="C.",5.5,IF(I210="D",5.2)))))*$B$2</f>
        <v>4076.203</v>
      </c>
      <c r="K214" s="823">
        <f t="shared" si="25"/>
        <v>2838189.9002631796</v>
      </c>
      <c r="L214" s="818"/>
    </row>
    <row r="215" spans="1:13" s="31" customFormat="1" ht="17.25" customHeight="1">
      <c r="A215" s="821" t="s">
        <v>495</v>
      </c>
      <c r="B215" s="980" t="s">
        <v>563</v>
      </c>
      <c r="C215" s="879">
        <f>VLOOKUP(B209,'CNKT '!$C$16:$Z$96,15,0)</f>
        <v>0</v>
      </c>
      <c r="D215" s="826">
        <f>92.2*$B$2</f>
        <v>61610.806000000004</v>
      </c>
      <c r="E215" s="823">
        <f t="shared" si="24"/>
        <v>0</v>
      </c>
      <c r="F215" s="843"/>
      <c r="G215" s="821" t="s">
        <v>495</v>
      </c>
      <c r="H215" s="980" t="s">
        <v>563</v>
      </c>
      <c r="I215" s="879">
        <f>VLOOKUP(H209,'CNKT '!$C$16:$Z$96,15,0)</f>
        <v>0</v>
      </c>
      <c r="J215" s="826">
        <f>92.2*$B$2</f>
        <v>61610.806000000004</v>
      </c>
      <c r="K215" s="823">
        <f t="shared" si="25"/>
        <v>0</v>
      </c>
      <c r="L215" s="818"/>
    </row>
    <row r="216" spans="1:13" s="31" customFormat="1" ht="17.25" customHeight="1">
      <c r="A216" s="821" t="s">
        <v>496</v>
      </c>
      <c r="B216" s="980" t="s">
        <v>500</v>
      </c>
      <c r="C216" s="879">
        <f>VLOOKUP(B209,'CNKT '!$C$16:$Z$96,16,0)</f>
        <v>0</v>
      </c>
      <c r="D216" s="825">
        <f>153.8*$B$2</f>
        <v>102773.774</v>
      </c>
      <c r="E216" s="823">
        <f t="shared" si="24"/>
        <v>0</v>
      </c>
      <c r="F216" s="843"/>
      <c r="G216" s="821" t="s">
        <v>496</v>
      </c>
      <c r="H216" s="980" t="s">
        <v>500</v>
      </c>
      <c r="I216" s="879">
        <f>VLOOKUP(H209,'CNKT '!$C$16:$Z$96,16,0)</f>
        <v>0</v>
      </c>
      <c r="J216" s="825">
        <f>153.8*$B$2</f>
        <v>102773.774</v>
      </c>
      <c r="K216" s="823">
        <f t="shared" si="25"/>
        <v>0</v>
      </c>
      <c r="L216" s="818"/>
    </row>
    <row r="217" spans="1:13" s="31" customFormat="1" ht="17.25" customHeight="1">
      <c r="A217" s="821" t="s">
        <v>455</v>
      </c>
      <c r="B217" s="980" t="s">
        <v>501</v>
      </c>
      <c r="C217" s="879">
        <f>VLOOKUP(B209,'CNKT '!$C$16:$Z$96,18,0)</f>
        <v>0</v>
      </c>
      <c r="D217" s="825">
        <v>10000</v>
      </c>
      <c r="E217" s="823">
        <f t="shared" si="24"/>
        <v>0</v>
      </c>
      <c r="F217" s="843"/>
      <c r="G217" s="821" t="s">
        <v>455</v>
      </c>
      <c r="H217" s="980" t="s">
        <v>501</v>
      </c>
      <c r="I217" s="879">
        <f>VLOOKUP(H209,'CNKT '!$C$16:$Z$96,18,0)</f>
        <v>0</v>
      </c>
      <c r="J217" s="825">
        <v>10000</v>
      </c>
      <c r="K217" s="823">
        <f t="shared" si="25"/>
        <v>0</v>
      </c>
      <c r="L217" s="818"/>
    </row>
    <row r="218" spans="1:13" s="31" customFormat="1" ht="17.25" customHeight="1">
      <c r="A218" s="821" t="s">
        <v>455</v>
      </c>
      <c r="B218" s="980" t="s">
        <v>501</v>
      </c>
      <c r="C218" s="879">
        <f>VLOOKUP(B209,'CNKT '!$C$16:$Z$96,19,0)</f>
        <v>0</v>
      </c>
      <c r="D218" s="825">
        <v>20000</v>
      </c>
      <c r="E218" s="823">
        <f t="shared" si="24"/>
        <v>0</v>
      </c>
      <c r="F218" s="843"/>
      <c r="G218" s="821" t="s">
        <v>455</v>
      </c>
      <c r="H218" s="980" t="s">
        <v>501</v>
      </c>
      <c r="I218" s="879">
        <f>VLOOKUP(H209,'CNKT '!$C$16:$Z$96,19,0)</f>
        <v>0</v>
      </c>
      <c r="J218" s="825">
        <v>20000</v>
      </c>
      <c r="K218" s="823">
        <f t="shared" si="25"/>
        <v>0</v>
      </c>
      <c r="L218" s="818"/>
    </row>
    <row r="219" spans="1:13" s="31" customFormat="1" ht="17.25" customHeight="1">
      <c r="A219" s="821" t="s">
        <v>517</v>
      </c>
      <c r="B219" s="980" t="s">
        <v>519</v>
      </c>
      <c r="C219" s="879"/>
      <c r="D219" s="825"/>
      <c r="E219" s="823"/>
      <c r="F219" s="843"/>
      <c r="G219" s="821" t="s">
        <v>517</v>
      </c>
      <c r="H219" s="980" t="s">
        <v>519</v>
      </c>
      <c r="I219" s="879"/>
      <c r="J219" s="825"/>
      <c r="K219" s="823"/>
      <c r="L219" s="818"/>
    </row>
    <row r="220" spans="1:13" s="31" customFormat="1" ht="17.25" customHeight="1">
      <c r="A220" s="827" t="s">
        <v>81</v>
      </c>
      <c r="B220" s="981" t="s">
        <v>564</v>
      </c>
      <c r="C220" s="828"/>
      <c r="D220" s="829"/>
      <c r="E220" s="828"/>
      <c r="F220" s="843"/>
      <c r="G220" s="827" t="s">
        <v>81</v>
      </c>
      <c r="H220" s="981" t="s">
        <v>564</v>
      </c>
      <c r="I220" s="828"/>
      <c r="J220" s="829"/>
      <c r="K220" s="828"/>
      <c r="L220" s="818"/>
    </row>
    <row r="221" spans="1:13" s="31" customFormat="1" ht="17.25" customHeight="1">
      <c r="A221" s="830" t="s">
        <v>82</v>
      </c>
      <c r="B221" s="982" t="s">
        <v>565</v>
      </c>
      <c r="C221" s="828"/>
      <c r="D221" s="828"/>
      <c r="E221" s="828"/>
      <c r="F221" s="843"/>
      <c r="G221" s="830" t="s">
        <v>82</v>
      </c>
      <c r="H221" s="982" t="s">
        <v>565</v>
      </c>
      <c r="I221" s="828"/>
      <c r="J221" s="828"/>
      <c r="K221" s="828"/>
      <c r="L221" s="818"/>
    </row>
    <row r="222" spans="1:13" s="31" customFormat="1" ht="17.25" customHeight="1">
      <c r="A222" s="830" t="s">
        <v>83</v>
      </c>
      <c r="B222" s="983" t="s">
        <v>566</v>
      </c>
      <c r="C222" s="828"/>
      <c r="D222" s="828"/>
      <c r="E222" s="823">
        <f>SUM(E221)</f>
        <v>0</v>
      </c>
      <c r="F222" s="843"/>
      <c r="G222" s="830" t="s">
        <v>83</v>
      </c>
      <c r="H222" s="983" t="s">
        <v>566</v>
      </c>
      <c r="I222" s="828"/>
      <c r="J222" s="828"/>
      <c r="K222" s="823">
        <f>SUM(K221)</f>
        <v>0</v>
      </c>
      <c r="L222" s="818"/>
      <c r="M222" s="831">
        <f>E222+K222</f>
        <v>0</v>
      </c>
    </row>
    <row r="223" spans="1:13" s="31" customFormat="1" ht="17.25" customHeight="1">
      <c r="A223" s="832" t="s">
        <v>84</v>
      </c>
      <c r="B223" s="984" t="s">
        <v>438</v>
      </c>
      <c r="C223" s="833"/>
      <c r="D223" s="833"/>
      <c r="E223" s="833">
        <f>(E211+E212+E213+E214+E215+E216+E217+E218+E219)-E222</f>
        <v>4749229.1383666648</v>
      </c>
      <c r="F223" s="843"/>
      <c r="G223" s="832" t="s">
        <v>84</v>
      </c>
      <c r="H223" s="984" t="s">
        <v>438</v>
      </c>
      <c r="I223" s="833"/>
      <c r="J223" s="833"/>
      <c r="K223" s="833">
        <f>(K211+K212+K213+K214+K215+K216+K217+K218+K219)-K222</f>
        <v>3844677.9262631796</v>
      </c>
      <c r="L223" s="835">
        <f>E223+K223</f>
        <v>8593907.0646298453</v>
      </c>
    </row>
    <row r="224" spans="1:13" s="31" customFormat="1" ht="17.25" customHeight="1">
      <c r="A224" s="838"/>
      <c r="B224" s="844"/>
      <c r="C224" s="845"/>
      <c r="D224" s="845"/>
      <c r="E224" s="843"/>
      <c r="F224" s="843"/>
      <c r="G224" s="838"/>
      <c r="H224" s="844"/>
      <c r="I224" s="845"/>
      <c r="J224" s="843"/>
      <c r="K224" s="836"/>
      <c r="L224" s="818"/>
    </row>
    <row r="225" spans="1:13" s="31" customFormat="1" ht="17.25" customHeight="1">
      <c r="A225" s="841"/>
      <c r="B225" s="842"/>
      <c r="C225" s="975"/>
      <c r="D225" s="975"/>
      <c r="E225" s="975"/>
      <c r="F225" s="838"/>
      <c r="G225" s="841"/>
      <c r="H225" s="842"/>
      <c r="I225" s="975"/>
      <c r="J225" s="975"/>
      <c r="K225" s="836"/>
      <c r="L225" s="818"/>
    </row>
    <row r="226" spans="1:13" s="31" customFormat="1" ht="17.25" customHeight="1">
      <c r="A226" s="1615" t="str">
        <f>G208</f>
        <v>LƯƠNG THÁNG 01/2025</v>
      </c>
      <c r="B226" s="1616"/>
      <c r="C226" s="1616"/>
      <c r="D226" s="1616"/>
      <c r="E226" s="898">
        <v>27</v>
      </c>
      <c r="F226" s="838"/>
      <c r="G226" s="1615" t="str">
        <f>A226</f>
        <v>LƯƠNG THÁNG 01/2025</v>
      </c>
      <c r="H226" s="1616"/>
      <c r="I226" s="1616"/>
      <c r="J226" s="1617"/>
      <c r="K226" s="898">
        <v>28</v>
      </c>
      <c r="L226" s="818"/>
    </row>
    <row r="227" spans="1:13" s="31" customFormat="1" ht="17.25" customHeight="1">
      <c r="A227" s="837" t="s">
        <v>17</v>
      </c>
      <c r="B227" s="976" t="str">
        <f>'CNKT '!C42</f>
        <v>T . Lốc</v>
      </c>
      <c r="C227" s="819"/>
      <c r="D227" s="973" t="s">
        <v>398</v>
      </c>
      <c r="E227" s="973" t="s">
        <v>20</v>
      </c>
      <c r="F227" s="842"/>
      <c r="G227" s="837" t="s">
        <v>17</v>
      </c>
      <c r="H227" s="976" t="str">
        <f>'CNKT '!C43</f>
        <v>N . Khâm (1)</v>
      </c>
      <c r="I227" s="819"/>
      <c r="J227" s="973" t="s">
        <v>398</v>
      </c>
      <c r="K227" s="973" t="s">
        <v>20</v>
      </c>
      <c r="L227" s="818"/>
    </row>
    <row r="228" spans="1:13" s="31" customFormat="1" ht="17.25" customHeight="1">
      <c r="A228" s="821" t="s">
        <v>399</v>
      </c>
      <c r="B228" s="978" t="s">
        <v>559</v>
      </c>
      <c r="C228" s="822" t="str">
        <f>VLOOKUP(B227,'BTH mủ tạp'!$C$17:$AL$94,36,0)</f>
        <v>B</v>
      </c>
      <c r="D228" s="823"/>
      <c r="E228" s="823"/>
      <c r="F228" s="842"/>
      <c r="G228" s="821" t="s">
        <v>399</v>
      </c>
      <c r="H228" s="978" t="s">
        <v>559</v>
      </c>
      <c r="I228" s="822" t="str">
        <f>VLOOKUP(H227,'BTH mủ tạp'!$C$17:$AL$94,36,0)</f>
        <v>A</v>
      </c>
      <c r="J228" s="823"/>
      <c r="K228" s="823"/>
      <c r="L228" s="818"/>
    </row>
    <row r="229" spans="1:13" s="31" customFormat="1" ht="17.25" customHeight="1">
      <c r="A229" s="821" t="s">
        <v>79</v>
      </c>
      <c r="B229" s="979" t="s">
        <v>432</v>
      </c>
      <c r="C229" s="824">
        <f>VLOOKUP(B227,'CNKT '!$C$16:$Z$96,3,0)</f>
        <v>0</v>
      </c>
      <c r="D229" s="825">
        <v>25000</v>
      </c>
      <c r="E229" s="823">
        <f t="shared" ref="E229:E236" si="26">C229*D229</f>
        <v>0</v>
      </c>
      <c r="F229" s="975"/>
      <c r="G229" s="821" t="s">
        <v>79</v>
      </c>
      <c r="H229" s="979" t="s">
        <v>432</v>
      </c>
      <c r="I229" s="824">
        <f>VLOOKUP(H227,'CNKT '!$C$16:$Z$96,3,0)</f>
        <v>0</v>
      </c>
      <c r="J229" s="825">
        <v>25000</v>
      </c>
      <c r="K229" s="823">
        <f t="shared" ref="K229:K236" si="27">I229*J229</f>
        <v>0</v>
      </c>
      <c r="L229" s="818"/>
    </row>
    <row r="230" spans="1:13" s="31" customFormat="1" ht="17.25" customHeight="1">
      <c r="A230" s="821" t="s">
        <v>310</v>
      </c>
      <c r="B230" s="980" t="s">
        <v>560</v>
      </c>
      <c r="C230" s="879">
        <f>VLOOKUP(B227,'CNKT '!$C$16:$Z$96,11,0)</f>
        <v>26</v>
      </c>
      <c r="D230" s="826">
        <f>46.1*$B$2</f>
        <v>30805.403000000002</v>
      </c>
      <c r="E230" s="823">
        <f t="shared" si="26"/>
        <v>800940.478</v>
      </c>
      <c r="F230" s="975"/>
      <c r="G230" s="821" t="s">
        <v>310</v>
      </c>
      <c r="H230" s="980" t="s">
        <v>560</v>
      </c>
      <c r="I230" s="879">
        <f>VLOOKUP(H227,'CNKT '!$C$16:$Z$96,11,0)</f>
        <v>24</v>
      </c>
      <c r="J230" s="826">
        <f>46.1*$B$2</f>
        <v>30805.403000000002</v>
      </c>
      <c r="K230" s="823">
        <f t="shared" si="27"/>
        <v>739329.67200000002</v>
      </c>
      <c r="L230" s="818"/>
    </row>
    <row r="231" spans="1:13" s="31" customFormat="1" ht="17.25" customHeight="1">
      <c r="A231" s="821" t="s">
        <v>401</v>
      </c>
      <c r="B231" s="980" t="s">
        <v>561</v>
      </c>
      <c r="C231" s="879">
        <f>VLOOKUP(B227,'CNKT '!$C$16:$Z$96,12,0)</f>
        <v>4</v>
      </c>
      <c r="D231" s="825">
        <f>76.9*$B$2</f>
        <v>51386.887000000002</v>
      </c>
      <c r="E231" s="823">
        <f t="shared" si="26"/>
        <v>205547.54800000001</v>
      </c>
      <c r="F231" s="848"/>
      <c r="G231" s="821" t="s">
        <v>401</v>
      </c>
      <c r="H231" s="980" t="s">
        <v>561</v>
      </c>
      <c r="I231" s="879">
        <f>VLOOKUP(H227,'CNKT '!$C$16:$Z$96,12,0)</f>
        <v>4</v>
      </c>
      <c r="J231" s="825">
        <f>76.9*$B$2</f>
        <v>51386.887000000002</v>
      </c>
      <c r="K231" s="823">
        <f t="shared" si="27"/>
        <v>205547.54800000001</v>
      </c>
      <c r="L231" s="818"/>
    </row>
    <row r="232" spans="1:13" s="31" customFormat="1" ht="17.25" customHeight="1">
      <c r="A232" s="821" t="s">
        <v>80</v>
      </c>
      <c r="B232" s="980" t="s">
        <v>562</v>
      </c>
      <c r="C232" s="879">
        <f>VLOOKUP(B227,'CNKT '!$C$16:$Z$96,8,0)</f>
        <v>696.79624902430123</v>
      </c>
      <c r="D232" s="825">
        <f>IF(C228="A",6.1,IF(C228="B",5.8,IF(C228="C",5.5,IF(C228="C.",5.5,IF(C228="D",5.2)))))*$B$2</f>
        <v>3875.7339999999999</v>
      </c>
      <c r="E232" s="823">
        <f t="shared" si="26"/>
        <v>2700596.9134159512</v>
      </c>
      <c r="F232" s="975"/>
      <c r="G232" s="821" t="s">
        <v>80</v>
      </c>
      <c r="H232" s="980" t="s">
        <v>562</v>
      </c>
      <c r="I232" s="879">
        <f>VLOOKUP(H227,'CNKT '!$C$16:$Z$96,8,0)</f>
        <v>909.89163837218996</v>
      </c>
      <c r="J232" s="825">
        <f>IF(I228="A",6.1,IF(I228="B",5.8,IF(I228="C",5.5,IF(I228="C.",5.5,IF(I228="D",5.2)))))*$B$2</f>
        <v>4076.203</v>
      </c>
      <c r="K232" s="823">
        <f t="shared" si="27"/>
        <v>3708903.026007636</v>
      </c>
      <c r="L232" s="818"/>
    </row>
    <row r="233" spans="1:13" s="31" customFormat="1" ht="17.25" customHeight="1">
      <c r="A233" s="821" t="s">
        <v>495</v>
      </c>
      <c r="B233" s="980" t="s">
        <v>563</v>
      </c>
      <c r="C233" s="879">
        <f>VLOOKUP(B227,'CNKT '!$C$16:$Z$96,15,0)</f>
        <v>0</v>
      </c>
      <c r="D233" s="826">
        <f>92.2*$B$2</f>
        <v>61610.806000000004</v>
      </c>
      <c r="E233" s="823">
        <f t="shared" si="26"/>
        <v>0</v>
      </c>
      <c r="F233" s="975"/>
      <c r="G233" s="821" t="s">
        <v>495</v>
      </c>
      <c r="H233" s="980" t="s">
        <v>563</v>
      </c>
      <c r="I233" s="879">
        <f>VLOOKUP(H227,'CNKT '!$C$16:$Z$96,15,0)</f>
        <v>0</v>
      </c>
      <c r="J233" s="826">
        <f>92.2*$B$2</f>
        <v>61610.806000000004</v>
      </c>
      <c r="K233" s="823">
        <f t="shared" si="27"/>
        <v>0</v>
      </c>
      <c r="L233" s="818"/>
    </row>
    <row r="234" spans="1:13" s="31" customFormat="1" ht="17.25" customHeight="1">
      <c r="A234" s="821" t="s">
        <v>496</v>
      </c>
      <c r="B234" s="980" t="s">
        <v>500</v>
      </c>
      <c r="C234" s="879">
        <f>VLOOKUP(B227,'CNKT '!$C$16:$Z$96,16,0)</f>
        <v>0</v>
      </c>
      <c r="D234" s="825">
        <f>153.8*$B$2</f>
        <v>102773.774</v>
      </c>
      <c r="E234" s="823">
        <f t="shared" si="26"/>
        <v>0</v>
      </c>
      <c r="F234" s="975"/>
      <c r="G234" s="821" t="s">
        <v>496</v>
      </c>
      <c r="H234" s="980" t="s">
        <v>500</v>
      </c>
      <c r="I234" s="879">
        <f>VLOOKUP(H227,'CNKT '!$C$16:$Z$96,16,0)</f>
        <v>0</v>
      </c>
      <c r="J234" s="825">
        <f>153.8*$B$2</f>
        <v>102773.774</v>
      </c>
      <c r="K234" s="823">
        <f t="shared" si="27"/>
        <v>0</v>
      </c>
      <c r="L234" s="818"/>
    </row>
    <row r="235" spans="1:13" s="31" customFormat="1" ht="17.25" customHeight="1">
      <c r="A235" s="821" t="s">
        <v>455</v>
      </c>
      <c r="B235" s="980" t="s">
        <v>501</v>
      </c>
      <c r="C235" s="879">
        <f>VLOOKUP(B227,'CNKT '!$C$16:$Z$96,18,0)</f>
        <v>0</v>
      </c>
      <c r="D235" s="825">
        <v>10000</v>
      </c>
      <c r="E235" s="823">
        <f t="shared" si="26"/>
        <v>0</v>
      </c>
      <c r="F235" s="975"/>
      <c r="G235" s="821" t="s">
        <v>455</v>
      </c>
      <c r="H235" s="980" t="s">
        <v>501</v>
      </c>
      <c r="I235" s="879">
        <f>VLOOKUP(H227,'CNKT '!$C$16:$Z$96,18,0)</f>
        <v>0</v>
      </c>
      <c r="J235" s="825">
        <v>10000</v>
      </c>
      <c r="K235" s="823">
        <f t="shared" si="27"/>
        <v>0</v>
      </c>
      <c r="L235" s="818"/>
    </row>
    <row r="236" spans="1:13" s="31" customFormat="1" ht="17.25" customHeight="1">
      <c r="A236" s="821" t="s">
        <v>455</v>
      </c>
      <c r="B236" s="980" t="s">
        <v>501</v>
      </c>
      <c r="C236" s="879">
        <f>VLOOKUP(B227,'CNKT '!$C$16:$Z$96,19,0)</f>
        <v>0</v>
      </c>
      <c r="D236" s="825">
        <v>20000</v>
      </c>
      <c r="E236" s="823">
        <f t="shared" si="26"/>
        <v>0</v>
      </c>
      <c r="F236" s="975"/>
      <c r="G236" s="821" t="s">
        <v>455</v>
      </c>
      <c r="H236" s="980" t="s">
        <v>501</v>
      </c>
      <c r="I236" s="879">
        <f>VLOOKUP(H227,'CNKT '!$C$16:$Z$96,19,0)</f>
        <v>0</v>
      </c>
      <c r="J236" s="825">
        <v>20000</v>
      </c>
      <c r="K236" s="823">
        <f t="shared" si="27"/>
        <v>0</v>
      </c>
      <c r="L236" s="818"/>
    </row>
    <row r="237" spans="1:13" s="31" customFormat="1" ht="17.25" customHeight="1">
      <c r="A237" s="821" t="s">
        <v>517</v>
      </c>
      <c r="B237" s="980" t="s">
        <v>519</v>
      </c>
      <c r="C237" s="879"/>
      <c r="D237" s="825"/>
      <c r="E237" s="823"/>
      <c r="F237" s="975"/>
      <c r="G237" s="821" t="s">
        <v>517</v>
      </c>
      <c r="H237" s="980" t="s">
        <v>519</v>
      </c>
      <c r="I237" s="879"/>
      <c r="J237" s="825"/>
      <c r="K237" s="823"/>
      <c r="L237" s="818"/>
    </row>
    <row r="238" spans="1:13" s="31" customFormat="1" ht="17.25" customHeight="1">
      <c r="A238" s="827" t="s">
        <v>81</v>
      </c>
      <c r="B238" s="981" t="s">
        <v>564</v>
      </c>
      <c r="C238" s="828"/>
      <c r="D238" s="829"/>
      <c r="E238" s="828"/>
      <c r="F238" s="838"/>
      <c r="G238" s="827" t="s">
        <v>81</v>
      </c>
      <c r="H238" s="981" t="s">
        <v>564</v>
      </c>
      <c r="I238" s="828"/>
      <c r="J238" s="829"/>
      <c r="K238" s="828"/>
      <c r="L238" s="818"/>
    </row>
    <row r="239" spans="1:13" s="31" customFormat="1" ht="17.25" customHeight="1">
      <c r="A239" s="830" t="s">
        <v>82</v>
      </c>
      <c r="B239" s="982" t="s">
        <v>565</v>
      </c>
      <c r="C239" s="828"/>
      <c r="D239" s="828"/>
      <c r="E239" s="828"/>
      <c r="F239" s="838"/>
      <c r="G239" s="830" t="s">
        <v>82</v>
      </c>
      <c r="H239" s="982" t="s">
        <v>565</v>
      </c>
      <c r="I239" s="828"/>
      <c r="J239" s="828"/>
      <c r="K239" s="828"/>
      <c r="L239" s="818"/>
    </row>
    <row r="240" spans="1:13" s="31" customFormat="1" ht="17.25" customHeight="1">
      <c r="A240" s="830" t="s">
        <v>83</v>
      </c>
      <c r="B240" s="983" t="s">
        <v>566</v>
      </c>
      <c r="C240" s="828"/>
      <c r="D240" s="828"/>
      <c r="E240" s="823">
        <f>SUM(E239)</f>
        <v>0</v>
      </c>
      <c r="F240" s="838"/>
      <c r="G240" s="830" t="s">
        <v>83</v>
      </c>
      <c r="H240" s="983" t="s">
        <v>566</v>
      </c>
      <c r="I240" s="828"/>
      <c r="J240" s="828"/>
      <c r="K240" s="823">
        <f>SUM(K239)</f>
        <v>0</v>
      </c>
      <c r="L240" s="818"/>
      <c r="M240" s="831">
        <f>E240+K240</f>
        <v>0</v>
      </c>
    </row>
    <row r="241" spans="1:12" s="31" customFormat="1" ht="17.25" customHeight="1">
      <c r="A241" s="832" t="s">
        <v>84</v>
      </c>
      <c r="B241" s="984" t="s">
        <v>438</v>
      </c>
      <c r="C241" s="833"/>
      <c r="D241" s="833"/>
      <c r="E241" s="833">
        <f>(E229+E230+E231+E232+E233+E234+E235+E236+E237)-E240</f>
        <v>3707084.9394159513</v>
      </c>
      <c r="F241" s="838"/>
      <c r="G241" s="832" t="s">
        <v>84</v>
      </c>
      <c r="H241" s="984" t="s">
        <v>438</v>
      </c>
      <c r="I241" s="833"/>
      <c r="J241" s="833"/>
      <c r="K241" s="833">
        <f>(K229+K230+K231+K232+K233+K234+K235+K236+K237)-K240</f>
        <v>4653780.2460076362</v>
      </c>
      <c r="L241" s="835">
        <f>E241+K241</f>
        <v>8360865.1854235874</v>
      </c>
    </row>
    <row r="242" spans="1:12" s="31" customFormat="1" ht="192" customHeight="1">
      <c r="A242" s="838"/>
      <c r="B242" s="844"/>
      <c r="C242" s="845"/>
      <c r="D242" s="845"/>
      <c r="E242" s="843"/>
      <c r="F242" s="838"/>
      <c r="G242" s="838"/>
      <c r="H242" s="844"/>
      <c r="I242" s="845"/>
      <c r="J242" s="843"/>
      <c r="K242" s="836"/>
      <c r="L242" s="818"/>
    </row>
    <row r="243" spans="1:12" s="31" customFormat="1" ht="17.25" customHeight="1">
      <c r="A243" s="1615" t="str">
        <f>G226</f>
        <v>LƯƠNG THÁNG 01/2025</v>
      </c>
      <c r="B243" s="1616"/>
      <c r="C243" s="1616"/>
      <c r="D243" s="1616"/>
      <c r="E243" s="898">
        <v>29</v>
      </c>
      <c r="F243" s="975"/>
      <c r="G243" s="1615" t="str">
        <f>A243</f>
        <v>LƯƠNG THÁNG 01/2025</v>
      </c>
      <c r="H243" s="1616"/>
      <c r="I243" s="1616"/>
      <c r="J243" s="1617"/>
      <c r="K243" s="898">
        <v>30</v>
      </c>
      <c r="L243" s="818"/>
    </row>
    <row r="244" spans="1:12" s="31" customFormat="1" ht="17.25" customHeight="1">
      <c r="A244" s="837" t="s">
        <v>17</v>
      </c>
      <c r="B244" s="976" t="str">
        <f>'CNKT '!C44</f>
        <v>T . Phết</v>
      </c>
      <c r="C244" s="819"/>
      <c r="D244" s="973" t="s">
        <v>398</v>
      </c>
      <c r="E244" s="973" t="s">
        <v>20</v>
      </c>
      <c r="F244" s="975"/>
      <c r="G244" s="837" t="s">
        <v>17</v>
      </c>
      <c r="H244" s="976" t="str">
        <f>'CNKT '!C45</f>
        <v>T. Viêng Sa Văn</v>
      </c>
      <c r="I244" s="819"/>
      <c r="J244" s="973" t="s">
        <v>398</v>
      </c>
      <c r="K244" s="973" t="s">
        <v>20</v>
      </c>
      <c r="L244" s="818"/>
    </row>
    <row r="245" spans="1:12" s="31" customFormat="1" ht="17.25" customHeight="1">
      <c r="A245" s="821" t="s">
        <v>399</v>
      </c>
      <c r="B245" s="978" t="s">
        <v>559</v>
      </c>
      <c r="C245" s="822" t="str">
        <f>VLOOKUP(B244,'BTH mủ tạp'!$C$17:$AL$94,36,0)</f>
        <v>A</v>
      </c>
      <c r="D245" s="823"/>
      <c r="E245" s="823"/>
      <c r="F245" s="843"/>
      <c r="G245" s="821" t="s">
        <v>399</v>
      </c>
      <c r="H245" s="978" t="s">
        <v>559</v>
      </c>
      <c r="I245" s="822" t="str">
        <f>VLOOKUP(H244,'BTH mủ tạp'!$C$17:$AL$94,36,0)</f>
        <v>A</v>
      </c>
      <c r="J245" s="823"/>
      <c r="K245" s="823"/>
      <c r="L245" s="818"/>
    </row>
    <row r="246" spans="1:12" s="31" customFormat="1" ht="17.25" customHeight="1">
      <c r="A246" s="821" t="s">
        <v>79</v>
      </c>
      <c r="B246" s="979" t="s">
        <v>432</v>
      </c>
      <c r="C246" s="824">
        <f>VLOOKUP(B244,'CNKT '!$C$16:$Z$96,3,0)</f>
        <v>0</v>
      </c>
      <c r="D246" s="825">
        <v>25000</v>
      </c>
      <c r="E246" s="823">
        <f t="shared" ref="E246:E253" si="28">C246*D246</f>
        <v>0</v>
      </c>
      <c r="F246" s="975"/>
      <c r="G246" s="821" t="s">
        <v>79</v>
      </c>
      <c r="H246" s="979" t="s">
        <v>432</v>
      </c>
      <c r="I246" s="824">
        <f>VLOOKUP(H244,'CNKT '!$C$16:$Z$96,3,0)</f>
        <v>0</v>
      </c>
      <c r="J246" s="825">
        <v>25000</v>
      </c>
      <c r="K246" s="823">
        <f t="shared" ref="K246:K253" si="29">I246*J246</f>
        <v>0</v>
      </c>
      <c r="L246" s="818"/>
    </row>
    <row r="247" spans="1:12" s="31" customFormat="1" ht="17.25" customHeight="1">
      <c r="A247" s="821" t="s">
        <v>310</v>
      </c>
      <c r="B247" s="980" t="s">
        <v>560</v>
      </c>
      <c r="C247" s="879">
        <f>VLOOKUP(B244,'CNKT '!$C$16:$Z$96,11,0)</f>
        <v>24</v>
      </c>
      <c r="D247" s="826">
        <f>46.1*$B$2</f>
        <v>30805.403000000002</v>
      </c>
      <c r="E247" s="823">
        <f t="shared" si="28"/>
        <v>739329.67200000002</v>
      </c>
      <c r="F247" s="838"/>
      <c r="G247" s="821" t="s">
        <v>310</v>
      </c>
      <c r="H247" s="980" t="s">
        <v>560</v>
      </c>
      <c r="I247" s="879">
        <f>VLOOKUP(H244,'CNKT '!$C$16:$Z$96,11,0)</f>
        <v>25</v>
      </c>
      <c r="J247" s="826">
        <f>46.1*$B$2</f>
        <v>30805.403000000002</v>
      </c>
      <c r="K247" s="823">
        <f t="shared" si="29"/>
        <v>770135.07500000007</v>
      </c>
      <c r="L247" s="818"/>
    </row>
    <row r="248" spans="1:12" s="31" customFormat="1" ht="17.25" customHeight="1">
      <c r="A248" s="821" t="s">
        <v>401</v>
      </c>
      <c r="B248" s="980" t="s">
        <v>561</v>
      </c>
      <c r="C248" s="879">
        <f>VLOOKUP(B244,'CNKT '!$C$16:$Z$96,12,0)</f>
        <v>4</v>
      </c>
      <c r="D248" s="825">
        <f>76.9*$B$2</f>
        <v>51386.887000000002</v>
      </c>
      <c r="E248" s="823">
        <f t="shared" si="28"/>
        <v>205547.54800000001</v>
      </c>
      <c r="F248" s="838"/>
      <c r="G248" s="821" t="s">
        <v>401</v>
      </c>
      <c r="H248" s="980" t="s">
        <v>561</v>
      </c>
      <c r="I248" s="879">
        <f>VLOOKUP(H244,'CNKT '!$C$16:$Z$96,12,0)</f>
        <v>4</v>
      </c>
      <c r="J248" s="825">
        <f>76.9*$B$2</f>
        <v>51386.887000000002</v>
      </c>
      <c r="K248" s="823">
        <f t="shared" si="29"/>
        <v>205547.54800000001</v>
      </c>
      <c r="L248" s="818"/>
    </row>
    <row r="249" spans="1:12" s="31" customFormat="1" ht="17.25" customHeight="1">
      <c r="A249" s="821" t="s">
        <v>80</v>
      </c>
      <c r="B249" s="980" t="s">
        <v>562</v>
      </c>
      <c r="C249" s="879">
        <f>VLOOKUP(B244,'CNKT '!$C$16:$Z$96,8,0)</f>
        <v>900.13546392011801</v>
      </c>
      <c r="D249" s="825">
        <f>IF(C245="A",6.1,IF(C245="B",5.8,IF(C245="C",5.5,IF(C245="C.",5.5,IF(C245="D",5.2)))))*$B$2</f>
        <v>4076.203</v>
      </c>
      <c r="E249" s="823">
        <f t="shared" si="28"/>
        <v>3669134.8784375768</v>
      </c>
      <c r="F249" s="838"/>
      <c r="G249" s="821" t="s">
        <v>80</v>
      </c>
      <c r="H249" s="980" t="s">
        <v>562</v>
      </c>
      <c r="I249" s="879">
        <f>VLOOKUP(H244,'CNKT '!$C$16:$Z$96,8,0)</f>
        <v>1027.9926975288513</v>
      </c>
      <c r="J249" s="825">
        <f>IF(I245="A",6.1,IF(I245="B",5.8,IF(I245="C",5.5,IF(I245="C.",5.5,IF(I245="D",5.2)))))*$B$2</f>
        <v>4076.203</v>
      </c>
      <c r="K249" s="823">
        <f t="shared" si="29"/>
        <v>4190306.9176451964</v>
      </c>
      <c r="L249" s="818"/>
    </row>
    <row r="250" spans="1:12" s="31" customFormat="1" ht="17.25" customHeight="1">
      <c r="A250" s="821" t="s">
        <v>495</v>
      </c>
      <c r="B250" s="980" t="s">
        <v>563</v>
      </c>
      <c r="C250" s="879">
        <f>VLOOKUP(B244,'CNKT '!$C$16:$Z$96,15,0)</f>
        <v>0</v>
      </c>
      <c r="D250" s="826">
        <f>92.2*$B$2</f>
        <v>61610.806000000004</v>
      </c>
      <c r="E250" s="823">
        <f t="shared" si="28"/>
        <v>0</v>
      </c>
      <c r="F250" s="838"/>
      <c r="G250" s="821" t="s">
        <v>495</v>
      </c>
      <c r="H250" s="980" t="s">
        <v>563</v>
      </c>
      <c r="I250" s="879">
        <f>VLOOKUP(H244,'CNKT '!$C$16:$Z$96,15,0)</f>
        <v>0</v>
      </c>
      <c r="J250" s="826">
        <f>92.2*$B$2</f>
        <v>61610.806000000004</v>
      </c>
      <c r="K250" s="823">
        <f t="shared" si="29"/>
        <v>0</v>
      </c>
      <c r="L250" s="818"/>
    </row>
    <row r="251" spans="1:12" s="31" customFormat="1" ht="17.25" customHeight="1">
      <c r="A251" s="821" t="s">
        <v>496</v>
      </c>
      <c r="B251" s="980" t="s">
        <v>500</v>
      </c>
      <c r="C251" s="879">
        <f>VLOOKUP(B244,'CNKT '!$C$16:$Z$96,16,0)</f>
        <v>0</v>
      </c>
      <c r="D251" s="825">
        <f>153.8*$B$2</f>
        <v>102773.774</v>
      </c>
      <c r="E251" s="823">
        <f t="shared" si="28"/>
        <v>0</v>
      </c>
      <c r="F251" s="838"/>
      <c r="G251" s="821" t="s">
        <v>496</v>
      </c>
      <c r="H251" s="980" t="s">
        <v>500</v>
      </c>
      <c r="I251" s="879">
        <f>VLOOKUP(H244,'CNKT '!$C$16:$Z$96,16,0)</f>
        <v>0</v>
      </c>
      <c r="J251" s="825">
        <f>153.8*$B$2</f>
        <v>102773.774</v>
      </c>
      <c r="K251" s="823">
        <f t="shared" si="29"/>
        <v>0</v>
      </c>
      <c r="L251" s="818"/>
    </row>
    <row r="252" spans="1:12" s="31" customFormat="1" ht="17.25" customHeight="1">
      <c r="A252" s="821" t="s">
        <v>455</v>
      </c>
      <c r="B252" s="980" t="s">
        <v>501</v>
      </c>
      <c r="C252" s="879">
        <f>VLOOKUP(B244,'CNKT '!$C$16:$Z$96,18,0)</f>
        <v>0</v>
      </c>
      <c r="D252" s="825">
        <v>10000</v>
      </c>
      <c r="E252" s="823">
        <f t="shared" si="28"/>
        <v>0</v>
      </c>
      <c r="F252" s="838"/>
      <c r="G252" s="821" t="s">
        <v>455</v>
      </c>
      <c r="H252" s="980" t="s">
        <v>501</v>
      </c>
      <c r="I252" s="879">
        <f>VLOOKUP(H244,'CNKT '!$C$16:$Z$96,18,0)</f>
        <v>0</v>
      </c>
      <c r="J252" s="825">
        <v>10000</v>
      </c>
      <c r="K252" s="823">
        <f t="shared" si="29"/>
        <v>0</v>
      </c>
      <c r="L252" s="818"/>
    </row>
    <row r="253" spans="1:12" s="31" customFormat="1" ht="17.25" customHeight="1">
      <c r="A253" s="821" t="s">
        <v>455</v>
      </c>
      <c r="B253" s="980" t="s">
        <v>501</v>
      </c>
      <c r="C253" s="879">
        <f>VLOOKUP(B244,'CNKT '!$C$16:$Z$96,19,0)</f>
        <v>0</v>
      </c>
      <c r="D253" s="825">
        <v>20000</v>
      </c>
      <c r="E253" s="823">
        <f t="shared" si="28"/>
        <v>0</v>
      </c>
      <c r="F253" s="838"/>
      <c r="G253" s="821" t="s">
        <v>455</v>
      </c>
      <c r="H253" s="980" t="s">
        <v>501</v>
      </c>
      <c r="I253" s="879">
        <f>VLOOKUP(H244,'CNKT '!$C$16:$Z$96,19,0)</f>
        <v>0</v>
      </c>
      <c r="J253" s="825">
        <v>20000</v>
      </c>
      <c r="K253" s="823">
        <f t="shared" si="29"/>
        <v>0</v>
      </c>
      <c r="L253" s="818"/>
    </row>
    <row r="254" spans="1:12" s="31" customFormat="1" ht="17.25" customHeight="1">
      <c r="A254" s="821" t="s">
        <v>517</v>
      </c>
      <c r="B254" s="980" t="s">
        <v>519</v>
      </c>
      <c r="C254" s="879"/>
      <c r="D254" s="825"/>
      <c r="E254" s="823"/>
      <c r="F254" s="838"/>
      <c r="G254" s="821" t="s">
        <v>517</v>
      </c>
      <c r="H254" s="980" t="s">
        <v>519</v>
      </c>
      <c r="I254" s="879"/>
      <c r="J254" s="825"/>
      <c r="K254" s="823"/>
      <c r="L254" s="818"/>
    </row>
    <row r="255" spans="1:12" s="31" customFormat="1" ht="17.25" customHeight="1">
      <c r="A255" s="827" t="s">
        <v>81</v>
      </c>
      <c r="B255" s="981" t="s">
        <v>564</v>
      </c>
      <c r="C255" s="828"/>
      <c r="D255" s="829"/>
      <c r="E255" s="828"/>
      <c r="F255" s="838"/>
      <c r="G255" s="827" t="s">
        <v>81</v>
      </c>
      <c r="H255" s="981" t="s">
        <v>564</v>
      </c>
      <c r="I255" s="828"/>
      <c r="J255" s="829"/>
      <c r="K255" s="828"/>
      <c r="L255" s="818"/>
    </row>
    <row r="256" spans="1:12" s="31" customFormat="1" ht="17.25" customHeight="1">
      <c r="A256" s="830" t="s">
        <v>82</v>
      </c>
      <c r="B256" s="982" t="s">
        <v>565</v>
      </c>
      <c r="C256" s="828"/>
      <c r="D256" s="828"/>
      <c r="E256" s="828"/>
      <c r="F256" s="842"/>
      <c r="G256" s="830" t="s">
        <v>82</v>
      </c>
      <c r="H256" s="982" t="s">
        <v>565</v>
      </c>
      <c r="I256" s="828"/>
      <c r="J256" s="828"/>
      <c r="K256" s="828"/>
      <c r="L256" s="818"/>
    </row>
    <row r="257" spans="1:13" s="31" customFormat="1" ht="17.25" customHeight="1">
      <c r="A257" s="830" t="s">
        <v>83</v>
      </c>
      <c r="B257" s="983" t="s">
        <v>566</v>
      </c>
      <c r="C257" s="828"/>
      <c r="D257" s="828"/>
      <c r="E257" s="823">
        <f>SUM(E256)</f>
        <v>0</v>
      </c>
      <c r="F257" s="842"/>
      <c r="G257" s="830" t="s">
        <v>83</v>
      </c>
      <c r="H257" s="983" t="s">
        <v>566</v>
      </c>
      <c r="I257" s="828"/>
      <c r="J257" s="828"/>
      <c r="K257" s="823">
        <f>SUM(K256)</f>
        <v>0</v>
      </c>
      <c r="L257" s="818"/>
      <c r="M257" s="831">
        <f>E257+K257</f>
        <v>0</v>
      </c>
    </row>
    <row r="258" spans="1:13" s="31" customFormat="1" ht="17.25" customHeight="1">
      <c r="A258" s="832" t="s">
        <v>84</v>
      </c>
      <c r="B258" s="984" t="s">
        <v>438</v>
      </c>
      <c r="C258" s="833"/>
      <c r="D258" s="833"/>
      <c r="E258" s="833">
        <f>(E246+E247+E248+E249+E250+E251+E252+E253+E254)-E257</f>
        <v>4614012.0984375766</v>
      </c>
      <c r="F258" s="842"/>
      <c r="G258" s="832" t="s">
        <v>84</v>
      </c>
      <c r="H258" s="984" t="s">
        <v>438</v>
      </c>
      <c r="I258" s="833"/>
      <c r="J258" s="833"/>
      <c r="K258" s="833">
        <f>(K246+K247+K248+K249+K250+K251+K252+K253+K254)-K257</f>
        <v>5165989.540645197</v>
      </c>
      <c r="L258" s="835">
        <f>E258+K258</f>
        <v>9780001.6390827745</v>
      </c>
    </row>
    <row r="259" spans="1:13" s="31" customFormat="1" ht="15" customHeight="1">
      <c r="A259" s="838"/>
      <c r="B259" s="844"/>
      <c r="C259" s="845"/>
      <c r="D259" s="845"/>
      <c r="E259" s="843"/>
      <c r="F259" s="842"/>
      <c r="G259" s="838"/>
      <c r="H259" s="844"/>
      <c r="I259" s="845"/>
      <c r="J259" s="843"/>
      <c r="K259" s="836"/>
      <c r="L259" s="818"/>
    </row>
    <row r="260" spans="1:13" s="31" customFormat="1" ht="17.25" customHeight="1">
      <c r="A260" s="1615" t="str">
        <f>G243</f>
        <v>LƯƠNG THÁNG 01/2025</v>
      </c>
      <c r="B260" s="1616"/>
      <c r="C260" s="1616"/>
      <c r="D260" s="1616"/>
      <c r="E260" s="898">
        <v>31</v>
      </c>
      <c r="F260" s="843"/>
      <c r="G260" s="1615" t="str">
        <f>A260</f>
        <v>LƯƠNG THÁNG 01/2025</v>
      </c>
      <c r="H260" s="1616"/>
      <c r="I260" s="1616"/>
      <c r="J260" s="1617"/>
      <c r="K260" s="898">
        <v>32</v>
      </c>
      <c r="L260" s="818"/>
    </row>
    <row r="261" spans="1:13" s="31" customFormat="1" ht="17.25" customHeight="1">
      <c r="A261" s="837" t="s">
        <v>17</v>
      </c>
      <c r="B261" s="976" t="str">
        <f>'CNKT '!C46</f>
        <v>T. Ca Te</v>
      </c>
      <c r="C261" s="819"/>
      <c r="D261" s="973" t="s">
        <v>398</v>
      </c>
      <c r="E261" s="973" t="s">
        <v>20</v>
      </c>
      <c r="F261" s="848"/>
      <c r="G261" s="837" t="s">
        <v>17</v>
      </c>
      <c r="H261" s="976" t="str">
        <f>'CNKT '!C47</f>
        <v>T. Lâm Phon</v>
      </c>
      <c r="I261" s="819"/>
      <c r="J261" s="973" t="s">
        <v>398</v>
      </c>
      <c r="K261" s="973" t="s">
        <v>20</v>
      </c>
      <c r="L261" s="818"/>
    </row>
    <row r="262" spans="1:13" s="31" customFormat="1" ht="17.25" customHeight="1">
      <c r="A262" s="821" t="s">
        <v>399</v>
      </c>
      <c r="B262" s="978" t="s">
        <v>559</v>
      </c>
      <c r="C262" s="822" t="str">
        <f>VLOOKUP(B261,'BTH mủ tạp'!$C$17:$AL$94,36,0)</f>
        <v>B</v>
      </c>
      <c r="D262" s="823"/>
      <c r="E262" s="823"/>
      <c r="F262" s="975"/>
      <c r="G262" s="821" t="s">
        <v>399</v>
      </c>
      <c r="H262" s="978" t="s">
        <v>559</v>
      </c>
      <c r="I262" s="822" t="str">
        <f>VLOOKUP(H261,'BTH mủ tạp'!$C$17:$AL$94,36,0)</f>
        <v>A</v>
      </c>
      <c r="J262" s="823"/>
      <c r="K262" s="823"/>
      <c r="L262" s="818"/>
    </row>
    <row r="263" spans="1:13" s="31" customFormat="1" ht="17.25" customHeight="1">
      <c r="A263" s="821" t="s">
        <v>79</v>
      </c>
      <c r="B263" s="979" t="s">
        <v>432</v>
      </c>
      <c r="C263" s="824">
        <f>VLOOKUP(B261,'CNKT '!$C$16:$Z$96,3,0)</f>
        <v>0</v>
      </c>
      <c r="D263" s="825">
        <v>25000</v>
      </c>
      <c r="E263" s="823">
        <f t="shared" ref="E263:E270" si="30">C263*D263</f>
        <v>0</v>
      </c>
      <c r="F263" s="838"/>
      <c r="G263" s="821" t="s">
        <v>79</v>
      </c>
      <c r="H263" s="979" t="s">
        <v>432</v>
      </c>
      <c r="I263" s="824">
        <f>VLOOKUP(H261,'CNKT '!$C$16:$Z$96,3,0)</f>
        <v>0</v>
      </c>
      <c r="J263" s="825">
        <v>25000</v>
      </c>
      <c r="K263" s="823">
        <f t="shared" ref="K263:K270" si="31">I263*J263</f>
        <v>0</v>
      </c>
      <c r="L263" s="818"/>
    </row>
    <row r="264" spans="1:13" s="31" customFormat="1" ht="17.25" customHeight="1">
      <c r="A264" s="821" t="s">
        <v>310</v>
      </c>
      <c r="B264" s="980" t="s">
        <v>560</v>
      </c>
      <c r="C264" s="879">
        <f>VLOOKUP(B261,'CNKT '!$C$16:$Z$96,11,0)</f>
        <v>27</v>
      </c>
      <c r="D264" s="826">
        <f>46.1*$B$2</f>
        <v>30805.403000000002</v>
      </c>
      <c r="E264" s="823">
        <f t="shared" si="30"/>
        <v>831745.88100000005</v>
      </c>
      <c r="F264" s="838"/>
      <c r="G264" s="821" t="s">
        <v>310</v>
      </c>
      <c r="H264" s="980" t="s">
        <v>560</v>
      </c>
      <c r="I264" s="879">
        <f>VLOOKUP(H261,'CNKT '!$C$16:$Z$96,11,0)</f>
        <v>26</v>
      </c>
      <c r="J264" s="826">
        <f>46.1*$B$2</f>
        <v>30805.403000000002</v>
      </c>
      <c r="K264" s="823">
        <f t="shared" si="31"/>
        <v>800940.478</v>
      </c>
      <c r="L264" s="818"/>
    </row>
    <row r="265" spans="1:13" s="31" customFormat="1" ht="17.25" customHeight="1">
      <c r="A265" s="821" t="s">
        <v>401</v>
      </c>
      <c r="B265" s="980" t="s">
        <v>561</v>
      </c>
      <c r="C265" s="879">
        <f>VLOOKUP(B261,'CNKT '!$C$16:$Z$96,12,0)</f>
        <v>3</v>
      </c>
      <c r="D265" s="825">
        <f>76.9*$B$2</f>
        <v>51386.887000000002</v>
      </c>
      <c r="E265" s="823">
        <f t="shared" si="30"/>
        <v>154160.66100000002</v>
      </c>
      <c r="F265" s="838"/>
      <c r="G265" s="821" t="s">
        <v>401</v>
      </c>
      <c r="H265" s="980" t="s">
        <v>561</v>
      </c>
      <c r="I265" s="879">
        <f>VLOOKUP(H261,'CNKT '!$C$16:$Z$96,12,0)</f>
        <v>4</v>
      </c>
      <c r="J265" s="825">
        <f>76.9*$B$2</f>
        <v>51386.887000000002</v>
      </c>
      <c r="K265" s="823">
        <f t="shared" si="31"/>
        <v>205547.54800000001</v>
      </c>
      <c r="L265" s="818"/>
    </row>
    <row r="266" spans="1:13" s="31" customFormat="1" ht="17.25" customHeight="1">
      <c r="A266" s="821" t="s">
        <v>80</v>
      </c>
      <c r="B266" s="980" t="s">
        <v>562</v>
      </c>
      <c r="C266" s="879">
        <f>VLOOKUP(B261,'CNKT '!$C$16:$Z$96,8,0)</f>
        <v>958.15902776665155</v>
      </c>
      <c r="D266" s="825">
        <f>IF(C262="A",6.1,IF(C262="B",5.8,IF(C262="C",5.5,IF(C262="C.",5.5,IF(C262="D",5.2)))))*$B$2</f>
        <v>3875.7339999999999</v>
      </c>
      <c r="E266" s="823">
        <f t="shared" si="30"/>
        <v>3713569.5213221554</v>
      </c>
      <c r="F266" s="838"/>
      <c r="G266" s="821" t="s">
        <v>80</v>
      </c>
      <c r="H266" s="980" t="s">
        <v>562</v>
      </c>
      <c r="I266" s="879">
        <f>VLOOKUP(H261,'CNKT '!$C$16:$Z$96,8,0)</f>
        <v>719.90297798973495</v>
      </c>
      <c r="J266" s="825">
        <f>IF(I262="A",6.1,IF(I262="B",5.8,IF(I262="C",5.5,IF(I262="C.",5.5,IF(I262="D",5.2)))))*$B$2</f>
        <v>4076.203</v>
      </c>
      <c r="K266" s="823">
        <f t="shared" si="31"/>
        <v>2934470.6785906916</v>
      </c>
      <c r="L266" s="818"/>
    </row>
    <row r="267" spans="1:13" s="31" customFormat="1" ht="17.25" customHeight="1">
      <c r="A267" s="821" t="s">
        <v>495</v>
      </c>
      <c r="B267" s="980" t="s">
        <v>563</v>
      </c>
      <c r="C267" s="879">
        <f>VLOOKUP(B261,'CNKT '!$C$16:$Z$96,15,0)</f>
        <v>0</v>
      </c>
      <c r="D267" s="826">
        <f>92.2*$B$2</f>
        <v>61610.806000000004</v>
      </c>
      <c r="E267" s="823">
        <f t="shared" si="30"/>
        <v>0</v>
      </c>
      <c r="F267" s="838"/>
      <c r="G267" s="821" t="s">
        <v>495</v>
      </c>
      <c r="H267" s="980" t="s">
        <v>563</v>
      </c>
      <c r="I267" s="879">
        <f>VLOOKUP(H261,'CNKT '!$C$16:$Z$96,15,0)</f>
        <v>0</v>
      </c>
      <c r="J267" s="826">
        <f>92.2*$B$2</f>
        <v>61610.806000000004</v>
      </c>
      <c r="K267" s="823">
        <f t="shared" si="31"/>
        <v>0</v>
      </c>
      <c r="L267" s="818"/>
    </row>
    <row r="268" spans="1:13" s="31" customFormat="1" ht="17.25" customHeight="1">
      <c r="A268" s="821" t="s">
        <v>496</v>
      </c>
      <c r="B268" s="980" t="s">
        <v>500</v>
      </c>
      <c r="C268" s="879">
        <f>VLOOKUP(B261,'CNKT '!$C$16:$Z$96,16,0)</f>
        <v>0</v>
      </c>
      <c r="D268" s="825">
        <f>153.8*$B$2</f>
        <v>102773.774</v>
      </c>
      <c r="E268" s="823">
        <f t="shared" si="30"/>
        <v>0</v>
      </c>
      <c r="F268" s="838"/>
      <c r="G268" s="821" t="s">
        <v>496</v>
      </c>
      <c r="H268" s="980" t="s">
        <v>500</v>
      </c>
      <c r="I268" s="879">
        <f>VLOOKUP(H261,'CNKT '!$C$16:$Z$96,16,0)</f>
        <v>0</v>
      </c>
      <c r="J268" s="825">
        <f>153.8*$B$2</f>
        <v>102773.774</v>
      </c>
      <c r="K268" s="823">
        <f t="shared" si="31"/>
        <v>0</v>
      </c>
      <c r="L268" s="818"/>
    </row>
    <row r="269" spans="1:13" s="31" customFormat="1" ht="17.25" customHeight="1">
      <c r="A269" s="821" t="s">
        <v>455</v>
      </c>
      <c r="B269" s="980" t="s">
        <v>501</v>
      </c>
      <c r="C269" s="879">
        <f>VLOOKUP(B261,'CNKT '!$C$16:$Z$96,18,0)</f>
        <v>0</v>
      </c>
      <c r="D269" s="825">
        <v>10000</v>
      </c>
      <c r="E269" s="823">
        <f t="shared" si="30"/>
        <v>0</v>
      </c>
      <c r="F269" s="838"/>
      <c r="G269" s="821" t="s">
        <v>455</v>
      </c>
      <c r="H269" s="980" t="s">
        <v>501</v>
      </c>
      <c r="I269" s="879">
        <f>VLOOKUP(H261,'CNKT '!$C$16:$Z$96,18,0)</f>
        <v>0</v>
      </c>
      <c r="J269" s="825">
        <v>10000</v>
      </c>
      <c r="K269" s="823">
        <f t="shared" si="31"/>
        <v>0</v>
      </c>
      <c r="L269" s="818"/>
    </row>
    <row r="270" spans="1:13" s="31" customFormat="1" ht="17.25" customHeight="1">
      <c r="A270" s="821" t="s">
        <v>455</v>
      </c>
      <c r="B270" s="980" t="s">
        <v>501</v>
      </c>
      <c r="C270" s="879">
        <f>VLOOKUP(B261,'CNKT '!$C$16:$Z$96,19,0)</f>
        <v>0</v>
      </c>
      <c r="D270" s="825">
        <v>20000</v>
      </c>
      <c r="E270" s="823">
        <f t="shared" si="30"/>
        <v>0</v>
      </c>
      <c r="F270" s="838"/>
      <c r="G270" s="821" t="s">
        <v>455</v>
      </c>
      <c r="H270" s="980" t="s">
        <v>501</v>
      </c>
      <c r="I270" s="879">
        <f>VLOOKUP(H261,'CNKT '!$C$16:$Z$96,19,0)</f>
        <v>0</v>
      </c>
      <c r="J270" s="825">
        <v>20000</v>
      </c>
      <c r="K270" s="823">
        <f t="shared" si="31"/>
        <v>0</v>
      </c>
      <c r="L270" s="818"/>
    </row>
    <row r="271" spans="1:13" s="31" customFormat="1" ht="17.25" customHeight="1">
      <c r="A271" s="821" t="s">
        <v>517</v>
      </c>
      <c r="B271" s="980" t="s">
        <v>519</v>
      </c>
      <c r="C271" s="879"/>
      <c r="D271" s="825"/>
      <c r="E271" s="823"/>
      <c r="F271" s="838"/>
      <c r="G271" s="821" t="s">
        <v>517</v>
      </c>
      <c r="H271" s="980" t="s">
        <v>519</v>
      </c>
      <c r="I271" s="879"/>
      <c r="J271" s="825"/>
      <c r="K271" s="823"/>
      <c r="L271" s="818"/>
    </row>
    <row r="272" spans="1:13" s="31" customFormat="1" ht="17.25" customHeight="1">
      <c r="A272" s="827" t="s">
        <v>81</v>
      </c>
      <c r="B272" s="981" t="s">
        <v>564</v>
      </c>
      <c r="C272" s="828"/>
      <c r="D272" s="829"/>
      <c r="E272" s="828"/>
      <c r="F272" s="842"/>
      <c r="G272" s="827" t="s">
        <v>81</v>
      </c>
      <c r="H272" s="981" t="s">
        <v>564</v>
      </c>
      <c r="I272" s="828"/>
      <c r="J272" s="829"/>
      <c r="K272" s="828"/>
      <c r="L272" s="818"/>
    </row>
    <row r="273" spans="1:13" s="31" customFormat="1" ht="17.25" customHeight="1">
      <c r="A273" s="830" t="s">
        <v>82</v>
      </c>
      <c r="B273" s="982" t="s">
        <v>565</v>
      </c>
      <c r="C273" s="828"/>
      <c r="D273" s="828"/>
      <c r="E273" s="828"/>
      <c r="F273" s="842"/>
      <c r="G273" s="830" t="s">
        <v>82</v>
      </c>
      <c r="H273" s="982" t="s">
        <v>565</v>
      </c>
      <c r="I273" s="828"/>
      <c r="J273" s="828"/>
      <c r="K273" s="828"/>
      <c r="L273" s="818"/>
    </row>
    <row r="274" spans="1:13" s="31" customFormat="1" ht="17.25" customHeight="1">
      <c r="A274" s="830" t="s">
        <v>83</v>
      </c>
      <c r="B274" s="983" t="s">
        <v>566</v>
      </c>
      <c r="C274" s="828"/>
      <c r="D274" s="828"/>
      <c r="E274" s="823">
        <f>SUM(E273)</f>
        <v>0</v>
      </c>
      <c r="F274" s="842"/>
      <c r="G274" s="830" t="s">
        <v>83</v>
      </c>
      <c r="H274" s="983" t="s">
        <v>566</v>
      </c>
      <c r="I274" s="828"/>
      <c r="J274" s="828"/>
      <c r="K274" s="823">
        <f>SUM(K273)</f>
        <v>0</v>
      </c>
      <c r="L274" s="818"/>
      <c r="M274" s="831">
        <f>E274+K274</f>
        <v>0</v>
      </c>
    </row>
    <row r="275" spans="1:13" s="31" customFormat="1" ht="17.25" customHeight="1">
      <c r="A275" s="832" t="s">
        <v>84</v>
      </c>
      <c r="B275" s="984" t="s">
        <v>438</v>
      </c>
      <c r="C275" s="833"/>
      <c r="D275" s="833"/>
      <c r="E275" s="833">
        <f>(E263+E264+E265+E266+E267+E268+E269+E270+E271)-E274</f>
        <v>4699476.0633221557</v>
      </c>
      <c r="F275" s="842"/>
      <c r="G275" s="832" t="s">
        <v>84</v>
      </c>
      <c r="H275" s="984" t="s">
        <v>438</v>
      </c>
      <c r="I275" s="833"/>
      <c r="J275" s="833"/>
      <c r="K275" s="833">
        <f>(K263+K264+K265+K266+K267+K268+K269+K270+K271)-K274</f>
        <v>3940958.7045906917</v>
      </c>
      <c r="L275" s="835">
        <f>E275+K275</f>
        <v>8640434.7679128479</v>
      </c>
    </row>
    <row r="276" spans="1:13" s="31" customFormat="1" ht="17.25" customHeight="1">
      <c r="A276" s="838"/>
      <c r="B276" s="844"/>
      <c r="C276" s="845"/>
      <c r="D276" s="845"/>
      <c r="E276" s="843"/>
      <c r="F276" s="842"/>
      <c r="G276" s="838"/>
      <c r="H276" s="844"/>
      <c r="I276" s="845"/>
      <c r="J276" s="843"/>
      <c r="K276" s="846"/>
      <c r="L276" s="818"/>
    </row>
    <row r="277" spans="1:13" s="31" customFormat="1" ht="17.25" customHeight="1">
      <c r="A277" s="1615" t="str">
        <f>G260</f>
        <v>LƯƠNG THÁNG 01/2025</v>
      </c>
      <c r="B277" s="1616"/>
      <c r="C277" s="1616"/>
      <c r="D277" s="1616"/>
      <c r="E277" s="898">
        <v>33</v>
      </c>
      <c r="F277" s="843"/>
      <c r="G277" s="1615" t="str">
        <f>A277</f>
        <v>LƯƠNG THÁNG 01/2025</v>
      </c>
      <c r="H277" s="1616"/>
      <c r="I277" s="1616"/>
      <c r="J277" s="1617"/>
      <c r="K277" s="898">
        <v>34</v>
      </c>
      <c r="L277" s="818"/>
    </row>
    <row r="278" spans="1:13" s="31" customFormat="1" ht="17.25" customHeight="1">
      <c r="A278" s="837" t="s">
        <v>17</v>
      </c>
      <c r="B278" s="976" t="str">
        <f>'CNKT '!C48</f>
        <v>T. Sô Đa</v>
      </c>
      <c r="C278" s="819"/>
      <c r="D278" s="973" t="s">
        <v>398</v>
      </c>
      <c r="E278" s="973" t="s">
        <v>20</v>
      </c>
      <c r="F278" s="843"/>
      <c r="G278" s="837" t="s">
        <v>17</v>
      </c>
      <c r="H278" s="976" t="str">
        <f>'CNKT '!C49</f>
        <v>T. Phu Ngân</v>
      </c>
      <c r="I278" s="819"/>
      <c r="J278" s="973" t="s">
        <v>398</v>
      </c>
      <c r="K278" s="973" t="s">
        <v>20</v>
      </c>
      <c r="L278" s="818"/>
    </row>
    <row r="279" spans="1:13" s="31" customFormat="1" ht="17.25" customHeight="1">
      <c r="A279" s="821" t="s">
        <v>399</v>
      </c>
      <c r="B279" s="978" t="s">
        <v>559</v>
      </c>
      <c r="C279" s="822" t="str">
        <f>VLOOKUP(B278,'BTH mủ tạp'!$C$17:$AL$94,36,0)</f>
        <v>A</v>
      </c>
      <c r="D279" s="823"/>
      <c r="E279" s="823"/>
      <c r="F279" s="843"/>
      <c r="G279" s="821" t="s">
        <v>399</v>
      </c>
      <c r="H279" s="978" t="s">
        <v>559</v>
      </c>
      <c r="I279" s="822" t="str">
        <f>VLOOKUP(H278,'BTH mủ tạp'!$C$17:$AL$94,36,0)</f>
        <v>A</v>
      </c>
      <c r="J279" s="823"/>
      <c r="K279" s="823"/>
      <c r="L279" s="818"/>
    </row>
    <row r="280" spans="1:13" s="31" customFormat="1" ht="17.25" customHeight="1">
      <c r="A280" s="821" t="s">
        <v>79</v>
      </c>
      <c r="B280" s="979" t="s">
        <v>432</v>
      </c>
      <c r="C280" s="824">
        <f>VLOOKUP(B278,'CNKT '!$C$16:$Z$96,3,0)</f>
        <v>0</v>
      </c>
      <c r="D280" s="825">
        <v>25000</v>
      </c>
      <c r="E280" s="823">
        <f t="shared" ref="E280:E287" si="32">C280*D280</f>
        <v>0</v>
      </c>
      <c r="F280" s="843"/>
      <c r="G280" s="821" t="s">
        <v>79</v>
      </c>
      <c r="H280" s="979" t="s">
        <v>432</v>
      </c>
      <c r="I280" s="824">
        <f>VLOOKUP(H278,'CNKT '!$C$16:$Z$96,3,0)</f>
        <v>0</v>
      </c>
      <c r="J280" s="825">
        <v>25000</v>
      </c>
      <c r="K280" s="823">
        <f t="shared" ref="K280:K287" si="33">I280*J280</f>
        <v>0</v>
      </c>
      <c r="L280" s="818"/>
    </row>
    <row r="281" spans="1:13" s="31" customFormat="1" ht="17.25" customHeight="1">
      <c r="A281" s="821" t="s">
        <v>310</v>
      </c>
      <c r="B281" s="980" t="s">
        <v>560</v>
      </c>
      <c r="C281" s="879">
        <f>VLOOKUP(B278,'CNKT '!$C$16:$Z$96,11,0)</f>
        <v>26</v>
      </c>
      <c r="D281" s="826">
        <f>46.1*$B$2</f>
        <v>30805.403000000002</v>
      </c>
      <c r="E281" s="823">
        <f t="shared" si="32"/>
        <v>800940.478</v>
      </c>
      <c r="F281" s="843"/>
      <c r="G281" s="821" t="s">
        <v>310</v>
      </c>
      <c r="H281" s="980" t="s">
        <v>560</v>
      </c>
      <c r="I281" s="879">
        <f>VLOOKUP(H278,'CNKT '!$C$16:$Z$96,11,0)</f>
        <v>26</v>
      </c>
      <c r="J281" s="826">
        <f>46.1*$B$2</f>
        <v>30805.403000000002</v>
      </c>
      <c r="K281" s="823">
        <f t="shared" si="33"/>
        <v>800940.478</v>
      </c>
      <c r="L281" s="818"/>
    </row>
    <row r="282" spans="1:13" s="31" customFormat="1" ht="17.25" customHeight="1">
      <c r="A282" s="821" t="s">
        <v>401</v>
      </c>
      <c r="B282" s="980" t="s">
        <v>561</v>
      </c>
      <c r="C282" s="879">
        <f>VLOOKUP(B278,'CNKT '!$C$16:$Z$96,12,0)</f>
        <v>3</v>
      </c>
      <c r="D282" s="825">
        <f>76.9*$B$2</f>
        <v>51386.887000000002</v>
      </c>
      <c r="E282" s="823">
        <f t="shared" si="32"/>
        <v>154160.66100000002</v>
      </c>
      <c r="F282" s="843"/>
      <c r="G282" s="821" t="s">
        <v>401</v>
      </c>
      <c r="H282" s="980" t="s">
        <v>561</v>
      </c>
      <c r="I282" s="879">
        <f>VLOOKUP(H278,'CNKT '!$C$16:$Z$96,12,0)</f>
        <v>4</v>
      </c>
      <c r="J282" s="825">
        <f>76.9*$B$2</f>
        <v>51386.887000000002</v>
      </c>
      <c r="K282" s="823">
        <f t="shared" si="33"/>
        <v>205547.54800000001</v>
      </c>
      <c r="L282" s="818"/>
    </row>
    <row r="283" spans="1:13" s="31" customFormat="1" ht="17.25" customHeight="1">
      <c r="A283" s="821" t="s">
        <v>80</v>
      </c>
      <c r="B283" s="980" t="s">
        <v>562</v>
      </c>
      <c r="C283" s="879">
        <f>VLOOKUP(B278,'CNKT '!$C$16:$Z$96,8,0)</f>
        <v>958.67251063255014</v>
      </c>
      <c r="D283" s="825">
        <f>IF(C279="A",6.1,IF(C279="B",5.8,IF(C279="C",5.5,IF(C279="C.",5.5,IF(C279="D",5.2)))))*$B$2</f>
        <v>4076.203</v>
      </c>
      <c r="E283" s="823">
        <f t="shared" si="32"/>
        <v>3907743.7638579328</v>
      </c>
      <c r="F283" s="843"/>
      <c r="G283" s="821" t="s">
        <v>80</v>
      </c>
      <c r="H283" s="980" t="s">
        <v>562</v>
      </c>
      <c r="I283" s="879">
        <f>VLOOKUP(H278,'CNKT '!$C$16:$Z$96,8,0)</f>
        <v>1140.4454451606287</v>
      </c>
      <c r="J283" s="825">
        <f>IF(I279="A",6.1,IF(I279="B",5.8,IF(I279="C",5.5,IF(I279="C.",5.5,IF(I279="D",5.2)))))*$B$2</f>
        <v>4076.203</v>
      </c>
      <c r="K283" s="823">
        <f t="shared" si="33"/>
        <v>4648687.1449000901</v>
      </c>
      <c r="L283" s="818"/>
    </row>
    <row r="284" spans="1:13" s="31" customFormat="1" ht="17.25" customHeight="1">
      <c r="A284" s="821" t="s">
        <v>495</v>
      </c>
      <c r="B284" s="980" t="s">
        <v>563</v>
      </c>
      <c r="C284" s="879">
        <f>VLOOKUP(B278,'CNKT '!$C$16:$Z$96,15,0)</f>
        <v>0</v>
      </c>
      <c r="D284" s="826">
        <f>92.2*$B$2</f>
        <v>61610.806000000004</v>
      </c>
      <c r="E284" s="823">
        <f t="shared" si="32"/>
        <v>0</v>
      </c>
      <c r="F284" s="843"/>
      <c r="G284" s="821" t="s">
        <v>495</v>
      </c>
      <c r="H284" s="980" t="s">
        <v>563</v>
      </c>
      <c r="I284" s="879">
        <f>VLOOKUP(H278,'CNKT '!$C$16:$Z$96,15,0)</f>
        <v>0</v>
      </c>
      <c r="J284" s="826">
        <f>92.2*$B$2</f>
        <v>61610.806000000004</v>
      </c>
      <c r="K284" s="823">
        <f t="shared" si="33"/>
        <v>0</v>
      </c>
      <c r="L284" s="818"/>
    </row>
    <row r="285" spans="1:13" s="31" customFormat="1" ht="17.25" customHeight="1">
      <c r="A285" s="821" t="s">
        <v>496</v>
      </c>
      <c r="B285" s="980" t="s">
        <v>500</v>
      </c>
      <c r="C285" s="879">
        <f>VLOOKUP(B278,'CNKT '!$C$16:$Z$96,16,0)</f>
        <v>0</v>
      </c>
      <c r="D285" s="825">
        <f>153.8*$B$2</f>
        <v>102773.774</v>
      </c>
      <c r="E285" s="823">
        <f t="shared" si="32"/>
        <v>0</v>
      </c>
      <c r="F285" s="843"/>
      <c r="G285" s="821" t="s">
        <v>496</v>
      </c>
      <c r="H285" s="980" t="s">
        <v>500</v>
      </c>
      <c r="I285" s="879">
        <f>VLOOKUP(H278,'CNKT '!$C$16:$Z$96,16,0)</f>
        <v>0</v>
      </c>
      <c r="J285" s="825">
        <f>153.8*$B$2</f>
        <v>102773.774</v>
      </c>
      <c r="K285" s="823">
        <f t="shared" si="33"/>
        <v>0</v>
      </c>
      <c r="L285" s="818"/>
    </row>
    <row r="286" spans="1:13" s="31" customFormat="1" ht="17.25" customHeight="1">
      <c r="A286" s="821" t="s">
        <v>455</v>
      </c>
      <c r="B286" s="980" t="s">
        <v>501</v>
      </c>
      <c r="C286" s="879">
        <f>VLOOKUP(B278,'CNKT '!$C$16:$Z$96,18,0)</f>
        <v>0</v>
      </c>
      <c r="D286" s="825">
        <v>10000</v>
      </c>
      <c r="E286" s="823">
        <f t="shared" si="32"/>
        <v>0</v>
      </c>
      <c r="F286" s="843"/>
      <c r="G286" s="821" t="s">
        <v>455</v>
      </c>
      <c r="H286" s="980" t="s">
        <v>501</v>
      </c>
      <c r="I286" s="879">
        <f>VLOOKUP(H278,'CNKT '!$C$16:$Z$96,18,0)</f>
        <v>0</v>
      </c>
      <c r="J286" s="825">
        <v>10000</v>
      </c>
      <c r="K286" s="823">
        <f t="shared" si="33"/>
        <v>0</v>
      </c>
      <c r="L286" s="818"/>
    </row>
    <row r="287" spans="1:13" s="31" customFormat="1" ht="17.25" customHeight="1">
      <c r="A287" s="821" t="s">
        <v>455</v>
      </c>
      <c r="B287" s="980" t="s">
        <v>501</v>
      </c>
      <c r="C287" s="879">
        <f>VLOOKUP(B278,'CNKT '!$C$16:$Z$96,19,0)</f>
        <v>0</v>
      </c>
      <c r="D287" s="825">
        <v>20000</v>
      </c>
      <c r="E287" s="823">
        <f t="shared" si="32"/>
        <v>0</v>
      </c>
      <c r="F287" s="843"/>
      <c r="G287" s="821" t="s">
        <v>455</v>
      </c>
      <c r="H287" s="980" t="s">
        <v>501</v>
      </c>
      <c r="I287" s="879">
        <f>VLOOKUP(H278,'CNKT '!$C$16:$Z$96,19,0)</f>
        <v>0</v>
      </c>
      <c r="J287" s="825">
        <v>20000</v>
      </c>
      <c r="K287" s="823">
        <f t="shared" si="33"/>
        <v>0</v>
      </c>
      <c r="L287" s="818"/>
    </row>
    <row r="288" spans="1:13" s="31" customFormat="1" ht="17.25" customHeight="1">
      <c r="A288" s="821" t="s">
        <v>517</v>
      </c>
      <c r="B288" s="980" t="s">
        <v>519</v>
      </c>
      <c r="C288" s="879"/>
      <c r="D288" s="825"/>
      <c r="E288" s="823"/>
      <c r="F288" s="843"/>
      <c r="G288" s="821" t="s">
        <v>517</v>
      </c>
      <c r="H288" s="980" t="s">
        <v>519</v>
      </c>
      <c r="I288" s="879"/>
      <c r="J288" s="825"/>
      <c r="K288" s="823"/>
      <c r="L288" s="818"/>
    </row>
    <row r="289" spans="1:13" s="31" customFormat="1" ht="17.25" customHeight="1">
      <c r="A289" s="827" t="s">
        <v>81</v>
      </c>
      <c r="B289" s="981" t="s">
        <v>564</v>
      </c>
      <c r="C289" s="828"/>
      <c r="D289" s="829"/>
      <c r="E289" s="828"/>
      <c r="F289" s="843"/>
      <c r="G289" s="827" t="s">
        <v>81</v>
      </c>
      <c r="H289" s="981" t="s">
        <v>564</v>
      </c>
      <c r="I289" s="828"/>
      <c r="J289" s="829"/>
      <c r="K289" s="828"/>
      <c r="L289" s="818"/>
    </row>
    <row r="290" spans="1:13" s="31" customFormat="1" ht="17.25" customHeight="1">
      <c r="A290" s="830" t="s">
        <v>82</v>
      </c>
      <c r="B290" s="982" t="s">
        <v>565</v>
      </c>
      <c r="C290" s="828"/>
      <c r="D290" s="828"/>
      <c r="E290" s="828"/>
      <c r="F290" s="843"/>
      <c r="G290" s="830" t="s">
        <v>82</v>
      </c>
      <c r="H290" s="982" t="s">
        <v>565</v>
      </c>
      <c r="I290" s="828"/>
      <c r="J290" s="828"/>
      <c r="K290" s="828"/>
      <c r="L290" s="818"/>
    </row>
    <row r="291" spans="1:13" s="31" customFormat="1" ht="17.25" customHeight="1">
      <c r="A291" s="830" t="s">
        <v>83</v>
      </c>
      <c r="B291" s="983" t="s">
        <v>566</v>
      </c>
      <c r="C291" s="828"/>
      <c r="D291" s="828"/>
      <c r="E291" s="823">
        <f>SUM(E290)</f>
        <v>0</v>
      </c>
      <c r="F291" s="843"/>
      <c r="G291" s="830" t="s">
        <v>83</v>
      </c>
      <c r="H291" s="983" t="s">
        <v>566</v>
      </c>
      <c r="I291" s="828"/>
      <c r="J291" s="828"/>
      <c r="K291" s="823">
        <f>SUM(K290)</f>
        <v>0</v>
      </c>
      <c r="L291" s="818"/>
      <c r="M291" s="831">
        <f>E291+K291</f>
        <v>0</v>
      </c>
    </row>
    <row r="292" spans="1:13" s="31" customFormat="1" ht="17.25" customHeight="1">
      <c r="A292" s="832" t="s">
        <v>84</v>
      </c>
      <c r="B292" s="984" t="s">
        <v>438</v>
      </c>
      <c r="C292" s="833"/>
      <c r="D292" s="833"/>
      <c r="E292" s="833">
        <f>(E280+E281+E282+E283+E284+E285+E286+E287+E288)-E291</f>
        <v>4862844.9028579332</v>
      </c>
      <c r="F292" s="843"/>
      <c r="G292" s="832" t="s">
        <v>84</v>
      </c>
      <c r="H292" s="984" t="s">
        <v>438</v>
      </c>
      <c r="I292" s="833"/>
      <c r="J292" s="833"/>
      <c r="K292" s="833">
        <f>(K280+K281+K282+K283+K284+K285+K286+K287+K288)-K291</f>
        <v>5655175.1709000897</v>
      </c>
      <c r="L292" s="835">
        <f>E292+K292</f>
        <v>10518020.073758023</v>
      </c>
    </row>
    <row r="293" spans="1:13" s="31" customFormat="1" ht="17.25" customHeight="1">
      <c r="A293" s="838"/>
      <c r="B293" s="844"/>
      <c r="C293" s="845"/>
      <c r="D293" s="845"/>
      <c r="E293" s="843"/>
      <c r="F293" s="843"/>
      <c r="G293" s="838"/>
      <c r="H293" s="844"/>
      <c r="I293" s="845"/>
      <c r="J293" s="843"/>
      <c r="K293" s="836"/>
      <c r="L293" s="818"/>
    </row>
    <row r="294" spans="1:13" s="31" customFormat="1" ht="17.25" customHeight="1">
      <c r="A294" s="1615" t="str">
        <f>G277</f>
        <v>LƯƠNG THÁNG 01/2025</v>
      </c>
      <c r="B294" s="1616"/>
      <c r="C294" s="1616"/>
      <c r="D294" s="1616"/>
      <c r="E294" s="898">
        <v>35</v>
      </c>
      <c r="F294" s="842"/>
      <c r="G294" s="1615" t="str">
        <f>A294</f>
        <v>LƯƠNG THÁNG 01/2025</v>
      </c>
      <c r="H294" s="1616"/>
      <c r="I294" s="1616"/>
      <c r="J294" s="1617"/>
      <c r="K294" s="898">
        <v>36</v>
      </c>
      <c r="L294" s="818"/>
    </row>
    <row r="295" spans="1:13" s="31" customFormat="1" ht="17.25" customHeight="1">
      <c r="A295" s="837" t="s">
        <v>17</v>
      </c>
      <c r="B295" s="976" t="str">
        <f>'CNKT '!C50</f>
        <v>N. Tủn</v>
      </c>
      <c r="C295" s="819"/>
      <c r="D295" s="973" t="s">
        <v>398</v>
      </c>
      <c r="E295" s="973" t="s">
        <v>20</v>
      </c>
      <c r="F295" s="842"/>
      <c r="G295" s="837" t="s">
        <v>17</v>
      </c>
      <c r="H295" s="976" t="str">
        <f>'CNKT '!C51</f>
        <v>T. Lung</v>
      </c>
      <c r="I295" s="819"/>
      <c r="J295" s="973" t="s">
        <v>398</v>
      </c>
      <c r="K295" s="973" t="s">
        <v>20</v>
      </c>
      <c r="L295" s="818"/>
    </row>
    <row r="296" spans="1:13" s="31" customFormat="1" ht="17.25" customHeight="1">
      <c r="A296" s="821" t="s">
        <v>399</v>
      </c>
      <c r="B296" s="978" t="s">
        <v>559</v>
      </c>
      <c r="C296" s="822" t="str">
        <f>VLOOKUP(B295,'BTH mủ tạp'!$C$17:$AL$94,36,0)</f>
        <v>A</v>
      </c>
      <c r="D296" s="823"/>
      <c r="E296" s="823"/>
      <c r="F296" s="975"/>
      <c r="G296" s="821" t="s">
        <v>399</v>
      </c>
      <c r="H296" s="978" t="s">
        <v>559</v>
      </c>
      <c r="I296" s="822" t="str">
        <f>VLOOKUP(H295,'BTH mủ tạp'!$C$17:$AL$94,36,0)</f>
        <v>A</v>
      </c>
      <c r="J296" s="823"/>
      <c r="K296" s="823"/>
      <c r="L296" s="818"/>
    </row>
    <row r="297" spans="1:13" s="31" customFormat="1" ht="17.25" customHeight="1">
      <c r="A297" s="821" t="s">
        <v>79</v>
      </c>
      <c r="B297" s="979" t="s">
        <v>432</v>
      </c>
      <c r="C297" s="824">
        <f>VLOOKUP(B295,'CNKT '!$C$16:$Z$96,3,0)</f>
        <v>0</v>
      </c>
      <c r="D297" s="825">
        <v>25000</v>
      </c>
      <c r="E297" s="823">
        <f t="shared" ref="E297:E304" si="34">C297*D297</f>
        <v>0</v>
      </c>
      <c r="F297" s="975"/>
      <c r="G297" s="821" t="s">
        <v>79</v>
      </c>
      <c r="H297" s="979" t="s">
        <v>432</v>
      </c>
      <c r="I297" s="824">
        <f>VLOOKUP(H295,'CNKT '!$C$16:$Z$96,3,0)</f>
        <v>0</v>
      </c>
      <c r="J297" s="825">
        <v>25000</v>
      </c>
      <c r="K297" s="823">
        <f t="shared" ref="K297:K304" si="35">I297*J297</f>
        <v>0</v>
      </c>
      <c r="L297" s="818"/>
    </row>
    <row r="298" spans="1:13" s="31" customFormat="1" ht="17.25" customHeight="1">
      <c r="A298" s="821" t="s">
        <v>310</v>
      </c>
      <c r="B298" s="980" t="s">
        <v>560</v>
      </c>
      <c r="C298" s="879">
        <f>VLOOKUP(B295,'CNKT '!$C$16:$Z$96,11,0)</f>
        <v>27</v>
      </c>
      <c r="D298" s="826">
        <f>46.1*$B$2</f>
        <v>30805.403000000002</v>
      </c>
      <c r="E298" s="823">
        <f t="shared" si="34"/>
        <v>831745.88100000005</v>
      </c>
      <c r="F298" s="843"/>
      <c r="G298" s="821" t="s">
        <v>310</v>
      </c>
      <c r="H298" s="980" t="s">
        <v>560</v>
      </c>
      <c r="I298" s="879">
        <f>VLOOKUP(H295,'CNKT '!$C$16:$Z$96,11,0)</f>
        <v>27</v>
      </c>
      <c r="J298" s="826">
        <f>46.1*$B$2</f>
        <v>30805.403000000002</v>
      </c>
      <c r="K298" s="823">
        <f t="shared" si="35"/>
        <v>831745.88100000005</v>
      </c>
      <c r="L298" s="818"/>
    </row>
    <row r="299" spans="1:13" s="31" customFormat="1" ht="17.25" customHeight="1">
      <c r="A299" s="821" t="s">
        <v>401</v>
      </c>
      <c r="B299" s="980" t="s">
        <v>561</v>
      </c>
      <c r="C299" s="879">
        <f>VLOOKUP(B295,'CNKT '!$C$16:$Z$96,12,0)</f>
        <v>4</v>
      </c>
      <c r="D299" s="825">
        <f>76.9*$B$2</f>
        <v>51386.887000000002</v>
      </c>
      <c r="E299" s="823">
        <f t="shared" si="34"/>
        <v>205547.54800000001</v>
      </c>
      <c r="F299" s="975"/>
      <c r="G299" s="821" t="s">
        <v>401</v>
      </c>
      <c r="H299" s="980" t="s">
        <v>561</v>
      </c>
      <c r="I299" s="879">
        <f>VLOOKUP(H295,'CNKT '!$C$16:$Z$96,12,0)</f>
        <v>4</v>
      </c>
      <c r="J299" s="825">
        <f>76.9*$B$2</f>
        <v>51386.887000000002</v>
      </c>
      <c r="K299" s="823">
        <f t="shared" si="35"/>
        <v>205547.54800000001</v>
      </c>
      <c r="L299" s="818"/>
    </row>
    <row r="300" spans="1:13" s="31" customFormat="1" ht="17.25" customHeight="1">
      <c r="A300" s="821" t="s">
        <v>80</v>
      </c>
      <c r="B300" s="980" t="s">
        <v>562</v>
      </c>
      <c r="C300" s="879">
        <f>VLOOKUP(B295,'CNKT '!$C$16:$Z$96,8,0)</f>
        <v>736.84791256438643</v>
      </c>
      <c r="D300" s="825">
        <f>IF(C296="A",6.1,IF(C296="B",5.8,IF(C296="C",5.5,IF(C296="C.",5.5,IF(C296="D",5.2)))))*$B$2</f>
        <v>4076.203</v>
      </c>
      <c r="E300" s="823">
        <f t="shared" si="34"/>
        <v>3003541.6717386898</v>
      </c>
      <c r="F300" s="838"/>
      <c r="G300" s="821" t="s">
        <v>80</v>
      </c>
      <c r="H300" s="980" t="s">
        <v>562</v>
      </c>
      <c r="I300" s="879">
        <f>VLOOKUP(H295,'CNKT '!$C$16:$Z$96,8,0)</f>
        <v>730.17263530770549</v>
      </c>
      <c r="J300" s="825">
        <f>IF(I296="A",6.1,IF(I296="B",5.8,IF(I296="C",5.5,IF(I296="C.",5.5,IF(I296="D",5.2)))))*$B$2</f>
        <v>4076.203</v>
      </c>
      <c r="K300" s="823">
        <f t="shared" si="35"/>
        <v>2976331.8865591749</v>
      </c>
      <c r="L300" s="818"/>
    </row>
    <row r="301" spans="1:13" s="31" customFormat="1" ht="17.25" customHeight="1">
      <c r="A301" s="821" t="s">
        <v>495</v>
      </c>
      <c r="B301" s="980" t="s">
        <v>563</v>
      </c>
      <c r="C301" s="879">
        <f>VLOOKUP(B295,'CNKT '!$C$16:$Z$96,15,0)</f>
        <v>0</v>
      </c>
      <c r="D301" s="826">
        <f>92.2*$B$2</f>
        <v>61610.806000000004</v>
      </c>
      <c r="E301" s="823">
        <f t="shared" si="34"/>
        <v>0</v>
      </c>
      <c r="F301" s="838"/>
      <c r="G301" s="821" t="s">
        <v>495</v>
      </c>
      <c r="H301" s="980" t="s">
        <v>563</v>
      </c>
      <c r="I301" s="879">
        <f>VLOOKUP(H295,'CNKT '!$C$16:$Z$96,15,0)</f>
        <v>0</v>
      </c>
      <c r="J301" s="826">
        <f>92.2*$B$2</f>
        <v>61610.806000000004</v>
      </c>
      <c r="K301" s="823">
        <f t="shared" si="35"/>
        <v>0</v>
      </c>
      <c r="L301" s="818"/>
    </row>
    <row r="302" spans="1:13" s="31" customFormat="1" ht="17.25" customHeight="1">
      <c r="A302" s="821" t="s">
        <v>496</v>
      </c>
      <c r="B302" s="980" t="s">
        <v>500</v>
      </c>
      <c r="C302" s="879">
        <f>VLOOKUP(B295,'CNKT '!$C$16:$Z$96,16,0)</f>
        <v>0</v>
      </c>
      <c r="D302" s="825">
        <f>153.8*$B$2</f>
        <v>102773.774</v>
      </c>
      <c r="E302" s="823">
        <f t="shared" si="34"/>
        <v>0</v>
      </c>
      <c r="F302" s="838"/>
      <c r="G302" s="821" t="s">
        <v>496</v>
      </c>
      <c r="H302" s="980" t="s">
        <v>500</v>
      </c>
      <c r="I302" s="879">
        <f>VLOOKUP(H295,'CNKT '!$C$16:$Z$96,16,0)</f>
        <v>0</v>
      </c>
      <c r="J302" s="825">
        <f>153.8*$B$2</f>
        <v>102773.774</v>
      </c>
      <c r="K302" s="823">
        <f t="shared" si="35"/>
        <v>0</v>
      </c>
      <c r="L302" s="818"/>
    </row>
    <row r="303" spans="1:13" s="31" customFormat="1" ht="17.25" customHeight="1">
      <c r="A303" s="821" t="s">
        <v>455</v>
      </c>
      <c r="B303" s="980" t="s">
        <v>501</v>
      </c>
      <c r="C303" s="879">
        <f>VLOOKUP(B295,'CNKT '!$C$16:$Z$96,18,0)</f>
        <v>0</v>
      </c>
      <c r="D303" s="825">
        <v>10000</v>
      </c>
      <c r="E303" s="823">
        <f t="shared" si="34"/>
        <v>0</v>
      </c>
      <c r="F303" s="838"/>
      <c r="G303" s="821" t="s">
        <v>455</v>
      </c>
      <c r="H303" s="980" t="s">
        <v>501</v>
      </c>
      <c r="I303" s="879">
        <f>VLOOKUP(H295,'CNKT '!$C$16:$Z$96,18,0)</f>
        <v>0</v>
      </c>
      <c r="J303" s="825">
        <v>10000</v>
      </c>
      <c r="K303" s="823">
        <f t="shared" si="35"/>
        <v>0</v>
      </c>
      <c r="L303" s="818"/>
    </row>
    <row r="304" spans="1:13" s="31" customFormat="1" ht="17.25" customHeight="1">
      <c r="A304" s="821" t="s">
        <v>455</v>
      </c>
      <c r="B304" s="980" t="s">
        <v>501</v>
      </c>
      <c r="C304" s="879">
        <f>VLOOKUP(B295,'CNKT '!$C$16:$Z$96,19,0)</f>
        <v>0</v>
      </c>
      <c r="D304" s="825">
        <v>20000</v>
      </c>
      <c r="E304" s="823">
        <f t="shared" si="34"/>
        <v>0</v>
      </c>
      <c r="F304" s="838"/>
      <c r="G304" s="821" t="s">
        <v>455</v>
      </c>
      <c r="H304" s="980" t="s">
        <v>501</v>
      </c>
      <c r="I304" s="879">
        <f>VLOOKUP(H295,'CNKT '!$C$16:$Z$96,19,0)</f>
        <v>0</v>
      </c>
      <c r="J304" s="825">
        <v>20000</v>
      </c>
      <c r="K304" s="823">
        <f t="shared" si="35"/>
        <v>0</v>
      </c>
      <c r="L304" s="818"/>
    </row>
    <row r="305" spans="1:13" s="31" customFormat="1" ht="17.25" customHeight="1">
      <c r="A305" s="821" t="s">
        <v>517</v>
      </c>
      <c r="B305" s="980" t="s">
        <v>519</v>
      </c>
      <c r="C305" s="879"/>
      <c r="D305" s="825"/>
      <c r="E305" s="823"/>
      <c r="F305" s="838"/>
      <c r="G305" s="821" t="s">
        <v>517</v>
      </c>
      <c r="H305" s="980" t="s">
        <v>519</v>
      </c>
      <c r="I305" s="879"/>
      <c r="J305" s="825"/>
      <c r="K305" s="823"/>
      <c r="L305" s="818"/>
    </row>
    <row r="306" spans="1:13" s="31" customFormat="1" ht="17.25" customHeight="1">
      <c r="A306" s="827" t="s">
        <v>81</v>
      </c>
      <c r="B306" s="981" t="s">
        <v>564</v>
      </c>
      <c r="C306" s="828"/>
      <c r="D306" s="829"/>
      <c r="E306" s="828"/>
      <c r="F306" s="838"/>
      <c r="G306" s="827" t="s">
        <v>81</v>
      </c>
      <c r="H306" s="981" t="s">
        <v>564</v>
      </c>
      <c r="I306" s="828"/>
      <c r="J306" s="829"/>
      <c r="K306" s="828"/>
      <c r="L306" s="818"/>
    </row>
    <row r="307" spans="1:13" s="31" customFormat="1" ht="17.25" customHeight="1">
      <c r="A307" s="830" t="s">
        <v>82</v>
      </c>
      <c r="B307" s="982" t="s">
        <v>565</v>
      </c>
      <c r="C307" s="828"/>
      <c r="D307" s="828"/>
      <c r="E307" s="828"/>
      <c r="F307" s="838"/>
      <c r="G307" s="830" t="s">
        <v>82</v>
      </c>
      <c r="H307" s="982" t="s">
        <v>565</v>
      </c>
      <c r="I307" s="828"/>
      <c r="J307" s="828"/>
      <c r="K307" s="828"/>
      <c r="L307" s="818"/>
    </row>
    <row r="308" spans="1:13" s="31" customFormat="1" ht="17.25" customHeight="1">
      <c r="A308" s="830" t="s">
        <v>83</v>
      </c>
      <c r="B308" s="983" t="s">
        <v>566</v>
      </c>
      <c r="C308" s="828"/>
      <c r="D308" s="828"/>
      <c r="E308" s="823">
        <f>SUM(E307)</f>
        <v>0</v>
      </c>
      <c r="F308" s="838"/>
      <c r="G308" s="830" t="s">
        <v>83</v>
      </c>
      <c r="H308" s="983" t="s">
        <v>566</v>
      </c>
      <c r="I308" s="828"/>
      <c r="J308" s="828"/>
      <c r="K308" s="823">
        <f>SUM(K307)</f>
        <v>0</v>
      </c>
      <c r="L308" s="818"/>
      <c r="M308" s="831">
        <f>E308+K308</f>
        <v>0</v>
      </c>
    </row>
    <row r="309" spans="1:13" s="31" customFormat="1" ht="17.25" customHeight="1">
      <c r="A309" s="832" t="s">
        <v>84</v>
      </c>
      <c r="B309" s="984" t="s">
        <v>438</v>
      </c>
      <c r="C309" s="833"/>
      <c r="D309" s="833"/>
      <c r="E309" s="833">
        <f>(E297+E298+E299+E300+E301+E302+E303+E304+E305)-E308</f>
        <v>4040835.1007386898</v>
      </c>
      <c r="F309" s="838"/>
      <c r="G309" s="832" t="s">
        <v>84</v>
      </c>
      <c r="H309" s="984" t="s">
        <v>438</v>
      </c>
      <c r="I309" s="833"/>
      <c r="J309" s="833"/>
      <c r="K309" s="833">
        <f>(K297+K298+K299+K300+K301+K302+K303+K304+K305)-K308</f>
        <v>4013625.3155591749</v>
      </c>
      <c r="L309" s="835">
        <f>E309+K309</f>
        <v>8054460.4162978642</v>
      </c>
    </row>
    <row r="310" spans="1:13" s="31" customFormat="1" ht="12" customHeight="1">
      <c r="A310" s="838"/>
      <c r="B310" s="844"/>
      <c r="C310" s="845"/>
      <c r="D310" s="845"/>
      <c r="E310" s="843"/>
      <c r="F310" s="838"/>
      <c r="G310" s="838"/>
      <c r="H310" s="844"/>
      <c r="I310" s="845"/>
      <c r="J310" s="843"/>
      <c r="K310" s="836"/>
      <c r="L310" s="818"/>
    </row>
    <row r="311" spans="1:13" s="31" customFormat="1" ht="17.25" customHeight="1">
      <c r="A311" s="1615" t="str">
        <f>G294</f>
        <v>LƯƠNG THÁNG 01/2025</v>
      </c>
      <c r="B311" s="1616"/>
      <c r="C311" s="1616"/>
      <c r="D311" s="1616"/>
      <c r="E311" s="898">
        <v>37</v>
      </c>
      <c r="F311" s="843"/>
      <c r="G311" s="1615" t="str">
        <f>A311</f>
        <v>LƯƠNG THÁNG 01/2025</v>
      </c>
      <c r="H311" s="1616"/>
      <c r="I311" s="1616"/>
      <c r="J311" s="1617"/>
      <c r="K311" s="898">
        <v>38</v>
      </c>
      <c r="L311" s="818"/>
    </row>
    <row r="312" spans="1:13" s="31" customFormat="1" ht="17.25" customHeight="1">
      <c r="A312" s="837" t="s">
        <v>17</v>
      </c>
      <c r="B312" s="976" t="str">
        <f>'CNKT '!C52</f>
        <v>T. Bi Ly (2)</v>
      </c>
      <c r="C312" s="819"/>
      <c r="D312" s="973" t="s">
        <v>398</v>
      </c>
      <c r="E312" s="973" t="s">
        <v>20</v>
      </c>
      <c r="F312" s="975"/>
      <c r="G312" s="837" t="s">
        <v>17</v>
      </c>
      <c r="H312" s="976" t="str">
        <f>'CNKT '!C53</f>
        <v>N. Ba Say</v>
      </c>
      <c r="I312" s="819"/>
      <c r="J312" s="973" t="s">
        <v>398</v>
      </c>
      <c r="K312" s="973" t="s">
        <v>20</v>
      </c>
      <c r="L312" s="818"/>
    </row>
    <row r="313" spans="1:13" s="31" customFormat="1" ht="17.25" customHeight="1">
      <c r="A313" s="821" t="s">
        <v>399</v>
      </c>
      <c r="B313" s="978" t="s">
        <v>559</v>
      </c>
      <c r="C313" s="822" t="str">
        <f>VLOOKUP(B312,'BTH mủ tạp'!$C$17:$AL$94,36,0)</f>
        <v>A</v>
      </c>
      <c r="D313" s="823"/>
      <c r="E313" s="823"/>
      <c r="F313" s="838"/>
      <c r="G313" s="821" t="s">
        <v>399</v>
      </c>
      <c r="H313" s="978" t="s">
        <v>559</v>
      </c>
      <c r="I313" s="822" t="str">
        <f>VLOOKUP(H312,'BTH mủ tạp'!$C$17:$AL$94,36,0)</f>
        <v>B</v>
      </c>
      <c r="J313" s="823"/>
      <c r="K313" s="823"/>
      <c r="L313" s="818"/>
    </row>
    <row r="314" spans="1:13" s="31" customFormat="1" ht="17.25" customHeight="1">
      <c r="A314" s="821" t="s">
        <v>79</v>
      </c>
      <c r="B314" s="979" t="s">
        <v>432</v>
      </c>
      <c r="C314" s="824">
        <f>VLOOKUP(B312,'CNKT '!$C$16:$Z$96,3,0)</f>
        <v>0</v>
      </c>
      <c r="D314" s="825">
        <v>25000</v>
      </c>
      <c r="E314" s="823">
        <f t="shared" ref="E314:E321" si="36">C314*D314</f>
        <v>0</v>
      </c>
      <c r="F314" s="838"/>
      <c r="G314" s="821" t="s">
        <v>79</v>
      </c>
      <c r="H314" s="979" t="s">
        <v>432</v>
      </c>
      <c r="I314" s="824">
        <f>VLOOKUP(H312,'CNKT '!$C$16:$Z$96,3,0)</f>
        <v>0</v>
      </c>
      <c r="J314" s="825">
        <v>25000</v>
      </c>
      <c r="K314" s="823">
        <f t="shared" ref="K314:K321" si="37">I314*J314</f>
        <v>0</v>
      </c>
      <c r="L314" s="818"/>
    </row>
    <row r="315" spans="1:13" s="31" customFormat="1" ht="17.25" customHeight="1">
      <c r="A315" s="821" t="s">
        <v>310</v>
      </c>
      <c r="B315" s="980" t="s">
        <v>560</v>
      </c>
      <c r="C315" s="879">
        <f>VLOOKUP(B312,'CNKT '!$C$16:$Z$96,11,0)</f>
        <v>27</v>
      </c>
      <c r="D315" s="826">
        <f>46.1*$B$2</f>
        <v>30805.403000000002</v>
      </c>
      <c r="E315" s="823">
        <f t="shared" si="36"/>
        <v>831745.88100000005</v>
      </c>
      <c r="F315" s="838"/>
      <c r="G315" s="821" t="s">
        <v>310</v>
      </c>
      <c r="H315" s="980" t="s">
        <v>560</v>
      </c>
      <c r="I315" s="879">
        <f>VLOOKUP(H312,'CNKT '!$C$16:$Z$96,11,0)</f>
        <v>22</v>
      </c>
      <c r="J315" s="826">
        <f>46.1*$B$2</f>
        <v>30805.403000000002</v>
      </c>
      <c r="K315" s="823">
        <f t="shared" si="37"/>
        <v>677718.86600000004</v>
      </c>
      <c r="L315" s="818"/>
    </row>
    <row r="316" spans="1:13" s="31" customFormat="1" ht="17.25" customHeight="1">
      <c r="A316" s="821" t="s">
        <v>401</v>
      </c>
      <c r="B316" s="980" t="s">
        <v>561</v>
      </c>
      <c r="C316" s="879">
        <f>VLOOKUP(B312,'CNKT '!$C$16:$Z$96,12,0)</f>
        <v>4</v>
      </c>
      <c r="D316" s="825">
        <f>76.9*$B$2</f>
        <v>51386.887000000002</v>
      </c>
      <c r="E316" s="823">
        <f t="shared" si="36"/>
        <v>205547.54800000001</v>
      </c>
      <c r="F316" s="838"/>
      <c r="G316" s="821" t="s">
        <v>401</v>
      </c>
      <c r="H316" s="980" t="s">
        <v>561</v>
      </c>
      <c r="I316" s="879">
        <f>VLOOKUP(H312,'CNKT '!$C$16:$Z$96,12,0)</f>
        <v>3</v>
      </c>
      <c r="J316" s="825">
        <f>76.9*$B$2</f>
        <v>51386.887000000002</v>
      </c>
      <c r="K316" s="823">
        <f t="shared" si="37"/>
        <v>154160.66100000002</v>
      </c>
      <c r="L316" s="818"/>
    </row>
    <row r="317" spans="1:13" s="31" customFormat="1" ht="17.25" customHeight="1">
      <c r="A317" s="821" t="s">
        <v>80</v>
      </c>
      <c r="B317" s="980" t="s">
        <v>562</v>
      </c>
      <c r="C317" s="879">
        <f>VLOOKUP(B312,'CNKT '!$C$16:$Z$96,8,0)</f>
        <v>811.81641098557134</v>
      </c>
      <c r="D317" s="825">
        <f>IF(C313="A",6.1,IF(C313="B",5.8,IF(C313="C",5.5,IF(C313="C.",5.5,IF(C313="D",5.2)))))*$B$2</f>
        <v>4076.203</v>
      </c>
      <c r="E317" s="823">
        <f t="shared" si="36"/>
        <v>3309128.4899086189</v>
      </c>
      <c r="F317" s="842"/>
      <c r="G317" s="821" t="s">
        <v>80</v>
      </c>
      <c r="H317" s="980" t="s">
        <v>562</v>
      </c>
      <c r="I317" s="879">
        <f>VLOOKUP(H312,'CNKT '!$C$16:$Z$96,8,0)</f>
        <v>453.91885345429796</v>
      </c>
      <c r="J317" s="825">
        <f>IF(I313="A",6.1,IF(I313="B",5.8,IF(I313="C",5.5,IF(I313="C.",5.5,IF(I313="D",5.2)))))*$B$2</f>
        <v>3875.7339999999999</v>
      </c>
      <c r="K317" s="823">
        <f t="shared" si="37"/>
        <v>1759268.73357384</v>
      </c>
      <c r="L317" s="818"/>
    </row>
    <row r="318" spans="1:13" s="31" customFormat="1" ht="17.25" customHeight="1">
      <c r="A318" s="821" t="s">
        <v>495</v>
      </c>
      <c r="B318" s="980" t="s">
        <v>563</v>
      </c>
      <c r="C318" s="879">
        <f>VLOOKUP(B312,'CNKT '!$C$16:$Z$96,15,0)</f>
        <v>0</v>
      </c>
      <c r="D318" s="826">
        <f>92.2*$B$2</f>
        <v>61610.806000000004</v>
      </c>
      <c r="E318" s="823">
        <f t="shared" si="36"/>
        <v>0</v>
      </c>
      <c r="F318" s="842"/>
      <c r="G318" s="821" t="s">
        <v>495</v>
      </c>
      <c r="H318" s="980" t="s">
        <v>563</v>
      </c>
      <c r="I318" s="879">
        <f>VLOOKUP(H312,'CNKT '!$C$16:$Z$96,15,0)</f>
        <v>0</v>
      </c>
      <c r="J318" s="826">
        <f>92.2*$B$2</f>
        <v>61610.806000000004</v>
      </c>
      <c r="K318" s="823">
        <f t="shared" si="37"/>
        <v>0</v>
      </c>
      <c r="L318" s="818"/>
    </row>
    <row r="319" spans="1:13" s="31" customFormat="1" ht="17.25" customHeight="1">
      <c r="A319" s="821" t="s">
        <v>496</v>
      </c>
      <c r="B319" s="980" t="s">
        <v>500</v>
      </c>
      <c r="C319" s="879">
        <f>VLOOKUP(B312,'CNKT '!$C$16:$Z$96,16,0)</f>
        <v>0</v>
      </c>
      <c r="D319" s="825">
        <f>153.8*$B$2</f>
        <v>102773.774</v>
      </c>
      <c r="E319" s="823">
        <f t="shared" si="36"/>
        <v>0</v>
      </c>
      <c r="F319" s="842"/>
      <c r="G319" s="821" t="s">
        <v>496</v>
      </c>
      <c r="H319" s="980" t="s">
        <v>500</v>
      </c>
      <c r="I319" s="879">
        <f>VLOOKUP(H312,'CNKT '!$C$16:$Z$96,16,0)</f>
        <v>0</v>
      </c>
      <c r="J319" s="825">
        <f>153.8*$B$2</f>
        <v>102773.774</v>
      </c>
      <c r="K319" s="823">
        <f t="shared" si="37"/>
        <v>0</v>
      </c>
      <c r="L319" s="818"/>
    </row>
    <row r="320" spans="1:13" s="31" customFormat="1" ht="17.25" customHeight="1">
      <c r="A320" s="821" t="s">
        <v>455</v>
      </c>
      <c r="B320" s="980" t="s">
        <v>501</v>
      </c>
      <c r="C320" s="879">
        <f>VLOOKUP(B312,'CNKT '!$C$16:$Z$96,18,0)</f>
        <v>0</v>
      </c>
      <c r="D320" s="825">
        <v>10000</v>
      </c>
      <c r="E320" s="823">
        <f t="shared" si="36"/>
        <v>0</v>
      </c>
      <c r="F320" s="842"/>
      <c r="G320" s="821" t="s">
        <v>455</v>
      </c>
      <c r="H320" s="980" t="s">
        <v>501</v>
      </c>
      <c r="I320" s="879">
        <f>VLOOKUP(H312,'CNKT '!$C$16:$Z$96,18,0)</f>
        <v>0</v>
      </c>
      <c r="J320" s="825">
        <v>10000</v>
      </c>
      <c r="K320" s="823">
        <f t="shared" si="37"/>
        <v>0</v>
      </c>
      <c r="L320" s="818"/>
    </row>
    <row r="321" spans="1:13" s="31" customFormat="1" ht="17.25" customHeight="1">
      <c r="A321" s="821" t="s">
        <v>455</v>
      </c>
      <c r="B321" s="980" t="s">
        <v>501</v>
      </c>
      <c r="C321" s="879">
        <f>VLOOKUP(B312,'CNKT '!$C$16:$Z$96,19,0)</f>
        <v>0</v>
      </c>
      <c r="D321" s="825">
        <v>20000</v>
      </c>
      <c r="E321" s="823">
        <f t="shared" si="36"/>
        <v>0</v>
      </c>
      <c r="F321" s="842"/>
      <c r="G321" s="821" t="s">
        <v>455</v>
      </c>
      <c r="H321" s="980" t="s">
        <v>501</v>
      </c>
      <c r="I321" s="879">
        <f>VLOOKUP(H312,'CNKT '!$C$16:$Z$96,19,0)</f>
        <v>0</v>
      </c>
      <c r="J321" s="825">
        <v>20000</v>
      </c>
      <c r="K321" s="823">
        <f t="shared" si="37"/>
        <v>0</v>
      </c>
      <c r="L321" s="818"/>
    </row>
    <row r="322" spans="1:13" s="31" customFormat="1" ht="17.25" customHeight="1">
      <c r="A322" s="821" t="s">
        <v>517</v>
      </c>
      <c r="B322" s="980" t="s">
        <v>519</v>
      </c>
      <c r="C322" s="879"/>
      <c r="D322" s="825"/>
      <c r="E322" s="823"/>
      <c r="F322" s="842"/>
      <c r="G322" s="821" t="s">
        <v>517</v>
      </c>
      <c r="H322" s="980" t="s">
        <v>519</v>
      </c>
      <c r="I322" s="879"/>
      <c r="J322" s="825"/>
      <c r="K322" s="823"/>
      <c r="L322" s="818"/>
    </row>
    <row r="323" spans="1:13" s="31" customFormat="1" ht="17.25" customHeight="1">
      <c r="A323" s="827" t="s">
        <v>81</v>
      </c>
      <c r="B323" s="981" t="s">
        <v>564</v>
      </c>
      <c r="C323" s="828"/>
      <c r="D323" s="829"/>
      <c r="E323" s="828"/>
      <c r="F323" s="842"/>
      <c r="G323" s="827" t="s">
        <v>81</v>
      </c>
      <c r="H323" s="981" t="s">
        <v>564</v>
      </c>
      <c r="I323" s="828"/>
      <c r="J323" s="829"/>
      <c r="K323" s="828"/>
      <c r="L323" s="818"/>
    </row>
    <row r="324" spans="1:13" s="31" customFormat="1" ht="17.25" customHeight="1">
      <c r="A324" s="830" t="s">
        <v>82</v>
      </c>
      <c r="B324" s="982" t="s">
        <v>565</v>
      </c>
      <c r="C324" s="828"/>
      <c r="D324" s="828"/>
      <c r="E324" s="828"/>
      <c r="F324" s="975"/>
      <c r="G324" s="830" t="s">
        <v>82</v>
      </c>
      <c r="H324" s="982" t="s">
        <v>565</v>
      </c>
      <c r="I324" s="828"/>
      <c r="J324" s="828"/>
      <c r="K324" s="828"/>
      <c r="L324" s="818"/>
    </row>
    <row r="325" spans="1:13" s="31" customFormat="1" ht="17.25" customHeight="1">
      <c r="A325" s="830" t="s">
        <v>83</v>
      </c>
      <c r="B325" s="983" t="s">
        <v>566</v>
      </c>
      <c r="C325" s="828"/>
      <c r="D325" s="828"/>
      <c r="E325" s="823">
        <f>SUM(E324)</f>
        <v>0</v>
      </c>
      <c r="F325" s="975"/>
      <c r="G325" s="830" t="s">
        <v>83</v>
      </c>
      <c r="H325" s="983" t="s">
        <v>566</v>
      </c>
      <c r="I325" s="828"/>
      <c r="J325" s="828"/>
      <c r="K325" s="823">
        <f>SUM(K324)</f>
        <v>0</v>
      </c>
      <c r="L325" s="818"/>
      <c r="M325" s="831">
        <f>E325+K325</f>
        <v>0</v>
      </c>
    </row>
    <row r="326" spans="1:13" s="31" customFormat="1" ht="17.25" customHeight="1">
      <c r="A326" s="832" t="s">
        <v>84</v>
      </c>
      <c r="B326" s="984" t="s">
        <v>438</v>
      </c>
      <c r="C326" s="833"/>
      <c r="D326" s="833"/>
      <c r="E326" s="833">
        <f>(E314+E315+E316+E317+E318+E319+E320+E321+E322)-E325</f>
        <v>4346421.9189086184</v>
      </c>
      <c r="F326" s="975"/>
      <c r="G326" s="832" t="s">
        <v>84</v>
      </c>
      <c r="H326" s="984" t="s">
        <v>438</v>
      </c>
      <c r="I326" s="833"/>
      <c r="J326" s="833"/>
      <c r="K326" s="833">
        <f>(K314+K315+K316+K317+K318+K319+K320+K321+K322)-K325</f>
        <v>2591148.2605738398</v>
      </c>
      <c r="L326" s="835">
        <f>E326+K326</f>
        <v>6937570.1794824582</v>
      </c>
    </row>
    <row r="327" spans="1:13" s="31" customFormat="1" ht="17.25" customHeight="1">
      <c r="A327" s="838"/>
      <c r="B327" s="844"/>
      <c r="C327" s="845"/>
      <c r="D327" s="845"/>
      <c r="E327" s="843"/>
      <c r="F327" s="975"/>
      <c r="G327" s="838"/>
      <c r="H327" s="844"/>
      <c r="I327" s="845"/>
      <c r="J327" s="843"/>
      <c r="K327" s="846"/>
      <c r="L327" s="818"/>
    </row>
    <row r="328" spans="1:13" s="31" customFormat="1" ht="17.25" customHeight="1">
      <c r="A328" s="841"/>
      <c r="B328" s="849"/>
      <c r="C328" s="850"/>
      <c r="D328" s="850"/>
      <c r="E328" s="838"/>
      <c r="F328" s="838"/>
      <c r="G328" s="841"/>
      <c r="H328" s="849"/>
      <c r="I328" s="850"/>
      <c r="J328" s="838"/>
      <c r="K328" s="836"/>
      <c r="L328" s="818"/>
    </row>
    <row r="329" spans="1:13" s="31" customFormat="1" ht="17.25" customHeight="1">
      <c r="A329" s="1615" t="str">
        <f>G311</f>
        <v>LƯƠNG THÁNG 01/2025</v>
      </c>
      <c r="B329" s="1616"/>
      <c r="C329" s="1616"/>
      <c r="D329" s="1616"/>
      <c r="E329" s="898">
        <v>39</v>
      </c>
      <c r="F329" s="838"/>
      <c r="G329" s="1615" t="str">
        <f>A329</f>
        <v>LƯƠNG THÁNG 01/2025</v>
      </c>
      <c r="H329" s="1616"/>
      <c r="I329" s="1616"/>
      <c r="J329" s="1617"/>
      <c r="K329" s="898">
        <v>40</v>
      </c>
      <c r="L329" s="818"/>
    </row>
    <row r="330" spans="1:13" s="31" customFormat="1" ht="17.25" customHeight="1">
      <c r="A330" s="837" t="s">
        <v>17</v>
      </c>
      <c r="B330" s="976" t="str">
        <f>'CNKT '!C54</f>
        <v>N. Đeng</v>
      </c>
      <c r="C330" s="819"/>
      <c r="D330" s="973" t="s">
        <v>398</v>
      </c>
      <c r="E330" s="973" t="s">
        <v>20</v>
      </c>
      <c r="F330" s="838"/>
      <c r="G330" s="837" t="s">
        <v>17</v>
      </c>
      <c r="H330" s="976" t="str">
        <f>'CNKT '!C55</f>
        <v>T. Tinh</v>
      </c>
      <c r="I330" s="819"/>
      <c r="J330" s="973" t="s">
        <v>398</v>
      </c>
      <c r="K330" s="973" t="s">
        <v>20</v>
      </c>
      <c r="L330" s="818"/>
    </row>
    <row r="331" spans="1:13" s="31" customFormat="1" ht="17.25" customHeight="1">
      <c r="A331" s="821" t="s">
        <v>399</v>
      </c>
      <c r="B331" s="978" t="s">
        <v>559</v>
      </c>
      <c r="C331" s="822" t="str">
        <f>VLOOKUP(B330,'BTH mủ tạp'!$C$17:$AL$94,36,0)</f>
        <v>A</v>
      </c>
      <c r="D331" s="823"/>
      <c r="E331" s="823"/>
      <c r="F331" s="838"/>
      <c r="G331" s="821" t="s">
        <v>399</v>
      </c>
      <c r="H331" s="978" t="s">
        <v>559</v>
      </c>
      <c r="I331" s="822" t="str">
        <f>VLOOKUP(H330,'BTH mủ tạp'!$C$17:$AL$94,36,0)</f>
        <v>B</v>
      </c>
      <c r="J331" s="823"/>
      <c r="K331" s="823"/>
      <c r="L331" s="818"/>
    </row>
    <row r="332" spans="1:13" s="31" customFormat="1" ht="17.25" customHeight="1">
      <c r="A332" s="821" t="s">
        <v>79</v>
      </c>
      <c r="B332" s="979" t="s">
        <v>432</v>
      </c>
      <c r="C332" s="824">
        <f>VLOOKUP(B330,'CNKT '!$C$16:$Z$96,3,0)</f>
        <v>0</v>
      </c>
      <c r="D332" s="825">
        <v>25000</v>
      </c>
      <c r="E332" s="823">
        <f t="shared" ref="E332:E339" si="38">C332*D332</f>
        <v>0</v>
      </c>
      <c r="F332" s="842"/>
      <c r="G332" s="821" t="s">
        <v>79</v>
      </c>
      <c r="H332" s="979" t="s">
        <v>432</v>
      </c>
      <c r="I332" s="824">
        <f>VLOOKUP(H330,'CNKT '!$C$16:$Z$96,3,0)</f>
        <v>0</v>
      </c>
      <c r="J332" s="825">
        <v>25000</v>
      </c>
      <c r="K332" s="823">
        <f t="shared" ref="K332:K339" si="39">I332*J332</f>
        <v>0</v>
      </c>
      <c r="L332" s="818"/>
    </row>
    <row r="333" spans="1:13" s="31" customFormat="1" ht="17.25" customHeight="1">
      <c r="A333" s="821" t="s">
        <v>310</v>
      </c>
      <c r="B333" s="980" t="s">
        <v>560</v>
      </c>
      <c r="C333" s="879">
        <f>VLOOKUP(B330,'CNKT '!$C$16:$Z$96,11,0)</f>
        <v>27</v>
      </c>
      <c r="D333" s="826">
        <f>46.1*$B$2</f>
        <v>30805.403000000002</v>
      </c>
      <c r="E333" s="823">
        <f t="shared" si="38"/>
        <v>831745.88100000005</v>
      </c>
      <c r="F333" s="842"/>
      <c r="G333" s="821" t="s">
        <v>310</v>
      </c>
      <c r="H333" s="980" t="s">
        <v>560</v>
      </c>
      <c r="I333" s="879">
        <f>VLOOKUP(H330,'CNKT '!$C$16:$Z$96,11,0)</f>
        <v>23</v>
      </c>
      <c r="J333" s="826">
        <f>46.1*$B$2</f>
        <v>30805.403000000002</v>
      </c>
      <c r="K333" s="823">
        <f t="shared" si="39"/>
        <v>708524.26900000009</v>
      </c>
      <c r="L333" s="818"/>
    </row>
    <row r="334" spans="1:13" s="31" customFormat="1" ht="17.25" customHeight="1">
      <c r="A334" s="821" t="s">
        <v>401</v>
      </c>
      <c r="B334" s="980" t="s">
        <v>561</v>
      </c>
      <c r="C334" s="879">
        <f>VLOOKUP(B330,'CNKT '!$C$16:$Z$96,12,0)</f>
        <v>4</v>
      </c>
      <c r="D334" s="825">
        <f>76.9*$B$2</f>
        <v>51386.887000000002</v>
      </c>
      <c r="E334" s="823">
        <f t="shared" si="38"/>
        <v>205547.54800000001</v>
      </c>
      <c r="F334" s="843"/>
      <c r="G334" s="821" t="s">
        <v>401</v>
      </c>
      <c r="H334" s="980" t="s">
        <v>561</v>
      </c>
      <c r="I334" s="879">
        <f>VLOOKUP(H330,'CNKT '!$C$16:$Z$96,12,0)</f>
        <v>3</v>
      </c>
      <c r="J334" s="825">
        <f>76.9*$B$2</f>
        <v>51386.887000000002</v>
      </c>
      <c r="K334" s="823">
        <f t="shared" si="39"/>
        <v>154160.66100000002</v>
      </c>
      <c r="L334" s="818"/>
    </row>
    <row r="335" spans="1:13" s="31" customFormat="1" ht="17.25" customHeight="1">
      <c r="A335" s="821" t="s">
        <v>80</v>
      </c>
      <c r="B335" s="980" t="s">
        <v>562</v>
      </c>
      <c r="C335" s="879">
        <f>VLOOKUP(B330,'CNKT '!$C$16:$Z$96,8,0)</f>
        <v>974.07699660950595</v>
      </c>
      <c r="D335" s="825">
        <f>IF(C331="A",6.1,IF(C331="B",5.8,IF(C331="C",5.5,IF(C331="C.",5.5,IF(C331="D",5.2)))))*$B$2</f>
        <v>4076.203</v>
      </c>
      <c r="E335" s="823">
        <f t="shared" si="38"/>
        <v>3970535.5758106578</v>
      </c>
      <c r="F335" s="843"/>
      <c r="G335" s="821" t="s">
        <v>80</v>
      </c>
      <c r="H335" s="980" t="s">
        <v>562</v>
      </c>
      <c r="I335" s="879">
        <f>VLOOKUP(H330,'CNKT '!$C$16:$Z$96,8,0)</f>
        <v>468.29637369945669</v>
      </c>
      <c r="J335" s="825">
        <f>IF(I331="A",6.1,IF(I331="B",5.8,IF(I331="C",5.5,IF(I331="C.",5.5,IF(I331="D",5.2)))))*$B$2</f>
        <v>3875.7339999999999</v>
      </c>
      <c r="K335" s="823">
        <f t="shared" si="39"/>
        <v>1814992.1776236901</v>
      </c>
      <c r="L335" s="818"/>
    </row>
    <row r="336" spans="1:13" s="31" customFormat="1" ht="17.25" customHeight="1">
      <c r="A336" s="821" t="s">
        <v>495</v>
      </c>
      <c r="B336" s="980" t="s">
        <v>563</v>
      </c>
      <c r="C336" s="879">
        <f>VLOOKUP(B330,'CNKT '!$C$16:$Z$96,15,0)</f>
        <v>0</v>
      </c>
      <c r="D336" s="826">
        <f>92.2*$B$2</f>
        <v>61610.806000000004</v>
      </c>
      <c r="E336" s="823">
        <f t="shared" si="38"/>
        <v>0</v>
      </c>
      <c r="F336" s="843"/>
      <c r="G336" s="821" t="s">
        <v>495</v>
      </c>
      <c r="H336" s="980" t="s">
        <v>563</v>
      </c>
      <c r="I336" s="879">
        <f>VLOOKUP(H330,'CNKT '!$C$16:$Z$96,15,0)</f>
        <v>0</v>
      </c>
      <c r="J336" s="826">
        <f>92.2*$B$2</f>
        <v>61610.806000000004</v>
      </c>
      <c r="K336" s="823">
        <f t="shared" si="39"/>
        <v>0</v>
      </c>
      <c r="L336" s="818"/>
    </row>
    <row r="337" spans="1:13" s="31" customFormat="1" ht="17.25" customHeight="1">
      <c r="A337" s="821" t="s">
        <v>496</v>
      </c>
      <c r="B337" s="980" t="s">
        <v>500</v>
      </c>
      <c r="C337" s="879">
        <f>VLOOKUP(B330,'CNKT '!$C$16:$Z$96,16,0)</f>
        <v>0</v>
      </c>
      <c r="D337" s="825">
        <f>153.8*$B$2</f>
        <v>102773.774</v>
      </c>
      <c r="E337" s="823">
        <f t="shared" si="38"/>
        <v>0</v>
      </c>
      <c r="F337" s="843"/>
      <c r="G337" s="821" t="s">
        <v>496</v>
      </c>
      <c r="H337" s="980" t="s">
        <v>500</v>
      </c>
      <c r="I337" s="879">
        <f>VLOOKUP(H330,'CNKT '!$C$16:$Z$96,16,0)</f>
        <v>0</v>
      </c>
      <c r="J337" s="825">
        <f>153.8*$B$2</f>
        <v>102773.774</v>
      </c>
      <c r="K337" s="823">
        <f t="shared" si="39"/>
        <v>0</v>
      </c>
      <c r="L337" s="818"/>
    </row>
    <row r="338" spans="1:13" s="31" customFormat="1" ht="17.25" customHeight="1">
      <c r="A338" s="821" t="s">
        <v>455</v>
      </c>
      <c r="B338" s="980" t="s">
        <v>501</v>
      </c>
      <c r="C338" s="879">
        <f>VLOOKUP(B330,'CNKT '!$C$16:$Z$96,18,0)</f>
        <v>0</v>
      </c>
      <c r="D338" s="825">
        <v>10000</v>
      </c>
      <c r="E338" s="823">
        <f t="shared" si="38"/>
        <v>0</v>
      </c>
      <c r="F338" s="843"/>
      <c r="G338" s="821" t="s">
        <v>455</v>
      </c>
      <c r="H338" s="980" t="s">
        <v>501</v>
      </c>
      <c r="I338" s="879">
        <f>VLOOKUP(H330,'CNKT '!$C$16:$Z$96,18,0)</f>
        <v>0</v>
      </c>
      <c r="J338" s="825">
        <v>10000</v>
      </c>
      <c r="K338" s="823">
        <f t="shared" si="39"/>
        <v>0</v>
      </c>
      <c r="L338" s="818"/>
    </row>
    <row r="339" spans="1:13" s="31" customFormat="1" ht="17.25" customHeight="1">
      <c r="A339" s="821" t="s">
        <v>455</v>
      </c>
      <c r="B339" s="980" t="s">
        <v>501</v>
      </c>
      <c r="C339" s="879">
        <f>VLOOKUP(B330,'CNKT '!$C$16:$Z$96,19,0)</f>
        <v>0</v>
      </c>
      <c r="D339" s="825">
        <v>20000</v>
      </c>
      <c r="E339" s="823">
        <f t="shared" si="38"/>
        <v>0</v>
      </c>
      <c r="F339" s="843"/>
      <c r="G339" s="821" t="s">
        <v>455</v>
      </c>
      <c r="H339" s="980" t="s">
        <v>501</v>
      </c>
      <c r="I339" s="879">
        <f>VLOOKUP(H330,'CNKT '!$C$16:$Z$96,19,0)</f>
        <v>0</v>
      </c>
      <c r="J339" s="825">
        <v>20000</v>
      </c>
      <c r="K339" s="823">
        <f t="shared" si="39"/>
        <v>0</v>
      </c>
      <c r="L339" s="818"/>
    </row>
    <row r="340" spans="1:13" s="31" customFormat="1" ht="17.25" customHeight="1">
      <c r="A340" s="821" t="s">
        <v>517</v>
      </c>
      <c r="B340" s="980" t="s">
        <v>519</v>
      </c>
      <c r="C340" s="879"/>
      <c r="D340" s="825"/>
      <c r="E340" s="823"/>
      <c r="F340" s="843"/>
      <c r="G340" s="821" t="s">
        <v>517</v>
      </c>
      <c r="H340" s="980" t="s">
        <v>519</v>
      </c>
      <c r="I340" s="879"/>
      <c r="J340" s="825"/>
      <c r="K340" s="823"/>
      <c r="L340" s="818"/>
    </row>
    <row r="341" spans="1:13" s="31" customFormat="1" ht="17.25" customHeight="1">
      <c r="A341" s="827" t="s">
        <v>81</v>
      </c>
      <c r="B341" s="981" t="s">
        <v>564</v>
      </c>
      <c r="C341" s="828"/>
      <c r="D341" s="829"/>
      <c r="E341" s="828"/>
      <c r="F341" s="848"/>
      <c r="G341" s="827" t="s">
        <v>81</v>
      </c>
      <c r="H341" s="981" t="s">
        <v>564</v>
      </c>
      <c r="I341" s="828"/>
      <c r="J341" s="829"/>
      <c r="K341" s="828"/>
      <c r="L341" s="818"/>
    </row>
    <row r="342" spans="1:13" s="31" customFormat="1" ht="17.25" customHeight="1">
      <c r="A342" s="830" t="s">
        <v>82</v>
      </c>
      <c r="B342" s="982" t="s">
        <v>565</v>
      </c>
      <c r="C342" s="828"/>
      <c r="D342" s="828"/>
      <c r="E342" s="828"/>
      <c r="F342" s="848"/>
      <c r="G342" s="830" t="s">
        <v>82</v>
      </c>
      <c r="H342" s="982" t="s">
        <v>565</v>
      </c>
      <c r="I342" s="828"/>
      <c r="J342" s="828"/>
      <c r="K342" s="828"/>
      <c r="L342" s="818"/>
    </row>
    <row r="343" spans="1:13" s="31" customFormat="1" ht="17.25" customHeight="1">
      <c r="A343" s="830" t="s">
        <v>83</v>
      </c>
      <c r="B343" s="983" t="s">
        <v>566</v>
      </c>
      <c r="C343" s="828"/>
      <c r="D343" s="828"/>
      <c r="E343" s="823">
        <f>SUM(E342)</f>
        <v>0</v>
      </c>
      <c r="F343" s="848"/>
      <c r="G343" s="830" t="s">
        <v>83</v>
      </c>
      <c r="H343" s="983" t="s">
        <v>566</v>
      </c>
      <c r="I343" s="828"/>
      <c r="J343" s="828"/>
      <c r="K343" s="823">
        <f>SUM(K342)</f>
        <v>0</v>
      </c>
      <c r="L343" s="818"/>
      <c r="M343" s="831">
        <f>E343+K343</f>
        <v>0</v>
      </c>
    </row>
    <row r="344" spans="1:13" s="31" customFormat="1" ht="17.25" customHeight="1">
      <c r="A344" s="832" t="s">
        <v>84</v>
      </c>
      <c r="B344" s="984" t="s">
        <v>438</v>
      </c>
      <c r="C344" s="833"/>
      <c r="D344" s="833"/>
      <c r="E344" s="833">
        <f>(E332+E333+E334+E335+E336+E337+E338+E339+E340)-E343</f>
        <v>5007829.0048106574</v>
      </c>
      <c r="F344" s="848"/>
      <c r="G344" s="832" t="s">
        <v>84</v>
      </c>
      <c r="H344" s="984" t="s">
        <v>438</v>
      </c>
      <c r="I344" s="833"/>
      <c r="J344" s="833"/>
      <c r="K344" s="833">
        <f>(K332+K333+K334+K335+K336+K337+K338+K339+K340)-K343</f>
        <v>2677677.1076236903</v>
      </c>
      <c r="L344" s="835">
        <f>E344+K344</f>
        <v>7685506.1124343481</v>
      </c>
    </row>
    <row r="345" spans="1:13" s="31" customFormat="1" ht="17.25" customHeight="1">
      <c r="A345" s="838"/>
      <c r="B345" s="844"/>
      <c r="C345" s="845"/>
      <c r="D345" s="845"/>
      <c r="E345" s="843"/>
      <c r="F345" s="848"/>
      <c r="G345" s="838"/>
      <c r="H345" s="844"/>
      <c r="I345" s="845"/>
      <c r="J345" s="843"/>
      <c r="K345" s="974"/>
      <c r="L345" s="818"/>
    </row>
    <row r="346" spans="1:13" s="31" customFormat="1" ht="34.5" customHeight="1">
      <c r="A346" s="841"/>
      <c r="B346" s="842"/>
      <c r="C346" s="975"/>
      <c r="D346" s="975"/>
      <c r="E346" s="838"/>
      <c r="F346" s="838"/>
      <c r="G346" s="841"/>
      <c r="H346" s="842"/>
      <c r="I346" s="975"/>
      <c r="J346" s="838">
        <v>0</v>
      </c>
      <c r="K346" s="836"/>
      <c r="L346" s="818"/>
    </row>
    <row r="347" spans="1:13" s="31" customFormat="1" ht="17.25" customHeight="1">
      <c r="A347" s="1615" t="str">
        <f>G329</f>
        <v>LƯƠNG THÁNG 01/2025</v>
      </c>
      <c r="B347" s="1616"/>
      <c r="C347" s="1616"/>
      <c r="D347" s="1616"/>
      <c r="E347" s="898">
        <v>41</v>
      </c>
      <c r="F347" s="838"/>
      <c r="G347" s="1615" t="str">
        <f>A347</f>
        <v>LƯƠNG THÁNG 01/2025</v>
      </c>
      <c r="H347" s="1616"/>
      <c r="I347" s="1616"/>
      <c r="J347" s="1617"/>
      <c r="K347" s="898">
        <v>42</v>
      </c>
      <c r="L347" s="818"/>
    </row>
    <row r="348" spans="1:13" s="31" customFormat="1" ht="17.25" customHeight="1">
      <c r="A348" s="837" t="s">
        <v>17</v>
      </c>
      <c r="B348" s="976" t="str">
        <f>'CNKT '!C56</f>
        <v>T. Khăm Pỏi</v>
      </c>
      <c r="C348" s="819"/>
      <c r="D348" s="973" t="s">
        <v>398</v>
      </c>
      <c r="E348" s="973" t="s">
        <v>20</v>
      </c>
      <c r="F348" s="838"/>
      <c r="G348" s="837" t="s">
        <v>17</v>
      </c>
      <c r="H348" s="976" t="str">
        <f>'CNKT '!C57</f>
        <v>Lăm Ngân</v>
      </c>
      <c r="I348" s="819"/>
      <c r="J348" s="973" t="s">
        <v>398</v>
      </c>
      <c r="K348" s="973" t="s">
        <v>20</v>
      </c>
      <c r="L348" s="818"/>
    </row>
    <row r="349" spans="1:13" s="31" customFormat="1" ht="17.25" customHeight="1">
      <c r="A349" s="821" t="s">
        <v>399</v>
      </c>
      <c r="B349" s="978" t="s">
        <v>559</v>
      </c>
      <c r="C349" s="822" t="str">
        <f>VLOOKUP(B348,'BTH mủ tạp'!$C$17:$AL$94,36,0)</f>
        <v>A</v>
      </c>
      <c r="D349" s="823"/>
      <c r="E349" s="823"/>
      <c r="F349" s="842"/>
      <c r="G349" s="821" t="s">
        <v>399</v>
      </c>
      <c r="H349" s="978" t="s">
        <v>559</v>
      </c>
      <c r="I349" s="822" t="str">
        <f>VLOOKUP(H348,'BTH mủ tạp'!$C$17:$AL$94,36,0)</f>
        <v>A</v>
      </c>
      <c r="J349" s="823"/>
      <c r="K349" s="823"/>
      <c r="L349" s="818"/>
    </row>
    <row r="350" spans="1:13" s="31" customFormat="1" ht="17.25" customHeight="1">
      <c r="A350" s="821" t="s">
        <v>79</v>
      </c>
      <c r="B350" s="979" t="s">
        <v>432</v>
      </c>
      <c r="C350" s="824">
        <f>VLOOKUP(B348,'CNKT '!$C$16:$Z$96,3,0)</f>
        <v>0</v>
      </c>
      <c r="D350" s="825">
        <v>25000</v>
      </c>
      <c r="E350" s="823">
        <f t="shared" ref="E350:E357" si="40">C350*D350</f>
        <v>0</v>
      </c>
      <c r="F350" s="842"/>
      <c r="G350" s="821" t="s">
        <v>79</v>
      </c>
      <c r="H350" s="979" t="s">
        <v>432</v>
      </c>
      <c r="I350" s="824">
        <f>VLOOKUP(H348,'CNKT '!$C$16:$Z$96,3,0)</f>
        <v>0</v>
      </c>
      <c r="J350" s="825">
        <v>25000</v>
      </c>
      <c r="K350" s="823">
        <f t="shared" ref="K350:K357" si="41">I350*J350</f>
        <v>0</v>
      </c>
      <c r="L350" s="818"/>
    </row>
    <row r="351" spans="1:13" s="31" customFormat="1" ht="17.25" customHeight="1">
      <c r="A351" s="821" t="s">
        <v>310</v>
      </c>
      <c r="B351" s="980" t="s">
        <v>560</v>
      </c>
      <c r="C351" s="879">
        <f>VLOOKUP(B348,'CNKT '!$C$16:$Z$96,11,0)</f>
        <v>27</v>
      </c>
      <c r="D351" s="826">
        <f>46.1*$B$2</f>
        <v>30805.403000000002</v>
      </c>
      <c r="E351" s="823">
        <f t="shared" si="40"/>
        <v>831745.88100000005</v>
      </c>
      <c r="F351" s="975"/>
      <c r="G351" s="821" t="s">
        <v>310</v>
      </c>
      <c r="H351" s="980" t="s">
        <v>560</v>
      </c>
      <c r="I351" s="879">
        <f>VLOOKUP(H348,'CNKT '!$C$16:$Z$96,11,0)</f>
        <v>27</v>
      </c>
      <c r="J351" s="826">
        <f>46.1*$B$2</f>
        <v>30805.403000000002</v>
      </c>
      <c r="K351" s="823">
        <f t="shared" si="41"/>
        <v>831745.88100000005</v>
      </c>
      <c r="L351" s="818"/>
    </row>
    <row r="352" spans="1:13" s="31" customFormat="1" ht="17.25" customHeight="1">
      <c r="A352" s="821" t="s">
        <v>401</v>
      </c>
      <c r="B352" s="980" t="s">
        <v>561</v>
      </c>
      <c r="C352" s="879">
        <f>VLOOKUP(B348,'CNKT '!$C$16:$Z$96,12,0)</f>
        <v>4</v>
      </c>
      <c r="D352" s="825">
        <f>76.9*$B$2</f>
        <v>51386.887000000002</v>
      </c>
      <c r="E352" s="823">
        <f t="shared" si="40"/>
        <v>205547.54800000001</v>
      </c>
      <c r="F352" s="843"/>
      <c r="G352" s="821" t="s">
        <v>401</v>
      </c>
      <c r="H352" s="980" t="s">
        <v>561</v>
      </c>
      <c r="I352" s="879">
        <f>VLOOKUP(H348,'CNKT '!$C$16:$Z$96,12,0)</f>
        <v>4</v>
      </c>
      <c r="J352" s="825">
        <f>76.9*$B$2</f>
        <v>51386.887000000002</v>
      </c>
      <c r="K352" s="823">
        <f t="shared" si="41"/>
        <v>205547.54800000001</v>
      </c>
      <c r="L352" s="818"/>
    </row>
    <row r="353" spans="1:13" s="31" customFormat="1" ht="17.25" customHeight="1">
      <c r="A353" s="821" t="s">
        <v>80</v>
      </c>
      <c r="B353" s="980" t="s">
        <v>562</v>
      </c>
      <c r="C353" s="879">
        <f>VLOOKUP(B348,'CNKT '!$C$16:$Z$96,8,0)</f>
        <v>810.27596238787578</v>
      </c>
      <c r="D353" s="825">
        <f>IF(C349="A",6.1,IF(C349="B",5.8,IF(C349="C",5.5,IF(C349="C.",5.5,IF(C349="D",5.2)))))*$B$2</f>
        <v>4076.203</v>
      </c>
      <c r="E353" s="823">
        <f t="shared" si="40"/>
        <v>3302849.3087133463</v>
      </c>
      <c r="F353" s="843"/>
      <c r="G353" s="821" t="s">
        <v>80</v>
      </c>
      <c r="H353" s="980" t="s">
        <v>562</v>
      </c>
      <c r="I353" s="879">
        <f>VLOOKUP(H348,'CNKT '!$C$16:$Z$96,8,0)</f>
        <v>977.67137667079555</v>
      </c>
      <c r="J353" s="825">
        <f>IF(I349="A",6.1,IF(I349="B",5.8,IF(I349="C",5.5,IF(I349="C.",5.5,IF(I349="D",5.2)))))*$B$2</f>
        <v>4076.203</v>
      </c>
      <c r="K353" s="823">
        <f t="shared" si="41"/>
        <v>3985186.9985996266</v>
      </c>
      <c r="L353" s="818"/>
    </row>
    <row r="354" spans="1:13" s="31" customFormat="1" ht="17.25" customHeight="1">
      <c r="A354" s="821" t="s">
        <v>495</v>
      </c>
      <c r="B354" s="980" t="s">
        <v>563</v>
      </c>
      <c r="C354" s="879">
        <f>VLOOKUP(B348,'CNKT '!$C$16:$Z$96,15,0)</f>
        <v>0</v>
      </c>
      <c r="D354" s="826">
        <f>92.2*$B$2</f>
        <v>61610.806000000004</v>
      </c>
      <c r="E354" s="823">
        <f t="shared" si="40"/>
        <v>0</v>
      </c>
      <c r="F354" s="843"/>
      <c r="G354" s="821" t="s">
        <v>495</v>
      </c>
      <c r="H354" s="980" t="s">
        <v>563</v>
      </c>
      <c r="I354" s="879">
        <f>VLOOKUP(H348,'CNKT '!$C$16:$Z$96,15,0)</f>
        <v>0</v>
      </c>
      <c r="J354" s="826">
        <f>92.2*$B$2</f>
        <v>61610.806000000004</v>
      </c>
      <c r="K354" s="823">
        <f t="shared" si="41"/>
        <v>0</v>
      </c>
      <c r="L354" s="818"/>
    </row>
    <row r="355" spans="1:13" s="31" customFormat="1" ht="17.25" customHeight="1">
      <c r="A355" s="821" t="s">
        <v>496</v>
      </c>
      <c r="B355" s="980" t="s">
        <v>500</v>
      </c>
      <c r="C355" s="879">
        <f>VLOOKUP(B348,'CNKT '!$C$16:$Z$96,16,0)</f>
        <v>0</v>
      </c>
      <c r="D355" s="825">
        <f>153.8*$B$2</f>
        <v>102773.774</v>
      </c>
      <c r="E355" s="823">
        <f t="shared" si="40"/>
        <v>0</v>
      </c>
      <c r="F355" s="843"/>
      <c r="G355" s="821" t="s">
        <v>496</v>
      </c>
      <c r="H355" s="980" t="s">
        <v>500</v>
      </c>
      <c r="I355" s="879">
        <f>VLOOKUP(H348,'CNKT '!$C$16:$Z$96,16,0)</f>
        <v>0</v>
      </c>
      <c r="J355" s="825">
        <f>153.8*$B$2</f>
        <v>102773.774</v>
      </c>
      <c r="K355" s="823">
        <f t="shared" si="41"/>
        <v>0</v>
      </c>
      <c r="L355" s="818"/>
    </row>
    <row r="356" spans="1:13" s="31" customFormat="1" ht="17.25" customHeight="1">
      <c r="A356" s="821" t="s">
        <v>455</v>
      </c>
      <c r="B356" s="980" t="s">
        <v>501</v>
      </c>
      <c r="C356" s="879">
        <f>VLOOKUP(B348,'CNKT '!$C$16:$Z$96,18,0)</f>
        <v>0</v>
      </c>
      <c r="D356" s="825">
        <v>10000</v>
      </c>
      <c r="E356" s="823">
        <f t="shared" si="40"/>
        <v>0</v>
      </c>
      <c r="F356" s="843"/>
      <c r="G356" s="821" t="s">
        <v>455</v>
      </c>
      <c r="H356" s="980" t="s">
        <v>501</v>
      </c>
      <c r="I356" s="879">
        <f>VLOOKUP(H348,'CNKT '!$C$16:$Z$96,18,0)</f>
        <v>0</v>
      </c>
      <c r="J356" s="825">
        <v>10000</v>
      </c>
      <c r="K356" s="823">
        <f t="shared" si="41"/>
        <v>0</v>
      </c>
      <c r="L356" s="818"/>
    </row>
    <row r="357" spans="1:13" s="31" customFormat="1" ht="17.25" customHeight="1">
      <c r="A357" s="821" t="s">
        <v>455</v>
      </c>
      <c r="B357" s="980" t="s">
        <v>501</v>
      </c>
      <c r="C357" s="879">
        <f>VLOOKUP(B348,'CNKT '!$C$16:$Z$96,19,0)</f>
        <v>0</v>
      </c>
      <c r="D357" s="825">
        <v>20000</v>
      </c>
      <c r="E357" s="823">
        <f t="shared" si="40"/>
        <v>0</v>
      </c>
      <c r="F357" s="843"/>
      <c r="G357" s="821" t="s">
        <v>455</v>
      </c>
      <c r="H357" s="980" t="s">
        <v>501</v>
      </c>
      <c r="I357" s="879">
        <f>VLOOKUP(H348,'CNKT '!$C$16:$Z$96,19,0)</f>
        <v>0</v>
      </c>
      <c r="J357" s="825">
        <v>20000</v>
      </c>
      <c r="K357" s="823">
        <f t="shared" si="41"/>
        <v>0</v>
      </c>
      <c r="L357" s="818"/>
    </row>
    <row r="358" spans="1:13" s="31" customFormat="1" ht="17.25" customHeight="1">
      <c r="A358" s="821" t="s">
        <v>517</v>
      </c>
      <c r="B358" s="980" t="s">
        <v>519</v>
      </c>
      <c r="C358" s="879"/>
      <c r="D358" s="825"/>
      <c r="E358" s="823"/>
      <c r="F358" s="843"/>
      <c r="G358" s="821" t="s">
        <v>517</v>
      </c>
      <c r="H358" s="980" t="s">
        <v>519</v>
      </c>
      <c r="I358" s="879"/>
      <c r="J358" s="825"/>
      <c r="K358" s="823"/>
      <c r="L358" s="818"/>
    </row>
    <row r="359" spans="1:13" s="31" customFormat="1" ht="17.25" customHeight="1">
      <c r="A359" s="827" t="s">
        <v>81</v>
      </c>
      <c r="B359" s="981" t="s">
        <v>564</v>
      </c>
      <c r="C359" s="828"/>
      <c r="D359" s="829"/>
      <c r="E359" s="828"/>
      <c r="F359" s="975"/>
      <c r="G359" s="827" t="s">
        <v>81</v>
      </c>
      <c r="H359" s="981" t="s">
        <v>564</v>
      </c>
      <c r="I359" s="828"/>
      <c r="J359" s="829"/>
      <c r="K359" s="828"/>
      <c r="L359" s="818"/>
    </row>
    <row r="360" spans="1:13" s="31" customFormat="1" ht="17.25" customHeight="1">
      <c r="A360" s="830" t="s">
        <v>82</v>
      </c>
      <c r="B360" s="982" t="s">
        <v>565</v>
      </c>
      <c r="C360" s="828"/>
      <c r="D360" s="828"/>
      <c r="E360" s="828"/>
      <c r="F360" s="838"/>
      <c r="G360" s="830" t="s">
        <v>82</v>
      </c>
      <c r="H360" s="982" t="s">
        <v>565</v>
      </c>
      <c r="I360" s="828"/>
      <c r="J360" s="828"/>
      <c r="K360" s="828"/>
      <c r="L360" s="818"/>
    </row>
    <row r="361" spans="1:13" s="31" customFormat="1" ht="17.25" customHeight="1">
      <c r="A361" s="830" t="s">
        <v>83</v>
      </c>
      <c r="B361" s="983" t="s">
        <v>566</v>
      </c>
      <c r="C361" s="828"/>
      <c r="D361" s="828"/>
      <c r="E361" s="823">
        <f>SUM(E360)</f>
        <v>0</v>
      </c>
      <c r="F361" s="838"/>
      <c r="G361" s="830" t="s">
        <v>83</v>
      </c>
      <c r="H361" s="983" t="s">
        <v>566</v>
      </c>
      <c r="I361" s="828"/>
      <c r="J361" s="828"/>
      <c r="K361" s="823">
        <f>SUM(K360)</f>
        <v>0</v>
      </c>
      <c r="L361" s="818"/>
      <c r="M361" s="831">
        <f>E361+K361</f>
        <v>0</v>
      </c>
    </row>
    <row r="362" spans="1:13" s="31" customFormat="1" ht="17.25" customHeight="1">
      <c r="A362" s="832" t="s">
        <v>84</v>
      </c>
      <c r="B362" s="984" t="s">
        <v>438</v>
      </c>
      <c r="C362" s="833"/>
      <c r="D362" s="833"/>
      <c r="E362" s="833">
        <f>(E350+E351+E352+E353+E354+E355+E356+E357+E358)-E361</f>
        <v>4340142.7377133463</v>
      </c>
      <c r="F362" s="838"/>
      <c r="G362" s="832" t="s">
        <v>84</v>
      </c>
      <c r="H362" s="984" t="s">
        <v>438</v>
      </c>
      <c r="I362" s="833"/>
      <c r="J362" s="833"/>
      <c r="K362" s="833">
        <f>(K350+K351+K352+K353+K354+K355+K356+K357+K358)-K361</f>
        <v>5022480.4275996266</v>
      </c>
      <c r="L362" s="835">
        <f>E362+K362</f>
        <v>9362623.1653129719</v>
      </c>
    </row>
    <row r="363" spans="1:13" s="31" customFormat="1" ht="17.25" customHeight="1">
      <c r="A363" s="841"/>
      <c r="B363" s="975"/>
      <c r="C363" s="851"/>
      <c r="D363" s="851"/>
      <c r="E363" s="852"/>
      <c r="F363" s="842"/>
      <c r="G363" s="841"/>
      <c r="H363" s="975"/>
      <c r="I363" s="851"/>
      <c r="J363" s="852"/>
      <c r="K363" s="836"/>
      <c r="L363" s="818"/>
    </row>
    <row r="364" spans="1:13" s="31" customFormat="1" ht="17.25" customHeight="1">
      <c r="A364" s="1615" t="str">
        <f>G347</f>
        <v>LƯƠNG THÁNG 01/2025</v>
      </c>
      <c r="B364" s="1616"/>
      <c r="C364" s="1616"/>
      <c r="D364" s="1616"/>
      <c r="E364" s="898">
        <v>43</v>
      </c>
      <c r="F364" s="975"/>
      <c r="G364" s="1615" t="str">
        <f>A364</f>
        <v>LƯƠNG THÁNG 01/2025</v>
      </c>
      <c r="H364" s="1616"/>
      <c r="I364" s="1616"/>
      <c r="J364" s="1617"/>
      <c r="K364" s="898">
        <v>44</v>
      </c>
      <c r="L364" s="818"/>
    </row>
    <row r="365" spans="1:13" s="31" customFormat="1" ht="17.25" customHeight="1">
      <c r="A365" s="837" t="s">
        <v>17</v>
      </c>
      <c r="B365" s="976" t="str">
        <f>'CNKT '!C58</f>
        <v>T. Không</v>
      </c>
      <c r="C365" s="819"/>
      <c r="D365" s="973" t="s">
        <v>398</v>
      </c>
      <c r="E365" s="973" t="s">
        <v>20</v>
      </c>
      <c r="F365" s="843"/>
      <c r="G365" s="837" t="s">
        <v>17</v>
      </c>
      <c r="H365" s="976" t="str">
        <f>'CNKT '!C59</f>
        <v>T. Lem</v>
      </c>
      <c r="I365" s="819"/>
      <c r="J365" s="973" t="s">
        <v>398</v>
      </c>
      <c r="K365" s="973" t="s">
        <v>20</v>
      </c>
      <c r="L365" s="818"/>
    </row>
    <row r="366" spans="1:13" s="31" customFormat="1" ht="17.25" customHeight="1">
      <c r="A366" s="821" t="s">
        <v>399</v>
      </c>
      <c r="B366" s="978" t="s">
        <v>559</v>
      </c>
      <c r="C366" s="822" t="str">
        <f>VLOOKUP(B365,'BTH mủ tạp'!$C$17:$AL$94,36,0)</f>
        <v>B</v>
      </c>
      <c r="D366" s="823"/>
      <c r="E366" s="823"/>
      <c r="F366" s="843"/>
      <c r="G366" s="821" t="s">
        <v>399</v>
      </c>
      <c r="H366" s="978" t="s">
        <v>559</v>
      </c>
      <c r="I366" s="822" t="str">
        <f>VLOOKUP(H365,'BTH mủ tạp'!$C$17:$AL$94,36,0)</f>
        <v>A</v>
      </c>
      <c r="J366" s="823"/>
      <c r="K366" s="823"/>
      <c r="L366" s="818"/>
    </row>
    <row r="367" spans="1:13" s="31" customFormat="1" ht="17.25" customHeight="1">
      <c r="A367" s="821" t="s">
        <v>79</v>
      </c>
      <c r="B367" s="979" t="s">
        <v>432</v>
      </c>
      <c r="C367" s="824">
        <f>VLOOKUP(B365,'CNKT '!$C$16:$Z$96,3,0)</f>
        <v>0</v>
      </c>
      <c r="D367" s="825">
        <v>25000</v>
      </c>
      <c r="E367" s="823">
        <f t="shared" ref="E367:E374" si="42">C367*D367</f>
        <v>0</v>
      </c>
      <c r="F367" s="848"/>
      <c r="G367" s="821" t="s">
        <v>79</v>
      </c>
      <c r="H367" s="979" t="s">
        <v>432</v>
      </c>
      <c r="I367" s="824">
        <f>VLOOKUP(H365,'CNKT '!$C$16:$Z$96,3,0)</f>
        <v>0</v>
      </c>
      <c r="J367" s="825">
        <v>25000</v>
      </c>
      <c r="K367" s="823">
        <f t="shared" ref="K367:K374" si="43">I367*J367</f>
        <v>0</v>
      </c>
      <c r="L367" s="818"/>
    </row>
    <row r="368" spans="1:13" s="31" customFormat="1" ht="17.25" customHeight="1">
      <c r="A368" s="821" t="s">
        <v>310</v>
      </c>
      <c r="B368" s="980" t="s">
        <v>560</v>
      </c>
      <c r="C368" s="879">
        <f>VLOOKUP(B365,'CNKT '!$C$16:$Z$96,11,0)</f>
        <v>27</v>
      </c>
      <c r="D368" s="826">
        <f>46.1*$B$2</f>
        <v>30805.403000000002</v>
      </c>
      <c r="E368" s="823">
        <f t="shared" si="42"/>
        <v>831745.88100000005</v>
      </c>
      <c r="F368" s="975"/>
      <c r="G368" s="821" t="s">
        <v>310</v>
      </c>
      <c r="H368" s="980" t="s">
        <v>560</v>
      </c>
      <c r="I368" s="879">
        <f>VLOOKUP(H365,'CNKT '!$C$16:$Z$96,11,0)</f>
        <v>25</v>
      </c>
      <c r="J368" s="826">
        <f>46.1*$B$2</f>
        <v>30805.403000000002</v>
      </c>
      <c r="K368" s="823">
        <f t="shared" si="43"/>
        <v>770135.07500000007</v>
      </c>
      <c r="L368" s="818"/>
    </row>
    <row r="369" spans="1:13" s="31" customFormat="1" ht="17.25" customHeight="1">
      <c r="A369" s="821" t="s">
        <v>401</v>
      </c>
      <c r="B369" s="980" t="s">
        <v>561</v>
      </c>
      <c r="C369" s="879">
        <f>VLOOKUP(B365,'CNKT '!$C$16:$Z$96,12,0)</f>
        <v>4</v>
      </c>
      <c r="D369" s="825">
        <f>76.9*$B$2</f>
        <v>51386.887000000002</v>
      </c>
      <c r="E369" s="823">
        <f t="shared" si="42"/>
        <v>205547.54800000001</v>
      </c>
      <c r="F369" s="838"/>
      <c r="G369" s="821" t="s">
        <v>401</v>
      </c>
      <c r="H369" s="980" t="s">
        <v>561</v>
      </c>
      <c r="I369" s="879">
        <f>VLOOKUP(H365,'CNKT '!$C$16:$Z$96,12,0)</f>
        <v>4</v>
      </c>
      <c r="J369" s="825">
        <f>76.9*$B$2</f>
        <v>51386.887000000002</v>
      </c>
      <c r="K369" s="823">
        <f t="shared" si="43"/>
        <v>205547.54800000001</v>
      </c>
      <c r="L369" s="818"/>
    </row>
    <row r="370" spans="1:13" s="31" customFormat="1" ht="17.25" customHeight="1">
      <c r="A370" s="821" t="s">
        <v>80</v>
      </c>
      <c r="B370" s="980" t="s">
        <v>562</v>
      </c>
      <c r="C370" s="879">
        <f>VLOOKUP(B365,'CNKT '!$C$16:$Z$96,8,0)</f>
        <v>948.4028533145796</v>
      </c>
      <c r="D370" s="825">
        <f>IF(C366="A",6.1,IF(C366="B",5.8,IF(C366="C",5.5,IF(C366="C.",5.5,IF(C366="D",5.2)))))*$B$2</f>
        <v>3875.7339999999999</v>
      </c>
      <c r="E370" s="823">
        <f t="shared" si="42"/>
        <v>3675757.184288329</v>
      </c>
      <c r="F370" s="838"/>
      <c r="G370" s="821" t="s">
        <v>80</v>
      </c>
      <c r="H370" s="980" t="s">
        <v>562</v>
      </c>
      <c r="I370" s="879">
        <f>VLOOKUP(H365,'CNKT '!$C$16:$Z$96,8,0)</f>
        <v>683.95917737683806</v>
      </c>
      <c r="J370" s="825">
        <f>IF(I366="A",6.1,IF(I366="B",5.8,IF(I366="C",5.5,IF(I366="C.",5.5,IF(I366="D",5.2)))))*$B$2</f>
        <v>4076.203</v>
      </c>
      <c r="K370" s="823">
        <f t="shared" si="43"/>
        <v>2787956.4507009992</v>
      </c>
      <c r="L370" s="818"/>
    </row>
    <row r="371" spans="1:13" s="31" customFormat="1" ht="17.25" customHeight="1">
      <c r="A371" s="821" t="s">
        <v>495</v>
      </c>
      <c r="B371" s="980" t="s">
        <v>563</v>
      </c>
      <c r="C371" s="879">
        <f>VLOOKUP(B365,'CNKT '!$C$16:$Z$96,15,0)</f>
        <v>0</v>
      </c>
      <c r="D371" s="826">
        <f>92.2*$B$2</f>
        <v>61610.806000000004</v>
      </c>
      <c r="E371" s="823">
        <f t="shared" si="42"/>
        <v>0</v>
      </c>
      <c r="F371" s="838"/>
      <c r="G371" s="821" t="s">
        <v>495</v>
      </c>
      <c r="H371" s="980" t="s">
        <v>563</v>
      </c>
      <c r="I371" s="879">
        <f>VLOOKUP(H365,'CNKT '!$C$16:$Z$96,15,0)</f>
        <v>0</v>
      </c>
      <c r="J371" s="826">
        <f>92.2*$B$2</f>
        <v>61610.806000000004</v>
      </c>
      <c r="K371" s="823">
        <f t="shared" si="43"/>
        <v>0</v>
      </c>
      <c r="L371" s="818"/>
    </row>
    <row r="372" spans="1:13" s="31" customFormat="1" ht="17.25" customHeight="1">
      <c r="A372" s="821" t="s">
        <v>496</v>
      </c>
      <c r="B372" s="980" t="s">
        <v>500</v>
      </c>
      <c r="C372" s="879">
        <f>VLOOKUP(B365,'CNKT '!$C$16:$Z$96,16,0)</f>
        <v>0</v>
      </c>
      <c r="D372" s="825">
        <f>153.8*$B$2</f>
        <v>102773.774</v>
      </c>
      <c r="E372" s="823">
        <f t="shared" si="42"/>
        <v>0</v>
      </c>
      <c r="F372" s="838"/>
      <c r="G372" s="821" t="s">
        <v>496</v>
      </c>
      <c r="H372" s="980" t="s">
        <v>500</v>
      </c>
      <c r="I372" s="879">
        <f>VLOOKUP(H365,'CNKT '!$C$16:$Z$96,16,0)</f>
        <v>0</v>
      </c>
      <c r="J372" s="825">
        <f>153.8*$B$2</f>
        <v>102773.774</v>
      </c>
      <c r="K372" s="823">
        <f t="shared" si="43"/>
        <v>0</v>
      </c>
      <c r="L372" s="818"/>
    </row>
    <row r="373" spans="1:13" s="31" customFormat="1" ht="17.25" customHeight="1">
      <c r="A373" s="821" t="s">
        <v>455</v>
      </c>
      <c r="B373" s="980" t="s">
        <v>501</v>
      </c>
      <c r="C373" s="879">
        <f>VLOOKUP(B365,'CNKT '!$C$16:$Z$96,18,0)</f>
        <v>0</v>
      </c>
      <c r="D373" s="825">
        <v>10000</v>
      </c>
      <c r="E373" s="823">
        <f t="shared" si="42"/>
        <v>0</v>
      </c>
      <c r="F373" s="838"/>
      <c r="G373" s="821" t="s">
        <v>455</v>
      </c>
      <c r="H373" s="980" t="s">
        <v>501</v>
      </c>
      <c r="I373" s="879">
        <f>VLOOKUP(H365,'CNKT '!$C$16:$Z$96,18,0)</f>
        <v>0</v>
      </c>
      <c r="J373" s="825">
        <v>10000</v>
      </c>
      <c r="K373" s="823">
        <f t="shared" si="43"/>
        <v>0</v>
      </c>
      <c r="L373" s="818"/>
    </row>
    <row r="374" spans="1:13" s="31" customFormat="1" ht="17.25" customHeight="1">
      <c r="A374" s="821" t="s">
        <v>455</v>
      </c>
      <c r="B374" s="980" t="s">
        <v>501</v>
      </c>
      <c r="C374" s="879">
        <f>VLOOKUP(B365,'CNKT '!$C$16:$Z$96,19,0)</f>
        <v>0</v>
      </c>
      <c r="D374" s="825">
        <v>20000</v>
      </c>
      <c r="E374" s="823">
        <f t="shared" si="42"/>
        <v>0</v>
      </c>
      <c r="F374" s="838"/>
      <c r="G374" s="821" t="s">
        <v>455</v>
      </c>
      <c r="H374" s="980" t="s">
        <v>501</v>
      </c>
      <c r="I374" s="879">
        <f>VLOOKUP(H365,'CNKT '!$C$16:$Z$96,19,0)</f>
        <v>0</v>
      </c>
      <c r="J374" s="825">
        <v>20000</v>
      </c>
      <c r="K374" s="823">
        <f t="shared" si="43"/>
        <v>0</v>
      </c>
      <c r="L374" s="818"/>
    </row>
    <row r="375" spans="1:13" s="31" customFormat="1" ht="17.25" customHeight="1">
      <c r="A375" s="821" t="s">
        <v>517</v>
      </c>
      <c r="B375" s="980" t="s">
        <v>519</v>
      </c>
      <c r="C375" s="879"/>
      <c r="D375" s="825"/>
      <c r="E375" s="823"/>
      <c r="F375" s="838"/>
      <c r="G375" s="821" t="s">
        <v>517</v>
      </c>
      <c r="H375" s="980" t="s">
        <v>519</v>
      </c>
      <c r="I375" s="879"/>
      <c r="J375" s="825"/>
      <c r="K375" s="823"/>
      <c r="L375" s="818"/>
    </row>
    <row r="376" spans="1:13" s="31" customFormat="1" ht="17.25" customHeight="1">
      <c r="A376" s="827" t="s">
        <v>81</v>
      </c>
      <c r="B376" s="981" t="s">
        <v>564</v>
      </c>
      <c r="C376" s="828"/>
      <c r="D376" s="829"/>
      <c r="E376" s="828"/>
      <c r="F376" s="838"/>
      <c r="G376" s="827" t="s">
        <v>81</v>
      </c>
      <c r="H376" s="981" t="s">
        <v>564</v>
      </c>
      <c r="I376" s="828"/>
      <c r="J376" s="829"/>
      <c r="K376" s="828"/>
      <c r="L376" s="818"/>
    </row>
    <row r="377" spans="1:13" s="31" customFormat="1" ht="17.25" customHeight="1">
      <c r="A377" s="830" t="s">
        <v>82</v>
      </c>
      <c r="B377" s="982" t="s">
        <v>565</v>
      </c>
      <c r="C377" s="828"/>
      <c r="D377" s="828"/>
      <c r="E377" s="828"/>
      <c r="F377" s="838"/>
      <c r="G377" s="830" t="s">
        <v>82</v>
      </c>
      <c r="H377" s="982" t="s">
        <v>565</v>
      </c>
      <c r="I377" s="828"/>
      <c r="J377" s="828"/>
      <c r="K377" s="828"/>
      <c r="L377" s="818"/>
      <c r="M377" s="831">
        <f>E377+K377</f>
        <v>0</v>
      </c>
    </row>
    <row r="378" spans="1:13" s="31" customFormat="1" ht="17.25" customHeight="1">
      <c r="A378" s="830" t="s">
        <v>83</v>
      </c>
      <c r="B378" s="983" t="s">
        <v>566</v>
      </c>
      <c r="C378" s="828"/>
      <c r="D378" s="828"/>
      <c r="E378" s="823">
        <f>SUM(E377)</f>
        <v>0</v>
      </c>
      <c r="F378" s="838"/>
      <c r="G378" s="830" t="s">
        <v>83</v>
      </c>
      <c r="H378" s="983" t="s">
        <v>566</v>
      </c>
      <c r="I378" s="828"/>
      <c r="J378" s="828"/>
      <c r="K378" s="823">
        <f>SUM(K377)</f>
        <v>0</v>
      </c>
      <c r="L378" s="835"/>
    </row>
    <row r="379" spans="1:13" s="31" customFormat="1" ht="17.25" customHeight="1">
      <c r="A379" s="832" t="s">
        <v>84</v>
      </c>
      <c r="B379" s="984" t="s">
        <v>438</v>
      </c>
      <c r="C379" s="833"/>
      <c r="D379" s="833"/>
      <c r="E379" s="833">
        <f>(E367+E368+E369+E370+E371+E372+E373+E374+E375)-E378</f>
        <v>4713050.613288329</v>
      </c>
      <c r="F379" s="838"/>
      <c r="G379" s="832" t="s">
        <v>84</v>
      </c>
      <c r="H379" s="984" t="s">
        <v>438</v>
      </c>
      <c r="I379" s="833"/>
      <c r="J379" s="833"/>
      <c r="K379" s="833">
        <f>(K367+K368+K369+K370+K371+K372+K373+K374+K375)-K378</f>
        <v>3763639.0737009994</v>
      </c>
      <c r="L379" s="835">
        <f>E379+K379</f>
        <v>8476689.6869893279</v>
      </c>
    </row>
    <row r="380" spans="1:13" s="31" customFormat="1" ht="17.25" customHeight="1">
      <c r="A380" s="853"/>
      <c r="B380" s="849"/>
      <c r="C380" s="854"/>
      <c r="D380" s="854"/>
      <c r="E380" s="838"/>
      <c r="F380" s="843"/>
      <c r="G380" s="853"/>
      <c r="H380" s="849"/>
      <c r="I380" s="854"/>
      <c r="J380" s="838"/>
      <c r="K380" s="836"/>
      <c r="L380" s="818"/>
    </row>
    <row r="381" spans="1:13" s="31" customFormat="1" ht="17.25" customHeight="1">
      <c r="A381" s="1615" t="str">
        <f>G364</f>
        <v>LƯƠNG THÁNG 01/2025</v>
      </c>
      <c r="B381" s="1616"/>
      <c r="C381" s="1616"/>
      <c r="D381" s="1616"/>
      <c r="E381" s="898">
        <v>45</v>
      </c>
      <c r="F381" s="975"/>
      <c r="G381" s="1615" t="str">
        <f>A381</f>
        <v>LƯƠNG THÁNG 01/2025</v>
      </c>
      <c r="H381" s="1616"/>
      <c r="I381" s="1616"/>
      <c r="J381" s="1617"/>
      <c r="K381" s="898">
        <v>46</v>
      </c>
      <c r="L381" s="818"/>
    </row>
    <row r="382" spans="1:13" s="31" customFormat="1" ht="17.25" customHeight="1">
      <c r="A382" s="837" t="s">
        <v>17</v>
      </c>
      <c r="B382" s="976" t="str">
        <f>'CNKT '!C60</f>
        <v>T. Pông</v>
      </c>
      <c r="C382" s="819"/>
      <c r="D382" s="973" t="s">
        <v>398</v>
      </c>
      <c r="E382" s="973" t="s">
        <v>20</v>
      </c>
      <c r="F382" s="838"/>
      <c r="G382" s="837" t="s">
        <v>17</v>
      </c>
      <c r="H382" s="976" t="str">
        <f>'CNKT '!C61</f>
        <v>T. Lốp</v>
      </c>
      <c r="I382" s="819"/>
      <c r="J382" s="973" t="s">
        <v>398</v>
      </c>
      <c r="K382" s="973" t="s">
        <v>20</v>
      </c>
      <c r="L382" s="818"/>
    </row>
    <row r="383" spans="1:13" s="31" customFormat="1" ht="17.25" customHeight="1">
      <c r="A383" s="821" t="s">
        <v>399</v>
      </c>
      <c r="B383" s="978" t="s">
        <v>559</v>
      </c>
      <c r="C383" s="822" t="str">
        <f>VLOOKUP(B382,'BTH mủ tạp'!$C$17:$AL$94,36,0)</f>
        <v>A</v>
      </c>
      <c r="D383" s="823"/>
      <c r="E383" s="823"/>
      <c r="F383" s="838"/>
      <c r="G383" s="821" t="s">
        <v>399</v>
      </c>
      <c r="H383" s="978" t="s">
        <v>559</v>
      </c>
      <c r="I383" s="822" t="str">
        <f>VLOOKUP(H382,'BTH mủ tạp'!$C$17:$AL$94,36,0)</f>
        <v>B</v>
      </c>
      <c r="J383" s="823"/>
      <c r="K383" s="823"/>
      <c r="L383" s="818"/>
    </row>
    <row r="384" spans="1:13" s="31" customFormat="1" ht="17.25" customHeight="1">
      <c r="A384" s="821" t="s">
        <v>79</v>
      </c>
      <c r="B384" s="979" t="s">
        <v>432</v>
      </c>
      <c r="C384" s="824">
        <f>VLOOKUP(B382,'CNKT '!$C$16:$Z$96,3,0)</f>
        <v>0</v>
      </c>
      <c r="D384" s="825">
        <v>25000</v>
      </c>
      <c r="E384" s="823">
        <f t="shared" ref="E384:E391" si="44">C384*D384</f>
        <v>0</v>
      </c>
      <c r="F384" s="838"/>
      <c r="G384" s="821" t="s">
        <v>79</v>
      </c>
      <c r="H384" s="979" t="s">
        <v>432</v>
      </c>
      <c r="I384" s="824">
        <f>VLOOKUP(H382,'CNKT '!$C$16:$Z$96,3,0)</f>
        <v>0</v>
      </c>
      <c r="J384" s="825">
        <v>25000</v>
      </c>
      <c r="K384" s="823">
        <f t="shared" ref="K384:K391" si="45">I384*J384</f>
        <v>0</v>
      </c>
      <c r="L384" s="818"/>
    </row>
    <row r="385" spans="1:13" s="31" customFormat="1" ht="17.25" customHeight="1">
      <c r="A385" s="821" t="s">
        <v>310</v>
      </c>
      <c r="B385" s="980" t="s">
        <v>560</v>
      </c>
      <c r="C385" s="879">
        <f>VLOOKUP(B382,'CNKT '!$C$16:$Z$96,11,0)</f>
        <v>26</v>
      </c>
      <c r="D385" s="826">
        <f>46.1*$B$2</f>
        <v>30805.403000000002</v>
      </c>
      <c r="E385" s="823">
        <f t="shared" si="44"/>
        <v>800940.478</v>
      </c>
      <c r="F385" s="838"/>
      <c r="G385" s="821" t="s">
        <v>310</v>
      </c>
      <c r="H385" s="980" t="s">
        <v>560</v>
      </c>
      <c r="I385" s="879">
        <f>VLOOKUP(H382,'CNKT '!$C$16:$Z$96,11,0)</f>
        <v>24</v>
      </c>
      <c r="J385" s="826">
        <f>46.1*$B$2</f>
        <v>30805.403000000002</v>
      </c>
      <c r="K385" s="823">
        <f t="shared" si="45"/>
        <v>739329.67200000002</v>
      </c>
      <c r="L385" s="818"/>
    </row>
    <row r="386" spans="1:13" s="31" customFormat="1" ht="17.25" customHeight="1">
      <c r="A386" s="821" t="s">
        <v>401</v>
      </c>
      <c r="B386" s="980" t="s">
        <v>561</v>
      </c>
      <c r="C386" s="879">
        <f>VLOOKUP(B382,'CNKT '!$C$16:$Z$96,12,0)</f>
        <v>4</v>
      </c>
      <c r="D386" s="825">
        <f>76.9*$B$2</f>
        <v>51386.887000000002</v>
      </c>
      <c r="E386" s="823">
        <f t="shared" si="44"/>
        <v>205547.54800000001</v>
      </c>
      <c r="F386" s="842"/>
      <c r="G386" s="821" t="s">
        <v>401</v>
      </c>
      <c r="H386" s="980" t="s">
        <v>561</v>
      </c>
      <c r="I386" s="879">
        <f>VLOOKUP(H382,'CNKT '!$C$16:$Z$96,12,0)</f>
        <v>4</v>
      </c>
      <c r="J386" s="825">
        <f>76.9*$B$2</f>
        <v>51386.887000000002</v>
      </c>
      <c r="K386" s="823">
        <f t="shared" si="45"/>
        <v>205547.54800000001</v>
      </c>
      <c r="L386" s="818"/>
    </row>
    <row r="387" spans="1:13" s="31" customFormat="1" ht="17.25" customHeight="1">
      <c r="A387" s="821" t="s">
        <v>80</v>
      </c>
      <c r="B387" s="980" t="s">
        <v>562</v>
      </c>
      <c r="C387" s="879">
        <f>VLOOKUP(B382,'CNKT '!$C$16:$Z$96,8,0)</f>
        <v>1162.0117255283669</v>
      </c>
      <c r="D387" s="825">
        <f>IF(C383="A",6.1,IF(C383="B",5.8,IF(C383="C",5.5,IF(C383="C.",5.5,IF(C383="D",5.2)))))*$B$2</f>
        <v>4076.203</v>
      </c>
      <c r="E387" s="823">
        <f t="shared" si="44"/>
        <v>4736595.6816339055</v>
      </c>
      <c r="F387" s="842"/>
      <c r="G387" s="821" t="s">
        <v>80</v>
      </c>
      <c r="H387" s="980" t="s">
        <v>562</v>
      </c>
      <c r="I387" s="879">
        <f>VLOOKUP(H382,'CNKT '!$C$16:$Z$96,8,0)</f>
        <v>1083.9623299117907</v>
      </c>
      <c r="J387" s="825">
        <f>IF(I383="A",6.1,IF(I383="B",5.8,IF(I383="C",5.5,IF(I383="C.",5.5,IF(I383="D",5.2)))))*$B$2</f>
        <v>3875.7339999999999</v>
      </c>
      <c r="K387" s="823">
        <f t="shared" si="45"/>
        <v>4201149.6567583438</v>
      </c>
      <c r="L387" s="818"/>
    </row>
    <row r="388" spans="1:13" s="31" customFormat="1" ht="17.25" customHeight="1">
      <c r="A388" s="821" t="s">
        <v>495</v>
      </c>
      <c r="B388" s="980" t="s">
        <v>563</v>
      </c>
      <c r="C388" s="879">
        <f>VLOOKUP(B382,'CNKT '!$C$16:$Z$96,15,0)</f>
        <v>0</v>
      </c>
      <c r="D388" s="826">
        <f>92.2*$B$2</f>
        <v>61610.806000000004</v>
      </c>
      <c r="E388" s="823">
        <f t="shared" si="44"/>
        <v>0</v>
      </c>
      <c r="F388" s="842"/>
      <c r="G388" s="821" t="s">
        <v>495</v>
      </c>
      <c r="H388" s="980" t="s">
        <v>563</v>
      </c>
      <c r="I388" s="879">
        <f>VLOOKUP(H382,'CNKT '!$C$16:$Z$96,15,0)</f>
        <v>0</v>
      </c>
      <c r="J388" s="826">
        <f>92.2*$B$2</f>
        <v>61610.806000000004</v>
      </c>
      <c r="K388" s="823">
        <f t="shared" si="45"/>
        <v>0</v>
      </c>
      <c r="L388" s="818"/>
    </row>
    <row r="389" spans="1:13" s="31" customFormat="1" ht="17.25" customHeight="1">
      <c r="A389" s="821" t="s">
        <v>496</v>
      </c>
      <c r="B389" s="980" t="s">
        <v>500</v>
      </c>
      <c r="C389" s="879">
        <f>VLOOKUP(B382,'CNKT '!$C$16:$Z$96,16,0)</f>
        <v>0</v>
      </c>
      <c r="D389" s="825">
        <f>153.8*$B$2</f>
        <v>102773.774</v>
      </c>
      <c r="E389" s="823">
        <f t="shared" si="44"/>
        <v>0</v>
      </c>
      <c r="F389" s="842"/>
      <c r="G389" s="821" t="s">
        <v>496</v>
      </c>
      <c r="H389" s="980" t="s">
        <v>500</v>
      </c>
      <c r="I389" s="879">
        <f>VLOOKUP(H382,'CNKT '!$C$16:$Z$96,16,0)</f>
        <v>0</v>
      </c>
      <c r="J389" s="825">
        <f>153.8*$B$2</f>
        <v>102773.774</v>
      </c>
      <c r="K389" s="823">
        <f t="shared" si="45"/>
        <v>0</v>
      </c>
      <c r="L389" s="818"/>
    </row>
    <row r="390" spans="1:13" s="31" customFormat="1" ht="17.25" customHeight="1">
      <c r="A390" s="821" t="s">
        <v>455</v>
      </c>
      <c r="B390" s="980" t="s">
        <v>501</v>
      </c>
      <c r="C390" s="879">
        <f>VLOOKUP(B382,'CNKT '!$C$16:$Z$96,18,0)</f>
        <v>0</v>
      </c>
      <c r="D390" s="825">
        <v>10000</v>
      </c>
      <c r="E390" s="823">
        <f t="shared" si="44"/>
        <v>0</v>
      </c>
      <c r="F390" s="842"/>
      <c r="G390" s="821" t="s">
        <v>455</v>
      </c>
      <c r="H390" s="980" t="s">
        <v>501</v>
      </c>
      <c r="I390" s="879">
        <f>VLOOKUP(H382,'CNKT '!$C$16:$Z$96,18,0)</f>
        <v>0</v>
      </c>
      <c r="J390" s="825">
        <v>10000</v>
      </c>
      <c r="K390" s="823">
        <f t="shared" si="45"/>
        <v>0</v>
      </c>
      <c r="L390" s="818"/>
    </row>
    <row r="391" spans="1:13" s="31" customFormat="1" ht="17.25" customHeight="1">
      <c r="A391" s="821" t="s">
        <v>455</v>
      </c>
      <c r="B391" s="980" t="s">
        <v>501</v>
      </c>
      <c r="C391" s="879">
        <f>VLOOKUP(B382,'CNKT '!$C$16:$Z$96,19,0)</f>
        <v>0</v>
      </c>
      <c r="D391" s="825">
        <v>20000</v>
      </c>
      <c r="E391" s="823">
        <f t="shared" si="44"/>
        <v>0</v>
      </c>
      <c r="F391" s="842"/>
      <c r="G391" s="821" t="s">
        <v>455</v>
      </c>
      <c r="H391" s="980" t="s">
        <v>501</v>
      </c>
      <c r="I391" s="879">
        <f>VLOOKUP(H382,'CNKT '!$C$16:$Z$96,19,0)</f>
        <v>0</v>
      </c>
      <c r="J391" s="825">
        <v>20000</v>
      </c>
      <c r="K391" s="823">
        <f t="shared" si="45"/>
        <v>0</v>
      </c>
      <c r="L391" s="818"/>
    </row>
    <row r="392" spans="1:13" s="31" customFormat="1" ht="17.25" customHeight="1">
      <c r="A392" s="821" t="s">
        <v>517</v>
      </c>
      <c r="B392" s="980" t="s">
        <v>519</v>
      </c>
      <c r="C392" s="879"/>
      <c r="D392" s="825"/>
      <c r="E392" s="823"/>
      <c r="F392" s="842"/>
      <c r="G392" s="821" t="s">
        <v>517</v>
      </c>
      <c r="H392" s="980" t="s">
        <v>519</v>
      </c>
      <c r="I392" s="879"/>
      <c r="J392" s="825"/>
      <c r="K392" s="823"/>
      <c r="L392" s="818"/>
    </row>
    <row r="393" spans="1:13" s="31" customFormat="1" ht="17.25" customHeight="1">
      <c r="A393" s="827" t="s">
        <v>81</v>
      </c>
      <c r="B393" s="981" t="s">
        <v>564</v>
      </c>
      <c r="C393" s="828"/>
      <c r="D393" s="829"/>
      <c r="E393" s="828"/>
      <c r="F393" s="975"/>
      <c r="G393" s="827" t="s">
        <v>81</v>
      </c>
      <c r="H393" s="981" t="s">
        <v>564</v>
      </c>
      <c r="I393" s="828"/>
      <c r="J393" s="829"/>
      <c r="K393" s="828"/>
      <c r="L393" s="818"/>
    </row>
    <row r="394" spans="1:13" s="31" customFormat="1" ht="17.25" customHeight="1">
      <c r="A394" s="830" t="s">
        <v>82</v>
      </c>
      <c r="B394" s="982" t="s">
        <v>565</v>
      </c>
      <c r="C394" s="828"/>
      <c r="D394" s="828"/>
      <c r="E394" s="828"/>
      <c r="F394" s="843"/>
      <c r="G394" s="830" t="s">
        <v>82</v>
      </c>
      <c r="H394" s="982" t="s">
        <v>565</v>
      </c>
      <c r="I394" s="828"/>
      <c r="J394" s="828"/>
      <c r="K394" s="828"/>
      <c r="L394" s="818"/>
    </row>
    <row r="395" spans="1:13" s="31" customFormat="1" ht="17.25" customHeight="1">
      <c r="A395" s="830" t="s">
        <v>83</v>
      </c>
      <c r="B395" s="983" t="s">
        <v>566</v>
      </c>
      <c r="C395" s="828"/>
      <c r="D395" s="828"/>
      <c r="E395" s="823">
        <f>SUM(E394)</f>
        <v>0</v>
      </c>
      <c r="F395" s="843"/>
      <c r="G395" s="830" t="s">
        <v>83</v>
      </c>
      <c r="H395" s="983" t="s">
        <v>566</v>
      </c>
      <c r="I395" s="828"/>
      <c r="J395" s="828"/>
      <c r="K395" s="823">
        <f>SUM(K394)</f>
        <v>0</v>
      </c>
      <c r="L395" s="818"/>
      <c r="M395" s="831">
        <f>E395+K395</f>
        <v>0</v>
      </c>
    </row>
    <row r="396" spans="1:13" s="31" customFormat="1" ht="17.25" customHeight="1">
      <c r="A396" s="832" t="s">
        <v>84</v>
      </c>
      <c r="B396" s="984" t="s">
        <v>438</v>
      </c>
      <c r="C396" s="833"/>
      <c r="D396" s="833"/>
      <c r="E396" s="833">
        <f>(E384+E385+E386+E387+E388+E389+E390+E391+E392)-E395</f>
        <v>5743083.7076339051</v>
      </c>
      <c r="F396" s="843"/>
      <c r="G396" s="832" t="s">
        <v>84</v>
      </c>
      <c r="H396" s="984" t="s">
        <v>438</v>
      </c>
      <c r="I396" s="833"/>
      <c r="J396" s="833"/>
      <c r="K396" s="833">
        <f>(K384+K385+K386+K387+K388+K389+K390+K391+K392)-K395</f>
        <v>5146026.8767583435</v>
      </c>
      <c r="L396" s="835">
        <f>E396+K396</f>
        <v>10889110.58439225</v>
      </c>
    </row>
    <row r="397" spans="1:13" s="31" customFormat="1" ht="17.25" customHeight="1">
      <c r="A397" s="838"/>
      <c r="B397" s="844"/>
      <c r="C397" s="845"/>
      <c r="D397" s="845"/>
      <c r="E397" s="843"/>
      <c r="F397" s="843"/>
      <c r="G397" s="838"/>
      <c r="H397" s="844"/>
      <c r="I397" s="845"/>
      <c r="J397" s="843"/>
      <c r="K397" s="846"/>
      <c r="L397" s="818"/>
    </row>
    <row r="398" spans="1:13" s="31" customFormat="1" ht="185.25" customHeight="1">
      <c r="A398" s="853"/>
      <c r="B398" s="842"/>
      <c r="C398" s="975"/>
      <c r="D398" s="975"/>
      <c r="E398" s="838"/>
      <c r="F398" s="838"/>
      <c r="G398" s="853"/>
      <c r="H398" s="842"/>
      <c r="I398" s="975"/>
      <c r="J398" s="838"/>
      <c r="K398" s="836"/>
      <c r="L398" s="818"/>
    </row>
    <row r="399" spans="1:13" s="31" customFormat="1" ht="17.25" customHeight="1">
      <c r="A399" s="1615" t="str">
        <f>G381</f>
        <v>LƯƠNG THÁNG 01/2025</v>
      </c>
      <c r="B399" s="1616"/>
      <c r="C399" s="1616"/>
      <c r="D399" s="1616"/>
      <c r="E399" s="898">
        <v>47</v>
      </c>
      <c r="F399" s="838"/>
      <c r="G399" s="1615" t="str">
        <f>A399</f>
        <v>LƯƠNG THÁNG 01/2025</v>
      </c>
      <c r="H399" s="1616"/>
      <c r="I399" s="1616"/>
      <c r="J399" s="1617"/>
      <c r="K399" s="898">
        <v>48</v>
      </c>
      <c r="L399" s="818"/>
    </row>
    <row r="400" spans="1:13" s="31" customFormat="1" ht="17.25" customHeight="1">
      <c r="A400" s="837" t="s">
        <v>17</v>
      </c>
      <c r="B400" s="976" t="str">
        <f>'CNKT '!C62</f>
        <v>N. Nu Ni</v>
      </c>
      <c r="C400" s="819"/>
      <c r="D400" s="973" t="s">
        <v>398</v>
      </c>
      <c r="E400" s="973" t="s">
        <v>20</v>
      </c>
      <c r="F400" s="838"/>
      <c r="G400" s="837" t="s">
        <v>17</v>
      </c>
      <c r="H400" s="976" t="str">
        <f>'CNKT '!C63</f>
        <v>T. Đi</v>
      </c>
      <c r="I400" s="819"/>
      <c r="J400" s="973" t="s">
        <v>398</v>
      </c>
      <c r="K400" s="973" t="s">
        <v>20</v>
      </c>
      <c r="L400" s="818"/>
    </row>
    <row r="401" spans="1:13" s="31" customFormat="1" ht="17.25" customHeight="1">
      <c r="A401" s="821" t="s">
        <v>399</v>
      </c>
      <c r="B401" s="978" t="s">
        <v>559</v>
      </c>
      <c r="C401" s="822" t="str">
        <f>VLOOKUP(B400,'BTH mủ tạp'!$C$17:$AL$94,36,0)</f>
        <v>B</v>
      </c>
      <c r="D401" s="823"/>
      <c r="E401" s="823"/>
      <c r="F401" s="842"/>
      <c r="G401" s="821" t="s">
        <v>399</v>
      </c>
      <c r="H401" s="978" t="s">
        <v>559</v>
      </c>
      <c r="I401" s="822" t="str">
        <f>VLOOKUP(H400,'BTH mủ tạp'!$C$17:$AL$94,36,0)</f>
        <v>C</v>
      </c>
      <c r="J401" s="823"/>
      <c r="K401" s="823"/>
      <c r="L401" s="818"/>
    </row>
    <row r="402" spans="1:13" s="31" customFormat="1" ht="17.25" customHeight="1">
      <c r="A402" s="821" t="s">
        <v>79</v>
      </c>
      <c r="B402" s="979" t="s">
        <v>432</v>
      </c>
      <c r="C402" s="824">
        <f>VLOOKUP(B400,'CNKT '!$C$16:$Z$96,3,0)</f>
        <v>0</v>
      </c>
      <c r="D402" s="825">
        <v>25000</v>
      </c>
      <c r="E402" s="823">
        <f t="shared" ref="E402:E409" si="46">C402*D402</f>
        <v>0</v>
      </c>
      <c r="F402" s="842"/>
      <c r="G402" s="821" t="s">
        <v>79</v>
      </c>
      <c r="H402" s="979" t="s">
        <v>432</v>
      </c>
      <c r="I402" s="824">
        <f>VLOOKUP(H400,'CNKT '!$C$16:$Z$96,3,0)</f>
        <v>0</v>
      </c>
      <c r="J402" s="825">
        <v>25000</v>
      </c>
      <c r="K402" s="823">
        <f t="shared" ref="K402:K409" si="47">I402*J402</f>
        <v>0</v>
      </c>
      <c r="L402" s="818"/>
    </row>
    <row r="403" spans="1:13" s="31" customFormat="1" ht="17.25" customHeight="1">
      <c r="A403" s="821" t="s">
        <v>310</v>
      </c>
      <c r="B403" s="980" t="s">
        <v>560</v>
      </c>
      <c r="C403" s="879">
        <f>VLOOKUP(B400,'CNKT '!$C$16:$Z$96,11,0)</f>
        <v>24</v>
      </c>
      <c r="D403" s="826">
        <f>46.1*$B$2</f>
        <v>30805.403000000002</v>
      </c>
      <c r="E403" s="823">
        <f t="shared" si="46"/>
        <v>739329.67200000002</v>
      </c>
      <c r="F403" s="975"/>
      <c r="G403" s="821" t="s">
        <v>310</v>
      </c>
      <c r="H403" s="980" t="s">
        <v>560</v>
      </c>
      <c r="I403" s="879">
        <f>VLOOKUP(H400,'CNKT '!$C$16:$Z$96,11,0)</f>
        <v>25</v>
      </c>
      <c r="J403" s="826">
        <f>46.1*$B$2</f>
        <v>30805.403000000002</v>
      </c>
      <c r="K403" s="823">
        <f t="shared" si="47"/>
        <v>770135.07500000007</v>
      </c>
      <c r="L403" s="818"/>
    </row>
    <row r="404" spans="1:13" s="31" customFormat="1" ht="17.25" customHeight="1">
      <c r="A404" s="821" t="s">
        <v>401</v>
      </c>
      <c r="B404" s="980" t="s">
        <v>561</v>
      </c>
      <c r="C404" s="879">
        <f>VLOOKUP(B400,'CNKT '!$C$16:$Z$96,12,0)</f>
        <v>4</v>
      </c>
      <c r="D404" s="825">
        <f>76.9*$B$2</f>
        <v>51386.887000000002</v>
      </c>
      <c r="E404" s="823">
        <f t="shared" si="46"/>
        <v>205547.54800000001</v>
      </c>
      <c r="F404" s="843"/>
      <c r="G404" s="821" t="s">
        <v>401</v>
      </c>
      <c r="H404" s="980" t="s">
        <v>561</v>
      </c>
      <c r="I404" s="879">
        <f>VLOOKUP(H400,'CNKT '!$C$16:$Z$96,12,0)</f>
        <v>4</v>
      </c>
      <c r="J404" s="825">
        <f>76.9*$B$2</f>
        <v>51386.887000000002</v>
      </c>
      <c r="K404" s="823">
        <f t="shared" si="47"/>
        <v>205547.54800000001</v>
      </c>
      <c r="L404" s="818"/>
    </row>
    <row r="405" spans="1:13" s="31" customFormat="1" ht="17.25" customHeight="1">
      <c r="A405" s="821" t="s">
        <v>80</v>
      </c>
      <c r="B405" s="980" t="s">
        <v>562</v>
      </c>
      <c r="C405" s="879">
        <f>VLOOKUP(B400,'CNKT '!$C$16:$Z$96,8,0)</f>
        <v>1102.9611959500362</v>
      </c>
      <c r="D405" s="825">
        <f>IF(C401="A",6.1,IF(C401="B",5.8,IF(C401="C",5.5,IF(C401="C.",5.5,IF(C401="D",5.2)))))*$B$2</f>
        <v>3875.7339999999999</v>
      </c>
      <c r="E405" s="823">
        <f t="shared" si="46"/>
        <v>4274784.2078242172</v>
      </c>
      <c r="F405" s="843"/>
      <c r="G405" s="821" t="s">
        <v>80</v>
      </c>
      <c r="H405" s="980" t="s">
        <v>562</v>
      </c>
      <c r="I405" s="879">
        <f>VLOOKUP(H400,'CNKT '!$C$16:$Z$96,8,0)</f>
        <v>746.60408701645838</v>
      </c>
      <c r="J405" s="825">
        <f>IF(I401="A",6.1,IF(I401="B",5.8,IF(I401="C",5.5,IF(I401="C.",5.5,IF(I401="D",5.2)))))*$B$2</f>
        <v>3675.2650000000003</v>
      </c>
      <c r="K405" s="823">
        <f t="shared" si="47"/>
        <v>2743967.8698685439</v>
      </c>
      <c r="L405" s="818"/>
    </row>
    <row r="406" spans="1:13" s="31" customFormat="1" ht="17.25" customHeight="1">
      <c r="A406" s="821" t="s">
        <v>495</v>
      </c>
      <c r="B406" s="980" t="s">
        <v>563</v>
      </c>
      <c r="C406" s="879">
        <f>VLOOKUP(B400,'CNKT '!$C$16:$Z$96,15,0)</f>
        <v>0</v>
      </c>
      <c r="D406" s="826">
        <f>92.2*$B$2</f>
        <v>61610.806000000004</v>
      </c>
      <c r="E406" s="823">
        <f t="shared" si="46"/>
        <v>0</v>
      </c>
      <c r="F406" s="843"/>
      <c r="G406" s="821" t="s">
        <v>495</v>
      </c>
      <c r="H406" s="980" t="s">
        <v>563</v>
      </c>
      <c r="I406" s="879">
        <f>VLOOKUP(H400,'CNKT '!$C$16:$Z$96,15,0)</f>
        <v>0</v>
      </c>
      <c r="J406" s="826">
        <f>92.2*$B$2</f>
        <v>61610.806000000004</v>
      </c>
      <c r="K406" s="823">
        <f t="shared" si="47"/>
        <v>0</v>
      </c>
      <c r="L406" s="818"/>
    </row>
    <row r="407" spans="1:13" s="31" customFormat="1" ht="17.25" customHeight="1">
      <c r="A407" s="821" t="s">
        <v>496</v>
      </c>
      <c r="B407" s="980" t="s">
        <v>500</v>
      </c>
      <c r="C407" s="879">
        <f>VLOOKUP(B400,'CNKT '!$C$16:$Z$96,16,0)</f>
        <v>0</v>
      </c>
      <c r="D407" s="825">
        <f>153.8*$B$2</f>
        <v>102773.774</v>
      </c>
      <c r="E407" s="823">
        <f t="shared" si="46"/>
        <v>0</v>
      </c>
      <c r="F407" s="843"/>
      <c r="G407" s="821" t="s">
        <v>496</v>
      </c>
      <c r="H407" s="980" t="s">
        <v>500</v>
      </c>
      <c r="I407" s="879">
        <f>VLOOKUP(H400,'CNKT '!$C$16:$Z$96,16,0)</f>
        <v>0</v>
      </c>
      <c r="J407" s="825">
        <f>153.8*$B$2</f>
        <v>102773.774</v>
      </c>
      <c r="K407" s="823">
        <f t="shared" si="47"/>
        <v>0</v>
      </c>
      <c r="L407" s="818"/>
    </row>
    <row r="408" spans="1:13" s="31" customFormat="1" ht="17.25" customHeight="1">
      <c r="A408" s="821" t="s">
        <v>455</v>
      </c>
      <c r="B408" s="980" t="s">
        <v>501</v>
      </c>
      <c r="C408" s="879">
        <f>VLOOKUP(B400,'CNKT '!$C$16:$Z$96,18,0)</f>
        <v>0</v>
      </c>
      <c r="D408" s="825">
        <v>10000</v>
      </c>
      <c r="E408" s="823">
        <f t="shared" si="46"/>
        <v>0</v>
      </c>
      <c r="F408" s="843"/>
      <c r="G408" s="821" t="s">
        <v>455</v>
      </c>
      <c r="H408" s="980" t="s">
        <v>501</v>
      </c>
      <c r="I408" s="879">
        <f>VLOOKUP(H400,'CNKT '!$C$16:$Z$96,18,0)</f>
        <v>0</v>
      </c>
      <c r="J408" s="825">
        <v>10000</v>
      </c>
      <c r="K408" s="823">
        <f t="shared" si="47"/>
        <v>0</v>
      </c>
      <c r="L408" s="818"/>
    </row>
    <row r="409" spans="1:13" s="31" customFormat="1" ht="17.25" customHeight="1">
      <c r="A409" s="821" t="s">
        <v>455</v>
      </c>
      <c r="B409" s="980" t="s">
        <v>501</v>
      </c>
      <c r="C409" s="879">
        <f>VLOOKUP(B400,'CNKT '!$C$16:$Z$96,19,0)</f>
        <v>0</v>
      </c>
      <c r="D409" s="825">
        <v>20000</v>
      </c>
      <c r="E409" s="823">
        <f t="shared" si="46"/>
        <v>0</v>
      </c>
      <c r="F409" s="843"/>
      <c r="G409" s="821" t="s">
        <v>455</v>
      </c>
      <c r="H409" s="980" t="s">
        <v>501</v>
      </c>
      <c r="I409" s="879">
        <f>VLOOKUP(H400,'CNKT '!$C$16:$Z$96,19,0)</f>
        <v>0</v>
      </c>
      <c r="J409" s="825">
        <v>20000</v>
      </c>
      <c r="K409" s="823">
        <f t="shared" si="47"/>
        <v>0</v>
      </c>
      <c r="L409" s="818"/>
    </row>
    <row r="410" spans="1:13" s="31" customFormat="1" ht="17.25" customHeight="1">
      <c r="A410" s="821" t="s">
        <v>517</v>
      </c>
      <c r="B410" s="980" t="s">
        <v>519</v>
      </c>
      <c r="C410" s="879"/>
      <c r="D410" s="825"/>
      <c r="E410" s="823"/>
      <c r="F410" s="843"/>
      <c r="G410" s="821" t="s">
        <v>517</v>
      </c>
      <c r="H410" s="980" t="s">
        <v>519</v>
      </c>
      <c r="I410" s="879"/>
      <c r="J410" s="825"/>
      <c r="K410" s="823"/>
      <c r="L410" s="818"/>
    </row>
    <row r="411" spans="1:13" s="31" customFormat="1" ht="17.25" customHeight="1">
      <c r="A411" s="827" t="s">
        <v>81</v>
      </c>
      <c r="B411" s="981" t="s">
        <v>564</v>
      </c>
      <c r="C411" s="828"/>
      <c r="D411" s="829"/>
      <c r="E411" s="828"/>
      <c r="F411" s="975"/>
      <c r="G411" s="827" t="s">
        <v>81</v>
      </c>
      <c r="H411" s="981" t="s">
        <v>564</v>
      </c>
      <c r="I411" s="828"/>
      <c r="J411" s="829"/>
      <c r="K411" s="828"/>
      <c r="L411" s="818"/>
    </row>
    <row r="412" spans="1:13" s="31" customFormat="1" ht="17.25" customHeight="1">
      <c r="A412" s="830" t="s">
        <v>82</v>
      </c>
      <c r="B412" s="982" t="s">
        <v>565</v>
      </c>
      <c r="C412" s="828"/>
      <c r="D412" s="828"/>
      <c r="E412" s="828"/>
      <c r="F412" s="838"/>
      <c r="G412" s="830" t="s">
        <v>82</v>
      </c>
      <c r="H412" s="982" t="s">
        <v>565</v>
      </c>
      <c r="I412" s="828"/>
      <c r="J412" s="828"/>
      <c r="K412" s="828"/>
      <c r="L412" s="818"/>
    </row>
    <row r="413" spans="1:13" s="31" customFormat="1" ht="17.25" customHeight="1">
      <c r="A413" s="830" t="s">
        <v>83</v>
      </c>
      <c r="B413" s="983" t="s">
        <v>566</v>
      </c>
      <c r="C413" s="828"/>
      <c r="D413" s="828"/>
      <c r="E413" s="823">
        <f>SUM(E412)</f>
        <v>0</v>
      </c>
      <c r="F413" s="838"/>
      <c r="G413" s="830" t="s">
        <v>83</v>
      </c>
      <c r="H413" s="983" t="s">
        <v>566</v>
      </c>
      <c r="I413" s="828"/>
      <c r="J413" s="828"/>
      <c r="K413" s="823">
        <f>SUM(K412)</f>
        <v>0</v>
      </c>
      <c r="L413" s="818"/>
      <c r="M413" s="831">
        <f>E413+K413</f>
        <v>0</v>
      </c>
    </row>
    <row r="414" spans="1:13" s="31" customFormat="1" ht="17.25" customHeight="1">
      <c r="A414" s="832" t="s">
        <v>84</v>
      </c>
      <c r="B414" s="984" t="s">
        <v>438</v>
      </c>
      <c r="C414" s="833"/>
      <c r="D414" s="833"/>
      <c r="E414" s="833">
        <f>(E402+E403+E404+E405+E406+E407+E408+E409+E410)-E413</f>
        <v>5219661.4278242169</v>
      </c>
      <c r="F414" s="838"/>
      <c r="G414" s="832" t="s">
        <v>84</v>
      </c>
      <c r="H414" s="984" t="s">
        <v>438</v>
      </c>
      <c r="I414" s="833"/>
      <c r="J414" s="833"/>
      <c r="K414" s="833">
        <f>(K402+K403+K404+K405+K406+K407+K408+K409+K410)-K413</f>
        <v>3719650.4928685441</v>
      </c>
      <c r="L414" s="835">
        <f>E414+K414</f>
        <v>8939311.9206927605</v>
      </c>
    </row>
    <row r="415" spans="1:13" s="31" customFormat="1" ht="17.25" customHeight="1">
      <c r="A415" s="838"/>
      <c r="B415" s="844"/>
      <c r="C415" s="845"/>
      <c r="D415" s="845"/>
      <c r="E415" s="843"/>
      <c r="F415" s="838"/>
      <c r="G415" s="838"/>
      <c r="H415" s="844"/>
      <c r="I415" s="845"/>
      <c r="J415" s="843"/>
      <c r="K415" s="836"/>
      <c r="L415" s="818"/>
    </row>
    <row r="416" spans="1:13" s="31" customFormat="1" ht="17.25" customHeight="1">
      <c r="A416" s="1615" t="str">
        <f>G399</f>
        <v>LƯƠNG THÁNG 01/2025</v>
      </c>
      <c r="B416" s="1616"/>
      <c r="C416" s="1616"/>
      <c r="D416" s="1616"/>
      <c r="E416" s="898">
        <v>49</v>
      </c>
      <c r="F416" s="975"/>
      <c r="G416" s="1615" t="str">
        <f>A416</f>
        <v>LƯƠNG THÁNG 01/2025</v>
      </c>
      <c r="H416" s="1616"/>
      <c r="I416" s="1616"/>
      <c r="J416" s="1617"/>
      <c r="K416" s="898">
        <v>50</v>
      </c>
      <c r="L416" s="818"/>
    </row>
    <row r="417" spans="1:13" s="31" customFormat="1" ht="17.25" customHeight="1">
      <c r="A417" s="837" t="s">
        <v>17</v>
      </c>
      <c r="B417" s="976" t="str">
        <f>'CNKT '!C64</f>
        <v>N. On Xi</v>
      </c>
      <c r="C417" s="819"/>
      <c r="D417" s="973" t="s">
        <v>398</v>
      </c>
      <c r="E417" s="973" t="s">
        <v>20</v>
      </c>
      <c r="F417" s="843"/>
      <c r="G417" s="837" t="s">
        <v>17</v>
      </c>
      <c r="H417" s="976" t="str">
        <f>'CNKT '!C65</f>
        <v>N. Thông La</v>
      </c>
      <c r="I417" s="819"/>
      <c r="J417" s="973" t="s">
        <v>398</v>
      </c>
      <c r="K417" s="973" t="s">
        <v>20</v>
      </c>
      <c r="L417" s="818"/>
    </row>
    <row r="418" spans="1:13" s="31" customFormat="1" ht="17.25" customHeight="1">
      <c r="A418" s="821" t="s">
        <v>399</v>
      </c>
      <c r="B418" s="978" t="s">
        <v>559</v>
      </c>
      <c r="C418" s="822" t="str">
        <f>VLOOKUP(B417,'BTH mủ tạp'!$C$17:$AL$94,36,0)</f>
        <v>A</v>
      </c>
      <c r="D418" s="823"/>
      <c r="E418" s="823"/>
      <c r="F418" s="843"/>
      <c r="G418" s="821" t="s">
        <v>399</v>
      </c>
      <c r="H418" s="978" t="s">
        <v>559</v>
      </c>
      <c r="I418" s="822" t="str">
        <f>VLOOKUP(H417,'BTH mủ tạp'!$C$17:$AL$94,36,0)</f>
        <v>A</v>
      </c>
      <c r="J418" s="823"/>
      <c r="K418" s="823"/>
      <c r="L418" s="818"/>
    </row>
    <row r="419" spans="1:13" s="31" customFormat="1" ht="17.25" customHeight="1">
      <c r="A419" s="821" t="s">
        <v>79</v>
      </c>
      <c r="B419" s="979" t="s">
        <v>432</v>
      </c>
      <c r="C419" s="824">
        <f>VLOOKUP(B417,'CNKT '!$C$16:$Z$96,3,0)</f>
        <v>0</v>
      </c>
      <c r="D419" s="825">
        <v>25000</v>
      </c>
      <c r="E419" s="823">
        <f t="shared" ref="E419:E426" si="48">C419*D419</f>
        <v>0</v>
      </c>
      <c r="F419" s="843"/>
      <c r="G419" s="821" t="s">
        <v>79</v>
      </c>
      <c r="H419" s="979" t="s">
        <v>432</v>
      </c>
      <c r="I419" s="824">
        <f>VLOOKUP(H417,'CNKT '!$C$16:$Z$96,3,0)</f>
        <v>0</v>
      </c>
      <c r="J419" s="825">
        <v>25000</v>
      </c>
      <c r="K419" s="823">
        <f t="shared" ref="K419:K426" si="49">I419*J419</f>
        <v>0</v>
      </c>
      <c r="L419" s="818"/>
    </row>
    <row r="420" spans="1:13" s="31" customFormat="1" ht="17.25" customHeight="1">
      <c r="A420" s="821" t="s">
        <v>310</v>
      </c>
      <c r="B420" s="980" t="s">
        <v>560</v>
      </c>
      <c r="C420" s="879">
        <f>VLOOKUP(B417,'CNKT '!$C$16:$Z$96,11,0)</f>
        <v>22</v>
      </c>
      <c r="D420" s="826">
        <f>46.1*$B$2</f>
        <v>30805.403000000002</v>
      </c>
      <c r="E420" s="823">
        <f t="shared" si="48"/>
        <v>677718.86600000004</v>
      </c>
      <c r="F420" s="843"/>
      <c r="G420" s="821" t="s">
        <v>310</v>
      </c>
      <c r="H420" s="980" t="s">
        <v>560</v>
      </c>
      <c r="I420" s="879">
        <f>VLOOKUP(H417,'CNKT '!$C$16:$Z$96,11,0)</f>
        <v>27</v>
      </c>
      <c r="J420" s="826">
        <f>46.1*$B$2</f>
        <v>30805.403000000002</v>
      </c>
      <c r="K420" s="823">
        <f t="shared" si="49"/>
        <v>831745.88100000005</v>
      </c>
      <c r="L420" s="818"/>
    </row>
    <row r="421" spans="1:13" s="31" customFormat="1" ht="17.25" customHeight="1">
      <c r="A421" s="821" t="s">
        <v>401</v>
      </c>
      <c r="B421" s="980" t="s">
        <v>561</v>
      </c>
      <c r="C421" s="879">
        <f>VLOOKUP(B417,'CNKT '!$C$16:$Z$96,12,0)</f>
        <v>4</v>
      </c>
      <c r="D421" s="825">
        <f>76.9*$B$2</f>
        <v>51386.887000000002</v>
      </c>
      <c r="E421" s="823">
        <f t="shared" si="48"/>
        <v>205547.54800000001</v>
      </c>
      <c r="F421" s="843"/>
      <c r="G421" s="821" t="s">
        <v>401</v>
      </c>
      <c r="H421" s="980" t="s">
        <v>561</v>
      </c>
      <c r="I421" s="879">
        <f>VLOOKUP(H417,'CNKT '!$C$16:$Z$96,12,0)</f>
        <v>4</v>
      </c>
      <c r="J421" s="825">
        <f>76.9*$B$2</f>
        <v>51386.887000000002</v>
      </c>
      <c r="K421" s="823">
        <f t="shared" si="49"/>
        <v>205547.54800000001</v>
      </c>
      <c r="L421" s="818"/>
    </row>
    <row r="422" spans="1:13" s="31" customFormat="1" ht="17.25" customHeight="1">
      <c r="A422" s="821" t="s">
        <v>80</v>
      </c>
      <c r="B422" s="980" t="s">
        <v>562</v>
      </c>
      <c r="C422" s="879">
        <f>VLOOKUP(B417,'CNKT '!$C$16:$Z$96,8,0)</f>
        <v>341.97958868841903</v>
      </c>
      <c r="D422" s="825">
        <f>IF(C418="A",6.1,IF(C418="B",5.8,IF(C418="C",5.5,IF(C418="C.",5.5,IF(C418="D",5.2)))))*$B$2</f>
        <v>4076.203</v>
      </c>
      <c r="E422" s="823">
        <f t="shared" si="48"/>
        <v>1393978.2253504996</v>
      </c>
      <c r="F422" s="975"/>
      <c r="G422" s="821" t="s">
        <v>80</v>
      </c>
      <c r="H422" s="980" t="s">
        <v>562</v>
      </c>
      <c r="I422" s="879">
        <f>VLOOKUP(H417,'CNKT '!$C$16:$Z$96,8,0)</f>
        <v>845.1927972689756</v>
      </c>
      <c r="J422" s="825">
        <f>IF(I418="A",6.1,IF(I418="B",5.8,IF(I418="C",5.5,IF(I418="C.",5.5,IF(I418="D",5.2)))))*$B$2</f>
        <v>4076.203</v>
      </c>
      <c r="K422" s="823">
        <f t="shared" si="49"/>
        <v>3445177.4158061901</v>
      </c>
      <c r="L422" s="818"/>
    </row>
    <row r="423" spans="1:13" s="31" customFormat="1" ht="17.25" customHeight="1">
      <c r="A423" s="821" t="s">
        <v>495</v>
      </c>
      <c r="B423" s="980" t="s">
        <v>563</v>
      </c>
      <c r="C423" s="879">
        <f>VLOOKUP(B417,'CNKT '!$C$16:$Z$96,15,0)</f>
        <v>0</v>
      </c>
      <c r="D423" s="826">
        <f>92.2*$B$2</f>
        <v>61610.806000000004</v>
      </c>
      <c r="E423" s="823">
        <f t="shared" si="48"/>
        <v>0</v>
      </c>
      <c r="F423" s="975"/>
      <c r="G423" s="821" t="s">
        <v>495</v>
      </c>
      <c r="H423" s="980" t="s">
        <v>563</v>
      </c>
      <c r="I423" s="879">
        <f>VLOOKUP(H417,'CNKT '!$C$16:$Z$96,15,0)</f>
        <v>0</v>
      </c>
      <c r="J423" s="826">
        <f>92.2*$B$2</f>
        <v>61610.806000000004</v>
      </c>
      <c r="K423" s="823">
        <f t="shared" si="49"/>
        <v>0</v>
      </c>
      <c r="L423" s="818"/>
    </row>
    <row r="424" spans="1:13" s="31" customFormat="1" ht="17.25" customHeight="1">
      <c r="A424" s="821" t="s">
        <v>496</v>
      </c>
      <c r="B424" s="980" t="s">
        <v>500</v>
      </c>
      <c r="C424" s="879">
        <f>VLOOKUP(B417,'CNKT '!$C$16:$Z$96,16,0)</f>
        <v>0</v>
      </c>
      <c r="D424" s="825">
        <f>153.8*$B$2</f>
        <v>102773.774</v>
      </c>
      <c r="E424" s="823">
        <f t="shared" si="48"/>
        <v>0</v>
      </c>
      <c r="F424" s="975"/>
      <c r="G424" s="821" t="s">
        <v>496</v>
      </c>
      <c r="H424" s="980" t="s">
        <v>500</v>
      </c>
      <c r="I424" s="879">
        <f>VLOOKUP(H417,'CNKT '!$C$16:$Z$96,16,0)</f>
        <v>0</v>
      </c>
      <c r="J424" s="825">
        <f>153.8*$B$2</f>
        <v>102773.774</v>
      </c>
      <c r="K424" s="823">
        <f t="shared" si="49"/>
        <v>0</v>
      </c>
      <c r="L424" s="818"/>
    </row>
    <row r="425" spans="1:13" s="31" customFormat="1" ht="17.25" customHeight="1">
      <c r="A425" s="821" t="s">
        <v>455</v>
      </c>
      <c r="B425" s="980" t="s">
        <v>501</v>
      </c>
      <c r="C425" s="879">
        <f>VLOOKUP(B417,'CNKT '!$C$16:$Z$96,18,0)</f>
        <v>0</v>
      </c>
      <c r="D425" s="825">
        <v>10000</v>
      </c>
      <c r="E425" s="823">
        <f t="shared" si="48"/>
        <v>0</v>
      </c>
      <c r="F425" s="975"/>
      <c r="G425" s="821" t="s">
        <v>455</v>
      </c>
      <c r="H425" s="980" t="s">
        <v>501</v>
      </c>
      <c r="I425" s="879">
        <f>VLOOKUP(H417,'CNKT '!$C$16:$Z$96,18,0)</f>
        <v>0</v>
      </c>
      <c r="J425" s="825">
        <v>10000</v>
      </c>
      <c r="K425" s="823">
        <f t="shared" si="49"/>
        <v>0</v>
      </c>
      <c r="L425" s="818"/>
    </row>
    <row r="426" spans="1:13" s="31" customFormat="1" ht="17.25" customHeight="1">
      <c r="A426" s="821" t="s">
        <v>455</v>
      </c>
      <c r="B426" s="980" t="s">
        <v>501</v>
      </c>
      <c r="C426" s="879">
        <f>VLOOKUP(B417,'CNKT '!$C$16:$Z$96,19,0)</f>
        <v>0</v>
      </c>
      <c r="D426" s="825">
        <v>20000</v>
      </c>
      <c r="E426" s="823">
        <f t="shared" si="48"/>
        <v>0</v>
      </c>
      <c r="F426" s="975"/>
      <c r="G426" s="821" t="s">
        <v>455</v>
      </c>
      <c r="H426" s="980" t="s">
        <v>501</v>
      </c>
      <c r="I426" s="879">
        <f>VLOOKUP(H417,'CNKT '!$C$16:$Z$96,19,0)</f>
        <v>0</v>
      </c>
      <c r="J426" s="825">
        <v>20000</v>
      </c>
      <c r="K426" s="823">
        <f t="shared" si="49"/>
        <v>0</v>
      </c>
      <c r="L426" s="818"/>
    </row>
    <row r="427" spans="1:13" s="31" customFormat="1" ht="17.25" customHeight="1">
      <c r="A427" s="821" t="s">
        <v>517</v>
      </c>
      <c r="B427" s="980" t="s">
        <v>519</v>
      </c>
      <c r="C427" s="879"/>
      <c r="D427" s="825"/>
      <c r="E427" s="823"/>
      <c r="F427" s="975"/>
      <c r="G427" s="821" t="s">
        <v>517</v>
      </c>
      <c r="H427" s="980" t="s">
        <v>519</v>
      </c>
      <c r="I427" s="879"/>
      <c r="J427" s="825"/>
      <c r="K427" s="823"/>
      <c r="L427" s="818"/>
    </row>
    <row r="428" spans="1:13" s="31" customFormat="1" ht="17.25" customHeight="1">
      <c r="A428" s="827" t="s">
        <v>81</v>
      </c>
      <c r="B428" s="981" t="s">
        <v>564</v>
      </c>
      <c r="C428" s="828"/>
      <c r="D428" s="829"/>
      <c r="E428" s="828"/>
      <c r="F428" s="838"/>
      <c r="G428" s="827" t="s">
        <v>81</v>
      </c>
      <c r="H428" s="981" t="s">
        <v>564</v>
      </c>
      <c r="I428" s="828"/>
      <c r="J428" s="829"/>
      <c r="K428" s="828"/>
      <c r="L428" s="818"/>
    </row>
    <row r="429" spans="1:13" s="31" customFormat="1" ht="17.25" customHeight="1">
      <c r="A429" s="830" t="s">
        <v>82</v>
      </c>
      <c r="B429" s="982" t="s">
        <v>565</v>
      </c>
      <c r="C429" s="828"/>
      <c r="D429" s="828"/>
      <c r="E429" s="828"/>
      <c r="F429" s="838"/>
      <c r="G429" s="830" t="s">
        <v>82</v>
      </c>
      <c r="H429" s="982" t="s">
        <v>565</v>
      </c>
      <c r="I429" s="828"/>
      <c r="J429" s="828"/>
      <c r="K429" s="828"/>
      <c r="L429" s="818"/>
    </row>
    <row r="430" spans="1:13" s="31" customFormat="1" ht="17.25" customHeight="1">
      <c r="A430" s="830" t="s">
        <v>83</v>
      </c>
      <c r="B430" s="983" t="s">
        <v>566</v>
      </c>
      <c r="C430" s="828"/>
      <c r="D430" s="828"/>
      <c r="E430" s="823">
        <f>SUM(E429)</f>
        <v>0</v>
      </c>
      <c r="F430" s="838"/>
      <c r="G430" s="830" t="s">
        <v>83</v>
      </c>
      <c r="H430" s="983" t="s">
        <v>566</v>
      </c>
      <c r="I430" s="828"/>
      <c r="J430" s="828"/>
      <c r="K430" s="823">
        <f>SUM(K429)</f>
        <v>0</v>
      </c>
      <c r="L430" s="818"/>
      <c r="M430" s="831">
        <f>E430+K430</f>
        <v>0</v>
      </c>
    </row>
    <row r="431" spans="1:13" s="31" customFormat="1" ht="17.25" customHeight="1">
      <c r="A431" s="832" t="s">
        <v>84</v>
      </c>
      <c r="B431" s="984" t="s">
        <v>438</v>
      </c>
      <c r="C431" s="833"/>
      <c r="D431" s="833"/>
      <c r="E431" s="833">
        <f>(E419+E420+E421+E422+E423+E424+E425+E426+E427)-E430</f>
        <v>2277244.6393505</v>
      </c>
      <c r="F431" s="838"/>
      <c r="G431" s="832" t="s">
        <v>84</v>
      </c>
      <c r="H431" s="984" t="s">
        <v>438</v>
      </c>
      <c r="I431" s="833"/>
      <c r="J431" s="833"/>
      <c r="K431" s="833">
        <f>(K419+K420+K421+K422+K423+K424+K425+K426+K427)-K430</f>
        <v>4482470.8448061906</v>
      </c>
      <c r="L431" s="835">
        <f>E431+K431</f>
        <v>6759715.4841566905</v>
      </c>
    </row>
    <row r="432" spans="1:13" s="31" customFormat="1" ht="17.25" customHeight="1">
      <c r="A432" s="838"/>
      <c r="B432" s="844"/>
      <c r="C432" s="845"/>
      <c r="D432" s="845"/>
      <c r="E432" s="843"/>
      <c r="F432" s="838"/>
      <c r="G432" s="838"/>
      <c r="H432" s="844"/>
      <c r="I432" s="845"/>
      <c r="J432" s="843"/>
      <c r="K432" s="836"/>
      <c r="L432" s="818"/>
    </row>
    <row r="433" spans="1:13" s="31" customFormat="1" ht="17.25" customHeight="1">
      <c r="A433" s="1615" t="str">
        <f>G416</f>
        <v>LƯƠNG THÁNG 01/2025</v>
      </c>
      <c r="B433" s="1616"/>
      <c r="C433" s="1616"/>
      <c r="D433" s="1616"/>
      <c r="E433" s="898">
        <v>51</v>
      </c>
      <c r="F433" s="843"/>
      <c r="G433" s="1615" t="str">
        <f>A433</f>
        <v>LƯƠNG THÁNG 01/2025</v>
      </c>
      <c r="H433" s="1616"/>
      <c r="I433" s="1616"/>
      <c r="J433" s="1617"/>
      <c r="K433" s="898">
        <v>52</v>
      </c>
      <c r="L433" s="818"/>
    </row>
    <row r="434" spans="1:13" s="31" customFormat="1" ht="17.25" customHeight="1">
      <c r="A434" s="837" t="s">
        <v>17</v>
      </c>
      <c r="B434" s="976" t="str">
        <f>'CNKT '!C66</f>
        <v>T. Son Xay</v>
      </c>
      <c r="C434" s="819"/>
      <c r="D434" s="973" t="s">
        <v>398</v>
      </c>
      <c r="E434" s="973" t="s">
        <v>20</v>
      </c>
      <c r="F434" s="843"/>
      <c r="G434" s="837" t="s">
        <v>17</v>
      </c>
      <c r="H434" s="976" t="str">
        <f>'CNKT '!C67</f>
        <v>N. Lăm Phay</v>
      </c>
      <c r="I434" s="819"/>
      <c r="J434" s="973" t="s">
        <v>398</v>
      </c>
      <c r="K434" s="973" t="s">
        <v>20</v>
      </c>
      <c r="L434" s="818"/>
    </row>
    <row r="435" spans="1:13" s="31" customFormat="1" ht="17.25" customHeight="1">
      <c r="A435" s="821" t="s">
        <v>399</v>
      </c>
      <c r="B435" s="978" t="s">
        <v>559</v>
      </c>
      <c r="C435" s="822" t="str">
        <f>VLOOKUP(B434,'BTH mủ tạp'!$C$17:$AL$94,36,0)</f>
        <v>A</v>
      </c>
      <c r="D435" s="823"/>
      <c r="E435" s="823"/>
      <c r="F435" s="843"/>
      <c r="G435" s="821" t="s">
        <v>399</v>
      </c>
      <c r="H435" s="978" t="s">
        <v>559</v>
      </c>
      <c r="I435" s="822" t="str">
        <f>VLOOKUP(H434,'BTH mủ tạp'!$C$17:$AL$94,36,0)</f>
        <v>A</v>
      </c>
      <c r="J435" s="823"/>
      <c r="K435" s="823"/>
      <c r="L435" s="818"/>
    </row>
    <row r="436" spans="1:13" s="31" customFormat="1" ht="17.25" customHeight="1">
      <c r="A436" s="821" t="s">
        <v>79</v>
      </c>
      <c r="B436" s="979" t="s">
        <v>432</v>
      </c>
      <c r="C436" s="824">
        <f>VLOOKUP(B434,'CNKT '!$C$16:$Z$96,3,0)</f>
        <v>0</v>
      </c>
      <c r="D436" s="825">
        <v>25000</v>
      </c>
      <c r="E436" s="823">
        <f t="shared" ref="E436:E443" si="50">C436*D436</f>
        <v>0</v>
      </c>
      <c r="F436" s="975"/>
      <c r="G436" s="821" t="s">
        <v>79</v>
      </c>
      <c r="H436" s="979" t="s">
        <v>432</v>
      </c>
      <c r="I436" s="824">
        <f>VLOOKUP(H434,'CNKT '!$C$16:$Z$96,3,0)</f>
        <v>0</v>
      </c>
      <c r="J436" s="825">
        <v>25000</v>
      </c>
      <c r="K436" s="823">
        <f t="shared" ref="K436:K443" si="51">I436*J436</f>
        <v>0</v>
      </c>
      <c r="L436" s="818"/>
    </row>
    <row r="437" spans="1:13" s="31" customFormat="1" ht="17.25" customHeight="1">
      <c r="A437" s="821" t="s">
        <v>310</v>
      </c>
      <c r="B437" s="980" t="s">
        <v>560</v>
      </c>
      <c r="C437" s="879">
        <f>VLOOKUP(B434,'CNKT '!$C$16:$Z$96,11,0)</f>
        <v>25</v>
      </c>
      <c r="D437" s="826">
        <f>46.1*$B$2</f>
        <v>30805.403000000002</v>
      </c>
      <c r="E437" s="823">
        <f t="shared" si="50"/>
        <v>770135.07500000007</v>
      </c>
      <c r="F437" s="838"/>
      <c r="G437" s="821" t="s">
        <v>310</v>
      </c>
      <c r="H437" s="980" t="s">
        <v>560</v>
      </c>
      <c r="I437" s="879">
        <f>VLOOKUP(H434,'CNKT '!$C$16:$Z$96,11,0)</f>
        <v>25</v>
      </c>
      <c r="J437" s="826">
        <f>46.1*$B$2</f>
        <v>30805.403000000002</v>
      </c>
      <c r="K437" s="823">
        <f t="shared" si="51"/>
        <v>770135.07500000007</v>
      </c>
      <c r="L437" s="818"/>
    </row>
    <row r="438" spans="1:13" s="31" customFormat="1" ht="17.25" customHeight="1">
      <c r="A438" s="821" t="s">
        <v>401</v>
      </c>
      <c r="B438" s="980" t="s">
        <v>561</v>
      </c>
      <c r="C438" s="879">
        <f>VLOOKUP(B434,'CNKT '!$C$16:$Z$96,12,0)</f>
        <v>4</v>
      </c>
      <c r="D438" s="825">
        <f>76.9*$B$2</f>
        <v>51386.887000000002</v>
      </c>
      <c r="E438" s="823">
        <f t="shared" si="50"/>
        <v>205547.54800000001</v>
      </c>
      <c r="F438" s="838"/>
      <c r="G438" s="821" t="s">
        <v>401</v>
      </c>
      <c r="H438" s="980" t="s">
        <v>561</v>
      </c>
      <c r="I438" s="879">
        <f>VLOOKUP(H434,'CNKT '!$C$16:$Z$96,12,0)</f>
        <v>4</v>
      </c>
      <c r="J438" s="825">
        <f>76.9*$B$2</f>
        <v>51386.887000000002</v>
      </c>
      <c r="K438" s="823">
        <f t="shared" si="51"/>
        <v>205547.54800000001</v>
      </c>
      <c r="L438" s="818"/>
    </row>
    <row r="439" spans="1:13" s="31" customFormat="1" ht="17.25" customHeight="1">
      <c r="A439" s="821" t="s">
        <v>80</v>
      </c>
      <c r="B439" s="980" t="s">
        <v>562</v>
      </c>
      <c r="C439" s="879">
        <f>VLOOKUP(B434,'CNKT '!$C$16:$Z$96,8,0)</f>
        <v>908.864672640393</v>
      </c>
      <c r="D439" s="825">
        <f>IF(C435="A",6.1,IF(C435="B",5.8,IF(C435="C",5.5,IF(C435="C.",5.5,IF(C435="D",5.2)))))*$B$2</f>
        <v>4076.203</v>
      </c>
      <c r="E439" s="823">
        <f t="shared" si="50"/>
        <v>3704716.9052107879</v>
      </c>
      <c r="F439" s="838"/>
      <c r="G439" s="821" t="s">
        <v>80</v>
      </c>
      <c r="H439" s="980" t="s">
        <v>562</v>
      </c>
      <c r="I439" s="879">
        <f>VLOOKUP(H434,'CNKT '!$C$16:$Z$96,8,0)</f>
        <v>899.62198105421942</v>
      </c>
      <c r="J439" s="825">
        <f>IF(I435="A",6.1,IF(I435="B",5.8,IF(I435="C",5.5,IF(I435="C.",5.5,IF(I435="D",5.2)))))*$B$2</f>
        <v>4076.203</v>
      </c>
      <c r="K439" s="823">
        <f t="shared" si="51"/>
        <v>3667041.8180391523</v>
      </c>
      <c r="L439" s="818"/>
    </row>
    <row r="440" spans="1:13" s="31" customFormat="1" ht="17.25" customHeight="1">
      <c r="A440" s="821" t="s">
        <v>495</v>
      </c>
      <c r="B440" s="980" t="s">
        <v>563</v>
      </c>
      <c r="C440" s="879">
        <f>VLOOKUP(B434,'CNKT '!$C$16:$Z$96,15,0)</f>
        <v>0</v>
      </c>
      <c r="D440" s="826">
        <f>92.2*$B$2</f>
        <v>61610.806000000004</v>
      </c>
      <c r="E440" s="823">
        <f t="shared" si="50"/>
        <v>0</v>
      </c>
      <c r="F440" s="838"/>
      <c r="G440" s="821" t="s">
        <v>495</v>
      </c>
      <c r="H440" s="980" t="s">
        <v>563</v>
      </c>
      <c r="I440" s="879">
        <f>VLOOKUP(H434,'CNKT '!$C$16:$Z$96,15,0)</f>
        <v>0</v>
      </c>
      <c r="J440" s="826">
        <f>92.2*$B$2</f>
        <v>61610.806000000004</v>
      </c>
      <c r="K440" s="823">
        <f t="shared" si="51"/>
        <v>0</v>
      </c>
      <c r="L440" s="818"/>
    </row>
    <row r="441" spans="1:13" s="31" customFormat="1" ht="17.25" customHeight="1">
      <c r="A441" s="821" t="s">
        <v>496</v>
      </c>
      <c r="B441" s="980" t="s">
        <v>500</v>
      </c>
      <c r="C441" s="879">
        <f>VLOOKUP(B434,'CNKT '!$C$16:$Z$96,16,0)</f>
        <v>0</v>
      </c>
      <c r="D441" s="825">
        <f>153.8*$B$2</f>
        <v>102773.774</v>
      </c>
      <c r="E441" s="823">
        <f t="shared" si="50"/>
        <v>0</v>
      </c>
      <c r="F441" s="842"/>
      <c r="G441" s="821" t="s">
        <v>496</v>
      </c>
      <c r="H441" s="980" t="s">
        <v>500</v>
      </c>
      <c r="I441" s="879">
        <f>VLOOKUP(H434,'CNKT '!$C$16:$Z$96,16,0)</f>
        <v>0</v>
      </c>
      <c r="J441" s="825">
        <f>153.8*$B$2</f>
        <v>102773.774</v>
      </c>
      <c r="K441" s="823">
        <f t="shared" si="51"/>
        <v>0</v>
      </c>
      <c r="L441" s="818"/>
    </row>
    <row r="442" spans="1:13" s="31" customFormat="1" ht="17.25" customHeight="1">
      <c r="A442" s="821" t="s">
        <v>455</v>
      </c>
      <c r="B442" s="980" t="s">
        <v>501</v>
      </c>
      <c r="C442" s="879">
        <f>VLOOKUP(B434,'CNKT '!$C$16:$Z$96,18,0)</f>
        <v>0</v>
      </c>
      <c r="D442" s="825">
        <v>10000</v>
      </c>
      <c r="E442" s="823">
        <f t="shared" si="50"/>
        <v>0</v>
      </c>
      <c r="F442" s="842"/>
      <c r="G442" s="821" t="s">
        <v>455</v>
      </c>
      <c r="H442" s="980" t="s">
        <v>501</v>
      </c>
      <c r="I442" s="879">
        <f>VLOOKUP(H434,'CNKT '!$C$16:$Z$96,18,0)</f>
        <v>0</v>
      </c>
      <c r="J442" s="825">
        <v>10000</v>
      </c>
      <c r="K442" s="823">
        <f t="shared" si="51"/>
        <v>0</v>
      </c>
      <c r="L442" s="818"/>
    </row>
    <row r="443" spans="1:13" s="31" customFormat="1" ht="17.25" customHeight="1">
      <c r="A443" s="821" t="s">
        <v>455</v>
      </c>
      <c r="B443" s="980" t="s">
        <v>501</v>
      </c>
      <c r="C443" s="879">
        <f>VLOOKUP(B434,'CNKT '!$C$16:$Z$96,19,0)</f>
        <v>0</v>
      </c>
      <c r="D443" s="825">
        <v>20000</v>
      </c>
      <c r="E443" s="823">
        <f t="shared" si="50"/>
        <v>0</v>
      </c>
      <c r="F443" s="842"/>
      <c r="G443" s="821" t="s">
        <v>455</v>
      </c>
      <c r="H443" s="980" t="s">
        <v>501</v>
      </c>
      <c r="I443" s="879">
        <f>VLOOKUP(H434,'CNKT '!$C$16:$Z$96,19,0)</f>
        <v>0</v>
      </c>
      <c r="J443" s="825">
        <v>20000</v>
      </c>
      <c r="K443" s="823">
        <f t="shared" si="51"/>
        <v>0</v>
      </c>
      <c r="L443" s="818"/>
    </row>
    <row r="444" spans="1:13" s="31" customFormat="1" ht="17.25" customHeight="1">
      <c r="A444" s="821" t="s">
        <v>517</v>
      </c>
      <c r="B444" s="980" t="s">
        <v>519</v>
      </c>
      <c r="C444" s="879"/>
      <c r="D444" s="825"/>
      <c r="E444" s="823"/>
      <c r="F444" s="842"/>
      <c r="G444" s="821" t="s">
        <v>517</v>
      </c>
      <c r="H444" s="980" t="s">
        <v>519</v>
      </c>
      <c r="I444" s="879"/>
      <c r="J444" s="825"/>
      <c r="K444" s="823"/>
      <c r="L444" s="818"/>
    </row>
    <row r="445" spans="1:13" s="31" customFormat="1" ht="17.25" customHeight="1">
      <c r="A445" s="827" t="s">
        <v>81</v>
      </c>
      <c r="B445" s="981" t="s">
        <v>564</v>
      </c>
      <c r="C445" s="828"/>
      <c r="D445" s="829"/>
      <c r="E445" s="828"/>
      <c r="F445" s="842"/>
      <c r="G445" s="827" t="s">
        <v>81</v>
      </c>
      <c r="H445" s="981" t="s">
        <v>564</v>
      </c>
      <c r="I445" s="828"/>
      <c r="J445" s="829"/>
      <c r="K445" s="828"/>
      <c r="L445" s="818"/>
    </row>
    <row r="446" spans="1:13" s="31" customFormat="1" ht="17.25" customHeight="1">
      <c r="A446" s="830" t="s">
        <v>82</v>
      </c>
      <c r="B446" s="982" t="s">
        <v>565</v>
      </c>
      <c r="C446" s="828"/>
      <c r="D446" s="828"/>
      <c r="E446" s="828"/>
      <c r="F446" s="842"/>
      <c r="G446" s="830" t="s">
        <v>82</v>
      </c>
      <c r="H446" s="982" t="s">
        <v>565</v>
      </c>
      <c r="I446" s="828"/>
      <c r="J446" s="828"/>
      <c r="K446" s="828"/>
      <c r="L446" s="835"/>
    </row>
    <row r="447" spans="1:13" s="31" customFormat="1" ht="17.25" customHeight="1">
      <c r="A447" s="830" t="s">
        <v>83</v>
      </c>
      <c r="B447" s="983" t="s">
        <v>566</v>
      </c>
      <c r="C447" s="828"/>
      <c r="D447" s="828"/>
      <c r="E447" s="823">
        <f>SUM(E446)</f>
        <v>0</v>
      </c>
      <c r="F447" s="842"/>
      <c r="G447" s="830" t="s">
        <v>83</v>
      </c>
      <c r="H447" s="983" t="s">
        <v>566</v>
      </c>
      <c r="I447" s="828"/>
      <c r="J447" s="828"/>
      <c r="K447" s="823">
        <f>SUM(K446)</f>
        <v>0</v>
      </c>
      <c r="L447" s="818"/>
      <c r="M447" s="831">
        <f>E447+K447</f>
        <v>0</v>
      </c>
    </row>
    <row r="448" spans="1:13" s="31" customFormat="1" ht="17.25" customHeight="1">
      <c r="A448" s="832" t="s">
        <v>84</v>
      </c>
      <c r="B448" s="984" t="s">
        <v>438</v>
      </c>
      <c r="C448" s="833"/>
      <c r="D448" s="833"/>
      <c r="E448" s="833">
        <f>(E436+E437+E438+E439+E440+E441+E442+E443+E444)-E447</f>
        <v>4680399.528210788</v>
      </c>
      <c r="F448" s="975"/>
      <c r="G448" s="832" t="s">
        <v>84</v>
      </c>
      <c r="H448" s="984" t="s">
        <v>438</v>
      </c>
      <c r="I448" s="833"/>
      <c r="J448" s="833"/>
      <c r="K448" s="833">
        <f>(K436+K437+K438+K439+K440+K441+K442+K443+K444)-K447</f>
        <v>4642724.4410391524</v>
      </c>
      <c r="L448" s="835">
        <f>E448+K448</f>
        <v>9323123.9692499414</v>
      </c>
    </row>
    <row r="449" spans="1:13" s="31" customFormat="1" ht="17.25" customHeight="1">
      <c r="A449" s="1615" t="str">
        <f>G433</f>
        <v>LƯƠNG THÁNG 01/2025</v>
      </c>
      <c r="B449" s="1616"/>
      <c r="C449" s="1616"/>
      <c r="D449" s="1616"/>
      <c r="E449" s="898">
        <v>53</v>
      </c>
      <c r="F449" s="843"/>
      <c r="G449" s="1615" t="str">
        <f>A449</f>
        <v>LƯƠNG THÁNG 01/2025</v>
      </c>
      <c r="H449" s="1616"/>
      <c r="I449" s="1616"/>
      <c r="J449" s="1617"/>
      <c r="K449" s="898">
        <v>54</v>
      </c>
      <c r="L449" s="818"/>
    </row>
    <row r="450" spans="1:13" s="31" customFormat="1" ht="17.25" customHeight="1">
      <c r="A450" s="837" t="s">
        <v>17</v>
      </c>
      <c r="B450" s="976" t="str">
        <f>'CNKT '!C68</f>
        <v>T. Nhung</v>
      </c>
      <c r="C450" s="819"/>
      <c r="D450" s="973" t="s">
        <v>398</v>
      </c>
      <c r="E450" s="973" t="s">
        <v>20</v>
      </c>
      <c r="F450" s="843"/>
      <c r="G450" s="837" t="s">
        <v>17</v>
      </c>
      <c r="H450" s="976" t="str">
        <f>'CNKT '!C69</f>
        <v>T. Khay Khăm</v>
      </c>
      <c r="I450" s="819"/>
      <c r="J450" s="973" t="s">
        <v>398</v>
      </c>
      <c r="K450" s="973" t="s">
        <v>20</v>
      </c>
      <c r="L450" s="818"/>
    </row>
    <row r="451" spans="1:13" s="31" customFormat="1" ht="17.25" customHeight="1">
      <c r="A451" s="821" t="s">
        <v>399</v>
      </c>
      <c r="B451" s="978" t="s">
        <v>559</v>
      </c>
      <c r="C451" s="822" t="str">
        <f>VLOOKUP(B450,'BTH mủ tạp'!$C$17:$AL$94,36,0)</f>
        <v>A</v>
      </c>
      <c r="D451" s="823"/>
      <c r="E451" s="823"/>
      <c r="F451" s="843"/>
      <c r="G451" s="821" t="s">
        <v>399</v>
      </c>
      <c r="H451" s="978" t="s">
        <v>559</v>
      </c>
      <c r="I451" s="822" t="str">
        <f>VLOOKUP(H450,'BTH mủ tạp'!$C$17:$AL$94,36,0)</f>
        <v>B</v>
      </c>
      <c r="J451" s="823"/>
      <c r="K451" s="823"/>
      <c r="L451" s="818"/>
    </row>
    <row r="452" spans="1:13" s="31" customFormat="1" ht="17.25" customHeight="1">
      <c r="A452" s="821" t="s">
        <v>79</v>
      </c>
      <c r="B452" s="979" t="s">
        <v>432</v>
      </c>
      <c r="C452" s="824">
        <f>VLOOKUP(B450,'CNKT '!$C$16:$Z$96,3,0)</f>
        <v>0</v>
      </c>
      <c r="D452" s="825">
        <v>25000</v>
      </c>
      <c r="E452" s="823">
        <f t="shared" ref="E452:E459" si="52">C452*D452</f>
        <v>0</v>
      </c>
      <c r="F452" s="975"/>
      <c r="G452" s="821" t="s">
        <v>79</v>
      </c>
      <c r="H452" s="979" t="s">
        <v>432</v>
      </c>
      <c r="I452" s="824">
        <f>VLOOKUP(H450,'CNKT '!$C$16:$Z$96,3,0)</f>
        <v>0</v>
      </c>
      <c r="J452" s="825">
        <v>25000</v>
      </c>
      <c r="K452" s="823">
        <f t="shared" ref="K452:K459" si="53">I452*J452</f>
        <v>0</v>
      </c>
      <c r="L452" s="818"/>
    </row>
    <row r="453" spans="1:13" s="31" customFormat="1" ht="17.25" customHeight="1">
      <c r="A453" s="821" t="s">
        <v>310</v>
      </c>
      <c r="B453" s="980" t="s">
        <v>560</v>
      </c>
      <c r="C453" s="879">
        <f>VLOOKUP(B450,'CNKT '!$C$16:$Z$96,11,0)</f>
        <v>25</v>
      </c>
      <c r="D453" s="826">
        <f>46.1*$B$2</f>
        <v>30805.403000000002</v>
      </c>
      <c r="E453" s="823">
        <f t="shared" si="52"/>
        <v>770135.07500000007</v>
      </c>
      <c r="F453" s="838"/>
      <c r="G453" s="821" t="s">
        <v>310</v>
      </c>
      <c r="H453" s="980" t="s">
        <v>560</v>
      </c>
      <c r="I453" s="879">
        <f>VLOOKUP(H450,'CNKT '!$C$16:$Z$96,11,0)</f>
        <v>23</v>
      </c>
      <c r="J453" s="826">
        <f>46.1*$B$2</f>
        <v>30805.403000000002</v>
      </c>
      <c r="K453" s="823">
        <f t="shared" si="53"/>
        <v>708524.26900000009</v>
      </c>
      <c r="L453" s="818"/>
    </row>
    <row r="454" spans="1:13" s="31" customFormat="1" ht="17.25" customHeight="1">
      <c r="A454" s="821" t="s">
        <v>401</v>
      </c>
      <c r="B454" s="980" t="s">
        <v>561</v>
      </c>
      <c r="C454" s="879">
        <f>VLOOKUP(B450,'CNKT '!$C$16:$Z$96,12,0)</f>
        <v>4</v>
      </c>
      <c r="D454" s="825">
        <f>76.9*$B$2</f>
        <v>51386.887000000002</v>
      </c>
      <c r="E454" s="823">
        <f t="shared" si="52"/>
        <v>205547.54800000001</v>
      </c>
      <c r="F454" s="838"/>
      <c r="G454" s="821" t="s">
        <v>401</v>
      </c>
      <c r="H454" s="980" t="s">
        <v>561</v>
      </c>
      <c r="I454" s="879">
        <f>VLOOKUP(H450,'CNKT '!$C$16:$Z$96,12,0)</f>
        <v>2</v>
      </c>
      <c r="J454" s="825">
        <f>76.9*$B$2</f>
        <v>51386.887000000002</v>
      </c>
      <c r="K454" s="823">
        <f t="shared" si="53"/>
        <v>102773.774</v>
      </c>
      <c r="L454" s="818"/>
    </row>
    <row r="455" spans="1:13" s="31" customFormat="1" ht="17.25" customHeight="1">
      <c r="A455" s="821" t="s">
        <v>80</v>
      </c>
      <c r="B455" s="980" t="s">
        <v>562</v>
      </c>
      <c r="C455" s="879">
        <f>VLOOKUP(B450,'CNKT '!$C$16:$Z$96,8,0)</f>
        <v>873.94783775929307</v>
      </c>
      <c r="D455" s="825">
        <f>IF(C451="A",6.1,IF(C451="B",5.8,IF(C451="C",5.5,IF(C451="C.",5.5,IF(C451="D",5.2)))))*$B$2</f>
        <v>4076.203</v>
      </c>
      <c r="E455" s="823">
        <f t="shared" si="52"/>
        <v>3562388.7981179436</v>
      </c>
      <c r="F455" s="838"/>
      <c r="G455" s="821" t="s">
        <v>80</v>
      </c>
      <c r="H455" s="980" t="s">
        <v>562</v>
      </c>
      <c r="I455" s="879">
        <f>VLOOKUP(H450,'CNKT '!$C$16:$Z$96,8,0)</f>
        <v>430.2986416229657</v>
      </c>
      <c r="J455" s="825">
        <f>IF(I451="A",6.1,IF(I451="B",5.8,IF(I451="C",5.5,IF(I451="C.",5.5,IF(I451="D",5.2)))))*$B$2</f>
        <v>3875.7339999999999</v>
      </c>
      <c r="K455" s="823">
        <f t="shared" si="53"/>
        <v>1667723.0754919434</v>
      </c>
      <c r="L455" s="818"/>
    </row>
    <row r="456" spans="1:13" s="31" customFormat="1" ht="17.25" customHeight="1">
      <c r="A456" s="821" t="s">
        <v>495</v>
      </c>
      <c r="B456" s="980" t="s">
        <v>563</v>
      </c>
      <c r="C456" s="879">
        <f>VLOOKUP(B450,'CNKT '!$C$16:$Z$96,15,0)</f>
        <v>0</v>
      </c>
      <c r="D456" s="826">
        <f>92.2*$B$2</f>
        <v>61610.806000000004</v>
      </c>
      <c r="E456" s="823">
        <f t="shared" si="52"/>
        <v>0</v>
      </c>
      <c r="F456" s="838"/>
      <c r="G456" s="821" t="s">
        <v>495</v>
      </c>
      <c r="H456" s="980" t="s">
        <v>563</v>
      </c>
      <c r="I456" s="879">
        <f>VLOOKUP(H450,'CNKT '!$C$16:$Z$96,15,0)</f>
        <v>0</v>
      </c>
      <c r="J456" s="826">
        <f>92.2*$B$2</f>
        <v>61610.806000000004</v>
      </c>
      <c r="K456" s="823">
        <f t="shared" si="53"/>
        <v>0</v>
      </c>
      <c r="L456" s="818"/>
    </row>
    <row r="457" spans="1:13" s="31" customFormat="1" ht="17.25" customHeight="1">
      <c r="A457" s="821" t="s">
        <v>496</v>
      </c>
      <c r="B457" s="980" t="s">
        <v>500</v>
      </c>
      <c r="C457" s="879">
        <f>VLOOKUP(B450,'CNKT '!$C$16:$Z$96,16,0)</f>
        <v>0</v>
      </c>
      <c r="D457" s="825">
        <f>153.8*$B$2</f>
        <v>102773.774</v>
      </c>
      <c r="E457" s="823">
        <f t="shared" si="52"/>
        <v>0</v>
      </c>
      <c r="F457" s="838"/>
      <c r="G457" s="821" t="s">
        <v>496</v>
      </c>
      <c r="H457" s="980" t="s">
        <v>500</v>
      </c>
      <c r="I457" s="879">
        <f>VLOOKUP(H450,'CNKT '!$C$16:$Z$96,16,0)</f>
        <v>0</v>
      </c>
      <c r="J457" s="825">
        <f>153.8*$B$2</f>
        <v>102773.774</v>
      </c>
      <c r="K457" s="823">
        <f t="shared" si="53"/>
        <v>0</v>
      </c>
      <c r="L457" s="818"/>
    </row>
    <row r="458" spans="1:13" s="31" customFormat="1" ht="17.25" customHeight="1">
      <c r="A458" s="821" t="s">
        <v>455</v>
      </c>
      <c r="B458" s="980" t="s">
        <v>501</v>
      </c>
      <c r="C458" s="879">
        <f>VLOOKUP(B450,'CNKT '!$C$16:$Z$96,18,0)</f>
        <v>0</v>
      </c>
      <c r="D458" s="825">
        <v>10000</v>
      </c>
      <c r="E458" s="823">
        <f t="shared" si="52"/>
        <v>0</v>
      </c>
      <c r="F458" s="838"/>
      <c r="G458" s="821" t="s">
        <v>455</v>
      </c>
      <c r="H458" s="980" t="s">
        <v>501</v>
      </c>
      <c r="I458" s="879">
        <f>VLOOKUP(H450,'CNKT '!$C$16:$Z$96,18,0)</f>
        <v>0</v>
      </c>
      <c r="J458" s="825">
        <v>10000</v>
      </c>
      <c r="K458" s="823">
        <f t="shared" si="53"/>
        <v>0</v>
      </c>
      <c r="L458" s="818"/>
    </row>
    <row r="459" spans="1:13" s="31" customFormat="1" ht="17.25" customHeight="1">
      <c r="A459" s="821" t="s">
        <v>455</v>
      </c>
      <c r="B459" s="980" t="s">
        <v>501</v>
      </c>
      <c r="C459" s="879">
        <f>VLOOKUP(B450,'CNKT '!$C$16:$Z$96,19,0)</f>
        <v>0</v>
      </c>
      <c r="D459" s="825">
        <v>20000</v>
      </c>
      <c r="E459" s="823">
        <f t="shared" si="52"/>
        <v>0</v>
      </c>
      <c r="F459" s="838"/>
      <c r="G459" s="821" t="s">
        <v>455</v>
      </c>
      <c r="H459" s="980" t="s">
        <v>501</v>
      </c>
      <c r="I459" s="879">
        <f>VLOOKUP(H450,'CNKT '!$C$16:$Z$96,19,0)</f>
        <v>0</v>
      </c>
      <c r="J459" s="825">
        <v>20000</v>
      </c>
      <c r="K459" s="823">
        <f t="shared" si="53"/>
        <v>0</v>
      </c>
      <c r="L459" s="818"/>
    </row>
    <row r="460" spans="1:13" s="31" customFormat="1" ht="17.25" customHeight="1">
      <c r="A460" s="821" t="s">
        <v>517</v>
      </c>
      <c r="B460" s="980" t="s">
        <v>519</v>
      </c>
      <c r="C460" s="879"/>
      <c r="D460" s="825"/>
      <c r="E460" s="823"/>
      <c r="F460" s="838"/>
      <c r="G460" s="821" t="s">
        <v>517</v>
      </c>
      <c r="H460" s="980" t="s">
        <v>519</v>
      </c>
      <c r="I460" s="879"/>
      <c r="J460" s="825"/>
      <c r="K460" s="823"/>
      <c r="L460" s="818"/>
    </row>
    <row r="461" spans="1:13" s="31" customFormat="1" ht="17.25" customHeight="1">
      <c r="A461" s="827" t="s">
        <v>81</v>
      </c>
      <c r="B461" s="981" t="s">
        <v>564</v>
      </c>
      <c r="C461" s="828"/>
      <c r="D461" s="829"/>
      <c r="E461" s="828"/>
      <c r="F461" s="838"/>
      <c r="G461" s="827" t="s">
        <v>81</v>
      </c>
      <c r="H461" s="981" t="s">
        <v>564</v>
      </c>
      <c r="I461" s="828"/>
      <c r="J461" s="829"/>
      <c r="K461" s="828"/>
      <c r="L461" s="818"/>
    </row>
    <row r="462" spans="1:13" s="31" customFormat="1" ht="17.25" customHeight="1">
      <c r="A462" s="830" t="s">
        <v>82</v>
      </c>
      <c r="B462" s="982" t="s">
        <v>565</v>
      </c>
      <c r="C462" s="828"/>
      <c r="D462" s="828"/>
      <c r="E462" s="828"/>
      <c r="F462" s="842"/>
      <c r="G462" s="830" t="s">
        <v>82</v>
      </c>
      <c r="H462" s="982" t="s">
        <v>565</v>
      </c>
      <c r="I462" s="828"/>
      <c r="J462" s="828"/>
      <c r="K462" s="828"/>
      <c r="L462" s="818"/>
    </row>
    <row r="463" spans="1:13" s="31" customFormat="1" ht="17.25" customHeight="1">
      <c r="A463" s="830" t="s">
        <v>83</v>
      </c>
      <c r="B463" s="983" t="s">
        <v>566</v>
      </c>
      <c r="C463" s="828"/>
      <c r="D463" s="828"/>
      <c r="E463" s="823">
        <f>SUM(E462)</f>
        <v>0</v>
      </c>
      <c r="F463" s="842"/>
      <c r="G463" s="830" t="s">
        <v>83</v>
      </c>
      <c r="H463" s="983" t="s">
        <v>566</v>
      </c>
      <c r="I463" s="828"/>
      <c r="J463" s="828"/>
      <c r="K463" s="823">
        <f>SUM(K462)</f>
        <v>0</v>
      </c>
      <c r="L463" s="818"/>
      <c r="M463" s="831">
        <f>E463+K463</f>
        <v>0</v>
      </c>
    </row>
    <row r="464" spans="1:13" s="31" customFormat="1" ht="17.25" customHeight="1">
      <c r="A464" s="832" t="s">
        <v>84</v>
      </c>
      <c r="B464" s="984" t="s">
        <v>438</v>
      </c>
      <c r="C464" s="833"/>
      <c r="D464" s="833"/>
      <c r="E464" s="833">
        <f>(E452+E453+E454+E455+E456+E457+E458+E459+E460)-E463</f>
        <v>4538071.4211179437</v>
      </c>
      <c r="F464" s="842"/>
      <c r="G464" s="832" t="s">
        <v>84</v>
      </c>
      <c r="H464" s="984" t="s">
        <v>438</v>
      </c>
      <c r="I464" s="833"/>
      <c r="J464" s="833"/>
      <c r="K464" s="833">
        <f>(K452+K453+K454+K455+K456+K457+K458+K459+K460)-K463</f>
        <v>2479021.1184919435</v>
      </c>
      <c r="L464" s="835">
        <f>E464+K464</f>
        <v>7017092.5396098867</v>
      </c>
    </row>
    <row r="465" spans="1:12" s="31" customFormat="1" ht="2.25" customHeight="1">
      <c r="A465" s="838"/>
      <c r="B465" s="844"/>
      <c r="C465" s="845"/>
      <c r="D465" s="845"/>
      <c r="E465" s="843"/>
      <c r="F465" s="842"/>
      <c r="G465" s="838"/>
      <c r="H465" s="844"/>
      <c r="I465" s="845"/>
      <c r="J465" s="843"/>
      <c r="K465" s="974"/>
      <c r="L465" s="818"/>
    </row>
    <row r="466" spans="1:12" s="31" customFormat="1" ht="5.25" customHeight="1">
      <c r="A466" s="853"/>
      <c r="B466" s="842"/>
      <c r="C466" s="975"/>
      <c r="D466" s="975"/>
      <c r="E466" s="838"/>
      <c r="F466" s="975"/>
      <c r="G466" s="853"/>
      <c r="H466" s="842"/>
      <c r="I466" s="975"/>
      <c r="J466" s="838"/>
      <c r="K466" s="974"/>
      <c r="L466" s="818"/>
    </row>
    <row r="467" spans="1:12" s="31" customFormat="1" ht="17.25" customHeight="1">
      <c r="A467" s="1615" t="str">
        <f>G433</f>
        <v>LƯƠNG THÁNG 01/2025</v>
      </c>
      <c r="B467" s="1616"/>
      <c r="C467" s="1616"/>
      <c r="D467" s="1616"/>
      <c r="E467" s="898">
        <v>55</v>
      </c>
      <c r="F467" s="838"/>
      <c r="G467" s="1615" t="str">
        <f>A467</f>
        <v>LƯƠNG THÁNG 01/2025</v>
      </c>
      <c r="H467" s="1616"/>
      <c r="I467" s="1616"/>
      <c r="J467" s="1617"/>
      <c r="K467" s="898">
        <v>56</v>
      </c>
      <c r="L467" s="818"/>
    </row>
    <row r="468" spans="1:12" s="31" customFormat="1" ht="17.25" customHeight="1">
      <c r="A468" s="837" t="s">
        <v>17</v>
      </c>
      <c r="B468" s="976" t="str">
        <f>'CNKT '!C70</f>
        <v>N. Khay Chăn</v>
      </c>
      <c r="C468" s="819"/>
      <c r="D468" s="973" t="s">
        <v>398</v>
      </c>
      <c r="E468" s="973" t="s">
        <v>20</v>
      </c>
      <c r="F468" s="838"/>
      <c r="G468" s="837" t="s">
        <v>17</v>
      </c>
      <c r="H468" s="976" t="str">
        <f>'CNKT '!C71</f>
        <v>T Dăn</v>
      </c>
      <c r="I468" s="819"/>
      <c r="J468" s="973" t="s">
        <v>398</v>
      </c>
      <c r="K468" s="973" t="s">
        <v>20</v>
      </c>
      <c r="L468" s="818"/>
    </row>
    <row r="469" spans="1:12" s="31" customFormat="1" ht="17.25" customHeight="1">
      <c r="A469" s="821" t="s">
        <v>399</v>
      </c>
      <c r="B469" s="978" t="s">
        <v>559</v>
      </c>
      <c r="C469" s="822" t="str">
        <f>VLOOKUP(B468,'BTH mủ tạp'!$C$17:$AL$94,36,0)</f>
        <v>A</v>
      </c>
      <c r="D469" s="823"/>
      <c r="E469" s="823"/>
      <c r="F469" s="838"/>
      <c r="G469" s="821" t="s">
        <v>399</v>
      </c>
      <c r="H469" s="978" t="s">
        <v>559</v>
      </c>
      <c r="I469" s="822" t="str">
        <f>VLOOKUP(H468,'BTH mủ tạp'!$C$17:$AL$94,36,0)</f>
        <v>B</v>
      </c>
      <c r="J469" s="823"/>
      <c r="K469" s="823"/>
      <c r="L469" s="818"/>
    </row>
    <row r="470" spans="1:12" s="31" customFormat="1" ht="17.25" customHeight="1">
      <c r="A470" s="821" t="s">
        <v>79</v>
      </c>
      <c r="B470" s="979" t="s">
        <v>432</v>
      </c>
      <c r="C470" s="824">
        <f>VLOOKUP(B468,'CNKT '!$C$16:$Z$96,3,0)</f>
        <v>0</v>
      </c>
      <c r="D470" s="825">
        <v>25000</v>
      </c>
      <c r="E470" s="823">
        <f t="shared" ref="E470:E477" si="54">C470*D470</f>
        <v>0</v>
      </c>
      <c r="F470" s="838"/>
      <c r="G470" s="821" t="s">
        <v>79</v>
      </c>
      <c r="H470" s="979" t="s">
        <v>432</v>
      </c>
      <c r="I470" s="824">
        <f>VLOOKUP(H468,'CNKT '!$C$16:$Z$96,3,0)</f>
        <v>0</v>
      </c>
      <c r="J470" s="825">
        <v>25000</v>
      </c>
      <c r="K470" s="823">
        <f t="shared" ref="K470:K477" si="55">I470*J470</f>
        <v>0</v>
      </c>
      <c r="L470" s="818"/>
    </row>
    <row r="471" spans="1:12" s="31" customFormat="1" ht="17.25" customHeight="1">
      <c r="A471" s="821" t="s">
        <v>310</v>
      </c>
      <c r="B471" s="980" t="s">
        <v>560</v>
      </c>
      <c r="C471" s="879">
        <f>VLOOKUP(B468,'CNKT '!$C$16:$Z$96,11,0)</f>
        <v>27</v>
      </c>
      <c r="D471" s="826">
        <f>46.1*$B$2</f>
        <v>30805.403000000002</v>
      </c>
      <c r="E471" s="823">
        <f t="shared" si="54"/>
        <v>831745.88100000005</v>
      </c>
      <c r="F471" s="838"/>
      <c r="G471" s="821" t="s">
        <v>310</v>
      </c>
      <c r="H471" s="980" t="s">
        <v>560</v>
      </c>
      <c r="I471" s="879">
        <f>VLOOKUP(H468,'CNKT '!$C$16:$Z$96,11,0)</f>
        <v>26</v>
      </c>
      <c r="J471" s="826">
        <f>46.1*$B$2</f>
        <v>30805.403000000002</v>
      </c>
      <c r="K471" s="823">
        <f t="shared" si="55"/>
        <v>800940.478</v>
      </c>
      <c r="L471" s="818"/>
    </row>
    <row r="472" spans="1:12" s="31" customFormat="1" ht="17.25" customHeight="1">
      <c r="A472" s="821" t="s">
        <v>401</v>
      </c>
      <c r="B472" s="980" t="s">
        <v>561</v>
      </c>
      <c r="C472" s="879">
        <f>VLOOKUP(B468,'CNKT '!$C$16:$Z$96,12,0)</f>
        <v>4</v>
      </c>
      <c r="D472" s="825">
        <f>76.9*$B$2</f>
        <v>51386.887000000002</v>
      </c>
      <c r="E472" s="823">
        <f t="shared" si="54"/>
        <v>205547.54800000001</v>
      </c>
      <c r="F472" s="842"/>
      <c r="G472" s="821" t="s">
        <v>401</v>
      </c>
      <c r="H472" s="980" t="s">
        <v>561</v>
      </c>
      <c r="I472" s="879">
        <f>VLOOKUP(H468,'CNKT '!$C$16:$Z$96,12,0)</f>
        <v>3</v>
      </c>
      <c r="J472" s="825">
        <f>76.9*$B$2</f>
        <v>51386.887000000002</v>
      </c>
      <c r="K472" s="823">
        <f t="shared" si="55"/>
        <v>154160.66100000002</v>
      </c>
      <c r="L472" s="818"/>
    </row>
    <row r="473" spans="1:12" s="31" customFormat="1" ht="17.25" customHeight="1">
      <c r="A473" s="821" t="s">
        <v>80</v>
      </c>
      <c r="B473" s="980" t="s">
        <v>562</v>
      </c>
      <c r="C473" s="879">
        <f>VLOOKUP(B468,'CNKT '!$C$16:$Z$96,8,0)</f>
        <v>1017.2095573449822</v>
      </c>
      <c r="D473" s="825">
        <f>IF(C469="A",6.1,IF(C469="B",5.8,IF(C469="C",5.5,IF(C469="C.",5.5,IF(C469="D",5.2)))))*$B$2</f>
        <v>4076.203</v>
      </c>
      <c r="E473" s="823">
        <f t="shared" si="54"/>
        <v>4146352.6492782882</v>
      </c>
      <c r="F473" s="975"/>
      <c r="G473" s="821" t="s">
        <v>80</v>
      </c>
      <c r="H473" s="980" t="s">
        <v>562</v>
      </c>
      <c r="I473" s="879">
        <f>VLOOKUP(H468,'CNKT '!$C$16:$Z$96,8,0)</f>
        <v>722.47039231922759</v>
      </c>
      <c r="J473" s="825">
        <f>IF(I469="A",6.1,IF(I469="B",5.8,IF(I469="C",5.5,IF(I469="C.",5.5,IF(I469="D",5.2)))))*$B$2</f>
        <v>3875.7339999999999</v>
      </c>
      <c r="K473" s="823">
        <f t="shared" si="55"/>
        <v>2800103.0635049692</v>
      </c>
      <c r="L473" s="818"/>
    </row>
    <row r="474" spans="1:12" s="31" customFormat="1" ht="17.25" customHeight="1">
      <c r="A474" s="821" t="s">
        <v>495</v>
      </c>
      <c r="B474" s="980" t="s">
        <v>563</v>
      </c>
      <c r="C474" s="879">
        <f>VLOOKUP(B468,'CNKT '!$C$16:$Z$96,15,0)</f>
        <v>0</v>
      </c>
      <c r="D474" s="826">
        <f>92.2*$B$2</f>
        <v>61610.806000000004</v>
      </c>
      <c r="E474" s="823">
        <f t="shared" si="54"/>
        <v>0</v>
      </c>
      <c r="F474" s="975"/>
      <c r="G474" s="821" t="s">
        <v>495</v>
      </c>
      <c r="H474" s="980" t="s">
        <v>563</v>
      </c>
      <c r="I474" s="879">
        <f>VLOOKUP(H468,'CNKT '!$C$16:$Z$96,15,0)</f>
        <v>0</v>
      </c>
      <c r="J474" s="826">
        <f>92.2*$B$2</f>
        <v>61610.806000000004</v>
      </c>
      <c r="K474" s="823">
        <f t="shared" si="55"/>
        <v>0</v>
      </c>
      <c r="L474" s="818"/>
    </row>
    <row r="475" spans="1:12" s="31" customFormat="1" ht="17.25" customHeight="1">
      <c r="A475" s="821" t="s">
        <v>496</v>
      </c>
      <c r="B475" s="980" t="s">
        <v>500</v>
      </c>
      <c r="C475" s="879">
        <f>VLOOKUP(B468,'CNKT '!$C$16:$Z$96,16,0)</f>
        <v>0</v>
      </c>
      <c r="D475" s="825">
        <f>153.8*$B$2</f>
        <v>102773.774</v>
      </c>
      <c r="E475" s="823">
        <f t="shared" si="54"/>
        <v>0</v>
      </c>
      <c r="F475" s="975"/>
      <c r="G475" s="821" t="s">
        <v>496</v>
      </c>
      <c r="H475" s="980" t="s">
        <v>500</v>
      </c>
      <c r="I475" s="879">
        <f>VLOOKUP(H468,'CNKT '!$C$16:$Z$96,16,0)</f>
        <v>0</v>
      </c>
      <c r="J475" s="825">
        <f>153.8*$B$2</f>
        <v>102773.774</v>
      </c>
      <c r="K475" s="823">
        <f t="shared" si="55"/>
        <v>0</v>
      </c>
      <c r="L475" s="818"/>
    </row>
    <row r="476" spans="1:12" s="31" customFormat="1" ht="17.25" customHeight="1">
      <c r="A476" s="821" t="s">
        <v>455</v>
      </c>
      <c r="B476" s="980" t="s">
        <v>501</v>
      </c>
      <c r="C476" s="879">
        <f>VLOOKUP(B468,'CNKT '!$C$16:$Z$96,18,0)</f>
        <v>0</v>
      </c>
      <c r="D476" s="825">
        <v>10000</v>
      </c>
      <c r="E476" s="823">
        <f t="shared" si="54"/>
        <v>0</v>
      </c>
      <c r="F476" s="975"/>
      <c r="G476" s="821" t="s">
        <v>455</v>
      </c>
      <c r="H476" s="980" t="s">
        <v>501</v>
      </c>
      <c r="I476" s="879">
        <f>VLOOKUP(H468,'CNKT '!$C$16:$Z$96,18,0)</f>
        <v>0</v>
      </c>
      <c r="J476" s="825">
        <v>10000</v>
      </c>
      <c r="K476" s="823">
        <f t="shared" si="55"/>
        <v>0</v>
      </c>
      <c r="L476" s="818"/>
    </row>
    <row r="477" spans="1:12" s="31" customFormat="1" ht="17.25" customHeight="1">
      <c r="A477" s="821" t="s">
        <v>455</v>
      </c>
      <c r="B477" s="980" t="s">
        <v>501</v>
      </c>
      <c r="C477" s="879">
        <f>VLOOKUP(B468,'CNKT '!$C$16:$Z$96,19,0)</f>
        <v>0</v>
      </c>
      <c r="D477" s="825">
        <v>20000</v>
      </c>
      <c r="E477" s="823">
        <f t="shared" si="54"/>
        <v>0</v>
      </c>
      <c r="F477" s="975"/>
      <c r="G477" s="821" t="s">
        <v>455</v>
      </c>
      <c r="H477" s="980" t="s">
        <v>501</v>
      </c>
      <c r="I477" s="879">
        <f>VLOOKUP(H468,'CNKT '!$C$16:$Z$96,19,0)</f>
        <v>0</v>
      </c>
      <c r="J477" s="825">
        <v>20000</v>
      </c>
      <c r="K477" s="823">
        <f t="shared" si="55"/>
        <v>0</v>
      </c>
      <c r="L477" s="818"/>
    </row>
    <row r="478" spans="1:12" s="31" customFormat="1" ht="17.25" customHeight="1">
      <c r="A478" s="821" t="s">
        <v>517</v>
      </c>
      <c r="B478" s="980" t="s">
        <v>519</v>
      </c>
      <c r="C478" s="879"/>
      <c r="D478" s="825"/>
      <c r="E478" s="823"/>
      <c r="F478" s="975"/>
      <c r="G478" s="821" t="s">
        <v>517</v>
      </c>
      <c r="H478" s="980" t="s">
        <v>519</v>
      </c>
      <c r="I478" s="879"/>
      <c r="J478" s="825"/>
      <c r="K478" s="823"/>
      <c r="L478" s="818"/>
    </row>
    <row r="479" spans="1:12" s="31" customFormat="1" ht="17.25" customHeight="1">
      <c r="A479" s="827" t="s">
        <v>81</v>
      </c>
      <c r="B479" s="981" t="s">
        <v>564</v>
      </c>
      <c r="C479" s="828"/>
      <c r="D479" s="829"/>
      <c r="E479" s="828"/>
      <c r="F479" s="843"/>
      <c r="G479" s="827" t="s">
        <v>81</v>
      </c>
      <c r="H479" s="981" t="s">
        <v>564</v>
      </c>
      <c r="I479" s="828"/>
      <c r="J479" s="829"/>
      <c r="K479" s="828"/>
      <c r="L479" s="818"/>
    </row>
    <row r="480" spans="1:12" s="31" customFormat="1" ht="17.25" customHeight="1">
      <c r="A480" s="830" t="s">
        <v>82</v>
      </c>
      <c r="B480" s="982" t="s">
        <v>565</v>
      </c>
      <c r="C480" s="828"/>
      <c r="D480" s="828"/>
      <c r="E480" s="828"/>
      <c r="F480" s="843"/>
      <c r="G480" s="830" t="s">
        <v>82</v>
      </c>
      <c r="H480" s="982" t="s">
        <v>565</v>
      </c>
      <c r="I480" s="828"/>
      <c r="J480" s="828"/>
      <c r="K480" s="828"/>
      <c r="L480" s="818"/>
    </row>
    <row r="481" spans="1:14" s="31" customFormat="1" ht="17.25" customHeight="1">
      <c r="A481" s="830" t="s">
        <v>83</v>
      </c>
      <c r="B481" s="983" t="s">
        <v>566</v>
      </c>
      <c r="C481" s="828"/>
      <c r="D481" s="828"/>
      <c r="E481" s="823">
        <f>SUM(E480)</f>
        <v>0</v>
      </c>
      <c r="F481" s="843"/>
      <c r="G481" s="830" t="s">
        <v>83</v>
      </c>
      <c r="H481" s="983" t="s">
        <v>566</v>
      </c>
      <c r="I481" s="828"/>
      <c r="J481" s="828"/>
      <c r="K481" s="823">
        <f>SUM(K480)</f>
        <v>0</v>
      </c>
      <c r="L481" s="818"/>
      <c r="M481" s="831">
        <f>E481+K481</f>
        <v>0</v>
      </c>
    </row>
    <row r="482" spans="1:14" s="31" customFormat="1" ht="17.25" customHeight="1">
      <c r="A482" s="832" t="s">
        <v>84</v>
      </c>
      <c r="B482" s="984" t="s">
        <v>438</v>
      </c>
      <c r="C482" s="833"/>
      <c r="D482" s="833"/>
      <c r="E482" s="833">
        <f>(E470+E471+E472+E473+E474+E475+E476+E477+E478)-E481</f>
        <v>5183646.0782782882</v>
      </c>
      <c r="F482" s="843"/>
      <c r="G482" s="832" t="s">
        <v>84</v>
      </c>
      <c r="H482" s="984" t="s">
        <v>438</v>
      </c>
      <c r="I482" s="833"/>
      <c r="J482" s="833"/>
      <c r="K482" s="833">
        <f>(K470+K471+K472+K473+K474+K475+K476+K477+K478)-K481</f>
        <v>3755204.2025049692</v>
      </c>
      <c r="L482" s="835">
        <f>E482+K482</f>
        <v>8938850.2807832584</v>
      </c>
    </row>
    <row r="483" spans="1:14" s="31" customFormat="1" ht="17.25" customHeight="1">
      <c r="A483" s="838"/>
      <c r="B483" s="844"/>
      <c r="C483" s="845"/>
      <c r="D483" s="845"/>
      <c r="E483" s="843"/>
      <c r="F483" s="843"/>
      <c r="G483" s="838"/>
      <c r="H483" s="844"/>
      <c r="I483" s="845"/>
      <c r="J483" s="843"/>
      <c r="K483" s="855"/>
      <c r="L483" s="818"/>
    </row>
    <row r="484" spans="1:14" s="31" customFormat="1" ht="17.25" customHeight="1">
      <c r="A484" s="853"/>
      <c r="B484" s="842"/>
      <c r="C484" s="975"/>
      <c r="D484" s="975"/>
      <c r="E484" s="838"/>
      <c r="F484" s="838"/>
      <c r="G484" s="853"/>
      <c r="H484" s="842"/>
      <c r="I484" s="975"/>
      <c r="J484" s="838"/>
      <c r="K484" s="846"/>
      <c r="L484" s="818"/>
    </row>
    <row r="485" spans="1:14" s="31" customFormat="1" ht="17.25" customHeight="1">
      <c r="A485" s="1615" t="str">
        <f>G467</f>
        <v>LƯƠNG THÁNG 01/2025</v>
      </c>
      <c r="B485" s="1616"/>
      <c r="C485" s="1616"/>
      <c r="D485" s="1616"/>
      <c r="E485" s="898">
        <v>57</v>
      </c>
      <c r="F485" s="838"/>
      <c r="G485" s="1615" t="str">
        <f>A485</f>
        <v>LƯƠNG THÁNG 01/2025</v>
      </c>
      <c r="H485" s="1616"/>
      <c r="I485" s="1616"/>
      <c r="J485" s="1617"/>
      <c r="K485" s="898">
        <v>58</v>
      </c>
      <c r="L485" s="818"/>
    </row>
    <row r="486" spans="1:14" s="31" customFormat="1" ht="17.25" customHeight="1">
      <c r="A486" s="837" t="s">
        <v>17</v>
      </c>
      <c r="B486" s="976" t="str">
        <f>'CNKT '!C72</f>
        <v>T. Xợt</v>
      </c>
      <c r="C486" s="819"/>
      <c r="D486" s="973" t="s">
        <v>398</v>
      </c>
      <c r="E486" s="973" t="s">
        <v>20</v>
      </c>
      <c r="F486" s="842"/>
      <c r="G486" s="837" t="s">
        <v>17</v>
      </c>
      <c r="H486" s="976" t="str">
        <f>'CNKT '!C73</f>
        <v>N. Phết 2</v>
      </c>
      <c r="I486" s="819"/>
      <c r="J486" s="973" t="s">
        <v>398</v>
      </c>
      <c r="K486" s="973" t="s">
        <v>20</v>
      </c>
      <c r="L486" s="818"/>
    </row>
    <row r="487" spans="1:14" s="31" customFormat="1" ht="17.25" customHeight="1">
      <c r="A487" s="821" t="s">
        <v>399</v>
      </c>
      <c r="B487" s="978" t="s">
        <v>559</v>
      </c>
      <c r="C487" s="822" t="str">
        <f>VLOOKUP(B486,'BTH mủ tạp'!$C$17:$AL$94,36,0)</f>
        <v>A</v>
      </c>
      <c r="D487" s="823"/>
      <c r="E487" s="823"/>
      <c r="F487" s="842"/>
      <c r="G487" s="821" t="s">
        <v>399</v>
      </c>
      <c r="H487" s="978" t="s">
        <v>559</v>
      </c>
      <c r="I487" s="822" t="str">
        <f>VLOOKUP(H486,'BTH mủ tạp'!$C$17:$AL$94,36,0)</f>
        <v>A</v>
      </c>
      <c r="J487" s="823"/>
      <c r="K487" s="823"/>
      <c r="L487" s="818"/>
    </row>
    <row r="488" spans="1:14" s="31" customFormat="1" ht="17.25" customHeight="1">
      <c r="A488" s="821" t="s">
        <v>79</v>
      </c>
      <c r="B488" s="979" t="s">
        <v>432</v>
      </c>
      <c r="C488" s="824">
        <f>VLOOKUP(B486,'CNKT '!$C$16:$Z$96,3,0)</f>
        <v>0</v>
      </c>
      <c r="D488" s="825">
        <v>25000</v>
      </c>
      <c r="E488" s="823">
        <f t="shared" ref="E488:E495" si="56">C488*D488</f>
        <v>0</v>
      </c>
      <c r="F488" s="975"/>
      <c r="G488" s="821" t="s">
        <v>79</v>
      </c>
      <c r="H488" s="979" t="s">
        <v>432</v>
      </c>
      <c r="I488" s="824">
        <f>VLOOKUP(H486,'CNKT '!$C$16:$Z$96,3,0)</f>
        <v>0</v>
      </c>
      <c r="J488" s="825">
        <v>25000</v>
      </c>
      <c r="K488" s="823">
        <f t="shared" ref="K488:K495" si="57">I488*J488</f>
        <v>0</v>
      </c>
      <c r="L488" s="818"/>
    </row>
    <row r="489" spans="1:14" s="31" customFormat="1" ht="17.25" customHeight="1">
      <c r="A489" s="821" t="s">
        <v>310</v>
      </c>
      <c r="B489" s="980" t="s">
        <v>560</v>
      </c>
      <c r="C489" s="879">
        <f>VLOOKUP(B486,'CNKT '!$C$16:$Z$96,11,0)</f>
        <v>26</v>
      </c>
      <c r="D489" s="826">
        <f>46.1*$B$2</f>
        <v>30805.403000000002</v>
      </c>
      <c r="E489" s="823">
        <f t="shared" si="56"/>
        <v>800940.478</v>
      </c>
      <c r="F489" s="843"/>
      <c r="G489" s="821" t="s">
        <v>310</v>
      </c>
      <c r="H489" s="980" t="s">
        <v>560</v>
      </c>
      <c r="I489" s="879">
        <f>VLOOKUP(H486,'CNKT '!$C$16:$Z$96,11,0)</f>
        <v>26</v>
      </c>
      <c r="J489" s="826">
        <f>46.1*$B$2</f>
        <v>30805.403000000002</v>
      </c>
      <c r="K489" s="823">
        <f t="shared" si="57"/>
        <v>800940.478</v>
      </c>
      <c r="L489" s="818"/>
    </row>
    <row r="490" spans="1:14" s="31" customFormat="1" ht="17.25" customHeight="1">
      <c r="A490" s="821" t="s">
        <v>401</v>
      </c>
      <c r="B490" s="980" t="s">
        <v>561</v>
      </c>
      <c r="C490" s="879">
        <f>VLOOKUP(B486,'CNKT '!$C$16:$Z$96,12,0)</f>
        <v>4</v>
      </c>
      <c r="D490" s="825">
        <f>76.9*$B$2</f>
        <v>51386.887000000002</v>
      </c>
      <c r="E490" s="823">
        <f t="shared" si="56"/>
        <v>205547.54800000001</v>
      </c>
      <c r="F490" s="843"/>
      <c r="G490" s="821" t="s">
        <v>401</v>
      </c>
      <c r="H490" s="980" t="s">
        <v>561</v>
      </c>
      <c r="I490" s="879">
        <f>VLOOKUP(H486,'CNKT '!$C$16:$Z$96,12,0)</f>
        <v>4</v>
      </c>
      <c r="J490" s="825">
        <f>76.9*$B$2</f>
        <v>51386.887000000002</v>
      </c>
      <c r="K490" s="823">
        <f t="shared" si="57"/>
        <v>205547.54800000001</v>
      </c>
      <c r="L490" s="818"/>
    </row>
    <row r="491" spans="1:14" s="31" customFormat="1" ht="17.25" customHeight="1">
      <c r="A491" s="821" t="s">
        <v>80</v>
      </c>
      <c r="B491" s="980" t="s">
        <v>562</v>
      </c>
      <c r="C491" s="879">
        <f>VLOOKUP(B486,'CNKT '!$C$16:$Z$96,8,0)</f>
        <v>849.30066019616379</v>
      </c>
      <c r="D491" s="825">
        <f>IF(C487="A",6.1,IF(C487="B",5.8,IF(C487="C",5.5,IF(C487="C.",5.5,IF(C487="D",5.2)))))*$B$2</f>
        <v>4076.203</v>
      </c>
      <c r="E491" s="823">
        <f t="shared" si="56"/>
        <v>3461921.8989935834</v>
      </c>
      <c r="F491" s="855"/>
      <c r="G491" s="821" t="s">
        <v>80</v>
      </c>
      <c r="H491" s="980" t="s">
        <v>562</v>
      </c>
      <c r="I491" s="879">
        <f>VLOOKUP(H486,'CNKT '!$C$16:$Z$96,8,0)</f>
        <v>741.46925835747311</v>
      </c>
      <c r="J491" s="825">
        <f>IF(I487="A",6.1,IF(I487="B",5.8,IF(I487="C",5.5,IF(I487="C.",5.5,IF(I487="D",5.2)))))*$B$2</f>
        <v>4076.203</v>
      </c>
      <c r="K491" s="823">
        <f t="shared" si="57"/>
        <v>3022379.2153245071</v>
      </c>
      <c r="L491" s="856"/>
      <c r="M491" s="784"/>
      <c r="N491" s="857"/>
    </row>
    <row r="492" spans="1:14" s="31" customFormat="1" ht="17.25" customHeight="1">
      <c r="A492" s="821" t="s">
        <v>495</v>
      </c>
      <c r="B492" s="980" t="s">
        <v>563</v>
      </c>
      <c r="C492" s="879">
        <f>VLOOKUP(B486,'CNKT '!$C$16:$Z$96,15,0)</f>
        <v>0</v>
      </c>
      <c r="D492" s="826">
        <f>92.2*$B$2</f>
        <v>61610.806000000004</v>
      </c>
      <c r="E492" s="823">
        <f t="shared" si="56"/>
        <v>0</v>
      </c>
      <c r="F492" s="855"/>
      <c r="G492" s="821" t="s">
        <v>495</v>
      </c>
      <c r="H492" s="980" t="s">
        <v>563</v>
      </c>
      <c r="I492" s="879">
        <f>VLOOKUP(H486,'CNKT '!$C$16:$Z$96,15,0)</f>
        <v>0</v>
      </c>
      <c r="J492" s="826">
        <f>92.2*$B$2</f>
        <v>61610.806000000004</v>
      </c>
      <c r="K492" s="823">
        <f t="shared" si="57"/>
        <v>0</v>
      </c>
      <c r="L492" s="856"/>
      <c r="M492" s="784"/>
      <c r="N492" s="857"/>
    </row>
    <row r="493" spans="1:14" s="31" customFormat="1" ht="17.25" customHeight="1">
      <c r="A493" s="821" t="s">
        <v>496</v>
      </c>
      <c r="B493" s="980" t="s">
        <v>500</v>
      </c>
      <c r="C493" s="879">
        <f>VLOOKUP(B486,'CNKT '!$C$16:$Z$96,16,0)</f>
        <v>0</v>
      </c>
      <c r="D493" s="825">
        <f>153.8*$B$2</f>
        <v>102773.774</v>
      </c>
      <c r="E493" s="823">
        <f t="shared" si="56"/>
        <v>0</v>
      </c>
      <c r="F493" s="855"/>
      <c r="G493" s="821" t="s">
        <v>496</v>
      </c>
      <c r="H493" s="980" t="s">
        <v>500</v>
      </c>
      <c r="I493" s="879">
        <f>VLOOKUP(H486,'CNKT '!$C$16:$Z$96,16,0)</f>
        <v>0</v>
      </c>
      <c r="J493" s="825">
        <f>153.8*$B$2</f>
        <v>102773.774</v>
      </c>
      <c r="K493" s="823">
        <f t="shared" si="57"/>
        <v>0</v>
      </c>
      <c r="L493" s="856"/>
      <c r="M493" s="784"/>
      <c r="N493" s="857"/>
    </row>
    <row r="494" spans="1:14" s="31" customFormat="1" ht="17.25" customHeight="1">
      <c r="A494" s="821" t="s">
        <v>455</v>
      </c>
      <c r="B494" s="980" t="s">
        <v>501</v>
      </c>
      <c r="C494" s="879">
        <f>VLOOKUP(B486,'CNKT '!$C$16:$Z$96,18,0)</f>
        <v>0</v>
      </c>
      <c r="D494" s="825">
        <v>10000</v>
      </c>
      <c r="E494" s="823">
        <f t="shared" si="56"/>
        <v>0</v>
      </c>
      <c r="F494" s="855"/>
      <c r="G494" s="821" t="s">
        <v>455</v>
      </c>
      <c r="H494" s="980" t="s">
        <v>501</v>
      </c>
      <c r="I494" s="879">
        <f>VLOOKUP(H486,'CNKT '!$C$16:$Z$96,18,0)</f>
        <v>0</v>
      </c>
      <c r="J494" s="825">
        <v>10000</v>
      </c>
      <c r="K494" s="823">
        <f t="shared" si="57"/>
        <v>0</v>
      </c>
      <c r="L494" s="856"/>
      <c r="M494" s="784"/>
      <c r="N494" s="857"/>
    </row>
    <row r="495" spans="1:14" s="31" customFormat="1" ht="17.25" customHeight="1">
      <c r="A495" s="821" t="s">
        <v>455</v>
      </c>
      <c r="B495" s="980" t="s">
        <v>501</v>
      </c>
      <c r="C495" s="879">
        <f>VLOOKUP(B486,'CNKT '!$C$16:$Z$96,19,0)</f>
        <v>0</v>
      </c>
      <c r="D495" s="825">
        <v>20000</v>
      </c>
      <c r="E495" s="823">
        <f t="shared" si="56"/>
        <v>0</v>
      </c>
      <c r="F495" s="855"/>
      <c r="G495" s="821" t="s">
        <v>455</v>
      </c>
      <c r="H495" s="980" t="s">
        <v>501</v>
      </c>
      <c r="I495" s="879">
        <f>VLOOKUP(H486,'CNKT '!$C$16:$Z$96,19,0)</f>
        <v>0</v>
      </c>
      <c r="J495" s="825">
        <v>20000</v>
      </c>
      <c r="K495" s="823">
        <f t="shared" si="57"/>
        <v>0</v>
      </c>
      <c r="L495" s="856"/>
      <c r="M495" s="784"/>
      <c r="N495" s="857"/>
    </row>
    <row r="496" spans="1:14" s="31" customFormat="1" ht="17.25" customHeight="1">
      <c r="A496" s="821" t="s">
        <v>517</v>
      </c>
      <c r="B496" s="980" t="s">
        <v>519</v>
      </c>
      <c r="C496" s="879"/>
      <c r="D496" s="825"/>
      <c r="E496" s="823"/>
      <c r="F496" s="855"/>
      <c r="G496" s="821" t="s">
        <v>517</v>
      </c>
      <c r="H496" s="980" t="s">
        <v>519</v>
      </c>
      <c r="I496" s="879"/>
      <c r="J496" s="825"/>
      <c r="K496" s="823"/>
      <c r="L496" s="856"/>
      <c r="M496" s="784"/>
      <c r="N496" s="857"/>
    </row>
    <row r="497" spans="1:14" s="31" customFormat="1" ht="17.25" customHeight="1">
      <c r="A497" s="827" t="s">
        <v>81</v>
      </c>
      <c r="B497" s="981" t="s">
        <v>564</v>
      </c>
      <c r="C497" s="828"/>
      <c r="D497" s="829"/>
      <c r="E497" s="828"/>
      <c r="F497" s="855"/>
      <c r="G497" s="827" t="s">
        <v>81</v>
      </c>
      <c r="H497" s="981" t="s">
        <v>564</v>
      </c>
      <c r="I497" s="828"/>
      <c r="J497" s="829"/>
      <c r="K497" s="828"/>
      <c r="L497" s="856"/>
      <c r="M497" s="784"/>
      <c r="N497" s="857"/>
    </row>
    <row r="498" spans="1:14" s="31" customFormat="1" ht="17.25" customHeight="1">
      <c r="A498" s="830" t="s">
        <v>82</v>
      </c>
      <c r="B498" s="982" t="s">
        <v>565</v>
      </c>
      <c r="C498" s="828"/>
      <c r="D498" s="828"/>
      <c r="E498" s="828"/>
      <c r="F498" s="855"/>
      <c r="G498" s="830" t="s">
        <v>82</v>
      </c>
      <c r="H498" s="982" t="s">
        <v>565</v>
      </c>
      <c r="I498" s="828"/>
      <c r="J498" s="828"/>
      <c r="K498" s="828"/>
      <c r="L498" s="856"/>
      <c r="M498" s="784"/>
      <c r="N498" s="857"/>
    </row>
    <row r="499" spans="1:14" s="31" customFormat="1" ht="17.25" customHeight="1">
      <c r="A499" s="830" t="s">
        <v>83</v>
      </c>
      <c r="B499" s="983" t="s">
        <v>566</v>
      </c>
      <c r="C499" s="828"/>
      <c r="D499" s="828"/>
      <c r="E499" s="823">
        <f>SUM(E498)</f>
        <v>0</v>
      </c>
      <c r="F499" s="855"/>
      <c r="G499" s="830" t="s">
        <v>83</v>
      </c>
      <c r="H499" s="983" t="s">
        <v>566</v>
      </c>
      <c r="I499" s="828"/>
      <c r="J499" s="828"/>
      <c r="K499" s="823">
        <f>SUM(K498)</f>
        <v>0</v>
      </c>
      <c r="L499" s="856"/>
      <c r="M499" s="831">
        <f>E499+K499</f>
        <v>0</v>
      </c>
      <c r="N499" s="857"/>
    </row>
    <row r="500" spans="1:14" s="31" customFormat="1" ht="17.25" customHeight="1">
      <c r="A500" s="832" t="s">
        <v>84</v>
      </c>
      <c r="B500" s="984" t="s">
        <v>438</v>
      </c>
      <c r="C500" s="833"/>
      <c r="D500" s="833"/>
      <c r="E500" s="833">
        <f>(E488+E489+E490+E491+E492+E493+E494+E495+E496)-E499</f>
        <v>4468409.9249935839</v>
      </c>
      <c r="F500" s="855"/>
      <c r="G500" s="832" t="s">
        <v>84</v>
      </c>
      <c r="H500" s="984" t="s">
        <v>438</v>
      </c>
      <c r="I500" s="833"/>
      <c r="J500" s="833"/>
      <c r="K500" s="833">
        <f>(K488+K489+K490+K491+K492+K493+K494+K495+K496)-K499</f>
        <v>4028867.2413245072</v>
      </c>
      <c r="L500" s="835">
        <f>E500+K500</f>
        <v>8497277.1663180906</v>
      </c>
      <c r="M500" s="784"/>
      <c r="N500" s="857"/>
    </row>
    <row r="501" spans="1:14" s="31" customFormat="1" ht="17.25" customHeight="1">
      <c r="A501" s="838"/>
      <c r="B501" s="844"/>
      <c r="C501" s="845"/>
      <c r="D501" s="845"/>
      <c r="E501" s="843"/>
      <c r="F501" s="855"/>
      <c r="G501" s="838"/>
      <c r="H501" s="844"/>
      <c r="I501" s="845"/>
      <c r="J501" s="843"/>
      <c r="K501" s="846"/>
      <c r="L501" s="856"/>
      <c r="M501" s="784"/>
      <c r="N501" s="857"/>
    </row>
    <row r="502" spans="1:14" s="31" customFormat="1" ht="17.25" customHeight="1">
      <c r="A502" s="1615" t="str">
        <f>G485</f>
        <v>LƯƠNG THÁNG 01/2025</v>
      </c>
      <c r="B502" s="1616"/>
      <c r="C502" s="1616"/>
      <c r="D502" s="1616"/>
      <c r="E502" s="898">
        <v>59</v>
      </c>
      <c r="F502" s="855"/>
      <c r="G502" s="1615" t="str">
        <f>A502</f>
        <v>LƯƠNG THÁNG 01/2025</v>
      </c>
      <c r="H502" s="1616"/>
      <c r="I502" s="1616"/>
      <c r="J502" s="1617"/>
      <c r="K502" s="898">
        <v>60</v>
      </c>
      <c r="L502" s="856"/>
      <c r="M502" s="784"/>
      <c r="N502" s="857"/>
    </row>
    <row r="503" spans="1:14" s="31" customFormat="1" ht="17.25" customHeight="1">
      <c r="A503" s="837" t="s">
        <v>17</v>
      </c>
      <c r="B503" s="976" t="str">
        <f>'CNKT '!C74</f>
        <v>T. Cạp</v>
      </c>
      <c r="C503" s="819"/>
      <c r="D503" s="973" t="s">
        <v>398</v>
      </c>
      <c r="E503" s="973" t="s">
        <v>20</v>
      </c>
      <c r="F503" s="855"/>
      <c r="G503" s="837" t="s">
        <v>17</v>
      </c>
      <c r="H503" s="976" t="str">
        <f>'CNKT '!C75</f>
        <v>T. Toi</v>
      </c>
      <c r="I503" s="819"/>
      <c r="J503" s="973" t="s">
        <v>398</v>
      </c>
      <c r="K503" s="973" t="s">
        <v>20</v>
      </c>
      <c r="L503" s="856"/>
      <c r="M503" s="784"/>
      <c r="N503" s="857"/>
    </row>
    <row r="504" spans="1:14" s="31" customFormat="1" ht="17.25" customHeight="1">
      <c r="A504" s="821" t="s">
        <v>399</v>
      </c>
      <c r="B504" s="978" t="s">
        <v>559</v>
      </c>
      <c r="C504" s="822" t="str">
        <f>VLOOKUP(B503,'BTH mủ tạp'!$C$17:$AL$94,36,0)</f>
        <v>B</v>
      </c>
      <c r="D504" s="823"/>
      <c r="E504" s="823"/>
      <c r="F504" s="855"/>
      <c r="G504" s="821" t="s">
        <v>399</v>
      </c>
      <c r="H504" s="978" t="s">
        <v>559</v>
      </c>
      <c r="I504" s="822" t="str">
        <f>VLOOKUP(H503,'BTH mủ tạp'!$C$17:$AL$94,36,0)</f>
        <v>A</v>
      </c>
      <c r="J504" s="823"/>
      <c r="K504" s="823"/>
      <c r="L504" s="856"/>
      <c r="M504" s="784"/>
      <c r="N504" s="857"/>
    </row>
    <row r="505" spans="1:14" s="31" customFormat="1" ht="17.25" customHeight="1">
      <c r="A505" s="821" t="s">
        <v>79</v>
      </c>
      <c r="B505" s="979" t="s">
        <v>432</v>
      </c>
      <c r="C505" s="824">
        <f>VLOOKUP(B503,'CNKT '!$C$16:$Z$96,3,0)</f>
        <v>0</v>
      </c>
      <c r="D505" s="825">
        <v>25000</v>
      </c>
      <c r="E505" s="823">
        <f t="shared" ref="E505:E512" si="58">C505*D505</f>
        <v>0</v>
      </c>
      <c r="F505" s="855"/>
      <c r="G505" s="821" t="s">
        <v>79</v>
      </c>
      <c r="H505" s="979" t="s">
        <v>432</v>
      </c>
      <c r="I505" s="824">
        <f>VLOOKUP(H503,'CNKT '!$C$16:$Z$96,3,0)</f>
        <v>0</v>
      </c>
      <c r="J505" s="825">
        <v>25000</v>
      </c>
      <c r="K505" s="823">
        <f t="shared" ref="K505:K512" si="59">I505*J505</f>
        <v>0</v>
      </c>
      <c r="L505" s="856"/>
      <c r="M505" s="784"/>
      <c r="N505" s="857"/>
    </row>
    <row r="506" spans="1:14" s="31" customFormat="1" ht="17.25" customHeight="1">
      <c r="A506" s="821" t="s">
        <v>310</v>
      </c>
      <c r="B506" s="980" t="s">
        <v>560</v>
      </c>
      <c r="C506" s="879">
        <f>VLOOKUP(B503,'CNKT '!$C$16:$Z$96,11,0)</f>
        <v>26</v>
      </c>
      <c r="D506" s="826">
        <f>46.1*$B$2</f>
        <v>30805.403000000002</v>
      </c>
      <c r="E506" s="823">
        <f t="shared" si="58"/>
        <v>800940.478</v>
      </c>
      <c r="F506" s="855"/>
      <c r="G506" s="821" t="s">
        <v>310</v>
      </c>
      <c r="H506" s="980" t="s">
        <v>560</v>
      </c>
      <c r="I506" s="879">
        <f>VLOOKUP(H503,'CNKT '!$C$16:$Z$96,11,0)</f>
        <v>25</v>
      </c>
      <c r="J506" s="826">
        <f>46.1*$B$2</f>
        <v>30805.403000000002</v>
      </c>
      <c r="K506" s="823">
        <f t="shared" si="59"/>
        <v>770135.07500000007</v>
      </c>
      <c r="L506" s="856"/>
      <c r="M506" s="784"/>
      <c r="N506" s="857"/>
    </row>
    <row r="507" spans="1:14" s="31" customFormat="1" ht="17.25" customHeight="1">
      <c r="A507" s="821" t="s">
        <v>401</v>
      </c>
      <c r="B507" s="980" t="s">
        <v>561</v>
      </c>
      <c r="C507" s="879">
        <f>VLOOKUP(B503,'CNKT '!$C$16:$Z$96,12,0)</f>
        <v>4</v>
      </c>
      <c r="D507" s="825">
        <f>76.9*$B$2</f>
        <v>51386.887000000002</v>
      </c>
      <c r="E507" s="823">
        <f t="shared" si="58"/>
        <v>205547.54800000001</v>
      </c>
      <c r="F507" s="855"/>
      <c r="G507" s="821" t="s">
        <v>401</v>
      </c>
      <c r="H507" s="980" t="s">
        <v>561</v>
      </c>
      <c r="I507" s="879">
        <f>VLOOKUP(H503,'CNKT '!$C$16:$Z$96,12,0)</f>
        <v>4</v>
      </c>
      <c r="J507" s="825">
        <f>76.9*$B$2</f>
        <v>51386.887000000002</v>
      </c>
      <c r="K507" s="823">
        <f t="shared" si="59"/>
        <v>205547.54800000001</v>
      </c>
      <c r="L507" s="856"/>
      <c r="M507" s="784"/>
      <c r="N507" s="857"/>
    </row>
    <row r="508" spans="1:14" s="31" customFormat="1" ht="17.25" customHeight="1">
      <c r="A508" s="821" t="s">
        <v>80</v>
      </c>
      <c r="B508" s="980" t="s">
        <v>562</v>
      </c>
      <c r="C508" s="879">
        <f>VLOOKUP(B503,'CNKT '!$C$16:$Z$96,8,0)</f>
        <v>757.900710066226</v>
      </c>
      <c r="D508" s="825">
        <f>IF(C504="A",6.1,IF(C504="B",5.8,IF(C504="C",5.5,IF(C504="C.",5.5,IF(C504="D",5.2)))))*$B$2</f>
        <v>3875.7339999999999</v>
      </c>
      <c r="E508" s="823">
        <f t="shared" si="58"/>
        <v>2937421.5506278141</v>
      </c>
      <c r="F508" s="855"/>
      <c r="G508" s="821" t="s">
        <v>80</v>
      </c>
      <c r="H508" s="980" t="s">
        <v>562</v>
      </c>
      <c r="I508" s="879">
        <f>VLOOKUP(H503,'CNKT '!$C$16:$Z$96,8,0)</f>
        <v>683.95917737683806</v>
      </c>
      <c r="J508" s="825">
        <f>IF(I504="A",6.1,IF(I504="B",5.8,IF(I504="C",5.5,IF(I504="C.",5.5,IF(I504="D",5.2)))))*$B$2</f>
        <v>4076.203</v>
      </c>
      <c r="K508" s="823">
        <f t="shared" si="59"/>
        <v>2787956.4507009992</v>
      </c>
      <c r="L508" s="856"/>
      <c r="M508" s="784"/>
      <c r="N508" s="857"/>
    </row>
    <row r="509" spans="1:14" s="31" customFormat="1" ht="17.25" customHeight="1">
      <c r="A509" s="821" t="s">
        <v>495</v>
      </c>
      <c r="B509" s="980" t="s">
        <v>563</v>
      </c>
      <c r="C509" s="879">
        <f>VLOOKUP(B503,'CNKT '!$C$16:$Z$96,15,0)</f>
        <v>0</v>
      </c>
      <c r="D509" s="826">
        <f>92.2*$B$2</f>
        <v>61610.806000000004</v>
      </c>
      <c r="E509" s="823">
        <f t="shared" si="58"/>
        <v>0</v>
      </c>
      <c r="F509" s="855"/>
      <c r="G509" s="821" t="s">
        <v>495</v>
      </c>
      <c r="H509" s="980" t="s">
        <v>563</v>
      </c>
      <c r="I509" s="879">
        <f>VLOOKUP(H503,'CNKT '!$C$16:$Z$96,15,0)</f>
        <v>0</v>
      </c>
      <c r="J509" s="826">
        <f>92.2*$B$2</f>
        <v>61610.806000000004</v>
      </c>
      <c r="K509" s="823">
        <f t="shared" si="59"/>
        <v>0</v>
      </c>
      <c r="L509" s="856"/>
      <c r="M509" s="784"/>
      <c r="N509" s="857"/>
    </row>
    <row r="510" spans="1:14" s="31" customFormat="1" ht="17.25" customHeight="1">
      <c r="A510" s="821" t="s">
        <v>496</v>
      </c>
      <c r="B510" s="980" t="s">
        <v>500</v>
      </c>
      <c r="C510" s="879">
        <f>VLOOKUP(B503,'CNKT '!$C$16:$Z$96,16,0)</f>
        <v>0</v>
      </c>
      <c r="D510" s="825">
        <f>153.8*$B$2</f>
        <v>102773.774</v>
      </c>
      <c r="E510" s="823">
        <f t="shared" si="58"/>
        <v>0</v>
      </c>
      <c r="F510" s="855"/>
      <c r="G510" s="821" t="s">
        <v>496</v>
      </c>
      <c r="H510" s="980" t="s">
        <v>500</v>
      </c>
      <c r="I510" s="879">
        <f>VLOOKUP(H503,'CNKT '!$C$16:$Z$96,16,0)</f>
        <v>0</v>
      </c>
      <c r="J510" s="825">
        <f>153.8*$B$2</f>
        <v>102773.774</v>
      </c>
      <c r="K510" s="823">
        <f t="shared" si="59"/>
        <v>0</v>
      </c>
      <c r="L510" s="856"/>
      <c r="M510" s="784"/>
      <c r="N510" s="857"/>
    </row>
    <row r="511" spans="1:14" s="31" customFormat="1" ht="17.25" customHeight="1">
      <c r="A511" s="821" t="s">
        <v>455</v>
      </c>
      <c r="B511" s="980" t="s">
        <v>501</v>
      </c>
      <c r="C511" s="879">
        <f>VLOOKUP(B503,'CNKT '!$C$16:$Z$96,18,0)</f>
        <v>0</v>
      </c>
      <c r="D511" s="825">
        <v>10000</v>
      </c>
      <c r="E511" s="823">
        <f t="shared" si="58"/>
        <v>0</v>
      </c>
      <c r="F511" s="855"/>
      <c r="G511" s="821" t="s">
        <v>455</v>
      </c>
      <c r="H511" s="980" t="s">
        <v>501</v>
      </c>
      <c r="I511" s="879">
        <f>VLOOKUP(H503,'CNKT '!$C$16:$Z$96,18,0)</f>
        <v>0</v>
      </c>
      <c r="J511" s="825">
        <v>10000</v>
      </c>
      <c r="K511" s="823">
        <f t="shared" si="59"/>
        <v>0</v>
      </c>
      <c r="L511" s="856"/>
      <c r="M511" s="784"/>
      <c r="N511" s="857"/>
    </row>
    <row r="512" spans="1:14" s="31" customFormat="1" ht="17.25" customHeight="1">
      <c r="A512" s="821" t="s">
        <v>455</v>
      </c>
      <c r="B512" s="980" t="s">
        <v>501</v>
      </c>
      <c r="C512" s="879">
        <f>VLOOKUP(B503,'CNKT '!$C$16:$Z$96,19,0)</f>
        <v>0</v>
      </c>
      <c r="D512" s="825">
        <v>20000</v>
      </c>
      <c r="E512" s="823">
        <f t="shared" si="58"/>
        <v>0</v>
      </c>
      <c r="F512" s="855"/>
      <c r="G512" s="821" t="s">
        <v>455</v>
      </c>
      <c r="H512" s="980" t="s">
        <v>501</v>
      </c>
      <c r="I512" s="879">
        <f>VLOOKUP(H503,'CNKT '!$C$16:$Z$96,19,0)</f>
        <v>0</v>
      </c>
      <c r="J512" s="825">
        <v>20000</v>
      </c>
      <c r="K512" s="823">
        <f t="shared" si="59"/>
        <v>0</v>
      </c>
      <c r="L512" s="856"/>
      <c r="M512" s="784"/>
      <c r="N512" s="857"/>
    </row>
    <row r="513" spans="1:14" s="31" customFormat="1" ht="17.25" customHeight="1">
      <c r="A513" s="821" t="s">
        <v>517</v>
      </c>
      <c r="B513" s="980" t="s">
        <v>519</v>
      </c>
      <c r="C513" s="879"/>
      <c r="D513" s="825"/>
      <c r="E513" s="823"/>
      <c r="F513" s="855"/>
      <c r="G513" s="821" t="s">
        <v>517</v>
      </c>
      <c r="H513" s="980" t="s">
        <v>519</v>
      </c>
      <c r="I513" s="879"/>
      <c r="J513" s="825"/>
      <c r="K513" s="823"/>
      <c r="L513" s="856"/>
      <c r="M513" s="784"/>
      <c r="N513" s="857"/>
    </row>
    <row r="514" spans="1:14" s="31" customFormat="1" ht="17.25" customHeight="1">
      <c r="A514" s="827" t="s">
        <v>81</v>
      </c>
      <c r="B514" s="981" t="s">
        <v>564</v>
      </c>
      <c r="C514" s="828"/>
      <c r="D514" s="829"/>
      <c r="E514" s="828"/>
      <c r="F514" s="855"/>
      <c r="G514" s="827" t="s">
        <v>81</v>
      </c>
      <c r="H514" s="981" t="s">
        <v>564</v>
      </c>
      <c r="I514" s="828"/>
      <c r="J514" s="829"/>
      <c r="K514" s="828"/>
      <c r="L514" s="856"/>
      <c r="M514" s="784"/>
      <c r="N514" s="857"/>
    </row>
    <row r="515" spans="1:14" s="31" customFormat="1" ht="17.25" customHeight="1">
      <c r="A515" s="830" t="s">
        <v>82</v>
      </c>
      <c r="B515" s="982" t="s">
        <v>565</v>
      </c>
      <c r="C515" s="828"/>
      <c r="D515" s="828"/>
      <c r="E515" s="828"/>
      <c r="F515" s="855"/>
      <c r="G515" s="830" t="s">
        <v>82</v>
      </c>
      <c r="H515" s="982" t="s">
        <v>565</v>
      </c>
      <c r="I515" s="828"/>
      <c r="J515" s="828"/>
      <c r="K515" s="828"/>
      <c r="L515" s="856"/>
      <c r="M515" s="784"/>
      <c r="N515" s="857"/>
    </row>
    <row r="516" spans="1:14" s="31" customFormat="1" ht="17.25" customHeight="1">
      <c r="A516" s="830" t="s">
        <v>83</v>
      </c>
      <c r="B516" s="983" t="s">
        <v>566</v>
      </c>
      <c r="C516" s="828"/>
      <c r="D516" s="828"/>
      <c r="E516" s="823">
        <f>SUM(E515)</f>
        <v>0</v>
      </c>
      <c r="F516" s="855"/>
      <c r="G516" s="830" t="s">
        <v>83</v>
      </c>
      <c r="H516" s="983" t="s">
        <v>566</v>
      </c>
      <c r="I516" s="828"/>
      <c r="J516" s="828"/>
      <c r="K516" s="823">
        <f>SUM(K515)</f>
        <v>0</v>
      </c>
      <c r="L516" s="856"/>
      <c r="M516" s="831">
        <f>E516+K516</f>
        <v>0</v>
      </c>
      <c r="N516" s="857"/>
    </row>
    <row r="517" spans="1:14" s="31" customFormat="1" ht="17.25" customHeight="1">
      <c r="A517" s="832" t="s">
        <v>84</v>
      </c>
      <c r="B517" s="984" t="s">
        <v>438</v>
      </c>
      <c r="C517" s="833"/>
      <c r="D517" s="833"/>
      <c r="E517" s="833">
        <f>(E505+E506+E507+E508+E509+E510+E511+E512+E513)-E516</f>
        <v>3943909.5766278142</v>
      </c>
      <c r="F517" s="855"/>
      <c r="G517" s="832" t="s">
        <v>84</v>
      </c>
      <c r="H517" s="984" t="s">
        <v>438</v>
      </c>
      <c r="I517" s="833"/>
      <c r="J517" s="833"/>
      <c r="K517" s="833">
        <f>(K505+K506+K507+K508+K509+K510+K511+K512+K513)-K516</f>
        <v>3763639.0737009994</v>
      </c>
      <c r="L517" s="835">
        <f>E517+K517</f>
        <v>7707548.6503288131</v>
      </c>
      <c r="M517" s="784"/>
      <c r="N517" s="857"/>
    </row>
    <row r="518" spans="1:14" s="31" customFormat="1" ht="7.5" customHeight="1">
      <c r="A518" s="838"/>
      <c r="B518" s="844"/>
      <c r="C518" s="845"/>
      <c r="D518" s="845"/>
      <c r="E518" s="843"/>
      <c r="F518" s="855"/>
      <c r="G518" s="838"/>
      <c r="H518" s="844"/>
      <c r="I518" s="845"/>
      <c r="J518" s="843"/>
      <c r="K518" s="974"/>
      <c r="L518" s="856"/>
      <c r="M518" s="784"/>
      <c r="N518" s="857"/>
    </row>
    <row r="519" spans="1:14" s="31" customFormat="1" ht="17.25" customHeight="1">
      <c r="A519" s="1615" t="str">
        <f>G502</f>
        <v>LƯƠNG THÁNG 01/2025</v>
      </c>
      <c r="B519" s="1616"/>
      <c r="C519" s="1616"/>
      <c r="D519" s="1616"/>
      <c r="E519" s="898">
        <v>61</v>
      </c>
      <c r="F519" s="855"/>
      <c r="G519" s="1615" t="str">
        <f>A519</f>
        <v>LƯƠNG THÁNG 01/2025</v>
      </c>
      <c r="H519" s="1616"/>
      <c r="I519" s="1616"/>
      <c r="J519" s="1617"/>
      <c r="K519" s="898">
        <v>62</v>
      </c>
      <c r="L519" s="856"/>
      <c r="M519" s="784"/>
      <c r="N519" s="857"/>
    </row>
    <row r="520" spans="1:14" s="31" customFormat="1" ht="17.25" customHeight="1">
      <c r="A520" s="837" t="s">
        <v>17</v>
      </c>
      <c r="B520" s="976" t="str">
        <f>'CNKT '!C76</f>
        <v>N. Bua Hom</v>
      </c>
      <c r="C520" s="819"/>
      <c r="D520" s="973" t="s">
        <v>398</v>
      </c>
      <c r="E520" s="973" t="s">
        <v>20</v>
      </c>
      <c r="F520" s="855"/>
      <c r="G520" s="837" t="s">
        <v>17</v>
      </c>
      <c r="H520" s="976" t="str">
        <f>'CNKT '!C77</f>
        <v>N. Lăm Phay (2)</v>
      </c>
      <c r="I520" s="819"/>
      <c r="J520" s="973" t="s">
        <v>398</v>
      </c>
      <c r="K520" s="973" t="s">
        <v>20</v>
      </c>
      <c r="L520" s="856"/>
      <c r="M520" s="784"/>
      <c r="N520" s="857"/>
    </row>
    <row r="521" spans="1:14" s="31" customFormat="1" ht="17.25" customHeight="1">
      <c r="A521" s="821" t="s">
        <v>399</v>
      </c>
      <c r="B521" s="978" t="s">
        <v>559</v>
      </c>
      <c r="C521" s="822" t="str">
        <f>VLOOKUP(B520,'BTH mủ tạp'!$C$17:$AL$94,36,0)</f>
        <v>B</v>
      </c>
      <c r="D521" s="823"/>
      <c r="E521" s="823"/>
      <c r="F521" s="855"/>
      <c r="G521" s="821" t="s">
        <v>399</v>
      </c>
      <c r="H521" s="978" t="s">
        <v>559</v>
      </c>
      <c r="I521" s="822" t="str">
        <f>VLOOKUP(H520,'BTH mủ tạp'!$C$17:$AL$94,36,0)</f>
        <v>A</v>
      </c>
      <c r="J521" s="823"/>
      <c r="K521" s="823"/>
      <c r="L521" s="856"/>
      <c r="M521" s="784"/>
      <c r="N521" s="857"/>
    </row>
    <row r="522" spans="1:14" s="31" customFormat="1" ht="17.25" customHeight="1">
      <c r="A522" s="821" t="s">
        <v>79</v>
      </c>
      <c r="B522" s="979" t="s">
        <v>432</v>
      </c>
      <c r="C522" s="824">
        <f>VLOOKUP(B520,'CNKT '!$C$16:$Z$96,3,0)</f>
        <v>0</v>
      </c>
      <c r="D522" s="825">
        <v>25000</v>
      </c>
      <c r="E522" s="823">
        <f t="shared" ref="E522:E529" si="60">C522*D522</f>
        <v>0</v>
      </c>
      <c r="F522" s="855"/>
      <c r="G522" s="821" t="s">
        <v>79</v>
      </c>
      <c r="H522" s="979" t="s">
        <v>432</v>
      </c>
      <c r="I522" s="824">
        <f>VLOOKUP(H520,'CNKT '!$C$16:$Z$96,3,0)</f>
        <v>0</v>
      </c>
      <c r="J522" s="825">
        <v>25000</v>
      </c>
      <c r="K522" s="823">
        <f t="shared" ref="K522:K529" si="61">I522*J522</f>
        <v>0</v>
      </c>
      <c r="L522" s="856"/>
      <c r="M522" s="784"/>
      <c r="N522" s="857"/>
    </row>
    <row r="523" spans="1:14" s="31" customFormat="1" ht="17.25" customHeight="1">
      <c r="A523" s="821" t="s">
        <v>310</v>
      </c>
      <c r="B523" s="980" t="s">
        <v>560</v>
      </c>
      <c r="C523" s="879">
        <f>VLOOKUP(B520,'CNKT '!$C$16:$Z$96,11,0)</f>
        <v>25</v>
      </c>
      <c r="D523" s="826">
        <f>46.1*$B$2</f>
        <v>30805.403000000002</v>
      </c>
      <c r="E523" s="823">
        <f t="shared" si="60"/>
        <v>770135.07500000007</v>
      </c>
      <c r="F523" s="855"/>
      <c r="G523" s="821" t="s">
        <v>310</v>
      </c>
      <c r="H523" s="980" t="s">
        <v>560</v>
      </c>
      <c r="I523" s="879">
        <f>VLOOKUP(H520,'CNKT '!$C$16:$Z$96,11,0)</f>
        <v>25</v>
      </c>
      <c r="J523" s="826">
        <f>46.1*$B$2</f>
        <v>30805.403000000002</v>
      </c>
      <c r="K523" s="823">
        <f t="shared" si="61"/>
        <v>770135.07500000007</v>
      </c>
      <c r="L523" s="856"/>
      <c r="M523" s="784"/>
      <c r="N523" s="857"/>
    </row>
    <row r="524" spans="1:14" s="31" customFormat="1" ht="17.25" customHeight="1">
      <c r="A524" s="821" t="s">
        <v>401</v>
      </c>
      <c r="B524" s="980" t="s">
        <v>561</v>
      </c>
      <c r="C524" s="879">
        <f>VLOOKUP(B520,'CNKT '!$C$16:$Z$96,12,0)</f>
        <v>4</v>
      </c>
      <c r="D524" s="825">
        <f>76.9*$B$2</f>
        <v>51386.887000000002</v>
      </c>
      <c r="E524" s="823">
        <f t="shared" si="60"/>
        <v>205547.54800000001</v>
      </c>
      <c r="F524" s="855"/>
      <c r="G524" s="821" t="s">
        <v>401</v>
      </c>
      <c r="H524" s="980" t="s">
        <v>561</v>
      </c>
      <c r="I524" s="879">
        <f>VLOOKUP(H520,'CNKT '!$C$16:$Z$96,12,0)</f>
        <v>4</v>
      </c>
      <c r="J524" s="825">
        <f>76.9*$B$2</f>
        <v>51386.887000000002</v>
      </c>
      <c r="K524" s="823">
        <f t="shared" si="61"/>
        <v>205547.54800000001</v>
      </c>
      <c r="L524" s="856"/>
      <c r="M524" s="784"/>
      <c r="N524" s="857"/>
    </row>
    <row r="525" spans="1:14" s="31" customFormat="1" ht="17.25" customHeight="1">
      <c r="A525" s="821" t="s">
        <v>80</v>
      </c>
      <c r="B525" s="980" t="s">
        <v>562</v>
      </c>
      <c r="C525" s="879">
        <f>VLOOKUP(B520,'CNKT '!$C$16:$Z$96,8,0)</f>
        <v>812.32989385146982</v>
      </c>
      <c r="D525" s="825">
        <f>IF(C521="A",6.1,IF(C521="B",5.8,IF(C521="C",5.5,IF(C521="C.",5.5,IF(C521="D",5.2)))))*$B$2</f>
        <v>3875.7339999999999</v>
      </c>
      <c r="E525" s="823">
        <f t="shared" si="60"/>
        <v>3148374.5888165324</v>
      </c>
      <c r="F525" s="855"/>
      <c r="G525" s="821" t="s">
        <v>80</v>
      </c>
      <c r="H525" s="980" t="s">
        <v>562</v>
      </c>
      <c r="I525" s="879">
        <f>VLOOKUP(H520,'CNKT '!$C$16:$Z$96,8,0)</f>
        <v>711.68725213535856</v>
      </c>
      <c r="J525" s="825">
        <f>IF(I521="A",6.1,IF(I521="B",5.8,IF(I521="C",5.5,IF(I521="C.",5.5,IF(I521="D",5.2)))))*$B$2</f>
        <v>4076.203</v>
      </c>
      <c r="K525" s="823">
        <f t="shared" si="61"/>
        <v>2900981.7122159051</v>
      </c>
      <c r="L525" s="856"/>
      <c r="M525" s="784"/>
      <c r="N525" s="857"/>
    </row>
    <row r="526" spans="1:14" s="31" customFormat="1" ht="17.25" customHeight="1">
      <c r="A526" s="821" t="s">
        <v>495</v>
      </c>
      <c r="B526" s="980" t="s">
        <v>563</v>
      </c>
      <c r="C526" s="879">
        <f>VLOOKUP(B520,'CNKT '!$C$16:$Z$96,15,0)</f>
        <v>0</v>
      </c>
      <c r="D526" s="826">
        <f>92.2*$B$2</f>
        <v>61610.806000000004</v>
      </c>
      <c r="E526" s="823">
        <f t="shared" si="60"/>
        <v>0</v>
      </c>
      <c r="F526" s="855"/>
      <c r="G526" s="821" t="s">
        <v>495</v>
      </c>
      <c r="H526" s="980" t="s">
        <v>563</v>
      </c>
      <c r="I526" s="879">
        <f>VLOOKUP(H520,'CNKT '!$C$16:$Z$96,15,0)</f>
        <v>0</v>
      </c>
      <c r="J526" s="826">
        <f>92.2*$B$2</f>
        <v>61610.806000000004</v>
      </c>
      <c r="K526" s="823">
        <f t="shared" si="61"/>
        <v>0</v>
      </c>
      <c r="L526" s="856"/>
      <c r="M526" s="784"/>
      <c r="N526" s="857"/>
    </row>
    <row r="527" spans="1:14" s="31" customFormat="1" ht="17.25" customHeight="1">
      <c r="A527" s="821" t="s">
        <v>496</v>
      </c>
      <c r="B527" s="980" t="s">
        <v>500</v>
      </c>
      <c r="C527" s="879">
        <f>VLOOKUP(B520,'CNKT '!$C$16:$Z$96,16,0)</f>
        <v>0</v>
      </c>
      <c r="D527" s="825">
        <f>153.8*$B$2</f>
        <v>102773.774</v>
      </c>
      <c r="E527" s="823">
        <f t="shared" si="60"/>
        <v>0</v>
      </c>
      <c r="F527" s="855"/>
      <c r="G527" s="821" t="s">
        <v>496</v>
      </c>
      <c r="H527" s="980" t="s">
        <v>500</v>
      </c>
      <c r="I527" s="879">
        <f>VLOOKUP(H520,'CNKT '!$C$16:$Z$96,16,0)</f>
        <v>0</v>
      </c>
      <c r="J527" s="825">
        <f>153.8*$B$2</f>
        <v>102773.774</v>
      </c>
      <c r="K527" s="823">
        <f t="shared" si="61"/>
        <v>0</v>
      </c>
      <c r="L527" s="856"/>
      <c r="M527" s="784"/>
      <c r="N527" s="857"/>
    </row>
    <row r="528" spans="1:14" s="31" customFormat="1" ht="17.25" customHeight="1">
      <c r="A528" s="821" t="s">
        <v>455</v>
      </c>
      <c r="B528" s="980" t="s">
        <v>501</v>
      </c>
      <c r="C528" s="879">
        <f>VLOOKUP(B520,'CNKT '!$C$16:$Z$96,18,0)</f>
        <v>0</v>
      </c>
      <c r="D528" s="825">
        <v>10000</v>
      </c>
      <c r="E528" s="823">
        <f t="shared" si="60"/>
        <v>0</v>
      </c>
      <c r="F528" s="855"/>
      <c r="G528" s="821" t="s">
        <v>455</v>
      </c>
      <c r="H528" s="980" t="s">
        <v>501</v>
      </c>
      <c r="I528" s="879">
        <f>VLOOKUP(H520,'CNKT '!$C$16:$Z$96,18,0)</f>
        <v>0</v>
      </c>
      <c r="J528" s="825">
        <v>10000</v>
      </c>
      <c r="K528" s="823">
        <f t="shared" si="61"/>
        <v>0</v>
      </c>
      <c r="L528" s="856"/>
      <c r="M528" s="784"/>
      <c r="N528" s="857"/>
    </row>
    <row r="529" spans="1:14" s="31" customFormat="1" ht="17.25" customHeight="1">
      <c r="A529" s="821" t="s">
        <v>455</v>
      </c>
      <c r="B529" s="980" t="s">
        <v>501</v>
      </c>
      <c r="C529" s="879">
        <f>VLOOKUP(B520,'CNKT '!$C$16:$Z$96,19,0)</f>
        <v>0</v>
      </c>
      <c r="D529" s="825">
        <v>20000</v>
      </c>
      <c r="E529" s="823">
        <f t="shared" si="60"/>
        <v>0</v>
      </c>
      <c r="F529" s="855"/>
      <c r="G529" s="821" t="s">
        <v>455</v>
      </c>
      <c r="H529" s="980" t="s">
        <v>501</v>
      </c>
      <c r="I529" s="879">
        <f>VLOOKUP(H520,'CNKT '!$C$16:$Z$96,19,0)</f>
        <v>0</v>
      </c>
      <c r="J529" s="825">
        <v>20000</v>
      </c>
      <c r="K529" s="823">
        <f t="shared" si="61"/>
        <v>0</v>
      </c>
      <c r="L529" s="856"/>
      <c r="M529" s="784"/>
      <c r="N529" s="857"/>
    </row>
    <row r="530" spans="1:14" s="31" customFormat="1" ht="17.25" customHeight="1">
      <c r="A530" s="821" t="s">
        <v>517</v>
      </c>
      <c r="B530" s="980" t="s">
        <v>519</v>
      </c>
      <c r="C530" s="879"/>
      <c r="D530" s="825"/>
      <c r="E530" s="823"/>
      <c r="F530" s="855"/>
      <c r="G530" s="821" t="s">
        <v>517</v>
      </c>
      <c r="H530" s="980" t="s">
        <v>519</v>
      </c>
      <c r="I530" s="879"/>
      <c r="J530" s="825"/>
      <c r="K530" s="823"/>
      <c r="L530" s="856"/>
      <c r="M530" s="784"/>
      <c r="N530" s="857"/>
    </row>
    <row r="531" spans="1:14" s="31" customFormat="1" ht="17.25" customHeight="1">
      <c r="A531" s="827" t="s">
        <v>81</v>
      </c>
      <c r="B531" s="981" t="s">
        <v>564</v>
      </c>
      <c r="C531" s="828"/>
      <c r="D531" s="829"/>
      <c r="E531" s="828"/>
      <c r="F531" s="855"/>
      <c r="G531" s="827" t="s">
        <v>81</v>
      </c>
      <c r="H531" s="981" t="s">
        <v>564</v>
      </c>
      <c r="I531" s="828"/>
      <c r="J531" s="829"/>
      <c r="K531" s="828"/>
      <c r="L531" s="856"/>
      <c r="M531" s="784"/>
      <c r="N531" s="857"/>
    </row>
    <row r="532" spans="1:14" s="31" customFormat="1" ht="17.25" customHeight="1">
      <c r="A532" s="830" t="s">
        <v>82</v>
      </c>
      <c r="B532" s="982" t="s">
        <v>565</v>
      </c>
      <c r="C532" s="828"/>
      <c r="D532" s="828"/>
      <c r="E532" s="828"/>
      <c r="F532" s="855"/>
      <c r="G532" s="830" t="s">
        <v>82</v>
      </c>
      <c r="H532" s="982" t="s">
        <v>565</v>
      </c>
      <c r="I532" s="828"/>
      <c r="J532" s="828"/>
      <c r="K532" s="828"/>
      <c r="L532" s="835">
        <f>E532+K532</f>
        <v>0</v>
      </c>
      <c r="M532" s="784"/>
      <c r="N532" s="857"/>
    </row>
    <row r="533" spans="1:14" s="31" customFormat="1" ht="17.25" customHeight="1">
      <c r="A533" s="830" t="s">
        <v>83</v>
      </c>
      <c r="B533" s="983" t="s">
        <v>566</v>
      </c>
      <c r="C533" s="828"/>
      <c r="D533" s="828"/>
      <c r="E533" s="823">
        <f>SUM(E532)</f>
        <v>0</v>
      </c>
      <c r="F533" s="855"/>
      <c r="G533" s="830" t="s">
        <v>83</v>
      </c>
      <c r="H533" s="983" t="s">
        <v>566</v>
      </c>
      <c r="I533" s="828"/>
      <c r="J533" s="828"/>
      <c r="K533" s="823">
        <f>SUM(K532)</f>
        <v>0</v>
      </c>
      <c r="L533" s="856"/>
      <c r="M533" s="831">
        <f>E533+K533</f>
        <v>0</v>
      </c>
      <c r="N533" s="857"/>
    </row>
    <row r="534" spans="1:14" s="31" customFormat="1" ht="17.25" customHeight="1">
      <c r="A534" s="832" t="s">
        <v>84</v>
      </c>
      <c r="B534" s="984" t="s">
        <v>438</v>
      </c>
      <c r="C534" s="833"/>
      <c r="D534" s="833"/>
      <c r="E534" s="833">
        <f>(E522+E523+E524+E525+E526+E527+E528+E529+E530)-E533</f>
        <v>4124057.2118165325</v>
      </c>
      <c r="F534" s="855"/>
      <c r="G534" s="832" t="s">
        <v>84</v>
      </c>
      <c r="H534" s="984" t="s">
        <v>438</v>
      </c>
      <c r="I534" s="833"/>
      <c r="J534" s="833"/>
      <c r="K534" s="833">
        <f>(K522+K523+K524+K525+K526+K527+K528+K529+K530)-K533</f>
        <v>3876664.3352159052</v>
      </c>
      <c r="L534" s="835">
        <f>E534+K534</f>
        <v>8000721.5470324382</v>
      </c>
      <c r="M534" s="784"/>
      <c r="N534" s="857"/>
    </row>
    <row r="535" spans="1:14" s="31" customFormat="1" ht="17.25" customHeight="1">
      <c r="A535" s="1615" t="str">
        <f>G519</f>
        <v>LƯƠNG THÁNG 01/2025</v>
      </c>
      <c r="B535" s="1616"/>
      <c r="C535" s="1616"/>
      <c r="D535" s="1616"/>
      <c r="E535" s="898">
        <v>63</v>
      </c>
      <c r="F535" s="855"/>
      <c r="G535" s="1615" t="str">
        <f>A535</f>
        <v>LƯƠNG THÁNG 01/2025</v>
      </c>
      <c r="H535" s="1616"/>
      <c r="I535" s="1616"/>
      <c r="J535" s="1617"/>
      <c r="K535" s="898">
        <v>64</v>
      </c>
      <c r="L535" s="856"/>
      <c r="M535" s="784"/>
      <c r="N535" s="857"/>
    </row>
    <row r="536" spans="1:14" s="31" customFormat="1" ht="17.25" customHeight="1">
      <c r="A536" s="837" t="s">
        <v>17</v>
      </c>
      <c r="B536" s="976" t="str">
        <f>'CNKT '!C78</f>
        <v>T. Đèng</v>
      </c>
      <c r="C536" s="819"/>
      <c r="D536" s="973" t="s">
        <v>398</v>
      </c>
      <c r="E536" s="973" t="s">
        <v>20</v>
      </c>
      <c r="F536" s="855"/>
      <c r="G536" s="837" t="s">
        <v>17</v>
      </c>
      <c r="H536" s="976" t="str">
        <f>'CNKT '!C79</f>
        <v>N. Đon</v>
      </c>
      <c r="I536" s="819"/>
      <c r="J536" s="973" t="s">
        <v>398</v>
      </c>
      <c r="K536" s="973" t="s">
        <v>20</v>
      </c>
      <c r="L536" s="856"/>
      <c r="M536" s="784"/>
      <c r="N536" s="857"/>
    </row>
    <row r="537" spans="1:14" s="31" customFormat="1" ht="17.25" customHeight="1">
      <c r="A537" s="821" t="s">
        <v>399</v>
      </c>
      <c r="B537" s="978" t="s">
        <v>559</v>
      </c>
      <c r="C537" s="822" t="str">
        <f>VLOOKUP(B536,'BTH mủ tạp'!$C$17:$AL$94,36,0)</f>
        <v>A</v>
      </c>
      <c r="D537" s="823"/>
      <c r="E537" s="823"/>
      <c r="F537" s="855"/>
      <c r="G537" s="821" t="s">
        <v>399</v>
      </c>
      <c r="H537" s="978" t="s">
        <v>559</v>
      </c>
      <c r="I537" s="822" t="str">
        <f>VLOOKUP(H536,'BTH mủ tạp'!$C$17:$AL$94,36,0)</f>
        <v>B</v>
      </c>
      <c r="J537" s="823"/>
      <c r="K537" s="823"/>
      <c r="L537" s="856"/>
      <c r="M537" s="784"/>
      <c r="N537" s="857"/>
    </row>
    <row r="538" spans="1:14" s="31" customFormat="1" ht="17.25" customHeight="1">
      <c r="A538" s="821" t="s">
        <v>79</v>
      </c>
      <c r="B538" s="979" t="s">
        <v>432</v>
      </c>
      <c r="C538" s="824">
        <f>VLOOKUP(B536,'CNKT '!$C$16:$Z$96,3,0)</f>
        <v>0</v>
      </c>
      <c r="D538" s="825">
        <v>25000</v>
      </c>
      <c r="E538" s="823">
        <f t="shared" ref="E538:E545" si="62">C538*D538</f>
        <v>0</v>
      </c>
      <c r="F538" s="855"/>
      <c r="G538" s="821" t="s">
        <v>79</v>
      </c>
      <c r="H538" s="979" t="s">
        <v>432</v>
      </c>
      <c r="I538" s="824">
        <f>VLOOKUP(H536,'CNKT '!$C$16:$Z$96,3,0)</f>
        <v>0</v>
      </c>
      <c r="J538" s="825">
        <v>25000</v>
      </c>
      <c r="K538" s="823">
        <f t="shared" ref="K538:K545" si="63">I538*J538</f>
        <v>0</v>
      </c>
      <c r="L538" s="856"/>
      <c r="M538" s="784"/>
      <c r="N538" s="857"/>
    </row>
    <row r="539" spans="1:14" s="31" customFormat="1" ht="17.25" customHeight="1">
      <c r="A539" s="821" t="s">
        <v>310</v>
      </c>
      <c r="B539" s="980" t="s">
        <v>560</v>
      </c>
      <c r="C539" s="879">
        <f>VLOOKUP(B536,'CNKT '!$C$16:$Z$96,11,0)</f>
        <v>18</v>
      </c>
      <c r="D539" s="826">
        <f>46.1*$B$2</f>
        <v>30805.403000000002</v>
      </c>
      <c r="E539" s="823">
        <f t="shared" si="62"/>
        <v>554497.25400000007</v>
      </c>
      <c r="F539" s="855"/>
      <c r="G539" s="821" t="s">
        <v>310</v>
      </c>
      <c r="H539" s="980" t="s">
        <v>560</v>
      </c>
      <c r="I539" s="879">
        <f>VLOOKUP(H536,'CNKT '!$C$16:$Z$96,11,0)</f>
        <v>24</v>
      </c>
      <c r="J539" s="826">
        <f>46.1*$B$2</f>
        <v>30805.403000000002</v>
      </c>
      <c r="K539" s="823">
        <f t="shared" si="63"/>
        <v>739329.67200000002</v>
      </c>
      <c r="L539" s="856"/>
      <c r="M539" s="784"/>
      <c r="N539" s="857"/>
    </row>
    <row r="540" spans="1:14" s="31" customFormat="1" ht="17.25" customHeight="1">
      <c r="A540" s="821" t="s">
        <v>401</v>
      </c>
      <c r="B540" s="980" t="s">
        <v>561</v>
      </c>
      <c r="C540" s="879">
        <f>VLOOKUP(B536,'CNKT '!$C$16:$Z$96,12,0)</f>
        <v>3</v>
      </c>
      <c r="D540" s="825">
        <f>76.9*$B$2</f>
        <v>51386.887000000002</v>
      </c>
      <c r="E540" s="823">
        <f t="shared" si="62"/>
        <v>154160.66100000002</v>
      </c>
      <c r="F540" s="855"/>
      <c r="G540" s="821" t="s">
        <v>401</v>
      </c>
      <c r="H540" s="980" t="s">
        <v>561</v>
      </c>
      <c r="I540" s="879">
        <f>VLOOKUP(H536,'CNKT '!$C$16:$Z$96,12,0)</f>
        <v>4</v>
      </c>
      <c r="J540" s="825">
        <f>76.9*$B$2</f>
        <v>51386.887000000002</v>
      </c>
      <c r="K540" s="823">
        <f t="shared" si="63"/>
        <v>205547.54800000001</v>
      </c>
      <c r="L540" s="856"/>
      <c r="M540" s="784"/>
      <c r="N540" s="857"/>
    </row>
    <row r="541" spans="1:14" s="31" customFormat="1" ht="17.25" customHeight="1">
      <c r="A541" s="821" t="s">
        <v>80</v>
      </c>
      <c r="B541" s="980" t="s">
        <v>562</v>
      </c>
      <c r="C541" s="879">
        <f>VLOOKUP(B536,'CNKT '!$C$16:$Z$96,8,0)</f>
        <v>222.33808093406222</v>
      </c>
      <c r="D541" s="825">
        <f>IF(C537="A",6.1,IF(C537="B",5.8,IF(C537="C",5.5,IF(C537="C.",5.5,IF(C537="D",5.2)))))*$B$2</f>
        <v>4076.203</v>
      </c>
      <c r="E541" s="823">
        <f t="shared" si="62"/>
        <v>906295.15251766716</v>
      </c>
      <c r="F541" s="855"/>
      <c r="G541" s="821" t="s">
        <v>80</v>
      </c>
      <c r="H541" s="980" t="s">
        <v>562</v>
      </c>
      <c r="I541" s="879">
        <f>VLOOKUP(H536,'CNKT '!$C$16:$Z$96,8,0)</f>
        <v>391.78742668057617</v>
      </c>
      <c r="J541" s="825">
        <f>IF(I537="A",6.1,IF(I537="B",5.8,IF(I537="C",5.5,IF(I537="C.",5.5,IF(I537="D",5.2)))))*$B$2</f>
        <v>3875.7339999999999</v>
      </c>
      <c r="K541" s="823">
        <f t="shared" si="63"/>
        <v>1518463.8503584161</v>
      </c>
      <c r="L541" s="856"/>
      <c r="M541" s="784"/>
      <c r="N541" s="857"/>
    </row>
    <row r="542" spans="1:14" s="31" customFormat="1" ht="17.25" customHeight="1">
      <c r="A542" s="821" t="s">
        <v>495</v>
      </c>
      <c r="B542" s="980" t="s">
        <v>563</v>
      </c>
      <c r="C542" s="879">
        <f>VLOOKUP(B536,'CNKT '!$C$16:$Z$96,15,0)</f>
        <v>0</v>
      </c>
      <c r="D542" s="826">
        <f>92.2*$B$2</f>
        <v>61610.806000000004</v>
      </c>
      <c r="E542" s="823">
        <f t="shared" si="62"/>
        <v>0</v>
      </c>
      <c r="F542" s="855"/>
      <c r="G542" s="821" t="s">
        <v>495</v>
      </c>
      <c r="H542" s="980" t="s">
        <v>563</v>
      </c>
      <c r="I542" s="879">
        <f>VLOOKUP(H536,'CNKT '!$C$16:$Z$96,15,0)</f>
        <v>0</v>
      </c>
      <c r="J542" s="826">
        <f>92.2*$B$2</f>
        <v>61610.806000000004</v>
      </c>
      <c r="K542" s="823">
        <f t="shared" si="63"/>
        <v>0</v>
      </c>
      <c r="L542" s="856"/>
      <c r="M542" s="784"/>
      <c r="N542" s="857"/>
    </row>
    <row r="543" spans="1:14" s="31" customFormat="1" ht="17.25" customHeight="1">
      <c r="A543" s="821" t="s">
        <v>496</v>
      </c>
      <c r="B543" s="980" t="s">
        <v>500</v>
      </c>
      <c r="C543" s="879">
        <f>VLOOKUP(B536,'CNKT '!$C$16:$Z$96,16,0)</f>
        <v>0</v>
      </c>
      <c r="D543" s="825">
        <f>153.8*$B$2</f>
        <v>102773.774</v>
      </c>
      <c r="E543" s="823">
        <f t="shared" si="62"/>
        <v>0</v>
      </c>
      <c r="F543" s="855"/>
      <c r="G543" s="821" t="s">
        <v>496</v>
      </c>
      <c r="H543" s="980" t="s">
        <v>500</v>
      </c>
      <c r="I543" s="879">
        <f>VLOOKUP(H536,'CNKT '!$C$16:$Z$96,16,0)</f>
        <v>0</v>
      </c>
      <c r="J543" s="825">
        <f>153.8*$B$2</f>
        <v>102773.774</v>
      </c>
      <c r="K543" s="823">
        <f t="shared" si="63"/>
        <v>0</v>
      </c>
      <c r="L543" s="856"/>
      <c r="M543" s="784"/>
      <c r="N543" s="857"/>
    </row>
    <row r="544" spans="1:14" s="31" customFormat="1" ht="17.25" customHeight="1">
      <c r="A544" s="821" t="s">
        <v>455</v>
      </c>
      <c r="B544" s="980" t="s">
        <v>501</v>
      </c>
      <c r="C544" s="879">
        <f>VLOOKUP(B536,'CNKT '!$C$16:$Z$96,18,0)</f>
        <v>0</v>
      </c>
      <c r="D544" s="825">
        <v>10000</v>
      </c>
      <c r="E544" s="823">
        <f t="shared" si="62"/>
        <v>0</v>
      </c>
      <c r="F544" s="855"/>
      <c r="G544" s="821" t="s">
        <v>455</v>
      </c>
      <c r="H544" s="980" t="s">
        <v>501</v>
      </c>
      <c r="I544" s="879">
        <f>VLOOKUP(H536,'CNKT '!$C$16:$Z$96,18,0)</f>
        <v>0</v>
      </c>
      <c r="J544" s="825">
        <v>10000</v>
      </c>
      <c r="K544" s="823">
        <f t="shared" si="63"/>
        <v>0</v>
      </c>
      <c r="L544" s="856"/>
      <c r="M544" s="784"/>
      <c r="N544" s="857"/>
    </row>
    <row r="545" spans="1:14" s="31" customFormat="1" ht="17.25" customHeight="1">
      <c r="A545" s="821" t="s">
        <v>455</v>
      </c>
      <c r="B545" s="980" t="s">
        <v>501</v>
      </c>
      <c r="C545" s="879">
        <f>VLOOKUP(B536,'CNKT '!$C$16:$Z$96,19,0)</f>
        <v>0</v>
      </c>
      <c r="D545" s="825">
        <v>20000</v>
      </c>
      <c r="E545" s="823">
        <f t="shared" si="62"/>
        <v>0</v>
      </c>
      <c r="F545" s="855"/>
      <c r="G545" s="821" t="s">
        <v>455</v>
      </c>
      <c r="H545" s="980" t="s">
        <v>501</v>
      </c>
      <c r="I545" s="879">
        <f>VLOOKUP(H536,'CNKT '!$C$16:$Z$96,19,0)</f>
        <v>0</v>
      </c>
      <c r="J545" s="825">
        <v>20000</v>
      </c>
      <c r="K545" s="823">
        <f t="shared" si="63"/>
        <v>0</v>
      </c>
      <c r="L545" s="856"/>
      <c r="M545" s="784"/>
      <c r="N545" s="857"/>
    </row>
    <row r="546" spans="1:14" s="31" customFormat="1" ht="17.25" customHeight="1">
      <c r="A546" s="821" t="s">
        <v>517</v>
      </c>
      <c r="B546" s="980" t="s">
        <v>519</v>
      </c>
      <c r="C546" s="879"/>
      <c r="D546" s="825"/>
      <c r="E546" s="823"/>
      <c r="F546" s="855"/>
      <c r="G546" s="821" t="s">
        <v>517</v>
      </c>
      <c r="H546" s="980" t="s">
        <v>519</v>
      </c>
      <c r="I546" s="879"/>
      <c r="J546" s="825"/>
      <c r="K546" s="823"/>
      <c r="L546" s="856"/>
      <c r="M546" s="784"/>
      <c r="N546" s="857"/>
    </row>
    <row r="547" spans="1:14" s="31" customFormat="1" ht="17.25" customHeight="1">
      <c r="A547" s="827" t="s">
        <v>81</v>
      </c>
      <c r="B547" s="981" t="s">
        <v>564</v>
      </c>
      <c r="C547" s="828"/>
      <c r="D547" s="829"/>
      <c r="E547" s="828"/>
      <c r="F547" s="855"/>
      <c r="G547" s="827" t="s">
        <v>81</v>
      </c>
      <c r="H547" s="981" t="s">
        <v>564</v>
      </c>
      <c r="I547" s="828"/>
      <c r="J547" s="829"/>
      <c r="K547" s="828"/>
      <c r="L547" s="856"/>
      <c r="M547" s="784"/>
      <c r="N547" s="857"/>
    </row>
    <row r="548" spans="1:14" s="31" customFormat="1" ht="17.25" customHeight="1">
      <c r="A548" s="830" t="s">
        <v>82</v>
      </c>
      <c r="B548" s="982" t="s">
        <v>565</v>
      </c>
      <c r="C548" s="828"/>
      <c r="D548" s="828"/>
      <c r="E548" s="828"/>
      <c r="F548" s="855"/>
      <c r="G548" s="830" t="s">
        <v>82</v>
      </c>
      <c r="H548" s="982" t="s">
        <v>565</v>
      </c>
      <c r="I548" s="828"/>
      <c r="J548" s="828"/>
      <c r="K548" s="828"/>
      <c r="L548" s="856"/>
      <c r="M548" s="784"/>
      <c r="N548" s="857"/>
    </row>
    <row r="549" spans="1:14" s="31" customFormat="1" ht="17.25" customHeight="1">
      <c r="A549" s="830" t="s">
        <v>83</v>
      </c>
      <c r="B549" s="983" t="s">
        <v>566</v>
      </c>
      <c r="C549" s="828"/>
      <c r="D549" s="828"/>
      <c r="E549" s="823">
        <f>SUM(E548)</f>
        <v>0</v>
      </c>
      <c r="F549" s="855"/>
      <c r="G549" s="830" t="s">
        <v>83</v>
      </c>
      <c r="H549" s="983" t="s">
        <v>566</v>
      </c>
      <c r="I549" s="828"/>
      <c r="J549" s="828"/>
      <c r="K549" s="823">
        <f>SUM(K548)</f>
        <v>0</v>
      </c>
      <c r="L549" s="856"/>
      <c r="M549" s="831">
        <f>E549+K549</f>
        <v>0</v>
      </c>
      <c r="N549" s="857"/>
    </row>
    <row r="550" spans="1:14" s="31" customFormat="1" ht="17.25" customHeight="1">
      <c r="A550" s="832" t="s">
        <v>84</v>
      </c>
      <c r="B550" s="984" t="s">
        <v>438</v>
      </c>
      <c r="C550" s="833"/>
      <c r="D550" s="833"/>
      <c r="E550" s="833">
        <f>(E538+E539+E540+E541+E542+E543+E544+E545+E546)-E549</f>
        <v>1614953.0675176671</v>
      </c>
      <c r="F550" s="855"/>
      <c r="G550" s="832" t="s">
        <v>84</v>
      </c>
      <c r="H550" s="984" t="s">
        <v>438</v>
      </c>
      <c r="I550" s="833"/>
      <c r="J550" s="833"/>
      <c r="K550" s="833">
        <f>(K538+K539+K540+K541+K542+K543+K544+K545+K546)-K549</f>
        <v>2463341.0703584161</v>
      </c>
      <c r="L550" s="835">
        <f>E550+K550</f>
        <v>4078294.1378760831</v>
      </c>
      <c r="M550" s="784"/>
      <c r="N550" s="857"/>
    </row>
    <row r="551" spans="1:14" s="31" customFormat="1" ht="9.75" customHeight="1">
      <c r="A551" s="838"/>
      <c r="B551" s="844"/>
      <c r="C551" s="845"/>
      <c r="D551" s="845"/>
      <c r="E551" s="843"/>
      <c r="F551" s="855"/>
      <c r="G551" s="838"/>
      <c r="H551" s="844"/>
      <c r="I551" s="845"/>
      <c r="J551" s="843"/>
      <c r="K551" s="974"/>
      <c r="L551" s="856"/>
      <c r="M551" s="784"/>
      <c r="N551" s="857"/>
    </row>
    <row r="552" spans="1:14" s="31" customFormat="1" ht="17.25" customHeight="1">
      <c r="A552" s="1615" t="str">
        <f>G535</f>
        <v>LƯƠNG THÁNG 01/2025</v>
      </c>
      <c r="B552" s="1616"/>
      <c r="C552" s="1616"/>
      <c r="D552" s="1616"/>
      <c r="E552" s="898">
        <v>65</v>
      </c>
      <c r="F552" s="855"/>
      <c r="G552" s="1615" t="str">
        <f>A552</f>
        <v>LƯƠNG THÁNG 01/2025</v>
      </c>
      <c r="H552" s="1616"/>
      <c r="I552" s="1616"/>
      <c r="J552" s="1617"/>
      <c r="K552" s="898">
        <v>66</v>
      </c>
      <c r="L552" s="856"/>
      <c r="M552" s="784"/>
      <c r="N552" s="857"/>
    </row>
    <row r="553" spans="1:14" s="31" customFormat="1" ht="17.25" customHeight="1">
      <c r="A553" s="837" t="s">
        <v>17</v>
      </c>
      <c r="B553" s="976" t="str">
        <f>'CNKT '!C80</f>
        <v xml:space="preserve">T. La </v>
      </c>
      <c r="C553" s="819"/>
      <c r="D553" s="973" t="s">
        <v>398</v>
      </c>
      <c r="E553" s="973" t="s">
        <v>20</v>
      </c>
      <c r="F553" s="855"/>
      <c r="G553" s="837" t="s">
        <v>17</v>
      </c>
      <c r="H553" s="976" t="str">
        <f>'CNKT '!C81</f>
        <v>T. Bờm</v>
      </c>
      <c r="I553" s="819"/>
      <c r="J553" s="973" t="s">
        <v>398</v>
      </c>
      <c r="K553" s="973" t="s">
        <v>20</v>
      </c>
      <c r="L553" s="856"/>
      <c r="M553" s="784"/>
      <c r="N553" s="857"/>
    </row>
    <row r="554" spans="1:14" s="31" customFormat="1" ht="17.25" customHeight="1">
      <c r="A554" s="821" t="s">
        <v>399</v>
      </c>
      <c r="B554" s="978" t="s">
        <v>559</v>
      </c>
      <c r="C554" s="822" t="str">
        <f>VLOOKUP(B553,'BTH mủ tạp'!$C$17:$AL$94,36,0)</f>
        <v>A</v>
      </c>
      <c r="D554" s="823"/>
      <c r="E554" s="823"/>
      <c r="F554" s="855"/>
      <c r="G554" s="821" t="s">
        <v>399</v>
      </c>
      <c r="H554" s="978" t="s">
        <v>559</v>
      </c>
      <c r="I554" s="822" t="str">
        <f>VLOOKUP(H553,'BTH mủ tạp'!$C$17:$AL$94,36,0)</f>
        <v>B</v>
      </c>
      <c r="J554" s="823"/>
      <c r="K554" s="823"/>
      <c r="L554" s="856"/>
      <c r="M554" s="784"/>
      <c r="N554" s="857"/>
    </row>
    <row r="555" spans="1:14" s="31" customFormat="1" ht="17.25" customHeight="1">
      <c r="A555" s="821" t="s">
        <v>79</v>
      </c>
      <c r="B555" s="979" t="s">
        <v>432</v>
      </c>
      <c r="C555" s="824">
        <f>VLOOKUP(B553,'CNKT '!$C$16:$Z$96,3,0)</f>
        <v>0</v>
      </c>
      <c r="D555" s="825">
        <v>25000</v>
      </c>
      <c r="E555" s="823">
        <f t="shared" ref="E555:E562" si="64">C555*D555</f>
        <v>0</v>
      </c>
      <c r="F555" s="855"/>
      <c r="G555" s="821" t="s">
        <v>79</v>
      </c>
      <c r="H555" s="979" t="s">
        <v>432</v>
      </c>
      <c r="I555" s="824">
        <f>VLOOKUP(H553,'CNKT '!$C$16:$Z$96,3,0)</f>
        <v>0</v>
      </c>
      <c r="J555" s="825">
        <v>25000</v>
      </c>
      <c r="K555" s="823">
        <f t="shared" ref="K555:K562" si="65">I555*J555</f>
        <v>0</v>
      </c>
      <c r="L555" s="856"/>
      <c r="M555" s="784"/>
      <c r="N555" s="857"/>
    </row>
    <row r="556" spans="1:14" s="31" customFormat="1" ht="17.25" customHeight="1">
      <c r="A556" s="821" t="s">
        <v>310</v>
      </c>
      <c r="B556" s="980" t="s">
        <v>560</v>
      </c>
      <c r="C556" s="879">
        <f>VLOOKUP(B553,'CNKT '!$C$16:$Z$96,11,0)</f>
        <v>26</v>
      </c>
      <c r="D556" s="826">
        <f>46.1*$B$2</f>
        <v>30805.403000000002</v>
      </c>
      <c r="E556" s="823">
        <f t="shared" si="64"/>
        <v>800940.478</v>
      </c>
      <c r="F556" s="855"/>
      <c r="G556" s="821" t="s">
        <v>310</v>
      </c>
      <c r="H556" s="980" t="s">
        <v>560</v>
      </c>
      <c r="I556" s="879">
        <f>VLOOKUP(H553,'CNKT '!$C$16:$Z$96,11,0)</f>
        <v>24</v>
      </c>
      <c r="J556" s="826">
        <f>46.1*$B$2</f>
        <v>30805.403000000002</v>
      </c>
      <c r="K556" s="823">
        <f t="shared" si="65"/>
        <v>739329.67200000002</v>
      </c>
      <c r="L556" s="856"/>
      <c r="M556" s="784"/>
      <c r="N556" s="857"/>
    </row>
    <row r="557" spans="1:14" s="31" customFormat="1" ht="17.25" customHeight="1">
      <c r="A557" s="821" t="s">
        <v>401</v>
      </c>
      <c r="B557" s="980" t="s">
        <v>561</v>
      </c>
      <c r="C557" s="879">
        <f>VLOOKUP(B553,'CNKT '!$C$16:$Z$96,12,0)</f>
        <v>3</v>
      </c>
      <c r="D557" s="825">
        <f>76.9*$B$2</f>
        <v>51386.887000000002</v>
      </c>
      <c r="E557" s="823">
        <f t="shared" si="64"/>
        <v>154160.66100000002</v>
      </c>
      <c r="F557" s="855"/>
      <c r="G557" s="821" t="s">
        <v>401</v>
      </c>
      <c r="H557" s="980" t="s">
        <v>561</v>
      </c>
      <c r="I557" s="879">
        <f>VLOOKUP(H553,'CNKT '!$C$16:$Z$96,12,0)</f>
        <v>4</v>
      </c>
      <c r="J557" s="825">
        <f>76.9*$B$2</f>
        <v>51386.887000000002</v>
      </c>
      <c r="K557" s="823">
        <f t="shared" si="65"/>
        <v>205547.54800000001</v>
      </c>
      <c r="L557" s="856"/>
      <c r="M557" s="784"/>
      <c r="N557" s="857"/>
    </row>
    <row r="558" spans="1:14" s="31" customFormat="1" ht="17.25" customHeight="1">
      <c r="A558" s="821" t="s">
        <v>80</v>
      </c>
      <c r="B558" s="980" t="s">
        <v>562</v>
      </c>
      <c r="C558" s="879">
        <f>VLOOKUP(B553,'CNKT '!$C$16:$Z$96,8,0)</f>
        <v>496.53793132387568</v>
      </c>
      <c r="D558" s="825">
        <f>IF(C554="A",6.1,IF(C554="B",5.8,IF(C554="C",5.5,IF(C554="C.",5.5,IF(C554="D",5.2)))))*$B$2</f>
        <v>4076.203</v>
      </c>
      <c r="E558" s="823">
        <f t="shared" si="64"/>
        <v>2023989.4052761761</v>
      </c>
      <c r="F558" s="855"/>
      <c r="G558" s="821" t="s">
        <v>80</v>
      </c>
      <c r="H558" s="980" t="s">
        <v>562</v>
      </c>
      <c r="I558" s="879">
        <f>VLOOKUP(H553,'CNKT '!$C$16:$Z$96,8,0)</f>
        <v>388.19304661928646</v>
      </c>
      <c r="J558" s="825">
        <f>IF(I554="A",6.1,IF(I554="B",5.8,IF(I554="C",5.5,IF(I554="C.",5.5,IF(I554="D",5.2)))))*$B$2</f>
        <v>3875.7339999999999</v>
      </c>
      <c r="K558" s="823">
        <f t="shared" si="65"/>
        <v>1504532.9893459536</v>
      </c>
      <c r="L558" s="856"/>
      <c r="M558" s="784"/>
      <c r="N558" s="857"/>
    </row>
    <row r="559" spans="1:14" s="31" customFormat="1" ht="17.25" customHeight="1">
      <c r="A559" s="821" t="s">
        <v>495</v>
      </c>
      <c r="B559" s="980" t="s">
        <v>563</v>
      </c>
      <c r="C559" s="879">
        <f>VLOOKUP(B553,'CNKT '!$C$16:$Z$96,15,0)</f>
        <v>0</v>
      </c>
      <c r="D559" s="826">
        <f>92.2*$B$2</f>
        <v>61610.806000000004</v>
      </c>
      <c r="E559" s="823">
        <f t="shared" si="64"/>
        <v>0</v>
      </c>
      <c r="F559" s="855"/>
      <c r="G559" s="821" t="s">
        <v>495</v>
      </c>
      <c r="H559" s="980" t="s">
        <v>563</v>
      </c>
      <c r="I559" s="879">
        <f>VLOOKUP(H553,'CNKT '!$C$16:$Z$96,15,0)</f>
        <v>0</v>
      </c>
      <c r="J559" s="826">
        <f>92.2*$B$2</f>
        <v>61610.806000000004</v>
      </c>
      <c r="K559" s="823">
        <f t="shared" si="65"/>
        <v>0</v>
      </c>
      <c r="L559" s="856"/>
      <c r="M559" s="784"/>
      <c r="N559" s="857"/>
    </row>
    <row r="560" spans="1:14" s="31" customFormat="1" ht="17.25" customHeight="1">
      <c r="A560" s="821" t="s">
        <v>496</v>
      </c>
      <c r="B560" s="980" t="s">
        <v>500</v>
      </c>
      <c r="C560" s="879">
        <f>VLOOKUP(B553,'CNKT '!$C$16:$Z$96,16,0)</f>
        <v>0</v>
      </c>
      <c r="D560" s="825">
        <f>153.8*$B$2</f>
        <v>102773.774</v>
      </c>
      <c r="E560" s="823">
        <f t="shared" si="64"/>
        <v>0</v>
      </c>
      <c r="F560" s="855"/>
      <c r="G560" s="821" t="s">
        <v>496</v>
      </c>
      <c r="H560" s="980" t="s">
        <v>500</v>
      </c>
      <c r="I560" s="879">
        <f>VLOOKUP(H553,'CNKT '!$C$16:$Z$96,16,0)</f>
        <v>0</v>
      </c>
      <c r="J560" s="825">
        <f>153.8*$B$2</f>
        <v>102773.774</v>
      </c>
      <c r="K560" s="823">
        <f t="shared" si="65"/>
        <v>0</v>
      </c>
      <c r="L560" s="856"/>
      <c r="M560" s="784"/>
      <c r="N560" s="857"/>
    </row>
    <row r="561" spans="1:14" s="31" customFormat="1" ht="17.25" customHeight="1">
      <c r="A561" s="821" t="s">
        <v>455</v>
      </c>
      <c r="B561" s="980" t="s">
        <v>501</v>
      </c>
      <c r="C561" s="879">
        <f>VLOOKUP(B553,'CNKT '!$C$16:$Z$96,18,0)</f>
        <v>0</v>
      </c>
      <c r="D561" s="825">
        <v>10000</v>
      </c>
      <c r="E561" s="823">
        <f t="shared" si="64"/>
        <v>0</v>
      </c>
      <c r="F561" s="855"/>
      <c r="G561" s="821" t="s">
        <v>455</v>
      </c>
      <c r="H561" s="980" t="s">
        <v>501</v>
      </c>
      <c r="I561" s="879">
        <f>VLOOKUP(H553,'CNKT '!$C$16:$Z$96,18,0)</f>
        <v>0</v>
      </c>
      <c r="J561" s="825">
        <v>10000</v>
      </c>
      <c r="K561" s="823">
        <f t="shared" si="65"/>
        <v>0</v>
      </c>
      <c r="L561" s="856"/>
      <c r="M561" s="784"/>
      <c r="N561" s="857"/>
    </row>
    <row r="562" spans="1:14" s="31" customFormat="1" ht="17.25" customHeight="1">
      <c r="A562" s="821" t="s">
        <v>455</v>
      </c>
      <c r="B562" s="980" t="s">
        <v>501</v>
      </c>
      <c r="C562" s="879">
        <f>VLOOKUP(B553,'CNKT '!$C$16:$Z$96,19,0)</f>
        <v>0</v>
      </c>
      <c r="D562" s="825">
        <v>20000</v>
      </c>
      <c r="E562" s="823">
        <f t="shared" si="64"/>
        <v>0</v>
      </c>
      <c r="F562" s="855"/>
      <c r="G562" s="821" t="s">
        <v>455</v>
      </c>
      <c r="H562" s="980" t="s">
        <v>501</v>
      </c>
      <c r="I562" s="879">
        <f>VLOOKUP(H553,'CNKT '!$C$16:$Z$96,19,0)</f>
        <v>0</v>
      </c>
      <c r="J562" s="825">
        <v>20000</v>
      </c>
      <c r="K562" s="823">
        <f t="shared" si="65"/>
        <v>0</v>
      </c>
      <c r="L562" s="856"/>
      <c r="M562" s="784"/>
      <c r="N562" s="857"/>
    </row>
    <row r="563" spans="1:14" s="31" customFormat="1" ht="17.25" customHeight="1">
      <c r="A563" s="821" t="s">
        <v>517</v>
      </c>
      <c r="B563" s="980" t="s">
        <v>519</v>
      </c>
      <c r="C563" s="879"/>
      <c r="D563" s="825"/>
      <c r="E563" s="823"/>
      <c r="F563" s="855"/>
      <c r="G563" s="821" t="s">
        <v>517</v>
      </c>
      <c r="H563" s="980" t="s">
        <v>519</v>
      </c>
      <c r="I563" s="879"/>
      <c r="J563" s="825"/>
      <c r="K563" s="823"/>
      <c r="L563" s="856"/>
      <c r="M563" s="784"/>
      <c r="N563" s="857"/>
    </row>
    <row r="564" spans="1:14" s="31" customFormat="1" ht="17.25" customHeight="1">
      <c r="A564" s="827" t="s">
        <v>81</v>
      </c>
      <c r="B564" s="981" t="s">
        <v>564</v>
      </c>
      <c r="C564" s="828"/>
      <c r="D564" s="829"/>
      <c r="E564" s="828"/>
      <c r="F564" s="855"/>
      <c r="G564" s="827" t="s">
        <v>81</v>
      </c>
      <c r="H564" s="981" t="s">
        <v>564</v>
      </c>
      <c r="I564" s="828"/>
      <c r="J564" s="829"/>
      <c r="K564" s="828"/>
      <c r="L564" s="856"/>
      <c r="M564" s="784"/>
      <c r="N564" s="857"/>
    </row>
    <row r="565" spans="1:14" s="31" customFormat="1" ht="17.25" customHeight="1">
      <c r="A565" s="830" t="s">
        <v>82</v>
      </c>
      <c r="B565" s="982" t="s">
        <v>565</v>
      </c>
      <c r="C565" s="828"/>
      <c r="D565" s="828"/>
      <c r="E565" s="828"/>
      <c r="F565" s="855"/>
      <c r="G565" s="830" t="s">
        <v>82</v>
      </c>
      <c r="H565" s="982" t="s">
        <v>565</v>
      </c>
      <c r="I565" s="828"/>
      <c r="J565" s="828"/>
      <c r="K565" s="828"/>
      <c r="L565" s="856"/>
      <c r="M565" s="784"/>
      <c r="N565" s="857"/>
    </row>
    <row r="566" spans="1:14" s="31" customFormat="1" ht="17.25" customHeight="1">
      <c r="A566" s="830" t="s">
        <v>83</v>
      </c>
      <c r="B566" s="983" t="s">
        <v>566</v>
      </c>
      <c r="C566" s="828"/>
      <c r="D566" s="828"/>
      <c r="E566" s="823">
        <f>SUM(E565)</f>
        <v>0</v>
      </c>
      <c r="F566" s="855"/>
      <c r="G566" s="830" t="s">
        <v>83</v>
      </c>
      <c r="H566" s="983" t="s">
        <v>566</v>
      </c>
      <c r="I566" s="828"/>
      <c r="J566" s="828"/>
      <c r="K566" s="823">
        <f>SUM(K565)</f>
        <v>0</v>
      </c>
      <c r="L566" s="856"/>
      <c r="M566" s="831">
        <f>E566+K566</f>
        <v>0</v>
      </c>
      <c r="N566" s="857"/>
    </row>
    <row r="567" spans="1:14" s="31" customFormat="1" ht="17.25" customHeight="1">
      <c r="A567" s="832" t="s">
        <v>84</v>
      </c>
      <c r="B567" s="984" t="s">
        <v>438</v>
      </c>
      <c r="C567" s="833"/>
      <c r="D567" s="833"/>
      <c r="E567" s="833">
        <f>(E555+E556+E557+E558+E559+E560+E561+E562+E563)-E566</f>
        <v>2979090.544276176</v>
      </c>
      <c r="F567" s="855"/>
      <c r="G567" s="832" t="s">
        <v>84</v>
      </c>
      <c r="H567" s="984" t="s">
        <v>438</v>
      </c>
      <c r="I567" s="833"/>
      <c r="J567" s="833"/>
      <c r="K567" s="833">
        <f>(K555+K556+K557+K558+K559+K560+K561+K562+K563)-K566</f>
        <v>2449410.2093459535</v>
      </c>
      <c r="L567" s="835">
        <f>E567+K567</f>
        <v>5428500.7536221296</v>
      </c>
      <c r="M567" s="784"/>
      <c r="N567" s="857"/>
    </row>
    <row r="568" spans="1:14" s="31" customFormat="1" ht="17.25" customHeight="1">
      <c r="A568" s="838"/>
      <c r="B568" s="844"/>
      <c r="C568" s="845"/>
      <c r="D568" s="845"/>
      <c r="E568" s="843"/>
      <c r="F568" s="855"/>
      <c r="G568" s="838"/>
      <c r="H568" s="844"/>
      <c r="I568" s="845"/>
      <c r="J568" s="843"/>
      <c r="K568" s="974"/>
      <c r="L568" s="856"/>
      <c r="M568" s="784"/>
      <c r="N568" s="857"/>
    </row>
    <row r="569" spans="1:14" s="31" customFormat="1" ht="17.25" customHeight="1">
      <c r="A569" s="1615" t="str">
        <f>A552</f>
        <v>LƯƠNG THÁNG 01/2025</v>
      </c>
      <c r="B569" s="1616"/>
      <c r="C569" s="1616"/>
      <c r="D569" s="1616"/>
      <c r="E569" s="898">
        <v>67</v>
      </c>
      <c r="F569" s="855"/>
      <c r="G569" s="1615" t="str">
        <f>A569</f>
        <v>LƯƠNG THÁNG 01/2025</v>
      </c>
      <c r="H569" s="1616"/>
      <c r="I569" s="1616"/>
      <c r="J569" s="1617"/>
      <c r="K569" s="898">
        <v>68</v>
      </c>
      <c r="L569" s="856"/>
      <c r="M569" s="784"/>
      <c r="N569" s="857"/>
    </row>
    <row r="570" spans="1:14" s="31" customFormat="1" ht="17.25" customHeight="1">
      <c r="A570" s="837" t="s">
        <v>17</v>
      </c>
      <c r="B570" s="976" t="str">
        <f>'CNKT '!C82</f>
        <v>T. Nọi</v>
      </c>
      <c r="C570" s="819"/>
      <c r="D570" s="973" t="s">
        <v>398</v>
      </c>
      <c r="E570" s="973" t="s">
        <v>20</v>
      </c>
      <c r="F570" s="855"/>
      <c r="G570" s="837" t="s">
        <v>17</v>
      </c>
      <c r="H570" s="976" t="str">
        <f>'CNKT '!C83</f>
        <v>T. Ê</v>
      </c>
      <c r="I570" s="819"/>
      <c r="J570" s="973" t="s">
        <v>398</v>
      </c>
      <c r="K570" s="973" t="s">
        <v>20</v>
      </c>
      <c r="L570" s="856"/>
      <c r="M570" s="784"/>
      <c r="N570" s="857"/>
    </row>
    <row r="571" spans="1:14" s="31" customFormat="1" ht="17.25" customHeight="1">
      <c r="A571" s="821" t="s">
        <v>399</v>
      </c>
      <c r="B571" s="978" t="s">
        <v>559</v>
      </c>
      <c r="C571" s="822" t="str">
        <f>VLOOKUP(B570,'BTH mủ tạp'!$C$17:$AL$94,36,0)</f>
        <v>A</v>
      </c>
      <c r="D571" s="823"/>
      <c r="E571" s="823"/>
      <c r="F571" s="855"/>
      <c r="G571" s="821" t="s">
        <v>399</v>
      </c>
      <c r="H571" s="978" t="s">
        <v>559</v>
      </c>
      <c r="I571" s="822" t="str">
        <f>VLOOKUP(H570,'BTH mủ tạp'!$C$17:$AL$94,36,0)</f>
        <v>B</v>
      </c>
      <c r="J571" s="823"/>
      <c r="K571" s="823"/>
      <c r="L571" s="856"/>
      <c r="M571" s="784"/>
      <c r="N571" s="857"/>
    </row>
    <row r="572" spans="1:14" s="31" customFormat="1" ht="17.25" customHeight="1">
      <c r="A572" s="821" t="s">
        <v>79</v>
      </c>
      <c r="B572" s="979" t="s">
        <v>432</v>
      </c>
      <c r="C572" s="824">
        <f>VLOOKUP(B570,'CNKT '!$C$16:$Z$96,3,0)</f>
        <v>0</v>
      </c>
      <c r="D572" s="825">
        <v>25000</v>
      </c>
      <c r="E572" s="823">
        <f t="shared" ref="E572:E579" si="66">C572*D572</f>
        <v>0</v>
      </c>
      <c r="F572" s="855"/>
      <c r="G572" s="821" t="s">
        <v>79</v>
      </c>
      <c r="H572" s="979" t="s">
        <v>432</v>
      </c>
      <c r="I572" s="824">
        <f>VLOOKUP(H570,'CNKT '!$C$16:$Z$96,3,0)</f>
        <v>0</v>
      </c>
      <c r="J572" s="825">
        <v>25000</v>
      </c>
      <c r="K572" s="823">
        <f t="shared" ref="K572:K579" si="67">I572*J572</f>
        <v>0</v>
      </c>
      <c r="L572" s="856"/>
      <c r="M572" s="784"/>
      <c r="N572" s="857"/>
    </row>
    <row r="573" spans="1:14" s="31" customFormat="1" ht="17.25" customHeight="1">
      <c r="A573" s="821" t="s">
        <v>310</v>
      </c>
      <c r="B573" s="980" t="s">
        <v>560</v>
      </c>
      <c r="C573" s="879">
        <f>VLOOKUP(B570,'CNKT '!$C$16:$Z$96,11,0)</f>
        <v>27</v>
      </c>
      <c r="D573" s="826">
        <f>46.1*$B$2</f>
        <v>30805.403000000002</v>
      </c>
      <c r="E573" s="823">
        <f t="shared" si="66"/>
        <v>831745.88100000005</v>
      </c>
      <c r="F573" s="855"/>
      <c r="G573" s="821" t="s">
        <v>310</v>
      </c>
      <c r="H573" s="980" t="s">
        <v>560</v>
      </c>
      <c r="I573" s="879">
        <f>VLOOKUP(H570,'CNKT '!$C$16:$Z$96,11,0)</f>
        <v>18</v>
      </c>
      <c r="J573" s="826">
        <f>46.1*$B$2</f>
        <v>30805.403000000002</v>
      </c>
      <c r="K573" s="823">
        <f t="shared" si="67"/>
        <v>554497.25400000007</v>
      </c>
      <c r="L573" s="856"/>
      <c r="M573" s="784"/>
      <c r="N573" s="857"/>
    </row>
    <row r="574" spans="1:14" s="31" customFormat="1" ht="17.25" customHeight="1">
      <c r="A574" s="821" t="s">
        <v>401</v>
      </c>
      <c r="B574" s="980" t="s">
        <v>561</v>
      </c>
      <c r="C574" s="879">
        <f>VLOOKUP(B570,'CNKT '!$C$16:$Z$96,12,0)</f>
        <v>4</v>
      </c>
      <c r="D574" s="825">
        <f>76.9*$B$2</f>
        <v>51386.887000000002</v>
      </c>
      <c r="E574" s="823">
        <f t="shared" si="66"/>
        <v>205547.54800000001</v>
      </c>
      <c r="F574" s="855"/>
      <c r="G574" s="821" t="s">
        <v>401</v>
      </c>
      <c r="H574" s="980" t="s">
        <v>561</v>
      </c>
      <c r="I574" s="879">
        <f>VLOOKUP(H570,'CNKT '!$C$16:$Z$96,12,0)</f>
        <v>3</v>
      </c>
      <c r="J574" s="825">
        <f>76.9*$B$2</f>
        <v>51386.887000000002</v>
      </c>
      <c r="K574" s="823">
        <f t="shared" si="67"/>
        <v>154160.66100000002</v>
      </c>
      <c r="L574" s="856"/>
      <c r="M574" s="784"/>
      <c r="N574" s="857"/>
    </row>
    <row r="575" spans="1:14" s="31" customFormat="1" ht="17.25" customHeight="1">
      <c r="A575" s="821" t="s">
        <v>80</v>
      </c>
      <c r="B575" s="980" t="s">
        <v>562</v>
      </c>
      <c r="C575" s="879">
        <f>VLOOKUP(B570,'CNKT '!$C$16:$Z$96,8,0)</f>
        <v>649.04234249573824</v>
      </c>
      <c r="D575" s="825">
        <f>IF(C571="A",6.1,IF(C571="B",5.8,IF(C571="C",5.5,IF(C571="C.",5.5,IF(C571="D",5.2)))))*$B$2</f>
        <v>4076.203</v>
      </c>
      <c r="E575" s="823">
        <f t="shared" si="66"/>
        <v>2645628.3436081558</v>
      </c>
      <c r="F575" s="855"/>
      <c r="G575" s="821" t="s">
        <v>80</v>
      </c>
      <c r="H575" s="980" t="s">
        <v>562</v>
      </c>
      <c r="I575" s="879">
        <f>VLOOKUP(H570,'CNKT '!$C$16:$Z$96,8,0)</f>
        <v>210.01449215249758</v>
      </c>
      <c r="J575" s="825">
        <f>IF(I571="A",6.1,IF(I571="B",5.8,IF(I571="C",5.5,IF(I571="C.",5.5,IF(I571="D",5.2)))))*$B$2</f>
        <v>3875.7339999999999</v>
      </c>
      <c r="K575" s="823">
        <f t="shared" si="67"/>
        <v>813960.30772816809</v>
      </c>
      <c r="L575" s="856"/>
      <c r="M575" s="784"/>
      <c r="N575" s="857"/>
    </row>
    <row r="576" spans="1:14" s="31" customFormat="1" ht="17.25" customHeight="1">
      <c r="A576" s="821" t="s">
        <v>495</v>
      </c>
      <c r="B576" s="980" t="s">
        <v>563</v>
      </c>
      <c r="C576" s="879">
        <f>VLOOKUP(B570,'CNKT '!$C$16:$Z$96,15,0)</f>
        <v>0</v>
      </c>
      <c r="D576" s="826">
        <f>92.2*$B$2</f>
        <v>61610.806000000004</v>
      </c>
      <c r="E576" s="823">
        <f t="shared" si="66"/>
        <v>0</v>
      </c>
      <c r="F576" s="855"/>
      <c r="G576" s="821" t="s">
        <v>495</v>
      </c>
      <c r="H576" s="980" t="s">
        <v>563</v>
      </c>
      <c r="I576" s="879">
        <f>VLOOKUP(H570,'CNKT '!$C$16:$Z$96,15,0)</f>
        <v>0</v>
      </c>
      <c r="J576" s="826">
        <f>92.2*$B$2</f>
        <v>61610.806000000004</v>
      </c>
      <c r="K576" s="823">
        <f t="shared" si="67"/>
        <v>0</v>
      </c>
      <c r="L576" s="856"/>
      <c r="M576" s="784"/>
      <c r="N576" s="857"/>
    </row>
    <row r="577" spans="1:14" s="31" customFormat="1" ht="17.25" customHeight="1">
      <c r="A577" s="821" t="s">
        <v>496</v>
      </c>
      <c r="B577" s="980" t="s">
        <v>500</v>
      </c>
      <c r="C577" s="879">
        <f>VLOOKUP(B570,'CNKT '!$C$16:$Z$96,16,0)</f>
        <v>0</v>
      </c>
      <c r="D577" s="825">
        <f>153.8*$B$2</f>
        <v>102773.774</v>
      </c>
      <c r="E577" s="823">
        <f t="shared" si="66"/>
        <v>0</v>
      </c>
      <c r="F577" s="855"/>
      <c r="G577" s="821" t="s">
        <v>496</v>
      </c>
      <c r="H577" s="980" t="s">
        <v>500</v>
      </c>
      <c r="I577" s="879">
        <f>VLOOKUP(H570,'CNKT '!$C$16:$Z$96,16,0)</f>
        <v>0</v>
      </c>
      <c r="J577" s="825">
        <f>153.8*$B$2</f>
        <v>102773.774</v>
      </c>
      <c r="K577" s="823">
        <f t="shared" si="67"/>
        <v>0</v>
      </c>
      <c r="L577" s="856"/>
      <c r="M577" s="784"/>
      <c r="N577" s="857"/>
    </row>
    <row r="578" spans="1:14" s="31" customFormat="1" ht="17.25" customHeight="1">
      <c r="A578" s="821" t="s">
        <v>455</v>
      </c>
      <c r="B578" s="980" t="s">
        <v>501</v>
      </c>
      <c r="C578" s="879">
        <f>VLOOKUP(B570,'CNKT '!$C$16:$Z$96,18,0)</f>
        <v>0</v>
      </c>
      <c r="D578" s="825">
        <v>10000</v>
      </c>
      <c r="E578" s="823">
        <f t="shared" si="66"/>
        <v>0</v>
      </c>
      <c r="F578" s="855"/>
      <c r="G578" s="821" t="s">
        <v>455</v>
      </c>
      <c r="H578" s="980" t="s">
        <v>501</v>
      </c>
      <c r="I578" s="879">
        <f>VLOOKUP(H570,'CNKT '!$C$16:$Z$96,18,0)</f>
        <v>0</v>
      </c>
      <c r="J578" s="825">
        <v>10000</v>
      </c>
      <c r="K578" s="823">
        <f t="shared" si="67"/>
        <v>0</v>
      </c>
      <c r="L578" s="856"/>
      <c r="M578" s="784"/>
      <c r="N578" s="857"/>
    </row>
    <row r="579" spans="1:14" s="31" customFormat="1" ht="17.25" customHeight="1">
      <c r="A579" s="821" t="s">
        <v>455</v>
      </c>
      <c r="B579" s="980" t="s">
        <v>501</v>
      </c>
      <c r="C579" s="879">
        <f>VLOOKUP(B570,'CNKT '!$C$16:$Z$96,19,0)</f>
        <v>0</v>
      </c>
      <c r="D579" s="825">
        <v>20000</v>
      </c>
      <c r="E579" s="823">
        <f t="shared" si="66"/>
        <v>0</v>
      </c>
      <c r="F579" s="855"/>
      <c r="G579" s="821" t="s">
        <v>455</v>
      </c>
      <c r="H579" s="980" t="s">
        <v>501</v>
      </c>
      <c r="I579" s="879">
        <f>VLOOKUP(H570,'CNKT '!$C$16:$Z$96,19,0)</f>
        <v>0</v>
      </c>
      <c r="J579" s="825">
        <v>20000</v>
      </c>
      <c r="K579" s="823">
        <f t="shared" si="67"/>
        <v>0</v>
      </c>
      <c r="L579" s="856"/>
      <c r="M579" s="784"/>
      <c r="N579" s="857"/>
    </row>
    <row r="580" spans="1:14" s="31" customFormat="1" ht="17.25" customHeight="1">
      <c r="A580" s="821" t="s">
        <v>517</v>
      </c>
      <c r="B580" s="980" t="s">
        <v>519</v>
      </c>
      <c r="C580" s="879"/>
      <c r="D580" s="825"/>
      <c r="E580" s="823"/>
      <c r="F580" s="855"/>
      <c r="G580" s="821" t="s">
        <v>517</v>
      </c>
      <c r="H580" s="980" t="s">
        <v>519</v>
      </c>
      <c r="I580" s="879"/>
      <c r="J580" s="825"/>
      <c r="K580" s="823"/>
      <c r="L580" s="856"/>
      <c r="M580" s="784"/>
      <c r="N580" s="857"/>
    </row>
    <row r="581" spans="1:14" s="31" customFormat="1" ht="17.25" customHeight="1">
      <c r="A581" s="827" t="s">
        <v>81</v>
      </c>
      <c r="B581" s="981" t="s">
        <v>564</v>
      </c>
      <c r="C581" s="828"/>
      <c r="D581" s="829"/>
      <c r="E581" s="828"/>
      <c r="F581" s="855"/>
      <c r="G581" s="827" t="s">
        <v>81</v>
      </c>
      <c r="H581" s="981" t="s">
        <v>564</v>
      </c>
      <c r="I581" s="828"/>
      <c r="J581" s="829"/>
      <c r="K581" s="828"/>
      <c r="L581" s="856"/>
      <c r="M581" s="784"/>
      <c r="N581" s="857"/>
    </row>
    <row r="582" spans="1:14" s="31" customFormat="1" ht="17.25" customHeight="1">
      <c r="A582" s="830" t="s">
        <v>82</v>
      </c>
      <c r="B582" s="982" t="s">
        <v>565</v>
      </c>
      <c r="C582" s="828"/>
      <c r="D582" s="828"/>
      <c r="E582" s="828"/>
      <c r="F582" s="855"/>
      <c r="G582" s="830" t="s">
        <v>82</v>
      </c>
      <c r="H582" s="982" t="s">
        <v>565</v>
      </c>
      <c r="I582" s="828"/>
      <c r="J582" s="828"/>
      <c r="K582" s="828"/>
      <c r="L582" s="856"/>
      <c r="M582" s="784"/>
      <c r="N582" s="857"/>
    </row>
    <row r="583" spans="1:14" s="31" customFormat="1" ht="17.25" customHeight="1">
      <c r="A583" s="830" t="s">
        <v>83</v>
      </c>
      <c r="B583" s="983" t="s">
        <v>566</v>
      </c>
      <c r="C583" s="828"/>
      <c r="D583" s="828"/>
      <c r="E583" s="823">
        <f>SUM(E582)</f>
        <v>0</v>
      </c>
      <c r="F583" s="855"/>
      <c r="G583" s="830" t="s">
        <v>83</v>
      </c>
      <c r="H583" s="983" t="s">
        <v>566</v>
      </c>
      <c r="I583" s="828"/>
      <c r="J583" s="828"/>
      <c r="K583" s="823">
        <f>SUM(K582)</f>
        <v>0</v>
      </c>
      <c r="L583" s="856"/>
      <c r="M583" s="831">
        <f>E583+K583</f>
        <v>0</v>
      </c>
      <c r="N583" s="857"/>
    </row>
    <row r="584" spans="1:14" s="31" customFormat="1" ht="17.25" customHeight="1">
      <c r="A584" s="832" t="s">
        <v>84</v>
      </c>
      <c r="B584" s="984" t="s">
        <v>438</v>
      </c>
      <c r="C584" s="833"/>
      <c r="D584" s="833"/>
      <c r="E584" s="833">
        <f>(E572+E573+E574+E575+E576+E577+E578+E579+E580)-E583</f>
        <v>3682921.7726081559</v>
      </c>
      <c r="F584" s="855"/>
      <c r="G584" s="832" t="s">
        <v>84</v>
      </c>
      <c r="H584" s="984" t="s">
        <v>438</v>
      </c>
      <c r="I584" s="833"/>
      <c r="J584" s="833"/>
      <c r="K584" s="833">
        <f>(K572+K573+K574+K575+K576+K577+K578+K579+K580)-K583</f>
        <v>1522618.2227281681</v>
      </c>
      <c r="L584" s="835">
        <f>E584+K584</f>
        <v>5205539.995336324</v>
      </c>
      <c r="M584" s="784"/>
      <c r="N584" s="857"/>
    </row>
    <row r="585" spans="1:14" s="31" customFormat="1" ht="17.25" customHeight="1">
      <c r="A585" s="838"/>
      <c r="B585" s="844"/>
      <c r="C585" s="845"/>
      <c r="D585" s="845"/>
      <c r="E585" s="843"/>
      <c r="F585" s="855"/>
      <c r="G585" s="838"/>
      <c r="H585" s="844"/>
      <c r="I585" s="845"/>
      <c r="J585" s="843"/>
      <c r="K585" s="974"/>
      <c r="L585" s="856"/>
      <c r="M585" s="784"/>
      <c r="N585" s="857"/>
    </row>
    <row r="586" spans="1:14" s="31" customFormat="1" ht="17.25" customHeight="1">
      <c r="A586" s="1615" t="str">
        <f>A569</f>
        <v>LƯƠNG THÁNG 01/2025</v>
      </c>
      <c r="B586" s="1616"/>
      <c r="C586" s="1616"/>
      <c r="D586" s="1616"/>
      <c r="E586" s="898">
        <v>69</v>
      </c>
      <c r="F586" s="855"/>
      <c r="G586" s="1615" t="str">
        <f>A586</f>
        <v>LƯƠNG THÁNG 01/2025</v>
      </c>
      <c r="H586" s="1616"/>
      <c r="I586" s="1616"/>
      <c r="J586" s="1617"/>
      <c r="K586" s="898">
        <v>70</v>
      </c>
      <c r="L586" s="856"/>
      <c r="M586" s="784"/>
      <c r="N586" s="857"/>
    </row>
    <row r="587" spans="1:14" s="31" customFormat="1" ht="17.25" customHeight="1">
      <c r="A587" s="837" t="s">
        <v>17</v>
      </c>
      <c r="B587" s="976" t="str">
        <f>'CNKT '!C84</f>
        <v>T Bun</v>
      </c>
      <c r="C587" s="819"/>
      <c r="D587" s="973" t="s">
        <v>398</v>
      </c>
      <c r="E587" s="973" t="s">
        <v>20</v>
      </c>
      <c r="F587" s="855"/>
      <c r="G587" s="837" t="s">
        <v>17</v>
      </c>
      <c r="H587" s="976" t="str">
        <f>'CNKT '!C85</f>
        <v>N. Xi</v>
      </c>
      <c r="I587" s="819"/>
      <c r="J587" s="973" t="s">
        <v>398</v>
      </c>
      <c r="K587" s="973" t="s">
        <v>20</v>
      </c>
      <c r="L587" s="856"/>
      <c r="M587" s="784"/>
      <c r="N587" s="857"/>
    </row>
    <row r="588" spans="1:14" s="31" customFormat="1" ht="17.25" customHeight="1">
      <c r="A588" s="821" t="s">
        <v>399</v>
      </c>
      <c r="B588" s="978" t="s">
        <v>559</v>
      </c>
      <c r="C588" s="822" t="str">
        <f>VLOOKUP(B587,'BTH mủ tạp'!$C$17:$AL$94,36,0)</f>
        <v>A</v>
      </c>
      <c r="D588" s="823"/>
      <c r="E588" s="823"/>
      <c r="F588" s="855"/>
      <c r="G588" s="821" t="s">
        <v>399</v>
      </c>
      <c r="H588" s="978" t="s">
        <v>559</v>
      </c>
      <c r="I588" s="822" t="str">
        <f>VLOOKUP(H587,'BTH mủ tạp'!$C$17:$AL$94,36,0)</f>
        <v>A</v>
      </c>
      <c r="J588" s="823"/>
      <c r="K588" s="823"/>
      <c r="L588" s="856"/>
      <c r="M588" s="784"/>
      <c r="N588" s="857"/>
    </row>
    <row r="589" spans="1:14" s="31" customFormat="1" ht="17.25" customHeight="1">
      <c r="A589" s="821" t="s">
        <v>79</v>
      </c>
      <c r="B589" s="979" t="s">
        <v>432</v>
      </c>
      <c r="C589" s="824">
        <f>VLOOKUP(B587,'CNKT '!$C$16:$Z$96,3,0)</f>
        <v>0</v>
      </c>
      <c r="D589" s="825">
        <v>25000</v>
      </c>
      <c r="E589" s="823">
        <f t="shared" ref="E589:E596" si="68">C589*D589</f>
        <v>0</v>
      </c>
      <c r="F589" s="855"/>
      <c r="G589" s="821" t="s">
        <v>79</v>
      </c>
      <c r="H589" s="979" t="s">
        <v>432</v>
      </c>
      <c r="I589" s="824">
        <f>VLOOKUP(H587,'CNKT '!$C$16:$Z$96,3,0)</f>
        <v>0</v>
      </c>
      <c r="J589" s="825">
        <v>25000</v>
      </c>
      <c r="K589" s="823">
        <f t="shared" ref="K589:K596" si="69">I589*J589</f>
        <v>0</v>
      </c>
      <c r="L589" s="856"/>
      <c r="M589" s="784"/>
      <c r="N589" s="857"/>
    </row>
    <row r="590" spans="1:14" s="31" customFormat="1" ht="17.25" customHeight="1">
      <c r="A590" s="821" t="s">
        <v>310</v>
      </c>
      <c r="B590" s="980" t="s">
        <v>560</v>
      </c>
      <c r="C590" s="879">
        <f>VLOOKUP(B587,'CNKT '!$C$16:$Z$96,11,0)</f>
        <v>23</v>
      </c>
      <c r="D590" s="826">
        <f>46.1*$B$2</f>
        <v>30805.403000000002</v>
      </c>
      <c r="E590" s="823">
        <f t="shared" si="68"/>
        <v>708524.26900000009</v>
      </c>
      <c r="F590" s="855"/>
      <c r="G590" s="821" t="s">
        <v>310</v>
      </c>
      <c r="H590" s="980" t="s">
        <v>560</v>
      </c>
      <c r="I590" s="879">
        <f>VLOOKUP(H587,'CNKT '!$C$16:$Z$96,11,0)</f>
        <v>26</v>
      </c>
      <c r="J590" s="826">
        <f>46.1*$B$2</f>
        <v>30805.403000000002</v>
      </c>
      <c r="K590" s="823">
        <f t="shared" si="69"/>
        <v>800940.478</v>
      </c>
      <c r="L590" s="856"/>
      <c r="M590" s="784"/>
      <c r="N590" s="857"/>
    </row>
    <row r="591" spans="1:14" s="31" customFormat="1" ht="17.25" customHeight="1">
      <c r="A591" s="821" t="s">
        <v>401</v>
      </c>
      <c r="B591" s="980" t="s">
        <v>561</v>
      </c>
      <c r="C591" s="879">
        <f>VLOOKUP(B587,'CNKT '!$C$16:$Z$96,12,0)</f>
        <v>3</v>
      </c>
      <c r="D591" s="825">
        <f>76.9*$B$2</f>
        <v>51386.887000000002</v>
      </c>
      <c r="E591" s="823">
        <f t="shared" si="68"/>
        <v>154160.66100000002</v>
      </c>
      <c r="F591" s="855"/>
      <c r="G591" s="821" t="s">
        <v>401</v>
      </c>
      <c r="H591" s="980" t="s">
        <v>561</v>
      </c>
      <c r="I591" s="879">
        <f>VLOOKUP(H587,'CNKT '!$C$16:$Z$96,12,0)</f>
        <v>4</v>
      </c>
      <c r="J591" s="825">
        <f>76.9*$B$2</f>
        <v>51386.887000000002</v>
      </c>
      <c r="K591" s="823">
        <f t="shared" si="69"/>
        <v>205547.54800000001</v>
      </c>
      <c r="L591" s="856"/>
      <c r="M591" s="784"/>
      <c r="N591" s="857"/>
    </row>
    <row r="592" spans="1:14" s="31" customFormat="1" ht="17.25" customHeight="1">
      <c r="A592" s="821" t="s">
        <v>80</v>
      </c>
      <c r="B592" s="980" t="s">
        <v>562</v>
      </c>
      <c r="C592" s="879">
        <f>VLOOKUP(B587,'CNKT '!$C$16:$Z$96,8,0)</f>
        <v>730.17263530770549</v>
      </c>
      <c r="D592" s="825">
        <f>IF(C588="A",6.1,IF(C588="B",5.8,IF(C588="C",5.5,IF(C588="C.",5.5,IF(C588="D",5.2)))))*$B$2</f>
        <v>4076.203</v>
      </c>
      <c r="E592" s="823">
        <f t="shared" si="68"/>
        <v>2976331.8865591749</v>
      </c>
      <c r="F592" s="855"/>
      <c r="G592" s="821" t="s">
        <v>80</v>
      </c>
      <c r="H592" s="980" t="s">
        <v>562</v>
      </c>
      <c r="I592" s="879">
        <f>VLOOKUP(H587,'CNKT '!$C$16:$Z$96,8,0)</f>
        <v>844.16583153717852</v>
      </c>
      <c r="J592" s="825">
        <f>IF(I588="A",6.1,IF(I588="B",5.8,IF(I588="C",5.5,IF(I588="C.",5.5,IF(I588="D",5.2)))))*$B$2</f>
        <v>4076.203</v>
      </c>
      <c r="K592" s="823">
        <f t="shared" si="69"/>
        <v>3440991.2950093416</v>
      </c>
      <c r="L592" s="856"/>
      <c r="M592" s="784"/>
      <c r="N592" s="857"/>
    </row>
    <row r="593" spans="1:14" s="31" customFormat="1" ht="17.25" customHeight="1">
      <c r="A593" s="821" t="s">
        <v>495</v>
      </c>
      <c r="B593" s="980" t="s">
        <v>563</v>
      </c>
      <c r="C593" s="879">
        <f>VLOOKUP(B587,'CNKT '!$C$16:$Z$96,15,0)</f>
        <v>0</v>
      </c>
      <c r="D593" s="826">
        <f>92.2*$B$2</f>
        <v>61610.806000000004</v>
      </c>
      <c r="E593" s="823">
        <f t="shared" si="68"/>
        <v>0</v>
      </c>
      <c r="F593" s="855"/>
      <c r="G593" s="821" t="s">
        <v>495</v>
      </c>
      <c r="H593" s="980" t="s">
        <v>563</v>
      </c>
      <c r="I593" s="879">
        <f>VLOOKUP(H587,'CNKT '!$C$16:$Z$96,15,0)</f>
        <v>0</v>
      </c>
      <c r="J593" s="826">
        <f>92.2*$B$2</f>
        <v>61610.806000000004</v>
      </c>
      <c r="K593" s="823">
        <f t="shared" si="69"/>
        <v>0</v>
      </c>
      <c r="L593" s="856"/>
      <c r="M593" s="784"/>
      <c r="N593" s="857"/>
    </row>
    <row r="594" spans="1:14" s="31" customFormat="1" ht="17.25" customHeight="1">
      <c r="A594" s="821" t="s">
        <v>496</v>
      </c>
      <c r="B594" s="980" t="s">
        <v>500</v>
      </c>
      <c r="C594" s="879">
        <f>VLOOKUP(B587,'CNKT '!$C$16:$Z$96,16,0)</f>
        <v>0</v>
      </c>
      <c r="D594" s="825">
        <f>153.8*$B$2</f>
        <v>102773.774</v>
      </c>
      <c r="E594" s="823">
        <f t="shared" si="68"/>
        <v>0</v>
      </c>
      <c r="F594" s="855"/>
      <c r="G594" s="821" t="s">
        <v>496</v>
      </c>
      <c r="H594" s="980" t="s">
        <v>500</v>
      </c>
      <c r="I594" s="879">
        <f>VLOOKUP(H587,'CNKT '!$C$16:$Z$96,16,0)</f>
        <v>0</v>
      </c>
      <c r="J594" s="825">
        <f>153.8*$B$2</f>
        <v>102773.774</v>
      </c>
      <c r="K594" s="823">
        <f t="shared" si="69"/>
        <v>0</v>
      </c>
      <c r="L594" s="856"/>
      <c r="M594" s="784"/>
      <c r="N594" s="857"/>
    </row>
    <row r="595" spans="1:14" s="31" customFormat="1" ht="17.25" customHeight="1">
      <c r="A595" s="821" t="s">
        <v>455</v>
      </c>
      <c r="B595" s="980" t="s">
        <v>501</v>
      </c>
      <c r="C595" s="879">
        <f>VLOOKUP(B587,'CNKT '!$C$16:$Z$96,18,0)</f>
        <v>0</v>
      </c>
      <c r="D595" s="825">
        <v>10000</v>
      </c>
      <c r="E595" s="823">
        <f t="shared" si="68"/>
        <v>0</v>
      </c>
      <c r="F595" s="855"/>
      <c r="G595" s="821" t="s">
        <v>455</v>
      </c>
      <c r="H595" s="980" t="s">
        <v>501</v>
      </c>
      <c r="I595" s="879">
        <f>VLOOKUP(H587,'CNKT '!$C$16:$Z$96,18,0)</f>
        <v>0</v>
      </c>
      <c r="J595" s="825">
        <v>10000</v>
      </c>
      <c r="K595" s="823">
        <f t="shared" si="69"/>
        <v>0</v>
      </c>
      <c r="L595" s="856"/>
      <c r="M595" s="784"/>
      <c r="N595" s="857"/>
    </row>
    <row r="596" spans="1:14" s="31" customFormat="1" ht="17.25" customHeight="1">
      <c r="A596" s="821" t="s">
        <v>455</v>
      </c>
      <c r="B596" s="980" t="s">
        <v>501</v>
      </c>
      <c r="C596" s="879">
        <f>VLOOKUP(B587,'CNKT '!$C$16:$Z$96,19,0)</f>
        <v>0</v>
      </c>
      <c r="D596" s="825">
        <v>20000</v>
      </c>
      <c r="E596" s="823">
        <f t="shared" si="68"/>
        <v>0</v>
      </c>
      <c r="F596" s="855"/>
      <c r="G596" s="821" t="s">
        <v>455</v>
      </c>
      <c r="H596" s="980" t="s">
        <v>501</v>
      </c>
      <c r="I596" s="879">
        <f>VLOOKUP(H587,'CNKT '!$C$16:$Z$96,19,0)</f>
        <v>0</v>
      </c>
      <c r="J596" s="825">
        <v>20000</v>
      </c>
      <c r="K596" s="823">
        <f t="shared" si="69"/>
        <v>0</v>
      </c>
      <c r="L596" s="856"/>
      <c r="M596" s="784"/>
      <c r="N596" s="857"/>
    </row>
    <row r="597" spans="1:14" s="31" customFormat="1" ht="17.25" customHeight="1">
      <c r="A597" s="821" t="s">
        <v>517</v>
      </c>
      <c r="B597" s="980" t="s">
        <v>519</v>
      </c>
      <c r="C597" s="879"/>
      <c r="D597" s="825"/>
      <c r="E597" s="823"/>
      <c r="F597" s="855"/>
      <c r="G597" s="821" t="s">
        <v>517</v>
      </c>
      <c r="H597" s="980" t="s">
        <v>519</v>
      </c>
      <c r="I597" s="879"/>
      <c r="J597" s="825"/>
      <c r="K597" s="823"/>
      <c r="L597" s="856"/>
      <c r="M597" s="784"/>
      <c r="N597" s="857"/>
    </row>
    <row r="598" spans="1:14" s="31" customFormat="1" ht="17.25" customHeight="1">
      <c r="A598" s="827" t="s">
        <v>81</v>
      </c>
      <c r="B598" s="981" t="s">
        <v>564</v>
      </c>
      <c r="C598" s="828"/>
      <c r="D598" s="829"/>
      <c r="E598" s="828"/>
      <c r="F598" s="855"/>
      <c r="G598" s="827" t="s">
        <v>81</v>
      </c>
      <c r="H598" s="981" t="s">
        <v>564</v>
      </c>
      <c r="I598" s="828"/>
      <c r="J598" s="829"/>
      <c r="K598" s="828"/>
      <c r="L598" s="856"/>
      <c r="M598" s="784"/>
      <c r="N598" s="857"/>
    </row>
    <row r="599" spans="1:14" s="31" customFormat="1" ht="17.25" customHeight="1">
      <c r="A599" s="830" t="s">
        <v>82</v>
      </c>
      <c r="B599" s="982" t="s">
        <v>565</v>
      </c>
      <c r="C599" s="828"/>
      <c r="D599" s="828"/>
      <c r="E599" s="828"/>
      <c r="F599" s="855"/>
      <c r="G599" s="830" t="s">
        <v>82</v>
      </c>
      <c r="H599" s="982" t="s">
        <v>565</v>
      </c>
      <c r="I599" s="828"/>
      <c r="J599" s="828"/>
      <c r="K599" s="828"/>
      <c r="L599" s="856"/>
      <c r="M599" s="784"/>
      <c r="N599" s="857"/>
    </row>
    <row r="600" spans="1:14" s="31" customFormat="1" ht="17.25" customHeight="1">
      <c r="A600" s="830" t="s">
        <v>83</v>
      </c>
      <c r="B600" s="983" t="s">
        <v>566</v>
      </c>
      <c r="C600" s="828"/>
      <c r="D600" s="828"/>
      <c r="E600" s="823">
        <f>SUM(E599)</f>
        <v>0</v>
      </c>
      <c r="F600" s="855"/>
      <c r="G600" s="830" t="s">
        <v>83</v>
      </c>
      <c r="H600" s="983" t="s">
        <v>566</v>
      </c>
      <c r="I600" s="828"/>
      <c r="J600" s="828"/>
      <c r="K600" s="823">
        <f>SUM(K599)</f>
        <v>0</v>
      </c>
      <c r="L600" s="856"/>
      <c r="M600" s="831">
        <f>E600+K600</f>
        <v>0</v>
      </c>
      <c r="N600" s="857"/>
    </row>
    <row r="601" spans="1:14" s="31" customFormat="1" ht="17.25" customHeight="1">
      <c r="A601" s="832" t="s">
        <v>84</v>
      </c>
      <c r="B601" s="984" t="s">
        <v>438</v>
      </c>
      <c r="C601" s="833"/>
      <c r="D601" s="833"/>
      <c r="E601" s="833">
        <f>(E589+E590+E591+E592+E593+E594+E595+E596+E597)-E600</f>
        <v>3839016.816559175</v>
      </c>
      <c r="F601" s="855"/>
      <c r="G601" s="832" t="s">
        <v>84</v>
      </c>
      <c r="H601" s="984" t="s">
        <v>438</v>
      </c>
      <c r="I601" s="833"/>
      <c r="J601" s="833"/>
      <c r="K601" s="833">
        <f>(K589+K590+K591+K592+K593+K594+K595+K596+K597)-K600</f>
        <v>4447479.3210093416</v>
      </c>
      <c r="L601" s="835">
        <f>E601+K601</f>
        <v>8286496.1375685167</v>
      </c>
      <c r="M601" s="784"/>
      <c r="N601" s="857"/>
    </row>
    <row r="602" spans="1:14" s="31" customFormat="1" ht="70.5" customHeight="1">
      <c r="A602" s="847"/>
      <c r="B602" s="842"/>
      <c r="C602" s="842"/>
      <c r="D602" s="842"/>
      <c r="E602" s="842"/>
      <c r="F602" s="855"/>
      <c r="G602" s="847"/>
      <c r="H602" s="842"/>
      <c r="I602" s="842"/>
      <c r="J602" s="842"/>
      <c r="K602" s="974"/>
      <c r="L602" s="856"/>
      <c r="M602" s="784"/>
      <c r="N602" s="857"/>
    </row>
    <row r="603" spans="1:14" s="31" customFormat="1" ht="17.25" customHeight="1">
      <c r="A603" s="1615" t="str">
        <f>A586</f>
        <v>LƯƠNG THÁNG 01/2025</v>
      </c>
      <c r="B603" s="1616"/>
      <c r="C603" s="1616"/>
      <c r="D603" s="1616"/>
      <c r="E603" s="898">
        <v>71</v>
      </c>
      <c r="F603" s="855"/>
      <c r="G603" s="1615" t="str">
        <f>A603</f>
        <v>LƯƠNG THÁNG 01/2025</v>
      </c>
      <c r="H603" s="1616"/>
      <c r="I603" s="1616"/>
      <c r="J603" s="1617"/>
      <c r="K603" s="898">
        <v>72</v>
      </c>
      <c r="L603" s="856"/>
      <c r="M603" s="784"/>
      <c r="N603" s="857"/>
    </row>
    <row r="604" spans="1:14" s="31" customFormat="1" ht="17.25" customHeight="1">
      <c r="A604" s="837" t="s">
        <v>17</v>
      </c>
      <c r="B604" s="976" t="str">
        <f>'CNKT '!C86</f>
        <v>N. Chay</v>
      </c>
      <c r="C604" s="819"/>
      <c r="D604" s="973" t="s">
        <v>398</v>
      </c>
      <c r="E604" s="973" t="s">
        <v>20</v>
      </c>
      <c r="F604" s="855"/>
      <c r="G604" s="837" t="s">
        <v>17</v>
      </c>
      <c r="H604" s="976" t="str">
        <f>'CNKT '!C87</f>
        <v>T. Ta</v>
      </c>
      <c r="I604" s="819"/>
      <c r="J604" s="973" t="s">
        <v>398</v>
      </c>
      <c r="K604" s="973" t="s">
        <v>20</v>
      </c>
      <c r="L604" s="856"/>
      <c r="M604" s="784"/>
      <c r="N604" s="857"/>
    </row>
    <row r="605" spans="1:14" s="31" customFormat="1" ht="17.25" customHeight="1">
      <c r="A605" s="821" t="s">
        <v>399</v>
      </c>
      <c r="B605" s="978" t="s">
        <v>559</v>
      </c>
      <c r="C605" s="822" t="str">
        <f>VLOOKUP(B604,'BTH mủ tạp'!$C$17:$AL$94,36,0)</f>
        <v>A</v>
      </c>
      <c r="D605" s="823"/>
      <c r="E605" s="823"/>
      <c r="F605" s="855"/>
      <c r="G605" s="821" t="s">
        <v>399</v>
      </c>
      <c r="H605" s="978" t="s">
        <v>559</v>
      </c>
      <c r="I605" s="822" t="str">
        <f>VLOOKUP(H604,'BTH mủ tạp'!$C$17:$AL$94,36,0)</f>
        <v>A</v>
      </c>
      <c r="J605" s="823"/>
      <c r="K605" s="823"/>
      <c r="L605" s="856"/>
      <c r="M605" s="784"/>
      <c r="N605" s="857"/>
    </row>
    <row r="606" spans="1:14" s="31" customFormat="1" ht="17.25" customHeight="1">
      <c r="A606" s="821" t="s">
        <v>79</v>
      </c>
      <c r="B606" s="979" t="s">
        <v>432</v>
      </c>
      <c r="C606" s="824">
        <f>VLOOKUP(B604,'CNKT '!$C$16:$Z$96,3,0)</f>
        <v>0</v>
      </c>
      <c r="D606" s="825">
        <v>25000</v>
      </c>
      <c r="E606" s="823">
        <f t="shared" ref="E606:E613" si="70">C606*D606</f>
        <v>0</v>
      </c>
      <c r="F606" s="855"/>
      <c r="G606" s="821" t="s">
        <v>79</v>
      </c>
      <c r="H606" s="979" t="s">
        <v>432</v>
      </c>
      <c r="I606" s="824">
        <f>VLOOKUP(H604,'CNKT '!$C$16:$Z$96,3,0)</f>
        <v>0</v>
      </c>
      <c r="J606" s="825">
        <v>25000</v>
      </c>
      <c r="K606" s="823">
        <f t="shared" ref="K606:K613" si="71">I606*J606</f>
        <v>0</v>
      </c>
      <c r="L606" s="856"/>
      <c r="M606" s="784"/>
      <c r="N606" s="857"/>
    </row>
    <row r="607" spans="1:14" s="31" customFormat="1" ht="17.25" customHeight="1">
      <c r="A607" s="821" t="s">
        <v>310</v>
      </c>
      <c r="B607" s="980" t="s">
        <v>560</v>
      </c>
      <c r="C607" s="879">
        <f>VLOOKUP(B604,'CNKT '!$C$16:$Z$96,11,0)</f>
        <v>25</v>
      </c>
      <c r="D607" s="826">
        <f>46.1*$B$2</f>
        <v>30805.403000000002</v>
      </c>
      <c r="E607" s="823">
        <f t="shared" si="70"/>
        <v>770135.07500000007</v>
      </c>
      <c r="F607" s="855"/>
      <c r="G607" s="821" t="s">
        <v>310</v>
      </c>
      <c r="H607" s="980" t="s">
        <v>560</v>
      </c>
      <c r="I607" s="879">
        <f>VLOOKUP(H604,'CNKT '!$C$16:$Z$96,11,0)</f>
        <v>27</v>
      </c>
      <c r="J607" s="826">
        <f>46.1*$B$2</f>
        <v>30805.403000000002</v>
      </c>
      <c r="K607" s="823">
        <f t="shared" si="71"/>
        <v>831745.88100000005</v>
      </c>
      <c r="L607" s="856"/>
      <c r="M607" s="784"/>
      <c r="N607" s="857"/>
    </row>
    <row r="608" spans="1:14" s="31" customFormat="1" ht="17.25" customHeight="1">
      <c r="A608" s="821" t="s">
        <v>401</v>
      </c>
      <c r="B608" s="980" t="s">
        <v>561</v>
      </c>
      <c r="C608" s="879">
        <f>VLOOKUP(B604,'CNKT '!$C$16:$Z$96,12,0)</f>
        <v>4</v>
      </c>
      <c r="D608" s="825">
        <f>76.9*$B$2</f>
        <v>51386.887000000002</v>
      </c>
      <c r="E608" s="823">
        <f t="shared" si="70"/>
        <v>205547.54800000001</v>
      </c>
      <c r="F608" s="855"/>
      <c r="G608" s="821" t="s">
        <v>401</v>
      </c>
      <c r="H608" s="980" t="s">
        <v>561</v>
      </c>
      <c r="I608" s="879">
        <f>VLOOKUP(H604,'CNKT '!$C$16:$Z$96,12,0)</f>
        <v>4</v>
      </c>
      <c r="J608" s="825">
        <f>76.9*$B$2</f>
        <v>51386.887000000002</v>
      </c>
      <c r="K608" s="823">
        <f t="shared" si="71"/>
        <v>205547.54800000001</v>
      </c>
      <c r="L608" s="856"/>
      <c r="M608" s="784"/>
      <c r="N608" s="857"/>
    </row>
    <row r="609" spans="1:14" s="31" customFormat="1" ht="17.25" customHeight="1">
      <c r="A609" s="821" t="s">
        <v>80</v>
      </c>
      <c r="B609" s="980" t="s">
        <v>562</v>
      </c>
      <c r="C609" s="879">
        <f>VLOOKUP(B604,'CNKT '!$C$16:$Z$96,8,0)</f>
        <v>584.85698425842236</v>
      </c>
      <c r="D609" s="825">
        <f>IF(C605="A",6.1,IF(C605="B",5.8,IF(C605="C",5.5,IF(C605="C.",5.5,IF(C605="D",5.2)))))*$B$2</f>
        <v>4076.203</v>
      </c>
      <c r="E609" s="823">
        <f t="shared" si="70"/>
        <v>2383995.793805134</v>
      </c>
      <c r="F609" s="855"/>
      <c r="G609" s="821" t="s">
        <v>80</v>
      </c>
      <c r="H609" s="980" t="s">
        <v>562</v>
      </c>
      <c r="I609" s="879">
        <f>VLOOKUP(H604,'CNKT '!$C$16:$Z$96,8,0)</f>
        <v>554.56149517040922</v>
      </c>
      <c r="J609" s="825">
        <f>IF(I605="A",6.1,IF(I605="B",5.8,IF(I605="C",5.5,IF(I605="C.",5.5,IF(I605="D",5.2)))))*$B$2</f>
        <v>4076.203</v>
      </c>
      <c r="K609" s="823">
        <f t="shared" si="71"/>
        <v>2260505.2302981075</v>
      </c>
      <c r="L609" s="856"/>
      <c r="M609" s="784"/>
      <c r="N609" s="857"/>
    </row>
    <row r="610" spans="1:14" s="31" customFormat="1" ht="17.25" customHeight="1">
      <c r="A610" s="821" t="s">
        <v>495</v>
      </c>
      <c r="B610" s="980" t="s">
        <v>563</v>
      </c>
      <c r="C610" s="879">
        <f>VLOOKUP(B604,'CNKT '!$C$16:$Z$96,15,0)</f>
        <v>0</v>
      </c>
      <c r="D610" s="826">
        <f>92.2*$B$2</f>
        <v>61610.806000000004</v>
      </c>
      <c r="E610" s="823">
        <f t="shared" si="70"/>
        <v>0</v>
      </c>
      <c r="F610" s="855"/>
      <c r="G610" s="821" t="s">
        <v>495</v>
      </c>
      <c r="H610" s="980" t="s">
        <v>563</v>
      </c>
      <c r="I610" s="879">
        <f>VLOOKUP(H604,'CNKT '!$C$16:$Z$96,15,0)</f>
        <v>0</v>
      </c>
      <c r="J610" s="826">
        <f>92.2*$B$2</f>
        <v>61610.806000000004</v>
      </c>
      <c r="K610" s="823">
        <f t="shared" si="71"/>
        <v>0</v>
      </c>
      <c r="L610" s="856"/>
      <c r="M610" s="784"/>
      <c r="N610" s="857"/>
    </row>
    <row r="611" spans="1:14" s="31" customFormat="1" ht="17.25" customHeight="1">
      <c r="A611" s="821" t="s">
        <v>496</v>
      </c>
      <c r="B611" s="980" t="s">
        <v>500</v>
      </c>
      <c r="C611" s="879">
        <f>VLOOKUP(B604,'CNKT '!$C$16:$Z$96,16,0)</f>
        <v>0</v>
      </c>
      <c r="D611" s="825">
        <f>153.8*$B$2</f>
        <v>102773.774</v>
      </c>
      <c r="E611" s="823">
        <f t="shared" si="70"/>
        <v>0</v>
      </c>
      <c r="F611" s="855"/>
      <c r="G611" s="821" t="s">
        <v>496</v>
      </c>
      <c r="H611" s="980" t="s">
        <v>500</v>
      </c>
      <c r="I611" s="879">
        <f>VLOOKUP(H604,'CNKT '!$C$16:$Z$96,16,0)</f>
        <v>0</v>
      </c>
      <c r="J611" s="825">
        <f>153.8*$B$2</f>
        <v>102773.774</v>
      </c>
      <c r="K611" s="823">
        <f t="shared" si="71"/>
        <v>0</v>
      </c>
      <c r="L611" s="856"/>
      <c r="M611" s="784"/>
      <c r="N611" s="857"/>
    </row>
    <row r="612" spans="1:14" s="31" customFormat="1" ht="17.25" customHeight="1">
      <c r="A612" s="821" t="s">
        <v>455</v>
      </c>
      <c r="B612" s="980" t="s">
        <v>501</v>
      </c>
      <c r="C612" s="879">
        <f>VLOOKUP(B604,'CNKT '!$C$16:$Z$96,18,0)</f>
        <v>0</v>
      </c>
      <c r="D612" s="825">
        <v>10000</v>
      </c>
      <c r="E612" s="823">
        <f t="shared" si="70"/>
        <v>0</v>
      </c>
      <c r="F612" s="855"/>
      <c r="G612" s="821" t="s">
        <v>455</v>
      </c>
      <c r="H612" s="980" t="s">
        <v>501</v>
      </c>
      <c r="I612" s="879">
        <f>VLOOKUP(H604,'CNKT '!$C$16:$Z$96,18,0)</f>
        <v>0</v>
      </c>
      <c r="J612" s="825">
        <v>10000</v>
      </c>
      <c r="K612" s="823">
        <f t="shared" si="71"/>
        <v>0</v>
      </c>
      <c r="L612" s="856"/>
      <c r="M612" s="784"/>
      <c r="N612" s="857"/>
    </row>
    <row r="613" spans="1:14" s="31" customFormat="1" ht="17.25" customHeight="1">
      <c r="A613" s="821" t="s">
        <v>455</v>
      </c>
      <c r="B613" s="980" t="s">
        <v>501</v>
      </c>
      <c r="C613" s="879">
        <f>VLOOKUP(B604,'CNKT '!$C$16:$Z$96,19,0)</f>
        <v>0</v>
      </c>
      <c r="D613" s="825">
        <v>20000</v>
      </c>
      <c r="E613" s="823">
        <f t="shared" si="70"/>
        <v>0</v>
      </c>
      <c r="F613" s="855"/>
      <c r="G613" s="821" t="s">
        <v>455</v>
      </c>
      <c r="H613" s="980" t="s">
        <v>501</v>
      </c>
      <c r="I613" s="879">
        <f>VLOOKUP(H604,'CNKT '!$C$16:$Z$96,19,0)</f>
        <v>0</v>
      </c>
      <c r="J613" s="825">
        <v>20000</v>
      </c>
      <c r="K613" s="823">
        <f t="shared" si="71"/>
        <v>0</v>
      </c>
      <c r="L613" s="856"/>
      <c r="M613" s="784"/>
      <c r="N613" s="857"/>
    </row>
    <row r="614" spans="1:14" s="31" customFormat="1" ht="17.25" customHeight="1">
      <c r="A614" s="821" t="s">
        <v>517</v>
      </c>
      <c r="B614" s="980" t="s">
        <v>519</v>
      </c>
      <c r="C614" s="879"/>
      <c r="D614" s="825"/>
      <c r="E614" s="823"/>
      <c r="F614" s="855"/>
      <c r="G614" s="821" t="s">
        <v>517</v>
      </c>
      <c r="H614" s="980" t="s">
        <v>519</v>
      </c>
      <c r="I614" s="879"/>
      <c r="J614" s="825"/>
      <c r="K614" s="823"/>
      <c r="L614" s="856"/>
      <c r="M614" s="784"/>
      <c r="N614" s="857"/>
    </row>
    <row r="615" spans="1:14" s="31" customFormat="1" ht="17.25" customHeight="1">
      <c r="A615" s="827" t="s">
        <v>81</v>
      </c>
      <c r="B615" s="981" t="s">
        <v>564</v>
      </c>
      <c r="C615" s="828"/>
      <c r="D615" s="829"/>
      <c r="E615" s="828"/>
      <c r="F615" s="855"/>
      <c r="G615" s="827" t="s">
        <v>81</v>
      </c>
      <c r="H615" s="981" t="s">
        <v>564</v>
      </c>
      <c r="I615" s="828"/>
      <c r="J615" s="829"/>
      <c r="K615" s="828"/>
      <c r="L615" s="856"/>
      <c r="M615" s="784"/>
      <c r="N615" s="857"/>
    </row>
    <row r="616" spans="1:14" s="31" customFormat="1" ht="17.25" customHeight="1">
      <c r="A616" s="830" t="s">
        <v>82</v>
      </c>
      <c r="B616" s="982" t="s">
        <v>565</v>
      </c>
      <c r="C616" s="828"/>
      <c r="D616" s="828"/>
      <c r="E616" s="828"/>
      <c r="F616" s="855"/>
      <c r="G616" s="830" t="s">
        <v>82</v>
      </c>
      <c r="H616" s="982" t="s">
        <v>565</v>
      </c>
      <c r="I616" s="828"/>
      <c r="J616" s="828"/>
      <c r="K616" s="828"/>
      <c r="L616" s="856"/>
      <c r="M616" s="784"/>
      <c r="N616" s="857"/>
    </row>
    <row r="617" spans="1:14" s="31" customFormat="1" ht="17.25" customHeight="1">
      <c r="A617" s="830" t="s">
        <v>83</v>
      </c>
      <c r="B617" s="983" t="s">
        <v>566</v>
      </c>
      <c r="C617" s="828"/>
      <c r="D617" s="828"/>
      <c r="E617" s="823">
        <f>SUM(E616)</f>
        <v>0</v>
      </c>
      <c r="F617" s="855"/>
      <c r="G617" s="830" t="s">
        <v>83</v>
      </c>
      <c r="H617" s="983" t="s">
        <v>566</v>
      </c>
      <c r="I617" s="828"/>
      <c r="J617" s="828"/>
      <c r="K617" s="823">
        <f>SUM(K616)</f>
        <v>0</v>
      </c>
      <c r="L617" s="856"/>
      <c r="M617" s="831">
        <f>E617+K617</f>
        <v>0</v>
      </c>
      <c r="N617" s="857"/>
    </row>
    <row r="618" spans="1:14" s="31" customFormat="1" ht="17.25" customHeight="1">
      <c r="A618" s="832" t="s">
        <v>84</v>
      </c>
      <c r="B618" s="984" t="s">
        <v>438</v>
      </c>
      <c r="C618" s="833"/>
      <c r="D618" s="833"/>
      <c r="E618" s="833">
        <f>(E606+E607+E608+E609+E610+E611+E612+E613+E614)-E617</f>
        <v>3359678.4168051342</v>
      </c>
      <c r="F618" s="855"/>
      <c r="G618" s="832" t="s">
        <v>84</v>
      </c>
      <c r="H618" s="984" t="s">
        <v>438</v>
      </c>
      <c r="I618" s="833"/>
      <c r="J618" s="833"/>
      <c r="K618" s="833">
        <f>(K606+K607+K608+K609+K610+K611+K612+K613+K614)-K617</f>
        <v>3297798.6592981075</v>
      </c>
      <c r="L618" s="835">
        <f>E618+K618</f>
        <v>6657477.0761032421</v>
      </c>
      <c r="M618" s="784"/>
      <c r="N618" s="857"/>
    </row>
    <row r="619" spans="1:14" s="31" customFormat="1" ht="17.25" customHeight="1">
      <c r="A619" s="847"/>
      <c r="B619" s="842"/>
      <c r="C619" s="842"/>
      <c r="D619" s="842"/>
      <c r="E619" s="842"/>
      <c r="F619" s="855"/>
      <c r="G619" s="847"/>
      <c r="H619" s="842"/>
      <c r="I619" s="842"/>
      <c r="J619" s="842"/>
      <c r="K619" s="974"/>
      <c r="L619" s="856"/>
      <c r="M619" s="784"/>
      <c r="N619" s="857"/>
    </row>
    <row r="620" spans="1:14" s="31" customFormat="1" ht="17.25" customHeight="1">
      <c r="A620" s="1615" t="str">
        <f>A603</f>
        <v>LƯƠNG THÁNG 01/2025</v>
      </c>
      <c r="B620" s="1616"/>
      <c r="C620" s="1616"/>
      <c r="D620" s="1616"/>
      <c r="E620" s="898">
        <v>73</v>
      </c>
      <c r="F620" s="855"/>
      <c r="G620" s="1615" t="str">
        <f>A620</f>
        <v>LƯƠNG THÁNG 01/2025</v>
      </c>
      <c r="H620" s="1616"/>
      <c r="I620" s="1616"/>
      <c r="J620" s="1617"/>
      <c r="K620" s="898">
        <v>74</v>
      </c>
      <c r="L620" s="856"/>
      <c r="M620" s="784"/>
      <c r="N620" s="857"/>
    </row>
    <row r="621" spans="1:14" s="31" customFormat="1" ht="17.25" customHeight="1">
      <c r="A621" s="837" t="s">
        <v>17</v>
      </c>
      <c r="B621" s="976" t="str">
        <f>'CNKT '!C88</f>
        <v>T. Ne</v>
      </c>
      <c r="C621" s="819"/>
      <c r="D621" s="973" t="s">
        <v>398</v>
      </c>
      <c r="E621" s="973" t="s">
        <v>20</v>
      </c>
      <c r="F621" s="855"/>
      <c r="G621" s="837" t="s">
        <v>17</v>
      </c>
      <c r="H621" s="976" t="str">
        <f>'CNKT '!C89</f>
        <v>T. Tý</v>
      </c>
      <c r="I621" s="819"/>
      <c r="J621" s="973" t="s">
        <v>398</v>
      </c>
      <c r="K621" s="973" t="s">
        <v>20</v>
      </c>
      <c r="L621" s="856"/>
      <c r="M621" s="784"/>
      <c r="N621" s="857"/>
    </row>
    <row r="622" spans="1:14" s="31" customFormat="1" ht="17.25" customHeight="1">
      <c r="A622" s="821" t="s">
        <v>399</v>
      </c>
      <c r="B622" s="978" t="s">
        <v>559</v>
      </c>
      <c r="C622" s="822" t="str">
        <f>VLOOKUP(B621,'BTH mủ tạp'!$C$17:$AL$94,36,0)</f>
        <v>A</v>
      </c>
      <c r="D622" s="823"/>
      <c r="E622" s="823"/>
      <c r="F622" s="855"/>
      <c r="G622" s="821" t="s">
        <v>399</v>
      </c>
      <c r="H622" s="978" t="s">
        <v>559</v>
      </c>
      <c r="I622" s="822" t="str">
        <f>VLOOKUP(H621,'BTH mủ tạp'!$C$17:$AL$94,36,0)</f>
        <v>C</v>
      </c>
      <c r="J622" s="823"/>
      <c r="K622" s="823"/>
      <c r="L622" s="856"/>
      <c r="M622" s="784"/>
      <c r="N622" s="857"/>
    </row>
    <row r="623" spans="1:14" s="31" customFormat="1" ht="17.25" customHeight="1">
      <c r="A623" s="821" t="s">
        <v>79</v>
      </c>
      <c r="B623" s="979" t="s">
        <v>432</v>
      </c>
      <c r="C623" s="824">
        <f>VLOOKUP(B621,'CNKT '!$C$16:$Z$96,3,0)</f>
        <v>0</v>
      </c>
      <c r="D623" s="825">
        <v>25000</v>
      </c>
      <c r="E623" s="823">
        <f t="shared" ref="E623:E630" si="72">C623*D623</f>
        <v>0</v>
      </c>
      <c r="F623" s="855"/>
      <c r="G623" s="821" t="s">
        <v>79</v>
      </c>
      <c r="H623" s="979" t="s">
        <v>432</v>
      </c>
      <c r="I623" s="824">
        <f>VLOOKUP(H621,'CNKT '!$C$16:$Z$96,3,0)</f>
        <v>0</v>
      </c>
      <c r="J623" s="825">
        <v>25000</v>
      </c>
      <c r="K623" s="823">
        <f t="shared" ref="K623:K630" si="73">I623*J623</f>
        <v>0</v>
      </c>
      <c r="L623" s="856"/>
      <c r="M623" s="784"/>
      <c r="N623" s="857"/>
    </row>
    <row r="624" spans="1:14" s="31" customFormat="1" ht="17.25" customHeight="1">
      <c r="A624" s="821" t="s">
        <v>310</v>
      </c>
      <c r="B624" s="980" t="s">
        <v>560</v>
      </c>
      <c r="C624" s="879">
        <f>VLOOKUP(B621,'CNKT '!$C$16:$Z$96,11,0)</f>
        <v>27</v>
      </c>
      <c r="D624" s="826">
        <f>46.1*$B$2</f>
        <v>30805.403000000002</v>
      </c>
      <c r="E624" s="823">
        <f t="shared" si="72"/>
        <v>831745.88100000005</v>
      </c>
      <c r="F624" s="855"/>
      <c r="G624" s="821" t="s">
        <v>310</v>
      </c>
      <c r="H624" s="980" t="s">
        <v>560</v>
      </c>
      <c r="I624" s="879">
        <f>VLOOKUP(H621,'CNKT '!$C$16:$Z$96,11,0)</f>
        <v>0</v>
      </c>
      <c r="J624" s="826">
        <f>46.1*$B$2</f>
        <v>30805.403000000002</v>
      </c>
      <c r="K624" s="823">
        <f t="shared" si="73"/>
        <v>0</v>
      </c>
      <c r="L624" s="856"/>
      <c r="M624" s="784"/>
      <c r="N624" s="857"/>
    </row>
    <row r="625" spans="1:14" s="31" customFormat="1" ht="17.25" customHeight="1">
      <c r="A625" s="821" t="s">
        <v>401</v>
      </c>
      <c r="B625" s="980" t="s">
        <v>561</v>
      </c>
      <c r="C625" s="879">
        <f>VLOOKUP(B621,'CNKT '!$C$16:$Z$96,12,0)</f>
        <v>4</v>
      </c>
      <c r="D625" s="825">
        <f>76.9*$B$2</f>
        <v>51386.887000000002</v>
      </c>
      <c r="E625" s="823">
        <f t="shared" si="72"/>
        <v>205547.54800000001</v>
      </c>
      <c r="F625" s="855"/>
      <c r="G625" s="821" t="s">
        <v>401</v>
      </c>
      <c r="H625" s="980" t="s">
        <v>561</v>
      </c>
      <c r="I625" s="879">
        <f>VLOOKUP(H621,'CNKT '!$C$16:$Z$96,12,0)</f>
        <v>0</v>
      </c>
      <c r="J625" s="825">
        <f>76.9*$B$2</f>
        <v>51386.887000000002</v>
      </c>
      <c r="K625" s="823">
        <f t="shared" si="73"/>
        <v>0</v>
      </c>
      <c r="L625" s="856"/>
      <c r="M625" s="784"/>
      <c r="N625" s="857"/>
    </row>
    <row r="626" spans="1:14" s="31" customFormat="1" ht="17.25" customHeight="1">
      <c r="A626" s="821" t="s">
        <v>80</v>
      </c>
      <c r="B626" s="980" t="s">
        <v>562</v>
      </c>
      <c r="C626" s="879">
        <f>VLOOKUP(B621,'CNKT '!$C$16:$Z$96,8,0)</f>
        <v>545.83228645013435</v>
      </c>
      <c r="D626" s="825">
        <f>IF(C622="A",6.1,IF(C622="B",5.8,IF(C622="C",5.5,IF(C622="C.",5.5,IF(C622="D",5.2)))))*$B$2</f>
        <v>4076.203</v>
      </c>
      <c r="E626" s="823">
        <f t="shared" si="72"/>
        <v>2224923.2035248969</v>
      </c>
      <c r="F626" s="855"/>
      <c r="G626" s="821" t="s">
        <v>80</v>
      </c>
      <c r="H626" s="980" t="s">
        <v>562</v>
      </c>
      <c r="I626" s="879">
        <f>VLOOKUP(H621,'CNKT '!$C$16:$Z$96,8,0)</f>
        <v>0</v>
      </c>
      <c r="J626" s="825">
        <f>IF(I622="A",6.1,IF(I622="B",5.8,IF(I622="C",5.5,IF(I622="C.",5.5,IF(I622="D",5.2)))))*$B$2</f>
        <v>3675.2650000000003</v>
      </c>
      <c r="K626" s="823">
        <f t="shared" si="73"/>
        <v>0</v>
      </c>
      <c r="L626" s="856"/>
      <c r="M626" s="784"/>
      <c r="N626" s="857"/>
    </row>
    <row r="627" spans="1:14" s="31" customFormat="1" ht="17.25" customHeight="1">
      <c r="A627" s="821" t="s">
        <v>495</v>
      </c>
      <c r="B627" s="980" t="s">
        <v>563</v>
      </c>
      <c r="C627" s="879">
        <f>VLOOKUP(B621,'CNKT '!$C$16:$Z$96,15,0)</f>
        <v>0</v>
      </c>
      <c r="D627" s="826">
        <f>92.2*$B$2</f>
        <v>61610.806000000004</v>
      </c>
      <c r="E627" s="823">
        <f t="shared" si="72"/>
        <v>0</v>
      </c>
      <c r="F627" s="855"/>
      <c r="G627" s="821" t="s">
        <v>495</v>
      </c>
      <c r="H627" s="980" t="s">
        <v>563</v>
      </c>
      <c r="I627" s="879">
        <f>VLOOKUP(H621,'CNKT '!$C$16:$Z$96,15,0)</f>
        <v>0</v>
      </c>
      <c r="J627" s="826">
        <f>92.2*$B$2</f>
        <v>61610.806000000004</v>
      </c>
      <c r="K627" s="823">
        <f t="shared" si="73"/>
        <v>0</v>
      </c>
      <c r="L627" s="856"/>
      <c r="M627" s="784"/>
      <c r="N627" s="857"/>
    </row>
    <row r="628" spans="1:14" s="31" customFormat="1" ht="17.25" customHeight="1">
      <c r="A628" s="821" t="s">
        <v>496</v>
      </c>
      <c r="B628" s="980" t="s">
        <v>500</v>
      </c>
      <c r="C628" s="879">
        <f>VLOOKUP(B621,'CNKT '!$C$16:$Z$96,16,0)</f>
        <v>0</v>
      </c>
      <c r="D628" s="825">
        <f>153.8*$B$2</f>
        <v>102773.774</v>
      </c>
      <c r="E628" s="823">
        <f t="shared" si="72"/>
        <v>0</v>
      </c>
      <c r="F628" s="855"/>
      <c r="G628" s="821" t="s">
        <v>496</v>
      </c>
      <c r="H628" s="980" t="s">
        <v>500</v>
      </c>
      <c r="I628" s="879">
        <f>VLOOKUP(H621,'CNKT '!$C$16:$Z$96,16,0)</f>
        <v>0</v>
      </c>
      <c r="J628" s="825">
        <f>153.8*$B$2</f>
        <v>102773.774</v>
      </c>
      <c r="K628" s="823">
        <f t="shared" si="73"/>
        <v>0</v>
      </c>
      <c r="L628" s="856"/>
      <c r="M628" s="784"/>
      <c r="N628" s="857"/>
    </row>
    <row r="629" spans="1:14" s="31" customFormat="1" ht="17.25" customHeight="1">
      <c r="A629" s="821" t="s">
        <v>455</v>
      </c>
      <c r="B629" s="980" t="s">
        <v>501</v>
      </c>
      <c r="C629" s="879">
        <f>VLOOKUP(B621,'CNKT '!$C$16:$Z$96,18,0)</f>
        <v>0</v>
      </c>
      <c r="D629" s="825">
        <v>10000</v>
      </c>
      <c r="E629" s="823">
        <f t="shared" si="72"/>
        <v>0</v>
      </c>
      <c r="F629" s="855"/>
      <c r="G629" s="821" t="s">
        <v>455</v>
      </c>
      <c r="H629" s="980" t="s">
        <v>501</v>
      </c>
      <c r="I629" s="879">
        <f>VLOOKUP(H621,'CNKT '!$C$16:$Z$96,18,0)</f>
        <v>0</v>
      </c>
      <c r="J629" s="825">
        <v>10000</v>
      </c>
      <c r="K629" s="823">
        <f t="shared" si="73"/>
        <v>0</v>
      </c>
      <c r="L629" s="856"/>
      <c r="M629" s="784"/>
      <c r="N629" s="857"/>
    </row>
    <row r="630" spans="1:14" s="31" customFormat="1" ht="17.25" customHeight="1">
      <c r="A630" s="821" t="s">
        <v>455</v>
      </c>
      <c r="B630" s="980" t="s">
        <v>501</v>
      </c>
      <c r="C630" s="879">
        <f>VLOOKUP(B621,'CNKT '!$C$16:$Z$96,19,0)</f>
        <v>0</v>
      </c>
      <c r="D630" s="825">
        <v>20000</v>
      </c>
      <c r="E630" s="823">
        <f t="shared" si="72"/>
        <v>0</v>
      </c>
      <c r="F630" s="855"/>
      <c r="G630" s="821" t="s">
        <v>455</v>
      </c>
      <c r="H630" s="980" t="s">
        <v>501</v>
      </c>
      <c r="I630" s="879">
        <f>VLOOKUP(H621,'CNKT '!$C$16:$Z$96,19,0)</f>
        <v>0</v>
      </c>
      <c r="J630" s="825">
        <v>20000</v>
      </c>
      <c r="K630" s="823">
        <f t="shared" si="73"/>
        <v>0</v>
      </c>
      <c r="L630" s="856"/>
      <c r="M630" s="784"/>
      <c r="N630" s="857"/>
    </row>
    <row r="631" spans="1:14" s="31" customFormat="1" ht="17.25" customHeight="1">
      <c r="A631" s="821" t="s">
        <v>517</v>
      </c>
      <c r="B631" s="980" t="s">
        <v>519</v>
      </c>
      <c r="C631" s="879"/>
      <c r="D631" s="825"/>
      <c r="E631" s="823"/>
      <c r="F631" s="855"/>
      <c r="G631" s="821" t="s">
        <v>517</v>
      </c>
      <c r="H631" s="980" t="s">
        <v>519</v>
      </c>
      <c r="I631" s="879"/>
      <c r="J631" s="825"/>
      <c r="K631" s="823"/>
      <c r="L631" s="856"/>
      <c r="M631" s="784"/>
      <c r="N631" s="857"/>
    </row>
    <row r="632" spans="1:14" s="31" customFormat="1" ht="17.25" customHeight="1">
      <c r="A632" s="827" t="s">
        <v>81</v>
      </c>
      <c r="B632" s="981" t="s">
        <v>564</v>
      </c>
      <c r="C632" s="828"/>
      <c r="D632" s="829"/>
      <c r="E632" s="828"/>
      <c r="F632" s="855"/>
      <c r="G632" s="827" t="s">
        <v>81</v>
      </c>
      <c r="H632" s="981" t="s">
        <v>564</v>
      </c>
      <c r="I632" s="828"/>
      <c r="J632" s="829"/>
      <c r="K632" s="828"/>
      <c r="L632" s="856"/>
      <c r="M632" s="784"/>
      <c r="N632" s="857"/>
    </row>
    <row r="633" spans="1:14" s="31" customFormat="1" ht="17.25" customHeight="1">
      <c r="A633" s="830" t="s">
        <v>82</v>
      </c>
      <c r="B633" s="982" t="s">
        <v>565</v>
      </c>
      <c r="C633" s="828"/>
      <c r="D633" s="828"/>
      <c r="E633" s="828"/>
      <c r="F633" s="855"/>
      <c r="G633" s="830" t="s">
        <v>82</v>
      </c>
      <c r="H633" s="982" t="s">
        <v>565</v>
      </c>
      <c r="I633" s="828"/>
      <c r="J633" s="828"/>
      <c r="K633" s="828"/>
      <c r="L633" s="856"/>
      <c r="M633" s="784"/>
      <c r="N633" s="857"/>
    </row>
    <row r="634" spans="1:14" s="31" customFormat="1" ht="17.25" customHeight="1">
      <c r="A634" s="830" t="s">
        <v>83</v>
      </c>
      <c r="B634" s="983" t="s">
        <v>566</v>
      </c>
      <c r="C634" s="828"/>
      <c r="D634" s="828"/>
      <c r="E634" s="823">
        <f>SUM(E633)</f>
        <v>0</v>
      </c>
      <c r="F634" s="855"/>
      <c r="G634" s="830" t="s">
        <v>83</v>
      </c>
      <c r="H634" s="983" t="s">
        <v>566</v>
      </c>
      <c r="I634" s="828"/>
      <c r="J634" s="828"/>
      <c r="K634" s="823">
        <f>SUM(K633)</f>
        <v>0</v>
      </c>
      <c r="L634" s="856"/>
      <c r="M634" s="831">
        <f>E634+K634</f>
        <v>0</v>
      </c>
      <c r="N634" s="857"/>
    </row>
    <row r="635" spans="1:14" s="31" customFormat="1" ht="17.25" customHeight="1">
      <c r="A635" s="832" t="s">
        <v>84</v>
      </c>
      <c r="B635" s="984" t="s">
        <v>438</v>
      </c>
      <c r="C635" s="833"/>
      <c r="D635" s="833"/>
      <c r="E635" s="833">
        <f>(E623+E624+E625+E626+E627+E628+E629+E630+E631)-E634</f>
        <v>3262216.6325248969</v>
      </c>
      <c r="F635" s="855"/>
      <c r="G635" s="832" t="s">
        <v>84</v>
      </c>
      <c r="H635" s="984" t="s">
        <v>438</v>
      </c>
      <c r="I635" s="833"/>
      <c r="J635" s="833"/>
      <c r="K635" s="833">
        <f>(K623+K624+K625+K626+K627+K628+K629+K630+K631)-K634</f>
        <v>0</v>
      </c>
      <c r="L635" s="835">
        <f>E635+K635</f>
        <v>3262216.6325248969</v>
      </c>
      <c r="M635" s="784"/>
      <c r="N635" s="857"/>
    </row>
    <row r="636" spans="1:14" s="31" customFormat="1" ht="17.25" customHeight="1">
      <c r="A636" s="838"/>
      <c r="B636" s="844"/>
      <c r="C636" s="845"/>
      <c r="D636" s="845"/>
      <c r="E636" s="843"/>
      <c r="F636" s="855"/>
      <c r="G636" s="838"/>
      <c r="H636" s="844"/>
      <c r="I636" s="845"/>
      <c r="J636" s="843"/>
      <c r="K636" s="974"/>
      <c r="L636" s="856"/>
      <c r="M636" s="784"/>
      <c r="N636" s="857"/>
    </row>
    <row r="637" spans="1:14" s="31" customFormat="1" ht="187.5" customHeight="1">
      <c r="A637" s="838"/>
      <c r="B637" s="844"/>
      <c r="C637" s="845"/>
      <c r="D637" s="845"/>
      <c r="E637" s="843"/>
      <c r="F637" s="855"/>
      <c r="G637" s="838"/>
      <c r="H637" s="844"/>
      <c r="I637" s="845"/>
      <c r="J637" s="843"/>
      <c r="K637" s="974"/>
      <c r="L637" s="856"/>
      <c r="M637" s="784"/>
      <c r="N637" s="857"/>
    </row>
    <row r="638" spans="1:14" s="31" customFormat="1" ht="17.25" customHeight="1">
      <c r="A638" s="1615" t="str">
        <f>A620</f>
        <v>LƯƠNG THÁNG 01/2025</v>
      </c>
      <c r="B638" s="1616"/>
      <c r="C638" s="1616"/>
      <c r="D638" s="1616"/>
      <c r="E638" s="898">
        <v>75</v>
      </c>
      <c r="F638" s="855"/>
      <c r="G638" s="1615" t="str">
        <f>A638</f>
        <v>LƯƠNG THÁNG 01/2025</v>
      </c>
      <c r="H638" s="1616"/>
      <c r="I638" s="1616"/>
      <c r="J638" s="1617"/>
      <c r="K638" s="898">
        <v>76</v>
      </c>
      <c r="L638" s="856"/>
      <c r="M638" s="784"/>
      <c r="N638" s="857"/>
    </row>
    <row r="639" spans="1:14" s="31" customFormat="1" ht="17.25" customHeight="1">
      <c r="A639" s="837" t="s">
        <v>17</v>
      </c>
      <c r="B639" s="976" t="str">
        <f>'CNKT '!C90</f>
        <v>T.Lã</v>
      </c>
      <c r="C639" s="819"/>
      <c r="D639" s="973" t="s">
        <v>398</v>
      </c>
      <c r="E639" s="973" t="s">
        <v>20</v>
      </c>
      <c r="F639" s="855"/>
      <c r="G639" s="837" t="s">
        <v>17</v>
      </c>
      <c r="H639" s="976" t="str">
        <f>'CNKT '!C91</f>
        <v>N. Veo</v>
      </c>
      <c r="I639" s="819"/>
      <c r="J639" s="973" t="s">
        <v>398</v>
      </c>
      <c r="K639" s="973" t="s">
        <v>20</v>
      </c>
      <c r="L639" s="856"/>
      <c r="M639" s="784"/>
      <c r="N639" s="857"/>
    </row>
    <row r="640" spans="1:14" s="31" customFormat="1" ht="17.25" customHeight="1">
      <c r="A640" s="821" t="s">
        <v>399</v>
      </c>
      <c r="B640" s="978" t="s">
        <v>559</v>
      </c>
      <c r="C640" s="822" t="str">
        <f>VLOOKUP(B639,'BTH mủ tạp'!$C$17:$AL$94,36,0)</f>
        <v>C.</v>
      </c>
      <c r="D640" s="823"/>
      <c r="E640" s="823"/>
      <c r="F640" s="855"/>
      <c r="G640" s="821" t="s">
        <v>399</v>
      </c>
      <c r="H640" s="978" t="s">
        <v>559</v>
      </c>
      <c r="I640" s="822" t="str">
        <f>VLOOKUP(H639,'BTH mủ tạp'!$C$17:$AL$94,36,0)</f>
        <v>C.</v>
      </c>
      <c r="J640" s="823"/>
      <c r="K640" s="823"/>
      <c r="L640" s="856"/>
      <c r="M640" s="784"/>
      <c r="N640" s="857"/>
    </row>
    <row r="641" spans="1:14" s="31" customFormat="1" ht="17.25" customHeight="1">
      <c r="A641" s="821" t="s">
        <v>79</v>
      </c>
      <c r="B641" s="979" t="s">
        <v>432</v>
      </c>
      <c r="C641" s="824">
        <f>VLOOKUP(B639,'CNKT '!$C$16:$Z$96,3,0)</f>
        <v>0</v>
      </c>
      <c r="D641" s="825">
        <v>25000</v>
      </c>
      <c r="E641" s="823">
        <f t="shared" ref="E641:E648" si="74">C641*D641</f>
        <v>0</v>
      </c>
      <c r="F641" s="855"/>
      <c r="G641" s="821" t="s">
        <v>79</v>
      </c>
      <c r="H641" s="979" t="s">
        <v>432</v>
      </c>
      <c r="I641" s="824">
        <f>VLOOKUP(H639,'CNKT '!$C$16:$Z$96,3,0)</f>
        <v>0</v>
      </c>
      <c r="J641" s="825">
        <v>25000</v>
      </c>
      <c r="K641" s="823">
        <f t="shared" ref="K641:K648" si="75">I641*J641</f>
        <v>0</v>
      </c>
      <c r="L641" s="856"/>
      <c r="M641" s="784"/>
      <c r="N641" s="857"/>
    </row>
    <row r="642" spans="1:14" s="31" customFormat="1" ht="17.25" customHeight="1">
      <c r="A642" s="821" t="s">
        <v>310</v>
      </c>
      <c r="B642" s="980" t="s">
        <v>560</v>
      </c>
      <c r="C642" s="879">
        <f>VLOOKUP(B639,'CNKT '!$C$16:$Z$96,11,0)</f>
        <v>5</v>
      </c>
      <c r="D642" s="826">
        <f>46.1*$B$2</f>
        <v>30805.403000000002</v>
      </c>
      <c r="E642" s="823">
        <f t="shared" si="74"/>
        <v>154027.01500000001</v>
      </c>
      <c r="F642" s="855"/>
      <c r="G642" s="821" t="s">
        <v>310</v>
      </c>
      <c r="H642" s="980" t="s">
        <v>560</v>
      </c>
      <c r="I642" s="879">
        <f>VLOOKUP(H639,'CNKT '!$C$16:$Z$96,11,0)</f>
        <v>5</v>
      </c>
      <c r="J642" s="826">
        <f>46.1*$B$2</f>
        <v>30805.403000000002</v>
      </c>
      <c r="K642" s="823">
        <f t="shared" si="75"/>
        <v>154027.01500000001</v>
      </c>
      <c r="L642" s="856"/>
      <c r="M642" s="784"/>
      <c r="N642" s="857"/>
    </row>
    <row r="643" spans="1:14" s="31" customFormat="1" ht="17.25" customHeight="1">
      <c r="A643" s="821" t="s">
        <v>401</v>
      </c>
      <c r="B643" s="980" t="s">
        <v>561</v>
      </c>
      <c r="C643" s="879">
        <f>VLOOKUP(B639,'CNKT '!$C$16:$Z$96,12,0)</f>
        <v>0</v>
      </c>
      <c r="D643" s="825">
        <f>76.9*$B$2</f>
        <v>51386.887000000002</v>
      </c>
      <c r="E643" s="823">
        <f t="shared" si="74"/>
        <v>0</v>
      </c>
      <c r="F643" s="855"/>
      <c r="G643" s="821" t="s">
        <v>401</v>
      </c>
      <c r="H643" s="980" t="s">
        <v>561</v>
      </c>
      <c r="I643" s="879">
        <f>VLOOKUP(H639,'CNKT '!$C$16:$Z$96,12,0)</f>
        <v>0</v>
      </c>
      <c r="J643" s="825">
        <f>76.9*$B$2</f>
        <v>51386.887000000002</v>
      </c>
      <c r="K643" s="823">
        <f t="shared" si="75"/>
        <v>0</v>
      </c>
      <c r="L643" s="856"/>
      <c r="M643" s="784"/>
      <c r="N643" s="857"/>
    </row>
    <row r="644" spans="1:14" s="31" customFormat="1" ht="17.25" customHeight="1">
      <c r="A644" s="821" t="s">
        <v>80</v>
      </c>
      <c r="B644" s="980" t="s">
        <v>562</v>
      </c>
      <c r="C644" s="879">
        <f>VLOOKUP(B639,'CNKT '!$C$16:$Z$96,8,0)</f>
        <v>106.29095324099511</v>
      </c>
      <c r="D644" s="825">
        <f>IF(C640="A",6.1,IF(C640="B",5.8,IF(C640="C",5.5,IF(C640="C.",5.5,IF(C640="D",5.2)))))*$B$2</f>
        <v>3675.2650000000003</v>
      </c>
      <c r="E644" s="823">
        <f t="shared" si="74"/>
        <v>390647.4202632659</v>
      </c>
      <c r="F644" s="855"/>
      <c r="G644" s="821" t="s">
        <v>80</v>
      </c>
      <c r="H644" s="980" t="s">
        <v>562</v>
      </c>
      <c r="I644" s="879">
        <f>VLOOKUP(H639,'CNKT '!$C$16:$Z$96,8,0)</f>
        <v>63.671875371417357</v>
      </c>
      <c r="J644" s="825">
        <f>IF(I640="A",6.1,IF(I640="B",5.8,IF(I640="C",5.5,IF(I640="C.",5.5,IF(I640="D",5.2)))))*$B$2</f>
        <v>3675.2650000000003</v>
      </c>
      <c r="K644" s="823">
        <f t="shared" si="75"/>
        <v>234011.01503693222</v>
      </c>
      <c r="L644" s="856"/>
      <c r="M644" s="784"/>
      <c r="N644" s="857"/>
    </row>
    <row r="645" spans="1:14" s="31" customFormat="1" ht="17.25" customHeight="1">
      <c r="A645" s="821" t="s">
        <v>495</v>
      </c>
      <c r="B645" s="980" t="s">
        <v>563</v>
      </c>
      <c r="C645" s="879">
        <f>VLOOKUP(B639,'CNKT '!$C$16:$Z$96,15,0)</f>
        <v>0</v>
      </c>
      <c r="D645" s="826">
        <f>92.2*$B$2</f>
        <v>61610.806000000004</v>
      </c>
      <c r="E645" s="823">
        <f t="shared" si="74"/>
        <v>0</v>
      </c>
      <c r="F645" s="855"/>
      <c r="G645" s="821" t="s">
        <v>495</v>
      </c>
      <c r="H645" s="980" t="s">
        <v>563</v>
      </c>
      <c r="I645" s="879">
        <f>VLOOKUP(H639,'CNKT '!$C$16:$Z$96,15,0)</f>
        <v>0</v>
      </c>
      <c r="J645" s="826">
        <f>92.2*$B$2</f>
        <v>61610.806000000004</v>
      </c>
      <c r="K645" s="823">
        <f t="shared" si="75"/>
        <v>0</v>
      </c>
      <c r="L645" s="856"/>
      <c r="M645" s="784"/>
      <c r="N645" s="857"/>
    </row>
    <row r="646" spans="1:14" s="31" customFormat="1" ht="17.25" customHeight="1">
      <c r="A646" s="821" t="s">
        <v>496</v>
      </c>
      <c r="B646" s="980" t="s">
        <v>500</v>
      </c>
      <c r="C646" s="879">
        <f>VLOOKUP(B639,'CNKT '!$C$16:$Z$96,16,0)</f>
        <v>0</v>
      </c>
      <c r="D646" s="825">
        <f>153.8*$B$2</f>
        <v>102773.774</v>
      </c>
      <c r="E646" s="823">
        <f t="shared" si="74"/>
        <v>0</v>
      </c>
      <c r="F646" s="855"/>
      <c r="G646" s="821" t="s">
        <v>496</v>
      </c>
      <c r="H646" s="980" t="s">
        <v>500</v>
      </c>
      <c r="I646" s="879">
        <f>VLOOKUP(H639,'CNKT '!$C$16:$Z$96,16,0)</f>
        <v>0</v>
      </c>
      <c r="J646" s="825">
        <f>153.8*$B$2</f>
        <v>102773.774</v>
      </c>
      <c r="K646" s="823">
        <f t="shared" si="75"/>
        <v>0</v>
      </c>
      <c r="L646" s="856"/>
      <c r="M646" s="784"/>
      <c r="N646" s="857"/>
    </row>
    <row r="647" spans="1:14" s="31" customFormat="1" ht="17.25" customHeight="1">
      <c r="A647" s="821" t="s">
        <v>455</v>
      </c>
      <c r="B647" s="980" t="s">
        <v>501</v>
      </c>
      <c r="C647" s="879">
        <f>VLOOKUP(B639,'CNKT '!$C$16:$Z$96,18,0)</f>
        <v>0</v>
      </c>
      <c r="D647" s="825">
        <v>10000</v>
      </c>
      <c r="E647" s="823">
        <f t="shared" si="74"/>
        <v>0</v>
      </c>
      <c r="F647" s="855"/>
      <c r="G647" s="821" t="s">
        <v>455</v>
      </c>
      <c r="H647" s="980" t="s">
        <v>501</v>
      </c>
      <c r="I647" s="879">
        <f>VLOOKUP(H639,'CNKT '!$C$16:$Z$96,18,0)</f>
        <v>0</v>
      </c>
      <c r="J647" s="825">
        <v>10000</v>
      </c>
      <c r="K647" s="823">
        <f t="shared" si="75"/>
        <v>0</v>
      </c>
      <c r="L647" s="856"/>
      <c r="M647" s="784"/>
      <c r="N647" s="857"/>
    </row>
    <row r="648" spans="1:14" s="31" customFormat="1" ht="17.25" customHeight="1">
      <c r="A648" s="821" t="s">
        <v>455</v>
      </c>
      <c r="B648" s="980" t="s">
        <v>501</v>
      </c>
      <c r="C648" s="879">
        <f>VLOOKUP(B639,'CNKT '!$C$16:$Z$96,19,0)</f>
        <v>0</v>
      </c>
      <c r="D648" s="825">
        <v>20000</v>
      </c>
      <c r="E648" s="823">
        <f t="shared" si="74"/>
        <v>0</v>
      </c>
      <c r="F648" s="855"/>
      <c r="G648" s="821" t="s">
        <v>455</v>
      </c>
      <c r="H648" s="980" t="s">
        <v>501</v>
      </c>
      <c r="I648" s="879">
        <f>VLOOKUP(H639,'CNKT '!$C$16:$Z$96,19,0)</f>
        <v>0</v>
      </c>
      <c r="J648" s="825">
        <v>20000</v>
      </c>
      <c r="K648" s="823">
        <f t="shared" si="75"/>
        <v>0</v>
      </c>
      <c r="L648" s="856"/>
      <c r="M648" s="784"/>
      <c r="N648" s="857"/>
    </row>
    <row r="649" spans="1:14" s="31" customFormat="1" ht="17.25" customHeight="1">
      <c r="A649" s="821" t="s">
        <v>517</v>
      </c>
      <c r="B649" s="980" t="s">
        <v>519</v>
      </c>
      <c r="C649" s="879"/>
      <c r="D649" s="825"/>
      <c r="E649" s="823"/>
      <c r="F649" s="855"/>
      <c r="G649" s="821" t="s">
        <v>517</v>
      </c>
      <c r="H649" s="980" t="s">
        <v>519</v>
      </c>
      <c r="I649" s="879"/>
      <c r="J649" s="825"/>
      <c r="K649" s="823"/>
      <c r="L649" s="856"/>
      <c r="M649" s="784"/>
      <c r="N649" s="857"/>
    </row>
    <row r="650" spans="1:14" s="31" customFormat="1" ht="17.25" customHeight="1">
      <c r="A650" s="827" t="s">
        <v>81</v>
      </c>
      <c r="B650" s="981" t="s">
        <v>564</v>
      </c>
      <c r="C650" s="828"/>
      <c r="D650" s="829"/>
      <c r="E650" s="828"/>
      <c r="F650" s="855"/>
      <c r="G650" s="827" t="s">
        <v>81</v>
      </c>
      <c r="H650" s="981" t="s">
        <v>564</v>
      </c>
      <c r="I650" s="828"/>
      <c r="J650" s="829"/>
      <c r="K650" s="828"/>
      <c r="L650" s="856"/>
      <c r="M650" s="784"/>
      <c r="N650" s="857"/>
    </row>
    <row r="651" spans="1:14" s="31" customFormat="1" ht="17.25" customHeight="1">
      <c r="A651" s="830" t="s">
        <v>82</v>
      </c>
      <c r="B651" s="982" t="s">
        <v>565</v>
      </c>
      <c r="C651" s="828"/>
      <c r="D651" s="828"/>
      <c r="E651" s="828"/>
      <c r="F651" s="855"/>
      <c r="G651" s="830" t="s">
        <v>82</v>
      </c>
      <c r="H651" s="982" t="s">
        <v>565</v>
      </c>
      <c r="I651" s="828"/>
      <c r="J651" s="828"/>
      <c r="K651" s="828"/>
      <c r="L651" s="835">
        <f>E651+K651</f>
        <v>0</v>
      </c>
      <c r="M651" s="784"/>
      <c r="N651" s="857"/>
    </row>
    <row r="652" spans="1:14" s="31" customFormat="1" ht="17.25" customHeight="1">
      <c r="A652" s="830" t="s">
        <v>83</v>
      </c>
      <c r="B652" s="983" t="s">
        <v>566</v>
      </c>
      <c r="C652" s="828"/>
      <c r="D652" s="828"/>
      <c r="E652" s="823">
        <f>SUM(E651)</f>
        <v>0</v>
      </c>
      <c r="F652" s="855"/>
      <c r="G652" s="830" t="s">
        <v>83</v>
      </c>
      <c r="H652" s="983" t="s">
        <v>566</v>
      </c>
      <c r="I652" s="828"/>
      <c r="J652" s="828"/>
      <c r="K652" s="823">
        <f>SUM(K651)</f>
        <v>0</v>
      </c>
      <c r="L652" s="856"/>
      <c r="M652" s="831">
        <f>E652+K652</f>
        <v>0</v>
      </c>
      <c r="N652" s="857"/>
    </row>
    <row r="653" spans="1:14" s="31" customFormat="1" ht="17.25" customHeight="1">
      <c r="A653" s="832" t="s">
        <v>84</v>
      </c>
      <c r="B653" s="984" t="s">
        <v>438</v>
      </c>
      <c r="C653" s="833"/>
      <c r="D653" s="833"/>
      <c r="E653" s="833">
        <f>(E641+E642+E643+E644+E645+E646+E647+E648+E649)-E652</f>
        <v>544674.43526326586</v>
      </c>
      <c r="F653" s="855"/>
      <c r="G653" s="832" t="s">
        <v>84</v>
      </c>
      <c r="H653" s="984" t="s">
        <v>438</v>
      </c>
      <c r="I653" s="833"/>
      <c r="J653" s="833"/>
      <c r="K653" s="833">
        <f>(K641+K642+K643+K644+K645+K646+K647+K648+K649)-K652</f>
        <v>388038.03003693221</v>
      </c>
      <c r="L653" s="835">
        <f>E653+K653</f>
        <v>932712.46530019806</v>
      </c>
      <c r="M653" s="784"/>
      <c r="N653" s="857"/>
    </row>
    <row r="654" spans="1:14" s="31" customFormat="1" ht="17.25" customHeight="1">
      <c r="A654" s="838"/>
      <c r="B654" s="844"/>
      <c r="C654" s="845"/>
      <c r="D654" s="845"/>
      <c r="E654" s="843"/>
      <c r="F654" s="855"/>
      <c r="G654" s="838"/>
      <c r="H654" s="844"/>
      <c r="I654" s="845"/>
      <c r="J654" s="843"/>
      <c r="K654" s="974"/>
      <c r="L654" s="856"/>
      <c r="M654" s="784"/>
      <c r="N654" s="857"/>
    </row>
    <row r="655" spans="1:14" s="31" customFormat="1" ht="17.25" customHeight="1">
      <c r="A655" s="1615" t="str">
        <f>A638</f>
        <v>LƯƠNG THÁNG 01/2025</v>
      </c>
      <c r="B655" s="1616"/>
      <c r="C655" s="1616"/>
      <c r="D655" s="1616"/>
      <c r="E655" s="898">
        <v>77</v>
      </c>
      <c r="F655" s="855"/>
      <c r="G655" s="1615" t="str">
        <f>A655</f>
        <v>LƯƠNG THÁNG 01/2025</v>
      </c>
      <c r="H655" s="1616"/>
      <c r="I655" s="1616"/>
      <c r="J655" s="1617"/>
      <c r="K655" s="898">
        <v>78</v>
      </c>
      <c r="L655" s="856"/>
      <c r="M655" s="784"/>
      <c r="N655" s="857"/>
    </row>
    <row r="656" spans="1:14" s="31" customFormat="1" ht="17.25" customHeight="1">
      <c r="A656" s="837" t="s">
        <v>17</v>
      </c>
      <c r="B656" s="976" t="str">
        <f>'CNKT '!C92</f>
        <v>T.Pu</v>
      </c>
      <c r="C656" s="819"/>
      <c r="D656" s="973" t="s">
        <v>398</v>
      </c>
      <c r="E656" s="973" t="s">
        <v>20</v>
      </c>
      <c r="F656" s="855"/>
      <c r="G656" s="837" t="s">
        <v>17</v>
      </c>
      <c r="H656" s="976" t="str">
        <f>'CNKT '!C93</f>
        <v>T.Ta</v>
      </c>
      <c r="I656" s="819"/>
      <c r="J656" s="973" t="s">
        <v>398</v>
      </c>
      <c r="K656" s="973" t="s">
        <v>20</v>
      </c>
      <c r="L656" s="856"/>
      <c r="M656" s="784"/>
      <c r="N656" s="857"/>
    </row>
    <row r="657" spans="1:14" s="31" customFormat="1" ht="17.25" customHeight="1">
      <c r="A657" s="821" t="s">
        <v>399</v>
      </c>
      <c r="B657" s="978" t="s">
        <v>559</v>
      </c>
      <c r="C657" s="822" t="str">
        <f>VLOOKUP(B656,'BTH mủ tạp'!$C$17:$AL$94,36,0)</f>
        <v>C.</v>
      </c>
      <c r="D657" s="823"/>
      <c r="E657" s="823"/>
      <c r="F657" s="855"/>
      <c r="G657" s="821" t="s">
        <v>399</v>
      </c>
      <c r="H657" s="978" t="s">
        <v>559</v>
      </c>
      <c r="I657" s="822">
        <f>VLOOKUP(H656,'BTH mủ tạp'!$C$17:$AL$94,36,0)</f>
        <v>0</v>
      </c>
      <c r="J657" s="823"/>
      <c r="K657" s="823"/>
      <c r="L657" s="856"/>
      <c r="M657" s="784"/>
      <c r="N657" s="857"/>
    </row>
    <row r="658" spans="1:14" s="31" customFormat="1" ht="17.25" customHeight="1">
      <c r="A658" s="821" t="s">
        <v>79</v>
      </c>
      <c r="B658" s="979" t="s">
        <v>432</v>
      </c>
      <c r="C658" s="824">
        <f>VLOOKUP(B656,'CNKT '!$C$16:$Z$96,3,0)</f>
        <v>0</v>
      </c>
      <c r="D658" s="825">
        <v>25000</v>
      </c>
      <c r="E658" s="823">
        <f t="shared" ref="E658:E665" si="76">C658*D658</f>
        <v>0</v>
      </c>
      <c r="F658" s="855"/>
      <c r="G658" s="821" t="s">
        <v>79</v>
      </c>
      <c r="H658" s="979" t="s">
        <v>432</v>
      </c>
      <c r="I658" s="824">
        <f>VLOOKUP(H656,'CNKT '!$C$16:$Z$96,3,0)</f>
        <v>0</v>
      </c>
      <c r="J658" s="825">
        <v>25000</v>
      </c>
      <c r="K658" s="823">
        <f t="shared" ref="K658:K665" si="77">I658*J658</f>
        <v>0</v>
      </c>
      <c r="L658" s="856"/>
      <c r="M658" s="784"/>
      <c r="N658" s="857"/>
    </row>
    <row r="659" spans="1:14" s="31" customFormat="1" ht="17.25" customHeight="1">
      <c r="A659" s="821" t="s">
        <v>310</v>
      </c>
      <c r="B659" s="980" t="s">
        <v>560</v>
      </c>
      <c r="C659" s="879">
        <f>VLOOKUP(B656,'CNKT '!$C$16:$Z$96,11,0)</f>
        <v>3</v>
      </c>
      <c r="D659" s="826">
        <f>46.1*$B$2</f>
        <v>30805.403000000002</v>
      </c>
      <c r="E659" s="823">
        <f t="shared" si="76"/>
        <v>92416.209000000003</v>
      </c>
      <c r="F659" s="855"/>
      <c r="G659" s="821" t="s">
        <v>310</v>
      </c>
      <c r="H659" s="980" t="s">
        <v>560</v>
      </c>
      <c r="I659" s="879">
        <f>VLOOKUP(H656,'CNKT '!$C$16:$Z$96,11,0)</f>
        <v>0</v>
      </c>
      <c r="J659" s="826">
        <f>46.1*$B$2</f>
        <v>30805.403000000002</v>
      </c>
      <c r="K659" s="823">
        <f t="shared" si="77"/>
        <v>0</v>
      </c>
      <c r="L659" s="856"/>
      <c r="M659" s="784"/>
      <c r="N659" s="857"/>
    </row>
    <row r="660" spans="1:14" s="31" customFormat="1" ht="17.25" customHeight="1">
      <c r="A660" s="821" t="s">
        <v>401</v>
      </c>
      <c r="B660" s="980" t="s">
        <v>561</v>
      </c>
      <c r="C660" s="879">
        <f>VLOOKUP(B656,'CNKT '!$C$16:$Z$96,12,0)</f>
        <v>0</v>
      </c>
      <c r="D660" s="825">
        <f>76.9*$B$2</f>
        <v>51386.887000000002</v>
      </c>
      <c r="E660" s="823">
        <f t="shared" si="76"/>
        <v>0</v>
      </c>
      <c r="F660" s="855"/>
      <c r="G660" s="821" t="s">
        <v>401</v>
      </c>
      <c r="H660" s="980" t="s">
        <v>561</v>
      </c>
      <c r="I660" s="879">
        <f>VLOOKUP(H656,'CNKT '!$C$16:$Z$96,12,0)</f>
        <v>0</v>
      </c>
      <c r="J660" s="825">
        <f>76.9*$B$2</f>
        <v>51386.887000000002</v>
      </c>
      <c r="K660" s="823">
        <f t="shared" si="77"/>
        <v>0</v>
      </c>
      <c r="L660" s="856"/>
      <c r="M660" s="784"/>
      <c r="N660" s="857"/>
    </row>
    <row r="661" spans="1:14" s="31" customFormat="1" ht="17.25" customHeight="1">
      <c r="A661" s="821" t="s">
        <v>80</v>
      </c>
      <c r="B661" s="980" t="s">
        <v>562</v>
      </c>
      <c r="C661" s="879">
        <f>VLOOKUP(B656,'CNKT '!$C$16:$Z$96,8,0)</f>
        <v>17.971900306448447</v>
      </c>
      <c r="D661" s="825">
        <f>IF(C657="A",6.1,IF(C657="B",5.8,IF(C657="C",5.5,IF(C657="C.",5.5,IF(C657="D",5.2)))))*$B$2</f>
        <v>3675.2650000000003</v>
      </c>
      <c r="E661" s="823">
        <f t="shared" si="76"/>
        <v>66051.496179779264</v>
      </c>
      <c r="F661" s="855"/>
      <c r="G661" s="821" t="s">
        <v>80</v>
      </c>
      <c r="H661" s="980" t="s">
        <v>562</v>
      </c>
      <c r="I661" s="879">
        <f>VLOOKUP(H656,'CNKT '!$C$16:$Z$96,8,0)</f>
        <v>0</v>
      </c>
      <c r="J661" s="825">
        <f>IF(I657="A",6.1,IF(I657="B",5.8,IF(I657="C",5.5,IF(I657="C.",5.5,IF(I657="D",5.2)))))*$B$2</f>
        <v>0</v>
      </c>
      <c r="K661" s="823">
        <f t="shared" si="77"/>
        <v>0</v>
      </c>
      <c r="L661" s="856"/>
      <c r="M661" s="784"/>
      <c r="N661" s="857"/>
    </row>
    <row r="662" spans="1:14" s="31" customFormat="1" ht="17.25" customHeight="1">
      <c r="A662" s="821" t="s">
        <v>495</v>
      </c>
      <c r="B662" s="980" t="s">
        <v>563</v>
      </c>
      <c r="C662" s="879">
        <f>VLOOKUP(B656,'CNKT '!$C$16:$Z$96,15,0)</f>
        <v>0</v>
      </c>
      <c r="D662" s="826">
        <f>92.2*$B$2</f>
        <v>61610.806000000004</v>
      </c>
      <c r="E662" s="823">
        <f t="shared" si="76"/>
        <v>0</v>
      </c>
      <c r="F662" s="855"/>
      <c r="G662" s="821" t="s">
        <v>495</v>
      </c>
      <c r="H662" s="980" t="s">
        <v>563</v>
      </c>
      <c r="I662" s="879">
        <f>VLOOKUP(H656,'CNKT '!$C$16:$Z$96,15,0)</f>
        <v>0</v>
      </c>
      <c r="J662" s="826">
        <f>92.2*$B$2</f>
        <v>61610.806000000004</v>
      </c>
      <c r="K662" s="823">
        <f t="shared" si="77"/>
        <v>0</v>
      </c>
      <c r="L662" s="856"/>
      <c r="M662" s="784"/>
      <c r="N662" s="857"/>
    </row>
    <row r="663" spans="1:14" s="31" customFormat="1" ht="17.25" customHeight="1">
      <c r="A663" s="821" t="s">
        <v>496</v>
      </c>
      <c r="B663" s="980" t="s">
        <v>500</v>
      </c>
      <c r="C663" s="879">
        <f>VLOOKUP(B656,'CNKT '!$C$16:$Z$96,16,0)</f>
        <v>0</v>
      </c>
      <c r="D663" s="825">
        <f>153.8*$B$2</f>
        <v>102773.774</v>
      </c>
      <c r="E663" s="823">
        <f t="shared" si="76"/>
        <v>0</v>
      </c>
      <c r="F663" s="855"/>
      <c r="G663" s="821" t="s">
        <v>496</v>
      </c>
      <c r="H663" s="980" t="s">
        <v>500</v>
      </c>
      <c r="I663" s="879">
        <f>VLOOKUP(H656,'CNKT '!$C$16:$Z$96,16,0)</f>
        <v>0</v>
      </c>
      <c r="J663" s="825">
        <f>153.8*$B$2</f>
        <v>102773.774</v>
      </c>
      <c r="K663" s="823">
        <f t="shared" si="77"/>
        <v>0</v>
      </c>
      <c r="L663" s="856"/>
      <c r="M663" s="784"/>
      <c r="N663" s="857"/>
    </row>
    <row r="664" spans="1:14" s="31" customFormat="1" ht="17.25" customHeight="1">
      <c r="A664" s="821" t="s">
        <v>455</v>
      </c>
      <c r="B664" s="980" t="s">
        <v>501</v>
      </c>
      <c r="C664" s="879">
        <f>VLOOKUP(B656,'CNKT '!$C$16:$Z$96,18,0)</f>
        <v>0</v>
      </c>
      <c r="D664" s="825">
        <v>10000</v>
      </c>
      <c r="E664" s="823">
        <f t="shared" si="76"/>
        <v>0</v>
      </c>
      <c r="F664" s="855"/>
      <c r="G664" s="821" t="s">
        <v>455</v>
      </c>
      <c r="H664" s="980" t="s">
        <v>501</v>
      </c>
      <c r="I664" s="879">
        <f>VLOOKUP(H656,'CNKT '!$C$16:$Z$96,18,0)</f>
        <v>0</v>
      </c>
      <c r="J664" s="825">
        <v>10000</v>
      </c>
      <c r="K664" s="823">
        <f t="shared" si="77"/>
        <v>0</v>
      </c>
      <c r="L664" s="856"/>
      <c r="M664" s="784"/>
      <c r="N664" s="857"/>
    </row>
    <row r="665" spans="1:14" s="31" customFormat="1" ht="17.25" customHeight="1">
      <c r="A665" s="821" t="s">
        <v>455</v>
      </c>
      <c r="B665" s="980" t="s">
        <v>501</v>
      </c>
      <c r="C665" s="879">
        <f>VLOOKUP(B656,'CNKT '!$C$16:$Z$96,19,0)</f>
        <v>0</v>
      </c>
      <c r="D665" s="825">
        <v>20000</v>
      </c>
      <c r="E665" s="823">
        <f t="shared" si="76"/>
        <v>0</v>
      </c>
      <c r="F665" s="855"/>
      <c r="G665" s="821" t="s">
        <v>455</v>
      </c>
      <c r="H665" s="980" t="s">
        <v>501</v>
      </c>
      <c r="I665" s="879">
        <f>VLOOKUP(H656,'CNKT '!$C$16:$Z$96,19,0)</f>
        <v>0</v>
      </c>
      <c r="J665" s="825">
        <v>20000</v>
      </c>
      <c r="K665" s="823">
        <f t="shared" si="77"/>
        <v>0</v>
      </c>
      <c r="L665" s="856"/>
      <c r="M665" s="784"/>
      <c r="N665" s="857"/>
    </row>
    <row r="666" spans="1:14" s="31" customFormat="1" ht="17.25" customHeight="1">
      <c r="A666" s="821" t="s">
        <v>517</v>
      </c>
      <c r="B666" s="980" t="s">
        <v>519</v>
      </c>
      <c r="C666" s="879"/>
      <c r="D666" s="825"/>
      <c r="E666" s="823"/>
      <c r="F666" s="855"/>
      <c r="G666" s="821" t="s">
        <v>517</v>
      </c>
      <c r="H666" s="980" t="s">
        <v>519</v>
      </c>
      <c r="I666" s="879"/>
      <c r="J666" s="825"/>
      <c r="K666" s="823"/>
      <c r="L666" s="856"/>
      <c r="M666" s="784"/>
      <c r="N666" s="857"/>
    </row>
    <row r="667" spans="1:14" s="31" customFormat="1" ht="17.25" customHeight="1">
      <c r="A667" s="827" t="s">
        <v>81</v>
      </c>
      <c r="B667" s="981" t="s">
        <v>564</v>
      </c>
      <c r="C667" s="828"/>
      <c r="D667" s="829"/>
      <c r="E667" s="828"/>
      <c r="F667" s="855"/>
      <c r="G667" s="827" t="s">
        <v>81</v>
      </c>
      <c r="H667" s="981" t="s">
        <v>564</v>
      </c>
      <c r="I667" s="828"/>
      <c r="J667" s="829"/>
      <c r="K667" s="828"/>
      <c r="L667" s="856"/>
      <c r="M667" s="784"/>
      <c r="N667" s="857"/>
    </row>
    <row r="668" spans="1:14" s="31" customFormat="1" ht="17.25" customHeight="1">
      <c r="A668" s="830" t="s">
        <v>82</v>
      </c>
      <c r="B668" s="982" t="s">
        <v>565</v>
      </c>
      <c r="C668" s="828"/>
      <c r="D668" s="828"/>
      <c r="E668" s="828"/>
      <c r="F668" s="855"/>
      <c r="G668" s="830" t="s">
        <v>82</v>
      </c>
      <c r="H668" s="982" t="s">
        <v>565</v>
      </c>
      <c r="I668" s="828"/>
      <c r="J668" s="828"/>
      <c r="K668" s="828"/>
      <c r="L668" s="856"/>
      <c r="M668" s="784"/>
      <c r="N668" s="857"/>
    </row>
    <row r="669" spans="1:14" s="31" customFormat="1" ht="17.25" customHeight="1">
      <c r="A669" s="830" t="s">
        <v>83</v>
      </c>
      <c r="B669" s="983" t="s">
        <v>566</v>
      </c>
      <c r="C669" s="828"/>
      <c r="D669" s="828"/>
      <c r="E669" s="823">
        <f>SUM(E668)</f>
        <v>0</v>
      </c>
      <c r="F669" s="855"/>
      <c r="G669" s="830" t="s">
        <v>83</v>
      </c>
      <c r="H669" s="983" t="s">
        <v>566</v>
      </c>
      <c r="I669" s="828"/>
      <c r="J669" s="828"/>
      <c r="K669" s="823">
        <f>SUM(K668)</f>
        <v>0</v>
      </c>
      <c r="L669" s="856"/>
      <c r="M669" s="831">
        <f>E669+K669</f>
        <v>0</v>
      </c>
      <c r="N669" s="857"/>
    </row>
    <row r="670" spans="1:14" s="31" customFormat="1" ht="17.25" customHeight="1">
      <c r="A670" s="832" t="s">
        <v>84</v>
      </c>
      <c r="B670" s="984" t="s">
        <v>438</v>
      </c>
      <c r="C670" s="833"/>
      <c r="D670" s="833"/>
      <c r="E670" s="833">
        <f>(E658+E659+E660+E661+E662+E663+E664+E665+E666)-E669</f>
        <v>158467.70517977927</v>
      </c>
      <c r="F670" s="855"/>
      <c r="G670" s="832" t="s">
        <v>84</v>
      </c>
      <c r="H670" s="984" t="s">
        <v>438</v>
      </c>
      <c r="I670" s="833"/>
      <c r="J670" s="833"/>
      <c r="K670" s="833">
        <f>(K658+K659+K660+K661+K662+K663+K664+K665+K666)-K669</f>
        <v>0</v>
      </c>
      <c r="L670" s="835">
        <f>E670+K670</f>
        <v>158467.70517977927</v>
      </c>
      <c r="M670" s="784"/>
      <c r="N670" s="857"/>
    </row>
    <row r="671" spans="1:14" s="31" customFormat="1" ht="17.25" customHeight="1">
      <c r="A671" s="838"/>
      <c r="B671" s="844"/>
      <c r="C671" s="845"/>
      <c r="D671" s="845"/>
      <c r="E671" s="843"/>
      <c r="F671" s="855"/>
      <c r="G671" s="838"/>
      <c r="H671" s="844"/>
      <c r="I671" s="845"/>
      <c r="J671" s="843"/>
      <c r="K671" s="974"/>
      <c r="L671" s="856"/>
      <c r="M671" s="784"/>
      <c r="N671" s="857"/>
    </row>
    <row r="672" spans="1:14" s="31" customFormat="1" ht="17.25" customHeight="1">
      <c r="A672" s="1615" t="str">
        <f>A655</f>
        <v>LƯƠNG THÁNG 01/2025</v>
      </c>
      <c r="B672" s="1616"/>
      <c r="C672" s="1616"/>
      <c r="D672" s="1616"/>
      <c r="E672" s="898">
        <v>79</v>
      </c>
      <c r="F672" s="855"/>
      <c r="G672" s="1615" t="str">
        <f>G655</f>
        <v>LƯƠNG THÁNG 01/2025</v>
      </c>
      <c r="H672" s="1616"/>
      <c r="I672" s="1616"/>
      <c r="J672" s="1616"/>
      <c r="K672" s="898">
        <v>80</v>
      </c>
      <c r="L672" s="856"/>
      <c r="M672" s="784"/>
      <c r="N672" s="857"/>
    </row>
    <row r="673" spans="1:15" s="31" customFormat="1" ht="17.25" customHeight="1">
      <c r="A673" s="837" t="s">
        <v>17</v>
      </c>
      <c r="B673" s="976" t="str">
        <f>'CNKT '!C94</f>
        <v>N.Nang</v>
      </c>
      <c r="C673" s="819"/>
      <c r="D673" s="973" t="s">
        <v>398</v>
      </c>
      <c r="E673" s="973" t="s">
        <v>20</v>
      </c>
      <c r="F673" s="855"/>
      <c r="G673" s="837" t="s">
        <v>17</v>
      </c>
      <c r="H673" s="976" t="str">
        <f>'CNKT '!C95</f>
        <v>T. Tan</v>
      </c>
      <c r="I673" s="819"/>
      <c r="J673" s="973" t="s">
        <v>398</v>
      </c>
      <c r="K673" s="973" t="s">
        <v>20</v>
      </c>
      <c r="L673" s="856"/>
      <c r="M673" s="784"/>
      <c r="N673" s="857"/>
    </row>
    <row r="674" spans="1:15" s="31" customFormat="1" ht="17.25" customHeight="1">
      <c r="A674" s="821" t="s">
        <v>399</v>
      </c>
      <c r="B674" s="978" t="s">
        <v>559</v>
      </c>
      <c r="C674" s="822">
        <f>VLOOKUP(B673,'BTH mủ tạp'!$C$17:$AL$96,36,0)</f>
        <v>0</v>
      </c>
      <c r="D674" s="823"/>
      <c r="E674" s="823"/>
      <c r="F674" s="855"/>
      <c r="G674" s="821" t="s">
        <v>399</v>
      </c>
      <c r="H674" s="978" t="s">
        <v>559</v>
      </c>
      <c r="I674" s="822">
        <f>VLOOKUP(H673,'BTH mủ tạp'!$C$17:$AL$96,36,0)</f>
        <v>0</v>
      </c>
      <c r="J674" s="823"/>
      <c r="K674" s="823"/>
      <c r="L674" s="856"/>
      <c r="M674" s="784"/>
      <c r="N674" s="857"/>
    </row>
    <row r="675" spans="1:15" s="31" customFormat="1" ht="17.25" customHeight="1">
      <c r="A675" s="821" t="s">
        <v>79</v>
      </c>
      <c r="B675" s="979" t="s">
        <v>432</v>
      </c>
      <c r="C675" s="824">
        <f>VLOOKUP(B673,'CNKT '!$C$16:$Z$96,3,0)</f>
        <v>0</v>
      </c>
      <c r="D675" s="825">
        <v>25000</v>
      </c>
      <c r="E675" s="823">
        <f t="shared" ref="E675:E682" si="78">C675*D675</f>
        <v>0</v>
      </c>
      <c r="F675" s="855"/>
      <c r="G675" s="821" t="s">
        <v>79</v>
      </c>
      <c r="H675" s="979" t="s">
        <v>432</v>
      </c>
      <c r="I675" s="824">
        <f>VLOOKUP(H673,'CNKT '!$C$16:$Z$96,3,0)</f>
        <v>0</v>
      </c>
      <c r="J675" s="825">
        <v>25000</v>
      </c>
      <c r="K675" s="823">
        <f t="shared" ref="K675:K682" si="79">I675*J675</f>
        <v>0</v>
      </c>
      <c r="L675" s="856"/>
      <c r="M675" s="784"/>
      <c r="N675" s="857"/>
    </row>
    <row r="676" spans="1:15" s="31" customFormat="1" ht="17.25" customHeight="1">
      <c r="A676" s="821" t="s">
        <v>310</v>
      </c>
      <c r="B676" s="980" t="s">
        <v>560</v>
      </c>
      <c r="C676" s="879">
        <f>VLOOKUP(B673,'CNKT '!$C$16:$Z$96,11,0)</f>
        <v>0</v>
      </c>
      <c r="D676" s="826">
        <f>46.1*$B$2</f>
        <v>30805.403000000002</v>
      </c>
      <c r="E676" s="823">
        <f t="shared" si="78"/>
        <v>0</v>
      </c>
      <c r="F676" s="855"/>
      <c r="G676" s="821" t="s">
        <v>310</v>
      </c>
      <c r="H676" s="980" t="s">
        <v>560</v>
      </c>
      <c r="I676" s="879">
        <f>VLOOKUP(H673,'CNKT '!$C$16:$Z$96,11,0)</f>
        <v>0</v>
      </c>
      <c r="J676" s="826">
        <f>46.1*$B$2</f>
        <v>30805.403000000002</v>
      </c>
      <c r="K676" s="823">
        <f t="shared" si="79"/>
        <v>0</v>
      </c>
      <c r="L676" s="856"/>
      <c r="M676" s="784"/>
      <c r="N676" s="857"/>
    </row>
    <row r="677" spans="1:15" s="31" customFormat="1" ht="17.25" customHeight="1">
      <c r="A677" s="821" t="s">
        <v>401</v>
      </c>
      <c r="B677" s="980" t="s">
        <v>561</v>
      </c>
      <c r="C677" s="879">
        <f>VLOOKUP(B673,'CNKT '!$C$16:$Z$96,12,0)</f>
        <v>0</v>
      </c>
      <c r="D677" s="825">
        <f>76.9*$B$2</f>
        <v>51386.887000000002</v>
      </c>
      <c r="E677" s="823">
        <f t="shared" si="78"/>
        <v>0</v>
      </c>
      <c r="F677" s="855"/>
      <c r="G677" s="821" t="s">
        <v>401</v>
      </c>
      <c r="H677" s="980" t="s">
        <v>561</v>
      </c>
      <c r="I677" s="879">
        <f>VLOOKUP(H673,'CNKT '!$C$16:$Z$96,12,0)</f>
        <v>0</v>
      </c>
      <c r="J677" s="825">
        <f>76.9*$B$2</f>
        <v>51386.887000000002</v>
      </c>
      <c r="K677" s="823">
        <f t="shared" si="79"/>
        <v>0</v>
      </c>
      <c r="L677" s="856"/>
      <c r="M677" s="784"/>
      <c r="N677" s="857"/>
    </row>
    <row r="678" spans="1:15" s="31" customFormat="1" ht="17.25" customHeight="1">
      <c r="A678" s="821" t="s">
        <v>80</v>
      </c>
      <c r="B678" s="980" t="s">
        <v>562</v>
      </c>
      <c r="C678" s="879">
        <f>VLOOKUP(B673,'CNKT '!$C$16:$Z$96,8,0)</f>
        <v>0</v>
      </c>
      <c r="D678" s="825">
        <f>IF(C674="A",6.1,IF(C674="B",5.8,IF(C674="C",5.5,IF(C674="C.",5.5,IF(C674="D",5.2)))))*$B$2</f>
        <v>0</v>
      </c>
      <c r="E678" s="823">
        <f t="shared" si="78"/>
        <v>0</v>
      </c>
      <c r="F678" s="855"/>
      <c r="G678" s="821" t="s">
        <v>80</v>
      </c>
      <c r="H678" s="980" t="s">
        <v>562</v>
      </c>
      <c r="I678" s="879">
        <f>VLOOKUP(H673,'CNKT '!$C$16:$Z$96,8,0)</f>
        <v>0</v>
      </c>
      <c r="J678" s="825">
        <f>IF(I674="A",6.1,IF(I674="B",5.8,IF(I674="C",5.5,IF(I674="C.",5.5,IF(I674="D",5.2)))))*$B$2</f>
        <v>0</v>
      </c>
      <c r="K678" s="823">
        <f t="shared" si="79"/>
        <v>0</v>
      </c>
      <c r="L678" s="856"/>
      <c r="M678" s="784"/>
      <c r="N678" s="857"/>
    </row>
    <row r="679" spans="1:15" s="31" customFormat="1" ht="17.25" customHeight="1">
      <c r="A679" s="821" t="s">
        <v>495</v>
      </c>
      <c r="B679" s="980" t="s">
        <v>563</v>
      </c>
      <c r="C679" s="879">
        <f>VLOOKUP(B673,'CNKT '!$C$16:$Z$96,15,0)</f>
        <v>0</v>
      </c>
      <c r="D679" s="826">
        <f>92.2*$B$2</f>
        <v>61610.806000000004</v>
      </c>
      <c r="E679" s="823">
        <f t="shared" si="78"/>
        <v>0</v>
      </c>
      <c r="F679" s="855"/>
      <c r="G679" s="821" t="s">
        <v>495</v>
      </c>
      <c r="H679" s="980" t="s">
        <v>563</v>
      </c>
      <c r="I679" s="879">
        <f>VLOOKUP(H673,'CNKT '!$C$16:$Z$96,15,0)</f>
        <v>0</v>
      </c>
      <c r="J679" s="826">
        <f>92.2*$B$2</f>
        <v>61610.806000000004</v>
      </c>
      <c r="K679" s="823">
        <f t="shared" si="79"/>
        <v>0</v>
      </c>
      <c r="L679" s="856"/>
      <c r="M679" s="784"/>
      <c r="N679" s="857"/>
    </row>
    <row r="680" spans="1:15" s="31" customFormat="1" ht="17.25" customHeight="1">
      <c r="A680" s="821" t="s">
        <v>496</v>
      </c>
      <c r="B680" s="980" t="s">
        <v>500</v>
      </c>
      <c r="C680" s="879">
        <f>VLOOKUP(B673,'CNKT '!$C$16:$Z$96,16,0)</f>
        <v>0</v>
      </c>
      <c r="D680" s="825">
        <f>153.8*$B$2</f>
        <v>102773.774</v>
      </c>
      <c r="E680" s="823">
        <f t="shared" si="78"/>
        <v>0</v>
      </c>
      <c r="F680" s="855"/>
      <c r="G680" s="821" t="s">
        <v>496</v>
      </c>
      <c r="H680" s="980" t="s">
        <v>500</v>
      </c>
      <c r="I680" s="879">
        <f>VLOOKUP(H673,'CNKT '!$C$16:$Z$96,16,0)</f>
        <v>0</v>
      </c>
      <c r="J680" s="825">
        <f>153.8*$B$2</f>
        <v>102773.774</v>
      </c>
      <c r="K680" s="823">
        <f t="shared" si="79"/>
        <v>0</v>
      </c>
      <c r="L680" s="856"/>
      <c r="M680" s="784"/>
      <c r="N680" s="857"/>
    </row>
    <row r="681" spans="1:15" s="31" customFormat="1" ht="17.25" customHeight="1">
      <c r="A681" s="821" t="s">
        <v>455</v>
      </c>
      <c r="B681" s="980" t="s">
        <v>501</v>
      </c>
      <c r="C681" s="879">
        <f>VLOOKUP(B673,'CNKT '!$C$16:$Z$96,18,0)</f>
        <v>0</v>
      </c>
      <c r="D681" s="825">
        <v>10000</v>
      </c>
      <c r="E681" s="823">
        <f t="shared" si="78"/>
        <v>0</v>
      </c>
      <c r="F681" s="855"/>
      <c r="G681" s="821" t="s">
        <v>455</v>
      </c>
      <c r="H681" s="980" t="s">
        <v>501</v>
      </c>
      <c r="I681" s="879">
        <f>VLOOKUP(H673,'CNKT '!$C$16:$Z$96,18,0)</f>
        <v>0</v>
      </c>
      <c r="J681" s="825">
        <v>10000</v>
      </c>
      <c r="K681" s="823">
        <f t="shared" si="79"/>
        <v>0</v>
      </c>
      <c r="L681" s="856"/>
      <c r="M681" s="784"/>
      <c r="N681" s="857"/>
    </row>
    <row r="682" spans="1:15" s="31" customFormat="1" ht="17.25" customHeight="1">
      <c r="A682" s="821" t="s">
        <v>455</v>
      </c>
      <c r="B682" s="980" t="s">
        <v>501</v>
      </c>
      <c r="C682" s="879">
        <f>VLOOKUP(B673,'CNKT '!$C$16:$Z$96,19,0)</f>
        <v>0</v>
      </c>
      <c r="D682" s="825">
        <v>20000</v>
      </c>
      <c r="E682" s="823">
        <f t="shared" si="78"/>
        <v>0</v>
      </c>
      <c r="F682" s="855"/>
      <c r="G682" s="821" t="s">
        <v>455</v>
      </c>
      <c r="H682" s="980" t="s">
        <v>501</v>
      </c>
      <c r="I682" s="879">
        <f>VLOOKUP(H673,'CNKT '!$C$16:$Z$96,19,0)</f>
        <v>0</v>
      </c>
      <c r="J682" s="825">
        <v>20000</v>
      </c>
      <c r="K682" s="823">
        <f t="shared" si="79"/>
        <v>0</v>
      </c>
      <c r="L682" s="856"/>
      <c r="M682" s="784"/>
      <c r="N682" s="857"/>
    </row>
    <row r="683" spans="1:15" s="31" customFormat="1" ht="17.25" customHeight="1">
      <c r="A683" s="821" t="s">
        <v>517</v>
      </c>
      <c r="B683" s="980" t="s">
        <v>519</v>
      </c>
      <c r="C683" s="879"/>
      <c r="D683" s="825"/>
      <c r="E683" s="823"/>
      <c r="F683" s="855"/>
      <c r="G683" s="821" t="s">
        <v>517</v>
      </c>
      <c r="H683" s="980" t="s">
        <v>519</v>
      </c>
      <c r="I683" s="879"/>
      <c r="J683" s="825"/>
      <c r="K683" s="823"/>
      <c r="L683" s="856"/>
      <c r="M683" s="784"/>
      <c r="N683" s="857"/>
    </row>
    <row r="684" spans="1:15" s="31" customFormat="1" ht="17.25" customHeight="1">
      <c r="A684" s="827" t="s">
        <v>81</v>
      </c>
      <c r="B684" s="981" t="s">
        <v>564</v>
      </c>
      <c r="C684" s="828"/>
      <c r="D684" s="829"/>
      <c r="E684" s="828"/>
      <c r="F684" s="855"/>
      <c r="G684" s="827" t="s">
        <v>81</v>
      </c>
      <c r="H684" s="981" t="s">
        <v>564</v>
      </c>
      <c r="I684" s="828"/>
      <c r="J684" s="829"/>
      <c r="K684" s="828"/>
      <c r="L684" s="856"/>
      <c r="M684" s="784"/>
      <c r="N684" s="857"/>
    </row>
    <row r="685" spans="1:15" s="31" customFormat="1" ht="17.25" customHeight="1">
      <c r="A685" s="830" t="s">
        <v>82</v>
      </c>
      <c r="B685" s="982" t="s">
        <v>565</v>
      </c>
      <c r="C685" s="828"/>
      <c r="D685" s="828"/>
      <c r="E685" s="828"/>
      <c r="F685" s="855"/>
      <c r="G685" s="830" t="s">
        <v>82</v>
      </c>
      <c r="H685" s="982" t="s">
        <v>565</v>
      </c>
      <c r="I685" s="828"/>
      <c r="J685" s="828"/>
      <c r="K685" s="828"/>
      <c r="L685" s="856"/>
      <c r="M685" s="784"/>
      <c r="N685" s="857"/>
    </row>
    <row r="686" spans="1:15" s="31" customFormat="1" ht="17.25" customHeight="1">
      <c r="A686" s="830" t="s">
        <v>83</v>
      </c>
      <c r="B686" s="983" t="s">
        <v>566</v>
      </c>
      <c r="C686" s="828"/>
      <c r="D686" s="828"/>
      <c r="E686" s="823">
        <f>SUM(E685)</f>
        <v>0</v>
      </c>
      <c r="F686" s="855"/>
      <c r="G686" s="830" t="s">
        <v>83</v>
      </c>
      <c r="H686" s="983" t="s">
        <v>566</v>
      </c>
      <c r="I686" s="828"/>
      <c r="J686" s="828"/>
      <c r="K686" s="823">
        <f>SUM(K685)</f>
        <v>0</v>
      </c>
      <c r="L686" s="856"/>
      <c r="M686" s="784"/>
      <c r="N686" s="857"/>
    </row>
    <row r="687" spans="1:15" s="31" customFormat="1" ht="17.25" customHeight="1">
      <c r="A687" s="832" t="s">
        <v>84</v>
      </c>
      <c r="B687" s="984" t="s">
        <v>438</v>
      </c>
      <c r="C687" s="833"/>
      <c r="D687" s="833"/>
      <c r="E687" s="833">
        <f>(E675+E676+E677+E678+E679+E680+E681+E682+E683)-E686</f>
        <v>0</v>
      </c>
      <c r="F687" s="855"/>
      <c r="G687" s="832" t="s">
        <v>84</v>
      </c>
      <c r="H687" s="984" t="s">
        <v>438</v>
      </c>
      <c r="I687" s="833"/>
      <c r="J687" s="833"/>
      <c r="K687" s="833">
        <f>(K675+K676+K677+K678+K679+K680+K681+K682+K683)-K686</f>
        <v>0</v>
      </c>
      <c r="L687" s="835">
        <f>E687+K687</f>
        <v>0</v>
      </c>
      <c r="M687" s="857"/>
      <c r="N687" s="784"/>
      <c r="O687" s="857"/>
    </row>
    <row r="688" spans="1:15" s="31" customFormat="1" ht="15.75" customHeight="1">
      <c r="A688" s="858"/>
      <c r="B688" s="859"/>
      <c r="C688" s="843"/>
      <c r="D688" s="843"/>
      <c r="E688" s="843"/>
      <c r="F688" s="855"/>
      <c r="G688" s="858"/>
      <c r="H688" s="859"/>
      <c r="I688" s="843"/>
      <c r="J688" s="860"/>
      <c r="K688" s="843"/>
      <c r="L688" s="856"/>
      <c r="M688" s="857"/>
      <c r="N688" s="784"/>
      <c r="O688" s="857"/>
    </row>
    <row r="689" spans="1:15" s="31" customFormat="1" ht="17.25" customHeight="1">
      <c r="A689" s="1615" t="str">
        <f>A672</f>
        <v>LƯƠNG THÁNG 01/2025</v>
      </c>
      <c r="B689" s="1616"/>
      <c r="C689" s="1616"/>
      <c r="D689" s="1616"/>
      <c r="E689" s="898">
        <v>81</v>
      </c>
      <c r="F689" s="855"/>
      <c r="G689" s="1615" t="str">
        <f>G672</f>
        <v>LƯƠNG THÁNG 01/2025</v>
      </c>
      <c r="H689" s="1616"/>
      <c r="I689" s="1616"/>
      <c r="J689" s="1616"/>
      <c r="K689" s="898">
        <v>82</v>
      </c>
      <c r="L689" s="856"/>
      <c r="M689" s="857"/>
      <c r="N689" s="784"/>
      <c r="O689" s="857"/>
    </row>
    <row r="690" spans="1:15" s="31" customFormat="1" ht="17.25" customHeight="1">
      <c r="A690" s="837" t="s">
        <v>17</v>
      </c>
      <c r="B690" s="976" t="str">
        <f>'CNKT '!C96</f>
        <v>T.Say</v>
      </c>
      <c r="C690" s="819"/>
      <c r="D690" s="973" t="s">
        <v>398</v>
      </c>
      <c r="E690" s="973" t="s">
        <v>20</v>
      </c>
      <c r="F690" s="855"/>
      <c r="G690" s="837" t="s">
        <v>17</v>
      </c>
      <c r="H690" s="976" t="e">
        <f>'CNKT '!#REF!</f>
        <v>#REF!</v>
      </c>
      <c r="I690" s="819"/>
      <c r="J690" s="973" t="s">
        <v>398</v>
      </c>
      <c r="K690" s="973" t="s">
        <v>20</v>
      </c>
      <c r="L690" s="856"/>
      <c r="M690" s="857"/>
      <c r="N690" s="784"/>
      <c r="O690" s="857"/>
    </row>
    <row r="691" spans="1:15" s="31" customFormat="1" ht="17.25" customHeight="1">
      <c r="A691" s="821" t="s">
        <v>399</v>
      </c>
      <c r="B691" s="978" t="s">
        <v>559</v>
      </c>
      <c r="C691" s="822" t="s">
        <v>40</v>
      </c>
      <c r="D691" s="823"/>
      <c r="E691" s="823"/>
      <c r="F691" s="855"/>
      <c r="G691" s="821" t="s">
        <v>399</v>
      </c>
      <c r="H691" s="978" t="s">
        <v>559</v>
      </c>
      <c r="I691" s="822" t="e">
        <f>VLOOKUP(H690,'BTH mủ tạp'!$C$17:$AL$96,36,0)</f>
        <v>#REF!</v>
      </c>
      <c r="J691" s="823"/>
      <c r="K691" s="823"/>
      <c r="L691" s="856"/>
      <c r="M691" s="857"/>
      <c r="N691" s="784"/>
      <c r="O691" s="857"/>
    </row>
    <row r="692" spans="1:15" s="31" customFormat="1" ht="17.25" customHeight="1">
      <c r="A692" s="821" t="s">
        <v>79</v>
      </c>
      <c r="B692" s="979" t="s">
        <v>432</v>
      </c>
      <c r="C692" s="824">
        <f>VLOOKUP(B690,'CNKT '!$C$16:$Z$96,3,0)</f>
        <v>0</v>
      </c>
      <c r="D692" s="825">
        <v>25000</v>
      </c>
      <c r="E692" s="823">
        <f t="shared" ref="E692:E697" si="80">C692*D692</f>
        <v>0</v>
      </c>
      <c r="F692" s="855"/>
      <c r="G692" s="821" t="s">
        <v>79</v>
      </c>
      <c r="H692" s="979" t="s">
        <v>432</v>
      </c>
      <c r="I692" s="824" t="e">
        <f>VLOOKUP(H690,'CNKT '!$C$16:$Z$96,3,0)</f>
        <v>#REF!</v>
      </c>
      <c r="J692" s="825">
        <v>25000</v>
      </c>
      <c r="K692" s="823" t="e">
        <f t="shared" ref="K692:K697" si="81">I692*J692</f>
        <v>#REF!</v>
      </c>
      <c r="L692" s="856"/>
      <c r="M692" s="857"/>
      <c r="N692" s="784"/>
      <c r="O692" s="857"/>
    </row>
    <row r="693" spans="1:15" s="31" customFormat="1" ht="17.25" customHeight="1">
      <c r="A693" s="821" t="s">
        <v>310</v>
      </c>
      <c r="B693" s="980" t="s">
        <v>560</v>
      </c>
      <c r="C693" s="879">
        <f>VLOOKUP(B690,'CNKT '!$C$16:$Z$96,11,0)</f>
        <v>0</v>
      </c>
      <c r="D693" s="826">
        <f>46.1*$B$2</f>
        <v>30805.403000000002</v>
      </c>
      <c r="E693" s="823">
        <f t="shared" si="80"/>
        <v>0</v>
      </c>
      <c r="F693" s="855"/>
      <c r="G693" s="821" t="s">
        <v>310</v>
      </c>
      <c r="H693" s="980" t="s">
        <v>560</v>
      </c>
      <c r="I693" s="879" t="e">
        <f>VLOOKUP(H690,'CNKT '!$C$16:$Z$96,11,0)</f>
        <v>#REF!</v>
      </c>
      <c r="J693" s="826">
        <f>46.1*$B$2</f>
        <v>30805.403000000002</v>
      </c>
      <c r="K693" s="823" t="e">
        <f t="shared" si="81"/>
        <v>#REF!</v>
      </c>
      <c r="L693" s="856"/>
      <c r="M693" s="857"/>
      <c r="N693" s="784"/>
      <c r="O693" s="857"/>
    </row>
    <row r="694" spans="1:15" s="31" customFormat="1" ht="17.25" customHeight="1">
      <c r="A694" s="821" t="s">
        <v>401</v>
      </c>
      <c r="B694" s="980" t="s">
        <v>561</v>
      </c>
      <c r="C694" s="879">
        <f>VLOOKUP(B690,'CNKT '!$C$16:$Z$96,12,0)</f>
        <v>0</v>
      </c>
      <c r="D694" s="825">
        <f>76.9*$B$2</f>
        <v>51386.887000000002</v>
      </c>
      <c r="E694" s="823">
        <f t="shared" si="80"/>
        <v>0</v>
      </c>
      <c r="F694" s="855"/>
      <c r="G694" s="821" t="s">
        <v>401</v>
      </c>
      <c r="H694" s="980" t="s">
        <v>561</v>
      </c>
      <c r="I694" s="879" t="e">
        <f>VLOOKUP(H690,'CNKT '!$C$16:$Z$96,12,0)</f>
        <v>#REF!</v>
      </c>
      <c r="J694" s="825">
        <f>76.9*$B$2</f>
        <v>51386.887000000002</v>
      </c>
      <c r="K694" s="823" t="e">
        <f t="shared" si="81"/>
        <v>#REF!</v>
      </c>
      <c r="L694" s="856"/>
      <c r="M694" s="857"/>
      <c r="N694" s="784"/>
      <c r="O694" s="857"/>
    </row>
    <row r="695" spans="1:15" s="31" customFormat="1" ht="17.25" customHeight="1">
      <c r="A695" s="821" t="s">
        <v>80</v>
      </c>
      <c r="B695" s="980" t="s">
        <v>562</v>
      </c>
      <c r="C695" s="879">
        <f>VLOOKUP(B690,'CNKT '!$C$16:$Z$96,8,0)</f>
        <v>0</v>
      </c>
      <c r="D695" s="825">
        <f>IF(C691="A",6.1,IF(C691="B",5.8,IF(C691="C",5.5,IF(C691="C.",5.5,IF(C691="D",5.2)))))*$B$2</f>
        <v>4076.203</v>
      </c>
      <c r="E695" s="823">
        <f t="shared" si="80"/>
        <v>0</v>
      </c>
      <c r="F695" s="855"/>
      <c r="G695" s="821" t="s">
        <v>80</v>
      </c>
      <c r="H695" s="980" t="s">
        <v>562</v>
      </c>
      <c r="I695" s="879" t="e">
        <f>VLOOKUP(H690,'CNKT '!$C$16:$Z$96,8,0)</f>
        <v>#REF!</v>
      </c>
      <c r="J695" s="825" t="e">
        <f>IF(I691="A",6.1,IF(I691="B",5.8,IF(I691="C",5.5,IF(I691="C.",5.5,IF(I691="D",5.2)))))*$B$2</f>
        <v>#REF!</v>
      </c>
      <c r="K695" s="823" t="e">
        <f t="shared" si="81"/>
        <v>#REF!</v>
      </c>
      <c r="L695" s="856"/>
      <c r="M695" s="857"/>
      <c r="N695" s="784"/>
      <c r="O695" s="857"/>
    </row>
    <row r="696" spans="1:15" s="31" customFormat="1" ht="17.25" customHeight="1">
      <c r="A696" s="821" t="s">
        <v>495</v>
      </c>
      <c r="B696" s="980" t="s">
        <v>563</v>
      </c>
      <c r="C696" s="879">
        <f>VLOOKUP(B690,'CNKT '!$C$16:$Z$96,15,0)</f>
        <v>0</v>
      </c>
      <c r="D696" s="826">
        <f>92.2*$B$2</f>
        <v>61610.806000000004</v>
      </c>
      <c r="E696" s="823">
        <f t="shared" si="80"/>
        <v>0</v>
      </c>
      <c r="F696" s="855"/>
      <c r="G696" s="821" t="s">
        <v>495</v>
      </c>
      <c r="H696" s="980" t="s">
        <v>563</v>
      </c>
      <c r="I696" s="879" t="e">
        <f>VLOOKUP(H690,'CNKT '!$C$16:$Z$96,15,0)</f>
        <v>#REF!</v>
      </c>
      <c r="J696" s="826">
        <f>92.2*$B$2</f>
        <v>61610.806000000004</v>
      </c>
      <c r="K696" s="823" t="e">
        <f t="shared" si="81"/>
        <v>#REF!</v>
      </c>
      <c r="L696" s="856"/>
      <c r="M696" s="857"/>
      <c r="N696" s="784"/>
      <c r="O696" s="857"/>
    </row>
    <row r="697" spans="1:15" s="31" customFormat="1" ht="17.25" customHeight="1">
      <c r="A697" s="821" t="s">
        <v>496</v>
      </c>
      <c r="B697" s="980" t="s">
        <v>500</v>
      </c>
      <c r="C697" s="879">
        <f>VLOOKUP(B690,'CNKT '!$C$16:$Z$96,16,0)</f>
        <v>0</v>
      </c>
      <c r="D697" s="825">
        <f>153.6*$B$2</f>
        <v>102640.128</v>
      </c>
      <c r="E697" s="823">
        <f t="shared" si="80"/>
        <v>0</v>
      </c>
      <c r="F697" s="855"/>
      <c r="G697" s="821" t="s">
        <v>496</v>
      </c>
      <c r="H697" s="980" t="s">
        <v>500</v>
      </c>
      <c r="I697" s="879" t="e">
        <f>VLOOKUP(H690,'CNKT '!$C$16:$Z$96,16,0)</f>
        <v>#REF!</v>
      </c>
      <c r="J697" s="825">
        <f>153.6*$B$2</f>
        <v>102640.128</v>
      </c>
      <c r="K697" s="823" t="e">
        <f t="shared" si="81"/>
        <v>#REF!</v>
      </c>
      <c r="L697" s="856"/>
      <c r="M697" s="857"/>
      <c r="N697" s="784"/>
      <c r="O697" s="857"/>
    </row>
    <row r="698" spans="1:15" s="31" customFormat="1" ht="17.25" customHeight="1">
      <c r="A698" s="821"/>
      <c r="B698" s="980" t="s">
        <v>501</v>
      </c>
      <c r="C698" s="879"/>
      <c r="D698" s="825"/>
      <c r="E698" s="823"/>
      <c r="F698" s="855"/>
      <c r="G698" s="821"/>
      <c r="H698" s="980" t="s">
        <v>501</v>
      </c>
      <c r="I698" s="879"/>
      <c r="J698" s="825"/>
      <c r="K698" s="823"/>
      <c r="L698" s="856"/>
      <c r="M698" s="857"/>
      <c r="N698" s="784"/>
      <c r="O698" s="857"/>
    </row>
    <row r="699" spans="1:15" s="31" customFormat="1" ht="17.25" customHeight="1">
      <c r="A699" s="821"/>
      <c r="B699" s="980" t="s">
        <v>501</v>
      </c>
      <c r="C699" s="879"/>
      <c r="D699" s="825"/>
      <c r="E699" s="823"/>
      <c r="F699" s="855"/>
      <c r="G699" s="821"/>
      <c r="H699" s="980" t="s">
        <v>501</v>
      </c>
      <c r="I699" s="879"/>
      <c r="J699" s="825"/>
      <c r="K699" s="823"/>
      <c r="L699" s="856"/>
      <c r="M699" s="857"/>
      <c r="N699" s="784"/>
      <c r="O699" s="857"/>
    </row>
    <row r="700" spans="1:15" s="31" customFormat="1" ht="17.25" customHeight="1">
      <c r="A700" s="821" t="s">
        <v>455</v>
      </c>
      <c r="B700" s="980" t="s">
        <v>519</v>
      </c>
      <c r="C700" s="879">
        <f>VLOOKUP(B690,'CNKT '!$C$16:$Z$96,18,0)</f>
        <v>0</v>
      </c>
      <c r="D700" s="825">
        <v>10000</v>
      </c>
      <c r="E700" s="823">
        <f>C700*D700</f>
        <v>0</v>
      </c>
      <c r="F700" s="855"/>
      <c r="G700" s="821" t="s">
        <v>455</v>
      </c>
      <c r="H700" s="980" t="s">
        <v>519</v>
      </c>
      <c r="I700" s="879" t="e">
        <f>VLOOKUP(H690,'CNKT '!$C$16:$Z$96,18,0)</f>
        <v>#REF!</v>
      </c>
      <c r="J700" s="825">
        <v>10000</v>
      </c>
      <c r="K700" s="823" t="e">
        <f>I700*J700</f>
        <v>#REF!</v>
      </c>
      <c r="L700" s="856"/>
      <c r="M700" s="857"/>
      <c r="N700" s="784"/>
      <c r="O700" s="857"/>
    </row>
    <row r="701" spans="1:15" s="31" customFormat="1" ht="17.25" customHeight="1">
      <c r="A701" s="827" t="s">
        <v>81</v>
      </c>
      <c r="B701" s="981" t="s">
        <v>564</v>
      </c>
      <c r="C701" s="828"/>
      <c r="D701" s="829"/>
      <c r="E701" s="828"/>
      <c r="F701" s="855"/>
      <c r="G701" s="827" t="s">
        <v>81</v>
      </c>
      <c r="H701" s="981" t="s">
        <v>564</v>
      </c>
      <c r="I701" s="828"/>
      <c r="J701" s="829"/>
      <c r="K701" s="828"/>
      <c r="L701" s="856"/>
      <c r="M701" s="857"/>
      <c r="N701" s="784"/>
      <c r="O701" s="857"/>
    </row>
    <row r="702" spans="1:15" s="31" customFormat="1" ht="17.25" customHeight="1">
      <c r="A702" s="830" t="s">
        <v>82</v>
      </c>
      <c r="B702" s="982" t="s">
        <v>565</v>
      </c>
      <c r="C702" s="828"/>
      <c r="D702" s="828"/>
      <c r="E702" s="828"/>
      <c r="F702" s="855"/>
      <c r="G702" s="830" t="s">
        <v>82</v>
      </c>
      <c r="H702" s="982" t="s">
        <v>565</v>
      </c>
      <c r="I702" s="828"/>
      <c r="J702" s="828"/>
      <c r="K702" s="828"/>
      <c r="L702" s="856"/>
      <c r="M702" s="857"/>
      <c r="N702" s="784"/>
      <c r="O702" s="857"/>
    </row>
    <row r="703" spans="1:15" s="31" customFormat="1" ht="17.25" customHeight="1">
      <c r="A703" s="830" t="s">
        <v>83</v>
      </c>
      <c r="B703" s="983" t="s">
        <v>566</v>
      </c>
      <c r="C703" s="828"/>
      <c r="D703" s="828"/>
      <c r="E703" s="823">
        <f>SUM(E702)</f>
        <v>0</v>
      </c>
      <c r="F703" s="855"/>
      <c r="G703" s="830" t="s">
        <v>83</v>
      </c>
      <c r="H703" s="983" t="s">
        <v>566</v>
      </c>
      <c r="I703" s="828"/>
      <c r="J703" s="828"/>
      <c r="K703" s="823">
        <f>SUM(K702)</f>
        <v>0</v>
      </c>
      <c r="L703" s="856"/>
      <c r="M703" s="857"/>
      <c r="N703" s="784"/>
      <c r="O703" s="857"/>
    </row>
    <row r="704" spans="1:15" s="31" customFormat="1" ht="17.25" customHeight="1">
      <c r="A704" s="832" t="s">
        <v>84</v>
      </c>
      <c r="B704" s="984" t="s">
        <v>438</v>
      </c>
      <c r="C704" s="833"/>
      <c r="D704" s="833"/>
      <c r="E704" s="833">
        <f>(E692+E693+E694+E695+E696+E697+E700)-E703</f>
        <v>0</v>
      </c>
      <c r="F704" s="855"/>
      <c r="G704" s="832" t="s">
        <v>84</v>
      </c>
      <c r="H704" s="984" t="s">
        <v>438</v>
      </c>
      <c r="I704" s="833"/>
      <c r="J704" s="833"/>
      <c r="K704" s="833" t="e">
        <f>(K692+K693+K694+K695+K696+K697+K700)-K703</f>
        <v>#REF!</v>
      </c>
      <c r="L704" s="835">
        <f>E704</f>
        <v>0</v>
      </c>
      <c r="M704" s="857"/>
      <c r="N704" s="784"/>
      <c r="O704" s="857"/>
    </row>
    <row r="705" spans="1:15" s="31" customFormat="1" ht="17.25" customHeight="1">
      <c r="A705" s="858"/>
      <c r="B705" s="859"/>
      <c r="C705" s="843"/>
      <c r="D705" s="843"/>
      <c r="E705" s="843"/>
      <c r="F705" s="855"/>
      <c r="G705" s="858"/>
      <c r="H705" s="859"/>
      <c r="I705" s="843"/>
      <c r="J705" s="843"/>
      <c r="K705" s="843"/>
      <c r="L705" s="856"/>
      <c r="M705" s="857"/>
      <c r="N705" s="784"/>
      <c r="O705" s="857"/>
    </row>
    <row r="706" spans="1:15" s="31" customFormat="1" ht="17.25" customHeight="1">
      <c r="A706" s="1615" t="str">
        <f>A672</f>
        <v>LƯƠNG THÁNG 01/2025</v>
      </c>
      <c r="B706" s="1616"/>
      <c r="C706" s="1616"/>
      <c r="D706" s="1616"/>
      <c r="E706" s="898">
        <v>83</v>
      </c>
      <c r="F706" s="855"/>
      <c r="G706" s="1615" t="str">
        <f>G672</f>
        <v>LƯƠNG THÁNG 01/2025</v>
      </c>
      <c r="H706" s="1616"/>
      <c r="I706" s="1616"/>
      <c r="J706" s="1616"/>
      <c r="K706" s="1617"/>
      <c r="L706" s="856"/>
      <c r="M706" s="784"/>
      <c r="N706" s="857"/>
    </row>
    <row r="707" spans="1:15" s="31" customFormat="1" ht="17.25" customHeight="1">
      <c r="A707" s="837" t="s">
        <v>17</v>
      </c>
      <c r="B707" s="976" t="e">
        <f>'CNKT '!#REF!</f>
        <v>#REF!</v>
      </c>
      <c r="C707" s="819"/>
      <c r="D707" s="861"/>
      <c r="E707" s="862" t="s">
        <v>44</v>
      </c>
      <c r="F707" s="855"/>
      <c r="G707" s="837"/>
      <c r="H707" s="976"/>
      <c r="I707" s="819"/>
      <c r="J707" s="861"/>
      <c r="K707" s="862"/>
      <c r="L707" s="856"/>
      <c r="M707" s="784"/>
      <c r="N707" s="857"/>
    </row>
    <row r="708" spans="1:15" s="31" customFormat="1" ht="17.25" customHeight="1">
      <c r="A708" s="821" t="s">
        <v>399</v>
      </c>
      <c r="B708" s="712" t="s">
        <v>431</v>
      </c>
      <c r="C708" s="822" t="e">
        <f>VLOOKUP(B707,'BTH mủ tạp'!$C$17:$AL$96,36,0)</f>
        <v>#REF!</v>
      </c>
      <c r="D708" s="823"/>
      <c r="E708" s="823"/>
      <c r="F708" s="855"/>
      <c r="G708" s="821"/>
      <c r="H708" s="712"/>
      <c r="I708" s="822"/>
      <c r="J708" s="823"/>
      <c r="K708" s="823"/>
      <c r="L708" s="856"/>
      <c r="M708" s="784"/>
      <c r="N708" s="857"/>
    </row>
    <row r="709" spans="1:15" s="31" customFormat="1" ht="17.25" customHeight="1">
      <c r="A709" s="821" t="s">
        <v>79</v>
      </c>
      <c r="B709" s="713" t="s">
        <v>432</v>
      </c>
      <c r="C709" s="824" t="e">
        <f>VLOOKUP(B707,'CNKT '!$C$16:$Z$96,3,0)</f>
        <v>#REF!</v>
      </c>
      <c r="D709" s="825">
        <v>25000</v>
      </c>
      <c r="E709" s="823" t="e">
        <f t="shared" ref="E709:E715" si="82">C709*D709</f>
        <v>#REF!</v>
      </c>
      <c r="F709" s="855"/>
      <c r="G709" s="821"/>
      <c r="H709" s="713"/>
      <c r="I709" s="824"/>
      <c r="J709" s="825"/>
      <c r="K709" s="823"/>
      <c r="L709" s="856"/>
      <c r="M709" s="784"/>
      <c r="N709" s="857"/>
    </row>
    <row r="710" spans="1:15" s="31" customFormat="1" ht="17.25" customHeight="1">
      <c r="A710" s="821" t="s">
        <v>310</v>
      </c>
      <c r="B710" s="714" t="s">
        <v>433</v>
      </c>
      <c r="C710" s="879" t="e">
        <f>VLOOKUP(B707,'CNKT '!$C$16:$Z$96,11,0)</f>
        <v>#REF!</v>
      </c>
      <c r="D710" s="826">
        <f>46.1*$B$2</f>
        <v>30805.403000000002</v>
      </c>
      <c r="E710" s="823" t="e">
        <f t="shared" si="82"/>
        <v>#REF!</v>
      </c>
      <c r="F710" s="855"/>
      <c r="G710" s="821"/>
      <c r="H710" s="714"/>
      <c r="I710" s="879"/>
      <c r="J710" s="826"/>
      <c r="K710" s="823"/>
      <c r="L710" s="856"/>
      <c r="M710" s="784"/>
      <c r="N710" s="857"/>
    </row>
    <row r="711" spans="1:15" s="31" customFormat="1" ht="17.25" customHeight="1">
      <c r="A711" s="821" t="s">
        <v>401</v>
      </c>
      <c r="B711" s="714" t="s">
        <v>498</v>
      </c>
      <c r="C711" s="879" t="e">
        <f>VLOOKUP(B707,'CNKT '!$C$16:$Z$96,12,0)</f>
        <v>#REF!</v>
      </c>
      <c r="D711" s="825">
        <f>76.9*$B$2</f>
        <v>51386.887000000002</v>
      </c>
      <c r="E711" s="823" t="e">
        <f t="shared" si="82"/>
        <v>#REF!</v>
      </c>
      <c r="F711" s="855"/>
      <c r="G711" s="821"/>
      <c r="H711" s="714"/>
      <c r="I711" s="879"/>
      <c r="J711" s="825"/>
      <c r="K711" s="823"/>
      <c r="L711" s="856"/>
      <c r="M711" s="784"/>
      <c r="N711" s="857"/>
    </row>
    <row r="712" spans="1:15" s="31" customFormat="1" ht="17.25" customHeight="1">
      <c r="A712" s="821" t="s">
        <v>80</v>
      </c>
      <c r="B712" s="714" t="s">
        <v>434</v>
      </c>
      <c r="C712" s="879" t="e">
        <f>VLOOKUP(B707,'CNKT '!$C$16:$Z$96,8,0)</f>
        <v>#REF!</v>
      </c>
      <c r="D712" s="825"/>
      <c r="E712" s="823" t="e">
        <f t="shared" si="82"/>
        <v>#REF!</v>
      </c>
      <c r="F712" s="855"/>
      <c r="G712" s="821"/>
      <c r="H712" s="714"/>
      <c r="I712" s="879"/>
      <c r="J712" s="825"/>
      <c r="K712" s="823"/>
      <c r="L712" s="856"/>
      <c r="M712" s="784"/>
      <c r="N712" s="857"/>
    </row>
    <row r="713" spans="1:15" s="31" customFormat="1" ht="17.25" customHeight="1">
      <c r="A713" s="821" t="s">
        <v>495</v>
      </c>
      <c r="B713" s="714" t="s">
        <v>499</v>
      </c>
      <c r="C713" s="879" t="e">
        <f>VLOOKUP(B707,'CNKT '!$C$16:$Z$96,15,0)</f>
        <v>#REF!</v>
      </c>
      <c r="D713" s="826">
        <f>92.2*$B$2</f>
        <v>61610.806000000004</v>
      </c>
      <c r="E713" s="823" t="e">
        <f t="shared" si="82"/>
        <v>#REF!</v>
      </c>
      <c r="F713" s="855"/>
      <c r="G713" s="821"/>
      <c r="H713" s="714"/>
      <c r="I713" s="879"/>
      <c r="J713" s="826"/>
      <c r="K713" s="823"/>
      <c r="L713" s="856"/>
      <c r="M713" s="784"/>
      <c r="N713" s="857"/>
    </row>
    <row r="714" spans="1:15" s="31" customFormat="1" ht="17.25" customHeight="1">
      <c r="A714" s="821" t="s">
        <v>448</v>
      </c>
      <c r="B714" s="714" t="s">
        <v>500</v>
      </c>
      <c r="C714" s="879" t="e">
        <f>VLOOKUP(B707,'CNKT '!$C$16:$Z$96,14,0)</f>
        <v>#REF!</v>
      </c>
      <c r="D714" s="825">
        <f>153.6*$B$2</f>
        <v>102640.128</v>
      </c>
      <c r="E714" s="823" t="e">
        <f t="shared" si="82"/>
        <v>#REF!</v>
      </c>
      <c r="F714" s="855"/>
      <c r="G714" s="821"/>
      <c r="H714" s="714"/>
      <c r="I714" s="879"/>
      <c r="J714" s="825"/>
      <c r="K714" s="823"/>
      <c r="L714" s="856"/>
      <c r="M714" s="784"/>
      <c r="N714" s="857"/>
    </row>
    <row r="715" spans="1:15" s="31" customFormat="1" ht="17.25" customHeight="1">
      <c r="A715" s="821" t="s">
        <v>455</v>
      </c>
      <c r="B715" s="714" t="s">
        <v>501</v>
      </c>
      <c r="C715" s="879" t="e">
        <f>VLOOKUP(B707,'CNKT '!$C$16:$Z$96,18,0)</f>
        <v>#REF!</v>
      </c>
      <c r="D715" s="825">
        <v>10000</v>
      </c>
      <c r="E715" s="823" t="e">
        <f t="shared" si="82"/>
        <v>#REF!</v>
      </c>
      <c r="F715" s="855"/>
      <c r="G715" s="821"/>
      <c r="H715" s="714"/>
      <c r="I715" s="879"/>
      <c r="J715" s="825"/>
      <c r="K715" s="823"/>
      <c r="L715" s="856"/>
      <c r="M715" s="784"/>
      <c r="N715" s="857"/>
    </row>
    <row r="716" spans="1:15" s="31" customFormat="1" ht="17.25" customHeight="1">
      <c r="A716" s="827" t="s">
        <v>81</v>
      </c>
      <c r="B716" s="715" t="s">
        <v>435</v>
      </c>
      <c r="C716" s="828"/>
      <c r="D716" s="829"/>
      <c r="E716" s="828"/>
      <c r="F716" s="855"/>
      <c r="G716" s="827"/>
      <c r="H716" s="715"/>
      <c r="I716" s="828"/>
      <c r="J716" s="829"/>
      <c r="K716" s="828"/>
      <c r="L716" s="856"/>
      <c r="M716" s="784"/>
      <c r="N716" s="857"/>
    </row>
    <row r="717" spans="1:15" s="31" customFormat="1" ht="17.25" customHeight="1">
      <c r="A717" s="830" t="s">
        <v>82</v>
      </c>
      <c r="B717" s="716" t="s">
        <v>436</v>
      </c>
      <c r="C717" s="828"/>
      <c r="D717" s="828"/>
      <c r="E717" s="828"/>
      <c r="F717" s="855"/>
      <c r="G717" s="830"/>
      <c r="H717" s="716"/>
      <c r="I717" s="828"/>
      <c r="J717" s="828"/>
      <c r="K717" s="828"/>
      <c r="L717" s="856"/>
      <c r="M717" s="784"/>
      <c r="N717" s="857"/>
    </row>
    <row r="718" spans="1:15" s="31" customFormat="1" ht="17.25" customHeight="1">
      <c r="A718" s="830" t="s">
        <v>83</v>
      </c>
      <c r="B718" s="717" t="s">
        <v>437</v>
      </c>
      <c r="C718" s="828"/>
      <c r="D718" s="828"/>
      <c r="E718" s="823">
        <f>SUM(E717)</f>
        <v>0</v>
      </c>
      <c r="F718" s="855"/>
      <c r="G718" s="830"/>
      <c r="H718" s="717"/>
      <c r="I718" s="828"/>
      <c r="J718" s="828"/>
      <c r="K718" s="823"/>
      <c r="L718" s="856"/>
      <c r="M718" s="784"/>
      <c r="N718" s="857"/>
    </row>
    <row r="719" spans="1:15" s="31" customFormat="1" ht="17.25" customHeight="1">
      <c r="A719" s="832" t="s">
        <v>84</v>
      </c>
      <c r="B719" s="748" t="s">
        <v>438</v>
      </c>
      <c r="C719" s="833"/>
      <c r="D719" s="833"/>
      <c r="E719" s="833" t="e">
        <f>(E709+E710+E711+E712+E713+E714+E715)-E718</f>
        <v>#REF!</v>
      </c>
      <c r="F719" s="855"/>
      <c r="G719" s="832"/>
      <c r="H719" s="748"/>
      <c r="I719" s="833"/>
      <c r="J719" s="833"/>
      <c r="K719" s="833"/>
      <c r="L719" s="835" t="e">
        <f>E719+K719</f>
        <v>#REF!</v>
      </c>
      <c r="M719" s="857"/>
      <c r="N719" s="784"/>
      <c r="O719" s="857"/>
    </row>
    <row r="720" spans="1:15" s="31" customFormat="1" ht="17.25" customHeight="1">
      <c r="A720" s="863"/>
      <c r="B720" s="864"/>
      <c r="C720" s="865"/>
      <c r="D720" s="865"/>
      <c r="E720" s="865"/>
      <c r="F720" s="855"/>
      <c r="G720" s="863"/>
      <c r="H720" s="864"/>
      <c r="I720" s="865"/>
      <c r="J720" s="866"/>
      <c r="K720" s="865"/>
      <c r="L720" s="835"/>
      <c r="M720" s="857"/>
      <c r="N720" s="784"/>
      <c r="O720" s="857"/>
    </row>
    <row r="721" spans="1:15" s="31" customFormat="1" ht="17.25" customHeight="1">
      <c r="A721" s="1615" t="str">
        <f>A706</f>
        <v>LƯƠNG THÁNG 01/2025</v>
      </c>
      <c r="B721" s="1616"/>
      <c r="C721" s="1616"/>
      <c r="D721" s="1616"/>
      <c r="E721" s="898">
        <v>84</v>
      </c>
      <c r="F721" s="855"/>
      <c r="G721" s="1615" t="str">
        <f>A721</f>
        <v>LƯƠNG THÁNG 01/2025</v>
      </c>
      <c r="H721" s="1616"/>
      <c r="I721" s="1616"/>
      <c r="J721" s="1616"/>
      <c r="K721" s="898">
        <v>85</v>
      </c>
      <c r="L721" s="835"/>
      <c r="M721" s="857"/>
      <c r="N721" s="784"/>
      <c r="O721" s="857"/>
    </row>
    <row r="722" spans="1:15" s="31" customFormat="1" ht="17.25" customHeight="1">
      <c r="A722" s="837" t="s">
        <v>17</v>
      </c>
      <c r="B722" s="976" t="e">
        <f>'CNKT '!#REF!</f>
        <v>#REF!</v>
      </c>
      <c r="C722" s="819"/>
      <c r="D722" s="861"/>
      <c r="E722" s="862" t="s">
        <v>44</v>
      </c>
      <c r="F722" s="855"/>
      <c r="G722" s="837" t="s">
        <v>17</v>
      </c>
      <c r="H722" s="976" t="e">
        <f>'CNKT '!#REF!</f>
        <v>#REF!</v>
      </c>
      <c r="I722" s="819"/>
      <c r="J722" s="861"/>
      <c r="K722" s="862" t="s">
        <v>44</v>
      </c>
      <c r="L722" s="835"/>
      <c r="M722" s="857"/>
      <c r="N722" s="784"/>
      <c r="O722" s="857"/>
    </row>
    <row r="723" spans="1:15" s="31" customFormat="1" ht="17.25" customHeight="1">
      <c r="A723" s="821" t="s">
        <v>399</v>
      </c>
      <c r="B723" s="712" t="s">
        <v>431</v>
      </c>
      <c r="C723" s="822"/>
      <c r="D723" s="823"/>
      <c r="E723" s="823"/>
      <c r="F723" s="855"/>
      <c r="G723" s="821" t="s">
        <v>399</v>
      </c>
      <c r="H723" s="712" t="s">
        <v>431</v>
      </c>
      <c r="I723" s="822"/>
      <c r="J723" s="823"/>
      <c r="K723" s="823"/>
      <c r="L723" s="835"/>
      <c r="M723" s="857"/>
      <c r="N723" s="784"/>
      <c r="O723" s="857"/>
    </row>
    <row r="724" spans="1:15" s="31" customFormat="1" ht="17.25" customHeight="1">
      <c r="A724" s="821" t="s">
        <v>79</v>
      </c>
      <c r="B724" s="713" t="s">
        <v>432</v>
      </c>
      <c r="C724" s="824" t="e">
        <f>VLOOKUP(B722,'CNKT '!$C$16:$Z$96,3,0)</f>
        <v>#REF!</v>
      </c>
      <c r="D724" s="825">
        <v>25000</v>
      </c>
      <c r="E724" s="823" t="e">
        <f t="shared" ref="E724:E730" si="83">C724*D724</f>
        <v>#REF!</v>
      </c>
      <c r="F724" s="855"/>
      <c r="G724" s="821" t="s">
        <v>79</v>
      </c>
      <c r="H724" s="713" t="s">
        <v>432</v>
      </c>
      <c r="I724" s="824" t="e">
        <f>VLOOKUP(H722,'CNKT '!$C$16:$Z$96,3,0)</f>
        <v>#REF!</v>
      </c>
      <c r="J724" s="825">
        <v>25000</v>
      </c>
      <c r="K724" s="823" t="e">
        <f t="shared" ref="K724:K730" si="84">I724*J724</f>
        <v>#REF!</v>
      </c>
      <c r="L724" s="835"/>
      <c r="M724" s="857"/>
      <c r="N724" s="784"/>
      <c r="O724" s="857"/>
    </row>
    <row r="725" spans="1:15" s="31" customFormat="1" ht="17.25" customHeight="1">
      <c r="A725" s="821" t="s">
        <v>310</v>
      </c>
      <c r="B725" s="714" t="s">
        <v>433</v>
      </c>
      <c r="C725" s="879" t="e">
        <f>VLOOKUP(B722,'CNKT '!$C$16:$Z$96,11,0)</f>
        <v>#REF!</v>
      </c>
      <c r="D725" s="826">
        <f>46.1*$B$2</f>
        <v>30805.403000000002</v>
      </c>
      <c r="E725" s="823" t="e">
        <f t="shared" si="83"/>
        <v>#REF!</v>
      </c>
      <c r="F725" s="855"/>
      <c r="G725" s="821" t="s">
        <v>310</v>
      </c>
      <c r="H725" s="714" t="s">
        <v>433</v>
      </c>
      <c r="I725" s="879" t="e">
        <f>VLOOKUP(H722,'CNKT '!$C$16:$Z$96,11,0)</f>
        <v>#REF!</v>
      </c>
      <c r="J725" s="826">
        <f>46.1*$B$2</f>
        <v>30805.403000000002</v>
      </c>
      <c r="K725" s="823" t="e">
        <f t="shared" si="84"/>
        <v>#REF!</v>
      </c>
      <c r="L725" s="835"/>
      <c r="M725" s="857"/>
      <c r="N725" s="784"/>
      <c r="O725" s="857"/>
    </row>
    <row r="726" spans="1:15" s="31" customFormat="1" ht="17.25" customHeight="1">
      <c r="A726" s="821" t="s">
        <v>401</v>
      </c>
      <c r="B726" s="714" t="s">
        <v>498</v>
      </c>
      <c r="C726" s="879" t="e">
        <f>VLOOKUP(B722,'CNKT '!$C$16:$Z$96,12,0)</f>
        <v>#REF!</v>
      </c>
      <c r="D726" s="825">
        <f>76.9*$B$2</f>
        <v>51386.887000000002</v>
      </c>
      <c r="E726" s="823" t="e">
        <f t="shared" si="83"/>
        <v>#REF!</v>
      </c>
      <c r="F726" s="855"/>
      <c r="G726" s="821" t="s">
        <v>401</v>
      </c>
      <c r="H726" s="714" t="s">
        <v>498</v>
      </c>
      <c r="I726" s="879" t="e">
        <f>VLOOKUP(H722,'CNKT '!$C$16:$Z$96,12,0)</f>
        <v>#REF!</v>
      </c>
      <c r="J726" s="825">
        <f>76.9*$B$2</f>
        <v>51386.887000000002</v>
      </c>
      <c r="K726" s="823" t="e">
        <f t="shared" si="84"/>
        <v>#REF!</v>
      </c>
      <c r="L726" s="835"/>
      <c r="M726" s="857"/>
      <c r="N726" s="784"/>
      <c r="O726" s="857"/>
    </row>
    <row r="727" spans="1:15" s="31" customFormat="1" ht="17.25" customHeight="1">
      <c r="A727" s="821" t="s">
        <v>80</v>
      </c>
      <c r="B727" s="714" t="s">
        <v>434</v>
      </c>
      <c r="C727" s="879" t="e">
        <f>VLOOKUP(B722,'CNKT '!$C$16:$Z$96,8,0)</f>
        <v>#REF!</v>
      </c>
      <c r="D727" s="825">
        <f>IF(C723="A",6.1,IF(C723="B",5.8,IF(C723="C",5.5,IF(C723="C.",5.5,IF(C723="D",5.2)))))*$B$2</f>
        <v>0</v>
      </c>
      <c r="E727" s="823" t="e">
        <f t="shared" si="83"/>
        <v>#REF!</v>
      </c>
      <c r="F727" s="855"/>
      <c r="G727" s="821" t="s">
        <v>80</v>
      </c>
      <c r="H727" s="714" t="s">
        <v>434</v>
      </c>
      <c r="I727" s="879" t="e">
        <f>VLOOKUP(H722,'CNKT '!$C$16:$Z$96,8,0)</f>
        <v>#REF!</v>
      </c>
      <c r="J727" s="825">
        <f>IF(I723="A",6.1,IF(I723="B",5.8,IF(I723="C",5.5,IF(I723="C.",5.5,IF(I723="D",5.2)))))*$B$2</f>
        <v>0</v>
      </c>
      <c r="K727" s="823" t="e">
        <f t="shared" si="84"/>
        <v>#REF!</v>
      </c>
      <c r="L727" s="835"/>
      <c r="M727" s="857"/>
      <c r="N727" s="784"/>
      <c r="O727" s="857"/>
    </row>
    <row r="728" spans="1:15" s="31" customFormat="1" ht="17.25" customHeight="1">
      <c r="A728" s="821" t="s">
        <v>495</v>
      </c>
      <c r="B728" s="714" t="s">
        <v>499</v>
      </c>
      <c r="C728" s="879" t="e">
        <f>VLOOKUP(B722,'CNKT '!$C$16:$Z$96,15,0)</f>
        <v>#REF!</v>
      </c>
      <c r="D728" s="826">
        <f>92.2*$B$2</f>
        <v>61610.806000000004</v>
      </c>
      <c r="E728" s="823" t="e">
        <f t="shared" si="83"/>
        <v>#REF!</v>
      </c>
      <c r="F728" s="855"/>
      <c r="G728" s="821" t="s">
        <v>495</v>
      </c>
      <c r="H728" s="714" t="s">
        <v>499</v>
      </c>
      <c r="I728" s="879" t="e">
        <f>VLOOKUP(H722,'CNKT '!$C$16:$Z$96,15,0)</f>
        <v>#REF!</v>
      </c>
      <c r="J728" s="826">
        <f>92.2*$B$2</f>
        <v>61610.806000000004</v>
      </c>
      <c r="K728" s="823" t="e">
        <f t="shared" si="84"/>
        <v>#REF!</v>
      </c>
      <c r="L728" s="835"/>
      <c r="M728" s="857"/>
      <c r="N728" s="784"/>
      <c r="O728" s="857"/>
    </row>
    <row r="729" spans="1:15" s="31" customFormat="1" ht="17.25" customHeight="1">
      <c r="A729" s="821" t="s">
        <v>448</v>
      </c>
      <c r="B729" s="714" t="s">
        <v>500</v>
      </c>
      <c r="C729" s="879" t="e">
        <f>VLOOKUP(B722,'CNKT '!$C$16:$Z$96,14,0)</f>
        <v>#REF!</v>
      </c>
      <c r="D729" s="825">
        <f>153.6*$B$2</f>
        <v>102640.128</v>
      </c>
      <c r="E729" s="823" t="e">
        <f t="shared" si="83"/>
        <v>#REF!</v>
      </c>
      <c r="F729" s="855"/>
      <c r="G729" s="821" t="s">
        <v>448</v>
      </c>
      <c r="H729" s="714" t="s">
        <v>500</v>
      </c>
      <c r="I729" s="879" t="e">
        <f>VLOOKUP(H722,'CNKT '!$C$16:$Z$96,14,0)</f>
        <v>#REF!</v>
      </c>
      <c r="J729" s="825">
        <f>153.6*$B$2</f>
        <v>102640.128</v>
      </c>
      <c r="K729" s="823" t="e">
        <f t="shared" si="84"/>
        <v>#REF!</v>
      </c>
      <c r="L729" s="835"/>
      <c r="M729" s="857"/>
      <c r="N729" s="784"/>
      <c r="O729" s="857"/>
    </row>
    <row r="730" spans="1:15" s="31" customFormat="1" ht="17.25" customHeight="1">
      <c r="A730" s="821" t="s">
        <v>455</v>
      </c>
      <c r="B730" s="714" t="s">
        <v>501</v>
      </c>
      <c r="C730" s="879" t="e">
        <f>VLOOKUP(B722,'CNKT '!$C$16:$Z$96,16,0)</f>
        <v>#REF!</v>
      </c>
      <c r="D730" s="825">
        <v>25000</v>
      </c>
      <c r="E730" s="823" t="e">
        <f t="shared" si="83"/>
        <v>#REF!</v>
      </c>
      <c r="F730" s="855"/>
      <c r="G730" s="821" t="s">
        <v>455</v>
      </c>
      <c r="H730" s="714" t="s">
        <v>501</v>
      </c>
      <c r="I730" s="879" t="e">
        <f>VLOOKUP(H722,'CNKT '!$C$16:$Z$96,16,0)</f>
        <v>#REF!</v>
      </c>
      <c r="J730" s="825">
        <v>25000</v>
      </c>
      <c r="K730" s="823" t="e">
        <f t="shared" si="84"/>
        <v>#REF!</v>
      </c>
      <c r="L730" s="835"/>
      <c r="M730" s="857"/>
      <c r="N730" s="784"/>
      <c r="O730" s="857"/>
    </row>
    <row r="731" spans="1:15" s="31" customFormat="1" ht="17.25" customHeight="1">
      <c r="A731" s="821"/>
      <c r="B731" s="714"/>
      <c r="C731" s="879"/>
      <c r="D731" s="825"/>
      <c r="E731" s="823"/>
      <c r="F731" s="855"/>
      <c r="G731" s="821"/>
      <c r="H731" s="714"/>
      <c r="I731" s="879"/>
      <c r="J731" s="825"/>
      <c r="K731" s="823"/>
      <c r="L731" s="835"/>
      <c r="M731" s="857"/>
      <c r="N731" s="784"/>
      <c r="O731" s="857"/>
    </row>
    <row r="732" spans="1:15" s="31" customFormat="1" ht="17.25" customHeight="1">
      <c r="A732" s="827" t="s">
        <v>81</v>
      </c>
      <c r="B732" s="715" t="s">
        <v>435</v>
      </c>
      <c r="C732" s="828"/>
      <c r="D732" s="829"/>
      <c r="E732" s="828"/>
      <c r="F732" s="855"/>
      <c r="G732" s="827" t="s">
        <v>81</v>
      </c>
      <c r="H732" s="715" t="s">
        <v>435</v>
      </c>
      <c r="I732" s="828"/>
      <c r="J732" s="829"/>
      <c r="K732" s="828"/>
      <c r="L732" s="835"/>
      <c r="M732" s="857"/>
      <c r="N732" s="784"/>
      <c r="O732" s="857"/>
    </row>
    <row r="733" spans="1:15" s="31" customFormat="1" ht="17.25" customHeight="1">
      <c r="A733" s="830" t="s">
        <v>82</v>
      </c>
      <c r="B733" s="716" t="s">
        <v>436</v>
      </c>
      <c r="C733" s="828"/>
      <c r="D733" s="828"/>
      <c r="E733" s="828"/>
      <c r="F733" s="855"/>
      <c r="G733" s="830" t="s">
        <v>82</v>
      </c>
      <c r="H733" s="716" t="s">
        <v>436</v>
      </c>
      <c r="I733" s="828"/>
      <c r="J733" s="828"/>
      <c r="K733" s="828"/>
      <c r="L733" s="835"/>
      <c r="M733" s="857"/>
      <c r="N733" s="784"/>
      <c r="O733" s="857"/>
    </row>
    <row r="734" spans="1:15" s="31" customFormat="1" ht="17.25" customHeight="1">
      <c r="A734" s="830" t="s">
        <v>83</v>
      </c>
      <c r="B734" s="717" t="s">
        <v>437</v>
      </c>
      <c r="C734" s="828"/>
      <c r="D734" s="828"/>
      <c r="E734" s="823">
        <f>SUM(E733)</f>
        <v>0</v>
      </c>
      <c r="F734" s="855"/>
      <c r="G734" s="830" t="s">
        <v>83</v>
      </c>
      <c r="H734" s="717" t="s">
        <v>437</v>
      </c>
      <c r="I734" s="828"/>
      <c r="J734" s="828"/>
      <c r="K734" s="823">
        <f>SUM(K733)</f>
        <v>0</v>
      </c>
      <c r="L734" s="835"/>
      <c r="M734" s="857"/>
      <c r="N734" s="784"/>
      <c r="O734" s="857"/>
    </row>
    <row r="735" spans="1:15" s="31" customFormat="1" ht="17.25" customHeight="1">
      <c r="A735" s="832" t="s">
        <v>84</v>
      </c>
      <c r="B735" s="748" t="s">
        <v>438</v>
      </c>
      <c r="C735" s="833"/>
      <c r="D735" s="833"/>
      <c r="E735" s="833" t="e">
        <f>(E724+E725+E726+E727+E728+E729+E730)-E734</f>
        <v>#REF!</v>
      </c>
      <c r="F735" s="855"/>
      <c r="G735" s="832" t="s">
        <v>84</v>
      </c>
      <c r="H735" s="748" t="s">
        <v>438</v>
      </c>
      <c r="I735" s="833"/>
      <c r="J735" s="833"/>
      <c r="K735" s="833" t="e">
        <f>(K724+K725+K726+K727+K728+K729+K730)-K734</f>
        <v>#REF!</v>
      </c>
      <c r="L735" s="835" t="e">
        <f>E735+K735</f>
        <v>#REF!</v>
      </c>
      <c r="M735" s="857"/>
      <c r="N735" s="784"/>
      <c r="O735" s="857"/>
    </row>
    <row r="736" spans="1:15" s="31" customFormat="1" ht="17.25" customHeight="1">
      <c r="A736" s="863"/>
      <c r="B736" s="864"/>
      <c r="C736" s="865"/>
      <c r="D736" s="865"/>
      <c r="E736" s="865"/>
      <c r="F736" s="855"/>
      <c r="G736" s="863"/>
      <c r="H736" s="864"/>
      <c r="I736" s="865"/>
      <c r="J736" s="866"/>
      <c r="K736" s="865"/>
      <c r="L736" s="835"/>
      <c r="M736" s="857"/>
      <c r="N736" s="784"/>
      <c r="O736" s="857"/>
    </row>
    <row r="737" spans="1:15" s="31" customFormat="1" ht="17.25" customHeight="1">
      <c r="A737" s="863"/>
      <c r="B737" s="864"/>
      <c r="C737" s="865"/>
      <c r="D737" s="865"/>
      <c r="E737" s="865"/>
      <c r="F737" s="855"/>
      <c r="G737" s="863"/>
      <c r="H737" s="864"/>
      <c r="I737" s="865"/>
      <c r="J737" s="866"/>
      <c r="K737" s="865"/>
      <c r="L737" s="835"/>
      <c r="M737" s="784"/>
      <c r="N737" s="857"/>
    </row>
    <row r="738" spans="1:15" s="31" customFormat="1" ht="17.25" customHeight="1">
      <c r="A738" s="1620" t="s">
        <v>122</v>
      </c>
      <c r="B738" s="1620"/>
      <c r="C738" s="1620"/>
      <c r="D738" s="1620"/>
      <c r="E738" s="1620"/>
      <c r="F738" s="1620"/>
      <c r="G738" s="1620"/>
      <c r="H738" s="1620"/>
      <c r="I738" s="1620"/>
      <c r="J738" s="1621"/>
      <c r="K738" s="974"/>
      <c r="L738" s="818"/>
      <c r="M738" s="857" t="e">
        <f>SUM(L12:L735)</f>
        <v>#REF!</v>
      </c>
      <c r="N738" s="784">
        <v>475097563</v>
      </c>
      <c r="O738" s="857" t="e">
        <f>N738-M738</f>
        <v>#REF!</v>
      </c>
    </row>
    <row r="739" spans="1:15" s="31" customFormat="1" ht="17.25" customHeight="1">
      <c r="A739" s="1622"/>
      <c r="B739" s="1622"/>
      <c r="C739" s="1622"/>
      <c r="D739" s="1622"/>
      <c r="E739" s="1622"/>
      <c r="F739" s="855"/>
      <c r="G739" s="1622"/>
      <c r="H739" s="1622"/>
      <c r="I739" s="1622"/>
      <c r="J739" s="1622"/>
      <c r="K739" s="974"/>
      <c r="L739" s="818"/>
      <c r="M739" s="867"/>
    </row>
    <row r="740" spans="1:15" s="31" customFormat="1" ht="17.25" customHeight="1">
      <c r="A740" s="1615" t="str">
        <f>A706</f>
        <v>LƯƠNG THÁNG 01/2025</v>
      </c>
      <c r="B740" s="1616"/>
      <c r="C740" s="1616"/>
      <c r="D740" s="1616"/>
      <c r="E740" s="898">
        <v>1</v>
      </c>
      <c r="F740" s="882"/>
      <c r="G740" s="1623" t="str">
        <f>A740</f>
        <v>LƯƠNG THÁNG 01/2025</v>
      </c>
      <c r="H740" s="1623"/>
      <c r="I740" s="1623"/>
      <c r="J740" s="1623"/>
      <c r="K740" s="898">
        <v>2</v>
      </c>
      <c r="L740" s="818"/>
      <c r="M740" s="867"/>
    </row>
    <row r="741" spans="1:15" s="31" customFormat="1" ht="17.25" customHeight="1">
      <c r="A741" s="837" t="s">
        <v>17</v>
      </c>
      <c r="B741" s="976" t="e">
        <f>'CNKT '!#REF!</f>
        <v>#REF!</v>
      </c>
      <c r="C741" s="822"/>
      <c r="D741" s="976" t="s">
        <v>398</v>
      </c>
      <c r="E741" s="976" t="s">
        <v>20</v>
      </c>
      <c r="F741" s="882"/>
      <c r="G741" s="837" t="s">
        <v>17</v>
      </c>
      <c r="H741" s="976" t="e">
        <f>'CNKT '!#REF!</f>
        <v>#REF!</v>
      </c>
      <c r="I741" s="822"/>
      <c r="J741" s="976" t="s">
        <v>398</v>
      </c>
      <c r="K741" s="976" t="s">
        <v>20</v>
      </c>
      <c r="L741" s="818"/>
      <c r="M741" s="867"/>
    </row>
    <row r="742" spans="1:15" s="31" customFormat="1" ht="17.25" customHeight="1">
      <c r="A742" s="821" t="s">
        <v>399</v>
      </c>
      <c r="B742" s="978" t="s">
        <v>559</v>
      </c>
      <c r="C742" s="822" t="e">
        <f>VLOOKUP(B741,'BTH mủ tạp'!#REF!,36,0)</f>
        <v>#REF!</v>
      </c>
      <c r="D742" s="823"/>
      <c r="E742" s="823"/>
      <c r="F742" s="882"/>
      <c r="G742" s="821" t="s">
        <v>399</v>
      </c>
      <c r="H742" s="978" t="s">
        <v>559</v>
      </c>
      <c r="I742" s="822" t="e">
        <f>VLOOKUP(H741,'BTH mủ tạp'!#REF!,36,0)</f>
        <v>#REF!</v>
      </c>
      <c r="J742" s="823"/>
      <c r="K742" s="823"/>
      <c r="L742" s="818"/>
    </row>
    <row r="743" spans="1:15" s="31" customFormat="1" ht="17.25" customHeight="1">
      <c r="A743" s="821" t="s">
        <v>79</v>
      </c>
      <c r="B743" s="979" t="s">
        <v>432</v>
      </c>
      <c r="C743" s="824" t="e">
        <f>VLOOKUP(B741,'CNKT '!#REF!,3,0)</f>
        <v>#REF!</v>
      </c>
      <c r="D743" s="825">
        <v>25000</v>
      </c>
      <c r="E743" s="823" t="e">
        <f t="shared" ref="E743:E748" si="85">C743*D743</f>
        <v>#REF!</v>
      </c>
      <c r="F743" s="882"/>
      <c r="G743" s="821" t="s">
        <v>79</v>
      </c>
      <c r="H743" s="979" t="s">
        <v>432</v>
      </c>
      <c r="I743" s="824" t="e">
        <f>VLOOKUP(H741,'CNKT '!#REF!,3,0)</f>
        <v>#REF!</v>
      </c>
      <c r="J743" s="825">
        <v>25000</v>
      </c>
      <c r="K743" s="823" t="e">
        <f t="shared" ref="K743:K748" si="86">I743*J743</f>
        <v>#REF!</v>
      </c>
      <c r="L743" s="818"/>
    </row>
    <row r="744" spans="1:15" s="31" customFormat="1" ht="17.25" customHeight="1">
      <c r="A744" s="821" t="s">
        <v>310</v>
      </c>
      <c r="B744" s="980" t="s">
        <v>560</v>
      </c>
      <c r="C744" s="879" t="e">
        <f>VLOOKUP(B741,'CNKT '!#REF!,11,0)</f>
        <v>#REF!</v>
      </c>
      <c r="D744" s="826">
        <f>46.1*$B$2</f>
        <v>30805.403000000002</v>
      </c>
      <c r="E744" s="823" t="e">
        <f t="shared" si="85"/>
        <v>#REF!</v>
      </c>
      <c r="F744" s="882"/>
      <c r="G744" s="821" t="s">
        <v>310</v>
      </c>
      <c r="H744" s="980" t="s">
        <v>560</v>
      </c>
      <c r="I744" s="879" t="e">
        <f>VLOOKUP(H741,'CNKT '!#REF!,11,0)</f>
        <v>#REF!</v>
      </c>
      <c r="J744" s="826">
        <f>46.1*$B$2</f>
        <v>30805.403000000002</v>
      </c>
      <c r="K744" s="823" t="e">
        <f t="shared" si="86"/>
        <v>#REF!</v>
      </c>
      <c r="L744" s="818"/>
    </row>
    <row r="745" spans="1:15" s="31" customFormat="1" ht="17.25" customHeight="1">
      <c r="A745" s="821" t="s">
        <v>401</v>
      </c>
      <c r="B745" s="980" t="s">
        <v>561</v>
      </c>
      <c r="C745" s="879" t="e">
        <f>VLOOKUP(B741,'CNKT '!#REF!,12,0)</f>
        <v>#REF!</v>
      </c>
      <c r="D745" s="825">
        <f>76.9*$B$2</f>
        <v>51386.887000000002</v>
      </c>
      <c r="E745" s="823" t="e">
        <f t="shared" si="85"/>
        <v>#REF!</v>
      </c>
      <c r="F745" s="882"/>
      <c r="G745" s="821" t="s">
        <v>401</v>
      </c>
      <c r="H745" s="980" t="s">
        <v>561</v>
      </c>
      <c r="I745" s="879" t="e">
        <f>VLOOKUP(H741,'CNKT '!#REF!,12,0)</f>
        <v>#REF!</v>
      </c>
      <c r="J745" s="825">
        <f>76.9*$B$2</f>
        <v>51386.887000000002</v>
      </c>
      <c r="K745" s="823" t="e">
        <f t="shared" si="86"/>
        <v>#REF!</v>
      </c>
      <c r="L745" s="818"/>
    </row>
    <row r="746" spans="1:15" s="31" customFormat="1" ht="17.25" customHeight="1">
      <c r="A746" s="821" t="s">
        <v>80</v>
      </c>
      <c r="B746" s="980" t="s">
        <v>562</v>
      </c>
      <c r="C746" s="879" t="e">
        <f>VLOOKUP(B741,'CNKT '!#REF!,8,0)</f>
        <v>#REF!</v>
      </c>
      <c r="D746" s="825" t="e">
        <f>IF(C742="A",6.1,IF(C742="B",5.8,IF(C742="C",5.5,IF(C742="C.",5.5,IF(C742="D",5.2)))))*$B$2</f>
        <v>#REF!</v>
      </c>
      <c r="E746" s="823" t="e">
        <f t="shared" si="85"/>
        <v>#REF!</v>
      </c>
      <c r="F746" s="882"/>
      <c r="G746" s="821" t="s">
        <v>80</v>
      </c>
      <c r="H746" s="980" t="s">
        <v>562</v>
      </c>
      <c r="I746" s="879" t="e">
        <f>VLOOKUP(H741,'CNKT '!#REF!,8,0)</f>
        <v>#REF!</v>
      </c>
      <c r="J746" s="825" t="e">
        <f>IF(I742="A",6.1,IF(I742="B",5.8,IF(I742="C",5.5,IF(I742="C.",5.5,IF(I742="D",5.2)))))*$B$2</f>
        <v>#REF!</v>
      </c>
      <c r="K746" s="823" t="e">
        <f t="shared" si="86"/>
        <v>#REF!</v>
      </c>
      <c r="L746" s="818"/>
    </row>
    <row r="747" spans="1:15" s="31" customFormat="1" ht="17.25" customHeight="1">
      <c r="A747" s="821" t="s">
        <v>495</v>
      </c>
      <c r="B747" s="980" t="s">
        <v>563</v>
      </c>
      <c r="C747" s="879" t="e">
        <f>VLOOKUP(B741,'CNKT '!#REF!,15,0)</f>
        <v>#REF!</v>
      </c>
      <c r="D747" s="826">
        <f>92.2*$B$2</f>
        <v>61610.806000000004</v>
      </c>
      <c r="E747" s="823" t="e">
        <f t="shared" si="85"/>
        <v>#REF!</v>
      </c>
      <c r="F747" s="882"/>
      <c r="G747" s="821" t="s">
        <v>495</v>
      </c>
      <c r="H747" s="980" t="s">
        <v>563</v>
      </c>
      <c r="I747" s="879" t="e">
        <f>VLOOKUP(H741,'CNKT '!#REF!,15,0)</f>
        <v>#REF!</v>
      </c>
      <c r="J747" s="826">
        <f>92.2*$B$2</f>
        <v>61610.806000000004</v>
      </c>
      <c r="K747" s="823" t="e">
        <f t="shared" si="86"/>
        <v>#REF!</v>
      </c>
      <c r="L747" s="818"/>
    </row>
    <row r="748" spans="1:15" s="31" customFormat="1" ht="17.25" customHeight="1">
      <c r="A748" s="821" t="s">
        <v>496</v>
      </c>
      <c r="B748" s="980" t="s">
        <v>500</v>
      </c>
      <c r="C748" s="879" t="e">
        <f>VLOOKUP(B741,'CNKT '!#REF!,16,0)</f>
        <v>#REF!</v>
      </c>
      <c r="D748" s="825">
        <f>153.8*$B$2</f>
        <v>102773.774</v>
      </c>
      <c r="E748" s="823" t="e">
        <f t="shared" si="85"/>
        <v>#REF!</v>
      </c>
      <c r="F748" s="882"/>
      <c r="G748" s="821" t="s">
        <v>496</v>
      </c>
      <c r="H748" s="980" t="s">
        <v>500</v>
      </c>
      <c r="I748" s="879" t="e">
        <f>VLOOKUP(H741,'CNKT '!#REF!,16,0)</f>
        <v>#REF!</v>
      </c>
      <c r="J748" s="825">
        <f>153.8*$B$2</f>
        <v>102773.774</v>
      </c>
      <c r="K748" s="823" t="e">
        <f t="shared" si="86"/>
        <v>#REF!</v>
      </c>
      <c r="L748" s="818"/>
    </row>
    <row r="749" spans="1:15" s="31" customFormat="1" ht="17.25" customHeight="1">
      <c r="A749" s="821" t="s">
        <v>455</v>
      </c>
      <c r="B749" s="980" t="s">
        <v>501</v>
      </c>
      <c r="C749" s="879" t="e">
        <f>VLOOKUP(B741,'CNKT '!#REF!,18,0)</f>
        <v>#REF!</v>
      </c>
      <c r="D749" s="825">
        <v>10000</v>
      </c>
      <c r="E749" s="823" t="e">
        <f>C749*D749</f>
        <v>#REF!</v>
      </c>
      <c r="F749" s="882"/>
      <c r="G749" s="821" t="s">
        <v>455</v>
      </c>
      <c r="H749" s="980" t="s">
        <v>501</v>
      </c>
      <c r="I749" s="879" t="e">
        <f>VLOOKUP(H741,'CNKT '!#REF!,18,0)</f>
        <v>#REF!</v>
      </c>
      <c r="J749" s="825">
        <v>10000</v>
      </c>
      <c r="K749" s="823" t="e">
        <f>I749*J749</f>
        <v>#REF!</v>
      </c>
      <c r="L749" s="818"/>
    </row>
    <row r="750" spans="1:15" s="31" customFormat="1" ht="17.25" customHeight="1">
      <c r="A750" s="821" t="s">
        <v>455</v>
      </c>
      <c r="B750" s="980" t="s">
        <v>501</v>
      </c>
      <c r="C750" s="879" t="e">
        <f>VLOOKUP(B741,'CNKT '!#REF!,19,0)</f>
        <v>#REF!</v>
      </c>
      <c r="D750" s="825">
        <v>20000</v>
      </c>
      <c r="E750" s="823" t="e">
        <f>C750*D750</f>
        <v>#REF!</v>
      </c>
      <c r="F750" s="882"/>
      <c r="G750" s="821" t="s">
        <v>455</v>
      </c>
      <c r="H750" s="980" t="s">
        <v>501</v>
      </c>
      <c r="I750" s="879" t="e">
        <f>VLOOKUP(H741,'CNKT '!#REF!,19,0)</f>
        <v>#REF!</v>
      </c>
      <c r="J750" s="825">
        <v>20000</v>
      </c>
      <c r="K750" s="823" t="e">
        <f>I750*J750</f>
        <v>#REF!</v>
      </c>
      <c r="L750" s="818"/>
    </row>
    <row r="751" spans="1:15" s="31" customFormat="1" ht="17.25" customHeight="1">
      <c r="A751" s="821" t="s">
        <v>517</v>
      </c>
      <c r="B751" s="980" t="s">
        <v>519</v>
      </c>
      <c r="C751" s="879"/>
      <c r="D751" s="825"/>
      <c r="E751" s="823"/>
      <c r="F751" s="882"/>
      <c r="G751" s="821" t="s">
        <v>517</v>
      </c>
      <c r="H751" s="980" t="s">
        <v>519</v>
      </c>
      <c r="I751" s="879"/>
      <c r="J751" s="825"/>
      <c r="K751" s="823"/>
      <c r="L751" s="818"/>
    </row>
    <row r="752" spans="1:15" s="31" customFormat="1" ht="17.25" customHeight="1">
      <c r="A752" s="827" t="s">
        <v>81</v>
      </c>
      <c r="B752" s="981" t="s">
        <v>564</v>
      </c>
      <c r="C752" s="828"/>
      <c r="D752" s="829"/>
      <c r="E752" s="828"/>
      <c r="F752" s="882"/>
      <c r="G752" s="827" t="s">
        <v>81</v>
      </c>
      <c r="H752" s="981" t="s">
        <v>564</v>
      </c>
      <c r="I752" s="828"/>
      <c r="J752" s="829"/>
      <c r="K752" s="828"/>
      <c r="L752" s="818"/>
    </row>
    <row r="753" spans="1:16" s="31" customFormat="1" ht="17.25" customHeight="1">
      <c r="A753" s="830" t="s">
        <v>82</v>
      </c>
      <c r="B753" s="982" t="s">
        <v>565</v>
      </c>
      <c r="C753" s="828"/>
      <c r="D753" s="828"/>
      <c r="E753" s="828"/>
      <c r="F753" s="882"/>
      <c r="G753" s="830" t="s">
        <v>82</v>
      </c>
      <c r="H753" s="982" t="s">
        <v>565</v>
      </c>
      <c r="I753" s="828"/>
      <c r="J753" s="828"/>
      <c r="K753" s="828"/>
      <c r="L753" s="818"/>
    </row>
    <row r="754" spans="1:16" s="31" customFormat="1" ht="17.25" customHeight="1">
      <c r="A754" s="830" t="s">
        <v>83</v>
      </c>
      <c r="B754" s="983" t="s">
        <v>566</v>
      </c>
      <c r="C754" s="828"/>
      <c r="D754" s="828"/>
      <c r="E754" s="823">
        <f>SUM(E753)</f>
        <v>0</v>
      </c>
      <c r="F754" s="869"/>
      <c r="G754" s="830" t="s">
        <v>83</v>
      </c>
      <c r="H754" s="983" t="s">
        <v>566</v>
      </c>
      <c r="I754" s="828"/>
      <c r="J754" s="828"/>
      <c r="K754" s="823">
        <f>SUM(K753)</f>
        <v>0</v>
      </c>
      <c r="L754" s="818"/>
    </row>
    <row r="755" spans="1:16" s="31" customFormat="1" ht="17.25" customHeight="1">
      <c r="A755" s="832" t="s">
        <v>84</v>
      </c>
      <c r="B755" s="984" t="s">
        <v>438</v>
      </c>
      <c r="C755" s="833"/>
      <c r="D755" s="833"/>
      <c r="E755" s="833" t="e">
        <f>(E743+E744+E745+E746+E747+E748+E749+E750+E751)-E754</f>
        <v>#REF!</v>
      </c>
      <c r="F755" s="882"/>
      <c r="G755" s="832" t="s">
        <v>84</v>
      </c>
      <c r="H755" s="984" t="s">
        <v>438</v>
      </c>
      <c r="I755" s="833"/>
      <c r="J755" s="833"/>
      <c r="K755" s="833" t="e">
        <f>(K743+K744+K745+K746+K747+K748+K749+K750+K751)-K754</f>
        <v>#REF!</v>
      </c>
      <c r="L755" s="835" t="e">
        <f>E755+K755</f>
        <v>#REF!</v>
      </c>
    </row>
    <row r="756" spans="1:16" s="876" customFormat="1" ht="17.25" customHeight="1">
      <c r="A756" s="870"/>
      <c r="B756" s="871"/>
      <c r="C756" s="872"/>
      <c r="D756" s="872"/>
      <c r="E756" s="872"/>
      <c r="F756" s="873"/>
      <c r="G756" s="972"/>
      <c r="H756" s="972"/>
      <c r="I756" s="972"/>
      <c r="J756" s="972"/>
      <c r="K756" s="874"/>
      <c r="L756" s="875"/>
    </row>
    <row r="757" spans="1:16" s="848" customFormat="1" ht="17.25" customHeight="1">
      <c r="A757" s="1616" t="str">
        <f>A740</f>
        <v>LƯƠNG THÁNG 01/2025</v>
      </c>
      <c r="B757" s="1616"/>
      <c r="C757" s="1616"/>
      <c r="D757" s="1616"/>
      <c r="E757" s="898">
        <v>3</v>
      </c>
      <c r="F757" s="873"/>
      <c r="G757" s="1616" t="str">
        <f>A757</f>
        <v>LƯƠNG THÁNG 01/2025</v>
      </c>
      <c r="H757" s="1616"/>
      <c r="I757" s="1616"/>
      <c r="J757" s="1616"/>
      <c r="K757" s="898">
        <v>4</v>
      </c>
      <c r="L757" s="877"/>
    </row>
    <row r="758" spans="1:16" s="31" customFormat="1" ht="17.25" customHeight="1">
      <c r="A758" s="837" t="s">
        <v>17</v>
      </c>
      <c r="B758" s="976" t="e">
        <f>'CNKT '!#REF!</f>
        <v>#REF!</v>
      </c>
      <c r="C758" s="822"/>
      <c r="D758" s="976" t="s">
        <v>398</v>
      </c>
      <c r="E758" s="976" t="s">
        <v>20</v>
      </c>
      <c r="F758" s="882"/>
      <c r="G758" s="837" t="s">
        <v>17</v>
      </c>
      <c r="H758" s="976" t="e">
        <f>'CNKT '!#REF!</f>
        <v>#REF!</v>
      </c>
      <c r="I758" s="822"/>
      <c r="J758" s="976" t="s">
        <v>398</v>
      </c>
      <c r="K758" s="976" t="s">
        <v>20</v>
      </c>
      <c r="L758" s="818"/>
    </row>
    <row r="759" spans="1:16" s="31" customFormat="1" ht="17.25" customHeight="1">
      <c r="A759" s="821" t="s">
        <v>399</v>
      </c>
      <c r="B759" s="978" t="s">
        <v>559</v>
      </c>
      <c r="C759" s="822" t="e">
        <f>VLOOKUP(B758,'BTH mủ tạp'!#REF!,36,0)</f>
        <v>#REF!</v>
      </c>
      <c r="D759" s="823"/>
      <c r="E759" s="823"/>
      <c r="F759" s="882"/>
      <c r="G759" s="821" t="s">
        <v>399</v>
      </c>
      <c r="H759" s="978" t="s">
        <v>559</v>
      </c>
      <c r="I759" s="822" t="e">
        <f>VLOOKUP(H758,'BTH mủ tạp'!#REF!,36,0)</f>
        <v>#REF!</v>
      </c>
      <c r="J759" s="823"/>
      <c r="K759" s="823"/>
      <c r="L759" s="818"/>
    </row>
    <row r="760" spans="1:16" s="31" customFormat="1" ht="17.25" customHeight="1">
      <c r="A760" s="821" t="s">
        <v>79</v>
      </c>
      <c r="B760" s="979" t="s">
        <v>432</v>
      </c>
      <c r="C760" s="824" t="e">
        <f>VLOOKUP(B758,'CNKT '!#REF!,3,0)</f>
        <v>#REF!</v>
      </c>
      <c r="D760" s="825">
        <v>25000</v>
      </c>
      <c r="E760" s="823" t="e">
        <f t="shared" ref="E760:E765" si="87">C760*D760</f>
        <v>#REF!</v>
      </c>
      <c r="F760" s="882"/>
      <c r="G760" s="821" t="s">
        <v>79</v>
      </c>
      <c r="H760" s="979" t="s">
        <v>432</v>
      </c>
      <c r="I760" s="824" t="e">
        <f>VLOOKUP(H758,'CNKT '!#REF!,3,0)</f>
        <v>#REF!</v>
      </c>
      <c r="J760" s="825">
        <v>25000</v>
      </c>
      <c r="K760" s="823" t="e">
        <f t="shared" ref="K760:K765" si="88">I760*J760</f>
        <v>#REF!</v>
      </c>
      <c r="L760" s="818"/>
    </row>
    <row r="761" spans="1:16" s="31" customFormat="1" ht="17.25" customHeight="1">
      <c r="A761" s="821" t="s">
        <v>310</v>
      </c>
      <c r="B761" s="980" t="s">
        <v>560</v>
      </c>
      <c r="C761" s="879" t="e">
        <f>VLOOKUP(B758,'CNKT '!#REF!,11,0)</f>
        <v>#REF!</v>
      </c>
      <c r="D761" s="826">
        <f>46.1*$B$2</f>
        <v>30805.403000000002</v>
      </c>
      <c r="E761" s="823" t="e">
        <f t="shared" si="87"/>
        <v>#REF!</v>
      </c>
      <c r="F761" s="882"/>
      <c r="G761" s="821" t="s">
        <v>310</v>
      </c>
      <c r="H761" s="980" t="s">
        <v>560</v>
      </c>
      <c r="I761" s="879" t="e">
        <f>VLOOKUP(H758,'CNKT '!#REF!,11,0)</f>
        <v>#REF!</v>
      </c>
      <c r="J761" s="826">
        <f>46.1*$B$2</f>
        <v>30805.403000000002</v>
      </c>
      <c r="K761" s="823" t="e">
        <f t="shared" si="88"/>
        <v>#REF!</v>
      </c>
      <c r="L761" s="818"/>
    </row>
    <row r="762" spans="1:16" s="31" customFormat="1" ht="17.25" customHeight="1">
      <c r="A762" s="821" t="s">
        <v>401</v>
      </c>
      <c r="B762" s="980" t="s">
        <v>561</v>
      </c>
      <c r="C762" s="879" t="e">
        <f>VLOOKUP(B758,'CNKT '!#REF!,12,0)</f>
        <v>#REF!</v>
      </c>
      <c r="D762" s="825">
        <f>76.9*$B$2</f>
        <v>51386.887000000002</v>
      </c>
      <c r="E762" s="823" t="e">
        <f t="shared" si="87"/>
        <v>#REF!</v>
      </c>
      <c r="F762" s="882"/>
      <c r="G762" s="821" t="s">
        <v>401</v>
      </c>
      <c r="H762" s="980" t="s">
        <v>561</v>
      </c>
      <c r="I762" s="879" t="e">
        <f>VLOOKUP(H758,'CNKT '!#REF!,12,0)</f>
        <v>#REF!</v>
      </c>
      <c r="J762" s="825">
        <f>76.9*$B$2</f>
        <v>51386.887000000002</v>
      </c>
      <c r="K762" s="823" t="e">
        <f t="shared" si="88"/>
        <v>#REF!</v>
      </c>
      <c r="L762" s="818"/>
    </row>
    <row r="763" spans="1:16" s="31" customFormat="1" ht="17.25" customHeight="1">
      <c r="A763" s="821" t="s">
        <v>80</v>
      </c>
      <c r="B763" s="980" t="s">
        <v>562</v>
      </c>
      <c r="C763" s="879" t="e">
        <f>VLOOKUP(B758,'CNKT '!#REF!,8,0)</f>
        <v>#REF!</v>
      </c>
      <c r="D763" s="825" t="e">
        <f>IF(C759="A",6.1,IF(C759="B",5.8,IF(C759="C",5.5,IF(C759="C.",5.5,IF(C759="D",5.2)))))*$B$2</f>
        <v>#REF!</v>
      </c>
      <c r="E763" s="823" t="e">
        <f t="shared" si="87"/>
        <v>#REF!</v>
      </c>
      <c r="F763" s="882"/>
      <c r="G763" s="821" t="s">
        <v>80</v>
      </c>
      <c r="H763" s="980" t="s">
        <v>562</v>
      </c>
      <c r="I763" s="879" t="e">
        <f>VLOOKUP(H758,'CNKT '!#REF!,8,0)</f>
        <v>#REF!</v>
      </c>
      <c r="J763" s="825" t="e">
        <f>IF(I759="A",6.1,IF(I759="B",5.8,IF(I759="C",5.5,IF(I759="C.",5.5,IF(I759="D",5.2)))))*$B$2</f>
        <v>#REF!</v>
      </c>
      <c r="K763" s="823" t="e">
        <f t="shared" si="88"/>
        <v>#REF!</v>
      </c>
      <c r="L763" s="818"/>
    </row>
    <row r="764" spans="1:16" s="31" customFormat="1" ht="17.25" customHeight="1">
      <c r="A764" s="821" t="s">
        <v>495</v>
      </c>
      <c r="B764" s="980" t="s">
        <v>563</v>
      </c>
      <c r="C764" s="879" t="e">
        <f>VLOOKUP(B758,'CNKT '!#REF!,15,0)</f>
        <v>#REF!</v>
      </c>
      <c r="D764" s="826">
        <f>92.2*$B$2</f>
        <v>61610.806000000004</v>
      </c>
      <c r="E764" s="823" t="e">
        <f t="shared" si="87"/>
        <v>#REF!</v>
      </c>
      <c r="F764" s="882"/>
      <c r="G764" s="821" t="s">
        <v>495</v>
      </c>
      <c r="H764" s="980" t="s">
        <v>563</v>
      </c>
      <c r="I764" s="879" t="e">
        <f>VLOOKUP(H758,'CNKT '!#REF!,15,0)</f>
        <v>#REF!</v>
      </c>
      <c r="J764" s="826">
        <f>92.2*$B$2</f>
        <v>61610.806000000004</v>
      </c>
      <c r="K764" s="823" t="e">
        <f t="shared" si="88"/>
        <v>#REF!</v>
      </c>
      <c r="L764" s="818"/>
      <c r="P764" s="31">
        <v>2000000</v>
      </c>
    </row>
    <row r="765" spans="1:16" s="31" customFormat="1" ht="17.25" customHeight="1">
      <c r="A765" s="821" t="s">
        <v>496</v>
      </c>
      <c r="B765" s="980" t="s">
        <v>500</v>
      </c>
      <c r="C765" s="879" t="e">
        <f>VLOOKUP(B758,'CNKT '!#REF!,16,0)</f>
        <v>#REF!</v>
      </c>
      <c r="D765" s="825">
        <f>153.8*$B$2</f>
        <v>102773.774</v>
      </c>
      <c r="E765" s="823" t="e">
        <f t="shared" si="87"/>
        <v>#REF!</v>
      </c>
      <c r="F765" s="882"/>
      <c r="G765" s="821" t="s">
        <v>496</v>
      </c>
      <c r="H765" s="980" t="s">
        <v>500</v>
      </c>
      <c r="I765" s="879" t="e">
        <f>VLOOKUP(H758,'CNKT '!#REF!,16,0)</f>
        <v>#REF!</v>
      </c>
      <c r="J765" s="825">
        <f>153.8*$B$2</f>
        <v>102773.774</v>
      </c>
      <c r="K765" s="823" t="e">
        <f t="shared" si="88"/>
        <v>#REF!</v>
      </c>
      <c r="L765" s="818"/>
      <c r="P765" s="31">
        <v>2000000</v>
      </c>
    </row>
    <row r="766" spans="1:16" s="31" customFormat="1" ht="17.25" customHeight="1">
      <c r="A766" s="821" t="s">
        <v>455</v>
      </c>
      <c r="B766" s="980" t="s">
        <v>501</v>
      </c>
      <c r="C766" s="879" t="e">
        <f>VLOOKUP(B758,'CNKT '!#REF!,18,0)</f>
        <v>#REF!</v>
      </c>
      <c r="D766" s="825">
        <v>10000</v>
      </c>
      <c r="E766" s="823" t="e">
        <f>C766*D766</f>
        <v>#REF!</v>
      </c>
      <c r="F766" s="882"/>
      <c r="G766" s="821" t="s">
        <v>455</v>
      </c>
      <c r="H766" s="980" t="s">
        <v>501</v>
      </c>
      <c r="I766" s="879" t="e">
        <f>VLOOKUP(H758,'CNKT '!#REF!,18,0)</f>
        <v>#REF!</v>
      </c>
      <c r="J766" s="825">
        <v>10000</v>
      </c>
      <c r="K766" s="823" t="e">
        <f>I766*J766</f>
        <v>#REF!</v>
      </c>
      <c r="L766" s="818"/>
      <c r="P766" s="31">
        <v>2000000</v>
      </c>
    </row>
    <row r="767" spans="1:16" s="31" customFormat="1" ht="17.25" customHeight="1">
      <c r="A767" s="821" t="s">
        <v>455</v>
      </c>
      <c r="B767" s="980" t="s">
        <v>501</v>
      </c>
      <c r="C767" s="879" t="e">
        <f>VLOOKUP(B758,'CNKT '!#REF!,19,0)</f>
        <v>#REF!</v>
      </c>
      <c r="D767" s="825">
        <v>20000</v>
      </c>
      <c r="E767" s="823" t="e">
        <f>C767*D767</f>
        <v>#REF!</v>
      </c>
      <c r="F767" s="882"/>
      <c r="G767" s="821" t="s">
        <v>455</v>
      </c>
      <c r="H767" s="980" t="s">
        <v>501</v>
      </c>
      <c r="I767" s="879" t="e">
        <f>VLOOKUP(H758,'CNKT '!#REF!,19,0)</f>
        <v>#REF!</v>
      </c>
      <c r="J767" s="825">
        <v>20000</v>
      </c>
      <c r="K767" s="823" t="e">
        <f>I767*J767</f>
        <v>#REF!</v>
      </c>
      <c r="L767" s="818"/>
    </row>
    <row r="768" spans="1:16" s="31" customFormat="1" ht="17.25" customHeight="1">
      <c r="A768" s="821" t="s">
        <v>517</v>
      </c>
      <c r="B768" s="980" t="s">
        <v>519</v>
      </c>
      <c r="C768" s="879"/>
      <c r="D768" s="825"/>
      <c r="E768" s="823"/>
      <c r="F768" s="882"/>
      <c r="G768" s="821" t="s">
        <v>517</v>
      </c>
      <c r="H768" s="980" t="s">
        <v>519</v>
      </c>
      <c r="I768" s="879"/>
      <c r="J768" s="825"/>
      <c r="K768" s="823"/>
      <c r="L768" s="818"/>
      <c r="P768" s="31">
        <v>1000000</v>
      </c>
    </row>
    <row r="769" spans="1:12" s="31" customFormat="1" ht="17.25" customHeight="1">
      <c r="A769" s="827" t="s">
        <v>81</v>
      </c>
      <c r="B769" s="981" t="s">
        <v>564</v>
      </c>
      <c r="C769" s="828"/>
      <c r="D769" s="829"/>
      <c r="E769" s="828"/>
      <c r="F769" s="882"/>
      <c r="G769" s="827" t="s">
        <v>81</v>
      </c>
      <c r="H769" s="981" t="s">
        <v>564</v>
      </c>
      <c r="I769" s="828"/>
      <c r="J769" s="829"/>
      <c r="K769" s="828"/>
      <c r="L769" s="818"/>
    </row>
    <row r="770" spans="1:12" s="31" customFormat="1" ht="17.25" customHeight="1">
      <c r="A770" s="830" t="s">
        <v>82</v>
      </c>
      <c r="B770" s="982" t="s">
        <v>565</v>
      </c>
      <c r="C770" s="828"/>
      <c r="D770" s="828"/>
      <c r="E770" s="828"/>
      <c r="F770" s="882"/>
      <c r="G770" s="830" t="s">
        <v>82</v>
      </c>
      <c r="H770" s="982" t="s">
        <v>565</v>
      </c>
      <c r="I770" s="828"/>
      <c r="J770" s="828"/>
      <c r="K770" s="828"/>
      <c r="L770" s="818"/>
    </row>
    <row r="771" spans="1:12" s="31" customFormat="1" ht="17.25" customHeight="1">
      <c r="A771" s="830" t="s">
        <v>83</v>
      </c>
      <c r="B771" s="983" t="s">
        <v>566</v>
      </c>
      <c r="C771" s="828"/>
      <c r="D771" s="828"/>
      <c r="E771" s="823">
        <f>SUM(E770)</f>
        <v>0</v>
      </c>
      <c r="F771" s="879"/>
      <c r="G771" s="830" t="s">
        <v>83</v>
      </c>
      <c r="H771" s="983" t="s">
        <v>566</v>
      </c>
      <c r="I771" s="828"/>
      <c r="J771" s="828"/>
      <c r="K771" s="823">
        <f>SUM(K770)</f>
        <v>0</v>
      </c>
      <c r="L771" s="818"/>
    </row>
    <row r="772" spans="1:12" s="31" customFormat="1" ht="17.25" customHeight="1">
      <c r="A772" s="832" t="s">
        <v>84</v>
      </c>
      <c r="B772" s="984" t="s">
        <v>438</v>
      </c>
      <c r="C772" s="833"/>
      <c r="D772" s="833"/>
      <c r="E772" s="833" t="e">
        <f>(E760+E761+E762+E763+E764+E765+E766+E767+E768)-E771</f>
        <v>#REF!</v>
      </c>
      <c r="F772" s="879"/>
      <c r="G772" s="832" t="s">
        <v>84</v>
      </c>
      <c r="H772" s="984" t="s">
        <v>438</v>
      </c>
      <c r="I772" s="833"/>
      <c r="J772" s="833"/>
      <c r="K772" s="833" t="e">
        <f>(K760+K761+K762+K763+K764+K765+K766+K767+K768)-K771</f>
        <v>#REF!</v>
      </c>
      <c r="L772" s="835" t="e">
        <f>E772+K772</f>
        <v>#REF!</v>
      </c>
    </row>
    <row r="773" spans="1:12" s="31" customFormat="1" ht="48" customHeight="1">
      <c r="A773" s="870"/>
      <c r="B773" s="871"/>
      <c r="C773" s="872"/>
      <c r="D773" s="872"/>
      <c r="E773" s="872"/>
      <c r="F773" s="873"/>
      <c r="G773" s="972"/>
      <c r="H773" s="972"/>
      <c r="I773" s="972"/>
      <c r="J773" s="972"/>
      <c r="K773" s="874"/>
      <c r="L773" s="818"/>
    </row>
    <row r="774" spans="1:12" s="31" customFormat="1" ht="17.25" customHeight="1">
      <c r="A774" s="1616" t="str">
        <f>A757</f>
        <v>LƯƠNG THÁNG 01/2025</v>
      </c>
      <c r="B774" s="1616"/>
      <c r="C774" s="1616"/>
      <c r="D774" s="1616"/>
      <c r="E774" s="898">
        <v>5</v>
      </c>
      <c r="F774" s="873"/>
      <c r="G774" s="1616" t="str">
        <f>A774</f>
        <v>LƯƠNG THÁNG 01/2025</v>
      </c>
      <c r="H774" s="1616"/>
      <c r="I774" s="1616"/>
      <c r="J774" s="1616"/>
      <c r="K774" s="898">
        <v>6</v>
      </c>
      <c r="L774" s="818"/>
    </row>
    <row r="775" spans="1:12" s="31" customFormat="1" ht="17.25" customHeight="1">
      <c r="A775" s="837" t="s">
        <v>17</v>
      </c>
      <c r="B775" s="976" t="e">
        <f>'CNKT '!#REF!</f>
        <v>#REF!</v>
      </c>
      <c r="C775" s="822"/>
      <c r="D775" s="976" t="s">
        <v>398</v>
      </c>
      <c r="E775" s="976" t="s">
        <v>20</v>
      </c>
      <c r="F775" s="882"/>
      <c r="G775" s="837" t="s">
        <v>17</v>
      </c>
      <c r="H775" s="976" t="e">
        <f>'CNKT '!#REF!</f>
        <v>#REF!</v>
      </c>
      <c r="I775" s="822"/>
      <c r="J775" s="976" t="s">
        <v>398</v>
      </c>
      <c r="K775" s="976" t="s">
        <v>20</v>
      </c>
      <c r="L775" s="818"/>
    </row>
    <row r="776" spans="1:12" s="31" customFormat="1" ht="17.25" customHeight="1">
      <c r="A776" s="821" t="s">
        <v>399</v>
      </c>
      <c r="B776" s="978" t="s">
        <v>559</v>
      </c>
      <c r="C776" s="822" t="e">
        <f>VLOOKUP(B775,'BTH mủ tạp'!#REF!,36,0)</f>
        <v>#REF!</v>
      </c>
      <c r="D776" s="823"/>
      <c r="E776" s="823"/>
      <c r="F776" s="882"/>
      <c r="G776" s="821" t="s">
        <v>399</v>
      </c>
      <c r="H776" s="978" t="s">
        <v>559</v>
      </c>
      <c r="I776" s="822" t="e">
        <f>VLOOKUP(H775,'BTH mủ tạp'!#REF!,36,0)</f>
        <v>#REF!</v>
      </c>
      <c r="J776" s="823"/>
      <c r="K776" s="823"/>
      <c r="L776" s="818"/>
    </row>
    <row r="777" spans="1:12" s="31" customFormat="1" ht="17.25" customHeight="1">
      <c r="A777" s="821" t="s">
        <v>79</v>
      </c>
      <c r="B777" s="979" t="s">
        <v>432</v>
      </c>
      <c r="C777" s="824" t="e">
        <f>VLOOKUP(B775,'CNKT '!#REF!,3,0)</f>
        <v>#REF!</v>
      </c>
      <c r="D777" s="825">
        <v>25000</v>
      </c>
      <c r="E777" s="823" t="e">
        <f t="shared" ref="E777:E782" si="89">C777*D777</f>
        <v>#REF!</v>
      </c>
      <c r="F777" s="882"/>
      <c r="G777" s="821" t="s">
        <v>79</v>
      </c>
      <c r="H777" s="979" t="s">
        <v>432</v>
      </c>
      <c r="I777" s="824" t="e">
        <f>VLOOKUP(H775,'CNKT '!#REF!,3,0)</f>
        <v>#REF!</v>
      </c>
      <c r="J777" s="825">
        <v>25000</v>
      </c>
      <c r="K777" s="823" t="e">
        <f t="shared" ref="K777:K782" si="90">I777*J777</f>
        <v>#REF!</v>
      </c>
      <c r="L777" s="818"/>
    </row>
    <row r="778" spans="1:12" s="31" customFormat="1" ht="17.25" customHeight="1">
      <c r="A778" s="821" t="s">
        <v>310</v>
      </c>
      <c r="B778" s="980" t="s">
        <v>560</v>
      </c>
      <c r="C778" s="879" t="e">
        <f>VLOOKUP(B775,'CNKT '!#REF!,11,0)</f>
        <v>#REF!</v>
      </c>
      <c r="D778" s="826">
        <f>46.1*$B$2</f>
        <v>30805.403000000002</v>
      </c>
      <c r="E778" s="823" t="e">
        <f t="shared" si="89"/>
        <v>#REF!</v>
      </c>
      <c r="F778" s="882"/>
      <c r="G778" s="821" t="s">
        <v>310</v>
      </c>
      <c r="H778" s="980" t="s">
        <v>560</v>
      </c>
      <c r="I778" s="879" t="e">
        <f>VLOOKUP(H775,'CNKT '!#REF!,11,0)</f>
        <v>#REF!</v>
      </c>
      <c r="J778" s="826">
        <f>46.1*$B$2</f>
        <v>30805.403000000002</v>
      </c>
      <c r="K778" s="823" t="e">
        <f t="shared" si="90"/>
        <v>#REF!</v>
      </c>
      <c r="L778" s="818"/>
    </row>
    <row r="779" spans="1:12" s="31" customFormat="1" ht="17.25" customHeight="1">
      <c r="A779" s="821" t="s">
        <v>401</v>
      </c>
      <c r="B779" s="980" t="s">
        <v>561</v>
      </c>
      <c r="C779" s="879" t="e">
        <f>VLOOKUP(B775,'CNKT '!#REF!,12,0)</f>
        <v>#REF!</v>
      </c>
      <c r="D779" s="825">
        <f>76.9*$B$2</f>
        <v>51386.887000000002</v>
      </c>
      <c r="E779" s="823" t="e">
        <f t="shared" si="89"/>
        <v>#REF!</v>
      </c>
      <c r="F779" s="882"/>
      <c r="G779" s="821" t="s">
        <v>401</v>
      </c>
      <c r="H779" s="980" t="s">
        <v>561</v>
      </c>
      <c r="I779" s="879" t="e">
        <f>VLOOKUP(H775,'CNKT '!#REF!,12,0)</f>
        <v>#REF!</v>
      </c>
      <c r="J779" s="825">
        <f>76.9*$B$2</f>
        <v>51386.887000000002</v>
      </c>
      <c r="K779" s="823" t="e">
        <f t="shared" si="90"/>
        <v>#REF!</v>
      </c>
      <c r="L779" s="818"/>
    </row>
    <row r="780" spans="1:12" s="31" customFormat="1" ht="17.25" customHeight="1">
      <c r="A780" s="821" t="s">
        <v>80</v>
      </c>
      <c r="B780" s="980" t="s">
        <v>562</v>
      </c>
      <c r="C780" s="879" t="e">
        <f>VLOOKUP(B775,'CNKT '!#REF!,8,0)</f>
        <v>#REF!</v>
      </c>
      <c r="D780" s="825" t="e">
        <f>IF(C776="A",6.1,IF(C776="B",5.8,IF(C776="C",5.5,IF(C776="C.",5.5,IF(C776="D",5.2)))))*$B$2</f>
        <v>#REF!</v>
      </c>
      <c r="E780" s="823" t="e">
        <f t="shared" si="89"/>
        <v>#REF!</v>
      </c>
      <c r="F780" s="882"/>
      <c r="G780" s="821" t="s">
        <v>80</v>
      </c>
      <c r="H780" s="980" t="s">
        <v>562</v>
      </c>
      <c r="I780" s="879" t="e">
        <f>VLOOKUP(H775,'CNKT '!#REF!,8,0)</f>
        <v>#REF!</v>
      </c>
      <c r="J780" s="825" t="e">
        <f>IF(I776="A",6.1,IF(I776="B",5.8,IF(I776="C",5.5,IF(I776="C.",5.5,IF(I776="D",5.2)))))*$B$2</f>
        <v>#REF!</v>
      </c>
      <c r="K780" s="823" t="e">
        <f t="shared" si="90"/>
        <v>#REF!</v>
      </c>
      <c r="L780" s="818"/>
    </row>
    <row r="781" spans="1:12" s="31" customFormat="1" ht="17.25" customHeight="1">
      <c r="A781" s="821" t="s">
        <v>495</v>
      </c>
      <c r="B781" s="980" t="s">
        <v>563</v>
      </c>
      <c r="C781" s="879" t="e">
        <f>VLOOKUP(B775,'CNKT '!#REF!,15,0)</f>
        <v>#REF!</v>
      </c>
      <c r="D781" s="826">
        <f>92.2*$B$2</f>
        <v>61610.806000000004</v>
      </c>
      <c r="E781" s="823" t="e">
        <f t="shared" si="89"/>
        <v>#REF!</v>
      </c>
      <c r="F781" s="882"/>
      <c r="G781" s="821" t="s">
        <v>495</v>
      </c>
      <c r="H781" s="980" t="s">
        <v>563</v>
      </c>
      <c r="I781" s="879" t="e">
        <f>VLOOKUP(H775,'CNKT '!#REF!,15,0)</f>
        <v>#REF!</v>
      </c>
      <c r="J781" s="826">
        <f>92.2*$B$2</f>
        <v>61610.806000000004</v>
      </c>
      <c r="K781" s="823" t="e">
        <f t="shared" si="90"/>
        <v>#REF!</v>
      </c>
      <c r="L781" s="818"/>
    </row>
    <row r="782" spans="1:12" s="31" customFormat="1" ht="17.25" customHeight="1">
      <c r="A782" s="821" t="s">
        <v>496</v>
      </c>
      <c r="B782" s="980" t="s">
        <v>500</v>
      </c>
      <c r="C782" s="879" t="e">
        <f>VLOOKUP(B775,'CNKT '!#REF!,16,0)</f>
        <v>#REF!</v>
      </c>
      <c r="D782" s="825">
        <f>153.8*$B$2</f>
        <v>102773.774</v>
      </c>
      <c r="E782" s="823" t="e">
        <f t="shared" si="89"/>
        <v>#REF!</v>
      </c>
      <c r="F782" s="882"/>
      <c r="G782" s="821" t="s">
        <v>496</v>
      </c>
      <c r="H782" s="980" t="s">
        <v>500</v>
      </c>
      <c r="I782" s="879" t="e">
        <f>VLOOKUP(H775,'CNKT '!#REF!,16,0)</f>
        <v>#REF!</v>
      </c>
      <c r="J782" s="825">
        <f>153.8*$B$2</f>
        <v>102773.774</v>
      </c>
      <c r="K782" s="823" t="e">
        <f t="shared" si="90"/>
        <v>#REF!</v>
      </c>
      <c r="L782" s="818"/>
    </row>
    <row r="783" spans="1:12" s="31" customFormat="1" ht="17.25" customHeight="1">
      <c r="A783" s="821" t="s">
        <v>455</v>
      </c>
      <c r="B783" s="980" t="s">
        <v>501</v>
      </c>
      <c r="C783" s="879" t="e">
        <f>VLOOKUP(B775,'CNKT '!#REF!,18,0)</f>
        <v>#REF!</v>
      </c>
      <c r="D783" s="825">
        <v>10000</v>
      </c>
      <c r="E783" s="823" t="e">
        <f>C783*D783</f>
        <v>#REF!</v>
      </c>
      <c r="F783" s="882"/>
      <c r="G783" s="821" t="s">
        <v>455</v>
      </c>
      <c r="H783" s="980" t="s">
        <v>501</v>
      </c>
      <c r="I783" s="879" t="e">
        <f>VLOOKUP(H775,'CNKT '!#REF!,18,0)</f>
        <v>#REF!</v>
      </c>
      <c r="J783" s="825">
        <v>10000</v>
      </c>
      <c r="K783" s="823" t="e">
        <f>I783*J783</f>
        <v>#REF!</v>
      </c>
      <c r="L783" s="818"/>
    </row>
    <row r="784" spans="1:12" s="31" customFormat="1" ht="17.25" customHeight="1">
      <c r="A784" s="821" t="s">
        <v>455</v>
      </c>
      <c r="B784" s="980" t="s">
        <v>501</v>
      </c>
      <c r="C784" s="879" t="e">
        <f>VLOOKUP(B775,'CNKT '!#REF!,19,0)</f>
        <v>#REF!</v>
      </c>
      <c r="D784" s="825">
        <v>20000</v>
      </c>
      <c r="E784" s="823" t="e">
        <f>C784*D784</f>
        <v>#REF!</v>
      </c>
      <c r="F784" s="882"/>
      <c r="G784" s="821" t="s">
        <v>455</v>
      </c>
      <c r="H784" s="980" t="s">
        <v>501</v>
      </c>
      <c r="I784" s="879" t="e">
        <f>VLOOKUP(H775,'CNKT '!#REF!,19,0)</f>
        <v>#REF!</v>
      </c>
      <c r="J784" s="825">
        <v>20000</v>
      </c>
      <c r="K784" s="823" t="e">
        <f>I784*J784</f>
        <v>#REF!</v>
      </c>
      <c r="L784" s="818"/>
    </row>
    <row r="785" spans="1:12" s="31" customFormat="1" ht="17.25" customHeight="1">
      <c r="A785" s="821" t="s">
        <v>517</v>
      </c>
      <c r="B785" s="980" t="s">
        <v>519</v>
      </c>
      <c r="C785" s="879"/>
      <c r="D785" s="825"/>
      <c r="E785" s="823"/>
      <c r="F785" s="882"/>
      <c r="G785" s="821" t="s">
        <v>517</v>
      </c>
      <c r="H785" s="980" t="s">
        <v>519</v>
      </c>
      <c r="I785" s="879"/>
      <c r="J785" s="825"/>
      <c r="K785" s="823"/>
      <c r="L785" s="818"/>
    </row>
    <row r="786" spans="1:12" s="31" customFormat="1" ht="17.25" customHeight="1">
      <c r="A786" s="827" t="s">
        <v>81</v>
      </c>
      <c r="B786" s="981" t="s">
        <v>564</v>
      </c>
      <c r="C786" s="828"/>
      <c r="D786" s="829"/>
      <c r="E786" s="828"/>
      <c r="F786" s="882"/>
      <c r="G786" s="827" t="s">
        <v>81</v>
      </c>
      <c r="H786" s="981" t="s">
        <v>564</v>
      </c>
      <c r="I786" s="828"/>
      <c r="J786" s="829"/>
      <c r="K786" s="828"/>
      <c r="L786" s="818"/>
    </row>
    <row r="787" spans="1:12" s="31" customFormat="1" ht="17.25" customHeight="1">
      <c r="A787" s="830" t="s">
        <v>82</v>
      </c>
      <c r="B787" s="982" t="s">
        <v>565</v>
      </c>
      <c r="C787" s="828"/>
      <c r="D787" s="828"/>
      <c r="E787" s="828"/>
      <c r="F787" s="882"/>
      <c r="G787" s="830" t="s">
        <v>82</v>
      </c>
      <c r="H787" s="982" t="s">
        <v>565</v>
      </c>
      <c r="I787" s="828"/>
      <c r="J787" s="828"/>
      <c r="K787" s="828"/>
      <c r="L787" s="818"/>
    </row>
    <row r="788" spans="1:12" s="31" customFormat="1" ht="17.25" customHeight="1">
      <c r="A788" s="830" t="s">
        <v>83</v>
      </c>
      <c r="B788" s="983" t="s">
        <v>566</v>
      </c>
      <c r="C788" s="828"/>
      <c r="D788" s="828"/>
      <c r="E788" s="823">
        <f>SUM(E787)</f>
        <v>0</v>
      </c>
      <c r="F788" s="879"/>
      <c r="G788" s="830" t="s">
        <v>83</v>
      </c>
      <c r="H788" s="983" t="s">
        <v>566</v>
      </c>
      <c r="I788" s="828"/>
      <c r="J788" s="828"/>
      <c r="K788" s="823">
        <f>SUM(K787)</f>
        <v>0</v>
      </c>
      <c r="L788" s="818"/>
    </row>
    <row r="789" spans="1:12" s="31" customFormat="1" ht="17.25" customHeight="1">
      <c r="A789" s="832" t="s">
        <v>84</v>
      </c>
      <c r="B789" s="984" t="s">
        <v>438</v>
      </c>
      <c r="C789" s="833"/>
      <c r="D789" s="833"/>
      <c r="E789" s="833" t="e">
        <f>(E777+E778+E779+E780+E781+E782+E783+E784+E785)-E788</f>
        <v>#REF!</v>
      </c>
      <c r="F789" s="879"/>
      <c r="G789" s="832" t="s">
        <v>84</v>
      </c>
      <c r="H789" s="984" t="s">
        <v>438</v>
      </c>
      <c r="I789" s="833"/>
      <c r="J789" s="833"/>
      <c r="K789" s="833" t="e">
        <f>(K777+K778+K779+K780+K781+K782+K783+K784+K785)-K788</f>
        <v>#REF!</v>
      </c>
      <c r="L789" s="835" t="e">
        <f>E789+K789</f>
        <v>#REF!</v>
      </c>
    </row>
    <row r="790" spans="1:12" s="31" customFormat="1" ht="207.75" customHeight="1">
      <c r="A790" s="870"/>
      <c r="B790" s="871"/>
      <c r="C790" s="872"/>
      <c r="D790" s="872"/>
      <c r="E790" s="872"/>
      <c r="F790" s="873"/>
      <c r="G790" s="972"/>
      <c r="H790" s="972"/>
      <c r="I790" s="972"/>
      <c r="J790" s="972"/>
      <c r="K790" s="874"/>
      <c r="L790" s="818"/>
    </row>
    <row r="791" spans="1:12" s="31" customFormat="1" ht="17.25" customHeight="1">
      <c r="A791" s="1616" t="str">
        <f>A774</f>
        <v>LƯƠNG THÁNG 01/2025</v>
      </c>
      <c r="B791" s="1616"/>
      <c r="C791" s="1616"/>
      <c r="D791" s="1616"/>
      <c r="E791" s="898">
        <v>7</v>
      </c>
      <c r="F791" s="873"/>
      <c r="G791" s="1616" t="str">
        <f>A791</f>
        <v>LƯƠNG THÁNG 01/2025</v>
      </c>
      <c r="H791" s="1616"/>
      <c r="I791" s="1616"/>
      <c r="J791" s="1616"/>
      <c r="K791" s="898">
        <v>8</v>
      </c>
      <c r="L791" s="818"/>
    </row>
    <row r="792" spans="1:12" s="31" customFormat="1" ht="17.25" customHeight="1">
      <c r="A792" s="837" t="s">
        <v>17</v>
      </c>
      <c r="B792" s="976" t="e">
        <f>'CNKT '!#REF!</f>
        <v>#REF!</v>
      </c>
      <c r="C792" s="822"/>
      <c r="D792" s="976" t="s">
        <v>398</v>
      </c>
      <c r="E792" s="976" t="s">
        <v>20</v>
      </c>
      <c r="F792" s="882"/>
      <c r="G792" s="837" t="s">
        <v>17</v>
      </c>
      <c r="H792" s="976" t="e">
        <f>'CNKT '!#REF!</f>
        <v>#REF!</v>
      </c>
      <c r="I792" s="822"/>
      <c r="J792" s="976" t="s">
        <v>398</v>
      </c>
      <c r="K792" s="976" t="s">
        <v>20</v>
      </c>
      <c r="L792" s="818"/>
    </row>
    <row r="793" spans="1:12" s="31" customFormat="1" ht="17.25" customHeight="1">
      <c r="A793" s="821" t="s">
        <v>399</v>
      </c>
      <c r="B793" s="978" t="s">
        <v>559</v>
      </c>
      <c r="C793" s="822" t="e">
        <f>VLOOKUP(B792,'BTH mủ tạp'!#REF!,36,0)</f>
        <v>#REF!</v>
      </c>
      <c r="D793" s="823"/>
      <c r="E793" s="823"/>
      <c r="F793" s="882"/>
      <c r="G793" s="821" t="s">
        <v>399</v>
      </c>
      <c r="H793" s="978" t="s">
        <v>559</v>
      </c>
      <c r="I793" s="822" t="e">
        <f>VLOOKUP(H792,'BTH mủ tạp'!#REF!,36,0)</f>
        <v>#REF!</v>
      </c>
      <c r="J793" s="823"/>
      <c r="K793" s="823"/>
      <c r="L793" s="818"/>
    </row>
    <row r="794" spans="1:12" s="31" customFormat="1" ht="17.25" customHeight="1">
      <c r="A794" s="821" t="s">
        <v>79</v>
      </c>
      <c r="B794" s="979" t="s">
        <v>432</v>
      </c>
      <c r="C794" s="824" t="e">
        <f>VLOOKUP(B792,'CNKT '!#REF!,3,0)</f>
        <v>#REF!</v>
      </c>
      <c r="D794" s="825">
        <v>25000</v>
      </c>
      <c r="E794" s="823" t="e">
        <f t="shared" ref="E794:E799" si="91">C794*D794</f>
        <v>#REF!</v>
      </c>
      <c r="F794" s="882"/>
      <c r="G794" s="821" t="s">
        <v>79</v>
      </c>
      <c r="H794" s="979" t="s">
        <v>432</v>
      </c>
      <c r="I794" s="824" t="e">
        <f>VLOOKUP(H792,'CNKT '!#REF!,3,0)</f>
        <v>#REF!</v>
      </c>
      <c r="J794" s="825">
        <v>25000</v>
      </c>
      <c r="K794" s="823" t="e">
        <f t="shared" ref="K794:K799" si="92">I794*J794</f>
        <v>#REF!</v>
      </c>
      <c r="L794" s="818"/>
    </row>
    <row r="795" spans="1:12" s="31" customFormat="1" ht="17.25" customHeight="1">
      <c r="A795" s="821" t="s">
        <v>310</v>
      </c>
      <c r="B795" s="980" t="s">
        <v>560</v>
      </c>
      <c r="C795" s="879" t="e">
        <f>VLOOKUP(B792,'CNKT '!#REF!,11,0)</f>
        <v>#REF!</v>
      </c>
      <c r="D795" s="826">
        <f>46.1*$B$2</f>
        <v>30805.403000000002</v>
      </c>
      <c r="E795" s="823" t="e">
        <f t="shared" si="91"/>
        <v>#REF!</v>
      </c>
      <c r="F795" s="882"/>
      <c r="G795" s="821" t="s">
        <v>310</v>
      </c>
      <c r="H795" s="980" t="s">
        <v>560</v>
      </c>
      <c r="I795" s="879" t="e">
        <f>VLOOKUP(H792,'CNKT '!#REF!,11,0)</f>
        <v>#REF!</v>
      </c>
      <c r="J795" s="826">
        <f>46.1*$B$2</f>
        <v>30805.403000000002</v>
      </c>
      <c r="K795" s="823" t="e">
        <f t="shared" si="92"/>
        <v>#REF!</v>
      </c>
      <c r="L795" s="818"/>
    </row>
    <row r="796" spans="1:12" s="31" customFormat="1" ht="17.25" customHeight="1">
      <c r="A796" s="821" t="s">
        <v>401</v>
      </c>
      <c r="B796" s="980" t="s">
        <v>561</v>
      </c>
      <c r="C796" s="879" t="e">
        <f>VLOOKUP(B792,'CNKT '!#REF!,12,0)</f>
        <v>#REF!</v>
      </c>
      <c r="D796" s="825">
        <f>76.9*$B$2</f>
        <v>51386.887000000002</v>
      </c>
      <c r="E796" s="823" t="e">
        <f t="shared" si="91"/>
        <v>#REF!</v>
      </c>
      <c r="F796" s="882"/>
      <c r="G796" s="821" t="s">
        <v>401</v>
      </c>
      <c r="H796" s="980" t="s">
        <v>561</v>
      </c>
      <c r="I796" s="879" t="e">
        <f>VLOOKUP(H792,'CNKT '!#REF!,12,0)</f>
        <v>#REF!</v>
      </c>
      <c r="J796" s="825">
        <f>76.9*$B$2</f>
        <v>51386.887000000002</v>
      </c>
      <c r="K796" s="823" t="e">
        <f t="shared" si="92"/>
        <v>#REF!</v>
      </c>
      <c r="L796" s="818"/>
    </row>
    <row r="797" spans="1:12" s="31" customFormat="1" ht="17.25" customHeight="1">
      <c r="A797" s="821" t="s">
        <v>80</v>
      </c>
      <c r="B797" s="980" t="s">
        <v>562</v>
      </c>
      <c r="C797" s="879" t="e">
        <f>VLOOKUP(B792,'CNKT '!#REF!,8,0)</f>
        <v>#REF!</v>
      </c>
      <c r="D797" s="825" t="e">
        <f>IF(C793="A",6.1,IF(C793="B",5.8,IF(C793="C",5.5,IF(C793="C.",5.5,IF(C793="D",5.2)))))*$B$2</f>
        <v>#REF!</v>
      </c>
      <c r="E797" s="823" t="e">
        <f t="shared" si="91"/>
        <v>#REF!</v>
      </c>
      <c r="F797" s="882"/>
      <c r="G797" s="821" t="s">
        <v>80</v>
      </c>
      <c r="H797" s="980" t="s">
        <v>562</v>
      </c>
      <c r="I797" s="879" t="e">
        <f>VLOOKUP(H792,'CNKT '!#REF!,8,0)</f>
        <v>#REF!</v>
      </c>
      <c r="J797" s="825" t="e">
        <f>IF(I793="A",6.1,IF(I793="B",5.8,IF(I793="C",5.5,IF(I793="C.",5.5,IF(I793="D",5.2)))))*$B$2</f>
        <v>#REF!</v>
      </c>
      <c r="K797" s="823" t="e">
        <f t="shared" si="92"/>
        <v>#REF!</v>
      </c>
      <c r="L797" s="818"/>
    </row>
    <row r="798" spans="1:12" s="31" customFormat="1" ht="17.25" customHeight="1">
      <c r="A798" s="821" t="s">
        <v>495</v>
      </c>
      <c r="B798" s="980" t="s">
        <v>563</v>
      </c>
      <c r="C798" s="879" t="e">
        <f>VLOOKUP(B792,'CNKT '!#REF!,15,0)</f>
        <v>#REF!</v>
      </c>
      <c r="D798" s="826">
        <f>92.2*$B$2</f>
        <v>61610.806000000004</v>
      </c>
      <c r="E798" s="823" t="e">
        <f t="shared" si="91"/>
        <v>#REF!</v>
      </c>
      <c r="F798" s="882"/>
      <c r="G798" s="821" t="s">
        <v>495</v>
      </c>
      <c r="H798" s="980" t="s">
        <v>563</v>
      </c>
      <c r="I798" s="879" t="e">
        <f>VLOOKUP(H792,'CNKT '!#REF!,15,0)</f>
        <v>#REF!</v>
      </c>
      <c r="J798" s="826">
        <f>92.2*$B$2</f>
        <v>61610.806000000004</v>
      </c>
      <c r="K798" s="823" t="e">
        <f t="shared" si="92"/>
        <v>#REF!</v>
      </c>
      <c r="L798" s="818"/>
    </row>
    <row r="799" spans="1:12" s="31" customFormat="1" ht="17.25" customHeight="1">
      <c r="A799" s="821" t="s">
        <v>496</v>
      </c>
      <c r="B799" s="980" t="s">
        <v>500</v>
      </c>
      <c r="C799" s="879" t="e">
        <f>VLOOKUP(B792,'CNKT '!#REF!,16,0)</f>
        <v>#REF!</v>
      </c>
      <c r="D799" s="825">
        <f>153.8*$B$2</f>
        <v>102773.774</v>
      </c>
      <c r="E799" s="823" t="e">
        <f t="shared" si="91"/>
        <v>#REF!</v>
      </c>
      <c r="F799" s="882"/>
      <c r="G799" s="821" t="s">
        <v>496</v>
      </c>
      <c r="H799" s="980" t="s">
        <v>500</v>
      </c>
      <c r="I799" s="879" t="e">
        <f>VLOOKUP(H792,'CNKT '!#REF!,16,0)</f>
        <v>#REF!</v>
      </c>
      <c r="J799" s="825">
        <f>153.8*$B$2</f>
        <v>102773.774</v>
      </c>
      <c r="K799" s="823" t="e">
        <f t="shared" si="92"/>
        <v>#REF!</v>
      </c>
      <c r="L799" s="818"/>
    </row>
    <row r="800" spans="1:12" s="31" customFormat="1" ht="17.25" customHeight="1">
      <c r="A800" s="821" t="s">
        <v>455</v>
      </c>
      <c r="B800" s="980" t="s">
        <v>501</v>
      </c>
      <c r="C800" s="879" t="e">
        <f>VLOOKUP(B792,'CNKT '!#REF!,18,0)</f>
        <v>#REF!</v>
      </c>
      <c r="D800" s="825">
        <v>10000</v>
      </c>
      <c r="E800" s="823" t="e">
        <f>C800*D800</f>
        <v>#REF!</v>
      </c>
      <c r="F800" s="882"/>
      <c r="G800" s="821" t="s">
        <v>455</v>
      </c>
      <c r="H800" s="980" t="s">
        <v>501</v>
      </c>
      <c r="I800" s="879" t="e">
        <f>VLOOKUP(H792,'CNKT '!#REF!,18,0)</f>
        <v>#REF!</v>
      </c>
      <c r="J800" s="825">
        <v>10000</v>
      </c>
      <c r="K800" s="823" t="e">
        <f>I800*J800</f>
        <v>#REF!</v>
      </c>
      <c r="L800" s="818"/>
    </row>
    <row r="801" spans="1:12" s="31" customFormat="1" ht="17.25" customHeight="1">
      <c r="A801" s="821" t="s">
        <v>455</v>
      </c>
      <c r="B801" s="980" t="s">
        <v>501</v>
      </c>
      <c r="C801" s="879" t="e">
        <f>VLOOKUP(B792,'CNKT '!#REF!,19,0)</f>
        <v>#REF!</v>
      </c>
      <c r="D801" s="825">
        <v>20000</v>
      </c>
      <c r="E801" s="823" t="e">
        <f>C801*D801</f>
        <v>#REF!</v>
      </c>
      <c r="F801" s="882"/>
      <c r="G801" s="821" t="s">
        <v>455</v>
      </c>
      <c r="H801" s="980" t="s">
        <v>501</v>
      </c>
      <c r="I801" s="879" t="e">
        <f>VLOOKUP(H792,'CNKT '!#REF!,19,0)</f>
        <v>#REF!</v>
      </c>
      <c r="J801" s="825">
        <v>20000</v>
      </c>
      <c r="K801" s="823" t="e">
        <f>I801*J801</f>
        <v>#REF!</v>
      </c>
      <c r="L801" s="818"/>
    </row>
    <row r="802" spans="1:12" s="31" customFormat="1" ht="17.25" customHeight="1">
      <c r="A802" s="821" t="s">
        <v>517</v>
      </c>
      <c r="B802" s="980" t="s">
        <v>519</v>
      </c>
      <c r="C802" s="879"/>
      <c r="D802" s="825"/>
      <c r="E802" s="823"/>
      <c r="F802" s="882"/>
      <c r="G802" s="821" t="s">
        <v>517</v>
      </c>
      <c r="H802" s="980" t="s">
        <v>519</v>
      </c>
      <c r="I802" s="879"/>
      <c r="J802" s="825"/>
      <c r="K802" s="823"/>
      <c r="L802" s="818"/>
    </row>
    <row r="803" spans="1:12" s="31" customFormat="1" ht="17.25" customHeight="1">
      <c r="A803" s="827" t="s">
        <v>81</v>
      </c>
      <c r="B803" s="981" t="s">
        <v>564</v>
      </c>
      <c r="C803" s="828"/>
      <c r="D803" s="829"/>
      <c r="E803" s="828"/>
      <c r="F803" s="882"/>
      <c r="G803" s="827" t="s">
        <v>81</v>
      </c>
      <c r="H803" s="981" t="s">
        <v>564</v>
      </c>
      <c r="I803" s="828"/>
      <c r="J803" s="829"/>
      <c r="K803" s="828"/>
      <c r="L803" s="818"/>
    </row>
    <row r="804" spans="1:12" s="31" customFormat="1" ht="17.25" customHeight="1">
      <c r="A804" s="830" t="s">
        <v>82</v>
      </c>
      <c r="B804" s="982" t="s">
        <v>565</v>
      </c>
      <c r="C804" s="828"/>
      <c r="D804" s="828"/>
      <c r="E804" s="828"/>
      <c r="F804" s="882"/>
      <c r="G804" s="830" t="s">
        <v>82</v>
      </c>
      <c r="H804" s="982" t="s">
        <v>565</v>
      </c>
      <c r="I804" s="828"/>
      <c r="J804" s="828"/>
      <c r="K804" s="828"/>
      <c r="L804" s="818"/>
    </row>
    <row r="805" spans="1:12" s="31" customFormat="1" ht="17.25" customHeight="1">
      <c r="A805" s="830" t="s">
        <v>83</v>
      </c>
      <c r="B805" s="983" t="s">
        <v>566</v>
      </c>
      <c r="C805" s="828"/>
      <c r="D805" s="828"/>
      <c r="E805" s="823">
        <f>SUM(E804)</f>
        <v>0</v>
      </c>
      <c r="F805" s="976"/>
      <c r="G805" s="830" t="s">
        <v>83</v>
      </c>
      <c r="H805" s="983" t="s">
        <v>566</v>
      </c>
      <c r="I805" s="828"/>
      <c r="J805" s="828"/>
      <c r="K805" s="823">
        <f>SUM(K804)</f>
        <v>0</v>
      </c>
      <c r="L805" s="818"/>
    </row>
    <row r="806" spans="1:12" s="31" customFormat="1" ht="17.25" customHeight="1">
      <c r="A806" s="832" t="s">
        <v>84</v>
      </c>
      <c r="B806" s="984" t="s">
        <v>438</v>
      </c>
      <c r="C806" s="833"/>
      <c r="D806" s="833"/>
      <c r="E806" s="833" t="e">
        <f>(E794+E795+E796+E797+E798+E799+E800+E801+E802)-E805</f>
        <v>#REF!</v>
      </c>
      <c r="F806" s="976"/>
      <c r="G806" s="832" t="s">
        <v>84</v>
      </c>
      <c r="H806" s="984" t="s">
        <v>438</v>
      </c>
      <c r="I806" s="833"/>
      <c r="J806" s="833"/>
      <c r="K806" s="833" t="e">
        <f>(K794+K795+K796+K797+K798+K799+K800+K801+K802)-K805</f>
        <v>#REF!</v>
      </c>
      <c r="L806" s="835" t="e">
        <f>E806+K806</f>
        <v>#REF!</v>
      </c>
    </row>
    <row r="807" spans="1:12" s="31" customFormat="1" ht="17.25" customHeight="1">
      <c r="A807" s="870"/>
      <c r="B807" s="871"/>
      <c r="C807" s="872"/>
      <c r="D807" s="872"/>
      <c r="E807" s="872"/>
      <c r="F807" s="873"/>
      <c r="G807" s="972"/>
      <c r="H807" s="972"/>
      <c r="I807" s="972"/>
      <c r="J807" s="972"/>
      <c r="K807" s="874"/>
      <c r="L807" s="818"/>
    </row>
    <row r="808" spans="1:12" s="31" customFormat="1" ht="17.25" customHeight="1">
      <c r="A808" s="1616" t="str">
        <f>A791</f>
        <v>LƯƠNG THÁNG 01/2025</v>
      </c>
      <c r="B808" s="1616"/>
      <c r="C808" s="1616"/>
      <c r="D808" s="1616"/>
      <c r="E808" s="895" t="e">
        <f>VLOOKUP(B809,'CNKT '!#REF!,26,0)</f>
        <v>#REF!</v>
      </c>
      <c r="F808" s="873"/>
      <c r="G808" s="895" t="str">
        <f>A808</f>
        <v>LƯƠNG THÁNG 01/2025</v>
      </c>
      <c r="H808" s="895"/>
      <c r="I808" s="895"/>
      <c r="J808" s="895"/>
      <c r="K808" s="895" t="e">
        <f>VLOOKUP(H809,'CNKT '!#REF!,26,0)</f>
        <v>#REF!</v>
      </c>
      <c r="L808" s="818"/>
    </row>
    <row r="809" spans="1:12" s="31" customFormat="1" ht="17.25" customHeight="1">
      <c r="A809" s="837" t="s">
        <v>17</v>
      </c>
      <c r="B809" s="976" t="e">
        <f>'CNKT '!#REF!</f>
        <v>#REF!</v>
      </c>
      <c r="C809" s="822"/>
      <c r="D809" s="976" t="s">
        <v>398</v>
      </c>
      <c r="E809" s="976" t="s">
        <v>20</v>
      </c>
      <c r="F809" s="882"/>
      <c r="G809" s="837" t="s">
        <v>17</v>
      </c>
      <c r="H809" s="976" t="e">
        <f>'CNKT '!#REF!</f>
        <v>#REF!</v>
      </c>
      <c r="I809" s="822"/>
      <c r="J809" s="976" t="s">
        <v>398</v>
      </c>
      <c r="K809" s="976" t="s">
        <v>20</v>
      </c>
      <c r="L809" s="818"/>
    </row>
    <row r="810" spans="1:12" s="31" customFormat="1" ht="17.25" customHeight="1">
      <c r="A810" s="821" t="s">
        <v>399</v>
      </c>
      <c r="B810" s="978" t="s">
        <v>559</v>
      </c>
      <c r="C810" s="822" t="e">
        <f>VLOOKUP(B809,'BTH mủ tạp'!#REF!,36,0)</f>
        <v>#REF!</v>
      </c>
      <c r="D810" s="823"/>
      <c r="E810" s="823"/>
      <c r="F810" s="882"/>
      <c r="G810" s="821" t="s">
        <v>399</v>
      </c>
      <c r="H810" s="978" t="s">
        <v>559</v>
      </c>
      <c r="I810" s="822" t="e">
        <f>VLOOKUP(H809,'BTH mủ tạp'!#REF!,36,0)</f>
        <v>#REF!</v>
      </c>
      <c r="J810" s="823"/>
      <c r="K810" s="823"/>
      <c r="L810" s="818"/>
    </row>
    <row r="811" spans="1:12" s="31" customFormat="1" ht="17.25" customHeight="1">
      <c r="A811" s="821" t="s">
        <v>79</v>
      </c>
      <c r="B811" s="979" t="s">
        <v>432</v>
      </c>
      <c r="C811" s="824" t="e">
        <f>VLOOKUP(B809,'CNKT '!#REF!,3,0)</f>
        <v>#REF!</v>
      </c>
      <c r="D811" s="825">
        <v>25000</v>
      </c>
      <c r="E811" s="823" t="e">
        <f t="shared" ref="E811:E816" si="93">C811*D811</f>
        <v>#REF!</v>
      </c>
      <c r="F811" s="882"/>
      <c r="G811" s="821" t="s">
        <v>79</v>
      </c>
      <c r="H811" s="979" t="s">
        <v>432</v>
      </c>
      <c r="I811" s="824" t="e">
        <f>VLOOKUP(H809,'CNKT '!#REF!,3,0)</f>
        <v>#REF!</v>
      </c>
      <c r="J811" s="825">
        <v>25000</v>
      </c>
      <c r="K811" s="823" t="e">
        <f t="shared" ref="K811:K816" si="94">I811*J811</f>
        <v>#REF!</v>
      </c>
      <c r="L811" s="818"/>
    </row>
    <row r="812" spans="1:12" s="31" customFormat="1" ht="17.25" customHeight="1">
      <c r="A812" s="821" t="s">
        <v>310</v>
      </c>
      <c r="B812" s="980" t="s">
        <v>560</v>
      </c>
      <c r="C812" s="879" t="e">
        <f>VLOOKUP(B809,'CNKT '!#REF!,11,0)</f>
        <v>#REF!</v>
      </c>
      <c r="D812" s="826">
        <f>46.1*$B$2</f>
        <v>30805.403000000002</v>
      </c>
      <c r="E812" s="823" t="e">
        <f t="shared" si="93"/>
        <v>#REF!</v>
      </c>
      <c r="F812" s="882"/>
      <c r="G812" s="821" t="s">
        <v>310</v>
      </c>
      <c r="H812" s="980" t="s">
        <v>560</v>
      </c>
      <c r="I812" s="879" t="e">
        <f>VLOOKUP(H809,'CNKT '!#REF!,11,0)</f>
        <v>#REF!</v>
      </c>
      <c r="J812" s="826">
        <f>46.1*$B$2</f>
        <v>30805.403000000002</v>
      </c>
      <c r="K812" s="823" t="e">
        <f t="shared" si="94"/>
        <v>#REF!</v>
      </c>
      <c r="L812" s="818"/>
    </row>
    <row r="813" spans="1:12" s="31" customFormat="1" ht="17.25" customHeight="1">
      <c r="A813" s="821" t="s">
        <v>401</v>
      </c>
      <c r="B813" s="980" t="s">
        <v>561</v>
      </c>
      <c r="C813" s="879" t="e">
        <f>VLOOKUP(B809,'CNKT '!#REF!,12,0)</f>
        <v>#REF!</v>
      </c>
      <c r="D813" s="825">
        <f>76.9*$B$2</f>
        <v>51386.887000000002</v>
      </c>
      <c r="E813" s="823" t="e">
        <f t="shared" si="93"/>
        <v>#REF!</v>
      </c>
      <c r="F813" s="882"/>
      <c r="G813" s="821" t="s">
        <v>401</v>
      </c>
      <c r="H813" s="980" t="s">
        <v>561</v>
      </c>
      <c r="I813" s="879" t="e">
        <f>VLOOKUP(H809,'CNKT '!#REF!,12,0)</f>
        <v>#REF!</v>
      </c>
      <c r="J813" s="825">
        <f>76.9*$B$2</f>
        <v>51386.887000000002</v>
      </c>
      <c r="K813" s="823" t="e">
        <f t="shared" si="94"/>
        <v>#REF!</v>
      </c>
      <c r="L813" s="818"/>
    </row>
    <row r="814" spans="1:12" s="31" customFormat="1" ht="17.25" customHeight="1">
      <c r="A814" s="821" t="s">
        <v>80</v>
      </c>
      <c r="B814" s="980" t="s">
        <v>562</v>
      </c>
      <c r="C814" s="879" t="e">
        <f>VLOOKUP(B809,'CNKT '!#REF!,8,0)</f>
        <v>#REF!</v>
      </c>
      <c r="D814" s="825" t="e">
        <f>IF(C810="A",6.1,IF(C810="B",5.8,IF(C810="C",5.5,IF(C810="C.",5.5,IF(C810="D",5.2)))))*$B$2</f>
        <v>#REF!</v>
      </c>
      <c r="E814" s="823" t="e">
        <f t="shared" si="93"/>
        <v>#REF!</v>
      </c>
      <c r="F814" s="882"/>
      <c r="G814" s="821" t="s">
        <v>80</v>
      </c>
      <c r="H814" s="980" t="s">
        <v>562</v>
      </c>
      <c r="I814" s="879" t="e">
        <f>VLOOKUP(H809,'CNKT '!#REF!,8,0)</f>
        <v>#REF!</v>
      </c>
      <c r="J814" s="825" t="e">
        <f>IF(I810="A",6.1,IF(I810="B",5.8,IF(I810="C",5.5,IF(I810="C.",5.5,IF(I810="D",5.2)))))*$B$2</f>
        <v>#REF!</v>
      </c>
      <c r="K814" s="823" t="e">
        <f t="shared" si="94"/>
        <v>#REF!</v>
      </c>
      <c r="L814" s="818"/>
    </row>
    <row r="815" spans="1:12" s="31" customFormat="1" ht="17.25" customHeight="1">
      <c r="A815" s="821" t="s">
        <v>495</v>
      </c>
      <c r="B815" s="980" t="s">
        <v>563</v>
      </c>
      <c r="C815" s="879" t="e">
        <f>VLOOKUP(B809,'CNKT '!#REF!,15,0)</f>
        <v>#REF!</v>
      </c>
      <c r="D815" s="826">
        <f>92.2*$B$2</f>
        <v>61610.806000000004</v>
      </c>
      <c r="E815" s="823" t="e">
        <f t="shared" si="93"/>
        <v>#REF!</v>
      </c>
      <c r="F815" s="882"/>
      <c r="G815" s="821" t="s">
        <v>495</v>
      </c>
      <c r="H815" s="980" t="s">
        <v>563</v>
      </c>
      <c r="I815" s="879" t="e">
        <f>VLOOKUP(H809,'CNKT '!#REF!,15,0)</f>
        <v>#REF!</v>
      </c>
      <c r="J815" s="826">
        <f>92.2*$B$2</f>
        <v>61610.806000000004</v>
      </c>
      <c r="K815" s="823" t="e">
        <f t="shared" si="94"/>
        <v>#REF!</v>
      </c>
      <c r="L815" s="818"/>
    </row>
    <row r="816" spans="1:12" s="31" customFormat="1" ht="17.25" customHeight="1">
      <c r="A816" s="821" t="s">
        <v>496</v>
      </c>
      <c r="B816" s="980" t="s">
        <v>500</v>
      </c>
      <c r="C816" s="879" t="e">
        <f>VLOOKUP(B809,'CNKT '!#REF!,16,0)</f>
        <v>#REF!</v>
      </c>
      <c r="D816" s="825">
        <f>153.8*$B$2</f>
        <v>102773.774</v>
      </c>
      <c r="E816" s="823" t="e">
        <f t="shared" si="93"/>
        <v>#REF!</v>
      </c>
      <c r="F816" s="882"/>
      <c r="G816" s="821" t="s">
        <v>496</v>
      </c>
      <c r="H816" s="980" t="s">
        <v>500</v>
      </c>
      <c r="I816" s="879" t="e">
        <f>VLOOKUP(H809,'CNKT '!#REF!,16,0)</f>
        <v>#REF!</v>
      </c>
      <c r="J816" s="825">
        <f>153.8*$B$2</f>
        <v>102773.774</v>
      </c>
      <c r="K816" s="823" t="e">
        <f t="shared" si="94"/>
        <v>#REF!</v>
      </c>
      <c r="L816" s="818"/>
    </row>
    <row r="817" spans="1:12" s="31" customFormat="1" ht="17.25" customHeight="1">
      <c r="A817" s="821" t="s">
        <v>455</v>
      </c>
      <c r="B817" s="980" t="s">
        <v>501</v>
      </c>
      <c r="C817" s="879" t="e">
        <f>VLOOKUP(B809,'CNKT '!#REF!,18,0)</f>
        <v>#REF!</v>
      </c>
      <c r="D817" s="825">
        <v>10000</v>
      </c>
      <c r="E817" s="823" t="e">
        <f>C817*D817</f>
        <v>#REF!</v>
      </c>
      <c r="F817" s="882"/>
      <c r="G817" s="821" t="s">
        <v>455</v>
      </c>
      <c r="H817" s="980" t="s">
        <v>501</v>
      </c>
      <c r="I817" s="879" t="e">
        <f>VLOOKUP(H809,'CNKT '!#REF!,18,0)</f>
        <v>#REF!</v>
      </c>
      <c r="J817" s="825">
        <v>10000</v>
      </c>
      <c r="K817" s="823" t="e">
        <f>I817*J817</f>
        <v>#REF!</v>
      </c>
      <c r="L817" s="818"/>
    </row>
    <row r="818" spans="1:12" s="31" customFormat="1" ht="17.25" customHeight="1">
      <c r="A818" s="821" t="s">
        <v>455</v>
      </c>
      <c r="B818" s="980" t="s">
        <v>501</v>
      </c>
      <c r="C818" s="879" t="e">
        <f>VLOOKUP(B809,'CNKT '!#REF!,19,0)</f>
        <v>#REF!</v>
      </c>
      <c r="D818" s="825">
        <v>20000</v>
      </c>
      <c r="E818" s="823" t="e">
        <f>C818*D818</f>
        <v>#REF!</v>
      </c>
      <c r="F818" s="882"/>
      <c r="G818" s="821" t="s">
        <v>455</v>
      </c>
      <c r="H818" s="980" t="s">
        <v>501</v>
      </c>
      <c r="I818" s="879" t="e">
        <f>VLOOKUP(H809,'CNKT '!#REF!,19,0)</f>
        <v>#REF!</v>
      </c>
      <c r="J818" s="825">
        <v>20000</v>
      </c>
      <c r="K818" s="823" t="e">
        <f>I818*J818</f>
        <v>#REF!</v>
      </c>
      <c r="L818" s="818"/>
    </row>
    <row r="819" spans="1:12" s="31" customFormat="1" ht="17.25" customHeight="1">
      <c r="A819" s="821" t="s">
        <v>517</v>
      </c>
      <c r="B819" s="980" t="s">
        <v>519</v>
      </c>
      <c r="C819" s="879"/>
      <c r="D819" s="825"/>
      <c r="E819" s="823"/>
      <c r="F819" s="882"/>
      <c r="G819" s="821" t="s">
        <v>517</v>
      </c>
      <c r="H819" s="980" t="s">
        <v>519</v>
      </c>
      <c r="I819" s="879"/>
      <c r="J819" s="825"/>
      <c r="K819" s="823"/>
      <c r="L819" s="818"/>
    </row>
    <row r="820" spans="1:12" s="31" customFormat="1" ht="17.25" customHeight="1">
      <c r="A820" s="827" t="s">
        <v>81</v>
      </c>
      <c r="B820" s="981" t="s">
        <v>564</v>
      </c>
      <c r="C820" s="828"/>
      <c r="D820" s="829"/>
      <c r="E820" s="828"/>
      <c r="F820" s="882"/>
      <c r="G820" s="827" t="s">
        <v>81</v>
      </c>
      <c r="H820" s="981" t="s">
        <v>564</v>
      </c>
      <c r="I820" s="828"/>
      <c r="J820" s="829"/>
      <c r="K820" s="828"/>
      <c r="L820" s="818"/>
    </row>
    <row r="821" spans="1:12" s="31" customFormat="1" ht="17.25" customHeight="1">
      <c r="A821" s="830" t="s">
        <v>82</v>
      </c>
      <c r="B821" s="982" t="s">
        <v>565</v>
      </c>
      <c r="C821" s="828"/>
      <c r="D821" s="828"/>
      <c r="E821" s="828"/>
      <c r="F821" s="882"/>
      <c r="G821" s="830" t="s">
        <v>82</v>
      </c>
      <c r="H821" s="982" t="s">
        <v>565</v>
      </c>
      <c r="I821" s="828"/>
      <c r="J821" s="828"/>
      <c r="K821" s="828"/>
      <c r="L821" s="818"/>
    </row>
    <row r="822" spans="1:12" s="31" customFormat="1" ht="17.25" customHeight="1">
      <c r="A822" s="830" t="s">
        <v>83</v>
      </c>
      <c r="B822" s="983" t="s">
        <v>566</v>
      </c>
      <c r="C822" s="828"/>
      <c r="D822" s="828"/>
      <c r="E822" s="823">
        <f>SUM(E821)</f>
        <v>0</v>
      </c>
      <c r="F822" s="882"/>
      <c r="G822" s="830" t="s">
        <v>83</v>
      </c>
      <c r="H822" s="983" t="s">
        <v>566</v>
      </c>
      <c r="I822" s="828"/>
      <c r="J822" s="828"/>
      <c r="K822" s="823">
        <f>SUM(K821)</f>
        <v>0</v>
      </c>
      <c r="L822" s="835">
        <f>K822+E822</f>
        <v>0</v>
      </c>
    </row>
    <row r="823" spans="1:12" s="31" customFormat="1" ht="17.25" customHeight="1">
      <c r="A823" s="832" t="s">
        <v>84</v>
      </c>
      <c r="B823" s="984" t="s">
        <v>438</v>
      </c>
      <c r="C823" s="833"/>
      <c r="D823" s="833"/>
      <c r="E823" s="833" t="e">
        <f>(E811+E812+E813+E814+E815+E816+E817+E818+E819)-E822</f>
        <v>#REF!</v>
      </c>
      <c r="F823" s="873"/>
      <c r="G823" s="832" t="s">
        <v>84</v>
      </c>
      <c r="H823" s="984" t="s">
        <v>438</v>
      </c>
      <c r="I823" s="833"/>
      <c r="J823" s="833"/>
      <c r="K823" s="833" t="e">
        <f>(K811+K812+K813+K814+K815+K816+K817+K818+K819)-K822</f>
        <v>#REF!</v>
      </c>
      <c r="L823" s="835" t="e">
        <f>E823+K823</f>
        <v>#REF!</v>
      </c>
    </row>
    <row r="824" spans="1:12" s="31" customFormat="1" ht="17.25" customHeight="1">
      <c r="A824" s="895" t="str">
        <f>A808</f>
        <v>LƯƠNG THÁNG 01/2025</v>
      </c>
      <c r="B824" s="895"/>
      <c r="C824" s="895"/>
      <c r="D824" s="895"/>
      <c r="E824" s="895" t="e">
        <f>VLOOKUP(B825,'CNKT '!#REF!,26,0)</f>
        <v>#REF!</v>
      </c>
      <c r="F824" s="873"/>
      <c r="G824" s="895" t="str">
        <f>A824</f>
        <v>LƯƠNG THÁNG 01/2025</v>
      </c>
      <c r="H824" s="895"/>
      <c r="I824" s="895"/>
      <c r="J824" s="895"/>
      <c r="K824" s="895" t="e">
        <f>VLOOKUP(H825,'CNKT '!#REF!,26,0)</f>
        <v>#REF!</v>
      </c>
      <c r="L824" s="818"/>
    </row>
    <row r="825" spans="1:12" s="31" customFormat="1" ht="17.25" customHeight="1">
      <c r="A825" s="837" t="s">
        <v>17</v>
      </c>
      <c r="B825" s="976" t="e">
        <f>'CNKT '!#REF!</f>
        <v>#REF!</v>
      </c>
      <c r="C825" s="822"/>
      <c r="D825" s="976" t="s">
        <v>398</v>
      </c>
      <c r="E825" s="976" t="s">
        <v>20</v>
      </c>
      <c r="F825" s="882"/>
      <c r="G825" s="837" t="s">
        <v>17</v>
      </c>
      <c r="H825" s="976" t="e">
        <f>'CNKT '!#REF!</f>
        <v>#REF!</v>
      </c>
      <c r="I825" s="822"/>
      <c r="J825" s="976" t="s">
        <v>398</v>
      </c>
      <c r="K825" s="976" t="s">
        <v>20</v>
      </c>
      <c r="L825" s="818"/>
    </row>
    <row r="826" spans="1:12" s="31" customFormat="1" ht="17.25" customHeight="1">
      <c r="A826" s="821" t="s">
        <v>399</v>
      </c>
      <c r="B826" s="978" t="s">
        <v>559</v>
      </c>
      <c r="C826" s="822" t="e">
        <f>VLOOKUP(B825,'BTH mủ tạp'!#REF!,36,0)</f>
        <v>#REF!</v>
      </c>
      <c r="D826" s="823"/>
      <c r="E826" s="823"/>
      <c r="F826" s="882"/>
      <c r="G826" s="821" t="s">
        <v>399</v>
      </c>
      <c r="H826" s="978" t="s">
        <v>559</v>
      </c>
      <c r="I826" s="822" t="e">
        <f>VLOOKUP(H825,'BTH mủ tạp'!#REF!,36,0)</f>
        <v>#REF!</v>
      </c>
      <c r="J826" s="823"/>
      <c r="K826" s="823"/>
      <c r="L826" s="818"/>
    </row>
    <row r="827" spans="1:12" s="31" customFormat="1" ht="17.25" customHeight="1">
      <c r="A827" s="821" t="s">
        <v>79</v>
      </c>
      <c r="B827" s="979" t="s">
        <v>432</v>
      </c>
      <c r="C827" s="824" t="e">
        <f>VLOOKUP(B825,'CNKT '!#REF!,3,0)</f>
        <v>#REF!</v>
      </c>
      <c r="D827" s="825">
        <v>25000</v>
      </c>
      <c r="E827" s="823" t="e">
        <f t="shared" ref="E827:E832" si="95">C827*D827</f>
        <v>#REF!</v>
      </c>
      <c r="F827" s="882"/>
      <c r="G827" s="821" t="s">
        <v>79</v>
      </c>
      <c r="H827" s="979" t="s">
        <v>432</v>
      </c>
      <c r="I827" s="824" t="e">
        <f>VLOOKUP(H825,'CNKT '!#REF!,3,0)</f>
        <v>#REF!</v>
      </c>
      <c r="J827" s="825">
        <v>25000</v>
      </c>
      <c r="K827" s="823" t="e">
        <f t="shared" ref="K827:K832" si="96">I827*J827</f>
        <v>#REF!</v>
      </c>
      <c r="L827" s="818"/>
    </row>
    <row r="828" spans="1:12" s="31" customFormat="1" ht="17.25" customHeight="1">
      <c r="A828" s="821" t="s">
        <v>310</v>
      </c>
      <c r="B828" s="980" t="s">
        <v>560</v>
      </c>
      <c r="C828" s="879" t="e">
        <f>VLOOKUP(B825,'CNKT '!#REF!,11,0)</f>
        <v>#REF!</v>
      </c>
      <c r="D828" s="826">
        <f>46.1*$B$2</f>
        <v>30805.403000000002</v>
      </c>
      <c r="E828" s="823" t="e">
        <f t="shared" si="95"/>
        <v>#REF!</v>
      </c>
      <c r="F828" s="882"/>
      <c r="G828" s="821" t="s">
        <v>310</v>
      </c>
      <c r="H828" s="980" t="s">
        <v>560</v>
      </c>
      <c r="I828" s="879" t="e">
        <f>VLOOKUP(H825,'CNKT '!#REF!,11,0)</f>
        <v>#REF!</v>
      </c>
      <c r="J828" s="826">
        <f>46.1*$B$2</f>
        <v>30805.403000000002</v>
      </c>
      <c r="K828" s="823" t="e">
        <f t="shared" si="96"/>
        <v>#REF!</v>
      </c>
      <c r="L828" s="818"/>
    </row>
    <row r="829" spans="1:12" s="31" customFormat="1" ht="17.25" customHeight="1">
      <c r="A829" s="821" t="s">
        <v>401</v>
      </c>
      <c r="B829" s="980" t="s">
        <v>561</v>
      </c>
      <c r="C829" s="879" t="e">
        <f>VLOOKUP(B825,'CNKT '!#REF!,12,0)</f>
        <v>#REF!</v>
      </c>
      <c r="D829" s="825">
        <f>76.9*$B$2</f>
        <v>51386.887000000002</v>
      </c>
      <c r="E829" s="823" t="e">
        <f t="shared" si="95"/>
        <v>#REF!</v>
      </c>
      <c r="F829" s="882"/>
      <c r="G829" s="821" t="s">
        <v>401</v>
      </c>
      <c r="H829" s="980" t="s">
        <v>561</v>
      </c>
      <c r="I829" s="879" t="e">
        <f>VLOOKUP(H825,'CNKT '!#REF!,12,0)</f>
        <v>#REF!</v>
      </c>
      <c r="J829" s="825">
        <f>76.9*$B$2</f>
        <v>51386.887000000002</v>
      </c>
      <c r="K829" s="823" t="e">
        <f t="shared" si="96"/>
        <v>#REF!</v>
      </c>
      <c r="L829" s="818"/>
    </row>
    <row r="830" spans="1:12" s="31" customFormat="1" ht="17.25" customHeight="1">
      <c r="A830" s="821" t="s">
        <v>80</v>
      </c>
      <c r="B830" s="980" t="s">
        <v>562</v>
      </c>
      <c r="C830" s="879" t="e">
        <f>VLOOKUP(B825,'CNKT '!#REF!,8,0)</f>
        <v>#REF!</v>
      </c>
      <c r="D830" s="825" t="e">
        <f>IF(C826="A",6.1,IF(C826="B",5.8,IF(C826="C",5.5,IF(C826="C.",5.5,IF(C826="D",5.2)))))*$B$2</f>
        <v>#REF!</v>
      </c>
      <c r="E830" s="823" t="e">
        <f t="shared" si="95"/>
        <v>#REF!</v>
      </c>
      <c r="F830" s="882"/>
      <c r="G830" s="821" t="s">
        <v>80</v>
      </c>
      <c r="H830" s="980" t="s">
        <v>562</v>
      </c>
      <c r="I830" s="879" t="e">
        <f>VLOOKUP(H825,'CNKT '!#REF!,8,0)</f>
        <v>#REF!</v>
      </c>
      <c r="J830" s="825" t="e">
        <f>IF(I826="A",6.1,IF(I826="B",5.8,IF(I826="C",5.5,IF(I826="C.",5.5,IF(I826="D",5.2)))))*$B$2</f>
        <v>#REF!</v>
      </c>
      <c r="K830" s="823" t="e">
        <f t="shared" si="96"/>
        <v>#REF!</v>
      </c>
      <c r="L830" s="818"/>
    </row>
    <row r="831" spans="1:12" s="31" customFormat="1" ht="17.25" customHeight="1">
      <c r="A831" s="821" t="s">
        <v>495</v>
      </c>
      <c r="B831" s="980" t="s">
        <v>563</v>
      </c>
      <c r="C831" s="879" t="e">
        <f>VLOOKUP(B825,'CNKT '!#REF!,15,0)</f>
        <v>#REF!</v>
      </c>
      <c r="D831" s="826">
        <f>92.2*$B$2</f>
        <v>61610.806000000004</v>
      </c>
      <c r="E831" s="823" t="e">
        <f t="shared" si="95"/>
        <v>#REF!</v>
      </c>
      <c r="F831" s="882"/>
      <c r="G831" s="821" t="s">
        <v>495</v>
      </c>
      <c r="H831" s="980" t="s">
        <v>563</v>
      </c>
      <c r="I831" s="879" t="e">
        <f>VLOOKUP(H825,'CNKT '!#REF!,15,0)</f>
        <v>#REF!</v>
      </c>
      <c r="J831" s="826">
        <f>92.2*$B$2</f>
        <v>61610.806000000004</v>
      </c>
      <c r="K831" s="823" t="e">
        <f t="shared" si="96"/>
        <v>#REF!</v>
      </c>
      <c r="L831" s="818"/>
    </row>
    <row r="832" spans="1:12" s="31" customFormat="1" ht="17.25" customHeight="1">
      <c r="A832" s="821" t="s">
        <v>496</v>
      </c>
      <c r="B832" s="980" t="s">
        <v>500</v>
      </c>
      <c r="C832" s="879" t="e">
        <f>VLOOKUP(B825,'CNKT '!#REF!,16,0)</f>
        <v>#REF!</v>
      </c>
      <c r="D832" s="825">
        <f>153.8*$B$2</f>
        <v>102773.774</v>
      </c>
      <c r="E832" s="823" t="e">
        <f t="shared" si="95"/>
        <v>#REF!</v>
      </c>
      <c r="F832" s="882"/>
      <c r="G832" s="821" t="s">
        <v>496</v>
      </c>
      <c r="H832" s="980" t="s">
        <v>500</v>
      </c>
      <c r="I832" s="879" t="e">
        <f>VLOOKUP(H825,'CNKT '!#REF!,16,0)</f>
        <v>#REF!</v>
      </c>
      <c r="J832" s="825">
        <f>153.8*$B$2</f>
        <v>102773.774</v>
      </c>
      <c r="K832" s="823" t="e">
        <f t="shared" si="96"/>
        <v>#REF!</v>
      </c>
      <c r="L832" s="818"/>
    </row>
    <row r="833" spans="1:12" s="31" customFormat="1" ht="17.25" customHeight="1">
      <c r="A833" s="821" t="s">
        <v>455</v>
      </c>
      <c r="B833" s="980" t="s">
        <v>501</v>
      </c>
      <c r="C833" s="879" t="e">
        <f>VLOOKUP(B825,'CNKT '!#REF!,18,0)</f>
        <v>#REF!</v>
      </c>
      <c r="D833" s="825">
        <v>10000</v>
      </c>
      <c r="E833" s="823" t="e">
        <f>C833*D833</f>
        <v>#REF!</v>
      </c>
      <c r="F833" s="882"/>
      <c r="G833" s="821" t="s">
        <v>455</v>
      </c>
      <c r="H833" s="980" t="s">
        <v>501</v>
      </c>
      <c r="I833" s="879" t="e">
        <f>VLOOKUP(H825,'CNKT '!#REF!,18,0)</f>
        <v>#REF!</v>
      </c>
      <c r="J833" s="825">
        <v>10000</v>
      </c>
      <c r="K833" s="823" t="e">
        <f>I833*J833</f>
        <v>#REF!</v>
      </c>
      <c r="L833" s="818"/>
    </row>
    <row r="834" spans="1:12" s="31" customFormat="1" ht="17.25" customHeight="1">
      <c r="A834" s="821" t="s">
        <v>455</v>
      </c>
      <c r="B834" s="980" t="s">
        <v>501</v>
      </c>
      <c r="C834" s="879" t="e">
        <f>VLOOKUP(B825,'CNKT '!#REF!,19,0)</f>
        <v>#REF!</v>
      </c>
      <c r="D834" s="825">
        <v>20000</v>
      </c>
      <c r="E834" s="823" t="e">
        <f>C834*D834</f>
        <v>#REF!</v>
      </c>
      <c r="F834" s="882"/>
      <c r="G834" s="821" t="s">
        <v>455</v>
      </c>
      <c r="H834" s="980" t="s">
        <v>501</v>
      </c>
      <c r="I834" s="879" t="e">
        <f>VLOOKUP(H825,'CNKT '!#REF!,19,0)</f>
        <v>#REF!</v>
      </c>
      <c r="J834" s="825">
        <v>20000</v>
      </c>
      <c r="K834" s="823" t="e">
        <f>I834*J834</f>
        <v>#REF!</v>
      </c>
      <c r="L834" s="818"/>
    </row>
    <row r="835" spans="1:12" s="31" customFormat="1" ht="17.25" customHeight="1">
      <c r="A835" s="821" t="s">
        <v>517</v>
      </c>
      <c r="B835" s="980" t="s">
        <v>519</v>
      </c>
      <c r="C835" s="879"/>
      <c r="D835" s="825"/>
      <c r="E835" s="823"/>
      <c r="F835" s="882"/>
      <c r="G835" s="821" t="s">
        <v>517</v>
      </c>
      <c r="H835" s="980" t="s">
        <v>519</v>
      </c>
      <c r="I835" s="879"/>
      <c r="J835" s="825"/>
      <c r="K835" s="823"/>
      <c r="L835" s="818"/>
    </row>
    <row r="836" spans="1:12" s="31" customFormat="1" ht="17.25" customHeight="1">
      <c r="A836" s="827" t="s">
        <v>81</v>
      </c>
      <c r="B836" s="981" t="s">
        <v>564</v>
      </c>
      <c r="C836" s="828"/>
      <c r="D836" s="829"/>
      <c r="E836" s="828"/>
      <c r="F836" s="882"/>
      <c r="G836" s="827" t="s">
        <v>81</v>
      </c>
      <c r="H836" s="981" t="s">
        <v>564</v>
      </c>
      <c r="I836" s="828"/>
      <c r="J836" s="829"/>
      <c r="K836" s="828"/>
      <c r="L836" s="818"/>
    </row>
    <row r="837" spans="1:12" s="31" customFormat="1" ht="17.25" customHeight="1">
      <c r="A837" s="830" t="s">
        <v>82</v>
      </c>
      <c r="B837" s="982" t="s">
        <v>565</v>
      </c>
      <c r="C837" s="828"/>
      <c r="D837" s="828"/>
      <c r="E837" s="828"/>
      <c r="F837" s="882"/>
      <c r="G837" s="830" t="s">
        <v>82</v>
      </c>
      <c r="H837" s="982" t="s">
        <v>565</v>
      </c>
      <c r="I837" s="828"/>
      <c r="J837" s="828"/>
      <c r="K837" s="828"/>
      <c r="L837" s="818"/>
    </row>
    <row r="838" spans="1:12" s="31" customFormat="1" ht="17.25" customHeight="1">
      <c r="A838" s="830" t="s">
        <v>83</v>
      </c>
      <c r="B838" s="983" t="s">
        <v>566</v>
      </c>
      <c r="C838" s="828"/>
      <c r="D838" s="828"/>
      <c r="E838" s="823">
        <f>SUM(E837)</f>
        <v>0</v>
      </c>
      <c r="F838" s="976"/>
      <c r="G838" s="830" t="s">
        <v>83</v>
      </c>
      <c r="H838" s="983" t="s">
        <v>566</v>
      </c>
      <c r="I838" s="828"/>
      <c r="J838" s="828"/>
      <c r="K838" s="823">
        <f>SUM(K837)</f>
        <v>0</v>
      </c>
      <c r="L838" s="818"/>
    </row>
    <row r="839" spans="1:12" s="31" customFormat="1" ht="17.25" customHeight="1">
      <c r="A839" s="832" t="s">
        <v>84</v>
      </c>
      <c r="B839" s="984" t="s">
        <v>438</v>
      </c>
      <c r="C839" s="833"/>
      <c r="D839" s="833"/>
      <c r="E839" s="833" t="e">
        <f>(E827+E828+E829+E830+E831+E832+E833+E834+E835)-E838</f>
        <v>#REF!</v>
      </c>
      <c r="F839" s="882"/>
      <c r="G839" s="832" t="s">
        <v>84</v>
      </c>
      <c r="H839" s="984" t="s">
        <v>438</v>
      </c>
      <c r="I839" s="833"/>
      <c r="J839" s="833"/>
      <c r="K839" s="833" t="e">
        <f>(K827+K828+K829+K830+K831+K832+K833+K834+K835)-K838</f>
        <v>#REF!</v>
      </c>
      <c r="L839" s="835" t="e">
        <f>E839+K839</f>
        <v>#REF!</v>
      </c>
    </row>
    <row r="840" spans="1:12" s="31" customFormat="1" ht="17.25" customHeight="1">
      <c r="A840" s="870"/>
      <c r="B840" s="871"/>
      <c r="C840" s="872"/>
      <c r="D840" s="872"/>
      <c r="E840" s="872"/>
      <c r="F840" s="873"/>
      <c r="G840" s="972"/>
      <c r="H840" s="972"/>
      <c r="I840" s="972"/>
      <c r="J840" s="972"/>
      <c r="K840" s="874"/>
      <c r="L840" s="818"/>
    </row>
    <row r="841" spans="1:12" s="31" customFormat="1" ht="17.25" customHeight="1">
      <c r="A841" s="895" t="str">
        <f>A824</f>
        <v>LƯƠNG THÁNG 01/2025</v>
      </c>
      <c r="B841" s="895"/>
      <c r="C841" s="895"/>
      <c r="D841" s="895"/>
      <c r="E841" s="895" t="e">
        <f>VLOOKUP(B842,'CNKT '!#REF!,26,0)</f>
        <v>#REF!</v>
      </c>
      <c r="F841" s="873"/>
      <c r="G841" s="895" t="str">
        <f>A841</f>
        <v>LƯƠNG THÁNG 01/2025</v>
      </c>
      <c r="H841" s="895"/>
      <c r="I841" s="895"/>
      <c r="J841" s="895"/>
      <c r="K841" s="895" t="e">
        <f>VLOOKUP(H842,'CNKT '!#REF!,26,0)</f>
        <v>#REF!</v>
      </c>
      <c r="L841" s="818"/>
    </row>
    <row r="842" spans="1:12" s="31" customFormat="1" ht="17.25" customHeight="1">
      <c r="A842" s="837" t="s">
        <v>17</v>
      </c>
      <c r="B842" s="976" t="e">
        <f>'CNKT '!#REF!</f>
        <v>#REF!</v>
      </c>
      <c r="C842" s="822"/>
      <c r="D842" s="976" t="s">
        <v>398</v>
      </c>
      <c r="E842" s="976" t="s">
        <v>20</v>
      </c>
      <c r="F842" s="882"/>
      <c r="G842" s="837" t="s">
        <v>17</v>
      </c>
      <c r="H842" s="976" t="e">
        <f>'CNKT '!#REF!</f>
        <v>#REF!</v>
      </c>
      <c r="I842" s="822"/>
      <c r="J842" s="976" t="s">
        <v>398</v>
      </c>
      <c r="K842" s="976" t="s">
        <v>20</v>
      </c>
      <c r="L842" s="818"/>
    </row>
    <row r="843" spans="1:12" s="31" customFormat="1" ht="17.25" customHeight="1">
      <c r="A843" s="821" t="s">
        <v>399</v>
      </c>
      <c r="B843" s="978" t="s">
        <v>559</v>
      </c>
      <c r="C843" s="822" t="e">
        <f>VLOOKUP(B842,'BTH mủ tạp'!#REF!,36,0)</f>
        <v>#REF!</v>
      </c>
      <c r="D843" s="823"/>
      <c r="E843" s="823"/>
      <c r="F843" s="882"/>
      <c r="G843" s="821" t="s">
        <v>399</v>
      </c>
      <c r="H843" s="978" t="s">
        <v>559</v>
      </c>
      <c r="I843" s="822" t="e">
        <f>VLOOKUP(H842,'BTH mủ tạp'!#REF!,36,0)</f>
        <v>#REF!</v>
      </c>
      <c r="J843" s="823"/>
      <c r="K843" s="823"/>
      <c r="L843" s="818"/>
    </row>
    <row r="844" spans="1:12" s="31" customFormat="1" ht="17.25" customHeight="1">
      <c r="A844" s="821" t="s">
        <v>79</v>
      </c>
      <c r="B844" s="979" t="s">
        <v>432</v>
      </c>
      <c r="C844" s="824" t="e">
        <f>VLOOKUP(B842,'CNKT '!#REF!,3,0)</f>
        <v>#REF!</v>
      </c>
      <c r="D844" s="825">
        <v>25000</v>
      </c>
      <c r="E844" s="823" t="e">
        <f t="shared" ref="E844:E849" si="97">C844*D844</f>
        <v>#REF!</v>
      </c>
      <c r="F844" s="882"/>
      <c r="G844" s="821" t="s">
        <v>79</v>
      </c>
      <c r="H844" s="979" t="s">
        <v>432</v>
      </c>
      <c r="I844" s="824" t="e">
        <f>VLOOKUP(H842,'CNKT '!#REF!,3,0)</f>
        <v>#REF!</v>
      </c>
      <c r="J844" s="825">
        <v>25000</v>
      </c>
      <c r="K844" s="823" t="e">
        <f t="shared" ref="K844:K849" si="98">I844*J844</f>
        <v>#REF!</v>
      </c>
      <c r="L844" s="818"/>
    </row>
    <row r="845" spans="1:12" s="31" customFormat="1" ht="17.25" customHeight="1">
      <c r="A845" s="821" t="s">
        <v>310</v>
      </c>
      <c r="B845" s="980" t="s">
        <v>560</v>
      </c>
      <c r="C845" s="879" t="e">
        <f>VLOOKUP(B842,'CNKT '!#REF!,11,0)</f>
        <v>#REF!</v>
      </c>
      <c r="D845" s="826">
        <f>46.1*$B$2</f>
        <v>30805.403000000002</v>
      </c>
      <c r="E845" s="823" t="e">
        <f t="shared" si="97"/>
        <v>#REF!</v>
      </c>
      <c r="F845" s="882"/>
      <c r="G845" s="821" t="s">
        <v>310</v>
      </c>
      <c r="H845" s="980" t="s">
        <v>560</v>
      </c>
      <c r="I845" s="879" t="e">
        <f>VLOOKUP(H842,'CNKT '!#REF!,11,0)</f>
        <v>#REF!</v>
      </c>
      <c r="J845" s="826">
        <f>46.1*$B$2</f>
        <v>30805.403000000002</v>
      </c>
      <c r="K845" s="823" t="e">
        <f t="shared" si="98"/>
        <v>#REF!</v>
      </c>
      <c r="L845" s="818"/>
    </row>
    <row r="846" spans="1:12" s="31" customFormat="1" ht="17.25" customHeight="1">
      <c r="A846" s="821" t="s">
        <v>401</v>
      </c>
      <c r="B846" s="980" t="s">
        <v>561</v>
      </c>
      <c r="C846" s="879" t="e">
        <f>VLOOKUP(B842,'CNKT '!#REF!,12,0)</f>
        <v>#REF!</v>
      </c>
      <c r="D846" s="825">
        <f>76.9*$B$2</f>
        <v>51386.887000000002</v>
      </c>
      <c r="E846" s="823" t="e">
        <f t="shared" si="97"/>
        <v>#REF!</v>
      </c>
      <c r="F846" s="882"/>
      <c r="G846" s="821" t="s">
        <v>401</v>
      </c>
      <c r="H846" s="980" t="s">
        <v>561</v>
      </c>
      <c r="I846" s="879" t="e">
        <f>VLOOKUP(H842,'CNKT '!#REF!,12,0)</f>
        <v>#REF!</v>
      </c>
      <c r="J846" s="825">
        <f>76.9*$B$2</f>
        <v>51386.887000000002</v>
      </c>
      <c r="K846" s="823" t="e">
        <f t="shared" si="98"/>
        <v>#REF!</v>
      </c>
      <c r="L846" s="818"/>
    </row>
    <row r="847" spans="1:12" s="31" customFormat="1" ht="17.25" customHeight="1">
      <c r="A847" s="821" t="s">
        <v>80</v>
      </c>
      <c r="B847" s="980" t="s">
        <v>562</v>
      </c>
      <c r="C847" s="879" t="e">
        <f>VLOOKUP(B842,'CNKT '!#REF!,8,0)</f>
        <v>#REF!</v>
      </c>
      <c r="D847" s="825" t="e">
        <f>IF(C843="A",6.1,IF(C843="B",5.8,IF(C843="C",5.5,IF(C843="C.",5.5,IF(C843="D",5.2)))))*$B$2</f>
        <v>#REF!</v>
      </c>
      <c r="E847" s="823" t="e">
        <f t="shared" si="97"/>
        <v>#REF!</v>
      </c>
      <c r="F847" s="882"/>
      <c r="G847" s="821" t="s">
        <v>80</v>
      </c>
      <c r="H847" s="980" t="s">
        <v>562</v>
      </c>
      <c r="I847" s="879" t="e">
        <f>VLOOKUP(H842,'CNKT '!#REF!,8,0)</f>
        <v>#REF!</v>
      </c>
      <c r="J847" s="825" t="e">
        <f>IF(I843="A",6.1,IF(I843="B",5.8,IF(I843="C",5.5,IF(I843="C.",5.5,IF(I843="D",5.2)))))*$B$2</f>
        <v>#REF!</v>
      </c>
      <c r="K847" s="823" t="e">
        <f t="shared" si="98"/>
        <v>#REF!</v>
      </c>
      <c r="L847" s="818"/>
    </row>
    <row r="848" spans="1:12" s="31" customFormat="1" ht="17.25" customHeight="1">
      <c r="A848" s="821" t="s">
        <v>495</v>
      </c>
      <c r="B848" s="980" t="s">
        <v>563</v>
      </c>
      <c r="C848" s="879" t="e">
        <f>VLOOKUP(B842,'CNKT '!#REF!,15,0)</f>
        <v>#REF!</v>
      </c>
      <c r="D848" s="826">
        <f>92.2*$B$2</f>
        <v>61610.806000000004</v>
      </c>
      <c r="E848" s="823" t="e">
        <f t="shared" si="97"/>
        <v>#REF!</v>
      </c>
      <c r="F848" s="882"/>
      <c r="G848" s="821" t="s">
        <v>495</v>
      </c>
      <c r="H848" s="980" t="s">
        <v>563</v>
      </c>
      <c r="I848" s="879" t="e">
        <f>VLOOKUP(H842,'CNKT '!#REF!,15,0)</f>
        <v>#REF!</v>
      </c>
      <c r="J848" s="826">
        <f>92.2*$B$2</f>
        <v>61610.806000000004</v>
      </c>
      <c r="K848" s="823" t="e">
        <f t="shared" si="98"/>
        <v>#REF!</v>
      </c>
      <c r="L848" s="818"/>
    </row>
    <row r="849" spans="1:12" s="31" customFormat="1" ht="17.25" customHeight="1">
      <c r="A849" s="821" t="s">
        <v>496</v>
      </c>
      <c r="B849" s="980" t="s">
        <v>500</v>
      </c>
      <c r="C849" s="879" t="e">
        <f>VLOOKUP(B842,'CNKT '!#REF!,16,0)</f>
        <v>#REF!</v>
      </c>
      <c r="D849" s="825">
        <f>153.8*$B$2</f>
        <v>102773.774</v>
      </c>
      <c r="E849" s="823" t="e">
        <f t="shared" si="97"/>
        <v>#REF!</v>
      </c>
      <c r="F849" s="882"/>
      <c r="G849" s="821" t="s">
        <v>496</v>
      </c>
      <c r="H849" s="980" t="s">
        <v>500</v>
      </c>
      <c r="I849" s="879" t="e">
        <f>VLOOKUP(H842,'CNKT '!#REF!,16,0)</f>
        <v>#REF!</v>
      </c>
      <c r="J849" s="825">
        <f>153.8*$B$2</f>
        <v>102773.774</v>
      </c>
      <c r="K849" s="823" t="e">
        <f t="shared" si="98"/>
        <v>#REF!</v>
      </c>
      <c r="L849" s="818"/>
    </row>
    <row r="850" spans="1:12" s="31" customFormat="1" ht="17.25" customHeight="1">
      <c r="A850" s="821" t="s">
        <v>455</v>
      </c>
      <c r="B850" s="980" t="s">
        <v>501</v>
      </c>
      <c r="C850" s="879" t="e">
        <f>VLOOKUP(B842,'CNKT '!#REF!,18,0)</f>
        <v>#REF!</v>
      </c>
      <c r="D850" s="825">
        <v>10000</v>
      </c>
      <c r="E850" s="823" t="e">
        <f>C850*D850</f>
        <v>#REF!</v>
      </c>
      <c r="F850" s="882"/>
      <c r="G850" s="821" t="s">
        <v>455</v>
      </c>
      <c r="H850" s="980" t="s">
        <v>501</v>
      </c>
      <c r="I850" s="879" t="e">
        <f>VLOOKUP(H842,'CNKT '!#REF!,18,0)</f>
        <v>#REF!</v>
      </c>
      <c r="J850" s="825">
        <v>10000</v>
      </c>
      <c r="K850" s="823" t="e">
        <f>I850*J850</f>
        <v>#REF!</v>
      </c>
      <c r="L850" s="818"/>
    </row>
    <row r="851" spans="1:12" s="31" customFormat="1" ht="17.25" customHeight="1">
      <c r="A851" s="821" t="s">
        <v>455</v>
      </c>
      <c r="B851" s="980" t="s">
        <v>501</v>
      </c>
      <c r="C851" s="879" t="e">
        <f>VLOOKUP(B842,'CNKT '!#REF!,19,0)</f>
        <v>#REF!</v>
      </c>
      <c r="D851" s="825">
        <v>20000</v>
      </c>
      <c r="E851" s="823" t="e">
        <f>C851*D851</f>
        <v>#REF!</v>
      </c>
      <c r="F851" s="882"/>
      <c r="G851" s="821" t="s">
        <v>455</v>
      </c>
      <c r="H851" s="980" t="s">
        <v>501</v>
      </c>
      <c r="I851" s="879" t="e">
        <f>VLOOKUP(H842,'CNKT '!#REF!,19,0)</f>
        <v>#REF!</v>
      </c>
      <c r="J851" s="825">
        <v>20000</v>
      </c>
      <c r="K851" s="823" t="e">
        <f>I851*J851</f>
        <v>#REF!</v>
      </c>
      <c r="L851" s="818"/>
    </row>
    <row r="852" spans="1:12" s="31" customFormat="1" ht="17.25" customHeight="1">
      <c r="A852" s="821" t="s">
        <v>517</v>
      </c>
      <c r="B852" s="980" t="s">
        <v>519</v>
      </c>
      <c r="C852" s="879"/>
      <c r="D852" s="825"/>
      <c r="E852" s="823"/>
      <c r="F852" s="882"/>
      <c r="G852" s="821" t="s">
        <v>517</v>
      </c>
      <c r="H852" s="980" t="s">
        <v>519</v>
      </c>
      <c r="I852" s="879"/>
      <c r="J852" s="825"/>
      <c r="K852" s="823"/>
      <c r="L852" s="818"/>
    </row>
    <row r="853" spans="1:12" s="31" customFormat="1" ht="17.25" customHeight="1">
      <c r="A853" s="827" t="s">
        <v>81</v>
      </c>
      <c r="B853" s="981" t="s">
        <v>564</v>
      </c>
      <c r="C853" s="828"/>
      <c r="D853" s="829"/>
      <c r="E853" s="828"/>
      <c r="F853" s="882"/>
      <c r="G853" s="827" t="s">
        <v>81</v>
      </c>
      <c r="H853" s="981" t="s">
        <v>564</v>
      </c>
      <c r="I853" s="828"/>
      <c r="J853" s="829"/>
      <c r="K853" s="828"/>
      <c r="L853" s="818"/>
    </row>
    <row r="854" spans="1:12" s="31" customFormat="1" ht="17.25" customHeight="1">
      <c r="A854" s="830" t="s">
        <v>82</v>
      </c>
      <c r="B854" s="982" t="s">
        <v>565</v>
      </c>
      <c r="C854" s="828"/>
      <c r="D854" s="828"/>
      <c r="E854" s="828"/>
      <c r="F854" s="882"/>
      <c r="G854" s="830" t="s">
        <v>82</v>
      </c>
      <c r="H854" s="982" t="s">
        <v>565</v>
      </c>
      <c r="I854" s="828"/>
      <c r="J854" s="828"/>
      <c r="K854" s="828"/>
      <c r="L854" s="818"/>
    </row>
    <row r="855" spans="1:12" s="31" customFormat="1" ht="17.25" customHeight="1">
      <c r="A855" s="830" t="s">
        <v>83</v>
      </c>
      <c r="B855" s="983" t="s">
        <v>566</v>
      </c>
      <c r="C855" s="828"/>
      <c r="D855" s="828"/>
      <c r="E855" s="823">
        <f>SUM(E854)</f>
        <v>0</v>
      </c>
      <c r="F855" s="878"/>
      <c r="G855" s="830" t="s">
        <v>83</v>
      </c>
      <c r="H855" s="983" t="s">
        <v>566</v>
      </c>
      <c r="I855" s="828"/>
      <c r="J855" s="828"/>
      <c r="K855" s="823">
        <f>SUM(K854)</f>
        <v>0</v>
      </c>
      <c r="L855" s="818"/>
    </row>
    <row r="856" spans="1:12" s="31" customFormat="1" ht="17.25" customHeight="1">
      <c r="A856" s="832" t="s">
        <v>84</v>
      </c>
      <c r="B856" s="984" t="s">
        <v>438</v>
      </c>
      <c r="C856" s="833"/>
      <c r="D856" s="833"/>
      <c r="E856" s="833" t="e">
        <f>(E844+E845+E846+E847+E848+E849+E850+E851+E852)-E855</f>
        <v>#REF!</v>
      </c>
      <c r="F856" s="878"/>
      <c r="G856" s="832" t="s">
        <v>84</v>
      </c>
      <c r="H856" s="984" t="s">
        <v>438</v>
      </c>
      <c r="I856" s="833"/>
      <c r="J856" s="833"/>
      <c r="K856" s="833" t="e">
        <f>(K844+K845+K846+K847+K848+K849+K850+K851+K852)-K855</f>
        <v>#REF!</v>
      </c>
      <c r="L856" s="835" t="e">
        <f>E856+K856</f>
        <v>#REF!</v>
      </c>
    </row>
    <row r="857" spans="1:12" s="31" customFormat="1" ht="17.25" customHeight="1">
      <c r="A857" s="870"/>
      <c r="B857" s="871"/>
      <c r="C857" s="872"/>
      <c r="D857" s="872"/>
      <c r="E857" s="872"/>
      <c r="F857" s="873"/>
      <c r="G857" s="972"/>
      <c r="H857" s="972"/>
      <c r="I857" s="972"/>
      <c r="J857" s="972"/>
      <c r="K857" s="874"/>
      <c r="L857" s="818"/>
    </row>
    <row r="858" spans="1:12" s="31" customFormat="1" ht="17.25" customHeight="1">
      <c r="A858" s="1616" t="str">
        <f>A841</f>
        <v>LƯƠNG THÁNG 01/2025</v>
      </c>
      <c r="B858" s="1616"/>
      <c r="C858" s="895"/>
      <c r="D858" s="895"/>
      <c r="E858" s="895" t="e">
        <f>VLOOKUP(B859,'CNKT '!#REF!,26,0)</f>
        <v>#REF!</v>
      </c>
      <c r="F858" s="873"/>
      <c r="G858" s="1616" t="str">
        <f>A858</f>
        <v>LƯƠNG THÁNG 01/2025</v>
      </c>
      <c r="H858" s="1616"/>
      <c r="I858" s="895"/>
      <c r="J858" s="895"/>
      <c r="K858" s="895" t="e">
        <f>VLOOKUP(H859,'CNKT '!#REF!,26,0)</f>
        <v>#REF!</v>
      </c>
      <c r="L858" s="818"/>
    </row>
    <row r="859" spans="1:12" s="31" customFormat="1" ht="17.25" customHeight="1">
      <c r="A859" s="837" t="s">
        <v>17</v>
      </c>
      <c r="B859" s="976" t="e">
        <f>'CNKT '!#REF!</f>
        <v>#REF!</v>
      </c>
      <c r="C859" s="822"/>
      <c r="D859" s="976" t="s">
        <v>398</v>
      </c>
      <c r="E859" s="976" t="s">
        <v>20</v>
      </c>
      <c r="F859" s="882"/>
      <c r="G859" s="837" t="s">
        <v>17</v>
      </c>
      <c r="H859" s="976" t="e">
        <f>'CNKT '!#REF!</f>
        <v>#REF!</v>
      </c>
      <c r="I859" s="822"/>
      <c r="J859" s="976" t="s">
        <v>398</v>
      </c>
      <c r="K859" s="976" t="s">
        <v>20</v>
      </c>
      <c r="L859" s="818"/>
    </row>
    <row r="860" spans="1:12" s="31" customFormat="1" ht="17.25" customHeight="1">
      <c r="A860" s="821" t="s">
        <v>399</v>
      </c>
      <c r="B860" s="978" t="s">
        <v>559</v>
      </c>
      <c r="C860" s="822" t="e">
        <f>VLOOKUP(B859,'BTH mủ tạp'!#REF!,36,0)</f>
        <v>#REF!</v>
      </c>
      <c r="D860" s="823"/>
      <c r="E860" s="823"/>
      <c r="F860" s="882"/>
      <c r="G860" s="821" t="s">
        <v>399</v>
      </c>
      <c r="H860" s="978" t="s">
        <v>559</v>
      </c>
      <c r="I860" s="822" t="e">
        <f>VLOOKUP(H859,'BTH mủ tạp'!#REF!,36,0)</f>
        <v>#REF!</v>
      </c>
      <c r="J860" s="823"/>
      <c r="K860" s="823"/>
      <c r="L860" s="818"/>
    </row>
    <row r="861" spans="1:12" s="31" customFormat="1" ht="17.25" customHeight="1">
      <c r="A861" s="821" t="s">
        <v>79</v>
      </c>
      <c r="B861" s="979" t="s">
        <v>432</v>
      </c>
      <c r="C861" s="824" t="e">
        <f>VLOOKUP(B859,'CNKT '!#REF!,3,0)</f>
        <v>#REF!</v>
      </c>
      <c r="D861" s="825">
        <v>25000</v>
      </c>
      <c r="E861" s="823" t="e">
        <f t="shared" ref="E861:E866" si="99">C861*D861</f>
        <v>#REF!</v>
      </c>
      <c r="F861" s="882"/>
      <c r="G861" s="821" t="s">
        <v>79</v>
      </c>
      <c r="H861" s="979" t="s">
        <v>432</v>
      </c>
      <c r="I861" s="824" t="e">
        <f>VLOOKUP(H859,'CNKT '!#REF!,3,0)</f>
        <v>#REF!</v>
      </c>
      <c r="J861" s="825">
        <v>25000</v>
      </c>
      <c r="K861" s="823" t="e">
        <f t="shared" ref="K861:K866" si="100">I861*J861</f>
        <v>#REF!</v>
      </c>
      <c r="L861" s="818"/>
    </row>
    <row r="862" spans="1:12" s="31" customFormat="1" ht="17.25" customHeight="1">
      <c r="A862" s="821" t="s">
        <v>310</v>
      </c>
      <c r="B862" s="980" t="s">
        <v>560</v>
      </c>
      <c r="C862" s="879" t="e">
        <f>VLOOKUP(B859,'CNKT '!#REF!,11,0)</f>
        <v>#REF!</v>
      </c>
      <c r="D862" s="826">
        <f>46.1*$B$2</f>
        <v>30805.403000000002</v>
      </c>
      <c r="E862" s="823" t="e">
        <f t="shared" si="99"/>
        <v>#REF!</v>
      </c>
      <c r="F862" s="882"/>
      <c r="G862" s="821" t="s">
        <v>310</v>
      </c>
      <c r="H862" s="980" t="s">
        <v>560</v>
      </c>
      <c r="I862" s="879" t="e">
        <f>VLOOKUP(H859,'CNKT '!#REF!,11,0)</f>
        <v>#REF!</v>
      </c>
      <c r="J862" s="826">
        <f>46.1*$B$2</f>
        <v>30805.403000000002</v>
      </c>
      <c r="K862" s="823" t="e">
        <f t="shared" si="100"/>
        <v>#REF!</v>
      </c>
      <c r="L862" s="818"/>
    </row>
    <row r="863" spans="1:12" s="31" customFormat="1" ht="17.25" customHeight="1">
      <c r="A863" s="821" t="s">
        <v>401</v>
      </c>
      <c r="B863" s="980" t="s">
        <v>561</v>
      </c>
      <c r="C863" s="879" t="e">
        <f>VLOOKUP(B859,'CNKT '!#REF!,12,0)</f>
        <v>#REF!</v>
      </c>
      <c r="D863" s="825">
        <f>76.9*$B$2</f>
        <v>51386.887000000002</v>
      </c>
      <c r="E863" s="823" t="e">
        <f t="shared" si="99"/>
        <v>#REF!</v>
      </c>
      <c r="F863" s="882"/>
      <c r="G863" s="821" t="s">
        <v>401</v>
      </c>
      <c r="H863" s="980" t="s">
        <v>561</v>
      </c>
      <c r="I863" s="879" t="e">
        <f>VLOOKUP(H859,'CNKT '!#REF!,12,0)</f>
        <v>#REF!</v>
      </c>
      <c r="J863" s="825">
        <f>76.9*$B$2</f>
        <v>51386.887000000002</v>
      </c>
      <c r="K863" s="823" t="e">
        <f t="shared" si="100"/>
        <v>#REF!</v>
      </c>
      <c r="L863" s="818"/>
    </row>
    <row r="864" spans="1:12" s="31" customFormat="1" ht="17.25" customHeight="1">
      <c r="A864" s="821" t="s">
        <v>80</v>
      </c>
      <c r="B864" s="980" t="s">
        <v>562</v>
      </c>
      <c r="C864" s="879" t="e">
        <f>VLOOKUP(B859,'CNKT '!#REF!,8,0)</f>
        <v>#REF!</v>
      </c>
      <c r="D864" s="825" t="e">
        <f>IF(C860="A",6.1,IF(C860="B",5.8,IF(C860="C",5.5,IF(C860="C.",5.5,IF(C860="D",5.2)))))*$B$2</f>
        <v>#REF!</v>
      </c>
      <c r="E864" s="823" t="e">
        <f t="shared" si="99"/>
        <v>#REF!</v>
      </c>
      <c r="F864" s="882"/>
      <c r="G864" s="821" t="s">
        <v>80</v>
      </c>
      <c r="H864" s="980" t="s">
        <v>562</v>
      </c>
      <c r="I864" s="879" t="e">
        <f>VLOOKUP(H859,'CNKT '!#REF!,8,0)</f>
        <v>#REF!</v>
      </c>
      <c r="J864" s="825" t="e">
        <f>IF(I860="A",6.1,IF(I860="B",5.8,IF(I860="C",5.5,IF(I860="C.",5.5,IF(I860="D",5.2)))))*$B$2</f>
        <v>#REF!</v>
      </c>
      <c r="K864" s="823" t="e">
        <f t="shared" si="100"/>
        <v>#REF!</v>
      </c>
      <c r="L864" s="818"/>
    </row>
    <row r="865" spans="1:12" s="31" customFormat="1" ht="17.25" customHeight="1">
      <c r="A865" s="821" t="s">
        <v>495</v>
      </c>
      <c r="B865" s="980" t="s">
        <v>563</v>
      </c>
      <c r="C865" s="879" t="e">
        <f>VLOOKUP(B859,'CNKT '!#REF!,15,0)</f>
        <v>#REF!</v>
      </c>
      <c r="D865" s="826">
        <f>92.2*$B$2</f>
        <v>61610.806000000004</v>
      </c>
      <c r="E865" s="823" t="e">
        <f t="shared" si="99"/>
        <v>#REF!</v>
      </c>
      <c r="F865" s="882"/>
      <c r="G865" s="821" t="s">
        <v>495</v>
      </c>
      <c r="H865" s="980" t="s">
        <v>563</v>
      </c>
      <c r="I865" s="879" t="e">
        <f>VLOOKUP(H859,'CNKT '!#REF!,15,0)</f>
        <v>#REF!</v>
      </c>
      <c r="J865" s="826">
        <f>92.2*$B$2</f>
        <v>61610.806000000004</v>
      </c>
      <c r="K865" s="823" t="e">
        <f t="shared" si="100"/>
        <v>#REF!</v>
      </c>
      <c r="L865" s="818"/>
    </row>
    <row r="866" spans="1:12" s="31" customFormat="1" ht="17.25" customHeight="1">
      <c r="A866" s="821" t="s">
        <v>496</v>
      </c>
      <c r="B866" s="980" t="s">
        <v>500</v>
      </c>
      <c r="C866" s="879" t="e">
        <f>VLOOKUP(B859,'CNKT '!#REF!,16,0)</f>
        <v>#REF!</v>
      </c>
      <c r="D866" s="825">
        <f>153.8*$B$2</f>
        <v>102773.774</v>
      </c>
      <c r="E866" s="823" t="e">
        <f t="shared" si="99"/>
        <v>#REF!</v>
      </c>
      <c r="F866" s="882"/>
      <c r="G866" s="821" t="s">
        <v>496</v>
      </c>
      <c r="H866" s="980" t="s">
        <v>500</v>
      </c>
      <c r="I866" s="879" t="e">
        <f>VLOOKUP(H859,'CNKT '!#REF!,16,0)</f>
        <v>#REF!</v>
      </c>
      <c r="J866" s="825">
        <f>153.8*$B$2</f>
        <v>102773.774</v>
      </c>
      <c r="K866" s="823" t="e">
        <f t="shared" si="100"/>
        <v>#REF!</v>
      </c>
      <c r="L866" s="818"/>
    </row>
    <row r="867" spans="1:12" s="31" customFormat="1" ht="17.25" customHeight="1">
      <c r="A867" s="821" t="s">
        <v>455</v>
      </c>
      <c r="B867" s="980" t="s">
        <v>501</v>
      </c>
      <c r="C867" s="879" t="e">
        <f>VLOOKUP(B859,'CNKT '!#REF!,18,0)</f>
        <v>#REF!</v>
      </c>
      <c r="D867" s="825">
        <v>10000</v>
      </c>
      <c r="E867" s="823" t="e">
        <f>C867*D867</f>
        <v>#REF!</v>
      </c>
      <c r="F867" s="882"/>
      <c r="G867" s="821" t="s">
        <v>455</v>
      </c>
      <c r="H867" s="980" t="s">
        <v>501</v>
      </c>
      <c r="I867" s="879" t="e">
        <f>VLOOKUP(H859,'CNKT '!#REF!,18,0)</f>
        <v>#REF!</v>
      </c>
      <c r="J867" s="825">
        <v>10000</v>
      </c>
      <c r="K867" s="823" t="e">
        <f>I867*J867</f>
        <v>#REF!</v>
      </c>
      <c r="L867" s="818"/>
    </row>
    <row r="868" spans="1:12" s="31" customFormat="1" ht="17.25" customHeight="1">
      <c r="A868" s="821" t="s">
        <v>455</v>
      </c>
      <c r="B868" s="980" t="s">
        <v>501</v>
      </c>
      <c r="C868" s="879" t="e">
        <f>VLOOKUP(B859,'CNKT '!#REF!,19,0)</f>
        <v>#REF!</v>
      </c>
      <c r="D868" s="825">
        <v>20000</v>
      </c>
      <c r="E868" s="823" t="e">
        <f>C868*D868</f>
        <v>#REF!</v>
      </c>
      <c r="F868" s="882"/>
      <c r="G868" s="821" t="s">
        <v>455</v>
      </c>
      <c r="H868" s="980" t="s">
        <v>501</v>
      </c>
      <c r="I868" s="879" t="e">
        <f>VLOOKUP(H859,'CNKT '!#REF!,19,0)</f>
        <v>#REF!</v>
      </c>
      <c r="J868" s="825">
        <v>20000</v>
      </c>
      <c r="K868" s="823" t="e">
        <f>I868*J868</f>
        <v>#REF!</v>
      </c>
      <c r="L868" s="818"/>
    </row>
    <row r="869" spans="1:12" s="31" customFormat="1" ht="17.25" customHeight="1">
      <c r="A869" s="821" t="s">
        <v>517</v>
      </c>
      <c r="B869" s="980" t="s">
        <v>519</v>
      </c>
      <c r="C869" s="879"/>
      <c r="D869" s="825"/>
      <c r="E869" s="823"/>
      <c r="F869" s="882"/>
      <c r="G869" s="821" t="s">
        <v>517</v>
      </c>
      <c r="H869" s="980" t="s">
        <v>519</v>
      </c>
      <c r="I869" s="879"/>
      <c r="J869" s="825"/>
      <c r="K869" s="823"/>
      <c r="L869" s="818"/>
    </row>
    <row r="870" spans="1:12" s="31" customFormat="1" ht="17.25" customHeight="1">
      <c r="A870" s="827" t="s">
        <v>81</v>
      </c>
      <c r="B870" s="981" t="s">
        <v>564</v>
      </c>
      <c r="C870" s="828"/>
      <c r="D870" s="829"/>
      <c r="E870" s="828"/>
      <c r="F870" s="882"/>
      <c r="G870" s="827" t="s">
        <v>81</v>
      </c>
      <c r="H870" s="981" t="s">
        <v>564</v>
      </c>
      <c r="I870" s="828"/>
      <c r="J870" s="829"/>
      <c r="K870" s="828"/>
      <c r="L870" s="818"/>
    </row>
    <row r="871" spans="1:12" s="31" customFormat="1" ht="17.25" customHeight="1">
      <c r="A871" s="830" t="s">
        <v>82</v>
      </c>
      <c r="B871" s="982" t="s">
        <v>565</v>
      </c>
      <c r="C871" s="828"/>
      <c r="D871" s="828"/>
      <c r="E871" s="828"/>
      <c r="F871" s="882"/>
      <c r="G871" s="830" t="s">
        <v>82</v>
      </c>
      <c r="H871" s="982" t="s">
        <v>565</v>
      </c>
      <c r="I871" s="828"/>
      <c r="J871" s="828"/>
      <c r="K871" s="828"/>
      <c r="L871" s="818"/>
    </row>
    <row r="872" spans="1:12" s="31" customFormat="1" ht="17.25" customHeight="1">
      <c r="A872" s="830" t="s">
        <v>83</v>
      </c>
      <c r="B872" s="983" t="s">
        <v>566</v>
      </c>
      <c r="C872" s="828"/>
      <c r="D872" s="828"/>
      <c r="E872" s="823">
        <f>SUM(E871)</f>
        <v>0</v>
      </c>
      <c r="F872" s="869"/>
      <c r="G872" s="830" t="s">
        <v>83</v>
      </c>
      <c r="H872" s="983" t="s">
        <v>566</v>
      </c>
      <c r="I872" s="828"/>
      <c r="J872" s="828"/>
      <c r="K872" s="823">
        <f>SUM(K871)</f>
        <v>0</v>
      </c>
      <c r="L872" s="818"/>
    </row>
    <row r="873" spans="1:12" s="31" customFormat="1" ht="17.25" customHeight="1">
      <c r="A873" s="832" t="s">
        <v>84</v>
      </c>
      <c r="B873" s="984" t="s">
        <v>438</v>
      </c>
      <c r="C873" s="833"/>
      <c r="D873" s="833"/>
      <c r="E873" s="833" t="e">
        <f>(E861+E862+E863+E864+E865+E866+E867+E868+E869)-E872</f>
        <v>#REF!</v>
      </c>
      <c r="F873" s="869"/>
      <c r="G873" s="832" t="s">
        <v>84</v>
      </c>
      <c r="H873" s="984" t="s">
        <v>438</v>
      </c>
      <c r="I873" s="833"/>
      <c r="J873" s="833"/>
      <c r="K873" s="833" t="e">
        <f>(K861+K862+K863+K864+K865+K866+K867+K868+K869)-K872</f>
        <v>#REF!</v>
      </c>
      <c r="L873" s="835" t="e">
        <f>E873+K873</f>
        <v>#REF!</v>
      </c>
    </row>
    <row r="874" spans="1:12" s="31" customFormat="1" ht="17.25" customHeight="1">
      <c r="A874" s="870"/>
      <c r="B874" s="871"/>
      <c r="C874" s="872"/>
      <c r="D874" s="872"/>
      <c r="E874" s="872"/>
      <c r="F874" s="873"/>
      <c r="G874" s="972"/>
      <c r="H874" s="972"/>
      <c r="I874" s="972"/>
      <c r="J874" s="972"/>
      <c r="K874" s="874"/>
      <c r="L874" s="818"/>
    </row>
    <row r="875" spans="1:12" s="31" customFormat="1" ht="17.25" customHeight="1">
      <c r="A875" s="1616" t="str">
        <f>A858</f>
        <v>LƯƠNG THÁNG 01/2025</v>
      </c>
      <c r="B875" s="1616"/>
      <c r="C875" s="895"/>
      <c r="D875" s="895"/>
      <c r="E875" s="895" t="e">
        <f>VLOOKUP(B876,'CNKT '!#REF!,26,0)</f>
        <v>#REF!</v>
      </c>
      <c r="F875" s="873"/>
      <c r="G875" s="1616" t="str">
        <f>A875</f>
        <v>LƯƠNG THÁNG 01/2025</v>
      </c>
      <c r="H875" s="1616"/>
      <c r="I875" s="895"/>
      <c r="J875" s="895"/>
      <c r="K875" s="895" t="e">
        <f>VLOOKUP(H876,'CNKT '!#REF!,26,0)</f>
        <v>#REF!</v>
      </c>
      <c r="L875" s="818"/>
    </row>
    <row r="876" spans="1:12" s="31" customFormat="1" ht="17.25" customHeight="1">
      <c r="A876" s="837" t="s">
        <v>17</v>
      </c>
      <c r="B876" s="976" t="e">
        <f>'CNKT '!#REF!</f>
        <v>#REF!</v>
      </c>
      <c r="C876" s="822"/>
      <c r="D876" s="976" t="s">
        <v>398</v>
      </c>
      <c r="E876" s="976" t="s">
        <v>20</v>
      </c>
      <c r="F876" s="882"/>
      <c r="G876" s="837" t="s">
        <v>17</v>
      </c>
      <c r="H876" s="976" t="e">
        <f>'CNKT '!#REF!</f>
        <v>#REF!</v>
      </c>
      <c r="I876" s="822"/>
      <c r="J876" s="976" t="s">
        <v>398</v>
      </c>
      <c r="K876" s="976" t="s">
        <v>20</v>
      </c>
      <c r="L876" s="818"/>
    </row>
    <row r="877" spans="1:12" s="31" customFormat="1" ht="17.25" customHeight="1">
      <c r="A877" s="821" t="s">
        <v>399</v>
      </c>
      <c r="B877" s="978" t="s">
        <v>559</v>
      </c>
      <c r="C877" s="822" t="e">
        <f>VLOOKUP(B876,'BTH mủ tạp'!#REF!,36,0)</f>
        <v>#REF!</v>
      </c>
      <c r="D877" s="823"/>
      <c r="E877" s="823"/>
      <c r="F877" s="882"/>
      <c r="G877" s="821" t="s">
        <v>399</v>
      </c>
      <c r="H877" s="978" t="s">
        <v>559</v>
      </c>
      <c r="I877" s="822" t="e">
        <f>VLOOKUP(H876,'BTH mủ tạp'!#REF!,36,0)</f>
        <v>#REF!</v>
      </c>
      <c r="J877" s="823"/>
      <c r="K877" s="823"/>
      <c r="L877" s="818"/>
    </row>
    <row r="878" spans="1:12" s="31" customFormat="1" ht="17.25" customHeight="1">
      <c r="A878" s="821" t="s">
        <v>79</v>
      </c>
      <c r="B878" s="979" t="s">
        <v>432</v>
      </c>
      <c r="C878" s="824" t="e">
        <f>VLOOKUP(B876,'CNKT '!#REF!,3,0)</f>
        <v>#REF!</v>
      </c>
      <c r="D878" s="825">
        <v>25000</v>
      </c>
      <c r="E878" s="823" t="e">
        <f t="shared" ref="E878:E883" si="101">C878*D878</f>
        <v>#REF!</v>
      </c>
      <c r="F878" s="882"/>
      <c r="G878" s="821" t="s">
        <v>79</v>
      </c>
      <c r="H878" s="979" t="s">
        <v>432</v>
      </c>
      <c r="I878" s="824" t="e">
        <f>VLOOKUP(H876,'CNKT '!#REF!,3,0)</f>
        <v>#REF!</v>
      </c>
      <c r="J878" s="825">
        <v>25000</v>
      </c>
      <c r="K878" s="823" t="e">
        <f t="shared" ref="K878:K883" si="102">I878*J878</f>
        <v>#REF!</v>
      </c>
      <c r="L878" s="818"/>
    </row>
    <row r="879" spans="1:12" s="31" customFormat="1" ht="17.25" customHeight="1">
      <c r="A879" s="821" t="s">
        <v>310</v>
      </c>
      <c r="B879" s="980" t="s">
        <v>560</v>
      </c>
      <c r="C879" s="879" t="e">
        <f>VLOOKUP(B876,'CNKT '!#REF!,11,0)</f>
        <v>#REF!</v>
      </c>
      <c r="D879" s="826">
        <f>46.1*$B$2</f>
        <v>30805.403000000002</v>
      </c>
      <c r="E879" s="823" t="e">
        <f t="shared" si="101"/>
        <v>#REF!</v>
      </c>
      <c r="F879" s="882"/>
      <c r="G879" s="821" t="s">
        <v>310</v>
      </c>
      <c r="H879" s="980" t="s">
        <v>560</v>
      </c>
      <c r="I879" s="879" t="e">
        <f>VLOOKUP(H876,'CNKT '!#REF!,11,0)</f>
        <v>#REF!</v>
      </c>
      <c r="J879" s="826">
        <f>46.1*$B$2</f>
        <v>30805.403000000002</v>
      </c>
      <c r="K879" s="823" t="e">
        <f t="shared" si="102"/>
        <v>#REF!</v>
      </c>
      <c r="L879" s="818"/>
    </row>
    <row r="880" spans="1:12" s="31" customFormat="1" ht="17.25" customHeight="1">
      <c r="A880" s="821" t="s">
        <v>401</v>
      </c>
      <c r="B880" s="980" t="s">
        <v>561</v>
      </c>
      <c r="C880" s="879" t="e">
        <f>VLOOKUP(B876,'CNKT '!#REF!,12,0)</f>
        <v>#REF!</v>
      </c>
      <c r="D880" s="825">
        <f>76.9*$B$2</f>
        <v>51386.887000000002</v>
      </c>
      <c r="E880" s="823" t="e">
        <f t="shared" si="101"/>
        <v>#REF!</v>
      </c>
      <c r="F880" s="882"/>
      <c r="G880" s="821" t="s">
        <v>401</v>
      </c>
      <c r="H880" s="980" t="s">
        <v>561</v>
      </c>
      <c r="I880" s="879" t="e">
        <f>VLOOKUP(H876,'CNKT '!#REF!,12,0)</f>
        <v>#REF!</v>
      </c>
      <c r="J880" s="825">
        <f>76.9*$B$2</f>
        <v>51386.887000000002</v>
      </c>
      <c r="K880" s="823" t="e">
        <f t="shared" si="102"/>
        <v>#REF!</v>
      </c>
      <c r="L880" s="818"/>
    </row>
    <row r="881" spans="1:12" s="31" customFormat="1" ht="17.25" customHeight="1">
      <c r="A881" s="821" t="s">
        <v>80</v>
      </c>
      <c r="B881" s="980" t="s">
        <v>562</v>
      </c>
      <c r="C881" s="879" t="e">
        <f>VLOOKUP(B876,'CNKT '!#REF!,8,0)</f>
        <v>#REF!</v>
      </c>
      <c r="D881" s="825" t="e">
        <f>IF(C877="A",6.1,IF(C877="B",5.8,IF(C877="C",5.5,IF(C877="C.",5.5,IF(C877="D",5.2)))))*$B$2</f>
        <v>#REF!</v>
      </c>
      <c r="E881" s="823" t="e">
        <f t="shared" si="101"/>
        <v>#REF!</v>
      </c>
      <c r="F881" s="882"/>
      <c r="G881" s="821" t="s">
        <v>80</v>
      </c>
      <c r="H881" s="980" t="s">
        <v>562</v>
      </c>
      <c r="I881" s="879" t="e">
        <f>VLOOKUP(H876,'CNKT '!#REF!,8,0)</f>
        <v>#REF!</v>
      </c>
      <c r="J881" s="825" t="e">
        <f>IF(I877="A",6.1,IF(I877="B",5.8,IF(I877="C",5.5,IF(I877="C.",5.5,IF(I877="D",5.2)))))*$B$2</f>
        <v>#REF!</v>
      </c>
      <c r="K881" s="823" t="e">
        <f t="shared" si="102"/>
        <v>#REF!</v>
      </c>
      <c r="L881" s="818"/>
    </row>
    <row r="882" spans="1:12" s="31" customFormat="1" ht="17.25" customHeight="1">
      <c r="A882" s="821" t="s">
        <v>495</v>
      </c>
      <c r="B882" s="980" t="s">
        <v>563</v>
      </c>
      <c r="C882" s="879" t="e">
        <f>VLOOKUP(B876,'CNKT '!#REF!,15,0)</f>
        <v>#REF!</v>
      </c>
      <c r="D882" s="826">
        <f>92.2*$B$2</f>
        <v>61610.806000000004</v>
      </c>
      <c r="E882" s="823" t="e">
        <f t="shared" si="101"/>
        <v>#REF!</v>
      </c>
      <c r="F882" s="882"/>
      <c r="G882" s="821" t="s">
        <v>495</v>
      </c>
      <c r="H882" s="980" t="s">
        <v>563</v>
      </c>
      <c r="I882" s="879" t="e">
        <f>VLOOKUP(H876,'CNKT '!#REF!,15,0)</f>
        <v>#REF!</v>
      </c>
      <c r="J882" s="826">
        <f>92.2*$B$2</f>
        <v>61610.806000000004</v>
      </c>
      <c r="K882" s="823" t="e">
        <f t="shared" si="102"/>
        <v>#REF!</v>
      </c>
      <c r="L882" s="818"/>
    </row>
    <row r="883" spans="1:12" s="31" customFormat="1" ht="17.25" customHeight="1">
      <c r="A883" s="821" t="s">
        <v>496</v>
      </c>
      <c r="B883" s="980" t="s">
        <v>500</v>
      </c>
      <c r="C883" s="879" t="e">
        <f>VLOOKUP(B876,'CNKT '!#REF!,16,0)</f>
        <v>#REF!</v>
      </c>
      <c r="D883" s="825">
        <f>153.8*$B$2</f>
        <v>102773.774</v>
      </c>
      <c r="E883" s="823" t="e">
        <f t="shared" si="101"/>
        <v>#REF!</v>
      </c>
      <c r="F883" s="882"/>
      <c r="G883" s="821" t="s">
        <v>496</v>
      </c>
      <c r="H883" s="980" t="s">
        <v>500</v>
      </c>
      <c r="I883" s="879" t="e">
        <f>VLOOKUP(H876,'CNKT '!#REF!,16,0)</f>
        <v>#REF!</v>
      </c>
      <c r="J883" s="825">
        <f>153.8*$B$2</f>
        <v>102773.774</v>
      </c>
      <c r="K883" s="823" t="e">
        <f t="shared" si="102"/>
        <v>#REF!</v>
      </c>
      <c r="L883" s="818"/>
    </row>
    <row r="884" spans="1:12" s="31" customFormat="1" ht="17.25" customHeight="1">
      <c r="A884" s="821" t="s">
        <v>455</v>
      </c>
      <c r="B884" s="980" t="s">
        <v>501</v>
      </c>
      <c r="C884" s="879" t="e">
        <f>VLOOKUP(B876,'CNKT '!#REF!,18,0)</f>
        <v>#REF!</v>
      </c>
      <c r="D884" s="825">
        <v>10000</v>
      </c>
      <c r="E884" s="823" t="e">
        <f>C884*D884</f>
        <v>#REF!</v>
      </c>
      <c r="F884" s="882"/>
      <c r="G884" s="821" t="s">
        <v>455</v>
      </c>
      <c r="H884" s="980" t="s">
        <v>501</v>
      </c>
      <c r="I884" s="879" t="e">
        <f>VLOOKUP(H876,'CNKT '!#REF!,18,0)</f>
        <v>#REF!</v>
      </c>
      <c r="J884" s="825">
        <v>10000</v>
      </c>
      <c r="K884" s="823" t="e">
        <f>I884*J884</f>
        <v>#REF!</v>
      </c>
      <c r="L884" s="818"/>
    </row>
    <row r="885" spans="1:12" s="31" customFormat="1" ht="17.25" customHeight="1">
      <c r="A885" s="821" t="s">
        <v>455</v>
      </c>
      <c r="B885" s="980" t="s">
        <v>501</v>
      </c>
      <c r="C885" s="879" t="e">
        <f>VLOOKUP(B876,'CNKT '!#REF!,19,0)</f>
        <v>#REF!</v>
      </c>
      <c r="D885" s="825">
        <v>20000</v>
      </c>
      <c r="E885" s="823" t="e">
        <f>C885*D885</f>
        <v>#REF!</v>
      </c>
      <c r="F885" s="882"/>
      <c r="G885" s="821" t="s">
        <v>455</v>
      </c>
      <c r="H885" s="980" t="s">
        <v>501</v>
      </c>
      <c r="I885" s="879" t="e">
        <f>VLOOKUP(H876,'CNKT '!#REF!,19,0)</f>
        <v>#REF!</v>
      </c>
      <c r="J885" s="825">
        <v>20000</v>
      </c>
      <c r="K885" s="823" t="e">
        <f>I885*J885</f>
        <v>#REF!</v>
      </c>
      <c r="L885" s="818"/>
    </row>
    <row r="886" spans="1:12" s="31" customFormat="1" ht="17.25" customHeight="1">
      <c r="A886" s="821" t="s">
        <v>517</v>
      </c>
      <c r="B886" s="980" t="s">
        <v>519</v>
      </c>
      <c r="C886" s="879"/>
      <c r="D886" s="825"/>
      <c r="E886" s="823"/>
      <c r="F886" s="882"/>
      <c r="G886" s="821" t="s">
        <v>517</v>
      </c>
      <c r="H886" s="980" t="s">
        <v>519</v>
      </c>
      <c r="I886" s="879"/>
      <c r="J886" s="825"/>
      <c r="K886" s="823"/>
      <c r="L886" s="818"/>
    </row>
    <row r="887" spans="1:12" s="31" customFormat="1" ht="17.25" customHeight="1">
      <c r="A887" s="827" t="s">
        <v>81</v>
      </c>
      <c r="B887" s="981" t="s">
        <v>564</v>
      </c>
      <c r="C887" s="828"/>
      <c r="D887" s="829"/>
      <c r="E887" s="828"/>
      <c r="F887" s="882"/>
      <c r="G887" s="827" t="s">
        <v>81</v>
      </c>
      <c r="H887" s="981" t="s">
        <v>564</v>
      </c>
      <c r="I887" s="828"/>
      <c r="J887" s="829"/>
      <c r="K887" s="828"/>
      <c r="L887" s="818"/>
    </row>
    <row r="888" spans="1:12" s="31" customFormat="1" ht="17.25" customHeight="1">
      <c r="A888" s="830" t="s">
        <v>82</v>
      </c>
      <c r="B888" s="982" t="s">
        <v>565</v>
      </c>
      <c r="C888" s="828"/>
      <c r="D888" s="828"/>
      <c r="E888" s="828"/>
      <c r="F888" s="882"/>
      <c r="G888" s="830" t="s">
        <v>82</v>
      </c>
      <c r="H888" s="982" t="s">
        <v>565</v>
      </c>
      <c r="I888" s="828"/>
      <c r="J888" s="828"/>
      <c r="K888" s="828"/>
      <c r="L888" s="818"/>
    </row>
    <row r="889" spans="1:12" s="31" customFormat="1" ht="17.25" customHeight="1">
      <c r="A889" s="830" t="s">
        <v>83</v>
      </c>
      <c r="B889" s="983" t="s">
        <v>566</v>
      </c>
      <c r="C889" s="828"/>
      <c r="D889" s="828"/>
      <c r="E889" s="823">
        <f>SUM(E888)</f>
        <v>0</v>
      </c>
      <c r="F889" s="879"/>
      <c r="G889" s="830" t="s">
        <v>83</v>
      </c>
      <c r="H889" s="983" t="s">
        <v>566</v>
      </c>
      <c r="I889" s="828"/>
      <c r="J889" s="828"/>
      <c r="K889" s="823">
        <f>SUM(K888)</f>
        <v>0</v>
      </c>
      <c r="L889" s="818"/>
    </row>
    <row r="890" spans="1:12" s="31" customFormat="1" ht="17.25" customHeight="1">
      <c r="A890" s="832" t="s">
        <v>84</v>
      </c>
      <c r="B890" s="984" t="s">
        <v>438</v>
      </c>
      <c r="C890" s="833"/>
      <c r="D890" s="833"/>
      <c r="E890" s="833" t="e">
        <f>(E878+E879+E880+E881+E882+E883+E884+E885+E886)-E889</f>
        <v>#REF!</v>
      </c>
      <c r="F890" s="879"/>
      <c r="G890" s="832" t="s">
        <v>84</v>
      </c>
      <c r="H890" s="984" t="s">
        <v>438</v>
      </c>
      <c r="I890" s="833"/>
      <c r="J890" s="833"/>
      <c r="K890" s="833" t="e">
        <f>(K878+K879+K880+K881+K882+K883+K884+K885+K886)-K889</f>
        <v>#REF!</v>
      </c>
      <c r="L890" s="835" t="e">
        <f>E890+K890</f>
        <v>#REF!</v>
      </c>
    </row>
    <row r="891" spans="1:12" s="31" customFormat="1" ht="6.75" customHeight="1">
      <c r="A891" s="870"/>
      <c r="B891" s="871"/>
      <c r="C891" s="872"/>
      <c r="D891" s="872"/>
      <c r="E891" s="872"/>
      <c r="F891" s="873"/>
      <c r="G891" s="972"/>
      <c r="H891" s="972"/>
      <c r="I891" s="972"/>
      <c r="J891" s="972"/>
      <c r="K891" s="874"/>
      <c r="L891" s="818"/>
    </row>
    <row r="892" spans="1:12" s="31" customFormat="1" ht="17.25" customHeight="1">
      <c r="A892" s="1616" t="str">
        <f>A875</f>
        <v>LƯƠNG THÁNG 01/2025</v>
      </c>
      <c r="B892" s="1616"/>
      <c r="C892" s="895"/>
      <c r="D892" s="895"/>
      <c r="E892" s="895" t="e">
        <f>VLOOKUP(B893,'CNKT '!#REF!,26,0)</f>
        <v>#REF!</v>
      </c>
      <c r="F892" s="873"/>
      <c r="G892" s="1616" t="str">
        <f>A892</f>
        <v>LƯƠNG THÁNG 01/2025</v>
      </c>
      <c r="H892" s="1616"/>
      <c r="I892" s="895"/>
      <c r="J892" s="895"/>
      <c r="K892" s="895" t="e">
        <f>VLOOKUP(H893,'CNKT '!#REF!,26,0)</f>
        <v>#REF!</v>
      </c>
      <c r="L892" s="818"/>
    </row>
    <row r="893" spans="1:12" s="31" customFormat="1" ht="17.25" customHeight="1">
      <c r="A893" s="837" t="s">
        <v>17</v>
      </c>
      <c r="B893" s="976" t="e">
        <f>'CNKT '!#REF!</f>
        <v>#REF!</v>
      </c>
      <c r="C893" s="822"/>
      <c r="D893" s="976" t="s">
        <v>398</v>
      </c>
      <c r="E893" s="976" t="s">
        <v>20</v>
      </c>
      <c r="F893" s="882"/>
      <c r="G893" s="837" t="s">
        <v>17</v>
      </c>
      <c r="H893" s="976" t="e">
        <f>'CNKT '!#REF!</f>
        <v>#REF!</v>
      </c>
      <c r="I893" s="822"/>
      <c r="J893" s="976" t="s">
        <v>398</v>
      </c>
      <c r="K893" s="976" t="s">
        <v>20</v>
      </c>
      <c r="L893" s="818"/>
    </row>
    <row r="894" spans="1:12" s="31" customFormat="1" ht="17.25" customHeight="1">
      <c r="A894" s="821" t="s">
        <v>399</v>
      </c>
      <c r="B894" s="978" t="s">
        <v>559</v>
      </c>
      <c r="C894" s="822" t="e">
        <f>VLOOKUP(B893,'BTH mủ tạp'!#REF!,36,0)</f>
        <v>#REF!</v>
      </c>
      <c r="D894" s="823"/>
      <c r="E894" s="823"/>
      <c r="F894" s="882"/>
      <c r="G894" s="821" t="s">
        <v>399</v>
      </c>
      <c r="H894" s="978" t="s">
        <v>559</v>
      </c>
      <c r="I894" s="822" t="e">
        <f>VLOOKUP(H893,'BTH mủ tạp'!#REF!,36,0)</f>
        <v>#REF!</v>
      </c>
      <c r="J894" s="823"/>
      <c r="K894" s="823"/>
      <c r="L894" s="818"/>
    </row>
    <row r="895" spans="1:12" s="31" customFormat="1" ht="17.25" customHeight="1">
      <c r="A895" s="821" t="s">
        <v>79</v>
      </c>
      <c r="B895" s="979" t="s">
        <v>432</v>
      </c>
      <c r="C895" s="824" t="e">
        <f>VLOOKUP(B893,'CNKT '!#REF!,3,0)</f>
        <v>#REF!</v>
      </c>
      <c r="D895" s="825">
        <v>25000</v>
      </c>
      <c r="E895" s="823" t="e">
        <f t="shared" ref="E895:E900" si="103">C895*D895</f>
        <v>#REF!</v>
      </c>
      <c r="F895" s="882"/>
      <c r="G895" s="821" t="s">
        <v>79</v>
      </c>
      <c r="H895" s="979" t="s">
        <v>432</v>
      </c>
      <c r="I895" s="824" t="e">
        <f>VLOOKUP(H893,'CNKT '!#REF!,3,0)</f>
        <v>#REF!</v>
      </c>
      <c r="J895" s="825">
        <v>25000</v>
      </c>
      <c r="K895" s="823" t="e">
        <f t="shared" ref="K895:K900" si="104">I895*J895</f>
        <v>#REF!</v>
      </c>
      <c r="L895" s="818"/>
    </row>
    <row r="896" spans="1:12" s="31" customFormat="1" ht="17.25" customHeight="1">
      <c r="A896" s="821" t="s">
        <v>310</v>
      </c>
      <c r="B896" s="980" t="s">
        <v>560</v>
      </c>
      <c r="C896" s="879" t="e">
        <f>VLOOKUP(B893,'CNKT '!#REF!,11,0)</f>
        <v>#REF!</v>
      </c>
      <c r="D896" s="826">
        <f>46.1*$B$2</f>
        <v>30805.403000000002</v>
      </c>
      <c r="E896" s="823" t="e">
        <f t="shared" si="103"/>
        <v>#REF!</v>
      </c>
      <c r="F896" s="882"/>
      <c r="G896" s="821" t="s">
        <v>310</v>
      </c>
      <c r="H896" s="980" t="s">
        <v>560</v>
      </c>
      <c r="I896" s="879" t="e">
        <f>VLOOKUP(H893,'CNKT '!#REF!,11,0)</f>
        <v>#REF!</v>
      </c>
      <c r="J896" s="826">
        <f>46.1*$B$2</f>
        <v>30805.403000000002</v>
      </c>
      <c r="K896" s="823" t="e">
        <f t="shared" si="104"/>
        <v>#REF!</v>
      </c>
      <c r="L896" s="818"/>
    </row>
    <row r="897" spans="1:12" s="31" customFormat="1" ht="17.25" customHeight="1">
      <c r="A897" s="821" t="s">
        <v>401</v>
      </c>
      <c r="B897" s="980" t="s">
        <v>561</v>
      </c>
      <c r="C897" s="879" t="e">
        <f>VLOOKUP(B893,'CNKT '!#REF!,12,0)</f>
        <v>#REF!</v>
      </c>
      <c r="D897" s="825">
        <f>76.9*$B$2</f>
        <v>51386.887000000002</v>
      </c>
      <c r="E897" s="823" t="e">
        <f t="shared" si="103"/>
        <v>#REF!</v>
      </c>
      <c r="F897" s="882"/>
      <c r="G897" s="821" t="s">
        <v>401</v>
      </c>
      <c r="H897" s="980" t="s">
        <v>561</v>
      </c>
      <c r="I897" s="879" t="e">
        <f>VLOOKUP(H893,'CNKT '!#REF!,12,0)</f>
        <v>#REF!</v>
      </c>
      <c r="J897" s="825">
        <f>76.9*$B$2</f>
        <v>51386.887000000002</v>
      </c>
      <c r="K897" s="823" t="e">
        <f t="shared" si="104"/>
        <v>#REF!</v>
      </c>
      <c r="L897" s="818"/>
    </row>
    <row r="898" spans="1:12" s="31" customFormat="1" ht="17.25" customHeight="1">
      <c r="A898" s="821" t="s">
        <v>80</v>
      </c>
      <c r="B898" s="980" t="s">
        <v>562</v>
      </c>
      <c r="C898" s="879" t="e">
        <f>VLOOKUP(B893,'CNKT '!#REF!,8,0)</f>
        <v>#REF!</v>
      </c>
      <c r="D898" s="825" t="e">
        <f>IF(C894="A",6.1,IF(C894="B",5.8,IF(C894="C",5.5,IF(C894="C.",5.5,IF(C894="D",5.2)))))*$B$2</f>
        <v>#REF!</v>
      </c>
      <c r="E898" s="823" t="e">
        <f t="shared" si="103"/>
        <v>#REF!</v>
      </c>
      <c r="F898" s="882"/>
      <c r="G898" s="821" t="s">
        <v>80</v>
      </c>
      <c r="H898" s="980" t="s">
        <v>562</v>
      </c>
      <c r="I898" s="879" t="e">
        <f>VLOOKUP(H893,'CNKT '!#REF!,8,0)</f>
        <v>#REF!</v>
      </c>
      <c r="J898" s="825" t="e">
        <f>IF(I894="A",6.1,IF(I894="B",5.8,IF(I894="C",5.5,IF(I894="C.",5.5,IF(I894="D",5.2)))))*$B$2</f>
        <v>#REF!</v>
      </c>
      <c r="K898" s="823" t="e">
        <f t="shared" si="104"/>
        <v>#REF!</v>
      </c>
      <c r="L898" s="818"/>
    </row>
    <row r="899" spans="1:12" s="31" customFormat="1" ht="17.25" customHeight="1">
      <c r="A899" s="821" t="s">
        <v>495</v>
      </c>
      <c r="B899" s="980" t="s">
        <v>563</v>
      </c>
      <c r="C899" s="879" t="e">
        <f>VLOOKUP(B893,'CNKT '!#REF!,15,0)</f>
        <v>#REF!</v>
      </c>
      <c r="D899" s="826">
        <f>92.2*$B$2</f>
        <v>61610.806000000004</v>
      </c>
      <c r="E899" s="823" t="e">
        <f t="shared" si="103"/>
        <v>#REF!</v>
      </c>
      <c r="F899" s="882"/>
      <c r="G899" s="821" t="s">
        <v>495</v>
      </c>
      <c r="H899" s="980" t="s">
        <v>563</v>
      </c>
      <c r="I899" s="879" t="e">
        <f>VLOOKUP(H893,'CNKT '!#REF!,15,0)</f>
        <v>#REF!</v>
      </c>
      <c r="J899" s="826">
        <f>92.2*$B$2</f>
        <v>61610.806000000004</v>
      </c>
      <c r="K899" s="823" t="e">
        <f t="shared" si="104"/>
        <v>#REF!</v>
      </c>
      <c r="L899" s="818"/>
    </row>
    <row r="900" spans="1:12" s="31" customFormat="1" ht="17.25" customHeight="1">
      <c r="A900" s="821" t="s">
        <v>496</v>
      </c>
      <c r="B900" s="980" t="s">
        <v>500</v>
      </c>
      <c r="C900" s="879" t="e">
        <f>VLOOKUP(B893,'CNKT '!#REF!,16,0)</f>
        <v>#REF!</v>
      </c>
      <c r="D900" s="825">
        <f>153.8*$B$2</f>
        <v>102773.774</v>
      </c>
      <c r="E900" s="823" t="e">
        <f t="shared" si="103"/>
        <v>#REF!</v>
      </c>
      <c r="F900" s="882"/>
      <c r="G900" s="821" t="s">
        <v>496</v>
      </c>
      <c r="H900" s="980" t="s">
        <v>500</v>
      </c>
      <c r="I900" s="879" t="e">
        <f>VLOOKUP(H893,'CNKT '!#REF!,16,0)</f>
        <v>#REF!</v>
      </c>
      <c r="J900" s="825">
        <f>153.8*$B$2</f>
        <v>102773.774</v>
      </c>
      <c r="K900" s="823" t="e">
        <f t="shared" si="104"/>
        <v>#REF!</v>
      </c>
      <c r="L900" s="818"/>
    </row>
    <row r="901" spans="1:12" s="31" customFormat="1" ht="17.25" customHeight="1">
      <c r="A901" s="821" t="s">
        <v>455</v>
      </c>
      <c r="B901" s="980" t="s">
        <v>501</v>
      </c>
      <c r="C901" s="879" t="e">
        <f>VLOOKUP(B893,'CNKT '!#REF!,18,0)</f>
        <v>#REF!</v>
      </c>
      <c r="D901" s="825">
        <v>10000</v>
      </c>
      <c r="E901" s="823" t="e">
        <f>C901*D901</f>
        <v>#REF!</v>
      </c>
      <c r="F901" s="882"/>
      <c r="G901" s="821" t="s">
        <v>455</v>
      </c>
      <c r="H901" s="980" t="s">
        <v>501</v>
      </c>
      <c r="I901" s="879" t="e">
        <f>VLOOKUP(H893,'CNKT '!#REF!,18,0)</f>
        <v>#REF!</v>
      </c>
      <c r="J901" s="825">
        <v>10000</v>
      </c>
      <c r="K901" s="823" t="e">
        <f>I901*J901</f>
        <v>#REF!</v>
      </c>
      <c r="L901" s="818"/>
    </row>
    <row r="902" spans="1:12" s="31" customFormat="1" ht="17.25" customHeight="1">
      <c r="A902" s="821" t="s">
        <v>455</v>
      </c>
      <c r="B902" s="980" t="s">
        <v>501</v>
      </c>
      <c r="C902" s="879" t="e">
        <f>VLOOKUP(B893,'CNKT '!#REF!,19,0)</f>
        <v>#REF!</v>
      </c>
      <c r="D902" s="825">
        <v>20000</v>
      </c>
      <c r="E902" s="823" t="e">
        <f>C902*D902</f>
        <v>#REF!</v>
      </c>
      <c r="F902" s="882"/>
      <c r="G902" s="821" t="s">
        <v>455</v>
      </c>
      <c r="H902" s="980" t="s">
        <v>501</v>
      </c>
      <c r="I902" s="879" t="e">
        <f>VLOOKUP(H893,'CNKT '!#REF!,19,0)</f>
        <v>#REF!</v>
      </c>
      <c r="J902" s="825">
        <v>20000</v>
      </c>
      <c r="K902" s="823" t="e">
        <f>I902*J902</f>
        <v>#REF!</v>
      </c>
      <c r="L902" s="818"/>
    </row>
    <row r="903" spans="1:12" s="31" customFormat="1" ht="17.25" customHeight="1">
      <c r="A903" s="821" t="s">
        <v>517</v>
      </c>
      <c r="B903" s="980" t="s">
        <v>519</v>
      </c>
      <c r="C903" s="879"/>
      <c r="D903" s="825"/>
      <c r="E903" s="823"/>
      <c r="F903" s="882"/>
      <c r="G903" s="821" t="s">
        <v>517</v>
      </c>
      <c r="H903" s="980" t="s">
        <v>519</v>
      </c>
      <c r="I903" s="879"/>
      <c r="J903" s="825"/>
      <c r="K903" s="823"/>
      <c r="L903" s="818"/>
    </row>
    <row r="904" spans="1:12" s="31" customFormat="1" ht="17.25" customHeight="1">
      <c r="A904" s="827" t="s">
        <v>81</v>
      </c>
      <c r="B904" s="981" t="s">
        <v>564</v>
      </c>
      <c r="C904" s="828"/>
      <c r="D904" s="829"/>
      <c r="E904" s="828"/>
      <c r="F904" s="882"/>
      <c r="G904" s="827" t="s">
        <v>81</v>
      </c>
      <c r="H904" s="981" t="s">
        <v>564</v>
      </c>
      <c r="I904" s="828"/>
      <c r="J904" s="829"/>
      <c r="K904" s="828"/>
      <c r="L904" s="818"/>
    </row>
    <row r="905" spans="1:12" s="31" customFormat="1" ht="17.25" customHeight="1">
      <c r="A905" s="830" t="s">
        <v>82</v>
      </c>
      <c r="B905" s="982" t="s">
        <v>565</v>
      </c>
      <c r="C905" s="828"/>
      <c r="D905" s="828"/>
      <c r="E905" s="828"/>
      <c r="F905" s="882"/>
      <c r="G905" s="830" t="s">
        <v>82</v>
      </c>
      <c r="H905" s="982" t="s">
        <v>565</v>
      </c>
      <c r="I905" s="828"/>
      <c r="J905" s="828"/>
      <c r="K905" s="828"/>
      <c r="L905" s="818"/>
    </row>
    <row r="906" spans="1:12" s="31" customFormat="1" ht="17.25" customHeight="1">
      <c r="A906" s="830" t="s">
        <v>83</v>
      </c>
      <c r="B906" s="983" t="s">
        <v>566</v>
      </c>
      <c r="C906" s="828"/>
      <c r="D906" s="828"/>
      <c r="E906" s="823">
        <f>SUM(E905)</f>
        <v>0</v>
      </c>
      <c r="F906" s="878"/>
      <c r="G906" s="830" t="s">
        <v>83</v>
      </c>
      <c r="H906" s="983" t="s">
        <v>566</v>
      </c>
      <c r="I906" s="828"/>
      <c r="J906" s="828"/>
      <c r="K906" s="823">
        <f>SUM(K905)</f>
        <v>0</v>
      </c>
      <c r="L906" s="818"/>
    </row>
    <row r="907" spans="1:12" s="31" customFormat="1" ht="17.25" customHeight="1">
      <c r="A907" s="832" t="s">
        <v>84</v>
      </c>
      <c r="B907" s="984" t="s">
        <v>438</v>
      </c>
      <c r="C907" s="833"/>
      <c r="D907" s="833"/>
      <c r="E907" s="833" t="e">
        <f>(E895+E896+E897+E898+E899+E900+E901+E902+E903)-E906</f>
        <v>#REF!</v>
      </c>
      <c r="F907" s="878"/>
      <c r="G907" s="832" t="s">
        <v>84</v>
      </c>
      <c r="H907" s="984" t="s">
        <v>438</v>
      </c>
      <c r="I907" s="833"/>
      <c r="J907" s="833"/>
      <c r="K907" s="833" t="e">
        <f>(K895+K896+K897+K898+K899+K900+K901+K902+K903)-K906</f>
        <v>#REF!</v>
      </c>
      <c r="L907" s="835" t="e">
        <f>K907+E907</f>
        <v>#REF!</v>
      </c>
    </row>
    <row r="908" spans="1:12" s="31" customFormat="1" ht="9" customHeight="1">
      <c r="A908" s="870"/>
      <c r="B908" s="871"/>
      <c r="C908" s="872"/>
      <c r="D908" s="872"/>
      <c r="E908" s="872"/>
      <c r="F908" s="873"/>
      <c r="G908" s="972"/>
      <c r="H908" s="972"/>
      <c r="I908" s="972"/>
      <c r="J908" s="972"/>
      <c r="K908" s="874"/>
      <c r="L908" s="818"/>
    </row>
    <row r="909" spans="1:12" s="31" customFormat="1" ht="17.25" customHeight="1">
      <c r="A909" s="895" t="str">
        <f>A892</f>
        <v>LƯƠNG THÁNG 01/2025</v>
      </c>
      <c r="B909" s="895"/>
      <c r="C909" s="895"/>
      <c r="D909" s="895"/>
      <c r="E909" s="895" t="e">
        <f>VLOOKUP(B910,'CNKT '!#REF!,26,0)</f>
        <v>#REF!</v>
      </c>
      <c r="F909" s="873"/>
      <c r="G909" s="895" t="str">
        <f>A909</f>
        <v>LƯƠNG THÁNG 01/2025</v>
      </c>
      <c r="H909" s="895"/>
      <c r="I909" s="895"/>
      <c r="J909" s="895"/>
      <c r="K909" s="895" t="e">
        <f>VLOOKUP(H910,'CNKT '!#REF!,26,0)</f>
        <v>#REF!</v>
      </c>
      <c r="L909" s="818"/>
    </row>
    <row r="910" spans="1:12" s="31" customFormat="1" ht="17.25" customHeight="1">
      <c r="A910" s="837" t="s">
        <v>17</v>
      </c>
      <c r="B910" s="976" t="e">
        <f>'CNKT '!#REF!</f>
        <v>#REF!</v>
      </c>
      <c r="C910" s="822"/>
      <c r="D910" s="976" t="s">
        <v>398</v>
      </c>
      <c r="E910" s="976" t="s">
        <v>20</v>
      </c>
      <c r="F910" s="882"/>
      <c r="G910" s="837" t="s">
        <v>17</v>
      </c>
      <c r="H910" s="976" t="e">
        <f>'CNKT '!#REF!</f>
        <v>#REF!</v>
      </c>
      <c r="I910" s="822"/>
      <c r="J910" s="976" t="s">
        <v>398</v>
      </c>
      <c r="K910" s="976" t="s">
        <v>20</v>
      </c>
      <c r="L910" s="818"/>
    </row>
    <row r="911" spans="1:12" s="31" customFormat="1" ht="17.25" customHeight="1">
      <c r="A911" s="821" t="s">
        <v>399</v>
      </c>
      <c r="B911" s="978" t="s">
        <v>559</v>
      </c>
      <c r="C911" s="822" t="e">
        <f>VLOOKUP(B910,'BTH mủ tạp'!#REF!,36,0)</f>
        <v>#REF!</v>
      </c>
      <c r="D911" s="823"/>
      <c r="E911" s="823"/>
      <c r="F911" s="882"/>
      <c r="G911" s="821" t="s">
        <v>399</v>
      </c>
      <c r="H911" s="978" t="s">
        <v>559</v>
      </c>
      <c r="I911" s="822" t="e">
        <f>VLOOKUP(H910,'BTH mủ tạp'!#REF!,36,0)</f>
        <v>#REF!</v>
      </c>
      <c r="J911" s="823"/>
      <c r="K911" s="823"/>
      <c r="L911" s="818"/>
    </row>
    <row r="912" spans="1:12" s="31" customFormat="1" ht="17.25" customHeight="1">
      <c r="A912" s="821" t="s">
        <v>79</v>
      </c>
      <c r="B912" s="979" t="s">
        <v>432</v>
      </c>
      <c r="C912" s="824" t="e">
        <f>VLOOKUP(B910,'CNKT '!#REF!,3,0)</f>
        <v>#REF!</v>
      </c>
      <c r="D912" s="825">
        <v>25000</v>
      </c>
      <c r="E912" s="823" t="e">
        <f t="shared" ref="E912:E917" si="105">C912*D912</f>
        <v>#REF!</v>
      </c>
      <c r="F912" s="882"/>
      <c r="G912" s="821" t="s">
        <v>79</v>
      </c>
      <c r="H912" s="979" t="s">
        <v>432</v>
      </c>
      <c r="I912" s="824" t="e">
        <f>VLOOKUP(H910,'CNKT '!#REF!,3,0)</f>
        <v>#REF!</v>
      </c>
      <c r="J912" s="825">
        <v>25000</v>
      </c>
      <c r="K912" s="823" t="e">
        <f t="shared" ref="K912:K917" si="106">I912*J912</f>
        <v>#REF!</v>
      </c>
      <c r="L912" s="818"/>
    </row>
    <row r="913" spans="1:12" s="31" customFormat="1" ht="17.25" customHeight="1">
      <c r="A913" s="821" t="s">
        <v>310</v>
      </c>
      <c r="B913" s="980" t="s">
        <v>560</v>
      </c>
      <c r="C913" s="879" t="e">
        <f>VLOOKUP(B910,'CNKT '!#REF!,11,0)</f>
        <v>#REF!</v>
      </c>
      <c r="D913" s="826">
        <f>46.1*$B$2</f>
        <v>30805.403000000002</v>
      </c>
      <c r="E913" s="823" t="e">
        <f t="shared" si="105"/>
        <v>#REF!</v>
      </c>
      <c r="F913" s="882"/>
      <c r="G913" s="821" t="s">
        <v>310</v>
      </c>
      <c r="H913" s="980" t="s">
        <v>560</v>
      </c>
      <c r="I913" s="879" t="e">
        <f>VLOOKUP(H910,'CNKT '!#REF!,11,0)</f>
        <v>#REF!</v>
      </c>
      <c r="J913" s="826">
        <f>46.1*$B$2</f>
        <v>30805.403000000002</v>
      </c>
      <c r="K913" s="823" t="e">
        <f t="shared" si="106"/>
        <v>#REF!</v>
      </c>
      <c r="L913" s="818"/>
    </row>
    <row r="914" spans="1:12" s="31" customFormat="1" ht="17.25" customHeight="1">
      <c r="A914" s="821" t="s">
        <v>401</v>
      </c>
      <c r="B914" s="980" t="s">
        <v>561</v>
      </c>
      <c r="C914" s="879" t="e">
        <f>VLOOKUP(B910,'CNKT '!#REF!,12,0)</f>
        <v>#REF!</v>
      </c>
      <c r="D914" s="825">
        <f>76.9*$B$2</f>
        <v>51386.887000000002</v>
      </c>
      <c r="E914" s="823" t="e">
        <f t="shared" si="105"/>
        <v>#REF!</v>
      </c>
      <c r="F914" s="882"/>
      <c r="G914" s="821" t="s">
        <v>401</v>
      </c>
      <c r="H914" s="980" t="s">
        <v>561</v>
      </c>
      <c r="I914" s="879" t="e">
        <f>VLOOKUP(H910,'CNKT '!#REF!,12,0)</f>
        <v>#REF!</v>
      </c>
      <c r="J914" s="825">
        <f>76.9*$B$2</f>
        <v>51386.887000000002</v>
      </c>
      <c r="K914" s="823" t="e">
        <f t="shared" si="106"/>
        <v>#REF!</v>
      </c>
      <c r="L914" s="818"/>
    </row>
    <row r="915" spans="1:12" s="31" customFormat="1" ht="17.25" customHeight="1">
      <c r="A915" s="821" t="s">
        <v>80</v>
      </c>
      <c r="B915" s="980" t="s">
        <v>562</v>
      </c>
      <c r="C915" s="879" t="e">
        <f>VLOOKUP(B910,'CNKT '!#REF!,8,0)</f>
        <v>#REF!</v>
      </c>
      <c r="D915" s="825" t="e">
        <f>IF(C911="A",6.1,IF(C911="B",5.8,IF(C911="C",5.5,IF(C911="C.",5.5,IF(C911="D",5.2)))))*$B$2</f>
        <v>#REF!</v>
      </c>
      <c r="E915" s="823" t="e">
        <f t="shared" si="105"/>
        <v>#REF!</v>
      </c>
      <c r="F915" s="882"/>
      <c r="G915" s="821" t="s">
        <v>80</v>
      </c>
      <c r="H915" s="980" t="s">
        <v>562</v>
      </c>
      <c r="I915" s="879" t="e">
        <f>VLOOKUP(H910,'CNKT '!#REF!,8,0)</f>
        <v>#REF!</v>
      </c>
      <c r="J915" s="825" t="e">
        <f>IF(I911="A",6.1,IF(I911="B",5.8,IF(I911="C",5.5,IF(I911="C.",5.5,IF(I911="D",5.2)))))*$B$2</f>
        <v>#REF!</v>
      </c>
      <c r="K915" s="823" t="e">
        <f t="shared" si="106"/>
        <v>#REF!</v>
      </c>
      <c r="L915" s="818"/>
    </row>
    <row r="916" spans="1:12" s="31" customFormat="1" ht="17.25" customHeight="1">
      <c r="A916" s="821" t="s">
        <v>495</v>
      </c>
      <c r="B916" s="980" t="s">
        <v>563</v>
      </c>
      <c r="C916" s="879" t="e">
        <f>VLOOKUP(B910,'CNKT '!#REF!,15,0)</f>
        <v>#REF!</v>
      </c>
      <c r="D916" s="826">
        <f>92.2*$B$2</f>
        <v>61610.806000000004</v>
      </c>
      <c r="E916" s="823" t="e">
        <f t="shared" si="105"/>
        <v>#REF!</v>
      </c>
      <c r="F916" s="882"/>
      <c r="G916" s="821" t="s">
        <v>495</v>
      </c>
      <c r="H916" s="980" t="s">
        <v>563</v>
      </c>
      <c r="I916" s="879" t="e">
        <f>VLOOKUP(H910,'CNKT '!#REF!,15,0)</f>
        <v>#REF!</v>
      </c>
      <c r="J916" s="826">
        <f>92.2*$B$2</f>
        <v>61610.806000000004</v>
      </c>
      <c r="K916" s="823" t="e">
        <f t="shared" si="106"/>
        <v>#REF!</v>
      </c>
      <c r="L916" s="818"/>
    </row>
    <row r="917" spans="1:12" s="31" customFormat="1" ht="17.25" customHeight="1">
      <c r="A917" s="821" t="s">
        <v>496</v>
      </c>
      <c r="B917" s="980" t="s">
        <v>500</v>
      </c>
      <c r="C917" s="879" t="e">
        <f>VLOOKUP(B910,'CNKT '!#REF!,16,0)</f>
        <v>#REF!</v>
      </c>
      <c r="D917" s="825">
        <f>153.8*$B$2</f>
        <v>102773.774</v>
      </c>
      <c r="E917" s="823" t="e">
        <f t="shared" si="105"/>
        <v>#REF!</v>
      </c>
      <c r="F917" s="882"/>
      <c r="G917" s="821" t="s">
        <v>496</v>
      </c>
      <c r="H917" s="980" t="s">
        <v>500</v>
      </c>
      <c r="I917" s="879" t="e">
        <f>VLOOKUP(H910,'CNKT '!#REF!,16,0)</f>
        <v>#REF!</v>
      </c>
      <c r="J917" s="825">
        <f>153.8*$B$2</f>
        <v>102773.774</v>
      </c>
      <c r="K917" s="823" t="e">
        <f t="shared" si="106"/>
        <v>#REF!</v>
      </c>
      <c r="L917" s="818"/>
    </row>
    <row r="918" spans="1:12" s="31" customFormat="1" ht="17.25" customHeight="1">
      <c r="A918" s="821" t="s">
        <v>455</v>
      </c>
      <c r="B918" s="980" t="s">
        <v>501</v>
      </c>
      <c r="C918" s="879" t="e">
        <f>VLOOKUP(B910,'CNKT '!#REF!,18,0)</f>
        <v>#REF!</v>
      </c>
      <c r="D918" s="825">
        <v>10000</v>
      </c>
      <c r="E918" s="823" t="e">
        <f>C918*D918</f>
        <v>#REF!</v>
      </c>
      <c r="F918" s="882"/>
      <c r="G918" s="821" t="s">
        <v>455</v>
      </c>
      <c r="H918" s="980" t="s">
        <v>501</v>
      </c>
      <c r="I918" s="879" t="e">
        <f>VLOOKUP(H910,'CNKT '!#REF!,18,0)</f>
        <v>#REF!</v>
      </c>
      <c r="J918" s="825">
        <v>10000</v>
      </c>
      <c r="K918" s="823" t="e">
        <f>I918*J918</f>
        <v>#REF!</v>
      </c>
      <c r="L918" s="818"/>
    </row>
    <row r="919" spans="1:12" s="31" customFormat="1" ht="17.25" customHeight="1">
      <c r="A919" s="821" t="s">
        <v>455</v>
      </c>
      <c r="B919" s="980" t="s">
        <v>501</v>
      </c>
      <c r="C919" s="879" t="e">
        <f>VLOOKUP(B910,'CNKT '!#REF!,19,0)</f>
        <v>#REF!</v>
      </c>
      <c r="D919" s="825">
        <v>20000</v>
      </c>
      <c r="E919" s="823" t="e">
        <f>C919*D919</f>
        <v>#REF!</v>
      </c>
      <c r="F919" s="882"/>
      <c r="G919" s="821" t="s">
        <v>455</v>
      </c>
      <c r="H919" s="980" t="s">
        <v>501</v>
      </c>
      <c r="I919" s="879" t="e">
        <f>VLOOKUP(H910,'CNKT '!#REF!,19,0)</f>
        <v>#REF!</v>
      </c>
      <c r="J919" s="825">
        <v>20000</v>
      </c>
      <c r="K919" s="823" t="e">
        <f>I919*J919</f>
        <v>#REF!</v>
      </c>
      <c r="L919" s="818"/>
    </row>
    <row r="920" spans="1:12" s="31" customFormat="1" ht="17.25" customHeight="1">
      <c r="A920" s="821" t="s">
        <v>517</v>
      </c>
      <c r="B920" s="980" t="s">
        <v>519</v>
      </c>
      <c r="C920" s="879"/>
      <c r="D920" s="825"/>
      <c r="E920" s="823"/>
      <c r="F920" s="882"/>
      <c r="G920" s="821" t="s">
        <v>517</v>
      </c>
      <c r="H920" s="980" t="s">
        <v>519</v>
      </c>
      <c r="I920" s="879"/>
      <c r="J920" s="825"/>
      <c r="K920" s="823"/>
      <c r="L920" s="818"/>
    </row>
    <row r="921" spans="1:12" s="31" customFormat="1" ht="17.25" customHeight="1">
      <c r="A921" s="827" t="s">
        <v>81</v>
      </c>
      <c r="B921" s="981" t="s">
        <v>564</v>
      </c>
      <c r="C921" s="828"/>
      <c r="D921" s="829"/>
      <c r="E921" s="828"/>
      <c r="F921" s="882"/>
      <c r="G921" s="827" t="s">
        <v>81</v>
      </c>
      <c r="H921" s="981" t="s">
        <v>564</v>
      </c>
      <c r="I921" s="828"/>
      <c r="J921" s="829"/>
      <c r="K921" s="828"/>
      <c r="L921" s="818"/>
    </row>
    <row r="922" spans="1:12" s="31" customFormat="1" ht="17.25" customHeight="1">
      <c r="A922" s="830" t="s">
        <v>82</v>
      </c>
      <c r="B922" s="982" t="s">
        <v>565</v>
      </c>
      <c r="C922" s="828"/>
      <c r="D922" s="828"/>
      <c r="E922" s="828"/>
      <c r="F922" s="882"/>
      <c r="G922" s="830" t="s">
        <v>82</v>
      </c>
      <c r="H922" s="982" t="s">
        <v>565</v>
      </c>
      <c r="I922" s="828"/>
      <c r="J922" s="828"/>
      <c r="K922" s="828"/>
      <c r="L922" s="818"/>
    </row>
    <row r="923" spans="1:12" s="31" customFormat="1" ht="17.25" customHeight="1">
      <c r="A923" s="830" t="s">
        <v>83</v>
      </c>
      <c r="B923" s="983" t="s">
        <v>566</v>
      </c>
      <c r="C923" s="828"/>
      <c r="D923" s="828"/>
      <c r="E923" s="823">
        <f>SUM(E922)</f>
        <v>0</v>
      </c>
      <c r="F923" s="869"/>
      <c r="G923" s="830" t="s">
        <v>83</v>
      </c>
      <c r="H923" s="983" t="s">
        <v>566</v>
      </c>
      <c r="I923" s="828"/>
      <c r="J923" s="828"/>
      <c r="K923" s="823">
        <f>SUM(K922)</f>
        <v>0</v>
      </c>
      <c r="L923" s="818"/>
    </row>
    <row r="924" spans="1:12" s="31" customFormat="1" ht="17.25" customHeight="1">
      <c r="A924" s="832" t="s">
        <v>84</v>
      </c>
      <c r="B924" s="984" t="s">
        <v>438</v>
      </c>
      <c r="C924" s="833"/>
      <c r="D924" s="833"/>
      <c r="E924" s="833" t="e">
        <f>(E912+E913+E914+E915+E916+E917+E918+E919+E920)-E923</f>
        <v>#REF!</v>
      </c>
      <c r="F924" s="869"/>
      <c r="G924" s="832" t="s">
        <v>84</v>
      </c>
      <c r="H924" s="984" t="s">
        <v>438</v>
      </c>
      <c r="I924" s="833"/>
      <c r="J924" s="833"/>
      <c r="K924" s="833" t="e">
        <f>(K912+K913+K914+K915+K916+K917+K918+K919+K920)-K923</f>
        <v>#REF!</v>
      </c>
      <c r="L924" s="835" t="e">
        <f>E924+K924</f>
        <v>#REF!</v>
      </c>
    </row>
    <row r="925" spans="1:12" s="31" customFormat="1" ht="17.25" customHeight="1">
      <c r="A925" s="870"/>
      <c r="B925" s="871"/>
      <c r="C925" s="872"/>
      <c r="D925" s="872"/>
      <c r="E925" s="872"/>
      <c r="F925" s="873"/>
      <c r="G925" s="972"/>
      <c r="H925" s="972"/>
      <c r="I925" s="972"/>
      <c r="J925" s="972"/>
      <c r="K925" s="874"/>
      <c r="L925" s="818"/>
    </row>
    <row r="926" spans="1:12" s="31" customFormat="1" ht="17.25" customHeight="1">
      <c r="A926" s="895" t="str">
        <f>A909</f>
        <v>LƯƠNG THÁNG 01/2025</v>
      </c>
      <c r="B926" s="895"/>
      <c r="C926" s="895"/>
      <c r="D926" s="895"/>
      <c r="E926" s="895" t="e">
        <f>VLOOKUP(B927,'CNKT '!#REF!,26,0)</f>
        <v>#REF!</v>
      </c>
      <c r="F926" s="873"/>
      <c r="G926" s="895" t="str">
        <f>A926</f>
        <v>LƯƠNG THÁNG 01/2025</v>
      </c>
      <c r="H926" s="895"/>
      <c r="I926" s="895"/>
      <c r="J926" s="895"/>
      <c r="K926" s="895" t="e">
        <f>VLOOKUP(H927,'CNKT '!#REF!,26,0)</f>
        <v>#REF!</v>
      </c>
      <c r="L926" s="818"/>
    </row>
    <row r="927" spans="1:12" s="31" customFormat="1" ht="17.25" customHeight="1">
      <c r="A927" s="837" t="s">
        <v>17</v>
      </c>
      <c r="B927" s="976" t="e">
        <f>'CNKT '!#REF!</f>
        <v>#REF!</v>
      </c>
      <c r="C927" s="822"/>
      <c r="D927" s="976" t="s">
        <v>398</v>
      </c>
      <c r="E927" s="976" t="s">
        <v>20</v>
      </c>
      <c r="F927" s="882"/>
      <c r="G927" s="837" t="s">
        <v>17</v>
      </c>
      <c r="H927" s="976" t="e">
        <f>'CNKT '!#REF!</f>
        <v>#REF!</v>
      </c>
      <c r="I927" s="822"/>
      <c r="J927" s="976" t="s">
        <v>398</v>
      </c>
      <c r="K927" s="976" t="s">
        <v>20</v>
      </c>
      <c r="L927" s="818"/>
    </row>
    <row r="928" spans="1:12" s="31" customFormat="1" ht="17.25" customHeight="1">
      <c r="A928" s="821" t="s">
        <v>399</v>
      </c>
      <c r="B928" s="978" t="s">
        <v>559</v>
      </c>
      <c r="C928" s="822" t="e">
        <f>VLOOKUP(B927,'BTH mủ tạp'!#REF!,36,0)</f>
        <v>#REF!</v>
      </c>
      <c r="D928" s="823"/>
      <c r="E928" s="823"/>
      <c r="F928" s="882"/>
      <c r="G928" s="821" t="s">
        <v>399</v>
      </c>
      <c r="H928" s="978" t="s">
        <v>559</v>
      </c>
      <c r="I928" s="822" t="e">
        <f>VLOOKUP(H927,'BTH mủ tạp'!#REF!,36,0)</f>
        <v>#REF!</v>
      </c>
      <c r="J928" s="823"/>
      <c r="K928" s="823"/>
      <c r="L928" s="818"/>
    </row>
    <row r="929" spans="1:12" s="31" customFormat="1" ht="17.25" customHeight="1">
      <c r="A929" s="821" t="s">
        <v>79</v>
      </c>
      <c r="B929" s="979" t="s">
        <v>432</v>
      </c>
      <c r="C929" s="824" t="e">
        <f>VLOOKUP(B927,'CNKT '!#REF!,3,0)</f>
        <v>#REF!</v>
      </c>
      <c r="D929" s="825">
        <v>25000</v>
      </c>
      <c r="E929" s="823" t="e">
        <f t="shared" ref="E929:E934" si="107">C929*D929</f>
        <v>#REF!</v>
      </c>
      <c r="F929" s="882"/>
      <c r="G929" s="821" t="s">
        <v>79</v>
      </c>
      <c r="H929" s="979" t="s">
        <v>432</v>
      </c>
      <c r="I929" s="824" t="e">
        <f>VLOOKUP(H927,'CNKT '!#REF!,3,0)</f>
        <v>#REF!</v>
      </c>
      <c r="J929" s="825">
        <v>25000</v>
      </c>
      <c r="K929" s="823" t="e">
        <f t="shared" ref="K929:K934" si="108">I929*J929</f>
        <v>#REF!</v>
      </c>
      <c r="L929" s="818"/>
    </row>
    <row r="930" spans="1:12" s="31" customFormat="1" ht="17.25" customHeight="1">
      <c r="A930" s="821" t="s">
        <v>310</v>
      </c>
      <c r="B930" s="980" t="s">
        <v>560</v>
      </c>
      <c r="C930" s="879" t="e">
        <f>VLOOKUP(B927,'CNKT '!#REF!,11,0)</f>
        <v>#REF!</v>
      </c>
      <c r="D930" s="826">
        <f>46.1*$B$2</f>
        <v>30805.403000000002</v>
      </c>
      <c r="E930" s="823" t="e">
        <f t="shared" si="107"/>
        <v>#REF!</v>
      </c>
      <c r="F930" s="882"/>
      <c r="G930" s="821" t="s">
        <v>310</v>
      </c>
      <c r="H930" s="980" t="s">
        <v>560</v>
      </c>
      <c r="I930" s="879" t="e">
        <f>VLOOKUP(H927,'CNKT '!#REF!,11,0)</f>
        <v>#REF!</v>
      </c>
      <c r="J930" s="826">
        <f>46.1*$B$2</f>
        <v>30805.403000000002</v>
      </c>
      <c r="K930" s="823" t="e">
        <f t="shared" si="108"/>
        <v>#REF!</v>
      </c>
      <c r="L930" s="818"/>
    </row>
    <row r="931" spans="1:12" s="31" customFormat="1" ht="17.25" customHeight="1">
      <c r="A931" s="821" t="s">
        <v>401</v>
      </c>
      <c r="B931" s="980" t="s">
        <v>561</v>
      </c>
      <c r="C931" s="879" t="e">
        <f>VLOOKUP(B927,'CNKT '!#REF!,12,0)</f>
        <v>#REF!</v>
      </c>
      <c r="D931" s="825">
        <f>76.9*$B$2</f>
        <v>51386.887000000002</v>
      </c>
      <c r="E931" s="823" t="e">
        <f t="shared" si="107"/>
        <v>#REF!</v>
      </c>
      <c r="F931" s="882"/>
      <c r="G931" s="821" t="s">
        <v>401</v>
      </c>
      <c r="H931" s="980" t="s">
        <v>561</v>
      </c>
      <c r="I931" s="879" t="e">
        <f>VLOOKUP(H927,'CNKT '!#REF!,12,0)</f>
        <v>#REF!</v>
      </c>
      <c r="J931" s="825">
        <f>76.9*$B$2</f>
        <v>51386.887000000002</v>
      </c>
      <c r="K931" s="823" t="e">
        <f t="shared" si="108"/>
        <v>#REF!</v>
      </c>
      <c r="L931" s="818"/>
    </row>
    <row r="932" spans="1:12" s="31" customFormat="1" ht="17.25" customHeight="1">
      <c r="A932" s="821" t="s">
        <v>80</v>
      </c>
      <c r="B932" s="980" t="s">
        <v>562</v>
      </c>
      <c r="C932" s="879" t="e">
        <f>VLOOKUP(B927,'CNKT '!#REF!,8,0)</f>
        <v>#REF!</v>
      </c>
      <c r="D932" s="825" t="e">
        <f>IF(C928="A",6.1,IF(C928="B",5.8,IF(C928="C",5.5,IF(C928="C.",5.5,IF(C928="D",5.2)))))*$B$2</f>
        <v>#REF!</v>
      </c>
      <c r="E932" s="823" t="e">
        <f t="shared" si="107"/>
        <v>#REF!</v>
      </c>
      <c r="F932" s="882"/>
      <c r="G932" s="821" t="s">
        <v>80</v>
      </c>
      <c r="H932" s="980" t="s">
        <v>562</v>
      </c>
      <c r="I932" s="879" t="e">
        <f>VLOOKUP(H927,'CNKT '!#REF!,8,0)</f>
        <v>#REF!</v>
      </c>
      <c r="J932" s="825" t="e">
        <f>IF(I928="A",6.1,IF(I928="B",5.8,IF(I928="C",5.5,IF(I928="C.",5.5,IF(I928="D",5.2)))))*$B$2</f>
        <v>#REF!</v>
      </c>
      <c r="K932" s="823" t="e">
        <f t="shared" si="108"/>
        <v>#REF!</v>
      </c>
      <c r="L932" s="818"/>
    </row>
    <row r="933" spans="1:12" s="31" customFormat="1" ht="17.25" customHeight="1">
      <c r="A933" s="821" t="s">
        <v>495</v>
      </c>
      <c r="B933" s="980" t="s">
        <v>563</v>
      </c>
      <c r="C933" s="879" t="e">
        <f>VLOOKUP(B927,'CNKT '!#REF!,15,0)</f>
        <v>#REF!</v>
      </c>
      <c r="D933" s="826">
        <f>92.2*$B$2</f>
        <v>61610.806000000004</v>
      </c>
      <c r="E933" s="823" t="e">
        <f t="shared" si="107"/>
        <v>#REF!</v>
      </c>
      <c r="F933" s="882"/>
      <c r="G933" s="821" t="s">
        <v>495</v>
      </c>
      <c r="H933" s="980" t="s">
        <v>563</v>
      </c>
      <c r="I933" s="879" t="e">
        <f>VLOOKUP(H927,'CNKT '!#REF!,15,0)</f>
        <v>#REF!</v>
      </c>
      <c r="J933" s="826">
        <f>92.2*$B$2</f>
        <v>61610.806000000004</v>
      </c>
      <c r="K933" s="823" t="e">
        <f t="shared" si="108"/>
        <v>#REF!</v>
      </c>
      <c r="L933" s="818"/>
    </row>
    <row r="934" spans="1:12" s="31" customFormat="1" ht="17.25" customHeight="1">
      <c r="A934" s="821" t="s">
        <v>496</v>
      </c>
      <c r="B934" s="980" t="s">
        <v>500</v>
      </c>
      <c r="C934" s="879" t="e">
        <f>VLOOKUP(B927,'CNKT '!#REF!,16,0)</f>
        <v>#REF!</v>
      </c>
      <c r="D934" s="825">
        <f>153.8*$B$2</f>
        <v>102773.774</v>
      </c>
      <c r="E934" s="823" t="e">
        <f t="shared" si="107"/>
        <v>#REF!</v>
      </c>
      <c r="F934" s="882"/>
      <c r="G934" s="821" t="s">
        <v>496</v>
      </c>
      <c r="H934" s="980" t="s">
        <v>500</v>
      </c>
      <c r="I934" s="879" t="e">
        <f>VLOOKUP(H927,'CNKT '!#REF!,16,0)</f>
        <v>#REF!</v>
      </c>
      <c r="J934" s="825">
        <f>153.8*$B$2</f>
        <v>102773.774</v>
      </c>
      <c r="K934" s="823" t="e">
        <f t="shared" si="108"/>
        <v>#REF!</v>
      </c>
      <c r="L934" s="818"/>
    </row>
    <row r="935" spans="1:12" s="31" customFormat="1" ht="17.25" customHeight="1">
      <c r="A935" s="821" t="s">
        <v>455</v>
      </c>
      <c r="B935" s="980" t="s">
        <v>501</v>
      </c>
      <c r="C935" s="879" t="e">
        <f>VLOOKUP(B927,'CNKT '!#REF!,18,0)</f>
        <v>#REF!</v>
      </c>
      <c r="D935" s="825">
        <v>10000</v>
      </c>
      <c r="E935" s="823" t="e">
        <f>C935*D935</f>
        <v>#REF!</v>
      </c>
      <c r="F935" s="882"/>
      <c r="G935" s="821" t="s">
        <v>455</v>
      </c>
      <c r="H935" s="980" t="s">
        <v>501</v>
      </c>
      <c r="I935" s="879" t="e">
        <f>VLOOKUP(H927,'CNKT '!#REF!,18,0)</f>
        <v>#REF!</v>
      </c>
      <c r="J935" s="825">
        <v>10000</v>
      </c>
      <c r="K935" s="823" t="e">
        <f>I935*J935</f>
        <v>#REF!</v>
      </c>
      <c r="L935" s="818"/>
    </row>
    <row r="936" spans="1:12" s="31" customFormat="1" ht="17.25" customHeight="1">
      <c r="A936" s="821" t="s">
        <v>455</v>
      </c>
      <c r="B936" s="980" t="s">
        <v>501</v>
      </c>
      <c r="C936" s="879" t="e">
        <f>VLOOKUP(B927,'CNKT '!#REF!,19,0)</f>
        <v>#REF!</v>
      </c>
      <c r="D936" s="825">
        <v>20000</v>
      </c>
      <c r="E936" s="823" t="e">
        <f>C936*D936</f>
        <v>#REF!</v>
      </c>
      <c r="F936" s="882"/>
      <c r="G936" s="821" t="s">
        <v>455</v>
      </c>
      <c r="H936" s="980" t="s">
        <v>501</v>
      </c>
      <c r="I936" s="879" t="e">
        <f>VLOOKUP(H927,'CNKT '!#REF!,19,0)</f>
        <v>#REF!</v>
      </c>
      <c r="J936" s="825">
        <v>20000</v>
      </c>
      <c r="K936" s="823" t="e">
        <f>I936*J936</f>
        <v>#REF!</v>
      </c>
      <c r="L936" s="818"/>
    </row>
    <row r="937" spans="1:12" s="31" customFormat="1" ht="17.25" customHeight="1">
      <c r="A937" s="821" t="s">
        <v>517</v>
      </c>
      <c r="B937" s="980" t="s">
        <v>519</v>
      </c>
      <c r="C937" s="879"/>
      <c r="D937" s="825"/>
      <c r="E937" s="823"/>
      <c r="F937" s="882"/>
      <c r="G937" s="821" t="s">
        <v>517</v>
      </c>
      <c r="H937" s="980" t="s">
        <v>519</v>
      </c>
      <c r="I937" s="879"/>
      <c r="J937" s="825"/>
      <c r="K937" s="823"/>
      <c r="L937" s="818"/>
    </row>
    <row r="938" spans="1:12" s="31" customFormat="1" ht="17.25" customHeight="1">
      <c r="A938" s="827" t="s">
        <v>81</v>
      </c>
      <c r="B938" s="981" t="s">
        <v>564</v>
      </c>
      <c r="C938" s="828"/>
      <c r="D938" s="829"/>
      <c r="E938" s="828"/>
      <c r="F938" s="882"/>
      <c r="G938" s="827" t="s">
        <v>81</v>
      </c>
      <c r="H938" s="981" t="s">
        <v>564</v>
      </c>
      <c r="I938" s="828"/>
      <c r="J938" s="829"/>
      <c r="K938" s="828"/>
      <c r="L938" s="818"/>
    </row>
    <row r="939" spans="1:12" s="31" customFormat="1" ht="17.25" customHeight="1">
      <c r="A939" s="830" t="s">
        <v>82</v>
      </c>
      <c r="B939" s="982" t="s">
        <v>565</v>
      </c>
      <c r="C939" s="828"/>
      <c r="D939" s="828"/>
      <c r="E939" s="828"/>
      <c r="F939" s="882"/>
      <c r="G939" s="830" t="s">
        <v>82</v>
      </c>
      <c r="H939" s="982" t="s">
        <v>565</v>
      </c>
      <c r="I939" s="828"/>
      <c r="J939" s="828"/>
      <c r="K939" s="828"/>
      <c r="L939" s="818"/>
    </row>
    <row r="940" spans="1:12" s="31" customFormat="1" ht="17.25" customHeight="1">
      <c r="A940" s="830" t="s">
        <v>83</v>
      </c>
      <c r="B940" s="983" t="s">
        <v>566</v>
      </c>
      <c r="C940" s="828"/>
      <c r="D940" s="828"/>
      <c r="E940" s="823">
        <f>SUM(E939)</f>
        <v>0</v>
      </c>
      <c r="F940" s="879"/>
      <c r="G940" s="830" t="s">
        <v>83</v>
      </c>
      <c r="H940" s="983" t="s">
        <v>566</v>
      </c>
      <c r="I940" s="828"/>
      <c r="J940" s="828"/>
      <c r="K940" s="823">
        <f>SUM(K939)</f>
        <v>0</v>
      </c>
      <c r="L940" s="818"/>
    </row>
    <row r="941" spans="1:12" s="31" customFormat="1" ht="17.25" customHeight="1">
      <c r="A941" s="832" t="s">
        <v>84</v>
      </c>
      <c r="B941" s="984" t="s">
        <v>438</v>
      </c>
      <c r="C941" s="833"/>
      <c r="D941" s="833"/>
      <c r="E941" s="833" t="e">
        <f>(E929+E930+E931+E932+E933+E934+E935+E936+E937)-E940</f>
        <v>#REF!</v>
      </c>
      <c r="F941" s="879"/>
      <c r="G941" s="832" t="s">
        <v>84</v>
      </c>
      <c r="H941" s="984" t="s">
        <v>438</v>
      </c>
      <c r="I941" s="833"/>
      <c r="J941" s="833"/>
      <c r="K941" s="833" t="e">
        <f>(K929+K930+K931+K932+K933+K934+K935+K936+K937)-K940</f>
        <v>#REF!</v>
      </c>
      <c r="L941" s="835" t="e">
        <f>E941+K941</f>
        <v>#REF!</v>
      </c>
    </row>
    <row r="942" spans="1:12" s="31" customFormat="1" ht="6.75" customHeight="1">
      <c r="A942" s="870"/>
      <c r="B942" s="871"/>
      <c r="C942" s="872"/>
      <c r="D942" s="872"/>
      <c r="E942" s="872"/>
      <c r="F942" s="873"/>
      <c r="G942" s="972"/>
      <c r="H942" s="972"/>
      <c r="I942" s="972"/>
      <c r="J942" s="972"/>
      <c r="K942" s="874"/>
      <c r="L942" s="818"/>
    </row>
    <row r="943" spans="1:12" s="31" customFormat="1" ht="17.25" customHeight="1">
      <c r="A943" s="895" t="str">
        <f>A926</f>
        <v>LƯƠNG THÁNG 01/2025</v>
      </c>
      <c r="B943" s="895"/>
      <c r="C943" s="895"/>
      <c r="D943" s="895"/>
      <c r="E943" s="895" t="e">
        <f>VLOOKUP(B944,'CNKT '!#REF!,26,0)</f>
        <v>#REF!</v>
      </c>
      <c r="F943" s="873"/>
      <c r="G943" s="895" t="str">
        <f>A943</f>
        <v>LƯƠNG THÁNG 01/2025</v>
      </c>
      <c r="H943" s="895"/>
      <c r="I943" s="895"/>
      <c r="J943" s="895"/>
      <c r="K943" s="895" t="e">
        <f>VLOOKUP(H944,'CNKT '!#REF!,26,0)</f>
        <v>#REF!</v>
      </c>
      <c r="L943" s="818"/>
    </row>
    <row r="944" spans="1:12" s="31" customFormat="1" ht="17.25" customHeight="1">
      <c r="A944" s="837" t="s">
        <v>17</v>
      </c>
      <c r="B944" s="976" t="e">
        <f>'CNKT '!#REF!</f>
        <v>#REF!</v>
      </c>
      <c r="C944" s="822"/>
      <c r="D944" s="976" t="s">
        <v>398</v>
      </c>
      <c r="E944" s="976" t="s">
        <v>20</v>
      </c>
      <c r="F944" s="882"/>
      <c r="G944" s="837" t="s">
        <v>17</v>
      </c>
      <c r="H944" s="976" t="e">
        <f>'CNKT '!#REF!</f>
        <v>#REF!</v>
      </c>
      <c r="I944" s="822"/>
      <c r="J944" s="976" t="s">
        <v>398</v>
      </c>
      <c r="K944" s="976" t="s">
        <v>20</v>
      </c>
      <c r="L944" s="818"/>
    </row>
    <row r="945" spans="1:12" s="31" customFormat="1" ht="17.25" customHeight="1">
      <c r="A945" s="821" t="s">
        <v>399</v>
      </c>
      <c r="B945" s="978" t="s">
        <v>559</v>
      </c>
      <c r="C945" s="822" t="e">
        <f>VLOOKUP(B944,'BTH mủ tạp'!#REF!,36,0)</f>
        <v>#REF!</v>
      </c>
      <c r="D945" s="823"/>
      <c r="E945" s="823"/>
      <c r="F945" s="882"/>
      <c r="G945" s="821" t="s">
        <v>399</v>
      </c>
      <c r="H945" s="978" t="s">
        <v>559</v>
      </c>
      <c r="I945" s="822" t="e">
        <f>VLOOKUP(H944,'BTH mủ tạp'!#REF!,36,0)</f>
        <v>#REF!</v>
      </c>
      <c r="J945" s="823"/>
      <c r="K945" s="823"/>
      <c r="L945" s="818"/>
    </row>
    <row r="946" spans="1:12" s="31" customFormat="1" ht="17.25" customHeight="1">
      <c r="A946" s="821" t="s">
        <v>79</v>
      </c>
      <c r="B946" s="979" t="s">
        <v>432</v>
      </c>
      <c r="C946" s="824" t="e">
        <f>VLOOKUP(B944,'CNKT '!#REF!,3,0)</f>
        <v>#REF!</v>
      </c>
      <c r="D946" s="825">
        <v>25000</v>
      </c>
      <c r="E946" s="823" t="e">
        <f t="shared" ref="E946:E951" si="109">C946*D946</f>
        <v>#REF!</v>
      </c>
      <c r="F946" s="882"/>
      <c r="G946" s="821" t="s">
        <v>79</v>
      </c>
      <c r="H946" s="979" t="s">
        <v>432</v>
      </c>
      <c r="I946" s="824" t="e">
        <f>VLOOKUP(H944,'CNKT '!#REF!,3,0)</f>
        <v>#REF!</v>
      </c>
      <c r="J946" s="825">
        <v>25000</v>
      </c>
      <c r="K946" s="823" t="e">
        <f t="shared" ref="K946:K951" si="110">I946*J946</f>
        <v>#REF!</v>
      </c>
      <c r="L946" s="818"/>
    </row>
    <row r="947" spans="1:12" s="31" customFormat="1" ht="17.25" customHeight="1">
      <c r="A947" s="821" t="s">
        <v>310</v>
      </c>
      <c r="B947" s="980" t="s">
        <v>560</v>
      </c>
      <c r="C947" s="879" t="e">
        <f>VLOOKUP(B944,'CNKT '!#REF!,11,0)</f>
        <v>#REF!</v>
      </c>
      <c r="D947" s="826">
        <f>46.1*$B$2</f>
        <v>30805.403000000002</v>
      </c>
      <c r="E947" s="823" t="e">
        <f t="shared" si="109"/>
        <v>#REF!</v>
      </c>
      <c r="F947" s="882"/>
      <c r="G947" s="821" t="s">
        <v>310</v>
      </c>
      <c r="H947" s="980" t="s">
        <v>560</v>
      </c>
      <c r="I947" s="879" t="e">
        <f>VLOOKUP(H944,'CNKT '!#REF!,11,0)</f>
        <v>#REF!</v>
      </c>
      <c r="J947" s="826">
        <f>46.1*$B$2</f>
        <v>30805.403000000002</v>
      </c>
      <c r="K947" s="823" t="e">
        <f t="shared" si="110"/>
        <v>#REF!</v>
      </c>
      <c r="L947" s="818"/>
    </row>
    <row r="948" spans="1:12" s="31" customFormat="1" ht="17.25" customHeight="1">
      <c r="A948" s="821" t="s">
        <v>401</v>
      </c>
      <c r="B948" s="980" t="s">
        <v>561</v>
      </c>
      <c r="C948" s="879" t="e">
        <f>VLOOKUP(B944,'CNKT '!#REF!,12,0)</f>
        <v>#REF!</v>
      </c>
      <c r="D948" s="825">
        <f>76.9*$B$2</f>
        <v>51386.887000000002</v>
      </c>
      <c r="E948" s="823" t="e">
        <f t="shared" si="109"/>
        <v>#REF!</v>
      </c>
      <c r="F948" s="882"/>
      <c r="G948" s="821" t="s">
        <v>401</v>
      </c>
      <c r="H948" s="980" t="s">
        <v>561</v>
      </c>
      <c r="I948" s="879" t="e">
        <f>VLOOKUP(H944,'CNKT '!#REF!,12,0)</f>
        <v>#REF!</v>
      </c>
      <c r="J948" s="825">
        <f>76.9*$B$2</f>
        <v>51386.887000000002</v>
      </c>
      <c r="K948" s="823" t="e">
        <f t="shared" si="110"/>
        <v>#REF!</v>
      </c>
      <c r="L948" s="818"/>
    </row>
    <row r="949" spans="1:12" s="31" customFormat="1" ht="17.25" customHeight="1">
      <c r="A949" s="821" t="s">
        <v>80</v>
      </c>
      <c r="B949" s="980" t="s">
        <v>562</v>
      </c>
      <c r="C949" s="879" t="e">
        <f>VLOOKUP(B944,'CNKT '!#REF!,8,0)</f>
        <v>#REF!</v>
      </c>
      <c r="D949" s="825" t="e">
        <f>IF(C945="A",6.1,IF(C945="B",5.8,IF(C945="C",5.5,IF(C945="C.",5.5,IF(C945="D",5.2)))))*$B$2</f>
        <v>#REF!</v>
      </c>
      <c r="E949" s="823" t="e">
        <f t="shared" si="109"/>
        <v>#REF!</v>
      </c>
      <c r="F949" s="882"/>
      <c r="G949" s="821" t="s">
        <v>80</v>
      </c>
      <c r="H949" s="980" t="s">
        <v>562</v>
      </c>
      <c r="I949" s="879" t="e">
        <f>VLOOKUP(H944,'CNKT '!#REF!,8,0)</f>
        <v>#REF!</v>
      </c>
      <c r="J949" s="825" t="e">
        <f>IF(I945="A",6.1,IF(I945="B",5.8,IF(I945="C",5.5,IF(I945="C.",5.5,IF(I945="D",5.2)))))*$B$2</f>
        <v>#REF!</v>
      </c>
      <c r="K949" s="823" t="e">
        <f t="shared" si="110"/>
        <v>#REF!</v>
      </c>
      <c r="L949" s="818"/>
    </row>
    <row r="950" spans="1:12" s="31" customFormat="1" ht="17.25" customHeight="1">
      <c r="A950" s="821" t="s">
        <v>495</v>
      </c>
      <c r="B950" s="980" t="s">
        <v>563</v>
      </c>
      <c r="C950" s="879" t="e">
        <f>VLOOKUP(B944,'CNKT '!#REF!,15,0)</f>
        <v>#REF!</v>
      </c>
      <c r="D950" s="826">
        <f>92.2*$B$2</f>
        <v>61610.806000000004</v>
      </c>
      <c r="E950" s="823" t="e">
        <f t="shared" si="109"/>
        <v>#REF!</v>
      </c>
      <c r="F950" s="882"/>
      <c r="G950" s="821" t="s">
        <v>495</v>
      </c>
      <c r="H950" s="980" t="s">
        <v>563</v>
      </c>
      <c r="I950" s="879" t="e">
        <f>VLOOKUP(H944,'CNKT '!#REF!,15,0)</f>
        <v>#REF!</v>
      </c>
      <c r="J950" s="826">
        <f>92.2*$B$2</f>
        <v>61610.806000000004</v>
      </c>
      <c r="K950" s="823" t="e">
        <f t="shared" si="110"/>
        <v>#REF!</v>
      </c>
      <c r="L950" s="818"/>
    </row>
    <row r="951" spans="1:12" s="31" customFormat="1" ht="17.25" customHeight="1">
      <c r="A951" s="821" t="s">
        <v>496</v>
      </c>
      <c r="B951" s="980" t="s">
        <v>500</v>
      </c>
      <c r="C951" s="879" t="e">
        <f>VLOOKUP(B944,'CNKT '!#REF!,16,0)</f>
        <v>#REF!</v>
      </c>
      <c r="D951" s="825">
        <f>153.8*$B$2</f>
        <v>102773.774</v>
      </c>
      <c r="E951" s="823" t="e">
        <f t="shared" si="109"/>
        <v>#REF!</v>
      </c>
      <c r="F951" s="882"/>
      <c r="G951" s="821" t="s">
        <v>496</v>
      </c>
      <c r="H951" s="980" t="s">
        <v>500</v>
      </c>
      <c r="I951" s="879" t="e">
        <f>VLOOKUP(H944,'CNKT '!#REF!,16,0)</f>
        <v>#REF!</v>
      </c>
      <c r="J951" s="825">
        <f>153.8*$B$2</f>
        <v>102773.774</v>
      </c>
      <c r="K951" s="823" t="e">
        <f t="shared" si="110"/>
        <v>#REF!</v>
      </c>
      <c r="L951" s="818"/>
    </row>
    <row r="952" spans="1:12" s="31" customFormat="1" ht="17.25" customHeight="1">
      <c r="A952" s="821" t="s">
        <v>455</v>
      </c>
      <c r="B952" s="980" t="s">
        <v>501</v>
      </c>
      <c r="C952" s="879" t="e">
        <f>VLOOKUP(B944,'CNKT '!#REF!,18,0)</f>
        <v>#REF!</v>
      </c>
      <c r="D952" s="825">
        <v>10000</v>
      </c>
      <c r="E952" s="823" t="e">
        <f>C952*D952</f>
        <v>#REF!</v>
      </c>
      <c r="F952" s="882"/>
      <c r="G952" s="821" t="s">
        <v>455</v>
      </c>
      <c r="H952" s="980" t="s">
        <v>501</v>
      </c>
      <c r="I952" s="879" t="e">
        <f>VLOOKUP(H944,'CNKT '!#REF!,18,0)</f>
        <v>#REF!</v>
      </c>
      <c r="J952" s="825">
        <v>10000</v>
      </c>
      <c r="K952" s="823" t="e">
        <f>I952*J952</f>
        <v>#REF!</v>
      </c>
      <c r="L952" s="818"/>
    </row>
    <row r="953" spans="1:12" s="31" customFormat="1" ht="17.25" customHeight="1">
      <c r="A953" s="821" t="s">
        <v>455</v>
      </c>
      <c r="B953" s="980" t="s">
        <v>501</v>
      </c>
      <c r="C953" s="879" t="e">
        <f>VLOOKUP(B944,'CNKT '!#REF!,19,0)</f>
        <v>#REF!</v>
      </c>
      <c r="D953" s="825">
        <v>20000</v>
      </c>
      <c r="E953" s="823" t="e">
        <f>C953*D953</f>
        <v>#REF!</v>
      </c>
      <c r="F953" s="882"/>
      <c r="G953" s="821" t="s">
        <v>455</v>
      </c>
      <c r="H953" s="980" t="s">
        <v>501</v>
      </c>
      <c r="I953" s="879" t="e">
        <f>VLOOKUP(H944,'CNKT '!#REF!,19,0)</f>
        <v>#REF!</v>
      </c>
      <c r="J953" s="825">
        <v>20000</v>
      </c>
      <c r="K953" s="823" t="e">
        <f>I953*J953</f>
        <v>#REF!</v>
      </c>
      <c r="L953" s="818"/>
    </row>
    <row r="954" spans="1:12" s="31" customFormat="1" ht="17.25" customHeight="1">
      <c r="A954" s="821" t="s">
        <v>517</v>
      </c>
      <c r="B954" s="980" t="s">
        <v>519</v>
      </c>
      <c r="C954" s="879"/>
      <c r="D954" s="825"/>
      <c r="E954" s="823"/>
      <c r="F954" s="882"/>
      <c r="G954" s="821" t="s">
        <v>517</v>
      </c>
      <c r="H954" s="980" t="s">
        <v>519</v>
      </c>
      <c r="I954" s="879"/>
      <c r="J954" s="825"/>
      <c r="K954" s="823"/>
      <c r="L954" s="818"/>
    </row>
    <row r="955" spans="1:12" s="31" customFormat="1" ht="17.25" customHeight="1">
      <c r="A955" s="827" t="s">
        <v>81</v>
      </c>
      <c r="B955" s="981" t="s">
        <v>564</v>
      </c>
      <c r="C955" s="828"/>
      <c r="D955" s="829"/>
      <c r="E955" s="828"/>
      <c r="F955" s="882"/>
      <c r="G955" s="827" t="s">
        <v>81</v>
      </c>
      <c r="H955" s="981" t="s">
        <v>564</v>
      </c>
      <c r="I955" s="828"/>
      <c r="J955" s="829"/>
      <c r="K955" s="828"/>
      <c r="L955" s="818"/>
    </row>
    <row r="956" spans="1:12" s="31" customFormat="1" ht="17.25" customHeight="1">
      <c r="A956" s="830" t="s">
        <v>82</v>
      </c>
      <c r="B956" s="982" t="s">
        <v>565</v>
      </c>
      <c r="C956" s="828"/>
      <c r="D956" s="828"/>
      <c r="E956" s="828"/>
      <c r="F956" s="882"/>
      <c r="G956" s="830" t="s">
        <v>82</v>
      </c>
      <c r="H956" s="982" t="s">
        <v>565</v>
      </c>
      <c r="I956" s="828"/>
      <c r="J956" s="828"/>
      <c r="K956" s="828"/>
      <c r="L956" s="818"/>
    </row>
    <row r="957" spans="1:12" s="31" customFormat="1" ht="17.25" customHeight="1">
      <c r="A957" s="830" t="s">
        <v>83</v>
      </c>
      <c r="B957" s="983" t="s">
        <v>566</v>
      </c>
      <c r="C957" s="828"/>
      <c r="D957" s="828"/>
      <c r="E957" s="823">
        <f>SUM(E956)</f>
        <v>0</v>
      </c>
      <c r="F957" s="878"/>
      <c r="G957" s="830" t="s">
        <v>83</v>
      </c>
      <c r="H957" s="983" t="s">
        <v>566</v>
      </c>
      <c r="I957" s="828"/>
      <c r="J957" s="828"/>
      <c r="K957" s="823">
        <f>SUM(K956)</f>
        <v>0</v>
      </c>
      <c r="L957" s="818"/>
    </row>
    <row r="958" spans="1:12" s="31" customFormat="1" ht="17.25" customHeight="1">
      <c r="A958" s="832" t="s">
        <v>84</v>
      </c>
      <c r="B958" s="984" t="s">
        <v>438</v>
      </c>
      <c r="C958" s="833"/>
      <c r="D958" s="833"/>
      <c r="E958" s="833" t="e">
        <f>(E946+E947+E948+E949+E950+E951+E952+E953+E954)-E957</f>
        <v>#REF!</v>
      </c>
      <c r="F958" s="878"/>
      <c r="G958" s="832" t="s">
        <v>84</v>
      </c>
      <c r="H958" s="984" t="s">
        <v>438</v>
      </c>
      <c r="I958" s="833"/>
      <c r="J958" s="833"/>
      <c r="K958" s="833" t="e">
        <f>(K946+K947+K948+K949+K950+K951+K952+K953+K954)-K957</f>
        <v>#REF!</v>
      </c>
      <c r="L958" s="835" t="e">
        <f>E958+K958</f>
        <v>#REF!</v>
      </c>
    </row>
    <row r="959" spans="1:12" s="31" customFormat="1" ht="17.25" customHeight="1">
      <c r="A959" s="870"/>
      <c r="B959" s="871"/>
      <c r="C959" s="872"/>
      <c r="D959" s="872"/>
      <c r="E959" s="872"/>
      <c r="F959" s="873"/>
      <c r="G959" s="972"/>
      <c r="H959" s="972"/>
      <c r="I959" s="972"/>
      <c r="J959" s="972"/>
      <c r="K959" s="874"/>
      <c r="L959" s="818"/>
    </row>
    <row r="960" spans="1:12" s="31" customFormat="1" ht="17.25" customHeight="1">
      <c r="A960" s="895" t="str">
        <f>A943</f>
        <v>LƯƠNG THÁNG 01/2025</v>
      </c>
      <c r="B960" s="895"/>
      <c r="C960" s="895"/>
      <c r="D960" s="895"/>
      <c r="E960" s="895" t="e">
        <f>VLOOKUP(B961,'CNKT '!#REF!,26,0)</f>
        <v>#REF!</v>
      </c>
      <c r="F960" s="873"/>
      <c r="G960" s="895" t="str">
        <f>A960</f>
        <v>LƯƠNG THÁNG 01/2025</v>
      </c>
      <c r="H960" s="895"/>
      <c r="I960" s="895"/>
      <c r="J960" s="895"/>
      <c r="K960" s="895" t="e">
        <f>VLOOKUP(H961,'CNKT '!#REF!,26,0)</f>
        <v>#REF!</v>
      </c>
      <c r="L960" s="818"/>
    </row>
    <row r="961" spans="1:12" s="31" customFormat="1" ht="17.25" customHeight="1">
      <c r="A961" s="837" t="s">
        <v>17</v>
      </c>
      <c r="B961" s="976" t="e">
        <f>'CNKT '!#REF!</f>
        <v>#REF!</v>
      </c>
      <c r="C961" s="822"/>
      <c r="D961" s="976" t="s">
        <v>398</v>
      </c>
      <c r="E961" s="976" t="s">
        <v>20</v>
      </c>
      <c r="F961" s="882"/>
      <c r="G961" s="837" t="s">
        <v>17</v>
      </c>
      <c r="H961" s="976" t="e">
        <f>'CNKT '!#REF!</f>
        <v>#REF!</v>
      </c>
      <c r="I961" s="822"/>
      <c r="J961" s="976" t="s">
        <v>398</v>
      </c>
      <c r="K961" s="976" t="s">
        <v>20</v>
      </c>
      <c r="L961" s="818"/>
    </row>
    <row r="962" spans="1:12" s="31" customFormat="1" ht="17.25" customHeight="1">
      <c r="A962" s="821" t="s">
        <v>399</v>
      </c>
      <c r="B962" s="978" t="s">
        <v>559</v>
      </c>
      <c r="C962" s="822" t="e">
        <f>VLOOKUP(B961,'BTH mủ tạp'!#REF!,36,0)</f>
        <v>#REF!</v>
      </c>
      <c r="D962" s="823"/>
      <c r="E962" s="823"/>
      <c r="F962" s="882"/>
      <c r="G962" s="821" t="s">
        <v>399</v>
      </c>
      <c r="H962" s="978" t="s">
        <v>559</v>
      </c>
      <c r="I962" s="822" t="e">
        <f>VLOOKUP(H961,'BTH mủ tạp'!#REF!,36,0)</f>
        <v>#REF!</v>
      </c>
      <c r="J962" s="823"/>
      <c r="K962" s="823"/>
      <c r="L962" s="818"/>
    </row>
    <row r="963" spans="1:12" s="31" customFormat="1" ht="17.25" customHeight="1">
      <c r="A963" s="821" t="s">
        <v>79</v>
      </c>
      <c r="B963" s="979" t="s">
        <v>432</v>
      </c>
      <c r="C963" s="824" t="e">
        <f>VLOOKUP(B961,'CNKT '!#REF!,3,0)</f>
        <v>#REF!</v>
      </c>
      <c r="D963" s="825">
        <v>25000</v>
      </c>
      <c r="E963" s="823" t="e">
        <f t="shared" ref="E963:E968" si="111">C963*D963</f>
        <v>#REF!</v>
      </c>
      <c r="F963" s="882"/>
      <c r="G963" s="821" t="s">
        <v>79</v>
      </c>
      <c r="H963" s="979" t="s">
        <v>432</v>
      </c>
      <c r="I963" s="824" t="e">
        <f>VLOOKUP(H961,'CNKT '!#REF!,3,0)</f>
        <v>#REF!</v>
      </c>
      <c r="J963" s="825">
        <v>25000</v>
      </c>
      <c r="K963" s="823" t="e">
        <f t="shared" ref="K963:K968" si="112">I963*J963</f>
        <v>#REF!</v>
      </c>
      <c r="L963" s="818"/>
    </row>
    <row r="964" spans="1:12" s="31" customFormat="1" ht="17.25" customHeight="1">
      <c r="A964" s="821" t="s">
        <v>310</v>
      </c>
      <c r="B964" s="980" t="s">
        <v>560</v>
      </c>
      <c r="C964" s="879" t="e">
        <f>VLOOKUP(B961,'CNKT '!#REF!,11,0)</f>
        <v>#REF!</v>
      </c>
      <c r="D964" s="826">
        <f>46.1*$B$2</f>
        <v>30805.403000000002</v>
      </c>
      <c r="E964" s="823" t="e">
        <f t="shared" si="111"/>
        <v>#REF!</v>
      </c>
      <c r="F964" s="882"/>
      <c r="G964" s="821" t="s">
        <v>310</v>
      </c>
      <c r="H964" s="980" t="s">
        <v>560</v>
      </c>
      <c r="I964" s="879" t="e">
        <f>VLOOKUP(H961,'CNKT '!#REF!,11,0)</f>
        <v>#REF!</v>
      </c>
      <c r="J964" s="826">
        <f>46.1*$B$2</f>
        <v>30805.403000000002</v>
      </c>
      <c r="K964" s="823" t="e">
        <f t="shared" si="112"/>
        <v>#REF!</v>
      </c>
      <c r="L964" s="818"/>
    </row>
    <row r="965" spans="1:12" s="31" customFormat="1" ht="17.25" customHeight="1">
      <c r="A965" s="821" t="s">
        <v>401</v>
      </c>
      <c r="B965" s="980" t="s">
        <v>561</v>
      </c>
      <c r="C965" s="879" t="e">
        <f>VLOOKUP(B961,'CNKT '!#REF!,12,0)</f>
        <v>#REF!</v>
      </c>
      <c r="D965" s="825">
        <f>76.9*$B$2</f>
        <v>51386.887000000002</v>
      </c>
      <c r="E965" s="823" t="e">
        <f t="shared" si="111"/>
        <v>#REF!</v>
      </c>
      <c r="F965" s="882"/>
      <c r="G965" s="821" t="s">
        <v>401</v>
      </c>
      <c r="H965" s="980" t="s">
        <v>561</v>
      </c>
      <c r="I965" s="879" t="e">
        <f>VLOOKUP(H961,'CNKT '!#REF!,12,0)</f>
        <v>#REF!</v>
      </c>
      <c r="J965" s="825">
        <f>76.9*$B$2</f>
        <v>51386.887000000002</v>
      </c>
      <c r="K965" s="823" t="e">
        <f t="shared" si="112"/>
        <v>#REF!</v>
      </c>
      <c r="L965" s="818"/>
    </row>
    <row r="966" spans="1:12" s="31" customFormat="1" ht="17.25" customHeight="1">
      <c r="A966" s="821" t="s">
        <v>80</v>
      </c>
      <c r="B966" s="980" t="s">
        <v>562</v>
      </c>
      <c r="C966" s="879" t="e">
        <f>VLOOKUP(B961,'CNKT '!#REF!,8,0)</f>
        <v>#REF!</v>
      </c>
      <c r="D966" s="825" t="e">
        <f>IF(C962="A",6.1,IF(C962="B",5.8,IF(C962="C",5.5,IF(C962="C.",5.5,IF(C962="D",5.2)))))*$B$2</f>
        <v>#REF!</v>
      </c>
      <c r="E966" s="823" t="e">
        <f t="shared" si="111"/>
        <v>#REF!</v>
      </c>
      <c r="F966" s="882"/>
      <c r="G966" s="821" t="s">
        <v>80</v>
      </c>
      <c r="H966" s="980" t="s">
        <v>562</v>
      </c>
      <c r="I966" s="879" t="e">
        <f>VLOOKUP(H961,'CNKT '!#REF!,8,0)</f>
        <v>#REF!</v>
      </c>
      <c r="J966" s="825" t="e">
        <f>IF(I962="A",6.1,IF(I962="B",5.8,IF(I962="C",5.5,IF(I962="C.",5.5,IF(I962="D",5.2)))))*$B$2</f>
        <v>#REF!</v>
      </c>
      <c r="K966" s="823" t="e">
        <f t="shared" si="112"/>
        <v>#REF!</v>
      </c>
      <c r="L966" s="818"/>
    </row>
    <row r="967" spans="1:12" s="31" customFormat="1" ht="17.25" customHeight="1">
      <c r="A967" s="821" t="s">
        <v>495</v>
      </c>
      <c r="B967" s="980" t="s">
        <v>563</v>
      </c>
      <c r="C967" s="879" t="e">
        <f>VLOOKUP(B961,'CNKT '!#REF!,15,0)</f>
        <v>#REF!</v>
      </c>
      <c r="D967" s="826">
        <f>92.2*$B$2</f>
        <v>61610.806000000004</v>
      </c>
      <c r="E967" s="823" t="e">
        <f t="shared" si="111"/>
        <v>#REF!</v>
      </c>
      <c r="F967" s="882"/>
      <c r="G967" s="821" t="s">
        <v>495</v>
      </c>
      <c r="H967" s="980" t="s">
        <v>563</v>
      </c>
      <c r="I967" s="879" t="e">
        <f>VLOOKUP(H961,'CNKT '!#REF!,15,0)</f>
        <v>#REF!</v>
      </c>
      <c r="J967" s="826">
        <f>92.2*$B$2</f>
        <v>61610.806000000004</v>
      </c>
      <c r="K967" s="823" t="e">
        <f t="shared" si="112"/>
        <v>#REF!</v>
      </c>
      <c r="L967" s="818"/>
    </row>
    <row r="968" spans="1:12" s="31" customFormat="1" ht="17.25" customHeight="1">
      <c r="A968" s="821" t="s">
        <v>496</v>
      </c>
      <c r="B968" s="980" t="s">
        <v>500</v>
      </c>
      <c r="C968" s="879" t="e">
        <f>VLOOKUP(B961,'CNKT '!#REF!,16,0)</f>
        <v>#REF!</v>
      </c>
      <c r="D968" s="825">
        <f>153.8*$B$2</f>
        <v>102773.774</v>
      </c>
      <c r="E968" s="823" t="e">
        <f t="shared" si="111"/>
        <v>#REF!</v>
      </c>
      <c r="F968" s="882"/>
      <c r="G968" s="821" t="s">
        <v>496</v>
      </c>
      <c r="H968" s="980" t="s">
        <v>500</v>
      </c>
      <c r="I968" s="879" t="e">
        <f>VLOOKUP(H961,'CNKT '!#REF!,16,0)</f>
        <v>#REF!</v>
      </c>
      <c r="J968" s="825">
        <f>153.8*$B$2</f>
        <v>102773.774</v>
      </c>
      <c r="K968" s="823" t="e">
        <f t="shared" si="112"/>
        <v>#REF!</v>
      </c>
      <c r="L968" s="818"/>
    </row>
    <row r="969" spans="1:12" s="31" customFormat="1" ht="17.25" customHeight="1">
      <c r="A969" s="821" t="s">
        <v>455</v>
      </c>
      <c r="B969" s="980" t="s">
        <v>501</v>
      </c>
      <c r="C969" s="879" t="e">
        <f>VLOOKUP(B961,'CNKT '!#REF!,18,0)</f>
        <v>#REF!</v>
      </c>
      <c r="D969" s="825">
        <v>10000</v>
      </c>
      <c r="E969" s="823" t="e">
        <f>C969*D969</f>
        <v>#REF!</v>
      </c>
      <c r="F969" s="882"/>
      <c r="G969" s="821" t="s">
        <v>455</v>
      </c>
      <c r="H969" s="980" t="s">
        <v>501</v>
      </c>
      <c r="I969" s="879" t="e">
        <f>VLOOKUP(H961,'CNKT '!#REF!,18,0)</f>
        <v>#REF!</v>
      </c>
      <c r="J969" s="825">
        <v>10000</v>
      </c>
      <c r="K969" s="823" t="e">
        <f>I969*J969</f>
        <v>#REF!</v>
      </c>
      <c r="L969" s="818"/>
    </row>
    <row r="970" spans="1:12" s="31" customFormat="1" ht="17.25" customHeight="1">
      <c r="A970" s="821" t="s">
        <v>455</v>
      </c>
      <c r="B970" s="980" t="s">
        <v>501</v>
      </c>
      <c r="C970" s="879" t="e">
        <f>VLOOKUP(B961,'CNKT '!#REF!,19,0)</f>
        <v>#REF!</v>
      </c>
      <c r="D970" s="825">
        <v>20000</v>
      </c>
      <c r="E970" s="823" t="e">
        <f>C970*D970</f>
        <v>#REF!</v>
      </c>
      <c r="F970" s="882"/>
      <c r="G970" s="821" t="s">
        <v>455</v>
      </c>
      <c r="H970" s="980" t="s">
        <v>501</v>
      </c>
      <c r="I970" s="879" t="e">
        <f>VLOOKUP(H961,'CNKT '!#REF!,19,0)</f>
        <v>#REF!</v>
      </c>
      <c r="J970" s="825">
        <v>20000</v>
      </c>
      <c r="K970" s="823" t="e">
        <f>I970*J970</f>
        <v>#REF!</v>
      </c>
      <c r="L970" s="818"/>
    </row>
    <row r="971" spans="1:12" s="31" customFormat="1" ht="17.25" customHeight="1">
      <c r="A971" s="821" t="s">
        <v>517</v>
      </c>
      <c r="B971" s="980" t="s">
        <v>519</v>
      </c>
      <c r="C971" s="879"/>
      <c r="D971" s="825"/>
      <c r="E971" s="823"/>
      <c r="F971" s="882"/>
      <c r="G971" s="821" t="s">
        <v>517</v>
      </c>
      <c r="H971" s="980" t="s">
        <v>519</v>
      </c>
      <c r="I971" s="879"/>
      <c r="J971" s="825"/>
      <c r="K971" s="823"/>
      <c r="L971" s="818"/>
    </row>
    <row r="972" spans="1:12" s="31" customFormat="1" ht="17.25" customHeight="1">
      <c r="A972" s="827" t="s">
        <v>81</v>
      </c>
      <c r="B972" s="981" t="s">
        <v>564</v>
      </c>
      <c r="C972" s="828"/>
      <c r="D972" s="829"/>
      <c r="E972" s="828"/>
      <c r="F972" s="882"/>
      <c r="G972" s="827" t="s">
        <v>81</v>
      </c>
      <c r="H972" s="981" t="s">
        <v>564</v>
      </c>
      <c r="I972" s="828"/>
      <c r="J972" s="829"/>
      <c r="K972" s="828"/>
      <c r="L972" s="818"/>
    </row>
    <row r="973" spans="1:12" s="31" customFormat="1" ht="17.25" customHeight="1">
      <c r="A973" s="830" t="s">
        <v>82</v>
      </c>
      <c r="B973" s="982" t="s">
        <v>565</v>
      </c>
      <c r="C973" s="828"/>
      <c r="D973" s="828"/>
      <c r="E973" s="828"/>
      <c r="F973" s="882"/>
      <c r="G973" s="830" t="s">
        <v>82</v>
      </c>
      <c r="H973" s="982" t="s">
        <v>565</v>
      </c>
      <c r="I973" s="828"/>
      <c r="J973" s="828"/>
      <c r="K973" s="828"/>
      <c r="L973" s="818"/>
    </row>
    <row r="974" spans="1:12" s="31" customFormat="1" ht="17.25" customHeight="1">
      <c r="A974" s="830" t="s">
        <v>83</v>
      </c>
      <c r="B974" s="983" t="s">
        <v>566</v>
      </c>
      <c r="C974" s="828"/>
      <c r="D974" s="828"/>
      <c r="E974" s="823">
        <f>SUM(E973)</f>
        <v>0</v>
      </c>
      <c r="F974" s="869"/>
      <c r="G974" s="830" t="s">
        <v>83</v>
      </c>
      <c r="H974" s="983" t="s">
        <v>566</v>
      </c>
      <c r="I974" s="828"/>
      <c r="J974" s="828"/>
      <c r="K974" s="823">
        <f>SUM(K973)</f>
        <v>0</v>
      </c>
      <c r="L974" s="818"/>
    </row>
    <row r="975" spans="1:12" s="31" customFormat="1" ht="17.25" customHeight="1">
      <c r="A975" s="832" t="s">
        <v>84</v>
      </c>
      <c r="B975" s="984" t="s">
        <v>438</v>
      </c>
      <c r="C975" s="833"/>
      <c r="D975" s="833"/>
      <c r="E975" s="833" t="e">
        <f>(E963+E964+E965+E966+E967+E968+E969+E970+E971)-E974</f>
        <v>#REF!</v>
      </c>
      <c r="F975" s="869"/>
      <c r="G975" s="832" t="s">
        <v>84</v>
      </c>
      <c r="H975" s="984" t="s">
        <v>438</v>
      </c>
      <c r="I975" s="833"/>
      <c r="J975" s="833"/>
      <c r="K975" s="833" t="e">
        <f>(K963+K964+K965+K966+K967+K968+K969+K970+K971)-K974</f>
        <v>#REF!</v>
      </c>
      <c r="L975" s="835" t="e">
        <f>E975+K975</f>
        <v>#REF!</v>
      </c>
    </row>
    <row r="976" spans="1:12" s="31" customFormat="1" ht="17.25" customHeight="1">
      <c r="A976" s="1616"/>
      <c r="B976" s="1616"/>
      <c r="C976" s="1616"/>
      <c r="D976" s="1616"/>
      <c r="E976" s="1616"/>
      <c r="F976" s="873"/>
      <c r="G976" s="1616"/>
      <c r="H976" s="1616"/>
      <c r="I976" s="1616"/>
      <c r="J976" s="1616"/>
      <c r="K976" s="874"/>
      <c r="L976" s="818"/>
    </row>
    <row r="977" spans="1:13" s="31" customFormat="1" ht="17.25" customHeight="1">
      <c r="A977" s="895" t="str">
        <f>A960</f>
        <v>LƯƠNG THÁNG 01/2025</v>
      </c>
      <c r="B977" s="895"/>
      <c r="C977" s="895"/>
      <c r="D977" s="895"/>
      <c r="E977" s="895" t="e">
        <f>VLOOKUP(B978,'CNKT '!#REF!,26,0)</f>
        <v>#REF!</v>
      </c>
      <c r="F977" s="873"/>
      <c r="G977" s="895" t="str">
        <f>A977</f>
        <v>LƯƠNG THÁNG 01/2025</v>
      </c>
      <c r="H977" s="895"/>
      <c r="I977" s="895"/>
      <c r="J977" s="895"/>
      <c r="K977" s="895" t="e">
        <f>VLOOKUP(H978,'CNKT '!#REF!,26,0)</f>
        <v>#REF!</v>
      </c>
      <c r="L977" s="818"/>
    </row>
    <row r="978" spans="1:13" s="31" customFormat="1" ht="17.25" customHeight="1">
      <c r="A978" s="837" t="s">
        <v>17</v>
      </c>
      <c r="B978" s="976" t="e">
        <f>'CNKT '!#REF!</f>
        <v>#REF!</v>
      </c>
      <c r="C978" s="822"/>
      <c r="D978" s="976" t="s">
        <v>398</v>
      </c>
      <c r="E978" s="976" t="s">
        <v>20</v>
      </c>
      <c r="F978" s="882"/>
      <c r="G978" s="837" t="s">
        <v>17</v>
      </c>
      <c r="H978" s="976" t="e">
        <f>'CNKT '!#REF!</f>
        <v>#REF!</v>
      </c>
      <c r="I978" s="822"/>
      <c r="J978" s="976" t="s">
        <v>398</v>
      </c>
      <c r="K978" s="976" t="s">
        <v>20</v>
      </c>
      <c r="L978" s="818"/>
    </row>
    <row r="979" spans="1:13" s="31" customFormat="1" ht="17.25" customHeight="1">
      <c r="A979" s="821" t="s">
        <v>399</v>
      </c>
      <c r="B979" s="978" t="s">
        <v>559</v>
      </c>
      <c r="C979" s="822" t="e">
        <f>VLOOKUP(B978,'BTH mủ tạp'!#REF!,36,0)</f>
        <v>#REF!</v>
      </c>
      <c r="D979" s="823"/>
      <c r="E979" s="823"/>
      <c r="F979" s="882"/>
      <c r="G979" s="821" t="s">
        <v>399</v>
      </c>
      <c r="H979" s="978" t="s">
        <v>559</v>
      </c>
      <c r="I979" s="822" t="e">
        <f>VLOOKUP(H978,'BTH mủ tạp'!#REF!,36,0)</f>
        <v>#REF!</v>
      </c>
      <c r="J979" s="823"/>
      <c r="K979" s="823"/>
      <c r="L979" s="818"/>
    </row>
    <row r="980" spans="1:13" s="31" customFormat="1" ht="17.25" customHeight="1">
      <c r="A980" s="821" t="s">
        <v>79</v>
      </c>
      <c r="B980" s="979" t="s">
        <v>432</v>
      </c>
      <c r="C980" s="824" t="e">
        <f>VLOOKUP(B978,'CNKT '!#REF!,3,0)</f>
        <v>#REF!</v>
      </c>
      <c r="D980" s="825">
        <v>25000</v>
      </c>
      <c r="E980" s="823" t="e">
        <f t="shared" ref="E980:E985" si="113">C980*D980</f>
        <v>#REF!</v>
      </c>
      <c r="F980" s="882"/>
      <c r="G980" s="821" t="s">
        <v>79</v>
      </c>
      <c r="H980" s="979" t="s">
        <v>432</v>
      </c>
      <c r="I980" s="824" t="e">
        <f>VLOOKUP(H978,'CNKT '!#REF!,3,0)</f>
        <v>#REF!</v>
      </c>
      <c r="J980" s="825">
        <v>25000</v>
      </c>
      <c r="K980" s="823" t="e">
        <f t="shared" ref="K980:K985" si="114">I980*J980</f>
        <v>#REF!</v>
      </c>
      <c r="L980" s="818"/>
    </row>
    <row r="981" spans="1:13" s="31" customFormat="1" ht="17.25" customHeight="1">
      <c r="A981" s="821" t="s">
        <v>310</v>
      </c>
      <c r="B981" s="980" t="s">
        <v>560</v>
      </c>
      <c r="C981" s="879" t="e">
        <f>VLOOKUP(B978,'CNKT '!#REF!,11,0)</f>
        <v>#REF!</v>
      </c>
      <c r="D981" s="826">
        <f>46.1*$B$2</f>
        <v>30805.403000000002</v>
      </c>
      <c r="E981" s="823" t="e">
        <f t="shared" si="113"/>
        <v>#REF!</v>
      </c>
      <c r="F981" s="882"/>
      <c r="G981" s="821" t="s">
        <v>310</v>
      </c>
      <c r="H981" s="980" t="s">
        <v>560</v>
      </c>
      <c r="I981" s="879" t="e">
        <f>VLOOKUP(H978,'CNKT '!#REF!,11,0)</f>
        <v>#REF!</v>
      </c>
      <c r="J981" s="826">
        <f>46.1*$B$2</f>
        <v>30805.403000000002</v>
      </c>
      <c r="K981" s="823" t="e">
        <f t="shared" si="114"/>
        <v>#REF!</v>
      </c>
      <c r="L981" s="818"/>
    </row>
    <row r="982" spans="1:13" s="31" customFormat="1" ht="17.25" customHeight="1">
      <c r="A982" s="821" t="s">
        <v>401</v>
      </c>
      <c r="B982" s="980" t="s">
        <v>561</v>
      </c>
      <c r="C982" s="879" t="e">
        <f>VLOOKUP(B978,'CNKT '!#REF!,12,0)</f>
        <v>#REF!</v>
      </c>
      <c r="D982" s="825">
        <f>76.9*$B$2</f>
        <v>51386.887000000002</v>
      </c>
      <c r="E982" s="823" t="e">
        <f t="shared" si="113"/>
        <v>#REF!</v>
      </c>
      <c r="F982" s="882"/>
      <c r="G982" s="821" t="s">
        <v>401</v>
      </c>
      <c r="H982" s="980" t="s">
        <v>561</v>
      </c>
      <c r="I982" s="879" t="e">
        <f>VLOOKUP(H978,'CNKT '!#REF!,12,0)</f>
        <v>#REF!</v>
      </c>
      <c r="J982" s="825">
        <f>76.9*$B$2</f>
        <v>51386.887000000002</v>
      </c>
      <c r="K982" s="823" t="e">
        <f t="shared" si="114"/>
        <v>#REF!</v>
      </c>
      <c r="L982" s="818"/>
    </row>
    <row r="983" spans="1:13" s="31" customFormat="1" ht="17.25" customHeight="1">
      <c r="A983" s="821" t="s">
        <v>80</v>
      </c>
      <c r="B983" s="980" t="s">
        <v>562</v>
      </c>
      <c r="C983" s="879" t="e">
        <f>VLOOKUP(B978,'CNKT '!#REF!,8,0)</f>
        <v>#REF!</v>
      </c>
      <c r="D983" s="825" t="e">
        <f>IF(C979="A",6.1,IF(C979="B",5.8,IF(C979="C",5.5,IF(C979="C.",5.5,IF(C979="D",5.2)))))*$B$2</f>
        <v>#REF!</v>
      </c>
      <c r="E983" s="823" t="e">
        <f t="shared" si="113"/>
        <v>#REF!</v>
      </c>
      <c r="F983" s="882"/>
      <c r="G983" s="821" t="s">
        <v>80</v>
      </c>
      <c r="H983" s="980" t="s">
        <v>562</v>
      </c>
      <c r="I983" s="879" t="e">
        <f>VLOOKUP(H978,'CNKT '!#REF!,8,0)</f>
        <v>#REF!</v>
      </c>
      <c r="J983" s="825" t="e">
        <f>IF(I979="A",6.1,IF(I979="B",5.8,IF(I979="C",5.5,IF(I979="C.",5.5,IF(I979="D",5.2)))))*$B$2</f>
        <v>#REF!</v>
      </c>
      <c r="K983" s="823" t="e">
        <f t="shared" si="114"/>
        <v>#REF!</v>
      </c>
      <c r="L983" s="818"/>
    </row>
    <row r="984" spans="1:13" s="31" customFormat="1" ht="17.25" customHeight="1">
      <c r="A984" s="821" t="s">
        <v>495</v>
      </c>
      <c r="B984" s="980" t="s">
        <v>563</v>
      </c>
      <c r="C984" s="879" t="e">
        <f>VLOOKUP(B978,'CNKT '!#REF!,15,0)</f>
        <v>#REF!</v>
      </c>
      <c r="D984" s="826">
        <f>92.2*$B$2</f>
        <v>61610.806000000004</v>
      </c>
      <c r="E984" s="823" t="e">
        <f t="shared" si="113"/>
        <v>#REF!</v>
      </c>
      <c r="F984" s="882"/>
      <c r="G984" s="821" t="s">
        <v>495</v>
      </c>
      <c r="H984" s="980" t="s">
        <v>563</v>
      </c>
      <c r="I984" s="879" t="e">
        <f>VLOOKUP(H978,'CNKT '!#REF!,15,0)</f>
        <v>#REF!</v>
      </c>
      <c r="J984" s="826">
        <f>92.2*$B$2</f>
        <v>61610.806000000004</v>
      </c>
      <c r="K984" s="823" t="e">
        <f t="shared" si="114"/>
        <v>#REF!</v>
      </c>
      <c r="L984" s="818"/>
    </row>
    <row r="985" spans="1:13" s="31" customFormat="1" ht="17.25" customHeight="1">
      <c r="A985" s="821" t="s">
        <v>496</v>
      </c>
      <c r="B985" s="980" t="s">
        <v>500</v>
      </c>
      <c r="C985" s="879" t="e">
        <f>VLOOKUP(B978,'CNKT '!#REF!,16,0)</f>
        <v>#REF!</v>
      </c>
      <c r="D985" s="825">
        <f>153.8*$B$2</f>
        <v>102773.774</v>
      </c>
      <c r="E985" s="823" t="e">
        <f t="shared" si="113"/>
        <v>#REF!</v>
      </c>
      <c r="F985" s="882"/>
      <c r="G985" s="821" t="s">
        <v>496</v>
      </c>
      <c r="H985" s="980" t="s">
        <v>500</v>
      </c>
      <c r="I985" s="879" t="e">
        <f>VLOOKUP(H978,'CNKT '!#REF!,16,0)</f>
        <v>#REF!</v>
      </c>
      <c r="J985" s="825">
        <f>153.8*$B$2</f>
        <v>102773.774</v>
      </c>
      <c r="K985" s="823" t="e">
        <f t="shared" si="114"/>
        <v>#REF!</v>
      </c>
      <c r="L985" s="818"/>
    </row>
    <row r="986" spans="1:13" s="31" customFormat="1" ht="17.25" customHeight="1">
      <c r="A986" s="821" t="s">
        <v>455</v>
      </c>
      <c r="B986" s="980" t="s">
        <v>501</v>
      </c>
      <c r="C986" s="879" t="e">
        <f>VLOOKUP(B978,'CNKT '!#REF!,18,0)</f>
        <v>#REF!</v>
      </c>
      <c r="D986" s="825">
        <v>10000</v>
      </c>
      <c r="E986" s="823" t="e">
        <f>C986*D986</f>
        <v>#REF!</v>
      </c>
      <c r="F986" s="882"/>
      <c r="G986" s="821" t="s">
        <v>455</v>
      </c>
      <c r="H986" s="980" t="s">
        <v>501</v>
      </c>
      <c r="I986" s="879" t="e">
        <f>VLOOKUP(H978,'CNKT '!#REF!,18,0)</f>
        <v>#REF!</v>
      </c>
      <c r="J986" s="825">
        <v>10000</v>
      </c>
      <c r="K986" s="823" t="e">
        <f>I986*J986</f>
        <v>#REF!</v>
      </c>
      <c r="L986" s="818"/>
    </row>
    <row r="987" spans="1:13" s="31" customFormat="1" ht="17.25" customHeight="1">
      <c r="A987" s="821" t="s">
        <v>455</v>
      </c>
      <c r="B987" s="980" t="s">
        <v>501</v>
      </c>
      <c r="C987" s="879" t="e">
        <f>VLOOKUP(B978,'CNKT '!#REF!,19,0)</f>
        <v>#REF!</v>
      </c>
      <c r="D987" s="825">
        <v>20000</v>
      </c>
      <c r="E987" s="823" t="e">
        <f>C987*D987</f>
        <v>#REF!</v>
      </c>
      <c r="F987" s="882"/>
      <c r="G987" s="821" t="s">
        <v>455</v>
      </c>
      <c r="H987" s="980" t="s">
        <v>501</v>
      </c>
      <c r="I987" s="879" t="e">
        <f>VLOOKUP(H978,'CNKT '!#REF!,19,0)</f>
        <v>#REF!</v>
      </c>
      <c r="J987" s="825">
        <v>20000</v>
      </c>
      <c r="K987" s="823" t="e">
        <f>I987*J987</f>
        <v>#REF!</v>
      </c>
      <c r="L987" s="818"/>
    </row>
    <row r="988" spans="1:13" s="31" customFormat="1" ht="17.25" customHeight="1">
      <c r="A988" s="821" t="s">
        <v>517</v>
      </c>
      <c r="B988" s="980" t="s">
        <v>519</v>
      </c>
      <c r="C988" s="879"/>
      <c r="D988" s="825"/>
      <c r="E988" s="823"/>
      <c r="F988" s="882"/>
      <c r="G988" s="821" t="s">
        <v>517</v>
      </c>
      <c r="H988" s="980" t="s">
        <v>519</v>
      </c>
      <c r="I988" s="879"/>
      <c r="J988" s="825"/>
      <c r="K988" s="823"/>
      <c r="L988" s="818"/>
    </row>
    <row r="989" spans="1:13" s="31" customFormat="1" ht="17.25" customHeight="1">
      <c r="A989" s="827" t="s">
        <v>81</v>
      </c>
      <c r="B989" s="981" t="s">
        <v>564</v>
      </c>
      <c r="C989" s="828"/>
      <c r="D989" s="829"/>
      <c r="E989" s="828"/>
      <c r="F989" s="882"/>
      <c r="G989" s="827" t="s">
        <v>81</v>
      </c>
      <c r="H989" s="981" t="s">
        <v>564</v>
      </c>
      <c r="I989" s="828"/>
      <c r="J989" s="829"/>
      <c r="K989" s="828"/>
      <c r="L989" s="818"/>
    </row>
    <row r="990" spans="1:13" s="31" customFormat="1" ht="17.25" customHeight="1">
      <c r="A990" s="830" t="s">
        <v>82</v>
      </c>
      <c r="B990" s="982" t="s">
        <v>565</v>
      </c>
      <c r="C990" s="828"/>
      <c r="D990" s="828"/>
      <c r="E990" s="828"/>
      <c r="F990" s="882"/>
      <c r="G990" s="830" t="s">
        <v>82</v>
      </c>
      <c r="H990" s="982" t="s">
        <v>565</v>
      </c>
      <c r="I990" s="828"/>
      <c r="J990" s="828"/>
      <c r="K990" s="828"/>
      <c r="L990" s="818"/>
      <c r="M990" s="831"/>
    </row>
    <row r="991" spans="1:13" s="31" customFormat="1" ht="17.25" customHeight="1">
      <c r="A991" s="830" t="s">
        <v>83</v>
      </c>
      <c r="B991" s="983" t="s">
        <v>566</v>
      </c>
      <c r="C991" s="828"/>
      <c r="D991" s="828"/>
      <c r="E991" s="823">
        <f>SUM(E990)</f>
        <v>0</v>
      </c>
      <c r="F991" s="879"/>
      <c r="G991" s="830" t="s">
        <v>83</v>
      </c>
      <c r="H991" s="983" t="s">
        <v>566</v>
      </c>
      <c r="I991" s="828"/>
      <c r="J991" s="828"/>
      <c r="K991" s="823">
        <f>SUM(K990)</f>
        <v>0</v>
      </c>
      <c r="L991" s="818"/>
      <c r="M991" s="831">
        <f>E991+K991</f>
        <v>0</v>
      </c>
    </row>
    <row r="992" spans="1:13" s="31" customFormat="1" ht="17.25" customHeight="1">
      <c r="A992" s="832" t="s">
        <v>84</v>
      </c>
      <c r="B992" s="984" t="s">
        <v>438</v>
      </c>
      <c r="C992" s="833"/>
      <c r="D992" s="833"/>
      <c r="E992" s="833" t="e">
        <f>(E980+E981+E982+E983+E984+E985+E986+E987+E988)-E991</f>
        <v>#REF!</v>
      </c>
      <c r="F992" s="879"/>
      <c r="G992" s="832" t="s">
        <v>84</v>
      </c>
      <c r="H992" s="984" t="s">
        <v>438</v>
      </c>
      <c r="I992" s="833"/>
      <c r="J992" s="833"/>
      <c r="K992" s="833" t="e">
        <f>(K980+K981+K982+K983+K984+K985+K986+K987+K988)-K991</f>
        <v>#REF!</v>
      </c>
      <c r="L992" s="835" t="e">
        <f>E992+K992</f>
        <v>#REF!</v>
      </c>
    </row>
    <row r="993" spans="1:12" s="31" customFormat="1" ht="17.25" customHeight="1">
      <c r="A993" s="1616"/>
      <c r="B993" s="1616"/>
      <c r="C993" s="1616"/>
      <c r="D993" s="1616"/>
      <c r="E993" s="1616"/>
      <c r="F993" s="873"/>
      <c r="G993" s="1616"/>
      <c r="H993" s="1616"/>
      <c r="I993" s="1616"/>
      <c r="J993" s="1616"/>
      <c r="K993" s="874"/>
      <c r="L993" s="818"/>
    </row>
    <row r="994" spans="1:12" s="31" customFormat="1" ht="17.25" customHeight="1">
      <c r="A994" s="895" t="str">
        <f>A977</f>
        <v>LƯƠNG THÁNG 01/2025</v>
      </c>
      <c r="B994" s="895"/>
      <c r="C994" s="895"/>
      <c r="D994" s="895"/>
      <c r="E994" s="895" t="e">
        <f>VLOOKUP(B995,'CNKT '!#REF!,26,0)</f>
        <v>#REF!</v>
      </c>
      <c r="F994" s="873"/>
      <c r="G994" s="895" t="str">
        <f>A994</f>
        <v>LƯƠNG THÁNG 01/2025</v>
      </c>
      <c r="H994" s="895"/>
      <c r="I994" s="895"/>
      <c r="J994" s="895"/>
      <c r="K994" s="895" t="e">
        <f>VLOOKUP(H995,'CNKT '!#REF!,26,0)</f>
        <v>#REF!</v>
      </c>
      <c r="L994" s="818"/>
    </row>
    <row r="995" spans="1:12" s="31" customFormat="1" ht="17.25" customHeight="1">
      <c r="A995" s="837" t="s">
        <v>17</v>
      </c>
      <c r="B995" s="976" t="e">
        <f>'CNKT '!#REF!</f>
        <v>#REF!</v>
      </c>
      <c r="C995" s="822"/>
      <c r="D995" s="976" t="s">
        <v>398</v>
      </c>
      <c r="E995" s="976" t="s">
        <v>20</v>
      </c>
      <c r="F995" s="882"/>
      <c r="G995" s="837" t="s">
        <v>17</v>
      </c>
      <c r="H995" s="976" t="e">
        <f>'CNKT '!#REF!</f>
        <v>#REF!</v>
      </c>
      <c r="I995" s="822"/>
      <c r="J995" s="976" t="s">
        <v>398</v>
      </c>
      <c r="K995" s="976" t="s">
        <v>20</v>
      </c>
      <c r="L995" s="818"/>
    </row>
    <row r="996" spans="1:12" s="31" customFormat="1" ht="17.25" customHeight="1">
      <c r="A996" s="821" t="s">
        <v>399</v>
      </c>
      <c r="B996" s="978" t="s">
        <v>559</v>
      </c>
      <c r="C996" s="822" t="e">
        <f>VLOOKUP(B995,'BTH mủ tạp'!#REF!,36,0)</f>
        <v>#REF!</v>
      </c>
      <c r="D996" s="823"/>
      <c r="E996" s="823"/>
      <c r="F996" s="882"/>
      <c r="G996" s="821" t="s">
        <v>399</v>
      </c>
      <c r="H996" s="978" t="s">
        <v>559</v>
      </c>
      <c r="I996" s="822" t="e">
        <f>VLOOKUP(H995,'BTH mủ tạp'!#REF!,36,0)</f>
        <v>#REF!</v>
      </c>
      <c r="J996" s="823"/>
      <c r="K996" s="823"/>
      <c r="L996" s="818"/>
    </row>
    <row r="997" spans="1:12" s="31" customFormat="1" ht="17.25" customHeight="1">
      <c r="A997" s="821" t="s">
        <v>79</v>
      </c>
      <c r="B997" s="979" t="s">
        <v>432</v>
      </c>
      <c r="C997" s="824" t="e">
        <f>VLOOKUP(B995,'CNKT '!#REF!,3,0)</f>
        <v>#REF!</v>
      </c>
      <c r="D997" s="825">
        <v>25000</v>
      </c>
      <c r="E997" s="823" t="e">
        <f t="shared" ref="E997:E1002" si="115">C997*D997</f>
        <v>#REF!</v>
      </c>
      <c r="F997" s="882"/>
      <c r="G997" s="821" t="s">
        <v>79</v>
      </c>
      <c r="H997" s="979" t="s">
        <v>432</v>
      </c>
      <c r="I997" s="824" t="e">
        <f>VLOOKUP(H995,'CNKT '!#REF!,3,0)</f>
        <v>#REF!</v>
      </c>
      <c r="J997" s="825">
        <v>25000</v>
      </c>
      <c r="K997" s="823" t="e">
        <f t="shared" ref="K997:K1002" si="116">I997*J997</f>
        <v>#REF!</v>
      </c>
      <c r="L997" s="818"/>
    </row>
    <row r="998" spans="1:12" s="31" customFormat="1" ht="17.25" customHeight="1">
      <c r="A998" s="821" t="s">
        <v>310</v>
      </c>
      <c r="B998" s="980" t="s">
        <v>560</v>
      </c>
      <c r="C998" s="879" t="e">
        <f>VLOOKUP(B995,'CNKT '!#REF!,11,0)</f>
        <v>#REF!</v>
      </c>
      <c r="D998" s="826">
        <f>46.1*$B$2</f>
        <v>30805.403000000002</v>
      </c>
      <c r="E998" s="823" t="e">
        <f t="shared" si="115"/>
        <v>#REF!</v>
      </c>
      <c r="F998" s="882"/>
      <c r="G998" s="821" t="s">
        <v>310</v>
      </c>
      <c r="H998" s="980" t="s">
        <v>560</v>
      </c>
      <c r="I998" s="879" t="e">
        <f>VLOOKUP(H995,'CNKT '!#REF!,11,0)</f>
        <v>#REF!</v>
      </c>
      <c r="J998" s="826">
        <f>46.1*$B$2</f>
        <v>30805.403000000002</v>
      </c>
      <c r="K998" s="823" t="e">
        <f t="shared" si="116"/>
        <v>#REF!</v>
      </c>
      <c r="L998" s="818"/>
    </row>
    <row r="999" spans="1:12" s="31" customFormat="1" ht="17.25" customHeight="1">
      <c r="A999" s="821" t="s">
        <v>401</v>
      </c>
      <c r="B999" s="980" t="s">
        <v>561</v>
      </c>
      <c r="C999" s="879" t="e">
        <f>VLOOKUP(B995,'CNKT '!#REF!,12,0)</f>
        <v>#REF!</v>
      </c>
      <c r="D999" s="825">
        <f>76.9*$B$2</f>
        <v>51386.887000000002</v>
      </c>
      <c r="E999" s="823" t="e">
        <f t="shared" si="115"/>
        <v>#REF!</v>
      </c>
      <c r="F999" s="882"/>
      <c r="G999" s="821" t="s">
        <v>401</v>
      </c>
      <c r="H999" s="980" t="s">
        <v>561</v>
      </c>
      <c r="I999" s="879" t="e">
        <f>VLOOKUP(H995,'CNKT '!#REF!,12,0)</f>
        <v>#REF!</v>
      </c>
      <c r="J999" s="825">
        <f>76.9*$B$2</f>
        <v>51386.887000000002</v>
      </c>
      <c r="K999" s="823" t="e">
        <f t="shared" si="116"/>
        <v>#REF!</v>
      </c>
      <c r="L999" s="818"/>
    </row>
    <row r="1000" spans="1:12" s="31" customFormat="1" ht="17.25" customHeight="1">
      <c r="A1000" s="821" t="s">
        <v>80</v>
      </c>
      <c r="B1000" s="980" t="s">
        <v>562</v>
      </c>
      <c r="C1000" s="879" t="e">
        <f>VLOOKUP(B995,'CNKT '!#REF!,8,0)</f>
        <v>#REF!</v>
      </c>
      <c r="D1000" s="825" t="e">
        <f>IF(C996="A",6.1,IF(C996="B",5.8,IF(C996="C",5.5,IF(C996="C.",5.5,IF(C996="D",5.2)))))*$B$2</f>
        <v>#REF!</v>
      </c>
      <c r="E1000" s="823" t="e">
        <f t="shared" si="115"/>
        <v>#REF!</v>
      </c>
      <c r="F1000" s="882"/>
      <c r="G1000" s="821" t="s">
        <v>80</v>
      </c>
      <c r="H1000" s="980" t="s">
        <v>562</v>
      </c>
      <c r="I1000" s="879" t="e">
        <f>VLOOKUP(H995,'CNKT '!#REF!,8,0)</f>
        <v>#REF!</v>
      </c>
      <c r="J1000" s="825" t="e">
        <f>IF(I996="A",6.1,IF(I996="B",5.8,IF(I996="C",5.5,IF(I996="C.",5.5,IF(I996="D",5.2)))))*$B$2</f>
        <v>#REF!</v>
      </c>
      <c r="K1000" s="823" t="e">
        <f t="shared" si="116"/>
        <v>#REF!</v>
      </c>
      <c r="L1000" s="818"/>
    </row>
    <row r="1001" spans="1:12" s="31" customFormat="1" ht="17.25" customHeight="1">
      <c r="A1001" s="821" t="s">
        <v>495</v>
      </c>
      <c r="B1001" s="980" t="s">
        <v>563</v>
      </c>
      <c r="C1001" s="879" t="e">
        <f>VLOOKUP(B995,'CNKT '!#REF!,15,0)</f>
        <v>#REF!</v>
      </c>
      <c r="D1001" s="826">
        <f>92.2*$B$2</f>
        <v>61610.806000000004</v>
      </c>
      <c r="E1001" s="823" t="e">
        <f t="shared" si="115"/>
        <v>#REF!</v>
      </c>
      <c r="F1001" s="882"/>
      <c r="G1001" s="821" t="s">
        <v>495</v>
      </c>
      <c r="H1001" s="980" t="s">
        <v>563</v>
      </c>
      <c r="I1001" s="879" t="e">
        <f>VLOOKUP(H995,'CNKT '!#REF!,15,0)</f>
        <v>#REF!</v>
      </c>
      <c r="J1001" s="826">
        <f>92.2*$B$2</f>
        <v>61610.806000000004</v>
      </c>
      <c r="K1001" s="823" t="e">
        <f t="shared" si="116"/>
        <v>#REF!</v>
      </c>
      <c r="L1001" s="818"/>
    </row>
    <row r="1002" spans="1:12" s="31" customFormat="1" ht="17.25" customHeight="1">
      <c r="A1002" s="821" t="s">
        <v>496</v>
      </c>
      <c r="B1002" s="980" t="s">
        <v>500</v>
      </c>
      <c r="C1002" s="879" t="e">
        <f>VLOOKUP(B995,'CNKT '!#REF!,16,0)</f>
        <v>#REF!</v>
      </c>
      <c r="D1002" s="825">
        <f>153.8*$B$2</f>
        <v>102773.774</v>
      </c>
      <c r="E1002" s="823" t="e">
        <f t="shared" si="115"/>
        <v>#REF!</v>
      </c>
      <c r="F1002" s="882"/>
      <c r="G1002" s="821" t="s">
        <v>496</v>
      </c>
      <c r="H1002" s="980" t="s">
        <v>500</v>
      </c>
      <c r="I1002" s="879" t="e">
        <f>VLOOKUP(H995,'CNKT '!#REF!,16,0)</f>
        <v>#REF!</v>
      </c>
      <c r="J1002" s="825">
        <f>153.8*$B$2</f>
        <v>102773.774</v>
      </c>
      <c r="K1002" s="823" t="e">
        <f t="shared" si="116"/>
        <v>#REF!</v>
      </c>
      <c r="L1002" s="818"/>
    </row>
    <row r="1003" spans="1:12" s="31" customFormat="1" ht="17.25" customHeight="1">
      <c r="A1003" s="821" t="s">
        <v>455</v>
      </c>
      <c r="B1003" s="980" t="s">
        <v>501</v>
      </c>
      <c r="C1003" s="879" t="e">
        <f>VLOOKUP(B995,'CNKT '!#REF!,18,0)</f>
        <v>#REF!</v>
      </c>
      <c r="D1003" s="825">
        <v>10000</v>
      </c>
      <c r="E1003" s="823" t="e">
        <f>C1003*D1003</f>
        <v>#REF!</v>
      </c>
      <c r="F1003" s="882"/>
      <c r="G1003" s="821" t="s">
        <v>455</v>
      </c>
      <c r="H1003" s="980" t="s">
        <v>501</v>
      </c>
      <c r="I1003" s="879" t="e">
        <f>VLOOKUP(H995,'CNKT '!#REF!,18,0)</f>
        <v>#REF!</v>
      </c>
      <c r="J1003" s="825">
        <v>10000</v>
      </c>
      <c r="K1003" s="823" t="e">
        <f>I1003*J1003</f>
        <v>#REF!</v>
      </c>
      <c r="L1003" s="818"/>
    </row>
    <row r="1004" spans="1:12" s="31" customFormat="1" ht="17.25" customHeight="1">
      <c r="A1004" s="821" t="s">
        <v>455</v>
      </c>
      <c r="B1004" s="980" t="s">
        <v>501</v>
      </c>
      <c r="C1004" s="879" t="e">
        <f>VLOOKUP(B995,'CNKT '!#REF!,19,0)</f>
        <v>#REF!</v>
      </c>
      <c r="D1004" s="825">
        <v>20000</v>
      </c>
      <c r="E1004" s="823" t="e">
        <f>C1004*D1004</f>
        <v>#REF!</v>
      </c>
      <c r="F1004" s="882"/>
      <c r="G1004" s="821" t="s">
        <v>455</v>
      </c>
      <c r="H1004" s="980" t="s">
        <v>501</v>
      </c>
      <c r="I1004" s="879" t="e">
        <f>VLOOKUP(H995,'CNKT '!#REF!,19,0)</f>
        <v>#REF!</v>
      </c>
      <c r="J1004" s="825">
        <v>20000</v>
      </c>
      <c r="K1004" s="823" t="e">
        <f>I1004*J1004</f>
        <v>#REF!</v>
      </c>
      <c r="L1004" s="818"/>
    </row>
    <row r="1005" spans="1:12" s="31" customFormat="1" ht="17.25" customHeight="1">
      <c r="A1005" s="821" t="s">
        <v>517</v>
      </c>
      <c r="B1005" s="980" t="s">
        <v>519</v>
      </c>
      <c r="C1005" s="879"/>
      <c r="D1005" s="825"/>
      <c r="E1005" s="823"/>
      <c r="F1005" s="882"/>
      <c r="G1005" s="821" t="s">
        <v>517</v>
      </c>
      <c r="H1005" s="980" t="s">
        <v>519</v>
      </c>
      <c r="I1005" s="879"/>
      <c r="J1005" s="825"/>
      <c r="K1005" s="823"/>
      <c r="L1005" s="818"/>
    </row>
    <row r="1006" spans="1:12" s="31" customFormat="1" ht="17.25" customHeight="1">
      <c r="A1006" s="827" t="s">
        <v>81</v>
      </c>
      <c r="B1006" s="981" t="s">
        <v>564</v>
      </c>
      <c r="C1006" s="828"/>
      <c r="D1006" s="829"/>
      <c r="E1006" s="828"/>
      <c r="F1006" s="882"/>
      <c r="G1006" s="827" t="s">
        <v>81</v>
      </c>
      <c r="H1006" s="981" t="s">
        <v>564</v>
      </c>
      <c r="I1006" s="828"/>
      <c r="J1006" s="829"/>
      <c r="K1006" s="828"/>
      <c r="L1006" s="818"/>
    </row>
    <row r="1007" spans="1:12" s="31" customFormat="1" ht="17.25" customHeight="1">
      <c r="A1007" s="830" t="s">
        <v>82</v>
      </c>
      <c r="B1007" s="982" t="s">
        <v>565</v>
      </c>
      <c r="C1007" s="828"/>
      <c r="D1007" s="828"/>
      <c r="E1007" s="828"/>
      <c r="F1007" s="882"/>
      <c r="G1007" s="830" t="s">
        <v>82</v>
      </c>
      <c r="H1007" s="982" t="s">
        <v>565</v>
      </c>
      <c r="I1007" s="828"/>
      <c r="J1007" s="828"/>
      <c r="K1007" s="828"/>
      <c r="L1007" s="818"/>
    </row>
    <row r="1008" spans="1:12" s="31" customFormat="1" ht="17.25" customHeight="1">
      <c r="A1008" s="830" t="s">
        <v>83</v>
      </c>
      <c r="B1008" s="983" t="s">
        <v>566</v>
      </c>
      <c r="C1008" s="828"/>
      <c r="D1008" s="828"/>
      <c r="E1008" s="823">
        <f>SUM(E1007)</f>
        <v>0</v>
      </c>
      <c r="F1008" s="878"/>
      <c r="G1008" s="830" t="s">
        <v>83</v>
      </c>
      <c r="H1008" s="983" t="s">
        <v>566</v>
      </c>
      <c r="I1008" s="828"/>
      <c r="J1008" s="828"/>
      <c r="K1008" s="823">
        <f>SUM(K1007)</f>
        <v>0</v>
      </c>
      <c r="L1008" s="818"/>
    </row>
    <row r="1009" spans="1:12" s="31" customFormat="1" ht="17.25" customHeight="1">
      <c r="A1009" s="832" t="s">
        <v>84</v>
      </c>
      <c r="B1009" s="984" t="s">
        <v>438</v>
      </c>
      <c r="C1009" s="833"/>
      <c r="D1009" s="833"/>
      <c r="E1009" s="833" t="e">
        <f>(E997+E998+E999+E1000+E1001+E1002+E1003+E1004+E1005)-E1008</f>
        <v>#REF!</v>
      </c>
      <c r="F1009" s="878"/>
      <c r="G1009" s="832" t="s">
        <v>84</v>
      </c>
      <c r="H1009" s="984" t="s">
        <v>438</v>
      </c>
      <c r="I1009" s="833"/>
      <c r="J1009" s="833"/>
      <c r="K1009" s="833" t="e">
        <f>(K997+K998+K999+K1000+K1001+K1002+K1003+K1004+K1005)-K1008</f>
        <v>#REF!</v>
      </c>
      <c r="L1009" s="835" t="e">
        <f>E1009+K1009</f>
        <v>#REF!</v>
      </c>
    </row>
    <row r="1010" spans="1:12" s="31" customFormat="1" ht="17.25" customHeight="1">
      <c r="A1010" s="1616"/>
      <c r="B1010" s="1616"/>
      <c r="C1010" s="1616"/>
      <c r="D1010" s="1616"/>
      <c r="E1010" s="1616"/>
      <c r="F1010" s="873"/>
      <c r="G1010" s="1616"/>
      <c r="H1010" s="1616"/>
      <c r="I1010" s="1616"/>
      <c r="J1010" s="1616"/>
      <c r="K1010" s="874"/>
      <c r="L1010" s="818"/>
    </row>
    <row r="1011" spans="1:12" s="31" customFormat="1" ht="17.25" customHeight="1">
      <c r="A1011" s="895" t="str">
        <f>A994</f>
        <v>LƯƠNG THÁNG 01/2025</v>
      </c>
      <c r="B1011" s="895"/>
      <c r="C1011" s="895"/>
      <c r="D1011" s="895"/>
      <c r="E1011" s="895" t="e">
        <f>VLOOKUP(B1012,'CNKT '!#REF!,26,0)</f>
        <v>#REF!</v>
      </c>
      <c r="F1011" s="873"/>
      <c r="G1011" s="895" t="str">
        <f>A1011</f>
        <v>LƯƠNG THÁNG 01/2025</v>
      </c>
      <c r="H1011" s="895"/>
      <c r="I1011" s="895"/>
      <c r="J1011" s="895"/>
      <c r="K1011" s="895" t="e">
        <f>VLOOKUP(H1012,'CNKT '!#REF!,26,0)</f>
        <v>#REF!</v>
      </c>
      <c r="L1011" s="818"/>
    </row>
    <row r="1012" spans="1:12" s="31" customFormat="1" ht="17.25" customHeight="1">
      <c r="A1012" s="837" t="s">
        <v>17</v>
      </c>
      <c r="B1012" s="976" t="e">
        <f>'CNKT '!#REF!</f>
        <v>#REF!</v>
      </c>
      <c r="C1012" s="822"/>
      <c r="D1012" s="976" t="s">
        <v>398</v>
      </c>
      <c r="E1012" s="976" t="s">
        <v>20</v>
      </c>
      <c r="F1012" s="882"/>
      <c r="G1012" s="837" t="s">
        <v>17</v>
      </c>
      <c r="H1012" s="976" t="e">
        <f>'CNKT '!#REF!</f>
        <v>#REF!</v>
      </c>
      <c r="I1012" s="822"/>
      <c r="J1012" s="976" t="s">
        <v>398</v>
      </c>
      <c r="K1012" s="976" t="s">
        <v>20</v>
      </c>
      <c r="L1012" s="818"/>
    </row>
    <row r="1013" spans="1:12" s="31" customFormat="1" ht="17.25" customHeight="1">
      <c r="A1013" s="821" t="s">
        <v>399</v>
      </c>
      <c r="B1013" s="978" t="s">
        <v>559</v>
      </c>
      <c r="C1013" s="822" t="e">
        <f>VLOOKUP(B1012,'BTH mủ tạp'!#REF!,36,0)</f>
        <v>#REF!</v>
      </c>
      <c r="D1013" s="823"/>
      <c r="E1013" s="823"/>
      <c r="F1013" s="882"/>
      <c r="G1013" s="821" t="s">
        <v>399</v>
      </c>
      <c r="H1013" s="978" t="s">
        <v>559</v>
      </c>
      <c r="I1013" s="822" t="e">
        <f>VLOOKUP(H1012,'BTH mủ tạp'!#REF!,36,0)</f>
        <v>#REF!</v>
      </c>
      <c r="J1013" s="823"/>
      <c r="K1013" s="823"/>
      <c r="L1013" s="818"/>
    </row>
    <row r="1014" spans="1:12" s="31" customFormat="1" ht="17.25" customHeight="1">
      <c r="A1014" s="821" t="s">
        <v>79</v>
      </c>
      <c r="B1014" s="979" t="s">
        <v>432</v>
      </c>
      <c r="C1014" s="824" t="e">
        <f>VLOOKUP(B1012,'CNKT '!#REF!,3,0)</f>
        <v>#REF!</v>
      </c>
      <c r="D1014" s="825">
        <v>25000</v>
      </c>
      <c r="E1014" s="823" t="e">
        <f t="shared" ref="E1014:E1019" si="117">C1014*D1014</f>
        <v>#REF!</v>
      </c>
      <c r="F1014" s="882"/>
      <c r="G1014" s="821" t="s">
        <v>79</v>
      </c>
      <c r="H1014" s="979" t="s">
        <v>432</v>
      </c>
      <c r="I1014" s="824" t="e">
        <f>VLOOKUP(H1012,'CNKT '!#REF!,3,0)</f>
        <v>#REF!</v>
      </c>
      <c r="J1014" s="825">
        <v>25000</v>
      </c>
      <c r="K1014" s="823" t="e">
        <f t="shared" ref="K1014:K1019" si="118">I1014*J1014</f>
        <v>#REF!</v>
      </c>
      <c r="L1014" s="818"/>
    </row>
    <row r="1015" spans="1:12" s="31" customFormat="1" ht="17.25" customHeight="1">
      <c r="A1015" s="821" t="s">
        <v>310</v>
      </c>
      <c r="B1015" s="980" t="s">
        <v>560</v>
      </c>
      <c r="C1015" s="879" t="e">
        <f>VLOOKUP(B1012,'CNKT '!#REF!,11,0)</f>
        <v>#REF!</v>
      </c>
      <c r="D1015" s="826">
        <f>46.1*$B$2</f>
        <v>30805.403000000002</v>
      </c>
      <c r="E1015" s="823" t="e">
        <f t="shared" si="117"/>
        <v>#REF!</v>
      </c>
      <c r="F1015" s="882"/>
      <c r="G1015" s="821" t="s">
        <v>310</v>
      </c>
      <c r="H1015" s="980" t="s">
        <v>560</v>
      </c>
      <c r="I1015" s="879" t="e">
        <f>VLOOKUP(H1012,'CNKT '!#REF!,11,0)</f>
        <v>#REF!</v>
      </c>
      <c r="J1015" s="826">
        <f>46.1*$B$2</f>
        <v>30805.403000000002</v>
      </c>
      <c r="K1015" s="823" t="e">
        <f t="shared" si="118"/>
        <v>#REF!</v>
      </c>
      <c r="L1015" s="818"/>
    </row>
    <row r="1016" spans="1:12" s="31" customFormat="1" ht="17.25" customHeight="1">
      <c r="A1016" s="821" t="s">
        <v>401</v>
      </c>
      <c r="B1016" s="980" t="s">
        <v>561</v>
      </c>
      <c r="C1016" s="879" t="e">
        <f>VLOOKUP(B1012,'CNKT '!#REF!,12,0)</f>
        <v>#REF!</v>
      </c>
      <c r="D1016" s="825">
        <f>76.9*$B$2</f>
        <v>51386.887000000002</v>
      </c>
      <c r="E1016" s="823" t="e">
        <f t="shared" si="117"/>
        <v>#REF!</v>
      </c>
      <c r="F1016" s="882"/>
      <c r="G1016" s="821" t="s">
        <v>401</v>
      </c>
      <c r="H1016" s="980" t="s">
        <v>561</v>
      </c>
      <c r="I1016" s="879" t="e">
        <f>VLOOKUP(H1012,'CNKT '!#REF!,12,0)</f>
        <v>#REF!</v>
      </c>
      <c r="J1016" s="825">
        <f>76.9*$B$2</f>
        <v>51386.887000000002</v>
      </c>
      <c r="K1016" s="823" t="e">
        <f t="shared" si="118"/>
        <v>#REF!</v>
      </c>
      <c r="L1016" s="818"/>
    </row>
    <row r="1017" spans="1:12" s="31" customFormat="1" ht="17.25" customHeight="1">
      <c r="A1017" s="821" t="s">
        <v>80</v>
      </c>
      <c r="B1017" s="980" t="s">
        <v>562</v>
      </c>
      <c r="C1017" s="879" t="e">
        <f>VLOOKUP(B1012,'CNKT '!#REF!,8,0)</f>
        <v>#REF!</v>
      </c>
      <c r="D1017" s="825" t="e">
        <f>IF(C1013="A",6.1,IF(C1013="B",5.8,IF(C1013="C",5.5,IF(C1013="C.",5.5,IF(C1013="D",5.2)))))*$B$2</f>
        <v>#REF!</v>
      </c>
      <c r="E1017" s="823" t="e">
        <f t="shared" si="117"/>
        <v>#REF!</v>
      </c>
      <c r="F1017" s="882"/>
      <c r="G1017" s="821" t="s">
        <v>80</v>
      </c>
      <c r="H1017" s="980" t="s">
        <v>562</v>
      </c>
      <c r="I1017" s="879" t="e">
        <f>VLOOKUP(H1012,'CNKT '!#REF!,8,0)</f>
        <v>#REF!</v>
      </c>
      <c r="J1017" s="825" t="e">
        <f>IF(I1013="A",6.1,IF(I1013="B",5.8,IF(I1013="C",5.5,IF(I1013="C.",5.5,IF(I1013="D",5.2)))))*$B$2</f>
        <v>#REF!</v>
      </c>
      <c r="K1017" s="823" t="e">
        <f t="shared" si="118"/>
        <v>#REF!</v>
      </c>
      <c r="L1017" s="818"/>
    </row>
    <row r="1018" spans="1:12" s="31" customFormat="1" ht="17.25" customHeight="1">
      <c r="A1018" s="821" t="s">
        <v>495</v>
      </c>
      <c r="B1018" s="980" t="s">
        <v>563</v>
      </c>
      <c r="C1018" s="879" t="e">
        <f>VLOOKUP(B1012,'CNKT '!#REF!,15,0)</f>
        <v>#REF!</v>
      </c>
      <c r="D1018" s="826">
        <f>92.2*$B$2</f>
        <v>61610.806000000004</v>
      </c>
      <c r="E1018" s="823" t="e">
        <f t="shared" si="117"/>
        <v>#REF!</v>
      </c>
      <c r="F1018" s="882"/>
      <c r="G1018" s="821" t="s">
        <v>495</v>
      </c>
      <c r="H1018" s="980" t="s">
        <v>563</v>
      </c>
      <c r="I1018" s="879" t="e">
        <f>VLOOKUP(H1012,'CNKT '!#REF!,15,0)</f>
        <v>#REF!</v>
      </c>
      <c r="J1018" s="826">
        <f>92.2*$B$2</f>
        <v>61610.806000000004</v>
      </c>
      <c r="K1018" s="823" t="e">
        <f t="shared" si="118"/>
        <v>#REF!</v>
      </c>
      <c r="L1018" s="818"/>
    </row>
    <row r="1019" spans="1:12" s="31" customFormat="1" ht="17.25" customHeight="1">
      <c r="A1019" s="821" t="s">
        <v>496</v>
      </c>
      <c r="B1019" s="980" t="s">
        <v>500</v>
      </c>
      <c r="C1019" s="879" t="e">
        <f>VLOOKUP(B1012,'CNKT '!#REF!,16,0)</f>
        <v>#REF!</v>
      </c>
      <c r="D1019" s="825">
        <f>153.8*$B$2</f>
        <v>102773.774</v>
      </c>
      <c r="E1019" s="823" t="e">
        <f t="shared" si="117"/>
        <v>#REF!</v>
      </c>
      <c r="F1019" s="882"/>
      <c r="G1019" s="821" t="s">
        <v>496</v>
      </c>
      <c r="H1019" s="980" t="s">
        <v>500</v>
      </c>
      <c r="I1019" s="879" t="e">
        <f>VLOOKUP(H1012,'CNKT '!#REF!,16,0)</f>
        <v>#REF!</v>
      </c>
      <c r="J1019" s="825">
        <f>153.8*$B$2</f>
        <v>102773.774</v>
      </c>
      <c r="K1019" s="823" t="e">
        <f t="shared" si="118"/>
        <v>#REF!</v>
      </c>
      <c r="L1019" s="818"/>
    </row>
    <row r="1020" spans="1:12" s="31" customFormat="1" ht="17.25" customHeight="1">
      <c r="A1020" s="821" t="s">
        <v>455</v>
      </c>
      <c r="B1020" s="980" t="s">
        <v>501</v>
      </c>
      <c r="C1020" s="879" t="e">
        <f>VLOOKUP(B1012,'CNKT '!#REF!,18,0)</f>
        <v>#REF!</v>
      </c>
      <c r="D1020" s="825">
        <v>10000</v>
      </c>
      <c r="E1020" s="823" t="e">
        <f>C1020*D1020</f>
        <v>#REF!</v>
      </c>
      <c r="F1020" s="882"/>
      <c r="G1020" s="821" t="s">
        <v>455</v>
      </c>
      <c r="H1020" s="980" t="s">
        <v>501</v>
      </c>
      <c r="I1020" s="879" t="e">
        <f>VLOOKUP(H1012,'CNKT '!#REF!,18,0)</f>
        <v>#REF!</v>
      </c>
      <c r="J1020" s="825">
        <v>10000</v>
      </c>
      <c r="K1020" s="823" t="e">
        <f>I1020*J1020</f>
        <v>#REF!</v>
      </c>
      <c r="L1020" s="818"/>
    </row>
    <row r="1021" spans="1:12" s="31" customFormat="1" ht="17.25" customHeight="1">
      <c r="A1021" s="821" t="s">
        <v>455</v>
      </c>
      <c r="B1021" s="980" t="s">
        <v>501</v>
      </c>
      <c r="C1021" s="879" t="e">
        <f>VLOOKUP(B1012,'CNKT '!#REF!,19,0)</f>
        <v>#REF!</v>
      </c>
      <c r="D1021" s="825">
        <v>20000</v>
      </c>
      <c r="E1021" s="823" t="e">
        <f>C1021*D1021</f>
        <v>#REF!</v>
      </c>
      <c r="F1021" s="882"/>
      <c r="G1021" s="821" t="s">
        <v>455</v>
      </c>
      <c r="H1021" s="980" t="s">
        <v>501</v>
      </c>
      <c r="I1021" s="879" t="e">
        <f>VLOOKUP(H1012,'CNKT '!#REF!,19,0)</f>
        <v>#REF!</v>
      </c>
      <c r="J1021" s="825">
        <v>20000</v>
      </c>
      <c r="K1021" s="823" t="e">
        <f>I1021*J1021</f>
        <v>#REF!</v>
      </c>
      <c r="L1021" s="818"/>
    </row>
    <row r="1022" spans="1:12" s="31" customFormat="1" ht="17.25" customHeight="1">
      <c r="A1022" s="821" t="s">
        <v>517</v>
      </c>
      <c r="B1022" s="980" t="s">
        <v>519</v>
      </c>
      <c r="C1022" s="879"/>
      <c r="D1022" s="825"/>
      <c r="E1022" s="823"/>
      <c r="F1022" s="882"/>
      <c r="G1022" s="821" t="s">
        <v>517</v>
      </c>
      <c r="H1022" s="980" t="s">
        <v>519</v>
      </c>
      <c r="I1022" s="879"/>
      <c r="J1022" s="825"/>
      <c r="K1022" s="823"/>
      <c r="L1022" s="818"/>
    </row>
    <row r="1023" spans="1:12" s="31" customFormat="1" ht="17.25" customHeight="1">
      <c r="A1023" s="827" t="s">
        <v>81</v>
      </c>
      <c r="B1023" s="981" t="s">
        <v>564</v>
      </c>
      <c r="C1023" s="828"/>
      <c r="D1023" s="829"/>
      <c r="E1023" s="828"/>
      <c r="F1023" s="882"/>
      <c r="G1023" s="827" t="s">
        <v>81</v>
      </c>
      <c r="H1023" s="981" t="s">
        <v>564</v>
      </c>
      <c r="I1023" s="828"/>
      <c r="J1023" s="829"/>
      <c r="K1023" s="828"/>
      <c r="L1023" s="818"/>
    </row>
    <row r="1024" spans="1:12" s="31" customFormat="1" ht="17.25" customHeight="1">
      <c r="A1024" s="830" t="s">
        <v>82</v>
      </c>
      <c r="B1024" s="982" t="s">
        <v>565</v>
      </c>
      <c r="C1024" s="828"/>
      <c r="D1024" s="828"/>
      <c r="E1024" s="828"/>
      <c r="F1024" s="882"/>
      <c r="G1024" s="830" t="s">
        <v>82</v>
      </c>
      <c r="H1024" s="982" t="s">
        <v>565</v>
      </c>
      <c r="I1024" s="828"/>
      <c r="J1024" s="828"/>
      <c r="K1024" s="828"/>
      <c r="L1024" s="818"/>
    </row>
    <row r="1025" spans="1:13" s="31" customFormat="1" ht="17.25" customHeight="1">
      <c r="A1025" s="830" t="s">
        <v>83</v>
      </c>
      <c r="B1025" s="983" t="s">
        <v>566</v>
      </c>
      <c r="C1025" s="828"/>
      <c r="D1025" s="828"/>
      <c r="E1025" s="823">
        <f>SUM(E1024)</f>
        <v>0</v>
      </c>
      <c r="F1025" s="869"/>
      <c r="G1025" s="830" t="s">
        <v>83</v>
      </c>
      <c r="H1025" s="983" t="s">
        <v>566</v>
      </c>
      <c r="I1025" s="828"/>
      <c r="J1025" s="828"/>
      <c r="K1025" s="823">
        <f>SUM(K1024)</f>
        <v>0</v>
      </c>
      <c r="L1025" s="818"/>
      <c r="M1025" s="831">
        <f>E1025+K1025</f>
        <v>0</v>
      </c>
    </row>
    <row r="1026" spans="1:13" s="31" customFormat="1" ht="17.25" customHeight="1">
      <c r="A1026" s="832" t="s">
        <v>84</v>
      </c>
      <c r="B1026" s="984" t="s">
        <v>438</v>
      </c>
      <c r="C1026" s="833"/>
      <c r="D1026" s="833"/>
      <c r="E1026" s="833" t="e">
        <f>(E1014+E1015+E1016+E1017+E1018+E1019+E1020+E1021+E1022)-E1025</f>
        <v>#REF!</v>
      </c>
      <c r="F1026" s="869"/>
      <c r="G1026" s="832" t="s">
        <v>84</v>
      </c>
      <c r="H1026" s="984" t="s">
        <v>438</v>
      </c>
      <c r="I1026" s="833"/>
      <c r="J1026" s="833"/>
      <c r="K1026" s="833" t="e">
        <f>(K1014+K1015+K1016+K1017+K1018+K1019+K1020+K1021+K1022)-K1025</f>
        <v>#REF!</v>
      </c>
      <c r="L1026" s="835" t="e">
        <f>E1026+K1026</f>
        <v>#REF!</v>
      </c>
    </row>
    <row r="1027" spans="1:13" s="31" customFormat="1" ht="255" customHeight="1">
      <c r="A1027" s="1616"/>
      <c r="B1027" s="1616"/>
      <c r="C1027" s="1616"/>
      <c r="D1027" s="1616"/>
      <c r="E1027" s="1616"/>
      <c r="F1027" s="873"/>
      <c r="G1027" s="1616"/>
      <c r="H1027" s="1616"/>
      <c r="I1027" s="1616"/>
      <c r="J1027" s="1616"/>
      <c r="K1027" s="874"/>
      <c r="L1027" s="818"/>
    </row>
    <row r="1028" spans="1:13" s="31" customFormat="1" ht="17.25" customHeight="1">
      <c r="A1028" s="895" t="str">
        <f>A1011</f>
        <v>LƯƠNG THÁNG 01/2025</v>
      </c>
      <c r="B1028" s="895"/>
      <c r="C1028" s="895"/>
      <c r="D1028" s="895"/>
      <c r="E1028" s="895" t="e">
        <f>VLOOKUP(B1029,'CNKT '!#REF!,26,0)</f>
        <v>#REF!</v>
      </c>
      <c r="F1028" s="873"/>
      <c r="G1028" s="895" t="str">
        <f>A1028</f>
        <v>LƯƠNG THÁNG 01/2025</v>
      </c>
      <c r="H1028" s="895"/>
      <c r="I1028" s="895"/>
      <c r="J1028" s="895"/>
      <c r="K1028" s="895" t="e">
        <f>VLOOKUP(H1029,'CNKT '!#REF!,26,0)</f>
        <v>#REF!</v>
      </c>
      <c r="L1028" s="818"/>
    </row>
    <row r="1029" spans="1:13" s="31" customFormat="1" ht="17.25" customHeight="1">
      <c r="A1029" s="837" t="s">
        <v>17</v>
      </c>
      <c r="B1029" s="976" t="e">
        <f>'CNKT '!#REF!</f>
        <v>#REF!</v>
      </c>
      <c r="C1029" s="822"/>
      <c r="D1029" s="976" t="s">
        <v>398</v>
      </c>
      <c r="E1029" s="976" t="s">
        <v>20</v>
      </c>
      <c r="F1029" s="882"/>
      <c r="G1029" s="837" t="s">
        <v>17</v>
      </c>
      <c r="H1029" s="976" t="e">
        <f>'CNKT '!#REF!</f>
        <v>#REF!</v>
      </c>
      <c r="I1029" s="822"/>
      <c r="J1029" s="976" t="s">
        <v>398</v>
      </c>
      <c r="K1029" s="976" t="s">
        <v>20</v>
      </c>
      <c r="L1029" s="818"/>
    </row>
    <row r="1030" spans="1:13" s="31" customFormat="1" ht="17.25" customHeight="1">
      <c r="A1030" s="821" t="s">
        <v>399</v>
      </c>
      <c r="B1030" s="978" t="s">
        <v>559</v>
      </c>
      <c r="C1030" s="822" t="e">
        <f>VLOOKUP(B1029,'BTH mủ tạp'!#REF!,36,0)</f>
        <v>#REF!</v>
      </c>
      <c r="D1030" s="823"/>
      <c r="E1030" s="823"/>
      <c r="F1030" s="882"/>
      <c r="G1030" s="821" t="s">
        <v>399</v>
      </c>
      <c r="H1030" s="978" t="s">
        <v>559</v>
      </c>
      <c r="I1030" s="822" t="e">
        <f>VLOOKUP(H1029,'BTH mủ tạp'!#REF!,36,0)</f>
        <v>#REF!</v>
      </c>
      <c r="J1030" s="823"/>
      <c r="K1030" s="823"/>
      <c r="L1030" s="818"/>
    </row>
    <row r="1031" spans="1:13" s="31" customFormat="1" ht="17.25" customHeight="1">
      <c r="A1031" s="821" t="s">
        <v>79</v>
      </c>
      <c r="B1031" s="979" t="s">
        <v>432</v>
      </c>
      <c r="C1031" s="824" t="e">
        <f>VLOOKUP(B1029,'CNKT '!#REF!,3,0)</f>
        <v>#REF!</v>
      </c>
      <c r="D1031" s="825">
        <v>25000</v>
      </c>
      <c r="E1031" s="823" t="e">
        <f t="shared" ref="E1031:E1036" si="119">C1031*D1031</f>
        <v>#REF!</v>
      </c>
      <c r="F1031" s="882"/>
      <c r="G1031" s="821" t="s">
        <v>79</v>
      </c>
      <c r="H1031" s="979" t="s">
        <v>432</v>
      </c>
      <c r="I1031" s="824" t="e">
        <f>VLOOKUP(H1029,'CNKT '!#REF!,3,0)</f>
        <v>#REF!</v>
      </c>
      <c r="J1031" s="825">
        <v>25000</v>
      </c>
      <c r="K1031" s="823" t="e">
        <f t="shared" ref="K1031:K1036" si="120">I1031*J1031</f>
        <v>#REF!</v>
      </c>
      <c r="L1031" s="818"/>
    </row>
    <row r="1032" spans="1:13" s="31" customFormat="1" ht="17.25" customHeight="1">
      <c r="A1032" s="821" t="s">
        <v>310</v>
      </c>
      <c r="B1032" s="980" t="s">
        <v>560</v>
      </c>
      <c r="C1032" s="879" t="e">
        <f>VLOOKUP(B1029,'CNKT '!#REF!,11,0)</f>
        <v>#REF!</v>
      </c>
      <c r="D1032" s="826">
        <f>46.1*$B$2</f>
        <v>30805.403000000002</v>
      </c>
      <c r="E1032" s="823" t="e">
        <f t="shared" si="119"/>
        <v>#REF!</v>
      </c>
      <c r="F1032" s="882"/>
      <c r="G1032" s="821" t="s">
        <v>310</v>
      </c>
      <c r="H1032" s="980" t="s">
        <v>560</v>
      </c>
      <c r="I1032" s="879" t="e">
        <f>VLOOKUP(H1029,'CNKT '!#REF!,11,0)</f>
        <v>#REF!</v>
      </c>
      <c r="J1032" s="826">
        <f>46.1*$B$2</f>
        <v>30805.403000000002</v>
      </c>
      <c r="K1032" s="823" t="e">
        <f t="shared" si="120"/>
        <v>#REF!</v>
      </c>
      <c r="L1032" s="818"/>
    </row>
    <row r="1033" spans="1:13" s="31" customFormat="1" ht="17.25" customHeight="1">
      <c r="A1033" s="821" t="s">
        <v>401</v>
      </c>
      <c r="B1033" s="980" t="s">
        <v>561</v>
      </c>
      <c r="C1033" s="879" t="e">
        <f>VLOOKUP(B1029,'CNKT '!#REF!,12,0)</f>
        <v>#REF!</v>
      </c>
      <c r="D1033" s="825">
        <f>76.9*$B$2</f>
        <v>51386.887000000002</v>
      </c>
      <c r="E1033" s="823" t="e">
        <f t="shared" si="119"/>
        <v>#REF!</v>
      </c>
      <c r="F1033" s="882"/>
      <c r="G1033" s="821" t="s">
        <v>401</v>
      </c>
      <c r="H1033" s="980" t="s">
        <v>561</v>
      </c>
      <c r="I1033" s="879" t="e">
        <f>VLOOKUP(H1029,'CNKT '!#REF!,12,0)</f>
        <v>#REF!</v>
      </c>
      <c r="J1033" s="825">
        <f>76.9*$B$2</f>
        <v>51386.887000000002</v>
      </c>
      <c r="K1033" s="823" t="e">
        <f t="shared" si="120"/>
        <v>#REF!</v>
      </c>
      <c r="L1033" s="818"/>
    </row>
    <row r="1034" spans="1:13" s="31" customFormat="1" ht="17.25" customHeight="1">
      <c r="A1034" s="821" t="s">
        <v>80</v>
      </c>
      <c r="B1034" s="980" t="s">
        <v>562</v>
      </c>
      <c r="C1034" s="879" t="e">
        <f>VLOOKUP(B1029,'CNKT '!#REF!,8,0)</f>
        <v>#REF!</v>
      </c>
      <c r="D1034" s="825" t="e">
        <f>IF(C1030="A",6.1,IF(C1030="B",5.8,IF(C1030="C",5.5,IF(C1030="C.",5.5,IF(C1030="D",5.2)))))*$B$2</f>
        <v>#REF!</v>
      </c>
      <c r="E1034" s="823" t="e">
        <f t="shared" si="119"/>
        <v>#REF!</v>
      </c>
      <c r="F1034" s="882"/>
      <c r="G1034" s="821" t="s">
        <v>80</v>
      </c>
      <c r="H1034" s="980" t="s">
        <v>562</v>
      </c>
      <c r="I1034" s="879" t="e">
        <f>VLOOKUP(H1029,'CNKT '!#REF!,8,0)</f>
        <v>#REF!</v>
      </c>
      <c r="J1034" s="825" t="e">
        <f>IF(I1030="A",6.1,IF(I1030="B",5.8,IF(I1030="C",5.5,IF(I1030="C.",5.5,IF(I1030="D",5.2)))))*$B$2</f>
        <v>#REF!</v>
      </c>
      <c r="K1034" s="823" t="e">
        <f t="shared" si="120"/>
        <v>#REF!</v>
      </c>
      <c r="L1034" s="818"/>
    </row>
    <row r="1035" spans="1:13" s="31" customFormat="1" ht="17.25" customHeight="1">
      <c r="A1035" s="821" t="s">
        <v>495</v>
      </c>
      <c r="B1035" s="980" t="s">
        <v>563</v>
      </c>
      <c r="C1035" s="879" t="e">
        <f>VLOOKUP(B1029,'CNKT '!#REF!,15,0)</f>
        <v>#REF!</v>
      </c>
      <c r="D1035" s="826">
        <f>92.2*$B$2</f>
        <v>61610.806000000004</v>
      </c>
      <c r="E1035" s="823" t="e">
        <f t="shared" si="119"/>
        <v>#REF!</v>
      </c>
      <c r="F1035" s="882"/>
      <c r="G1035" s="821" t="s">
        <v>495</v>
      </c>
      <c r="H1035" s="980" t="s">
        <v>563</v>
      </c>
      <c r="I1035" s="879" t="e">
        <f>VLOOKUP(H1029,'CNKT '!#REF!,15,0)</f>
        <v>#REF!</v>
      </c>
      <c r="J1035" s="826">
        <f>92.2*$B$2</f>
        <v>61610.806000000004</v>
      </c>
      <c r="K1035" s="823" t="e">
        <f t="shared" si="120"/>
        <v>#REF!</v>
      </c>
      <c r="L1035" s="818"/>
    </row>
    <row r="1036" spans="1:13" s="31" customFormat="1" ht="17.25" customHeight="1">
      <c r="A1036" s="821" t="s">
        <v>496</v>
      </c>
      <c r="B1036" s="980" t="s">
        <v>500</v>
      </c>
      <c r="C1036" s="879" t="e">
        <f>VLOOKUP(B1029,'CNKT '!#REF!,16,0)</f>
        <v>#REF!</v>
      </c>
      <c r="D1036" s="825">
        <f>153.8*$B$2</f>
        <v>102773.774</v>
      </c>
      <c r="E1036" s="823" t="e">
        <f t="shared" si="119"/>
        <v>#REF!</v>
      </c>
      <c r="F1036" s="882"/>
      <c r="G1036" s="821" t="s">
        <v>496</v>
      </c>
      <c r="H1036" s="980" t="s">
        <v>500</v>
      </c>
      <c r="I1036" s="879" t="e">
        <f>VLOOKUP(H1029,'CNKT '!#REF!,16,0)</f>
        <v>#REF!</v>
      </c>
      <c r="J1036" s="825">
        <f>153.8*$B$2</f>
        <v>102773.774</v>
      </c>
      <c r="K1036" s="823" t="e">
        <f t="shared" si="120"/>
        <v>#REF!</v>
      </c>
      <c r="L1036" s="818"/>
    </row>
    <row r="1037" spans="1:13" s="31" customFormat="1" ht="17.25" customHeight="1">
      <c r="A1037" s="821" t="s">
        <v>455</v>
      </c>
      <c r="B1037" s="980" t="s">
        <v>501</v>
      </c>
      <c r="C1037" s="879" t="e">
        <f>VLOOKUP(B1029,'CNKT '!#REF!,18,0)</f>
        <v>#REF!</v>
      </c>
      <c r="D1037" s="825">
        <v>10000</v>
      </c>
      <c r="E1037" s="823" t="e">
        <f>C1037*D1037</f>
        <v>#REF!</v>
      </c>
      <c r="F1037" s="882"/>
      <c r="G1037" s="821" t="s">
        <v>455</v>
      </c>
      <c r="H1037" s="980" t="s">
        <v>501</v>
      </c>
      <c r="I1037" s="879" t="e">
        <f>VLOOKUP(H1029,'CNKT '!#REF!,18,0)</f>
        <v>#REF!</v>
      </c>
      <c r="J1037" s="825">
        <v>10000</v>
      </c>
      <c r="K1037" s="823" t="e">
        <f>I1037*J1037</f>
        <v>#REF!</v>
      </c>
      <c r="L1037" s="818"/>
    </row>
    <row r="1038" spans="1:13" s="31" customFormat="1" ht="17.25" customHeight="1">
      <c r="A1038" s="821" t="s">
        <v>455</v>
      </c>
      <c r="B1038" s="980" t="s">
        <v>501</v>
      </c>
      <c r="C1038" s="879" t="e">
        <f>VLOOKUP(B1029,'CNKT '!#REF!,19,0)</f>
        <v>#REF!</v>
      </c>
      <c r="D1038" s="825">
        <v>20000</v>
      </c>
      <c r="E1038" s="823" t="e">
        <f>C1038*D1038</f>
        <v>#REF!</v>
      </c>
      <c r="F1038" s="882"/>
      <c r="G1038" s="821" t="s">
        <v>455</v>
      </c>
      <c r="H1038" s="980" t="s">
        <v>501</v>
      </c>
      <c r="I1038" s="879" t="e">
        <f>VLOOKUP(H1029,'CNKT '!#REF!,19,0)</f>
        <v>#REF!</v>
      </c>
      <c r="J1038" s="825">
        <v>20000</v>
      </c>
      <c r="K1038" s="823" t="e">
        <f>I1038*J1038</f>
        <v>#REF!</v>
      </c>
      <c r="L1038" s="818"/>
    </row>
    <row r="1039" spans="1:13" s="31" customFormat="1" ht="17.25" customHeight="1">
      <c r="A1039" s="821" t="s">
        <v>517</v>
      </c>
      <c r="B1039" s="980" t="s">
        <v>519</v>
      </c>
      <c r="C1039" s="879"/>
      <c r="D1039" s="825"/>
      <c r="E1039" s="823"/>
      <c r="F1039" s="882"/>
      <c r="G1039" s="821" t="s">
        <v>517</v>
      </c>
      <c r="H1039" s="980" t="s">
        <v>519</v>
      </c>
      <c r="I1039" s="879"/>
      <c r="J1039" s="825"/>
      <c r="K1039" s="823"/>
      <c r="L1039" s="818"/>
    </row>
    <row r="1040" spans="1:13" s="31" customFormat="1" ht="17.25" customHeight="1">
      <c r="A1040" s="827" t="s">
        <v>81</v>
      </c>
      <c r="B1040" s="981" t="s">
        <v>564</v>
      </c>
      <c r="C1040" s="828"/>
      <c r="D1040" s="829"/>
      <c r="E1040" s="828"/>
      <c r="F1040" s="882"/>
      <c r="G1040" s="827" t="s">
        <v>81</v>
      </c>
      <c r="H1040" s="981" t="s">
        <v>564</v>
      </c>
      <c r="I1040" s="828"/>
      <c r="J1040" s="829"/>
      <c r="K1040" s="828"/>
      <c r="L1040" s="818"/>
    </row>
    <row r="1041" spans="1:12" s="31" customFormat="1" ht="17.25" customHeight="1">
      <c r="A1041" s="830" t="s">
        <v>82</v>
      </c>
      <c r="B1041" s="982" t="s">
        <v>565</v>
      </c>
      <c r="C1041" s="828"/>
      <c r="D1041" s="828"/>
      <c r="E1041" s="828"/>
      <c r="F1041" s="882"/>
      <c r="G1041" s="830" t="s">
        <v>82</v>
      </c>
      <c r="H1041" s="982" t="s">
        <v>565</v>
      </c>
      <c r="I1041" s="828"/>
      <c r="J1041" s="828"/>
      <c r="K1041" s="828"/>
      <c r="L1041" s="818"/>
    </row>
    <row r="1042" spans="1:12" s="31" customFormat="1" ht="17.25" customHeight="1">
      <c r="A1042" s="830" t="s">
        <v>83</v>
      </c>
      <c r="B1042" s="983" t="s">
        <v>566</v>
      </c>
      <c r="C1042" s="828"/>
      <c r="D1042" s="828"/>
      <c r="E1042" s="823">
        <f>SUM(E1041)</f>
        <v>0</v>
      </c>
      <c r="F1042" s="869"/>
      <c r="G1042" s="830" t="s">
        <v>83</v>
      </c>
      <c r="H1042" s="983" t="s">
        <v>566</v>
      </c>
      <c r="I1042" s="828"/>
      <c r="J1042" s="828"/>
      <c r="K1042" s="823">
        <f>SUM(K1041)</f>
        <v>0</v>
      </c>
      <c r="L1042" s="818"/>
    </row>
    <row r="1043" spans="1:12" s="31" customFormat="1" ht="17.25" customHeight="1">
      <c r="A1043" s="832" t="s">
        <v>84</v>
      </c>
      <c r="B1043" s="984" t="s">
        <v>438</v>
      </c>
      <c r="C1043" s="833"/>
      <c r="D1043" s="833"/>
      <c r="E1043" s="833" t="e">
        <f>(E1031+E1032+E1033+E1034+E1035+E1036+E1037+E1038+E1039)-E1042</f>
        <v>#REF!</v>
      </c>
      <c r="F1043" s="869"/>
      <c r="G1043" s="832" t="s">
        <v>84</v>
      </c>
      <c r="H1043" s="984" t="s">
        <v>438</v>
      </c>
      <c r="I1043" s="833"/>
      <c r="J1043" s="833"/>
      <c r="K1043" s="833" t="e">
        <f>(K1031+K1032+K1033+K1034+K1035+K1036+K1037+K1038+K1039)-K1042</f>
        <v>#REF!</v>
      </c>
      <c r="L1043" s="835" t="e">
        <f>E1043+K1043</f>
        <v>#REF!</v>
      </c>
    </row>
    <row r="1044" spans="1:12" s="31" customFormat="1" ht="17.25" customHeight="1">
      <c r="A1044" s="1616"/>
      <c r="B1044" s="1616"/>
      <c r="C1044" s="1616"/>
      <c r="D1044" s="1616"/>
      <c r="E1044" s="1616"/>
      <c r="F1044" s="873"/>
      <c r="G1044" s="1616"/>
      <c r="H1044" s="1616"/>
      <c r="I1044" s="1616"/>
      <c r="J1044" s="1616"/>
      <c r="K1044" s="874"/>
      <c r="L1044" s="818"/>
    </row>
    <row r="1045" spans="1:12" s="31" customFormat="1" ht="17.25" customHeight="1">
      <c r="A1045" s="895" t="str">
        <f>A1028</f>
        <v>LƯƠNG THÁNG 01/2025</v>
      </c>
      <c r="B1045" s="895"/>
      <c r="C1045" s="895"/>
      <c r="D1045" s="895"/>
      <c r="E1045" s="895" t="e">
        <f>VLOOKUP(B1046,'CNKT '!#REF!,26,0)</f>
        <v>#REF!</v>
      </c>
      <c r="F1045" s="873"/>
      <c r="G1045" s="895" t="str">
        <f>A1045</f>
        <v>LƯƠNG THÁNG 01/2025</v>
      </c>
      <c r="H1045" s="895"/>
      <c r="I1045" s="895"/>
      <c r="J1045" s="895"/>
      <c r="K1045" s="895" t="e">
        <f>VLOOKUP(H1046,'CNKT '!#REF!,26,0)</f>
        <v>#REF!</v>
      </c>
      <c r="L1045" s="818"/>
    </row>
    <row r="1046" spans="1:12" s="31" customFormat="1" ht="17.25" customHeight="1">
      <c r="A1046" s="837" t="s">
        <v>17</v>
      </c>
      <c r="B1046" s="976" t="e">
        <f>'CNKT '!#REF!</f>
        <v>#REF!</v>
      </c>
      <c r="C1046" s="822"/>
      <c r="D1046" s="976" t="s">
        <v>398</v>
      </c>
      <c r="E1046" s="976" t="s">
        <v>20</v>
      </c>
      <c r="F1046" s="882"/>
      <c r="G1046" s="837" t="s">
        <v>17</v>
      </c>
      <c r="H1046" s="976" t="e">
        <f>'CNKT '!#REF!</f>
        <v>#REF!</v>
      </c>
      <c r="I1046" s="822"/>
      <c r="J1046" s="976" t="s">
        <v>398</v>
      </c>
      <c r="K1046" s="976" t="s">
        <v>20</v>
      </c>
      <c r="L1046" s="818"/>
    </row>
    <row r="1047" spans="1:12" s="31" customFormat="1" ht="17.25" customHeight="1">
      <c r="A1047" s="821" t="s">
        <v>399</v>
      </c>
      <c r="B1047" s="978" t="s">
        <v>559</v>
      </c>
      <c r="C1047" s="822" t="e">
        <f>VLOOKUP(B1046,'BTH mủ tạp'!#REF!,36,0)</f>
        <v>#REF!</v>
      </c>
      <c r="D1047" s="823"/>
      <c r="E1047" s="823"/>
      <c r="F1047" s="882"/>
      <c r="G1047" s="821" t="s">
        <v>399</v>
      </c>
      <c r="H1047" s="978" t="s">
        <v>559</v>
      </c>
      <c r="I1047" s="822" t="e">
        <f>VLOOKUP(H1046,'BTH mủ tạp'!#REF!,36,0)</f>
        <v>#REF!</v>
      </c>
      <c r="J1047" s="823"/>
      <c r="K1047" s="823"/>
      <c r="L1047" s="818"/>
    </row>
    <row r="1048" spans="1:12" s="31" customFormat="1" ht="17.25" customHeight="1">
      <c r="A1048" s="821" t="s">
        <v>79</v>
      </c>
      <c r="B1048" s="979" t="s">
        <v>432</v>
      </c>
      <c r="C1048" s="824" t="e">
        <f>VLOOKUP(B1046,'CNKT '!#REF!,3,0)</f>
        <v>#REF!</v>
      </c>
      <c r="D1048" s="825">
        <v>25000</v>
      </c>
      <c r="E1048" s="823" t="e">
        <f t="shared" ref="E1048:E1053" si="121">C1048*D1048</f>
        <v>#REF!</v>
      </c>
      <c r="F1048" s="882"/>
      <c r="G1048" s="821" t="s">
        <v>79</v>
      </c>
      <c r="H1048" s="979" t="s">
        <v>432</v>
      </c>
      <c r="I1048" s="824" t="e">
        <f>VLOOKUP(H1046,'CNKT '!#REF!,3,0)</f>
        <v>#REF!</v>
      </c>
      <c r="J1048" s="825">
        <v>25000</v>
      </c>
      <c r="K1048" s="823" t="e">
        <f t="shared" ref="K1048:K1053" si="122">I1048*J1048</f>
        <v>#REF!</v>
      </c>
      <c r="L1048" s="818"/>
    </row>
    <row r="1049" spans="1:12" s="31" customFormat="1" ht="17.25" customHeight="1">
      <c r="A1049" s="821" t="s">
        <v>310</v>
      </c>
      <c r="B1049" s="980" t="s">
        <v>560</v>
      </c>
      <c r="C1049" s="879" t="e">
        <f>VLOOKUP(B1046,'CNKT '!#REF!,11,0)</f>
        <v>#REF!</v>
      </c>
      <c r="D1049" s="826">
        <f>46.1*$B$2</f>
        <v>30805.403000000002</v>
      </c>
      <c r="E1049" s="823" t="e">
        <f t="shared" si="121"/>
        <v>#REF!</v>
      </c>
      <c r="F1049" s="882"/>
      <c r="G1049" s="821" t="s">
        <v>310</v>
      </c>
      <c r="H1049" s="980" t="s">
        <v>560</v>
      </c>
      <c r="I1049" s="879" t="e">
        <f>VLOOKUP(H1046,'CNKT '!#REF!,11,0)</f>
        <v>#REF!</v>
      </c>
      <c r="J1049" s="826">
        <f>46.1*$B$2</f>
        <v>30805.403000000002</v>
      </c>
      <c r="K1049" s="823" t="e">
        <f t="shared" si="122"/>
        <v>#REF!</v>
      </c>
      <c r="L1049" s="818"/>
    </row>
    <row r="1050" spans="1:12" s="31" customFormat="1" ht="17.25" customHeight="1">
      <c r="A1050" s="821" t="s">
        <v>401</v>
      </c>
      <c r="B1050" s="980" t="s">
        <v>561</v>
      </c>
      <c r="C1050" s="879" t="e">
        <f>VLOOKUP(B1046,'CNKT '!#REF!,12,0)</f>
        <v>#REF!</v>
      </c>
      <c r="D1050" s="825">
        <f>76.9*$B$2</f>
        <v>51386.887000000002</v>
      </c>
      <c r="E1050" s="823" t="e">
        <f t="shared" si="121"/>
        <v>#REF!</v>
      </c>
      <c r="F1050" s="882"/>
      <c r="G1050" s="821" t="s">
        <v>401</v>
      </c>
      <c r="H1050" s="980" t="s">
        <v>561</v>
      </c>
      <c r="I1050" s="879" t="e">
        <f>VLOOKUP(H1046,'CNKT '!#REF!,12,0)</f>
        <v>#REF!</v>
      </c>
      <c r="J1050" s="825">
        <f>76.9*$B$2</f>
        <v>51386.887000000002</v>
      </c>
      <c r="K1050" s="823" t="e">
        <f t="shared" si="122"/>
        <v>#REF!</v>
      </c>
      <c r="L1050" s="818"/>
    </row>
    <row r="1051" spans="1:12" s="31" customFormat="1" ht="17.25" customHeight="1">
      <c r="A1051" s="821" t="s">
        <v>80</v>
      </c>
      <c r="B1051" s="980" t="s">
        <v>562</v>
      </c>
      <c r="C1051" s="879" t="e">
        <f>VLOOKUP(B1046,'CNKT '!#REF!,8,0)</f>
        <v>#REF!</v>
      </c>
      <c r="D1051" s="825" t="e">
        <f>IF(C1047="A",6.1,IF(C1047="B",5.8,IF(C1047="C",5.5,IF(C1047="C.",5.5,IF(C1047="D",5.2)))))*$B$2</f>
        <v>#REF!</v>
      </c>
      <c r="E1051" s="823" t="e">
        <f t="shared" si="121"/>
        <v>#REF!</v>
      </c>
      <c r="F1051" s="882"/>
      <c r="G1051" s="821" t="s">
        <v>80</v>
      </c>
      <c r="H1051" s="980" t="s">
        <v>562</v>
      </c>
      <c r="I1051" s="879" t="e">
        <f>VLOOKUP(H1046,'CNKT '!#REF!,8,0)</f>
        <v>#REF!</v>
      </c>
      <c r="J1051" s="825" t="e">
        <f>IF(I1047="A",6.1,IF(I1047="B",5.8,IF(I1047="C",5.5,IF(I1047="C.",5.5,IF(I1047="D",5.2)))))*$B$2</f>
        <v>#REF!</v>
      </c>
      <c r="K1051" s="823" t="e">
        <f t="shared" si="122"/>
        <v>#REF!</v>
      </c>
      <c r="L1051" s="818"/>
    </row>
    <row r="1052" spans="1:12" s="31" customFormat="1" ht="17.25" customHeight="1">
      <c r="A1052" s="821" t="s">
        <v>495</v>
      </c>
      <c r="B1052" s="980" t="s">
        <v>563</v>
      </c>
      <c r="C1052" s="879" t="e">
        <f>VLOOKUP(B1046,'CNKT '!#REF!,15,0)</f>
        <v>#REF!</v>
      </c>
      <c r="D1052" s="826">
        <f>92.2*$B$2</f>
        <v>61610.806000000004</v>
      </c>
      <c r="E1052" s="823" t="e">
        <f t="shared" si="121"/>
        <v>#REF!</v>
      </c>
      <c r="F1052" s="882"/>
      <c r="G1052" s="821" t="s">
        <v>495</v>
      </c>
      <c r="H1052" s="980" t="s">
        <v>563</v>
      </c>
      <c r="I1052" s="879" t="e">
        <f>VLOOKUP(H1046,'CNKT '!#REF!,15,0)</f>
        <v>#REF!</v>
      </c>
      <c r="J1052" s="826">
        <f>92.2*$B$2</f>
        <v>61610.806000000004</v>
      </c>
      <c r="K1052" s="823" t="e">
        <f t="shared" si="122"/>
        <v>#REF!</v>
      </c>
      <c r="L1052" s="818"/>
    </row>
    <row r="1053" spans="1:12" s="31" customFormat="1" ht="17.25" customHeight="1">
      <c r="A1053" s="821" t="s">
        <v>496</v>
      </c>
      <c r="B1053" s="980" t="s">
        <v>500</v>
      </c>
      <c r="C1053" s="879" t="e">
        <f>VLOOKUP(B1046,'CNKT '!#REF!,16,0)</f>
        <v>#REF!</v>
      </c>
      <c r="D1053" s="825">
        <f>153.8*$B$2</f>
        <v>102773.774</v>
      </c>
      <c r="E1053" s="823" t="e">
        <f t="shared" si="121"/>
        <v>#REF!</v>
      </c>
      <c r="F1053" s="882"/>
      <c r="G1053" s="821" t="s">
        <v>496</v>
      </c>
      <c r="H1053" s="980" t="s">
        <v>500</v>
      </c>
      <c r="I1053" s="879" t="e">
        <f>VLOOKUP(H1046,'CNKT '!#REF!,16,0)</f>
        <v>#REF!</v>
      </c>
      <c r="J1053" s="825">
        <f>153.8*$B$2</f>
        <v>102773.774</v>
      </c>
      <c r="K1053" s="823" t="e">
        <f t="shared" si="122"/>
        <v>#REF!</v>
      </c>
      <c r="L1053" s="818"/>
    </row>
    <row r="1054" spans="1:12" s="31" customFormat="1" ht="17.25" customHeight="1">
      <c r="A1054" s="821" t="s">
        <v>455</v>
      </c>
      <c r="B1054" s="980" t="s">
        <v>501</v>
      </c>
      <c r="C1054" s="879" t="e">
        <f>VLOOKUP(B1046,'CNKT '!#REF!,18,0)</f>
        <v>#REF!</v>
      </c>
      <c r="D1054" s="825">
        <v>10000</v>
      </c>
      <c r="E1054" s="823" t="e">
        <f>C1054*D1054</f>
        <v>#REF!</v>
      </c>
      <c r="F1054" s="882"/>
      <c r="G1054" s="821" t="s">
        <v>455</v>
      </c>
      <c r="H1054" s="980" t="s">
        <v>501</v>
      </c>
      <c r="I1054" s="879" t="e">
        <f>VLOOKUP(H1046,'CNKT '!#REF!,18,0)</f>
        <v>#REF!</v>
      </c>
      <c r="J1054" s="825">
        <v>10000</v>
      </c>
      <c r="K1054" s="823" t="e">
        <f>I1054*J1054</f>
        <v>#REF!</v>
      </c>
      <c r="L1054" s="818"/>
    </row>
    <row r="1055" spans="1:12" s="31" customFormat="1" ht="17.25" customHeight="1">
      <c r="A1055" s="821" t="s">
        <v>455</v>
      </c>
      <c r="B1055" s="980" t="s">
        <v>501</v>
      </c>
      <c r="C1055" s="879" t="e">
        <f>VLOOKUP(B1046,'CNKT '!#REF!,19,0)</f>
        <v>#REF!</v>
      </c>
      <c r="D1055" s="825">
        <v>20000</v>
      </c>
      <c r="E1055" s="823" t="e">
        <f>C1055*D1055</f>
        <v>#REF!</v>
      </c>
      <c r="F1055" s="882"/>
      <c r="G1055" s="821" t="s">
        <v>455</v>
      </c>
      <c r="H1055" s="980" t="s">
        <v>501</v>
      </c>
      <c r="I1055" s="879" t="e">
        <f>VLOOKUP(H1046,'CNKT '!#REF!,19,0)</f>
        <v>#REF!</v>
      </c>
      <c r="J1055" s="825">
        <v>20000</v>
      </c>
      <c r="K1055" s="823" t="e">
        <f>I1055*J1055</f>
        <v>#REF!</v>
      </c>
      <c r="L1055" s="818"/>
    </row>
    <row r="1056" spans="1:12" s="31" customFormat="1" ht="17.25" customHeight="1">
      <c r="A1056" s="821" t="s">
        <v>517</v>
      </c>
      <c r="B1056" s="980" t="s">
        <v>519</v>
      </c>
      <c r="C1056" s="879"/>
      <c r="D1056" s="825"/>
      <c r="E1056" s="823"/>
      <c r="F1056" s="882"/>
      <c r="G1056" s="821" t="s">
        <v>517</v>
      </c>
      <c r="H1056" s="980" t="s">
        <v>519</v>
      </c>
      <c r="I1056" s="879"/>
      <c r="J1056" s="825"/>
      <c r="K1056" s="823"/>
      <c r="L1056" s="818"/>
    </row>
    <row r="1057" spans="1:13" s="31" customFormat="1" ht="17.25" customHeight="1">
      <c r="A1057" s="827" t="s">
        <v>81</v>
      </c>
      <c r="B1057" s="981" t="s">
        <v>564</v>
      </c>
      <c r="C1057" s="828"/>
      <c r="D1057" s="829"/>
      <c r="E1057" s="828"/>
      <c r="F1057" s="882"/>
      <c r="G1057" s="827" t="s">
        <v>81</v>
      </c>
      <c r="H1057" s="981" t="s">
        <v>564</v>
      </c>
      <c r="I1057" s="828"/>
      <c r="J1057" s="829"/>
      <c r="K1057" s="828"/>
      <c r="L1057" s="818"/>
    </row>
    <row r="1058" spans="1:13" s="31" customFormat="1" ht="17.25" customHeight="1">
      <c r="A1058" s="830" t="s">
        <v>82</v>
      </c>
      <c r="B1058" s="982" t="s">
        <v>565</v>
      </c>
      <c r="C1058" s="828"/>
      <c r="D1058" s="828"/>
      <c r="E1058" s="828"/>
      <c r="F1058" s="882"/>
      <c r="G1058" s="830" t="s">
        <v>82</v>
      </c>
      <c r="H1058" s="982" t="s">
        <v>565</v>
      </c>
      <c r="I1058" s="828"/>
      <c r="J1058" s="828"/>
      <c r="K1058" s="828"/>
      <c r="L1058" s="818"/>
    </row>
    <row r="1059" spans="1:13" s="31" customFormat="1" ht="17.25" customHeight="1">
      <c r="A1059" s="830" t="s">
        <v>83</v>
      </c>
      <c r="B1059" s="983" t="s">
        <v>566</v>
      </c>
      <c r="C1059" s="828"/>
      <c r="D1059" s="828"/>
      <c r="E1059" s="823">
        <f>SUM(E1058)</f>
        <v>0</v>
      </c>
      <c r="F1059" s="878"/>
      <c r="G1059" s="830" t="s">
        <v>83</v>
      </c>
      <c r="H1059" s="983" t="s">
        <v>566</v>
      </c>
      <c r="I1059" s="828"/>
      <c r="J1059" s="828"/>
      <c r="K1059" s="823">
        <f>SUM(K1058)</f>
        <v>0</v>
      </c>
      <c r="L1059" s="818"/>
      <c r="M1059" s="831">
        <f>E1059+K1059</f>
        <v>0</v>
      </c>
    </row>
    <row r="1060" spans="1:13" s="31" customFormat="1" ht="17.25" customHeight="1">
      <c r="A1060" s="832" t="s">
        <v>84</v>
      </c>
      <c r="B1060" s="984" t="s">
        <v>438</v>
      </c>
      <c r="C1060" s="833"/>
      <c r="D1060" s="833"/>
      <c r="E1060" s="833" t="e">
        <f>(E1048+E1049+E1050+E1051+E1052+E1053+E1054+E1055+E1056)-E1059</f>
        <v>#REF!</v>
      </c>
      <c r="F1060" s="878"/>
      <c r="G1060" s="832" t="s">
        <v>84</v>
      </c>
      <c r="H1060" s="984" t="s">
        <v>438</v>
      </c>
      <c r="I1060" s="833"/>
      <c r="J1060" s="833"/>
      <c r="K1060" s="833" t="e">
        <f>(K1048+K1049+K1050+K1051+K1052+K1053+K1054+K1055+K1056)-K1059</f>
        <v>#REF!</v>
      </c>
      <c r="L1060" s="835" t="e">
        <f>E1060+K1060</f>
        <v>#REF!</v>
      </c>
    </row>
    <row r="1061" spans="1:13" s="31" customFormat="1" ht="17.25" customHeight="1">
      <c r="A1061" s="1616"/>
      <c r="B1061" s="1616"/>
      <c r="C1061" s="1616"/>
      <c r="D1061" s="1616"/>
      <c r="E1061" s="1616"/>
      <c r="F1061" s="873"/>
      <c r="G1061" s="1616"/>
      <c r="H1061" s="1616"/>
      <c r="I1061" s="1616"/>
      <c r="J1061" s="1616"/>
      <c r="K1061" s="874"/>
      <c r="L1061" s="818"/>
    </row>
    <row r="1062" spans="1:13" s="31" customFormat="1" ht="17.25" customHeight="1">
      <c r="A1062" s="895" t="str">
        <f>A1045</f>
        <v>LƯƠNG THÁNG 01/2025</v>
      </c>
      <c r="B1062" s="895"/>
      <c r="C1062" s="895"/>
      <c r="D1062" s="895"/>
      <c r="E1062" s="895" t="e">
        <f>VLOOKUP(B1063,'CNKT '!#REF!,26,0)</f>
        <v>#REF!</v>
      </c>
      <c r="F1062" s="873"/>
      <c r="G1062" s="895" t="str">
        <f>A1062</f>
        <v>LƯƠNG THÁNG 01/2025</v>
      </c>
      <c r="H1062" s="895"/>
      <c r="I1062" s="895"/>
      <c r="J1062" s="895"/>
      <c r="K1062" s="895" t="e">
        <f>VLOOKUP(H1063,'CNKT '!#REF!,26,0)</f>
        <v>#REF!</v>
      </c>
      <c r="L1062" s="818"/>
    </row>
    <row r="1063" spans="1:13" s="31" customFormat="1" ht="17.25" customHeight="1">
      <c r="A1063" s="837" t="s">
        <v>17</v>
      </c>
      <c r="B1063" s="976" t="e">
        <f>'CNKT '!#REF!</f>
        <v>#REF!</v>
      </c>
      <c r="C1063" s="822"/>
      <c r="D1063" s="976" t="s">
        <v>398</v>
      </c>
      <c r="E1063" s="976" t="s">
        <v>20</v>
      </c>
      <c r="F1063" s="882"/>
      <c r="G1063" s="837" t="s">
        <v>17</v>
      </c>
      <c r="H1063" s="976" t="e">
        <f>'CNKT '!#REF!</f>
        <v>#REF!</v>
      </c>
      <c r="I1063" s="822"/>
      <c r="J1063" s="976" t="s">
        <v>398</v>
      </c>
      <c r="K1063" s="976" t="s">
        <v>20</v>
      </c>
      <c r="L1063" s="818"/>
    </row>
    <row r="1064" spans="1:13" s="31" customFormat="1" ht="17.25" customHeight="1">
      <c r="A1064" s="821" t="s">
        <v>399</v>
      </c>
      <c r="B1064" s="978" t="s">
        <v>559</v>
      </c>
      <c r="C1064" s="822" t="e">
        <f>VLOOKUP(B1063,'BTH mủ tạp'!#REF!,36,0)</f>
        <v>#REF!</v>
      </c>
      <c r="D1064" s="823"/>
      <c r="E1064" s="823"/>
      <c r="F1064" s="882"/>
      <c r="G1064" s="821" t="s">
        <v>399</v>
      </c>
      <c r="H1064" s="978" t="s">
        <v>559</v>
      </c>
      <c r="I1064" s="822" t="e">
        <f>VLOOKUP(H1063,'BTH mủ tạp'!#REF!,36,0)</f>
        <v>#REF!</v>
      </c>
      <c r="J1064" s="823"/>
      <c r="K1064" s="823"/>
      <c r="L1064" s="818"/>
    </row>
    <row r="1065" spans="1:13" s="31" customFormat="1" ht="17.25" customHeight="1">
      <c r="A1065" s="821" t="s">
        <v>79</v>
      </c>
      <c r="B1065" s="979" t="s">
        <v>432</v>
      </c>
      <c r="C1065" s="824" t="e">
        <f>VLOOKUP(B1063,'CNKT '!#REF!,3,0)</f>
        <v>#REF!</v>
      </c>
      <c r="D1065" s="825">
        <v>25000</v>
      </c>
      <c r="E1065" s="823" t="e">
        <f t="shared" ref="E1065:E1070" si="123">C1065*D1065</f>
        <v>#REF!</v>
      </c>
      <c r="F1065" s="882"/>
      <c r="G1065" s="821" t="s">
        <v>79</v>
      </c>
      <c r="H1065" s="979" t="s">
        <v>432</v>
      </c>
      <c r="I1065" s="824" t="e">
        <f>VLOOKUP(H1063,'CNKT '!#REF!,3,0)</f>
        <v>#REF!</v>
      </c>
      <c r="J1065" s="825">
        <v>25000</v>
      </c>
      <c r="K1065" s="823" t="e">
        <f t="shared" ref="K1065:K1070" si="124">I1065*J1065</f>
        <v>#REF!</v>
      </c>
      <c r="L1065" s="818"/>
    </row>
    <row r="1066" spans="1:13" s="31" customFormat="1" ht="17.25" customHeight="1">
      <c r="A1066" s="821" t="s">
        <v>310</v>
      </c>
      <c r="B1066" s="980" t="s">
        <v>560</v>
      </c>
      <c r="C1066" s="879" t="e">
        <f>VLOOKUP(B1063,'CNKT '!#REF!,11,0)</f>
        <v>#REF!</v>
      </c>
      <c r="D1066" s="826">
        <f>46.1*$B$2</f>
        <v>30805.403000000002</v>
      </c>
      <c r="E1066" s="823" t="e">
        <f t="shared" si="123"/>
        <v>#REF!</v>
      </c>
      <c r="F1066" s="882"/>
      <c r="G1066" s="821" t="s">
        <v>310</v>
      </c>
      <c r="H1066" s="980" t="s">
        <v>560</v>
      </c>
      <c r="I1066" s="879" t="e">
        <f>VLOOKUP(H1063,'CNKT '!#REF!,11,0)</f>
        <v>#REF!</v>
      </c>
      <c r="J1066" s="826">
        <f>46.1*$B$2</f>
        <v>30805.403000000002</v>
      </c>
      <c r="K1066" s="823" t="e">
        <f t="shared" si="124"/>
        <v>#REF!</v>
      </c>
      <c r="L1066" s="818"/>
    </row>
    <row r="1067" spans="1:13" s="31" customFormat="1" ht="17.25" customHeight="1">
      <c r="A1067" s="821" t="s">
        <v>401</v>
      </c>
      <c r="B1067" s="980" t="s">
        <v>561</v>
      </c>
      <c r="C1067" s="879" t="e">
        <f>VLOOKUP(B1063,'CNKT '!#REF!,12,0)</f>
        <v>#REF!</v>
      </c>
      <c r="D1067" s="825">
        <f>76.9*$B$2</f>
        <v>51386.887000000002</v>
      </c>
      <c r="E1067" s="823" t="e">
        <f t="shared" si="123"/>
        <v>#REF!</v>
      </c>
      <c r="F1067" s="882"/>
      <c r="G1067" s="821" t="s">
        <v>401</v>
      </c>
      <c r="H1067" s="980" t="s">
        <v>561</v>
      </c>
      <c r="I1067" s="879" t="e">
        <f>VLOOKUP(H1063,'CNKT '!#REF!,12,0)</f>
        <v>#REF!</v>
      </c>
      <c r="J1067" s="825">
        <f>76.9*$B$2</f>
        <v>51386.887000000002</v>
      </c>
      <c r="K1067" s="823" t="e">
        <f t="shared" si="124"/>
        <v>#REF!</v>
      </c>
      <c r="L1067" s="818"/>
    </row>
    <row r="1068" spans="1:13" s="31" customFormat="1" ht="17.25" customHeight="1">
      <c r="A1068" s="821" t="s">
        <v>80</v>
      </c>
      <c r="B1068" s="980" t="s">
        <v>562</v>
      </c>
      <c r="C1068" s="879" t="e">
        <f>VLOOKUP(B1063,'CNKT '!#REF!,8,0)</f>
        <v>#REF!</v>
      </c>
      <c r="D1068" s="825" t="e">
        <f>IF(C1064="A",6.1,IF(C1064="B",5.8,IF(C1064="C",5.5,IF(C1064="C.",5.5,IF(C1064="D",5.2)))))*$B$2</f>
        <v>#REF!</v>
      </c>
      <c r="E1068" s="823" t="e">
        <f t="shared" si="123"/>
        <v>#REF!</v>
      </c>
      <c r="F1068" s="882"/>
      <c r="G1068" s="821" t="s">
        <v>80</v>
      </c>
      <c r="H1068" s="980" t="s">
        <v>562</v>
      </c>
      <c r="I1068" s="879" t="e">
        <f>VLOOKUP(H1063,'CNKT '!#REF!,8,0)</f>
        <v>#REF!</v>
      </c>
      <c r="J1068" s="825" t="e">
        <f>IF(I1064="A",6.1,IF(I1064="B",5.8,IF(I1064="C",5.5,IF(I1064="C.",5.5,IF(I1064="D",5.2)))))*$B$2</f>
        <v>#REF!</v>
      </c>
      <c r="K1068" s="823" t="e">
        <f t="shared" si="124"/>
        <v>#REF!</v>
      </c>
      <c r="L1068" s="818"/>
    </row>
    <row r="1069" spans="1:13" s="31" customFormat="1" ht="17.25" customHeight="1">
      <c r="A1069" s="821" t="s">
        <v>495</v>
      </c>
      <c r="B1069" s="980" t="s">
        <v>563</v>
      </c>
      <c r="C1069" s="879" t="e">
        <f>VLOOKUP(B1063,'CNKT '!#REF!,15,0)</f>
        <v>#REF!</v>
      </c>
      <c r="D1069" s="826">
        <f>92.2*$B$2</f>
        <v>61610.806000000004</v>
      </c>
      <c r="E1069" s="823" t="e">
        <f t="shared" si="123"/>
        <v>#REF!</v>
      </c>
      <c r="F1069" s="882"/>
      <c r="G1069" s="821" t="s">
        <v>495</v>
      </c>
      <c r="H1069" s="980" t="s">
        <v>563</v>
      </c>
      <c r="I1069" s="879" t="e">
        <f>VLOOKUP(H1063,'CNKT '!#REF!,15,0)</f>
        <v>#REF!</v>
      </c>
      <c r="J1069" s="826">
        <f>92.2*$B$2</f>
        <v>61610.806000000004</v>
      </c>
      <c r="K1069" s="823" t="e">
        <f t="shared" si="124"/>
        <v>#REF!</v>
      </c>
      <c r="L1069" s="818"/>
    </row>
    <row r="1070" spans="1:13" s="31" customFormat="1" ht="17.25" customHeight="1">
      <c r="A1070" s="821" t="s">
        <v>496</v>
      </c>
      <c r="B1070" s="980" t="s">
        <v>500</v>
      </c>
      <c r="C1070" s="879" t="e">
        <f>VLOOKUP(B1063,'CNKT '!#REF!,16,0)</f>
        <v>#REF!</v>
      </c>
      <c r="D1070" s="825">
        <f>153.8*$B$2</f>
        <v>102773.774</v>
      </c>
      <c r="E1070" s="823" t="e">
        <f t="shared" si="123"/>
        <v>#REF!</v>
      </c>
      <c r="F1070" s="882"/>
      <c r="G1070" s="821" t="s">
        <v>496</v>
      </c>
      <c r="H1070" s="980" t="s">
        <v>500</v>
      </c>
      <c r="I1070" s="879" t="e">
        <f>VLOOKUP(H1063,'CNKT '!#REF!,16,0)</f>
        <v>#REF!</v>
      </c>
      <c r="J1070" s="825">
        <f>153.8*$B$2</f>
        <v>102773.774</v>
      </c>
      <c r="K1070" s="823" t="e">
        <f t="shared" si="124"/>
        <v>#REF!</v>
      </c>
      <c r="L1070" s="818"/>
    </row>
    <row r="1071" spans="1:13" s="31" customFormat="1" ht="17.25" customHeight="1">
      <c r="A1071" s="821" t="s">
        <v>455</v>
      </c>
      <c r="B1071" s="980" t="s">
        <v>501</v>
      </c>
      <c r="C1071" s="879" t="e">
        <f>VLOOKUP(B1063,'CNKT '!#REF!,18,0)</f>
        <v>#REF!</v>
      </c>
      <c r="D1071" s="825">
        <v>10000</v>
      </c>
      <c r="E1071" s="823" t="e">
        <f>C1071*D1071</f>
        <v>#REF!</v>
      </c>
      <c r="F1071" s="882"/>
      <c r="G1071" s="821" t="s">
        <v>455</v>
      </c>
      <c r="H1071" s="980" t="s">
        <v>501</v>
      </c>
      <c r="I1071" s="879" t="e">
        <f>VLOOKUP(H1063,'CNKT '!#REF!,18,0)</f>
        <v>#REF!</v>
      </c>
      <c r="J1071" s="825">
        <v>10000</v>
      </c>
      <c r="K1071" s="823" t="e">
        <f>I1071*J1071</f>
        <v>#REF!</v>
      </c>
      <c r="L1071" s="818"/>
    </row>
    <row r="1072" spans="1:13" s="31" customFormat="1" ht="17.25" customHeight="1">
      <c r="A1072" s="821" t="s">
        <v>455</v>
      </c>
      <c r="B1072" s="980" t="s">
        <v>501</v>
      </c>
      <c r="C1072" s="879" t="e">
        <f>VLOOKUP(B1063,'CNKT '!#REF!,19,0)</f>
        <v>#REF!</v>
      </c>
      <c r="D1072" s="825">
        <v>20000</v>
      </c>
      <c r="E1072" s="823" t="e">
        <f>C1072*D1072</f>
        <v>#REF!</v>
      </c>
      <c r="F1072" s="882"/>
      <c r="G1072" s="821" t="s">
        <v>455</v>
      </c>
      <c r="H1072" s="980" t="s">
        <v>501</v>
      </c>
      <c r="I1072" s="879" t="e">
        <f>VLOOKUP(H1063,'CNKT '!#REF!,19,0)</f>
        <v>#REF!</v>
      </c>
      <c r="J1072" s="825">
        <v>20000</v>
      </c>
      <c r="K1072" s="823" t="e">
        <f>I1072*J1072</f>
        <v>#REF!</v>
      </c>
      <c r="L1072" s="818"/>
    </row>
    <row r="1073" spans="1:12" s="31" customFormat="1" ht="17.25" customHeight="1">
      <c r="A1073" s="821" t="s">
        <v>517</v>
      </c>
      <c r="B1073" s="980" t="s">
        <v>519</v>
      </c>
      <c r="C1073" s="879"/>
      <c r="D1073" s="825"/>
      <c r="E1073" s="823"/>
      <c r="F1073" s="882"/>
      <c r="G1073" s="821" t="s">
        <v>517</v>
      </c>
      <c r="H1073" s="980" t="s">
        <v>519</v>
      </c>
      <c r="I1073" s="879"/>
      <c r="J1073" s="825"/>
      <c r="K1073" s="823"/>
      <c r="L1073" s="818"/>
    </row>
    <row r="1074" spans="1:12" s="31" customFormat="1" ht="17.25" customHeight="1">
      <c r="A1074" s="827" t="s">
        <v>81</v>
      </c>
      <c r="B1074" s="981" t="s">
        <v>564</v>
      </c>
      <c r="C1074" s="828"/>
      <c r="D1074" s="829"/>
      <c r="E1074" s="828"/>
      <c r="F1074" s="882"/>
      <c r="G1074" s="827" t="s">
        <v>81</v>
      </c>
      <c r="H1074" s="981" t="s">
        <v>564</v>
      </c>
      <c r="I1074" s="828"/>
      <c r="J1074" s="829"/>
      <c r="K1074" s="828"/>
      <c r="L1074" s="818"/>
    </row>
    <row r="1075" spans="1:12" s="31" customFormat="1" ht="17.25" customHeight="1">
      <c r="A1075" s="830" t="s">
        <v>82</v>
      </c>
      <c r="B1075" s="982" t="s">
        <v>565</v>
      </c>
      <c r="C1075" s="828"/>
      <c r="D1075" s="828"/>
      <c r="E1075" s="828"/>
      <c r="F1075" s="882"/>
      <c r="G1075" s="830" t="s">
        <v>82</v>
      </c>
      <c r="H1075" s="982" t="s">
        <v>565</v>
      </c>
      <c r="I1075" s="828"/>
      <c r="J1075" s="828"/>
      <c r="K1075" s="828"/>
      <c r="L1075" s="818"/>
    </row>
    <row r="1076" spans="1:12" s="31" customFormat="1" ht="17.25" customHeight="1">
      <c r="A1076" s="830" t="s">
        <v>83</v>
      </c>
      <c r="B1076" s="983" t="s">
        <v>566</v>
      </c>
      <c r="C1076" s="828"/>
      <c r="D1076" s="828"/>
      <c r="E1076" s="823">
        <f>SUM(E1075)</f>
        <v>0</v>
      </c>
      <c r="F1076" s="869"/>
      <c r="G1076" s="830" t="s">
        <v>83</v>
      </c>
      <c r="H1076" s="983" t="s">
        <v>566</v>
      </c>
      <c r="I1076" s="828"/>
      <c r="J1076" s="828"/>
      <c r="K1076" s="823">
        <f>SUM(K1075)</f>
        <v>0</v>
      </c>
      <c r="L1076" s="818"/>
    </row>
    <row r="1077" spans="1:12" s="31" customFormat="1" ht="17.25" customHeight="1">
      <c r="A1077" s="832" t="s">
        <v>84</v>
      </c>
      <c r="B1077" s="984" t="s">
        <v>438</v>
      </c>
      <c r="C1077" s="833"/>
      <c r="D1077" s="833"/>
      <c r="E1077" s="833" t="e">
        <f>(E1065+E1066+E1067+E1068+E1069+E1070+E1071+E1072+E1073)-E1076</f>
        <v>#REF!</v>
      </c>
      <c r="F1077" s="869"/>
      <c r="G1077" s="832" t="s">
        <v>84</v>
      </c>
      <c r="H1077" s="984" t="s">
        <v>438</v>
      </c>
      <c r="I1077" s="833"/>
      <c r="J1077" s="833"/>
      <c r="K1077" s="833" t="e">
        <f>(K1065+K1066+K1067+K1068+K1069+K1070+K1071+K1072+K1073)-K1076</f>
        <v>#REF!</v>
      </c>
      <c r="L1077" s="835" t="e">
        <f>E1077+K1077</f>
        <v>#REF!</v>
      </c>
    </row>
    <row r="1078" spans="1:12" s="31" customFormat="1" ht="17.25" customHeight="1">
      <c r="A1078" s="1616"/>
      <c r="B1078" s="1616"/>
      <c r="C1078" s="1616"/>
      <c r="D1078" s="1616"/>
      <c r="E1078" s="1616"/>
      <c r="F1078" s="873"/>
      <c r="G1078" s="1616"/>
      <c r="H1078" s="1616"/>
      <c r="I1078" s="1616"/>
      <c r="J1078" s="1616"/>
      <c r="K1078" s="874"/>
      <c r="L1078" s="818"/>
    </row>
    <row r="1079" spans="1:12" s="31" customFormat="1" ht="17.25" customHeight="1">
      <c r="A1079" s="895" t="str">
        <f>A1062</f>
        <v>LƯƠNG THÁNG 01/2025</v>
      </c>
      <c r="B1079" s="895"/>
      <c r="C1079" s="895"/>
      <c r="D1079" s="895"/>
      <c r="E1079" s="895" t="e">
        <f>VLOOKUP(B1080,'CNKT '!#REF!,26,0)</f>
        <v>#REF!</v>
      </c>
      <c r="F1079" s="873"/>
      <c r="G1079" s="895" t="str">
        <f>A1079</f>
        <v>LƯƠNG THÁNG 01/2025</v>
      </c>
      <c r="H1079" s="895"/>
      <c r="I1079" s="895"/>
      <c r="J1079" s="895"/>
      <c r="K1079" s="895" t="e">
        <f>VLOOKUP(H1080,'CNKT '!#REF!,26,0)</f>
        <v>#REF!</v>
      </c>
      <c r="L1079" s="818"/>
    </row>
    <row r="1080" spans="1:12" s="31" customFormat="1" ht="17.25" customHeight="1">
      <c r="A1080" s="837" t="s">
        <v>17</v>
      </c>
      <c r="B1080" s="976" t="e">
        <f>'CNKT '!#REF!</f>
        <v>#REF!</v>
      </c>
      <c r="C1080" s="822"/>
      <c r="D1080" s="976" t="s">
        <v>398</v>
      </c>
      <c r="E1080" s="976" t="s">
        <v>20</v>
      </c>
      <c r="F1080" s="882"/>
      <c r="G1080" s="837" t="s">
        <v>17</v>
      </c>
      <c r="H1080" s="976" t="e">
        <f>'CNKT '!#REF!</f>
        <v>#REF!</v>
      </c>
      <c r="I1080" s="822"/>
      <c r="J1080" s="976" t="s">
        <v>398</v>
      </c>
      <c r="K1080" s="976" t="s">
        <v>20</v>
      </c>
      <c r="L1080" s="818"/>
    </row>
    <row r="1081" spans="1:12" s="31" customFormat="1" ht="17.25" customHeight="1">
      <c r="A1081" s="821" t="s">
        <v>399</v>
      </c>
      <c r="B1081" s="978" t="s">
        <v>559</v>
      </c>
      <c r="C1081" s="822" t="e">
        <f>VLOOKUP(B1080,'BTH mủ tạp'!#REF!,36,0)</f>
        <v>#REF!</v>
      </c>
      <c r="D1081" s="823"/>
      <c r="E1081" s="823"/>
      <c r="F1081" s="882"/>
      <c r="G1081" s="821" t="s">
        <v>399</v>
      </c>
      <c r="H1081" s="978" t="s">
        <v>559</v>
      </c>
      <c r="I1081" s="822" t="e">
        <f>VLOOKUP(H1080,'BTH mủ tạp'!#REF!,36,0)</f>
        <v>#REF!</v>
      </c>
      <c r="J1081" s="823"/>
      <c r="K1081" s="823"/>
      <c r="L1081" s="818"/>
    </row>
    <row r="1082" spans="1:12" s="31" customFormat="1" ht="17.25" customHeight="1">
      <c r="A1082" s="821" t="s">
        <v>79</v>
      </c>
      <c r="B1082" s="979" t="s">
        <v>432</v>
      </c>
      <c r="C1082" s="824" t="e">
        <f>VLOOKUP(B1080,'CNKT '!#REF!,3,0)</f>
        <v>#REF!</v>
      </c>
      <c r="D1082" s="825">
        <v>25000</v>
      </c>
      <c r="E1082" s="823" t="e">
        <f t="shared" ref="E1082:E1087" si="125">C1082*D1082</f>
        <v>#REF!</v>
      </c>
      <c r="F1082" s="882"/>
      <c r="G1082" s="821" t="s">
        <v>79</v>
      </c>
      <c r="H1082" s="979" t="s">
        <v>432</v>
      </c>
      <c r="I1082" s="824" t="e">
        <f>VLOOKUP(H1080,'CNKT '!#REF!,3,0)</f>
        <v>#REF!</v>
      </c>
      <c r="J1082" s="825">
        <v>25000</v>
      </c>
      <c r="K1082" s="823" t="e">
        <f t="shared" ref="K1082:K1087" si="126">I1082*J1082</f>
        <v>#REF!</v>
      </c>
      <c r="L1082" s="818"/>
    </row>
    <row r="1083" spans="1:12" s="31" customFormat="1" ht="17.25" customHeight="1">
      <c r="A1083" s="821" t="s">
        <v>310</v>
      </c>
      <c r="B1083" s="980" t="s">
        <v>560</v>
      </c>
      <c r="C1083" s="879" t="e">
        <f>VLOOKUP(B1080,'CNKT '!#REF!,11,0)</f>
        <v>#REF!</v>
      </c>
      <c r="D1083" s="826">
        <f>46.1*$B$2</f>
        <v>30805.403000000002</v>
      </c>
      <c r="E1083" s="823" t="e">
        <f t="shared" si="125"/>
        <v>#REF!</v>
      </c>
      <c r="F1083" s="882"/>
      <c r="G1083" s="821" t="s">
        <v>310</v>
      </c>
      <c r="H1083" s="980" t="s">
        <v>560</v>
      </c>
      <c r="I1083" s="879" t="e">
        <f>VLOOKUP(H1080,'CNKT '!#REF!,11,0)</f>
        <v>#REF!</v>
      </c>
      <c r="J1083" s="826">
        <f>46.1*$B$2</f>
        <v>30805.403000000002</v>
      </c>
      <c r="K1083" s="823" t="e">
        <f t="shared" si="126"/>
        <v>#REF!</v>
      </c>
      <c r="L1083" s="818"/>
    </row>
    <row r="1084" spans="1:12" s="31" customFormat="1" ht="17.25" customHeight="1">
      <c r="A1084" s="821" t="s">
        <v>401</v>
      </c>
      <c r="B1084" s="980" t="s">
        <v>561</v>
      </c>
      <c r="C1084" s="879" t="e">
        <f>VLOOKUP(B1080,'CNKT '!#REF!,12,0)</f>
        <v>#REF!</v>
      </c>
      <c r="D1084" s="825">
        <f>76.9*$B$2</f>
        <v>51386.887000000002</v>
      </c>
      <c r="E1084" s="823" t="e">
        <f t="shared" si="125"/>
        <v>#REF!</v>
      </c>
      <c r="F1084" s="882"/>
      <c r="G1084" s="821" t="s">
        <v>401</v>
      </c>
      <c r="H1084" s="980" t="s">
        <v>561</v>
      </c>
      <c r="I1084" s="879" t="e">
        <f>VLOOKUP(H1080,'CNKT '!#REF!,12,0)</f>
        <v>#REF!</v>
      </c>
      <c r="J1084" s="825">
        <f>76.9*$B$2</f>
        <v>51386.887000000002</v>
      </c>
      <c r="K1084" s="823" t="e">
        <f t="shared" si="126"/>
        <v>#REF!</v>
      </c>
      <c r="L1084" s="818"/>
    </row>
    <row r="1085" spans="1:12" s="31" customFormat="1" ht="17.25" customHeight="1">
      <c r="A1085" s="821" t="s">
        <v>80</v>
      </c>
      <c r="B1085" s="980" t="s">
        <v>562</v>
      </c>
      <c r="C1085" s="879" t="e">
        <f>VLOOKUP(B1080,'CNKT '!#REF!,8,0)</f>
        <v>#REF!</v>
      </c>
      <c r="D1085" s="825" t="e">
        <f>IF(C1081="A",6.1,IF(C1081="B",5.8,IF(C1081="C",5.5,IF(C1081="C.",5.5,IF(C1081="D",5.2)))))*$B$2</f>
        <v>#REF!</v>
      </c>
      <c r="E1085" s="823" t="e">
        <f t="shared" si="125"/>
        <v>#REF!</v>
      </c>
      <c r="F1085" s="882"/>
      <c r="G1085" s="821" t="s">
        <v>80</v>
      </c>
      <c r="H1085" s="980" t="s">
        <v>562</v>
      </c>
      <c r="I1085" s="879" t="e">
        <f>VLOOKUP(H1080,'CNKT '!#REF!,8,0)</f>
        <v>#REF!</v>
      </c>
      <c r="J1085" s="825" t="e">
        <f>IF(I1081="A",6.1,IF(I1081="B",5.8,IF(I1081="C",5.5,IF(I1081="C.",5.5,IF(I1081="D",5.2)))))*$B$2</f>
        <v>#REF!</v>
      </c>
      <c r="K1085" s="823" t="e">
        <f t="shared" si="126"/>
        <v>#REF!</v>
      </c>
      <c r="L1085" s="818"/>
    </row>
    <row r="1086" spans="1:12" s="31" customFormat="1" ht="17.25" customHeight="1">
      <c r="A1086" s="821" t="s">
        <v>495</v>
      </c>
      <c r="B1086" s="980" t="s">
        <v>563</v>
      </c>
      <c r="C1086" s="879" t="e">
        <f>VLOOKUP(B1080,'CNKT '!#REF!,15,0)</f>
        <v>#REF!</v>
      </c>
      <c r="D1086" s="826">
        <f>92.2*$B$2</f>
        <v>61610.806000000004</v>
      </c>
      <c r="E1086" s="823" t="e">
        <f t="shared" si="125"/>
        <v>#REF!</v>
      </c>
      <c r="F1086" s="882"/>
      <c r="G1086" s="821" t="s">
        <v>495</v>
      </c>
      <c r="H1086" s="980" t="s">
        <v>563</v>
      </c>
      <c r="I1086" s="879" t="e">
        <f>VLOOKUP(H1080,'CNKT '!#REF!,15,0)</f>
        <v>#REF!</v>
      </c>
      <c r="J1086" s="826">
        <f>92.2*$B$2</f>
        <v>61610.806000000004</v>
      </c>
      <c r="K1086" s="823" t="e">
        <f t="shared" si="126"/>
        <v>#REF!</v>
      </c>
      <c r="L1086" s="818"/>
    </row>
    <row r="1087" spans="1:12" s="31" customFormat="1" ht="17.25" customHeight="1">
      <c r="A1087" s="821" t="s">
        <v>496</v>
      </c>
      <c r="B1087" s="980" t="s">
        <v>500</v>
      </c>
      <c r="C1087" s="879" t="e">
        <f>VLOOKUP(B1080,'CNKT '!#REF!,16,0)</f>
        <v>#REF!</v>
      </c>
      <c r="D1087" s="825">
        <f>153.8*$B$2</f>
        <v>102773.774</v>
      </c>
      <c r="E1087" s="823" t="e">
        <f t="shared" si="125"/>
        <v>#REF!</v>
      </c>
      <c r="F1087" s="882"/>
      <c r="G1087" s="821" t="s">
        <v>496</v>
      </c>
      <c r="H1087" s="980" t="s">
        <v>500</v>
      </c>
      <c r="I1087" s="879" t="e">
        <f>VLOOKUP(H1080,'CNKT '!#REF!,16,0)</f>
        <v>#REF!</v>
      </c>
      <c r="J1087" s="825">
        <f>153.8*$B$2</f>
        <v>102773.774</v>
      </c>
      <c r="K1087" s="823" t="e">
        <f t="shared" si="126"/>
        <v>#REF!</v>
      </c>
      <c r="L1087" s="818"/>
    </row>
    <row r="1088" spans="1:12" s="31" customFormat="1" ht="17.25" customHeight="1">
      <c r="A1088" s="821" t="s">
        <v>455</v>
      </c>
      <c r="B1088" s="980" t="s">
        <v>501</v>
      </c>
      <c r="C1088" s="879" t="e">
        <f>VLOOKUP(B1080,'CNKT '!#REF!,18,0)</f>
        <v>#REF!</v>
      </c>
      <c r="D1088" s="825">
        <v>10000</v>
      </c>
      <c r="E1088" s="823" t="e">
        <f>C1088*D1088</f>
        <v>#REF!</v>
      </c>
      <c r="F1088" s="882"/>
      <c r="G1088" s="821" t="s">
        <v>455</v>
      </c>
      <c r="H1088" s="980" t="s">
        <v>501</v>
      </c>
      <c r="I1088" s="879" t="e">
        <f>VLOOKUP(H1080,'CNKT '!#REF!,18,0)</f>
        <v>#REF!</v>
      </c>
      <c r="J1088" s="825">
        <v>10000</v>
      </c>
      <c r="K1088" s="823" t="e">
        <f>I1088*J1088</f>
        <v>#REF!</v>
      </c>
      <c r="L1088" s="818"/>
    </row>
    <row r="1089" spans="1:12" s="31" customFormat="1" ht="17.25" customHeight="1">
      <c r="A1089" s="821" t="s">
        <v>455</v>
      </c>
      <c r="B1089" s="980" t="s">
        <v>501</v>
      </c>
      <c r="C1089" s="879" t="e">
        <f>VLOOKUP(B1080,'CNKT '!#REF!,19,0)</f>
        <v>#REF!</v>
      </c>
      <c r="D1089" s="825">
        <v>20000</v>
      </c>
      <c r="E1089" s="823" t="e">
        <f>C1089*D1089</f>
        <v>#REF!</v>
      </c>
      <c r="F1089" s="882"/>
      <c r="G1089" s="821" t="s">
        <v>455</v>
      </c>
      <c r="H1089" s="980" t="s">
        <v>501</v>
      </c>
      <c r="I1089" s="879" t="e">
        <f>VLOOKUP(H1080,'CNKT '!#REF!,19,0)</f>
        <v>#REF!</v>
      </c>
      <c r="J1089" s="825">
        <v>20000</v>
      </c>
      <c r="K1089" s="823" t="e">
        <f>I1089*J1089</f>
        <v>#REF!</v>
      </c>
      <c r="L1089" s="818"/>
    </row>
    <row r="1090" spans="1:12" s="31" customFormat="1" ht="17.25" customHeight="1">
      <c r="A1090" s="821" t="s">
        <v>517</v>
      </c>
      <c r="B1090" s="980" t="s">
        <v>519</v>
      </c>
      <c r="C1090" s="879"/>
      <c r="D1090" s="825"/>
      <c r="E1090" s="823"/>
      <c r="F1090" s="882"/>
      <c r="G1090" s="821" t="s">
        <v>517</v>
      </c>
      <c r="H1090" s="980" t="s">
        <v>519</v>
      </c>
      <c r="I1090" s="879"/>
      <c r="J1090" s="825"/>
      <c r="K1090" s="823"/>
      <c r="L1090" s="818"/>
    </row>
    <row r="1091" spans="1:12" s="31" customFormat="1" ht="17.25" customHeight="1">
      <c r="A1091" s="827" t="s">
        <v>81</v>
      </c>
      <c r="B1091" s="981" t="s">
        <v>564</v>
      </c>
      <c r="C1091" s="828"/>
      <c r="D1091" s="829"/>
      <c r="E1091" s="828"/>
      <c r="F1091" s="882"/>
      <c r="G1091" s="827" t="s">
        <v>81</v>
      </c>
      <c r="H1091" s="981" t="s">
        <v>564</v>
      </c>
      <c r="I1091" s="828"/>
      <c r="J1091" s="829"/>
      <c r="K1091" s="828"/>
      <c r="L1091" s="818"/>
    </row>
    <row r="1092" spans="1:12" s="31" customFormat="1" ht="17.25" customHeight="1">
      <c r="A1092" s="830" t="s">
        <v>82</v>
      </c>
      <c r="B1092" s="982" t="s">
        <v>565</v>
      </c>
      <c r="C1092" s="828"/>
      <c r="D1092" s="828"/>
      <c r="E1092" s="828"/>
      <c r="F1092" s="882"/>
      <c r="G1092" s="830" t="s">
        <v>82</v>
      </c>
      <c r="H1092" s="982" t="s">
        <v>565</v>
      </c>
      <c r="I1092" s="828"/>
      <c r="J1092" s="828"/>
      <c r="K1092" s="828"/>
      <c r="L1092" s="818"/>
    </row>
    <row r="1093" spans="1:12" s="31" customFormat="1" ht="17.25" customHeight="1">
      <c r="A1093" s="830" t="s">
        <v>83</v>
      </c>
      <c r="B1093" s="983" t="s">
        <v>566</v>
      </c>
      <c r="C1093" s="828"/>
      <c r="D1093" s="828"/>
      <c r="E1093" s="823">
        <f>SUM(E1092)</f>
        <v>0</v>
      </c>
      <c r="F1093" s="869"/>
      <c r="G1093" s="830" t="s">
        <v>83</v>
      </c>
      <c r="H1093" s="983" t="s">
        <v>566</v>
      </c>
      <c r="I1093" s="828"/>
      <c r="J1093" s="828"/>
      <c r="K1093" s="823">
        <f>SUM(K1092)</f>
        <v>0</v>
      </c>
      <c r="L1093" s="818"/>
    </row>
    <row r="1094" spans="1:12" s="31" customFormat="1" ht="17.25" customHeight="1">
      <c r="A1094" s="832" t="s">
        <v>84</v>
      </c>
      <c r="B1094" s="984" t="s">
        <v>438</v>
      </c>
      <c r="C1094" s="833"/>
      <c r="D1094" s="833"/>
      <c r="E1094" s="833" t="e">
        <f>(E1082+E1083+E1084+E1085+E1086+E1087+E1088+E1089+E1090)-E1093</f>
        <v>#REF!</v>
      </c>
      <c r="F1094" s="869"/>
      <c r="G1094" s="832" t="s">
        <v>84</v>
      </c>
      <c r="H1094" s="984" t="s">
        <v>438</v>
      </c>
      <c r="I1094" s="833"/>
      <c r="J1094" s="833"/>
      <c r="K1094" s="833" t="e">
        <f>(K1082+K1083+K1084+K1085+K1086+K1087+K1088+K1089+K1090)-K1093</f>
        <v>#REF!</v>
      </c>
      <c r="L1094" s="835" t="e">
        <f>E1094+K1094</f>
        <v>#REF!</v>
      </c>
    </row>
    <row r="1095" spans="1:12" s="31" customFormat="1" ht="9" customHeight="1">
      <c r="A1095" s="1616"/>
      <c r="B1095" s="1616"/>
      <c r="C1095" s="1616"/>
      <c r="D1095" s="1616"/>
      <c r="E1095" s="1616"/>
      <c r="F1095" s="873"/>
      <c r="G1095" s="1616"/>
      <c r="H1095" s="1616"/>
      <c r="I1095" s="1616"/>
      <c r="J1095" s="1616"/>
      <c r="K1095" s="874"/>
      <c r="L1095" s="818"/>
    </row>
    <row r="1096" spans="1:12" s="31" customFormat="1" ht="17.25" customHeight="1">
      <c r="A1096" s="895" t="str">
        <f>A1079</f>
        <v>LƯƠNG THÁNG 01/2025</v>
      </c>
      <c r="B1096" s="895"/>
      <c r="C1096" s="895"/>
      <c r="D1096" s="895"/>
      <c r="E1096" s="895" t="e">
        <f>VLOOKUP(B1097,'CNKT '!#REF!,26,0)</f>
        <v>#REF!</v>
      </c>
      <c r="F1096" s="873"/>
      <c r="G1096" s="895" t="str">
        <f>A1096</f>
        <v>LƯƠNG THÁNG 01/2025</v>
      </c>
      <c r="H1096" s="895"/>
      <c r="I1096" s="895"/>
      <c r="J1096" s="895"/>
      <c r="K1096" s="895" t="e">
        <f>VLOOKUP(H1097,'CNKT '!#REF!,26,0)</f>
        <v>#REF!</v>
      </c>
      <c r="L1096" s="818"/>
    </row>
    <row r="1097" spans="1:12" s="31" customFormat="1" ht="17.25" customHeight="1">
      <c r="A1097" s="837" t="s">
        <v>17</v>
      </c>
      <c r="B1097" s="976" t="e">
        <f>'CNKT '!#REF!</f>
        <v>#REF!</v>
      </c>
      <c r="C1097" s="822"/>
      <c r="D1097" s="976" t="s">
        <v>398</v>
      </c>
      <c r="E1097" s="976" t="s">
        <v>20</v>
      </c>
      <c r="F1097" s="882"/>
      <c r="G1097" s="837" t="s">
        <v>17</v>
      </c>
      <c r="H1097" s="976" t="e">
        <f>'CNKT '!#REF!</f>
        <v>#REF!</v>
      </c>
      <c r="I1097" s="822"/>
      <c r="J1097" s="976" t="s">
        <v>398</v>
      </c>
      <c r="K1097" s="976" t="s">
        <v>20</v>
      </c>
      <c r="L1097" s="818"/>
    </row>
    <row r="1098" spans="1:12" s="31" customFormat="1" ht="17.25" customHeight="1">
      <c r="A1098" s="821" t="s">
        <v>399</v>
      </c>
      <c r="B1098" s="978" t="s">
        <v>559</v>
      </c>
      <c r="C1098" s="822" t="e">
        <f>VLOOKUP(B1097,'BTH mủ tạp'!#REF!,36,0)</f>
        <v>#REF!</v>
      </c>
      <c r="D1098" s="823"/>
      <c r="E1098" s="823"/>
      <c r="F1098" s="882"/>
      <c r="G1098" s="821" t="s">
        <v>399</v>
      </c>
      <c r="H1098" s="978" t="s">
        <v>559</v>
      </c>
      <c r="I1098" s="822" t="e">
        <f>VLOOKUP(H1097,'BTH mủ tạp'!#REF!,36,0)</f>
        <v>#REF!</v>
      </c>
      <c r="J1098" s="823"/>
      <c r="K1098" s="823"/>
      <c r="L1098" s="818"/>
    </row>
    <row r="1099" spans="1:12" s="31" customFormat="1" ht="17.25" customHeight="1">
      <c r="A1099" s="821" t="s">
        <v>79</v>
      </c>
      <c r="B1099" s="979" t="s">
        <v>432</v>
      </c>
      <c r="C1099" s="824" t="e">
        <f>VLOOKUP(B1097,'CNKT '!#REF!,3,0)</f>
        <v>#REF!</v>
      </c>
      <c r="D1099" s="825">
        <v>25000</v>
      </c>
      <c r="E1099" s="823" t="e">
        <f t="shared" ref="E1099:E1104" si="127">C1099*D1099</f>
        <v>#REF!</v>
      </c>
      <c r="F1099" s="882"/>
      <c r="G1099" s="821" t="s">
        <v>79</v>
      </c>
      <c r="H1099" s="979" t="s">
        <v>432</v>
      </c>
      <c r="I1099" s="824" t="e">
        <f>VLOOKUP(H1097,'CNKT '!#REF!,3,0)</f>
        <v>#REF!</v>
      </c>
      <c r="J1099" s="825">
        <v>25000</v>
      </c>
      <c r="K1099" s="823" t="e">
        <f t="shared" ref="K1099:K1104" si="128">I1099*J1099</f>
        <v>#REF!</v>
      </c>
      <c r="L1099" s="818"/>
    </row>
    <row r="1100" spans="1:12" s="31" customFormat="1" ht="17.25" customHeight="1">
      <c r="A1100" s="821" t="s">
        <v>310</v>
      </c>
      <c r="B1100" s="980" t="s">
        <v>560</v>
      </c>
      <c r="C1100" s="879" t="e">
        <f>VLOOKUP(B1097,'CNKT '!#REF!,11,0)</f>
        <v>#REF!</v>
      </c>
      <c r="D1100" s="826">
        <f>46.1*$B$2</f>
        <v>30805.403000000002</v>
      </c>
      <c r="E1100" s="823" t="e">
        <f t="shared" si="127"/>
        <v>#REF!</v>
      </c>
      <c r="F1100" s="882"/>
      <c r="G1100" s="821" t="s">
        <v>310</v>
      </c>
      <c r="H1100" s="980" t="s">
        <v>560</v>
      </c>
      <c r="I1100" s="879" t="e">
        <f>VLOOKUP(H1097,'CNKT '!#REF!,11,0)</f>
        <v>#REF!</v>
      </c>
      <c r="J1100" s="826">
        <f>46.1*$B$2</f>
        <v>30805.403000000002</v>
      </c>
      <c r="K1100" s="823" t="e">
        <f t="shared" si="128"/>
        <v>#REF!</v>
      </c>
      <c r="L1100" s="818"/>
    </row>
    <row r="1101" spans="1:12" s="31" customFormat="1" ht="17.25" customHeight="1">
      <c r="A1101" s="821" t="s">
        <v>401</v>
      </c>
      <c r="B1101" s="980" t="s">
        <v>561</v>
      </c>
      <c r="C1101" s="879" t="e">
        <f>VLOOKUP(B1097,'CNKT '!#REF!,12,0)</f>
        <v>#REF!</v>
      </c>
      <c r="D1101" s="825">
        <f>76.9*$B$2</f>
        <v>51386.887000000002</v>
      </c>
      <c r="E1101" s="823" t="e">
        <f t="shared" si="127"/>
        <v>#REF!</v>
      </c>
      <c r="F1101" s="882"/>
      <c r="G1101" s="821" t="s">
        <v>401</v>
      </c>
      <c r="H1101" s="980" t="s">
        <v>561</v>
      </c>
      <c r="I1101" s="879" t="e">
        <f>VLOOKUP(H1097,'CNKT '!#REF!,12,0)</f>
        <v>#REF!</v>
      </c>
      <c r="J1101" s="825">
        <f>76.9*$B$2</f>
        <v>51386.887000000002</v>
      </c>
      <c r="K1101" s="823" t="e">
        <f t="shared" si="128"/>
        <v>#REF!</v>
      </c>
      <c r="L1101" s="818"/>
    </row>
    <row r="1102" spans="1:12" s="31" customFormat="1" ht="17.25" customHeight="1">
      <c r="A1102" s="821" t="s">
        <v>80</v>
      </c>
      <c r="B1102" s="980" t="s">
        <v>562</v>
      </c>
      <c r="C1102" s="879" t="e">
        <f>VLOOKUP(B1097,'CNKT '!#REF!,8,0)</f>
        <v>#REF!</v>
      </c>
      <c r="D1102" s="825" t="e">
        <f>IF(C1098="A",6.1,IF(C1098="B",5.8,IF(C1098="C",5.5,IF(C1098="C.",5.5,IF(C1098="D",5.2)))))*$B$2</f>
        <v>#REF!</v>
      </c>
      <c r="E1102" s="823" t="e">
        <f t="shared" si="127"/>
        <v>#REF!</v>
      </c>
      <c r="F1102" s="882"/>
      <c r="G1102" s="821" t="s">
        <v>80</v>
      </c>
      <c r="H1102" s="980" t="s">
        <v>562</v>
      </c>
      <c r="I1102" s="879" t="e">
        <f>VLOOKUP(H1097,'CNKT '!#REF!,8,0)</f>
        <v>#REF!</v>
      </c>
      <c r="J1102" s="825" t="e">
        <f>IF(I1098="A",6.1,IF(I1098="B",5.8,IF(I1098="C",5.5,IF(I1098="C.",5.5,IF(I1098="D",5.2)))))*$B$2</f>
        <v>#REF!</v>
      </c>
      <c r="K1102" s="823" t="e">
        <f t="shared" si="128"/>
        <v>#REF!</v>
      </c>
      <c r="L1102" s="818"/>
    </row>
    <row r="1103" spans="1:12" s="31" customFormat="1" ht="17.25" customHeight="1">
      <c r="A1103" s="821" t="s">
        <v>495</v>
      </c>
      <c r="B1103" s="980" t="s">
        <v>563</v>
      </c>
      <c r="C1103" s="879" t="e">
        <f>VLOOKUP(B1097,'CNKT '!#REF!,15,0)</f>
        <v>#REF!</v>
      </c>
      <c r="D1103" s="826">
        <f>92.2*$B$2</f>
        <v>61610.806000000004</v>
      </c>
      <c r="E1103" s="823" t="e">
        <f t="shared" si="127"/>
        <v>#REF!</v>
      </c>
      <c r="F1103" s="882"/>
      <c r="G1103" s="821" t="s">
        <v>495</v>
      </c>
      <c r="H1103" s="980" t="s">
        <v>563</v>
      </c>
      <c r="I1103" s="879" t="e">
        <f>VLOOKUP(H1097,'CNKT '!#REF!,15,0)</f>
        <v>#REF!</v>
      </c>
      <c r="J1103" s="826">
        <f>92.2*$B$2</f>
        <v>61610.806000000004</v>
      </c>
      <c r="K1103" s="823" t="e">
        <f t="shared" si="128"/>
        <v>#REF!</v>
      </c>
      <c r="L1103" s="818"/>
    </row>
    <row r="1104" spans="1:12" s="31" customFormat="1" ht="17.25" customHeight="1">
      <c r="A1104" s="821" t="s">
        <v>496</v>
      </c>
      <c r="B1104" s="980" t="s">
        <v>500</v>
      </c>
      <c r="C1104" s="879" t="e">
        <f>VLOOKUP(B1097,'CNKT '!#REF!,16,0)</f>
        <v>#REF!</v>
      </c>
      <c r="D1104" s="825">
        <f>153.8*$B$2</f>
        <v>102773.774</v>
      </c>
      <c r="E1104" s="823" t="e">
        <f t="shared" si="127"/>
        <v>#REF!</v>
      </c>
      <c r="F1104" s="882"/>
      <c r="G1104" s="821" t="s">
        <v>496</v>
      </c>
      <c r="H1104" s="980" t="s">
        <v>500</v>
      </c>
      <c r="I1104" s="879" t="e">
        <f>VLOOKUP(H1097,'CNKT '!#REF!,16,0)</f>
        <v>#REF!</v>
      </c>
      <c r="J1104" s="825">
        <f>153.8*$B$2</f>
        <v>102773.774</v>
      </c>
      <c r="K1104" s="823" t="e">
        <f t="shared" si="128"/>
        <v>#REF!</v>
      </c>
      <c r="L1104" s="818"/>
    </row>
    <row r="1105" spans="1:12" s="31" customFormat="1" ht="17.25" customHeight="1">
      <c r="A1105" s="821" t="s">
        <v>455</v>
      </c>
      <c r="B1105" s="980" t="s">
        <v>501</v>
      </c>
      <c r="C1105" s="879" t="e">
        <f>VLOOKUP(B1097,'CNKT '!#REF!,18,0)</f>
        <v>#REF!</v>
      </c>
      <c r="D1105" s="825">
        <v>10000</v>
      </c>
      <c r="E1105" s="823" t="e">
        <f>C1105*D1105</f>
        <v>#REF!</v>
      </c>
      <c r="F1105" s="882"/>
      <c r="G1105" s="821" t="s">
        <v>455</v>
      </c>
      <c r="H1105" s="980" t="s">
        <v>501</v>
      </c>
      <c r="I1105" s="879" t="e">
        <f>VLOOKUP(H1097,'CNKT '!#REF!,18,0)</f>
        <v>#REF!</v>
      </c>
      <c r="J1105" s="825">
        <v>10000</v>
      </c>
      <c r="K1105" s="823" t="e">
        <f>I1105*J1105</f>
        <v>#REF!</v>
      </c>
      <c r="L1105" s="818"/>
    </row>
    <row r="1106" spans="1:12" s="31" customFormat="1" ht="17.25" customHeight="1">
      <c r="A1106" s="821" t="s">
        <v>455</v>
      </c>
      <c r="B1106" s="980" t="s">
        <v>501</v>
      </c>
      <c r="C1106" s="879" t="e">
        <f>VLOOKUP(B1097,'CNKT '!#REF!,19,0)</f>
        <v>#REF!</v>
      </c>
      <c r="D1106" s="825">
        <v>20000</v>
      </c>
      <c r="E1106" s="823" t="e">
        <f>C1106*D1106</f>
        <v>#REF!</v>
      </c>
      <c r="F1106" s="882"/>
      <c r="G1106" s="821" t="s">
        <v>455</v>
      </c>
      <c r="H1106" s="980" t="s">
        <v>501</v>
      </c>
      <c r="I1106" s="879" t="e">
        <f>VLOOKUP(H1097,'CNKT '!#REF!,19,0)</f>
        <v>#REF!</v>
      </c>
      <c r="J1106" s="825">
        <v>20000</v>
      </c>
      <c r="K1106" s="823" t="e">
        <f>I1106*J1106</f>
        <v>#REF!</v>
      </c>
      <c r="L1106" s="818"/>
    </row>
    <row r="1107" spans="1:12" s="31" customFormat="1" ht="17.25" customHeight="1">
      <c r="A1107" s="821" t="s">
        <v>517</v>
      </c>
      <c r="B1107" s="980" t="s">
        <v>519</v>
      </c>
      <c r="C1107" s="879"/>
      <c r="D1107" s="825"/>
      <c r="E1107" s="823"/>
      <c r="F1107" s="882"/>
      <c r="G1107" s="821" t="s">
        <v>517</v>
      </c>
      <c r="H1107" s="980" t="s">
        <v>519</v>
      </c>
      <c r="I1107" s="879"/>
      <c r="J1107" s="825"/>
      <c r="K1107" s="823"/>
      <c r="L1107" s="818"/>
    </row>
    <row r="1108" spans="1:12" s="31" customFormat="1" ht="17.25" customHeight="1">
      <c r="A1108" s="827" t="s">
        <v>81</v>
      </c>
      <c r="B1108" s="981" t="s">
        <v>564</v>
      </c>
      <c r="C1108" s="828"/>
      <c r="D1108" s="829"/>
      <c r="E1108" s="828"/>
      <c r="F1108" s="882"/>
      <c r="G1108" s="827" t="s">
        <v>81</v>
      </c>
      <c r="H1108" s="981" t="s">
        <v>564</v>
      </c>
      <c r="I1108" s="828"/>
      <c r="J1108" s="829"/>
      <c r="K1108" s="828"/>
      <c r="L1108" s="818"/>
    </row>
    <row r="1109" spans="1:12" s="31" customFormat="1" ht="17.25" customHeight="1">
      <c r="A1109" s="830" t="s">
        <v>82</v>
      </c>
      <c r="B1109" s="982" t="s">
        <v>565</v>
      </c>
      <c r="C1109" s="828"/>
      <c r="D1109" s="828"/>
      <c r="E1109" s="828"/>
      <c r="F1109" s="882"/>
      <c r="G1109" s="830" t="s">
        <v>82</v>
      </c>
      <c r="H1109" s="982" t="s">
        <v>565</v>
      </c>
      <c r="I1109" s="828"/>
      <c r="J1109" s="828"/>
      <c r="K1109" s="828"/>
      <c r="L1109" s="818"/>
    </row>
    <row r="1110" spans="1:12" s="31" customFormat="1" ht="17.25" customHeight="1">
      <c r="A1110" s="830" t="s">
        <v>83</v>
      </c>
      <c r="B1110" s="983" t="s">
        <v>566</v>
      </c>
      <c r="C1110" s="828"/>
      <c r="D1110" s="828"/>
      <c r="E1110" s="823">
        <f>SUM(E1109)</f>
        <v>0</v>
      </c>
      <c r="F1110" s="879"/>
      <c r="G1110" s="830" t="s">
        <v>83</v>
      </c>
      <c r="H1110" s="983" t="s">
        <v>566</v>
      </c>
      <c r="I1110" s="828"/>
      <c r="J1110" s="828"/>
      <c r="K1110" s="823">
        <f>SUM(K1109)</f>
        <v>0</v>
      </c>
      <c r="L1110" s="818"/>
    </row>
    <row r="1111" spans="1:12" s="31" customFormat="1" ht="17.25" customHeight="1">
      <c r="A1111" s="832" t="s">
        <v>84</v>
      </c>
      <c r="B1111" s="984" t="s">
        <v>438</v>
      </c>
      <c r="C1111" s="833"/>
      <c r="D1111" s="833"/>
      <c r="E1111" s="833" t="e">
        <f>(E1099+E1100+E1101+E1102+E1103+E1104+E1105+E1106+E1107)-E1110</f>
        <v>#REF!</v>
      </c>
      <c r="F1111" s="879"/>
      <c r="G1111" s="832" t="s">
        <v>84</v>
      </c>
      <c r="H1111" s="984" t="s">
        <v>438</v>
      </c>
      <c r="I1111" s="833"/>
      <c r="J1111" s="833"/>
      <c r="K1111" s="833" t="e">
        <f>(K1099+K1100+K1101+K1102+K1103+K1104+K1105+K1106+K1107)-K1110</f>
        <v>#REF!</v>
      </c>
      <c r="L1111" s="835" t="e">
        <f>E1111+K1111</f>
        <v>#REF!</v>
      </c>
    </row>
    <row r="1112" spans="1:12" s="31" customFormat="1" ht="16.5" customHeight="1">
      <c r="A1112" s="1616"/>
      <c r="B1112" s="1616"/>
      <c r="C1112" s="1616"/>
      <c r="D1112" s="1616"/>
      <c r="E1112" s="1616"/>
      <c r="F1112" s="873"/>
      <c r="G1112" s="895"/>
      <c r="H1112" s="895"/>
      <c r="I1112" s="895"/>
      <c r="J1112" s="895"/>
      <c r="K1112" s="874"/>
      <c r="L1112" s="818"/>
    </row>
    <row r="1113" spans="1:12" s="31" customFormat="1" ht="17.25" customHeight="1">
      <c r="A1113" s="895" t="str">
        <f>A1096</f>
        <v>LƯƠNG THÁNG 01/2025</v>
      </c>
      <c r="B1113" s="895"/>
      <c r="C1113" s="895"/>
      <c r="D1113" s="895"/>
      <c r="E1113" s="895" t="e">
        <f>VLOOKUP(B1114,'CNKT '!#REF!,26,0)</f>
        <v>#REF!</v>
      </c>
      <c r="F1113" s="873"/>
      <c r="G1113" s="895" t="str">
        <f>A1113</f>
        <v>LƯƠNG THÁNG 01/2025</v>
      </c>
      <c r="H1113" s="895"/>
      <c r="I1113" s="895"/>
      <c r="J1113" s="895"/>
      <c r="K1113" s="895" t="e">
        <f>VLOOKUP(H1114,'CNKT '!#REF!,26,0)</f>
        <v>#REF!</v>
      </c>
      <c r="L1113" s="818"/>
    </row>
    <row r="1114" spans="1:12" s="31" customFormat="1" ht="17.25" customHeight="1">
      <c r="A1114" s="837" t="s">
        <v>17</v>
      </c>
      <c r="B1114" s="976" t="e">
        <f>'CNKT '!#REF!</f>
        <v>#REF!</v>
      </c>
      <c r="C1114" s="822"/>
      <c r="D1114" s="976" t="s">
        <v>398</v>
      </c>
      <c r="E1114" s="976" t="s">
        <v>20</v>
      </c>
      <c r="F1114" s="882"/>
      <c r="G1114" s="837" t="s">
        <v>17</v>
      </c>
      <c r="H1114" s="976" t="e">
        <f>'CNKT '!#REF!</f>
        <v>#REF!</v>
      </c>
      <c r="I1114" s="822"/>
      <c r="J1114" s="976" t="s">
        <v>398</v>
      </c>
      <c r="K1114" s="976" t="s">
        <v>20</v>
      </c>
      <c r="L1114" s="818"/>
    </row>
    <row r="1115" spans="1:12" s="31" customFormat="1" ht="17.25" customHeight="1">
      <c r="A1115" s="821" t="s">
        <v>399</v>
      </c>
      <c r="B1115" s="978" t="s">
        <v>559</v>
      </c>
      <c r="C1115" s="822" t="e">
        <f>VLOOKUP(B1114,'BTH mủ tạp'!#REF!,36,0)</f>
        <v>#REF!</v>
      </c>
      <c r="D1115" s="823"/>
      <c r="E1115" s="823"/>
      <c r="F1115" s="882"/>
      <c r="G1115" s="821" t="s">
        <v>399</v>
      </c>
      <c r="H1115" s="978" t="s">
        <v>559</v>
      </c>
      <c r="I1115" s="822" t="e">
        <f>VLOOKUP(H1114,'BTH mủ tạp'!#REF!,36,0)</f>
        <v>#REF!</v>
      </c>
      <c r="J1115" s="823"/>
      <c r="K1115" s="823"/>
      <c r="L1115" s="818"/>
    </row>
    <row r="1116" spans="1:12" s="31" customFormat="1" ht="17.25" customHeight="1">
      <c r="A1116" s="821" t="s">
        <v>79</v>
      </c>
      <c r="B1116" s="979" t="s">
        <v>432</v>
      </c>
      <c r="C1116" s="824" t="e">
        <f>VLOOKUP(B1114,'CNKT '!#REF!,3,0)</f>
        <v>#REF!</v>
      </c>
      <c r="D1116" s="825">
        <v>25000</v>
      </c>
      <c r="E1116" s="823" t="e">
        <f t="shared" ref="E1116:E1121" si="129">C1116*D1116</f>
        <v>#REF!</v>
      </c>
      <c r="F1116" s="882"/>
      <c r="G1116" s="821" t="s">
        <v>79</v>
      </c>
      <c r="H1116" s="979" t="s">
        <v>432</v>
      </c>
      <c r="I1116" s="824" t="e">
        <f>VLOOKUP(H1114,'CNKT '!#REF!,3,0)</f>
        <v>#REF!</v>
      </c>
      <c r="J1116" s="825">
        <v>25000</v>
      </c>
      <c r="K1116" s="823" t="e">
        <f t="shared" ref="K1116:K1121" si="130">I1116*J1116</f>
        <v>#REF!</v>
      </c>
      <c r="L1116" s="818"/>
    </row>
    <row r="1117" spans="1:12" s="31" customFormat="1" ht="17.25" customHeight="1">
      <c r="A1117" s="821" t="s">
        <v>310</v>
      </c>
      <c r="B1117" s="980" t="s">
        <v>560</v>
      </c>
      <c r="C1117" s="879" t="e">
        <f>VLOOKUP(B1114,'CNKT '!#REF!,11,0)</f>
        <v>#REF!</v>
      </c>
      <c r="D1117" s="826">
        <f>46.1*$B$2</f>
        <v>30805.403000000002</v>
      </c>
      <c r="E1117" s="823" t="e">
        <f t="shared" si="129"/>
        <v>#REF!</v>
      </c>
      <c r="F1117" s="882"/>
      <c r="G1117" s="821" t="s">
        <v>310</v>
      </c>
      <c r="H1117" s="980" t="s">
        <v>560</v>
      </c>
      <c r="I1117" s="879" t="e">
        <f>VLOOKUP(H1114,'CNKT '!#REF!,11,0)</f>
        <v>#REF!</v>
      </c>
      <c r="J1117" s="826">
        <f>46.1*$B$2</f>
        <v>30805.403000000002</v>
      </c>
      <c r="K1117" s="823" t="e">
        <f t="shared" si="130"/>
        <v>#REF!</v>
      </c>
      <c r="L1117" s="818"/>
    </row>
    <row r="1118" spans="1:12" s="31" customFormat="1" ht="17.25" customHeight="1">
      <c r="A1118" s="821" t="s">
        <v>401</v>
      </c>
      <c r="B1118" s="980" t="s">
        <v>561</v>
      </c>
      <c r="C1118" s="879" t="e">
        <f>VLOOKUP(B1114,'CNKT '!#REF!,12,0)</f>
        <v>#REF!</v>
      </c>
      <c r="D1118" s="825">
        <f>76.9*$B$2</f>
        <v>51386.887000000002</v>
      </c>
      <c r="E1118" s="823" t="e">
        <f t="shared" si="129"/>
        <v>#REF!</v>
      </c>
      <c r="F1118" s="882"/>
      <c r="G1118" s="821" t="s">
        <v>401</v>
      </c>
      <c r="H1118" s="980" t="s">
        <v>561</v>
      </c>
      <c r="I1118" s="879" t="e">
        <f>VLOOKUP(H1114,'CNKT '!#REF!,12,0)</f>
        <v>#REF!</v>
      </c>
      <c r="J1118" s="825">
        <f>76.9*$B$2</f>
        <v>51386.887000000002</v>
      </c>
      <c r="K1118" s="823" t="e">
        <f t="shared" si="130"/>
        <v>#REF!</v>
      </c>
      <c r="L1118" s="818"/>
    </row>
    <row r="1119" spans="1:12" s="31" customFormat="1" ht="17.25" customHeight="1">
      <c r="A1119" s="821" t="s">
        <v>80</v>
      </c>
      <c r="B1119" s="980" t="s">
        <v>562</v>
      </c>
      <c r="C1119" s="879" t="e">
        <f>VLOOKUP(B1114,'CNKT '!#REF!,8,0)</f>
        <v>#REF!</v>
      </c>
      <c r="D1119" s="825" t="e">
        <f>IF(C1115="A",6.1,IF(C1115="B",5.8,IF(C1115="C",5.5,IF(C1115="C.",5.5,IF(C1115="D",5.2)))))*$B$2</f>
        <v>#REF!</v>
      </c>
      <c r="E1119" s="823" t="e">
        <f t="shared" si="129"/>
        <v>#REF!</v>
      </c>
      <c r="F1119" s="882"/>
      <c r="G1119" s="821" t="s">
        <v>80</v>
      </c>
      <c r="H1119" s="980" t="s">
        <v>562</v>
      </c>
      <c r="I1119" s="879" t="e">
        <f>VLOOKUP(H1114,'CNKT '!#REF!,8,0)</f>
        <v>#REF!</v>
      </c>
      <c r="J1119" s="825" t="e">
        <f>IF(I1115="A",6.1,IF(I1115="B",5.8,IF(I1115="C",5.5,IF(I1115="C.",5.5,IF(I1115="D",5.2)))))*$B$2</f>
        <v>#REF!</v>
      </c>
      <c r="K1119" s="823" t="e">
        <f t="shared" si="130"/>
        <v>#REF!</v>
      </c>
      <c r="L1119" s="818"/>
    </row>
    <row r="1120" spans="1:12" s="31" customFormat="1" ht="17.25" customHeight="1">
      <c r="A1120" s="821" t="s">
        <v>495</v>
      </c>
      <c r="B1120" s="980" t="s">
        <v>563</v>
      </c>
      <c r="C1120" s="879" t="e">
        <f>VLOOKUP(B1114,'CNKT '!#REF!,15,0)</f>
        <v>#REF!</v>
      </c>
      <c r="D1120" s="826">
        <f>92.2*$B$2</f>
        <v>61610.806000000004</v>
      </c>
      <c r="E1120" s="823" t="e">
        <f t="shared" si="129"/>
        <v>#REF!</v>
      </c>
      <c r="F1120" s="882"/>
      <c r="G1120" s="821" t="s">
        <v>495</v>
      </c>
      <c r="H1120" s="980" t="s">
        <v>563</v>
      </c>
      <c r="I1120" s="879" t="e">
        <f>VLOOKUP(H1114,'CNKT '!#REF!,15,0)</f>
        <v>#REF!</v>
      </c>
      <c r="J1120" s="826">
        <f>92.2*$B$2</f>
        <v>61610.806000000004</v>
      </c>
      <c r="K1120" s="823" t="e">
        <f t="shared" si="130"/>
        <v>#REF!</v>
      </c>
      <c r="L1120" s="818"/>
    </row>
    <row r="1121" spans="1:12" s="31" customFormat="1" ht="17.25" customHeight="1">
      <c r="A1121" s="821" t="s">
        <v>496</v>
      </c>
      <c r="B1121" s="980" t="s">
        <v>500</v>
      </c>
      <c r="C1121" s="879" t="e">
        <f>VLOOKUP(B1114,'CNKT '!#REF!,16,0)</f>
        <v>#REF!</v>
      </c>
      <c r="D1121" s="825">
        <f>153.8*$B$2</f>
        <v>102773.774</v>
      </c>
      <c r="E1121" s="823" t="e">
        <f t="shared" si="129"/>
        <v>#REF!</v>
      </c>
      <c r="F1121" s="882"/>
      <c r="G1121" s="821" t="s">
        <v>496</v>
      </c>
      <c r="H1121" s="980" t="s">
        <v>500</v>
      </c>
      <c r="I1121" s="879" t="e">
        <f>VLOOKUP(H1114,'CNKT '!#REF!,16,0)</f>
        <v>#REF!</v>
      </c>
      <c r="J1121" s="825">
        <f>153.8*$B$2</f>
        <v>102773.774</v>
      </c>
      <c r="K1121" s="823" t="e">
        <f t="shared" si="130"/>
        <v>#REF!</v>
      </c>
      <c r="L1121" s="818"/>
    </row>
    <row r="1122" spans="1:12" s="31" customFormat="1" ht="17.25" customHeight="1">
      <c r="A1122" s="821" t="s">
        <v>455</v>
      </c>
      <c r="B1122" s="980" t="s">
        <v>501</v>
      </c>
      <c r="C1122" s="879" t="e">
        <f>VLOOKUP(B1114,'CNKT '!#REF!,18,0)</f>
        <v>#REF!</v>
      </c>
      <c r="D1122" s="825">
        <v>10000</v>
      </c>
      <c r="E1122" s="823" t="e">
        <f>C1122*D1122</f>
        <v>#REF!</v>
      </c>
      <c r="F1122" s="882"/>
      <c r="G1122" s="821" t="s">
        <v>455</v>
      </c>
      <c r="H1122" s="980" t="s">
        <v>501</v>
      </c>
      <c r="I1122" s="879" t="e">
        <f>VLOOKUP(H1114,'CNKT '!#REF!,18,0)</f>
        <v>#REF!</v>
      </c>
      <c r="J1122" s="825">
        <v>10000</v>
      </c>
      <c r="K1122" s="823" t="e">
        <f>I1122*J1122</f>
        <v>#REF!</v>
      </c>
      <c r="L1122" s="818"/>
    </row>
    <row r="1123" spans="1:12" s="31" customFormat="1" ht="17.25" customHeight="1">
      <c r="A1123" s="821" t="s">
        <v>455</v>
      </c>
      <c r="B1123" s="980" t="s">
        <v>501</v>
      </c>
      <c r="C1123" s="879" t="e">
        <f>VLOOKUP(B1114,'CNKT '!#REF!,19,0)</f>
        <v>#REF!</v>
      </c>
      <c r="D1123" s="825">
        <v>20000</v>
      </c>
      <c r="E1123" s="823" t="e">
        <f>C1123*D1123</f>
        <v>#REF!</v>
      </c>
      <c r="F1123" s="882"/>
      <c r="G1123" s="821" t="s">
        <v>455</v>
      </c>
      <c r="H1123" s="980" t="s">
        <v>501</v>
      </c>
      <c r="I1123" s="879" t="e">
        <f>VLOOKUP(H1114,'CNKT '!#REF!,19,0)</f>
        <v>#REF!</v>
      </c>
      <c r="J1123" s="825">
        <v>20000</v>
      </c>
      <c r="K1123" s="823" t="e">
        <f>I1123*J1123</f>
        <v>#REF!</v>
      </c>
      <c r="L1123" s="818"/>
    </row>
    <row r="1124" spans="1:12" s="31" customFormat="1" ht="17.25" customHeight="1">
      <c r="A1124" s="821" t="s">
        <v>517</v>
      </c>
      <c r="B1124" s="980" t="s">
        <v>519</v>
      </c>
      <c r="C1124" s="879"/>
      <c r="D1124" s="825"/>
      <c r="E1124" s="823"/>
      <c r="F1124" s="882"/>
      <c r="G1124" s="821" t="s">
        <v>517</v>
      </c>
      <c r="H1124" s="980" t="s">
        <v>519</v>
      </c>
      <c r="I1124" s="879"/>
      <c r="J1124" s="825"/>
      <c r="K1124" s="823"/>
      <c r="L1124" s="818"/>
    </row>
    <row r="1125" spans="1:12" s="31" customFormat="1" ht="17.25" customHeight="1">
      <c r="A1125" s="827" t="s">
        <v>81</v>
      </c>
      <c r="B1125" s="981" t="s">
        <v>564</v>
      </c>
      <c r="C1125" s="828"/>
      <c r="D1125" s="829"/>
      <c r="E1125" s="828"/>
      <c r="F1125" s="882"/>
      <c r="G1125" s="827" t="s">
        <v>81</v>
      </c>
      <c r="H1125" s="981" t="s">
        <v>564</v>
      </c>
      <c r="I1125" s="828"/>
      <c r="J1125" s="829"/>
      <c r="K1125" s="828"/>
      <c r="L1125" s="818"/>
    </row>
    <row r="1126" spans="1:12" s="31" customFormat="1" ht="17.25" customHeight="1">
      <c r="A1126" s="830" t="s">
        <v>82</v>
      </c>
      <c r="B1126" s="982" t="s">
        <v>565</v>
      </c>
      <c r="C1126" s="828"/>
      <c r="D1126" s="828"/>
      <c r="E1126" s="828"/>
      <c r="F1126" s="882"/>
      <c r="G1126" s="830" t="s">
        <v>82</v>
      </c>
      <c r="H1126" s="982" t="s">
        <v>565</v>
      </c>
      <c r="I1126" s="828"/>
      <c r="J1126" s="828"/>
      <c r="K1126" s="828"/>
      <c r="L1126" s="818"/>
    </row>
    <row r="1127" spans="1:12" s="31" customFormat="1" ht="17.25" customHeight="1">
      <c r="A1127" s="830" t="s">
        <v>83</v>
      </c>
      <c r="B1127" s="983" t="s">
        <v>566</v>
      </c>
      <c r="C1127" s="828"/>
      <c r="D1127" s="828"/>
      <c r="E1127" s="823">
        <f>SUM(E1126)</f>
        <v>0</v>
      </c>
      <c r="F1127" s="976"/>
      <c r="G1127" s="830" t="s">
        <v>83</v>
      </c>
      <c r="H1127" s="983" t="s">
        <v>566</v>
      </c>
      <c r="I1127" s="828"/>
      <c r="J1127" s="828"/>
      <c r="K1127" s="823">
        <f>SUM(K1126)</f>
        <v>0</v>
      </c>
      <c r="L1127" s="818"/>
    </row>
    <row r="1128" spans="1:12" s="31" customFormat="1" ht="17.25" customHeight="1">
      <c r="A1128" s="832" t="s">
        <v>84</v>
      </c>
      <c r="B1128" s="984" t="s">
        <v>438</v>
      </c>
      <c r="C1128" s="833"/>
      <c r="D1128" s="833"/>
      <c r="E1128" s="833" t="e">
        <f>(E1116+E1117+E1118+E1119+E1120+E1121+E1122+E1123+E1124)-E1127</f>
        <v>#REF!</v>
      </c>
      <c r="F1128" s="976"/>
      <c r="G1128" s="832" t="s">
        <v>84</v>
      </c>
      <c r="H1128" s="984" t="s">
        <v>438</v>
      </c>
      <c r="I1128" s="833"/>
      <c r="J1128" s="833"/>
      <c r="K1128" s="833" t="e">
        <f>(K1116+K1117+K1118+K1119+K1120+K1121+K1122+K1123+K1124)-K1127</f>
        <v>#REF!</v>
      </c>
      <c r="L1128" s="835" t="e">
        <f>E1128+K1128</f>
        <v>#REF!</v>
      </c>
    </row>
    <row r="1129" spans="1:12" s="31" customFormat="1" ht="10.5" customHeight="1">
      <c r="A1129" s="1616"/>
      <c r="B1129" s="1616"/>
      <c r="C1129" s="1616"/>
      <c r="D1129" s="1616"/>
      <c r="E1129" s="1616"/>
      <c r="F1129" s="873"/>
      <c r="G1129" s="1616"/>
      <c r="H1129" s="1616"/>
      <c r="I1129" s="1616"/>
      <c r="J1129" s="1616"/>
      <c r="K1129" s="874"/>
      <c r="L1129" s="818"/>
    </row>
    <row r="1130" spans="1:12" s="31" customFormat="1" ht="17.25" customHeight="1">
      <c r="A1130" s="895" t="str">
        <f>A1113</f>
        <v>LƯƠNG THÁNG 01/2025</v>
      </c>
      <c r="B1130" s="895"/>
      <c r="C1130" s="895"/>
      <c r="D1130" s="895"/>
      <c r="E1130" s="895" t="e">
        <f>VLOOKUP(B1131,'CNKT '!#REF!,26,0)</f>
        <v>#REF!</v>
      </c>
      <c r="F1130" s="873"/>
      <c r="G1130" s="895" t="str">
        <f>A1130</f>
        <v>LƯƠNG THÁNG 01/2025</v>
      </c>
      <c r="H1130" s="895"/>
      <c r="I1130" s="895"/>
      <c r="J1130" s="895"/>
      <c r="K1130" s="895" t="e">
        <f>VLOOKUP(H1131,'CNKT '!#REF!,26,0)</f>
        <v>#REF!</v>
      </c>
      <c r="L1130" s="818"/>
    </row>
    <row r="1131" spans="1:12" s="31" customFormat="1" ht="17.25" customHeight="1">
      <c r="A1131" s="837" t="s">
        <v>17</v>
      </c>
      <c r="B1131" s="976" t="e">
        <f>'CNKT '!#REF!</f>
        <v>#REF!</v>
      </c>
      <c r="C1131" s="822"/>
      <c r="D1131" s="976" t="s">
        <v>398</v>
      </c>
      <c r="E1131" s="976" t="s">
        <v>20</v>
      </c>
      <c r="F1131" s="882"/>
      <c r="G1131" s="837" t="s">
        <v>17</v>
      </c>
      <c r="H1131" s="976" t="e">
        <f>'CNKT '!#REF!</f>
        <v>#REF!</v>
      </c>
      <c r="I1131" s="822"/>
      <c r="J1131" s="976" t="s">
        <v>398</v>
      </c>
      <c r="K1131" s="976" t="s">
        <v>20</v>
      </c>
      <c r="L1131" s="818"/>
    </row>
    <row r="1132" spans="1:12" s="31" customFormat="1" ht="17.25" customHeight="1">
      <c r="A1132" s="821" t="s">
        <v>399</v>
      </c>
      <c r="B1132" s="978" t="s">
        <v>559</v>
      </c>
      <c r="C1132" s="822" t="e">
        <f>VLOOKUP(B1131,'BTH mủ tạp'!#REF!,36,0)</f>
        <v>#REF!</v>
      </c>
      <c r="D1132" s="823"/>
      <c r="E1132" s="823"/>
      <c r="F1132" s="882"/>
      <c r="G1132" s="821" t="s">
        <v>399</v>
      </c>
      <c r="H1132" s="978" t="s">
        <v>559</v>
      </c>
      <c r="I1132" s="822" t="e">
        <f>VLOOKUP(H1131,'BTH mủ tạp'!#REF!,36,0)</f>
        <v>#REF!</v>
      </c>
      <c r="J1132" s="823"/>
      <c r="K1132" s="823"/>
      <c r="L1132" s="818"/>
    </row>
    <row r="1133" spans="1:12" s="31" customFormat="1" ht="17.25" customHeight="1">
      <c r="A1133" s="821" t="s">
        <v>79</v>
      </c>
      <c r="B1133" s="979" t="s">
        <v>432</v>
      </c>
      <c r="C1133" s="824" t="e">
        <f>VLOOKUP(B1131,'CNKT '!#REF!,3,0)</f>
        <v>#REF!</v>
      </c>
      <c r="D1133" s="825">
        <v>25000</v>
      </c>
      <c r="E1133" s="823" t="e">
        <f t="shared" ref="E1133:E1138" si="131">C1133*D1133</f>
        <v>#REF!</v>
      </c>
      <c r="F1133" s="882"/>
      <c r="G1133" s="821" t="s">
        <v>79</v>
      </c>
      <c r="H1133" s="979" t="s">
        <v>432</v>
      </c>
      <c r="I1133" s="824" t="e">
        <f>VLOOKUP(H1131,'CNKT '!#REF!,3,0)</f>
        <v>#REF!</v>
      </c>
      <c r="J1133" s="825">
        <v>25000</v>
      </c>
      <c r="K1133" s="823" t="e">
        <f t="shared" ref="K1133:K1138" si="132">I1133*J1133</f>
        <v>#REF!</v>
      </c>
      <c r="L1133" s="818"/>
    </row>
    <row r="1134" spans="1:12" s="31" customFormat="1" ht="17.25" customHeight="1">
      <c r="A1134" s="821" t="s">
        <v>310</v>
      </c>
      <c r="B1134" s="980" t="s">
        <v>560</v>
      </c>
      <c r="C1134" s="879" t="e">
        <f>VLOOKUP(B1131,'CNKT '!#REF!,11,0)</f>
        <v>#REF!</v>
      </c>
      <c r="D1134" s="826">
        <f>46.1*$B$2</f>
        <v>30805.403000000002</v>
      </c>
      <c r="E1134" s="823" t="e">
        <f t="shared" si="131"/>
        <v>#REF!</v>
      </c>
      <c r="F1134" s="882"/>
      <c r="G1134" s="821" t="s">
        <v>310</v>
      </c>
      <c r="H1134" s="980" t="s">
        <v>560</v>
      </c>
      <c r="I1134" s="879" t="e">
        <f>VLOOKUP(H1131,'CNKT '!#REF!,11,0)</f>
        <v>#REF!</v>
      </c>
      <c r="J1134" s="826">
        <f>46.1*$B$2</f>
        <v>30805.403000000002</v>
      </c>
      <c r="K1134" s="823" t="e">
        <f t="shared" si="132"/>
        <v>#REF!</v>
      </c>
      <c r="L1134" s="818"/>
    </row>
    <row r="1135" spans="1:12" s="31" customFormat="1" ht="17.25" customHeight="1">
      <c r="A1135" s="821" t="s">
        <v>401</v>
      </c>
      <c r="B1135" s="980" t="s">
        <v>561</v>
      </c>
      <c r="C1135" s="879" t="e">
        <f>VLOOKUP(B1131,'CNKT '!#REF!,12,0)</f>
        <v>#REF!</v>
      </c>
      <c r="D1135" s="825">
        <f>76.9*$B$2</f>
        <v>51386.887000000002</v>
      </c>
      <c r="E1135" s="823" t="e">
        <f t="shared" si="131"/>
        <v>#REF!</v>
      </c>
      <c r="F1135" s="882"/>
      <c r="G1135" s="821" t="s">
        <v>401</v>
      </c>
      <c r="H1135" s="980" t="s">
        <v>561</v>
      </c>
      <c r="I1135" s="879" t="e">
        <f>VLOOKUP(H1131,'CNKT '!#REF!,12,0)</f>
        <v>#REF!</v>
      </c>
      <c r="J1135" s="825">
        <f>76.9*$B$2</f>
        <v>51386.887000000002</v>
      </c>
      <c r="K1135" s="823" t="e">
        <f t="shared" si="132"/>
        <v>#REF!</v>
      </c>
      <c r="L1135" s="818"/>
    </row>
    <row r="1136" spans="1:12" s="31" customFormat="1" ht="17.25" customHeight="1">
      <c r="A1136" s="821" t="s">
        <v>80</v>
      </c>
      <c r="B1136" s="980" t="s">
        <v>562</v>
      </c>
      <c r="C1136" s="879" t="e">
        <f>VLOOKUP(B1131,'CNKT '!#REF!,8,0)</f>
        <v>#REF!</v>
      </c>
      <c r="D1136" s="825" t="e">
        <f>IF(C1132="A",6.1,IF(C1132="B",5.8,IF(C1132="C",5.5,IF(C1132="C.",5.5,IF(C1132="D",5.2)))))*$B$2</f>
        <v>#REF!</v>
      </c>
      <c r="E1136" s="823" t="e">
        <f t="shared" si="131"/>
        <v>#REF!</v>
      </c>
      <c r="F1136" s="882"/>
      <c r="G1136" s="821" t="s">
        <v>80</v>
      </c>
      <c r="H1136" s="980" t="s">
        <v>562</v>
      </c>
      <c r="I1136" s="879" t="e">
        <f>VLOOKUP(H1131,'CNKT '!#REF!,8,0)</f>
        <v>#REF!</v>
      </c>
      <c r="J1136" s="825" t="e">
        <f>IF(I1132="A",6.1,IF(I1132="B",5.8,IF(I1132="C",5.5,IF(I1132="C.",5.5,IF(I1132="D",5.2)))))*$B$2</f>
        <v>#REF!</v>
      </c>
      <c r="K1136" s="823" t="e">
        <f t="shared" si="132"/>
        <v>#REF!</v>
      </c>
      <c r="L1136" s="818"/>
    </row>
    <row r="1137" spans="1:12" s="31" customFormat="1" ht="17.25" customHeight="1">
      <c r="A1137" s="821" t="s">
        <v>495</v>
      </c>
      <c r="B1137" s="980" t="s">
        <v>563</v>
      </c>
      <c r="C1137" s="879" t="e">
        <f>VLOOKUP(B1131,'CNKT '!#REF!,15,0)</f>
        <v>#REF!</v>
      </c>
      <c r="D1137" s="826">
        <f>92.2*$B$2</f>
        <v>61610.806000000004</v>
      </c>
      <c r="E1137" s="823" t="e">
        <f t="shared" si="131"/>
        <v>#REF!</v>
      </c>
      <c r="F1137" s="882"/>
      <c r="G1137" s="821" t="s">
        <v>495</v>
      </c>
      <c r="H1137" s="980" t="s">
        <v>563</v>
      </c>
      <c r="I1137" s="879" t="e">
        <f>VLOOKUP(H1131,'CNKT '!#REF!,15,0)</f>
        <v>#REF!</v>
      </c>
      <c r="J1137" s="826">
        <f>92.2*$B$2</f>
        <v>61610.806000000004</v>
      </c>
      <c r="K1137" s="823" t="e">
        <f t="shared" si="132"/>
        <v>#REF!</v>
      </c>
      <c r="L1137" s="818"/>
    </row>
    <row r="1138" spans="1:12" s="31" customFormat="1" ht="17.25" customHeight="1">
      <c r="A1138" s="821" t="s">
        <v>496</v>
      </c>
      <c r="B1138" s="980" t="s">
        <v>500</v>
      </c>
      <c r="C1138" s="879" t="e">
        <f>VLOOKUP(B1131,'CNKT '!#REF!,16,0)</f>
        <v>#REF!</v>
      </c>
      <c r="D1138" s="825">
        <f>153.8*$B$2</f>
        <v>102773.774</v>
      </c>
      <c r="E1138" s="823" t="e">
        <f t="shared" si="131"/>
        <v>#REF!</v>
      </c>
      <c r="F1138" s="882"/>
      <c r="G1138" s="821" t="s">
        <v>496</v>
      </c>
      <c r="H1138" s="980" t="s">
        <v>500</v>
      </c>
      <c r="I1138" s="879" t="e">
        <f>VLOOKUP(H1131,'CNKT '!#REF!,16,0)</f>
        <v>#REF!</v>
      </c>
      <c r="J1138" s="825">
        <f>153.8*$B$2</f>
        <v>102773.774</v>
      </c>
      <c r="K1138" s="823" t="e">
        <f t="shared" si="132"/>
        <v>#REF!</v>
      </c>
      <c r="L1138" s="818"/>
    </row>
    <row r="1139" spans="1:12" s="31" customFormat="1" ht="17.25" customHeight="1">
      <c r="A1139" s="821" t="s">
        <v>455</v>
      </c>
      <c r="B1139" s="980" t="s">
        <v>501</v>
      </c>
      <c r="C1139" s="879" t="e">
        <f>VLOOKUP(B1131,'CNKT '!#REF!,18,0)</f>
        <v>#REF!</v>
      </c>
      <c r="D1139" s="825">
        <v>10000</v>
      </c>
      <c r="E1139" s="823" t="e">
        <f>C1139*D1139</f>
        <v>#REF!</v>
      </c>
      <c r="F1139" s="882"/>
      <c r="G1139" s="821" t="s">
        <v>455</v>
      </c>
      <c r="H1139" s="980" t="s">
        <v>501</v>
      </c>
      <c r="I1139" s="879" t="e">
        <f>VLOOKUP(H1131,'CNKT '!#REF!,18,0)</f>
        <v>#REF!</v>
      </c>
      <c r="J1139" s="825">
        <v>10000</v>
      </c>
      <c r="K1139" s="823" t="e">
        <f>I1139*J1139</f>
        <v>#REF!</v>
      </c>
      <c r="L1139" s="818"/>
    </row>
    <row r="1140" spans="1:12" s="31" customFormat="1" ht="17.25" customHeight="1">
      <c r="A1140" s="821" t="s">
        <v>455</v>
      </c>
      <c r="B1140" s="980" t="s">
        <v>501</v>
      </c>
      <c r="C1140" s="879" t="e">
        <f>VLOOKUP(B1131,'CNKT '!#REF!,19,0)</f>
        <v>#REF!</v>
      </c>
      <c r="D1140" s="825">
        <v>20000</v>
      </c>
      <c r="E1140" s="823" t="e">
        <f>C1140*D1140</f>
        <v>#REF!</v>
      </c>
      <c r="F1140" s="882"/>
      <c r="G1140" s="821" t="s">
        <v>455</v>
      </c>
      <c r="H1140" s="980" t="s">
        <v>501</v>
      </c>
      <c r="I1140" s="879" t="e">
        <f>VLOOKUP(H1131,'CNKT '!#REF!,19,0)</f>
        <v>#REF!</v>
      </c>
      <c r="J1140" s="825">
        <v>20000</v>
      </c>
      <c r="K1140" s="823" t="e">
        <f>I1140*J1140</f>
        <v>#REF!</v>
      </c>
      <c r="L1140" s="818"/>
    </row>
    <row r="1141" spans="1:12" s="31" customFormat="1" ht="17.25" customHeight="1">
      <c r="A1141" s="821" t="s">
        <v>517</v>
      </c>
      <c r="B1141" s="980" t="s">
        <v>519</v>
      </c>
      <c r="C1141" s="879"/>
      <c r="D1141" s="825"/>
      <c r="E1141" s="823"/>
      <c r="F1141" s="882"/>
      <c r="G1141" s="821" t="s">
        <v>517</v>
      </c>
      <c r="H1141" s="980" t="s">
        <v>519</v>
      </c>
      <c r="I1141" s="879"/>
      <c r="J1141" s="825"/>
      <c r="K1141" s="823"/>
      <c r="L1141" s="818"/>
    </row>
    <row r="1142" spans="1:12" s="31" customFormat="1" ht="17.25" customHeight="1">
      <c r="A1142" s="827" t="s">
        <v>81</v>
      </c>
      <c r="B1142" s="981" t="s">
        <v>564</v>
      </c>
      <c r="C1142" s="828"/>
      <c r="D1142" s="829"/>
      <c r="E1142" s="828"/>
      <c r="F1142" s="882"/>
      <c r="G1142" s="827" t="s">
        <v>81</v>
      </c>
      <c r="H1142" s="981" t="s">
        <v>564</v>
      </c>
      <c r="I1142" s="828"/>
      <c r="J1142" s="829"/>
      <c r="K1142" s="828"/>
      <c r="L1142" s="818"/>
    </row>
    <row r="1143" spans="1:12" s="31" customFormat="1" ht="17.25" customHeight="1">
      <c r="A1143" s="830" t="s">
        <v>82</v>
      </c>
      <c r="B1143" s="982" t="s">
        <v>565</v>
      </c>
      <c r="C1143" s="828"/>
      <c r="D1143" s="828"/>
      <c r="E1143" s="828"/>
      <c r="F1143" s="882"/>
      <c r="G1143" s="830" t="s">
        <v>82</v>
      </c>
      <c r="H1143" s="982" t="s">
        <v>565</v>
      </c>
      <c r="I1143" s="828"/>
      <c r="J1143" s="828"/>
      <c r="K1143" s="828"/>
      <c r="L1143" s="818"/>
    </row>
    <row r="1144" spans="1:12" s="31" customFormat="1" ht="17.25" customHeight="1">
      <c r="A1144" s="830" t="s">
        <v>83</v>
      </c>
      <c r="B1144" s="983" t="s">
        <v>566</v>
      </c>
      <c r="C1144" s="828"/>
      <c r="D1144" s="828"/>
      <c r="E1144" s="823">
        <f>SUM(E1143)</f>
        <v>0</v>
      </c>
      <c r="F1144" s="882"/>
      <c r="G1144" s="830" t="s">
        <v>83</v>
      </c>
      <c r="H1144" s="983" t="s">
        <v>566</v>
      </c>
      <c r="I1144" s="828"/>
      <c r="J1144" s="828"/>
      <c r="K1144" s="823">
        <f>SUM(K1143)</f>
        <v>0</v>
      </c>
      <c r="L1144" s="818"/>
    </row>
    <row r="1145" spans="1:12" s="31" customFormat="1" ht="17.25" customHeight="1">
      <c r="A1145" s="832" t="s">
        <v>84</v>
      </c>
      <c r="B1145" s="984" t="s">
        <v>438</v>
      </c>
      <c r="C1145" s="833"/>
      <c r="D1145" s="833"/>
      <c r="E1145" s="833" t="e">
        <f>(E1133+E1134+E1135+E1136+E1137+E1138+E1139+E1140+E1141)-E1144</f>
        <v>#REF!</v>
      </c>
      <c r="F1145" s="882"/>
      <c r="G1145" s="832" t="s">
        <v>84</v>
      </c>
      <c r="H1145" s="984" t="s">
        <v>438</v>
      </c>
      <c r="I1145" s="833"/>
      <c r="J1145" s="833"/>
      <c r="K1145" s="833" t="e">
        <f>(K1133+K1134+K1135+K1136+K1137+K1138+K1139+K1140+K1141)-K1144</f>
        <v>#REF!</v>
      </c>
      <c r="L1145" s="835" t="e">
        <f>E1145+K1145</f>
        <v>#REF!</v>
      </c>
    </row>
    <row r="1146" spans="1:12" s="31" customFormat="1" ht="6.75" customHeight="1">
      <c r="A1146" s="1616"/>
      <c r="B1146" s="1616"/>
      <c r="C1146" s="1616"/>
      <c r="D1146" s="1616"/>
      <c r="E1146" s="1616"/>
      <c r="F1146" s="873"/>
      <c r="G1146" s="1616"/>
      <c r="H1146" s="1616"/>
      <c r="I1146" s="1616"/>
      <c r="J1146" s="1616"/>
      <c r="K1146" s="874"/>
      <c r="L1146" s="818"/>
    </row>
    <row r="1147" spans="1:12" s="31" customFormat="1" ht="17.25" customHeight="1">
      <c r="A1147" s="895" t="str">
        <f>A1130</f>
        <v>LƯƠNG THÁNG 01/2025</v>
      </c>
      <c r="B1147" s="895"/>
      <c r="C1147" s="895"/>
      <c r="D1147" s="895"/>
      <c r="E1147" s="895" t="e">
        <f>VLOOKUP(B1148,'CNKT '!#REF!,26,0)</f>
        <v>#REF!</v>
      </c>
      <c r="F1147" s="873"/>
      <c r="G1147" s="895" t="str">
        <f>A1147</f>
        <v>LƯƠNG THÁNG 01/2025</v>
      </c>
      <c r="H1147" s="895"/>
      <c r="I1147" s="895"/>
      <c r="J1147" s="895"/>
      <c r="K1147" s="895" t="e">
        <f>VLOOKUP(H1148,'CNKT '!#REF!,26,0)</f>
        <v>#REF!</v>
      </c>
      <c r="L1147" s="818"/>
    </row>
    <row r="1148" spans="1:12" s="31" customFormat="1" ht="17.25" customHeight="1">
      <c r="A1148" s="837" t="s">
        <v>17</v>
      </c>
      <c r="B1148" s="976" t="e">
        <f>'CNKT '!#REF!</f>
        <v>#REF!</v>
      </c>
      <c r="C1148" s="822"/>
      <c r="D1148" s="976" t="s">
        <v>398</v>
      </c>
      <c r="E1148" s="976" t="s">
        <v>20</v>
      </c>
      <c r="F1148" s="882"/>
      <c r="G1148" s="837" t="s">
        <v>17</v>
      </c>
      <c r="H1148" s="976" t="e">
        <f>'CNKT '!#REF!</f>
        <v>#REF!</v>
      </c>
      <c r="I1148" s="822"/>
      <c r="J1148" s="976" t="s">
        <v>398</v>
      </c>
      <c r="K1148" s="976" t="s">
        <v>20</v>
      </c>
      <c r="L1148" s="818"/>
    </row>
    <row r="1149" spans="1:12" s="31" customFormat="1" ht="17.25" customHeight="1">
      <c r="A1149" s="821" t="s">
        <v>399</v>
      </c>
      <c r="B1149" s="978" t="s">
        <v>559</v>
      </c>
      <c r="C1149" s="822" t="e">
        <f>VLOOKUP(B1148,'BTH mủ tạp'!#REF!,36,0)</f>
        <v>#REF!</v>
      </c>
      <c r="D1149" s="823"/>
      <c r="E1149" s="823"/>
      <c r="F1149" s="882"/>
      <c r="G1149" s="821" t="s">
        <v>399</v>
      </c>
      <c r="H1149" s="978" t="s">
        <v>559</v>
      </c>
      <c r="I1149" s="822" t="e">
        <f>VLOOKUP(H1148,'BTH mủ tạp'!#REF!,36,0)</f>
        <v>#REF!</v>
      </c>
      <c r="J1149" s="823"/>
      <c r="K1149" s="823"/>
      <c r="L1149" s="818"/>
    </row>
    <row r="1150" spans="1:12" s="31" customFormat="1" ht="17.25" customHeight="1">
      <c r="A1150" s="821" t="s">
        <v>79</v>
      </c>
      <c r="B1150" s="979" t="s">
        <v>432</v>
      </c>
      <c r="C1150" s="824" t="e">
        <f>VLOOKUP(B1148,'CNKT '!#REF!,3,0)</f>
        <v>#REF!</v>
      </c>
      <c r="D1150" s="825">
        <v>25000</v>
      </c>
      <c r="E1150" s="823" t="e">
        <f t="shared" ref="E1150:E1155" si="133">C1150*D1150</f>
        <v>#REF!</v>
      </c>
      <c r="F1150" s="882"/>
      <c r="G1150" s="821" t="s">
        <v>79</v>
      </c>
      <c r="H1150" s="979" t="s">
        <v>432</v>
      </c>
      <c r="I1150" s="824" t="e">
        <f>VLOOKUP(H1148,'CNKT '!#REF!,3,0)</f>
        <v>#REF!</v>
      </c>
      <c r="J1150" s="825">
        <v>25000</v>
      </c>
      <c r="K1150" s="823" t="e">
        <f t="shared" ref="K1150:K1155" si="134">I1150*J1150</f>
        <v>#REF!</v>
      </c>
      <c r="L1150" s="818"/>
    </row>
    <row r="1151" spans="1:12" s="31" customFormat="1" ht="17.25" customHeight="1">
      <c r="A1151" s="821" t="s">
        <v>310</v>
      </c>
      <c r="B1151" s="980" t="s">
        <v>560</v>
      </c>
      <c r="C1151" s="879" t="e">
        <f>VLOOKUP(B1148,'CNKT '!#REF!,11,0)</f>
        <v>#REF!</v>
      </c>
      <c r="D1151" s="826">
        <f>46.1*$B$2</f>
        <v>30805.403000000002</v>
      </c>
      <c r="E1151" s="823" t="e">
        <f t="shared" si="133"/>
        <v>#REF!</v>
      </c>
      <c r="F1151" s="882"/>
      <c r="G1151" s="821" t="s">
        <v>310</v>
      </c>
      <c r="H1151" s="980" t="s">
        <v>560</v>
      </c>
      <c r="I1151" s="879" t="e">
        <f>VLOOKUP(H1148,'CNKT '!#REF!,11,0)</f>
        <v>#REF!</v>
      </c>
      <c r="J1151" s="826">
        <f>46.1*$B$2</f>
        <v>30805.403000000002</v>
      </c>
      <c r="K1151" s="823" t="e">
        <f t="shared" si="134"/>
        <v>#REF!</v>
      </c>
      <c r="L1151" s="818"/>
    </row>
    <row r="1152" spans="1:12" s="31" customFormat="1" ht="17.25" customHeight="1">
      <c r="A1152" s="821" t="s">
        <v>401</v>
      </c>
      <c r="B1152" s="980" t="s">
        <v>561</v>
      </c>
      <c r="C1152" s="879" t="e">
        <f>VLOOKUP(B1148,'CNKT '!#REF!,12,0)</f>
        <v>#REF!</v>
      </c>
      <c r="D1152" s="825">
        <f>76.9*$B$2</f>
        <v>51386.887000000002</v>
      </c>
      <c r="E1152" s="823" t="e">
        <f t="shared" si="133"/>
        <v>#REF!</v>
      </c>
      <c r="F1152" s="882"/>
      <c r="G1152" s="821" t="s">
        <v>401</v>
      </c>
      <c r="H1152" s="980" t="s">
        <v>561</v>
      </c>
      <c r="I1152" s="879" t="e">
        <f>VLOOKUP(H1148,'CNKT '!#REF!,12,0)</f>
        <v>#REF!</v>
      </c>
      <c r="J1152" s="825">
        <f>76.9*$B$2</f>
        <v>51386.887000000002</v>
      </c>
      <c r="K1152" s="823" t="e">
        <f t="shared" si="134"/>
        <v>#REF!</v>
      </c>
      <c r="L1152" s="818"/>
    </row>
    <row r="1153" spans="1:12" s="31" customFormat="1" ht="17.25" customHeight="1">
      <c r="A1153" s="821" t="s">
        <v>80</v>
      </c>
      <c r="B1153" s="980" t="s">
        <v>562</v>
      </c>
      <c r="C1153" s="879" t="e">
        <f>VLOOKUP(B1148,'CNKT '!#REF!,8,0)</f>
        <v>#REF!</v>
      </c>
      <c r="D1153" s="825" t="e">
        <f>IF(C1149="A",6.1,IF(C1149="B",5.8,IF(C1149="C",5.5,IF(C1149="C.",5.5,IF(C1149="D",5.2)))))*$B$2</f>
        <v>#REF!</v>
      </c>
      <c r="E1153" s="823" t="e">
        <f t="shared" si="133"/>
        <v>#REF!</v>
      </c>
      <c r="F1153" s="882"/>
      <c r="G1153" s="821" t="s">
        <v>80</v>
      </c>
      <c r="H1153" s="980" t="s">
        <v>562</v>
      </c>
      <c r="I1153" s="879" t="e">
        <f>VLOOKUP(H1148,'CNKT '!#REF!,8,0)</f>
        <v>#REF!</v>
      </c>
      <c r="J1153" s="825" t="e">
        <f>IF(I1149="A",6.1,IF(I1149="B",5.8,IF(I1149="C",5.5,IF(I1149="C.",5.5,IF(I1149="D",5.2)))))*$B$2</f>
        <v>#REF!</v>
      </c>
      <c r="K1153" s="823" t="e">
        <f t="shared" si="134"/>
        <v>#REF!</v>
      </c>
      <c r="L1153" s="818"/>
    </row>
    <row r="1154" spans="1:12" s="31" customFormat="1" ht="17.25" customHeight="1">
      <c r="A1154" s="821" t="s">
        <v>495</v>
      </c>
      <c r="B1154" s="980" t="s">
        <v>563</v>
      </c>
      <c r="C1154" s="879" t="e">
        <f>VLOOKUP(B1148,'CNKT '!#REF!,15,0)</f>
        <v>#REF!</v>
      </c>
      <c r="D1154" s="826">
        <f>92.2*$B$2</f>
        <v>61610.806000000004</v>
      </c>
      <c r="E1154" s="823" t="e">
        <f t="shared" si="133"/>
        <v>#REF!</v>
      </c>
      <c r="F1154" s="882"/>
      <c r="G1154" s="821" t="s">
        <v>495</v>
      </c>
      <c r="H1154" s="980" t="s">
        <v>563</v>
      </c>
      <c r="I1154" s="879" t="e">
        <f>VLOOKUP(H1148,'CNKT '!#REF!,15,0)</f>
        <v>#REF!</v>
      </c>
      <c r="J1154" s="826">
        <f>92.2*$B$2</f>
        <v>61610.806000000004</v>
      </c>
      <c r="K1154" s="823" t="e">
        <f t="shared" si="134"/>
        <v>#REF!</v>
      </c>
      <c r="L1154" s="818"/>
    </row>
    <row r="1155" spans="1:12" s="31" customFormat="1" ht="17.25" customHeight="1">
      <c r="A1155" s="821" t="s">
        <v>496</v>
      </c>
      <c r="B1155" s="980" t="s">
        <v>500</v>
      </c>
      <c r="C1155" s="879" t="e">
        <f>VLOOKUP(B1148,'CNKT '!#REF!,16,0)</f>
        <v>#REF!</v>
      </c>
      <c r="D1155" s="825">
        <f>153.8*$B$2</f>
        <v>102773.774</v>
      </c>
      <c r="E1155" s="823" t="e">
        <f t="shared" si="133"/>
        <v>#REF!</v>
      </c>
      <c r="F1155" s="882"/>
      <c r="G1155" s="821" t="s">
        <v>496</v>
      </c>
      <c r="H1155" s="980" t="s">
        <v>500</v>
      </c>
      <c r="I1155" s="879" t="e">
        <f>VLOOKUP(H1148,'CNKT '!#REF!,16,0)</f>
        <v>#REF!</v>
      </c>
      <c r="J1155" s="825">
        <f>153.8*$B$2</f>
        <v>102773.774</v>
      </c>
      <c r="K1155" s="823" t="e">
        <f t="shared" si="134"/>
        <v>#REF!</v>
      </c>
      <c r="L1155" s="818"/>
    </row>
    <row r="1156" spans="1:12" s="31" customFormat="1" ht="17.25" customHeight="1">
      <c r="A1156" s="821" t="s">
        <v>455</v>
      </c>
      <c r="B1156" s="980" t="s">
        <v>501</v>
      </c>
      <c r="C1156" s="879" t="e">
        <f>VLOOKUP(B1148,'CNKT '!#REF!,18,0)</f>
        <v>#REF!</v>
      </c>
      <c r="D1156" s="825">
        <v>10000</v>
      </c>
      <c r="E1156" s="823" t="e">
        <f>C1156*D1156</f>
        <v>#REF!</v>
      </c>
      <c r="F1156" s="882"/>
      <c r="G1156" s="821" t="s">
        <v>455</v>
      </c>
      <c r="H1156" s="980" t="s">
        <v>501</v>
      </c>
      <c r="I1156" s="879" t="e">
        <f>VLOOKUP(H1148,'CNKT '!#REF!,18,0)</f>
        <v>#REF!</v>
      </c>
      <c r="J1156" s="825">
        <v>10000</v>
      </c>
      <c r="K1156" s="823" t="e">
        <f>I1156*J1156</f>
        <v>#REF!</v>
      </c>
      <c r="L1156" s="818"/>
    </row>
    <row r="1157" spans="1:12" s="31" customFormat="1" ht="17.25" customHeight="1">
      <c r="A1157" s="821" t="s">
        <v>455</v>
      </c>
      <c r="B1157" s="980" t="s">
        <v>501</v>
      </c>
      <c r="C1157" s="879" t="e">
        <f>VLOOKUP(B1148,'CNKT '!#REF!,19,0)</f>
        <v>#REF!</v>
      </c>
      <c r="D1157" s="825">
        <v>20000</v>
      </c>
      <c r="E1157" s="823" t="e">
        <f>C1157*D1157</f>
        <v>#REF!</v>
      </c>
      <c r="F1157" s="882"/>
      <c r="G1157" s="821" t="s">
        <v>455</v>
      </c>
      <c r="H1157" s="980" t="s">
        <v>501</v>
      </c>
      <c r="I1157" s="879" t="e">
        <f>VLOOKUP(H1148,'CNKT '!#REF!,19,0)</f>
        <v>#REF!</v>
      </c>
      <c r="J1157" s="825">
        <v>20000</v>
      </c>
      <c r="K1157" s="823" t="e">
        <f>I1157*J1157</f>
        <v>#REF!</v>
      </c>
      <c r="L1157" s="818"/>
    </row>
    <row r="1158" spans="1:12" s="31" customFormat="1" ht="17.25" customHeight="1">
      <c r="A1158" s="821" t="s">
        <v>517</v>
      </c>
      <c r="B1158" s="980" t="s">
        <v>519</v>
      </c>
      <c r="C1158" s="879"/>
      <c r="D1158" s="825"/>
      <c r="E1158" s="823"/>
      <c r="F1158" s="882"/>
      <c r="G1158" s="821" t="s">
        <v>517</v>
      </c>
      <c r="H1158" s="980" t="s">
        <v>519</v>
      </c>
      <c r="I1158" s="879"/>
      <c r="J1158" s="825"/>
      <c r="K1158" s="823"/>
      <c r="L1158" s="818"/>
    </row>
    <row r="1159" spans="1:12" s="31" customFormat="1" ht="17.25" customHeight="1">
      <c r="A1159" s="827" t="s">
        <v>81</v>
      </c>
      <c r="B1159" s="981" t="s">
        <v>564</v>
      </c>
      <c r="C1159" s="828"/>
      <c r="D1159" s="829"/>
      <c r="E1159" s="828"/>
      <c r="F1159" s="882"/>
      <c r="G1159" s="827" t="s">
        <v>81</v>
      </c>
      <c r="H1159" s="981" t="s">
        <v>564</v>
      </c>
      <c r="I1159" s="828"/>
      <c r="J1159" s="829"/>
      <c r="K1159" s="828"/>
      <c r="L1159" s="818"/>
    </row>
    <row r="1160" spans="1:12" s="31" customFormat="1" ht="17.25" customHeight="1">
      <c r="A1160" s="830" t="s">
        <v>82</v>
      </c>
      <c r="B1160" s="982" t="s">
        <v>565</v>
      </c>
      <c r="C1160" s="828"/>
      <c r="D1160" s="828"/>
      <c r="E1160" s="828"/>
      <c r="F1160" s="882"/>
      <c r="G1160" s="830" t="s">
        <v>82</v>
      </c>
      <c r="H1160" s="982" t="s">
        <v>565</v>
      </c>
      <c r="I1160" s="828"/>
      <c r="J1160" s="828"/>
      <c r="K1160" s="828"/>
      <c r="L1160" s="818"/>
    </row>
    <row r="1161" spans="1:12" s="31" customFormat="1" ht="17.25" customHeight="1">
      <c r="A1161" s="830" t="s">
        <v>83</v>
      </c>
      <c r="B1161" s="983" t="s">
        <v>566</v>
      </c>
      <c r="C1161" s="828"/>
      <c r="D1161" s="828"/>
      <c r="E1161" s="823">
        <f>SUM(E1160)</f>
        <v>0</v>
      </c>
      <c r="F1161" s="882"/>
      <c r="G1161" s="830" t="s">
        <v>83</v>
      </c>
      <c r="H1161" s="983" t="s">
        <v>566</v>
      </c>
      <c r="I1161" s="828"/>
      <c r="J1161" s="828"/>
      <c r="K1161" s="823">
        <f>SUM(K1160)</f>
        <v>0</v>
      </c>
      <c r="L1161" s="818"/>
    </row>
    <row r="1162" spans="1:12" s="31" customFormat="1" ht="17.25" customHeight="1">
      <c r="A1162" s="832" t="s">
        <v>84</v>
      </c>
      <c r="B1162" s="984" t="s">
        <v>438</v>
      </c>
      <c r="C1162" s="833"/>
      <c r="D1162" s="833"/>
      <c r="E1162" s="833" t="e">
        <f>(E1150+E1151+E1152+E1153+E1154+E1155+E1156+E1157+E1158)-E1161</f>
        <v>#REF!</v>
      </c>
      <c r="F1162" s="882"/>
      <c r="G1162" s="832" t="s">
        <v>84</v>
      </c>
      <c r="H1162" s="984" t="s">
        <v>438</v>
      </c>
      <c r="I1162" s="833"/>
      <c r="J1162" s="833"/>
      <c r="K1162" s="833" t="e">
        <f>(K1150+K1151+K1152+K1153+K1154+K1155+K1156+K1157+K1158)-K1161</f>
        <v>#REF!</v>
      </c>
      <c r="L1162" s="835" t="e">
        <f>E1162+K1162</f>
        <v>#REF!</v>
      </c>
    </row>
    <row r="1163" spans="1:12" s="31" customFormat="1" ht="17.25" customHeight="1">
      <c r="A1163" s="1616"/>
      <c r="B1163" s="1616"/>
      <c r="C1163" s="1616"/>
      <c r="D1163" s="1616"/>
      <c r="E1163" s="1616"/>
      <c r="F1163" s="873"/>
      <c r="G1163" s="1616"/>
      <c r="H1163" s="1616"/>
      <c r="I1163" s="1616"/>
      <c r="J1163" s="1616"/>
      <c r="K1163" s="874"/>
      <c r="L1163" s="818"/>
    </row>
    <row r="1164" spans="1:12" s="31" customFormat="1" ht="17.25" customHeight="1">
      <c r="A1164" s="895" t="str">
        <f>A1147</f>
        <v>LƯƠNG THÁNG 01/2025</v>
      </c>
      <c r="B1164" s="895"/>
      <c r="C1164" s="895"/>
      <c r="D1164" s="895"/>
      <c r="E1164" s="895" t="e">
        <f>VLOOKUP(B1165,'CNKT '!#REF!,26,0)</f>
        <v>#REF!</v>
      </c>
      <c r="F1164" s="873"/>
      <c r="G1164" s="895" t="str">
        <f>A1164</f>
        <v>LƯƠNG THÁNG 01/2025</v>
      </c>
      <c r="H1164" s="895"/>
      <c r="I1164" s="895"/>
      <c r="J1164" s="895"/>
      <c r="K1164" s="895" t="e">
        <f>VLOOKUP(H1165,'CNKT '!#REF!,26,0)</f>
        <v>#REF!</v>
      </c>
      <c r="L1164" s="818"/>
    </row>
    <row r="1165" spans="1:12" s="31" customFormat="1" ht="17.25" customHeight="1">
      <c r="A1165" s="837" t="s">
        <v>17</v>
      </c>
      <c r="B1165" s="976" t="e">
        <f>'CNKT '!#REF!</f>
        <v>#REF!</v>
      </c>
      <c r="C1165" s="822"/>
      <c r="D1165" s="976" t="s">
        <v>398</v>
      </c>
      <c r="E1165" s="976" t="s">
        <v>20</v>
      </c>
      <c r="F1165" s="882"/>
      <c r="G1165" s="837" t="s">
        <v>17</v>
      </c>
      <c r="H1165" s="976" t="e">
        <f>'CNKT '!#REF!</f>
        <v>#REF!</v>
      </c>
      <c r="I1165" s="822"/>
      <c r="J1165" s="976" t="s">
        <v>398</v>
      </c>
      <c r="K1165" s="976" t="s">
        <v>20</v>
      </c>
      <c r="L1165" s="818"/>
    </row>
    <row r="1166" spans="1:12" s="31" customFormat="1" ht="17.25" customHeight="1">
      <c r="A1166" s="821" t="s">
        <v>399</v>
      </c>
      <c r="B1166" s="978" t="s">
        <v>559</v>
      </c>
      <c r="C1166" s="822" t="e">
        <f>VLOOKUP(B1165,'BTH mủ tạp'!#REF!,36,0)</f>
        <v>#REF!</v>
      </c>
      <c r="D1166" s="823"/>
      <c r="E1166" s="823"/>
      <c r="F1166" s="882"/>
      <c r="G1166" s="821" t="s">
        <v>399</v>
      </c>
      <c r="H1166" s="978" t="s">
        <v>559</v>
      </c>
      <c r="I1166" s="822" t="e">
        <f>VLOOKUP(H1165,'BTH mủ tạp'!#REF!,36,0)</f>
        <v>#REF!</v>
      </c>
      <c r="J1166" s="823"/>
      <c r="K1166" s="823"/>
      <c r="L1166" s="818"/>
    </row>
    <row r="1167" spans="1:12" s="31" customFormat="1" ht="17.25" customHeight="1">
      <c r="A1167" s="821" t="s">
        <v>79</v>
      </c>
      <c r="B1167" s="979" t="s">
        <v>432</v>
      </c>
      <c r="C1167" s="824" t="e">
        <f>VLOOKUP(B1165,'CNKT '!#REF!,3,0)</f>
        <v>#REF!</v>
      </c>
      <c r="D1167" s="825">
        <v>25000</v>
      </c>
      <c r="E1167" s="823" t="e">
        <f t="shared" ref="E1167:E1172" si="135">C1167*D1167</f>
        <v>#REF!</v>
      </c>
      <c r="F1167" s="882"/>
      <c r="G1167" s="821" t="s">
        <v>79</v>
      </c>
      <c r="H1167" s="979" t="s">
        <v>432</v>
      </c>
      <c r="I1167" s="824" t="e">
        <f>VLOOKUP(H1165,'CNKT '!#REF!,3,0)</f>
        <v>#REF!</v>
      </c>
      <c r="J1167" s="825">
        <v>25000</v>
      </c>
      <c r="K1167" s="823" t="e">
        <f t="shared" ref="K1167:K1172" si="136">I1167*J1167</f>
        <v>#REF!</v>
      </c>
      <c r="L1167" s="818"/>
    </row>
    <row r="1168" spans="1:12" s="31" customFormat="1" ht="17.25" customHeight="1">
      <c r="A1168" s="821" t="s">
        <v>310</v>
      </c>
      <c r="B1168" s="980" t="s">
        <v>560</v>
      </c>
      <c r="C1168" s="879" t="e">
        <f>VLOOKUP(B1165,'CNKT '!#REF!,11,0)</f>
        <v>#REF!</v>
      </c>
      <c r="D1168" s="826">
        <f>46.1*$B$2</f>
        <v>30805.403000000002</v>
      </c>
      <c r="E1168" s="823" t="e">
        <f t="shared" si="135"/>
        <v>#REF!</v>
      </c>
      <c r="F1168" s="882"/>
      <c r="G1168" s="821" t="s">
        <v>310</v>
      </c>
      <c r="H1168" s="980" t="s">
        <v>560</v>
      </c>
      <c r="I1168" s="879" t="e">
        <f>VLOOKUP(H1165,'CNKT '!#REF!,11,0)</f>
        <v>#REF!</v>
      </c>
      <c r="J1168" s="826">
        <f>46.1*$B$2</f>
        <v>30805.403000000002</v>
      </c>
      <c r="K1168" s="823" t="e">
        <f t="shared" si="136"/>
        <v>#REF!</v>
      </c>
      <c r="L1168" s="818"/>
    </row>
    <row r="1169" spans="1:12" s="31" customFormat="1" ht="17.25" customHeight="1">
      <c r="A1169" s="821" t="s">
        <v>401</v>
      </c>
      <c r="B1169" s="980" t="s">
        <v>561</v>
      </c>
      <c r="C1169" s="879" t="e">
        <f>VLOOKUP(B1165,'CNKT '!#REF!,12,0)</f>
        <v>#REF!</v>
      </c>
      <c r="D1169" s="825">
        <f>76.9*$B$2</f>
        <v>51386.887000000002</v>
      </c>
      <c r="E1169" s="823" t="e">
        <f t="shared" si="135"/>
        <v>#REF!</v>
      </c>
      <c r="F1169" s="882"/>
      <c r="G1169" s="821" t="s">
        <v>401</v>
      </c>
      <c r="H1169" s="980" t="s">
        <v>561</v>
      </c>
      <c r="I1169" s="879" t="e">
        <f>VLOOKUP(H1165,'CNKT '!#REF!,12,0)</f>
        <v>#REF!</v>
      </c>
      <c r="J1169" s="825">
        <f>76.9*$B$2</f>
        <v>51386.887000000002</v>
      </c>
      <c r="K1169" s="823" t="e">
        <f t="shared" si="136"/>
        <v>#REF!</v>
      </c>
      <c r="L1169" s="818"/>
    </row>
    <row r="1170" spans="1:12" s="31" customFormat="1" ht="17.25" customHeight="1">
      <c r="A1170" s="821" t="s">
        <v>80</v>
      </c>
      <c r="B1170" s="980" t="s">
        <v>562</v>
      </c>
      <c r="C1170" s="879" t="e">
        <f>VLOOKUP(B1165,'CNKT '!#REF!,8,0)</f>
        <v>#REF!</v>
      </c>
      <c r="D1170" s="825" t="e">
        <f>IF(C1166="A",6.1,IF(C1166="B",5.8,IF(C1166="C",5.5,IF(C1166="C.",5.5,IF(C1166="D",5.2)))))*$B$2</f>
        <v>#REF!</v>
      </c>
      <c r="E1170" s="823" t="e">
        <f t="shared" si="135"/>
        <v>#REF!</v>
      </c>
      <c r="F1170" s="882"/>
      <c r="G1170" s="821" t="s">
        <v>80</v>
      </c>
      <c r="H1170" s="980" t="s">
        <v>562</v>
      </c>
      <c r="I1170" s="879" t="e">
        <f>VLOOKUP(H1165,'CNKT '!#REF!,8,0)</f>
        <v>#REF!</v>
      </c>
      <c r="J1170" s="825" t="e">
        <f>IF(I1166="A",6.1,IF(I1166="B",5.8,IF(I1166="C",5.5,IF(I1166="C.",5.5,IF(I1166="D",5.2)))))*$B$2</f>
        <v>#REF!</v>
      </c>
      <c r="K1170" s="823" t="e">
        <f t="shared" si="136"/>
        <v>#REF!</v>
      </c>
      <c r="L1170" s="818"/>
    </row>
    <row r="1171" spans="1:12" s="31" customFormat="1" ht="17.25" customHeight="1">
      <c r="A1171" s="821" t="s">
        <v>495</v>
      </c>
      <c r="B1171" s="980" t="s">
        <v>563</v>
      </c>
      <c r="C1171" s="879" t="e">
        <f>VLOOKUP(B1165,'CNKT '!#REF!,15,0)</f>
        <v>#REF!</v>
      </c>
      <c r="D1171" s="826">
        <f>92.2*$B$2</f>
        <v>61610.806000000004</v>
      </c>
      <c r="E1171" s="823" t="e">
        <f t="shared" si="135"/>
        <v>#REF!</v>
      </c>
      <c r="F1171" s="882"/>
      <c r="G1171" s="821" t="s">
        <v>495</v>
      </c>
      <c r="H1171" s="980" t="s">
        <v>563</v>
      </c>
      <c r="I1171" s="879" t="e">
        <f>VLOOKUP(H1165,'CNKT '!#REF!,15,0)</f>
        <v>#REF!</v>
      </c>
      <c r="J1171" s="826">
        <f>92.2*$B$2</f>
        <v>61610.806000000004</v>
      </c>
      <c r="K1171" s="823" t="e">
        <f t="shared" si="136"/>
        <v>#REF!</v>
      </c>
      <c r="L1171" s="818"/>
    </row>
    <row r="1172" spans="1:12" s="31" customFormat="1" ht="17.25" customHeight="1">
      <c r="A1172" s="821" t="s">
        <v>496</v>
      </c>
      <c r="B1172" s="980" t="s">
        <v>500</v>
      </c>
      <c r="C1172" s="879" t="e">
        <f>VLOOKUP(B1165,'CNKT '!#REF!,16,0)</f>
        <v>#REF!</v>
      </c>
      <c r="D1172" s="825">
        <f>153.8*$B$2</f>
        <v>102773.774</v>
      </c>
      <c r="E1172" s="823" t="e">
        <f t="shared" si="135"/>
        <v>#REF!</v>
      </c>
      <c r="F1172" s="882"/>
      <c r="G1172" s="821" t="s">
        <v>496</v>
      </c>
      <c r="H1172" s="980" t="s">
        <v>500</v>
      </c>
      <c r="I1172" s="879" t="e">
        <f>VLOOKUP(H1165,'CNKT '!#REF!,16,0)</f>
        <v>#REF!</v>
      </c>
      <c r="J1172" s="825">
        <f>153.8*$B$2</f>
        <v>102773.774</v>
      </c>
      <c r="K1172" s="823" t="e">
        <f t="shared" si="136"/>
        <v>#REF!</v>
      </c>
      <c r="L1172" s="818"/>
    </row>
    <row r="1173" spans="1:12" s="31" customFormat="1" ht="17.25" customHeight="1">
      <c r="A1173" s="821" t="s">
        <v>455</v>
      </c>
      <c r="B1173" s="980" t="s">
        <v>501</v>
      </c>
      <c r="C1173" s="879" t="e">
        <f>VLOOKUP(B1165,'CNKT '!#REF!,18,0)</f>
        <v>#REF!</v>
      </c>
      <c r="D1173" s="825">
        <v>10000</v>
      </c>
      <c r="E1173" s="823" t="e">
        <f>C1173*D1173</f>
        <v>#REF!</v>
      </c>
      <c r="F1173" s="882"/>
      <c r="G1173" s="821" t="s">
        <v>455</v>
      </c>
      <c r="H1173" s="980" t="s">
        <v>501</v>
      </c>
      <c r="I1173" s="879" t="e">
        <f>VLOOKUP(H1165,'CNKT '!#REF!,18,0)</f>
        <v>#REF!</v>
      </c>
      <c r="J1173" s="825">
        <v>10000</v>
      </c>
      <c r="K1173" s="823" t="e">
        <f>I1173*J1173</f>
        <v>#REF!</v>
      </c>
      <c r="L1173" s="818"/>
    </row>
    <row r="1174" spans="1:12" s="31" customFormat="1" ht="17.25" customHeight="1">
      <c r="A1174" s="821" t="s">
        <v>455</v>
      </c>
      <c r="B1174" s="980" t="s">
        <v>501</v>
      </c>
      <c r="C1174" s="879" t="e">
        <f>VLOOKUP(B1165,'CNKT '!#REF!,19,0)</f>
        <v>#REF!</v>
      </c>
      <c r="D1174" s="825">
        <v>20000</v>
      </c>
      <c r="E1174" s="823" t="e">
        <f>C1174*D1174</f>
        <v>#REF!</v>
      </c>
      <c r="F1174" s="882"/>
      <c r="G1174" s="821" t="s">
        <v>455</v>
      </c>
      <c r="H1174" s="980" t="s">
        <v>501</v>
      </c>
      <c r="I1174" s="879" t="e">
        <f>VLOOKUP(H1165,'CNKT '!#REF!,19,0)</f>
        <v>#REF!</v>
      </c>
      <c r="J1174" s="825">
        <v>20000</v>
      </c>
      <c r="K1174" s="823" t="e">
        <f>I1174*J1174</f>
        <v>#REF!</v>
      </c>
      <c r="L1174" s="818"/>
    </row>
    <row r="1175" spans="1:12" s="31" customFormat="1" ht="17.25" customHeight="1">
      <c r="A1175" s="821" t="s">
        <v>517</v>
      </c>
      <c r="B1175" s="980" t="s">
        <v>519</v>
      </c>
      <c r="C1175" s="879"/>
      <c r="D1175" s="825"/>
      <c r="E1175" s="823"/>
      <c r="F1175" s="882"/>
      <c r="G1175" s="821" t="s">
        <v>517</v>
      </c>
      <c r="H1175" s="980" t="s">
        <v>519</v>
      </c>
      <c r="I1175" s="879"/>
      <c r="J1175" s="825"/>
      <c r="K1175" s="823"/>
      <c r="L1175" s="818"/>
    </row>
    <row r="1176" spans="1:12" s="31" customFormat="1" ht="17.25" customHeight="1">
      <c r="A1176" s="827" t="s">
        <v>81</v>
      </c>
      <c r="B1176" s="981" t="s">
        <v>564</v>
      </c>
      <c r="C1176" s="828"/>
      <c r="D1176" s="829"/>
      <c r="E1176" s="828"/>
      <c r="F1176" s="882"/>
      <c r="G1176" s="827" t="s">
        <v>81</v>
      </c>
      <c r="H1176" s="981" t="s">
        <v>564</v>
      </c>
      <c r="I1176" s="828"/>
      <c r="J1176" s="829"/>
      <c r="K1176" s="828"/>
      <c r="L1176" s="818"/>
    </row>
    <row r="1177" spans="1:12" s="31" customFormat="1" ht="17.25" customHeight="1">
      <c r="A1177" s="830" t="s">
        <v>82</v>
      </c>
      <c r="B1177" s="982" t="s">
        <v>565</v>
      </c>
      <c r="C1177" s="828"/>
      <c r="D1177" s="828"/>
      <c r="E1177" s="828"/>
      <c r="F1177" s="882"/>
      <c r="G1177" s="830" t="s">
        <v>82</v>
      </c>
      <c r="H1177" s="982" t="s">
        <v>565</v>
      </c>
      <c r="I1177" s="828"/>
      <c r="J1177" s="828"/>
      <c r="K1177" s="828"/>
      <c r="L1177" s="818"/>
    </row>
    <row r="1178" spans="1:12" s="31" customFormat="1" ht="17.25" customHeight="1">
      <c r="A1178" s="830" t="s">
        <v>83</v>
      </c>
      <c r="B1178" s="983" t="s">
        <v>566</v>
      </c>
      <c r="C1178" s="828"/>
      <c r="D1178" s="828"/>
      <c r="E1178" s="823">
        <f>SUM(E1177)</f>
        <v>0</v>
      </c>
      <c r="F1178" s="882"/>
      <c r="G1178" s="830" t="s">
        <v>83</v>
      </c>
      <c r="H1178" s="983" t="s">
        <v>566</v>
      </c>
      <c r="I1178" s="828"/>
      <c r="J1178" s="828"/>
      <c r="K1178" s="823">
        <f>SUM(K1177)</f>
        <v>0</v>
      </c>
      <c r="L1178" s="818"/>
    </row>
    <row r="1179" spans="1:12" s="31" customFormat="1" ht="17.25" customHeight="1">
      <c r="A1179" s="832" t="s">
        <v>84</v>
      </c>
      <c r="B1179" s="984" t="s">
        <v>438</v>
      </c>
      <c r="C1179" s="833"/>
      <c r="D1179" s="833"/>
      <c r="E1179" s="833" t="e">
        <f>(E1167+E1168+E1169+E1170+E1171+E1172+E1173+E1174+E1175)-E1178</f>
        <v>#REF!</v>
      </c>
      <c r="F1179" s="882"/>
      <c r="G1179" s="832" t="s">
        <v>84</v>
      </c>
      <c r="H1179" s="984" t="s">
        <v>438</v>
      </c>
      <c r="I1179" s="833"/>
      <c r="J1179" s="833"/>
      <c r="K1179" s="833" t="e">
        <f>(K1167+K1168+K1169+K1170+K1171+K1172+K1173+K1174+K1175)-K1178</f>
        <v>#REF!</v>
      </c>
      <c r="L1179" s="835" t="e">
        <f>E1179+K1179</f>
        <v>#REF!</v>
      </c>
    </row>
    <row r="1180" spans="1:12" s="31" customFormat="1" ht="9" customHeight="1">
      <c r="A1180" s="1616"/>
      <c r="B1180" s="1616"/>
      <c r="C1180" s="1616"/>
      <c r="D1180" s="1616"/>
      <c r="E1180" s="1616"/>
      <c r="F1180" s="873"/>
      <c r="G1180" s="1616"/>
      <c r="H1180" s="1616"/>
      <c r="I1180" s="1616"/>
      <c r="J1180" s="1616"/>
      <c r="K1180" s="874"/>
      <c r="L1180" s="818"/>
    </row>
    <row r="1181" spans="1:12" s="31" customFormat="1" ht="17.25" customHeight="1">
      <c r="A1181" s="895" t="str">
        <f>A1164</f>
        <v>LƯƠNG THÁNG 01/2025</v>
      </c>
      <c r="B1181" s="895"/>
      <c r="C1181" s="895"/>
      <c r="D1181" s="895"/>
      <c r="E1181" s="895" t="e">
        <f>VLOOKUP(B1182,'CNKT '!#REF!,26,0)</f>
        <v>#REF!</v>
      </c>
      <c r="F1181" s="873"/>
      <c r="G1181" s="895" t="str">
        <f>A1181</f>
        <v>LƯƠNG THÁNG 01/2025</v>
      </c>
      <c r="H1181" s="895"/>
      <c r="I1181" s="895"/>
      <c r="J1181" s="895"/>
      <c r="K1181" s="895" t="e">
        <f>VLOOKUP(H1182,'CNKT '!#REF!,26,0)</f>
        <v>#REF!</v>
      </c>
      <c r="L1181" s="818"/>
    </row>
    <row r="1182" spans="1:12" s="31" customFormat="1" ht="17.25" customHeight="1">
      <c r="A1182" s="837" t="s">
        <v>17</v>
      </c>
      <c r="B1182" s="976" t="e">
        <f>'CNKT '!#REF!</f>
        <v>#REF!</v>
      </c>
      <c r="C1182" s="822"/>
      <c r="D1182" s="976" t="s">
        <v>398</v>
      </c>
      <c r="E1182" s="976" t="s">
        <v>20</v>
      </c>
      <c r="F1182" s="882"/>
      <c r="G1182" s="837" t="s">
        <v>17</v>
      </c>
      <c r="H1182" s="976" t="e">
        <f>'CNKT '!#REF!</f>
        <v>#REF!</v>
      </c>
      <c r="I1182" s="822"/>
      <c r="J1182" s="976" t="s">
        <v>398</v>
      </c>
      <c r="K1182" s="976" t="s">
        <v>20</v>
      </c>
      <c r="L1182" s="818"/>
    </row>
    <row r="1183" spans="1:12" s="31" customFormat="1" ht="17.25" customHeight="1">
      <c r="A1183" s="821" t="s">
        <v>399</v>
      </c>
      <c r="B1183" s="978" t="s">
        <v>559</v>
      </c>
      <c r="C1183" s="822" t="e">
        <f>VLOOKUP(B1182,'BTH mủ tạp'!#REF!,36,0)</f>
        <v>#REF!</v>
      </c>
      <c r="D1183" s="823"/>
      <c r="E1183" s="823"/>
      <c r="F1183" s="882"/>
      <c r="G1183" s="821" t="s">
        <v>399</v>
      </c>
      <c r="H1183" s="978" t="s">
        <v>559</v>
      </c>
      <c r="I1183" s="822" t="e">
        <f>VLOOKUP(H1182,'BTH mủ tạp'!#REF!,36,0)</f>
        <v>#REF!</v>
      </c>
      <c r="J1183" s="823"/>
      <c r="K1183" s="823"/>
      <c r="L1183" s="818"/>
    </row>
    <row r="1184" spans="1:12" s="31" customFormat="1" ht="17.25" customHeight="1">
      <c r="A1184" s="821" t="s">
        <v>79</v>
      </c>
      <c r="B1184" s="979" t="s">
        <v>432</v>
      </c>
      <c r="C1184" s="824" t="e">
        <f>VLOOKUP(B1182,'CNKT '!#REF!,3,0)</f>
        <v>#REF!</v>
      </c>
      <c r="D1184" s="825">
        <v>25000</v>
      </c>
      <c r="E1184" s="823" t="e">
        <f t="shared" ref="E1184:E1189" si="137">C1184*D1184</f>
        <v>#REF!</v>
      </c>
      <c r="F1184" s="882"/>
      <c r="G1184" s="821" t="s">
        <v>79</v>
      </c>
      <c r="H1184" s="979" t="s">
        <v>432</v>
      </c>
      <c r="I1184" s="824" t="e">
        <f>VLOOKUP(H1182,'CNKT '!#REF!,3,0)</f>
        <v>#REF!</v>
      </c>
      <c r="J1184" s="825">
        <v>25000</v>
      </c>
      <c r="K1184" s="823" t="e">
        <f t="shared" ref="K1184:K1189" si="138">I1184*J1184</f>
        <v>#REF!</v>
      </c>
      <c r="L1184" s="818"/>
    </row>
    <row r="1185" spans="1:12" s="31" customFormat="1" ht="17.25" customHeight="1">
      <c r="A1185" s="821" t="s">
        <v>310</v>
      </c>
      <c r="B1185" s="980" t="s">
        <v>560</v>
      </c>
      <c r="C1185" s="879" t="e">
        <f>VLOOKUP(B1182,'CNKT '!#REF!,11,0)</f>
        <v>#REF!</v>
      </c>
      <c r="D1185" s="826">
        <f>46.1*$B$2</f>
        <v>30805.403000000002</v>
      </c>
      <c r="E1185" s="823" t="e">
        <f t="shared" si="137"/>
        <v>#REF!</v>
      </c>
      <c r="F1185" s="882"/>
      <c r="G1185" s="821" t="s">
        <v>310</v>
      </c>
      <c r="H1185" s="980" t="s">
        <v>560</v>
      </c>
      <c r="I1185" s="879" t="e">
        <f>VLOOKUP(H1182,'CNKT '!#REF!,11,0)</f>
        <v>#REF!</v>
      </c>
      <c r="J1185" s="826">
        <f>46.1*$B$2</f>
        <v>30805.403000000002</v>
      </c>
      <c r="K1185" s="823" t="e">
        <f t="shared" si="138"/>
        <v>#REF!</v>
      </c>
      <c r="L1185" s="818"/>
    </row>
    <row r="1186" spans="1:12" s="31" customFormat="1" ht="17.25" customHeight="1">
      <c r="A1186" s="821" t="s">
        <v>401</v>
      </c>
      <c r="B1186" s="980" t="s">
        <v>561</v>
      </c>
      <c r="C1186" s="879" t="e">
        <f>VLOOKUP(B1182,'CNKT '!#REF!,12,0)</f>
        <v>#REF!</v>
      </c>
      <c r="D1186" s="825">
        <f>76.9*$B$2</f>
        <v>51386.887000000002</v>
      </c>
      <c r="E1186" s="823" t="e">
        <f t="shared" si="137"/>
        <v>#REF!</v>
      </c>
      <c r="F1186" s="882"/>
      <c r="G1186" s="821" t="s">
        <v>401</v>
      </c>
      <c r="H1186" s="980" t="s">
        <v>561</v>
      </c>
      <c r="I1186" s="879" t="e">
        <f>VLOOKUP(H1182,'CNKT '!#REF!,12,0)</f>
        <v>#REF!</v>
      </c>
      <c r="J1186" s="825">
        <f>76.9*$B$2</f>
        <v>51386.887000000002</v>
      </c>
      <c r="K1186" s="823" t="e">
        <f t="shared" si="138"/>
        <v>#REF!</v>
      </c>
      <c r="L1186" s="818"/>
    </row>
    <row r="1187" spans="1:12" s="31" customFormat="1" ht="17.25" customHeight="1">
      <c r="A1187" s="821" t="s">
        <v>80</v>
      </c>
      <c r="B1187" s="980" t="s">
        <v>562</v>
      </c>
      <c r="C1187" s="879" t="e">
        <f>VLOOKUP(B1182,'CNKT '!#REF!,8,0)</f>
        <v>#REF!</v>
      </c>
      <c r="D1187" s="825" t="e">
        <f>IF(C1183="A",6.1,IF(C1183="B",5.8,IF(C1183="C",5.5,IF(C1183="C.",5.5,IF(C1183="D",5.2)))))*$B$2</f>
        <v>#REF!</v>
      </c>
      <c r="E1187" s="823" t="e">
        <f t="shared" si="137"/>
        <v>#REF!</v>
      </c>
      <c r="F1187" s="882"/>
      <c r="G1187" s="821" t="s">
        <v>80</v>
      </c>
      <c r="H1187" s="980" t="s">
        <v>562</v>
      </c>
      <c r="I1187" s="879" t="e">
        <f>VLOOKUP(H1182,'CNKT '!#REF!,8,0)</f>
        <v>#REF!</v>
      </c>
      <c r="J1187" s="825" t="e">
        <f>IF(I1183="A",6.1,IF(I1183="B",5.8,IF(I1183="C",5.5,IF(I1183="C.",5.5,IF(I1183="D",5.2)))))*$B$2</f>
        <v>#REF!</v>
      </c>
      <c r="K1187" s="823" t="e">
        <f t="shared" si="138"/>
        <v>#REF!</v>
      </c>
      <c r="L1187" s="818"/>
    </row>
    <row r="1188" spans="1:12" s="31" customFormat="1" ht="17.25" customHeight="1">
      <c r="A1188" s="821" t="s">
        <v>495</v>
      </c>
      <c r="B1188" s="980" t="s">
        <v>563</v>
      </c>
      <c r="C1188" s="879" t="e">
        <f>VLOOKUP(B1182,'CNKT '!#REF!,15,0)</f>
        <v>#REF!</v>
      </c>
      <c r="D1188" s="826">
        <f>92.2*$B$2</f>
        <v>61610.806000000004</v>
      </c>
      <c r="E1188" s="823" t="e">
        <f t="shared" si="137"/>
        <v>#REF!</v>
      </c>
      <c r="F1188" s="882"/>
      <c r="G1188" s="821" t="s">
        <v>495</v>
      </c>
      <c r="H1188" s="980" t="s">
        <v>563</v>
      </c>
      <c r="I1188" s="879" t="e">
        <f>VLOOKUP(H1182,'CNKT '!#REF!,15,0)</f>
        <v>#REF!</v>
      </c>
      <c r="J1188" s="826">
        <f>92.2*$B$2</f>
        <v>61610.806000000004</v>
      </c>
      <c r="K1188" s="823" t="e">
        <f t="shared" si="138"/>
        <v>#REF!</v>
      </c>
      <c r="L1188" s="818"/>
    </row>
    <row r="1189" spans="1:12" s="31" customFormat="1" ht="17.25" customHeight="1">
      <c r="A1189" s="821" t="s">
        <v>496</v>
      </c>
      <c r="B1189" s="980" t="s">
        <v>500</v>
      </c>
      <c r="C1189" s="879" t="e">
        <f>VLOOKUP(B1182,'CNKT '!#REF!,16,0)</f>
        <v>#REF!</v>
      </c>
      <c r="D1189" s="825">
        <f>153.8*$B$2</f>
        <v>102773.774</v>
      </c>
      <c r="E1189" s="823" t="e">
        <f t="shared" si="137"/>
        <v>#REF!</v>
      </c>
      <c r="F1189" s="882"/>
      <c r="G1189" s="821" t="s">
        <v>496</v>
      </c>
      <c r="H1189" s="980" t="s">
        <v>500</v>
      </c>
      <c r="I1189" s="879" t="e">
        <f>VLOOKUP(H1182,'CNKT '!#REF!,16,0)</f>
        <v>#REF!</v>
      </c>
      <c r="J1189" s="825">
        <f>153.8*$B$2</f>
        <v>102773.774</v>
      </c>
      <c r="K1189" s="823" t="e">
        <f t="shared" si="138"/>
        <v>#REF!</v>
      </c>
      <c r="L1189" s="818"/>
    </row>
    <row r="1190" spans="1:12" s="31" customFormat="1" ht="17.25" customHeight="1">
      <c r="A1190" s="821" t="s">
        <v>455</v>
      </c>
      <c r="B1190" s="980" t="s">
        <v>501</v>
      </c>
      <c r="C1190" s="879" t="e">
        <f>VLOOKUP(B1182,'CNKT '!#REF!,18,0)</f>
        <v>#REF!</v>
      </c>
      <c r="D1190" s="825">
        <v>10000</v>
      </c>
      <c r="E1190" s="823" t="e">
        <f>C1190*D1190</f>
        <v>#REF!</v>
      </c>
      <c r="F1190" s="882"/>
      <c r="G1190" s="821" t="s">
        <v>455</v>
      </c>
      <c r="H1190" s="980" t="s">
        <v>501</v>
      </c>
      <c r="I1190" s="879" t="e">
        <f>VLOOKUP(H1182,'CNKT '!#REF!,18,0)</f>
        <v>#REF!</v>
      </c>
      <c r="J1190" s="825">
        <v>10000</v>
      </c>
      <c r="K1190" s="823" t="e">
        <f>I1190*J1190</f>
        <v>#REF!</v>
      </c>
      <c r="L1190" s="818"/>
    </row>
    <row r="1191" spans="1:12" s="31" customFormat="1" ht="17.25" customHeight="1">
      <c r="A1191" s="821" t="s">
        <v>455</v>
      </c>
      <c r="B1191" s="980" t="s">
        <v>501</v>
      </c>
      <c r="C1191" s="879" t="e">
        <f>VLOOKUP(B1182,'CNKT '!#REF!,19,0)</f>
        <v>#REF!</v>
      </c>
      <c r="D1191" s="825">
        <v>20000</v>
      </c>
      <c r="E1191" s="823" t="e">
        <f>C1191*D1191</f>
        <v>#REF!</v>
      </c>
      <c r="F1191" s="882"/>
      <c r="G1191" s="821" t="s">
        <v>455</v>
      </c>
      <c r="H1191" s="980" t="s">
        <v>501</v>
      </c>
      <c r="I1191" s="879" t="e">
        <f>VLOOKUP(H1182,'CNKT '!#REF!,19,0)</f>
        <v>#REF!</v>
      </c>
      <c r="J1191" s="825">
        <v>20000</v>
      </c>
      <c r="K1191" s="823" t="e">
        <f>I1191*J1191</f>
        <v>#REF!</v>
      </c>
      <c r="L1191" s="818"/>
    </row>
    <row r="1192" spans="1:12" s="31" customFormat="1" ht="17.25" customHeight="1">
      <c r="A1192" s="821" t="s">
        <v>517</v>
      </c>
      <c r="B1192" s="980" t="s">
        <v>519</v>
      </c>
      <c r="C1192" s="879"/>
      <c r="D1192" s="825"/>
      <c r="E1192" s="823"/>
      <c r="F1192" s="882"/>
      <c r="G1192" s="821" t="s">
        <v>517</v>
      </c>
      <c r="H1192" s="980" t="s">
        <v>519</v>
      </c>
      <c r="I1192" s="879"/>
      <c r="J1192" s="825"/>
      <c r="K1192" s="823"/>
      <c r="L1192" s="818"/>
    </row>
    <row r="1193" spans="1:12" s="31" customFormat="1" ht="17.25" customHeight="1">
      <c r="A1193" s="827" t="s">
        <v>81</v>
      </c>
      <c r="B1193" s="981" t="s">
        <v>564</v>
      </c>
      <c r="C1193" s="828"/>
      <c r="D1193" s="829"/>
      <c r="E1193" s="828"/>
      <c r="F1193" s="882"/>
      <c r="G1193" s="827" t="s">
        <v>81</v>
      </c>
      <c r="H1193" s="981" t="s">
        <v>564</v>
      </c>
      <c r="I1193" s="828"/>
      <c r="J1193" s="829"/>
      <c r="K1193" s="828"/>
      <c r="L1193" s="818"/>
    </row>
    <row r="1194" spans="1:12" s="31" customFormat="1" ht="17.25" customHeight="1">
      <c r="A1194" s="830" t="s">
        <v>82</v>
      </c>
      <c r="B1194" s="982" t="s">
        <v>565</v>
      </c>
      <c r="C1194" s="828"/>
      <c r="D1194" s="828"/>
      <c r="E1194" s="828"/>
      <c r="F1194" s="882"/>
      <c r="G1194" s="830" t="s">
        <v>82</v>
      </c>
      <c r="H1194" s="982" t="s">
        <v>565</v>
      </c>
      <c r="I1194" s="828"/>
      <c r="J1194" s="828"/>
      <c r="K1194" s="828"/>
      <c r="L1194" s="818"/>
    </row>
    <row r="1195" spans="1:12" s="31" customFormat="1" ht="17.25" customHeight="1">
      <c r="A1195" s="830" t="s">
        <v>83</v>
      </c>
      <c r="B1195" s="983" t="s">
        <v>566</v>
      </c>
      <c r="C1195" s="828"/>
      <c r="D1195" s="828"/>
      <c r="E1195" s="823">
        <f>SUM(E1194)</f>
        <v>0</v>
      </c>
      <c r="F1195" s="882"/>
      <c r="G1195" s="830" t="s">
        <v>83</v>
      </c>
      <c r="H1195" s="983" t="s">
        <v>566</v>
      </c>
      <c r="I1195" s="828"/>
      <c r="J1195" s="828"/>
      <c r="K1195" s="823">
        <f>SUM(K1194)</f>
        <v>0</v>
      </c>
      <c r="L1195" s="818"/>
    </row>
    <row r="1196" spans="1:12" s="31" customFormat="1" ht="17.25" customHeight="1">
      <c r="A1196" s="832" t="s">
        <v>84</v>
      </c>
      <c r="B1196" s="984" t="s">
        <v>438</v>
      </c>
      <c r="C1196" s="833"/>
      <c r="D1196" s="833"/>
      <c r="E1196" s="833" t="e">
        <f>(E1184+E1185+E1186+E1187+E1188+E1189+E1190+E1191+E1192)-E1195</f>
        <v>#REF!</v>
      </c>
      <c r="F1196" s="882"/>
      <c r="G1196" s="832" t="s">
        <v>84</v>
      </c>
      <c r="H1196" s="984" t="s">
        <v>438</v>
      </c>
      <c r="I1196" s="833"/>
      <c r="J1196" s="833"/>
      <c r="K1196" s="833" t="e">
        <f>(K1184+K1185+K1186+K1187+K1188+K1189+K1190+K1191+K1192)-K1195</f>
        <v>#REF!</v>
      </c>
      <c r="L1196" s="835" t="e">
        <f>E1196+K1196</f>
        <v>#REF!</v>
      </c>
    </row>
    <row r="1197" spans="1:12" s="31" customFormat="1" ht="69" customHeight="1">
      <c r="A1197" s="1616"/>
      <c r="B1197" s="1616"/>
      <c r="C1197" s="1616"/>
      <c r="D1197" s="1616"/>
      <c r="E1197" s="1616"/>
      <c r="F1197" s="873"/>
      <c r="G1197" s="1616"/>
      <c r="H1197" s="1616"/>
      <c r="I1197" s="1616"/>
      <c r="J1197" s="1616"/>
      <c r="K1197" s="874"/>
      <c r="L1197" s="818"/>
    </row>
    <row r="1198" spans="1:12" s="31" customFormat="1" ht="17.25" customHeight="1">
      <c r="A1198" s="895" t="str">
        <f>A1181</f>
        <v>LƯƠNG THÁNG 01/2025</v>
      </c>
      <c r="B1198" s="895"/>
      <c r="C1198" s="895"/>
      <c r="D1198" s="895"/>
      <c r="E1198" s="895" t="e">
        <f>VLOOKUP(B1199,'CNKT '!#REF!,26,0)</f>
        <v>#REF!</v>
      </c>
      <c r="F1198" s="873"/>
      <c r="G1198" s="895" t="str">
        <f>A1198</f>
        <v>LƯƠNG THÁNG 01/2025</v>
      </c>
      <c r="H1198" s="895"/>
      <c r="I1198" s="895"/>
      <c r="J1198" s="895"/>
      <c r="K1198" s="895" t="e">
        <f>VLOOKUP(H1199,'CNKT '!#REF!,26,0)</f>
        <v>#REF!</v>
      </c>
      <c r="L1198" s="818"/>
    </row>
    <row r="1199" spans="1:12" s="31" customFormat="1" ht="17.25" customHeight="1">
      <c r="A1199" s="837" t="s">
        <v>17</v>
      </c>
      <c r="B1199" s="976" t="e">
        <f>'CNKT '!#REF!</f>
        <v>#REF!</v>
      </c>
      <c r="C1199" s="822"/>
      <c r="D1199" s="976" t="s">
        <v>398</v>
      </c>
      <c r="E1199" s="976" t="s">
        <v>20</v>
      </c>
      <c r="F1199" s="882"/>
      <c r="G1199" s="837" t="s">
        <v>17</v>
      </c>
      <c r="H1199" s="976" t="e">
        <f>'CNKT '!#REF!</f>
        <v>#REF!</v>
      </c>
      <c r="I1199" s="822"/>
      <c r="J1199" s="976" t="s">
        <v>398</v>
      </c>
      <c r="K1199" s="976" t="s">
        <v>20</v>
      </c>
      <c r="L1199" s="818"/>
    </row>
    <row r="1200" spans="1:12" s="31" customFormat="1" ht="17.25" customHeight="1">
      <c r="A1200" s="821" t="s">
        <v>399</v>
      </c>
      <c r="B1200" s="978" t="s">
        <v>559</v>
      </c>
      <c r="C1200" s="822" t="e">
        <f>VLOOKUP(B1199,'BTH mủ tạp'!#REF!,36,0)</f>
        <v>#REF!</v>
      </c>
      <c r="D1200" s="823"/>
      <c r="E1200" s="823"/>
      <c r="F1200" s="882"/>
      <c r="G1200" s="821" t="s">
        <v>399</v>
      </c>
      <c r="H1200" s="978" t="s">
        <v>559</v>
      </c>
      <c r="I1200" s="822" t="e">
        <f>VLOOKUP(H1199,'BTH mủ tạp'!#REF!,36,0)</f>
        <v>#REF!</v>
      </c>
      <c r="J1200" s="823"/>
      <c r="K1200" s="823"/>
      <c r="L1200" s="818"/>
    </row>
    <row r="1201" spans="1:12" s="31" customFormat="1" ht="17.25" customHeight="1">
      <c r="A1201" s="821" t="s">
        <v>79</v>
      </c>
      <c r="B1201" s="979" t="s">
        <v>432</v>
      </c>
      <c r="C1201" s="824" t="e">
        <f>VLOOKUP(B1199,'CNKT '!#REF!,3,0)</f>
        <v>#REF!</v>
      </c>
      <c r="D1201" s="825">
        <v>25000</v>
      </c>
      <c r="E1201" s="823" t="e">
        <f t="shared" ref="E1201:E1206" si="139">C1201*D1201</f>
        <v>#REF!</v>
      </c>
      <c r="F1201" s="882"/>
      <c r="G1201" s="821" t="s">
        <v>79</v>
      </c>
      <c r="H1201" s="979" t="s">
        <v>432</v>
      </c>
      <c r="I1201" s="824" t="e">
        <f>VLOOKUP(H1199,'CNKT '!#REF!,3,0)</f>
        <v>#REF!</v>
      </c>
      <c r="J1201" s="825">
        <v>25000</v>
      </c>
      <c r="K1201" s="823" t="e">
        <f t="shared" ref="K1201:K1206" si="140">I1201*J1201</f>
        <v>#REF!</v>
      </c>
      <c r="L1201" s="818"/>
    </row>
    <row r="1202" spans="1:12" s="31" customFormat="1" ht="17.25" customHeight="1">
      <c r="A1202" s="821" t="s">
        <v>310</v>
      </c>
      <c r="B1202" s="980" t="s">
        <v>560</v>
      </c>
      <c r="C1202" s="879" t="e">
        <f>VLOOKUP(B1199,'CNKT '!#REF!,11,0)</f>
        <v>#REF!</v>
      </c>
      <c r="D1202" s="826">
        <f>46.1*$B$2</f>
        <v>30805.403000000002</v>
      </c>
      <c r="E1202" s="823" t="e">
        <f t="shared" si="139"/>
        <v>#REF!</v>
      </c>
      <c r="F1202" s="882"/>
      <c r="G1202" s="821" t="s">
        <v>310</v>
      </c>
      <c r="H1202" s="980" t="s">
        <v>560</v>
      </c>
      <c r="I1202" s="879" t="e">
        <f>VLOOKUP(H1199,'CNKT '!#REF!,11,0)</f>
        <v>#REF!</v>
      </c>
      <c r="J1202" s="826">
        <f>46.1*$B$2</f>
        <v>30805.403000000002</v>
      </c>
      <c r="K1202" s="823" t="e">
        <f t="shared" si="140"/>
        <v>#REF!</v>
      </c>
      <c r="L1202" s="818"/>
    </row>
    <row r="1203" spans="1:12" s="31" customFormat="1" ht="17.25" customHeight="1">
      <c r="A1203" s="821" t="s">
        <v>401</v>
      </c>
      <c r="B1203" s="980" t="s">
        <v>561</v>
      </c>
      <c r="C1203" s="879" t="e">
        <f>VLOOKUP(B1199,'CNKT '!#REF!,12,0)</f>
        <v>#REF!</v>
      </c>
      <c r="D1203" s="825">
        <f>76.9*$B$2</f>
        <v>51386.887000000002</v>
      </c>
      <c r="E1203" s="823" t="e">
        <f t="shared" si="139"/>
        <v>#REF!</v>
      </c>
      <c r="F1203" s="882"/>
      <c r="G1203" s="821" t="s">
        <v>401</v>
      </c>
      <c r="H1203" s="980" t="s">
        <v>561</v>
      </c>
      <c r="I1203" s="879" t="e">
        <f>VLOOKUP(H1199,'CNKT '!#REF!,12,0)</f>
        <v>#REF!</v>
      </c>
      <c r="J1203" s="825">
        <f>76.9*$B$2</f>
        <v>51386.887000000002</v>
      </c>
      <c r="K1203" s="823" t="e">
        <f t="shared" si="140"/>
        <v>#REF!</v>
      </c>
      <c r="L1203" s="818"/>
    </row>
    <row r="1204" spans="1:12" s="31" customFormat="1" ht="17.25" customHeight="1">
      <c r="A1204" s="821" t="s">
        <v>80</v>
      </c>
      <c r="B1204" s="980" t="s">
        <v>562</v>
      </c>
      <c r="C1204" s="879" t="e">
        <f>VLOOKUP(B1199,'CNKT '!#REF!,8,0)</f>
        <v>#REF!</v>
      </c>
      <c r="D1204" s="825" t="e">
        <f>IF(C1200="A",6.1,IF(C1200="B",5.8,IF(C1200="C",5.5,IF(C1200="C.",5.5,IF(C1200="D",5.2)))))*$B$2</f>
        <v>#REF!</v>
      </c>
      <c r="E1204" s="823" t="e">
        <f t="shared" si="139"/>
        <v>#REF!</v>
      </c>
      <c r="F1204" s="882"/>
      <c r="G1204" s="821" t="s">
        <v>80</v>
      </c>
      <c r="H1204" s="980" t="s">
        <v>562</v>
      </c>
      <c r="I1204" s="879" t="e">
        <f>VLOOKUP(H1199,'CNKT '!#REF!,8,0)</f>
        <v>#REF!</v>
      </c>
      <c r="J1204" s="825" t="e">
        <f>IF(I1200="A",6.1,IF(I1200="B",5.8,IF(I1200="C",5.5,IF(I1200="C.",5.5,IF(I1200="D",5.2)))))*$B$2</f>
        <v>#REF!</v>
      </c>
      <c r="K1204" s="823" t="e">
        <f t="shared" si="140"/>
        <v>#REF!</v>
      </c>
      <c r="L1204" s="818"/>
    </row>
    <row r="1205" spans="1:12" s="31" customFormat="1" ht="17.25" customHeight="1">
      <c r="A1205" s="821" t="s">
        <v>495</v>
      </c>
      <c r="B1205" s="980" t="s">
        <v>563</v>
      </c>
      <c r="C1205" s="879" t="e">
        <f>VLOOKUP(B1199,'CNKT '!#REF!,15,0)</f>
        <v>#REF!</v>
      </c>
      <c r="D1205" s="826">
        <f>92.2*$B$2</f>
        <v>61610.806000000004</v>
      </c>
      <c r="E1205" s="823" t="e">
        <f t="shared" si="139"/>
        <v>#REF!</v>
      </c>
      <c r="F1205" s="882"/>
      <c r="G1205" s="821" t="s">
        <v>495</v>
      </c>
      <c r="H1205" s="980" t="s">
        <v>563</v>
      </c>
      <c r="I1205" s="879" t="e">
        <f>VLOOKUP(H1199,'CNKT '!#REF!,15,0)</f>
        <v>#REF!</v>
      </c>
      <c r="J1205" s="826">
        <f>92.2*$B$2</f>
        <v>61610.806000000004</v>
      </c>
      <c r="K1205" s="823" t="e">
        <f t="shared" si="140"/>
        <v>#REF!</v>
      </c>
      <c r="L1205" s="818"/>
    </row>
    <row r="1206" spans="1:12" s="31" customFormat="1" ht="17.25" customHeight="1">
      <c r="A1206" s="821" t="s">
        <v>496</v>
      </c>
      <c r="B1206" s="980" t="s">
        <v>500</v>
      </c>
      <c r="C1206" s="879" t="e">
        <f>VLOOKUP(B1199,'CNKT '!#REF!,16,0)</f>
        <v>#REF!</v>
      </c>
      <c r="D1206" s="825">
        <f>153.8*$B$2</f>
        <v>102773.774</v>
      </c>
      <c r="E1206" s="823" t="e">
        <f t="shared" si="139"/>
        <v>#REF!</v>
      </c>
      <c r="F1206" s="882"/>
      <c r="G1206" s="821" t="s">
        <v>496</v>
      </c>
      <c r="H1206" s="980" t="s">
        <v>500</v>
      </c>
      <c r="I1206" s="879" t="e">
        <f>VLOOKUP(H1199,'CNKT '!#REF!,16,0)</f>
        <v>#REF!</v>
      </c>
      <c r="J1206" s="825">
        <f>153.8*$B$2</f>
        <v>102773.774</v>
      </c>
      <c r="K1206" s="823" t="e">
        <f t="shared" si="140"/>
        <v>#REF!</v>
      </c>
      <c r="L1206" s="818"/>
    </row>
    <row r="1207" spans="1:12" s="31" customFormat="1" ht="17.25" customHeight="1">
      <c r="A1207" s="821" t="s">
        <v>455</v>
      </c>
      <c r="B1207" s="980" t="s">
        <v>501</v>
      </c>
      <c r="C1207" s="879" t="e">
        <f>VLOOKUP(B1199,'CNKT '!#REF!,18,0)</f>
        <v>#REF!</v>
      </c>
      <c r="D1207" s="825">
        <v>10000</v>
      </c>
      <c r="E1207" s="823" t="e">
        <f>C1207*D1207</f>
        <v>#REF!</v>
      </c>
      <c r="F1207" s="882"/>
      <c r="G1207" s="821" t="s">
        <v>455</v>
      </c>
      <c r="H1207" s="980" t="s">
        <v>501</v>
      </c>
      <c r="I1207" s="879" t="e">
        <f>VLOOKUP(H1199,'CNKT '!#REF!,18,0)</f>
        <v>#REF!</v>
      </c>
      <c r="J1207" s="825">
        <v>10000</v>
      </c>
      <c r="K1207" s="823" t="e">
        <f>I1207*J1207</f>
        <v>#REF!</v>
      </c>
      <c r="L1207" s="818"/>
    </row>
    <row r="1208" spans="1:12" s="31" customFormat="1" ht="17.25" customHeight="1">
      <c r="A1208" s="821" t="s">
        <v>455</v>
      </c>
      <c r="B1208" s="980" t="s">
        <v>501</v>
      </c>
      <c r="C1208" s="879" t="e">
        <f>VLOOKUP(B1199,'CNKT '!#REF!,19,0)</f>
        <v>#REF!</v>
      </c>
      <c r="D1208" s="825">
        <v>20000</v>
      </c>
      <c r="E1208" s="823" t="e">
        <f>C1208*D1208</f>
        <v>#REF!</v>
      </c>
      <c r="F1208" s="882"/>
      <c r="G1208" s="821" t="s">
        <v>455</v>
      </c>
      <c r="H1208" s="980" t="s">
        <v>501</v>
      </c>
      <c r="I1208" s="879" t="e">
        <f>VLOOKUP(H1199,'CNKT '!#REF!,19,0)</f>
        <v>#REF!</v>
      </c>
      <c r="J1208" s="825">
        <v>20000</v>
      </c>
      <c r="K1208" s="823" t="e">
        <f>I1208*J1208</f>
        <v>#REF!</v>
      </c>
      <c r="L1208" s="818"/>
    </row>
    <row r="1209" spans="1:12" s="31" customFormat="1" ht="17.25" customHeight="1">
      <c r="A1209" s="821" t="s">
        <v>517</v>
      </c>
      <c r="B1209" s="980" t="s">
        <v>519</v>
      </c>
      <c r="C1209" s="879"/>
      <c r="D1209" s="825"/>
      <c r="E1209" s="823"/>
      <c r="F1209" s="882"/>
      <c r="G1209" s="821" t="s">
        <v>517</v>
      </c>
      <c r="H1209" s="980" t="s">
        <v>519</v>
      </c>
      <c r="I1209" s="879"/>
      <c r="J1209" s="825"/>
      <c r="K1209" s="823"/>
      <c r="L1209" s="818"/>
    </row>
    <row r="1210" spans="1:12" s="31" customFormat="1" ht="17.25" customHeight="1">
      <c r="A1210" s="827" t="s">
        <v>81</v>
      </c>
      <c r="B1210" s="981" t="s">
        <v>564</v>
      </c>
      <c r="C1210" s="828"/>
      <c r="D1210" s="829"/>
      <c r="E1210" s="828"/>
      <c r="F1210" s="882"/>
      <c r="G1210" s="827" t="s">
        <v>81</v>
      </c>
      <c r="H1210" s="981" t="s">
        <v>564</v>
      </c>
      <c r="I1210" s="828"/>
      <c r="J1210" s="829"/>
      <c r="K1210" s="828"/>
      <c r="L1210" s="818"/>
    </row>
    <row r="1211" spans="1:12" s="31" customFormat="1" ht="17.25" customHeight="1">
      <c r="A1211" s="830" t="s">
        <v>82</v>
      </c>
      <c r="B1211" s="982" t="s">
        <v>565</v>
      </c>
      <c r="C1211" s="828"/>
      <c r="D1211" s="828"/>
      <c r="E1211" s="828"/>
      <c r="F1211" s="882"/>
      <c r="G1211" s="830" t="s">
        <v>82</v>
      </c>
      <c r="H1211" s="982" t="s">
        <v>565</v>
      </c>
      <c r="I1211" s="828"/>
      <c r="J1211" s="828"/>
      <c r="K1211" s="828"/>
      <c r="L1211" s="818"/>
    </row>
    <row r="1212" spans="1:12" s="31" customFormat="1" ht="17.25" customHeight="1">
      <c r="A1212" s="830" t="s">
        <v>83</v>
      </c>
      <c r="B1212" s="983" t="s">
        <v>566</v>
      </c>
      <c r="C1212" s="828"/>
      <c r="D1212" s="828"/>
      <c r="E1212" s="823">
        <f>SUM(E1211)</f>
        <v>0</v>
      </c>
      <c r="F1212" s="882"/>
      <c r="G1212" s="830" t="s">
        <v>83</v>
      </c>
      <c r="H1212" s="983" t="s">
        <v>566</v>
      </c>
      <c r="I1212" s="828"/>
      <c r="J1212" s="828"/>
      <c r="K1212" s="823">
        <f>SUM(K1211)</f>
        <v>0</v>
      </c>
      <c r="L1212" s="818"/>
    </row>
    <row r="1213" spans="1:12" s="31" customFormat="1" ht="17.25" customHeight="1">
      <c r="A1213" s="832" t="s">
        <v>84</v>
      </c>
      <c r="B1213" s="984" t="s">
        <v>438</v>
      </c>
      <c r="C1213" s="833"/>
      <c r="D1213" s="833"/>
      <c r="E1213" s="833" t="e">
        <f>(E1201+E1202+E1203+E1204+E1205+E1206+E1207+E1208+E1209)-E1212</f>
        <v>#REF!</v>
      </c>
      <c r="F1213" s="882"/>
      <c r="G1213" s="832" t="s">
        <v>84</v>
      </c>
      <c r="H1213" s="984" t="s">
        <v>438</v>
      </c>
      <c r="I1213" s="833"/>
      <c r="J1213" s="833"/>
      <c r="K1213" s="833" t="e">
        <f>(K1201+K1202+K1203+K1204+K1205+K1206+K1207+K1208+K1209)-K1212</f>
        <v>#REF!</v>
      </c>
      <c r="L1213" s="835" t="e">
        <f>E1213+K1213</f>
        <v>#REF!</v>
      </c>
    </row>
    <row r="1214" spans="1:12" s="31" customFormat="1" ht="17.25" customHeight="1">
      <c r="A1214" s="1616"/>
      <c r="B1214" s="1616"/>
      <c r="C1214" s="1616"/>
      <c r="D1214" s="1616"/>
      <c r="E1214" s="1616"/>
      <c r="F1214" s="873"/>
      <c r="G1214" s="1616"/>
      <c r="H1214" s="1616"/>
      <c r="I1214" s="1616"/>
      <c r="J1214" s="1616"/>
      <c r="K1214" s="874"/>
      <c r="L1214" s="818"/>
    </row>
    <row r="1215" spans="1:12" s="31" customFormat="1" ht="17.25" customHeight="1">
      <c r="A1215" s="895" t="str">
        <f>A1198</f>
        <v>LƯƠNG THÁNG 01/2025</v>
      </c>
      <c r="B1215" s="895"/>
      <c r="C1215" s="895"/>
      <c r="D1215" s="895"/>
      <c r="E1215" s="895" t="e">
        <f>VLOOKUP(B1216,'CNKT '!#REF!,26,0)</f>
        <v>#REF!</v>
      </c>
      <c r="F1215" s="873"/>
      <c r="G1215" s="895" t="str">
        <f>A1215</f>
        <v>LƯƠNG THÁNG 01/2025</v>
      </c>
      <c r="H1215" s="895"/>
      <c r="I1215" s="895"/>
      <c r="J1215" s="895"/>
      <c r="K1215" s="895" t="e">
        <f>VLOOKUP(H1216,'CNKT '!#REF!,26,0)</f>
        <v>#REF!</v>
      </c>
      <c r="L1215" s="818"/>
    </row>
    <row r="1216" spans="1:12" s="31" customFormat="1" ht="17.25" customHeight="1">
      <c r="A1216" s="837" t="s">
        <v>17</v>
      </c>
      <c r="B1216" s="976" t="e">
        <f>'CNKT '!#REF!</f>
        <v>#REF!</v>
      </c>
      <c r="C1216" s="822"/>
      <c r="D1216" s="976" t="s">
        <v>398</v>
      </c>
      <c r="E1216" s="976" t="s">
        <v>20</v>
      </c>
      <c r="F1216" s="882"/>
      <c r="G1216" s="837" t="s">
        <v>17</v>
      </c>
      <c r="H1216" s="976" t="e">
        <f>'CNKT '!#REF!</f>
        <v>#REF!</v>
      </c>
      <c r="I1216" s="822"/>
      <c r="J1216" s="976" t="s">
        <v>398</v>
      </c>
      <c r="K1216" s="976" t="s">
        <v>20</v>
      </c>
      <c r="L1216" s="818"/>
    </row>
    <row r="1217" spans="1:12" s="31" customFormat="1" ht="17.25" customHeight="1">
      <c r="A1217" s="821" t="s">
        <v>399</v>
      </c>
      <c r="B1217" s="978" t="s">
        <v>559</v>
      </c>
      <c r="C1217" s="822" t="e">
        <f>VLOOKUP(B1216,'BTH mủ tạp'!#REF!,36,0)</f>
        <v>#REF!</v>
      </c>
      <c r="D1217" s="823"/>
      <c r="E1217" s="823"/>
      <c r="F1217" s="882"/>
      <c r="G1217" s="821" t="s">
        <v>399</v>
      </c>
      <c r="H1217" s="978" t="s">
        <v>559</v>
      </c>
      <c r="I1217" s="822" t="e">
        <f>VLOOKUP(H1216,'BTH mủ tạp'!#REF!,36,0)</f>
        <v>#REF!</v>
      </c>
      <c r="J1217" s="823"/>
      <c r="K1217" s="823"/>
      <c r="L1217" s="818"/>
    </row>
    <row r="1218" spans="1:12" s="31" customFormat="1" ht="17.25" customHeight="1">
      <c r="A1218" s="821" t="s">
        <v>79</v>
      </c>
      <c r="B1218" s="979" t="s">
        <v>432</v>
      </c>
      <c r="C1218" s="824" t="e">
        <f>VLOOKUP(B1216,'CNKT '!#REF!,3,0)</f>
        <v>#REF!</v>
      </c>
      <c r="D1218" s="825">
        <v>25000</v>
      </c>
      <c r="E1218" s="823" t="e">
        <f t="shared" ref="E1218:E1223" si="141">C1218*D1218</f>
        <v>#REF!</v>
      </c>
      <c r="F1218" s="882"/>
      <c r="G1218" s="821" t="s">
        <v>79</v>
      </c>
      <c r="H1218" s="979" t="s">
        <v>432</v>
      </c>
      <c r="I1218" s="824" t="e">
        <f>VLOOKUP(H1216,'CNKT '!#REF!,3,0)</f>
        <v>#REF!</v>
      </c>
      <c r="J1218" s="825">
        <v>25000</v>
      </c>
      <c r="K1218" s="823" t="e">
        <f t="shared" ref="K1218:K1223" si="142">I1218*J1218</f>
        <v>#REF!</v>
      </c>
      <c r="L1218" s="818"/>
    </row>
    <row r="1219" spans="1:12" s="31" customFormat="1" ht="17.25" customHeight="1">
      <c r="A1219" s="821" t="s">
        <v>310</v>
      </c>
      <c r="B1219" s="980" t="s">
        <v>560</v>
      </c>
      <c r="C1219" s="879" t="e">
        <f>VLOOKUP(B1216,'CNKT '!#REF!,11,0)</f>
        <v>#REF!</v>
      </c>
      <c r="D1219" s="826">
        <f>46.1*$B$2</f>
        <v>30805.403000000002</v>
      </c>
      <c r="E1219" s="823" t="e">
        <f t="shared" si="141"/>
        <v>#REF!</v>
      </c>
      <c r="F1219" s="882"/>
      <c r="G1219" s="821" t="s">
        <v>310</v>
      </c>
      <c r="H1219" s="980" t="s">
        <v>560</v>
      </c>
      <c r="I1219" s="879" t="e">
        <f>VLOOKUP(H1216,'CNKT '!#REF!,11,0)</f>
        <v>#REF!</v>
      </c>
      <c r="J1219" s="826">
        <f>46.1*$B$2</f>
        <v>30805.403000000002</v>
      </c>
      <c r="K1219" s="823" t="e">
        <f t="shared" si="142"/>
        <v>#REF!</v>
      </c>
      <c r="L1219" s="818"/>
    </row>
    <row r="1220" spans="1:12" s="31" customFormat="1" ht="17.25" customHeight="1">
      <c r="A1220" s="821" t="s">
        <v>401</v>
      </c>
      <c r="B1220" s="980" t="s">
        <v>561</v>
      </c>
      <c r="C1220" s="879" t="e">
        <f>VLOOKUP(B1216,'CNKT '!#REF!,12,0)</f>
        <v>#REF!</v>
      </c>
      <c r="D1220" s="825">
        <f>76.9*$B$2</f>
        <v>51386.887000000002</v>
      </c>
      <c r="E1220" s="823" t="e">
        <f t="shared" si="141"/>
        <v>#REF!</v>
      </c>
      <c r="F1220" s="882"/>
      <c r="G1220" s="821" t="s">
        <v>401</v>
      </c>
      <c r="H1220" s="980" t="s">
        <v>561</v>
      </c>
      <c r="I1220" s="879" t="e">
        <f>VLOOKUP(H1216,'CNKT '!#REF!,12,0)</f>
        <v>#REF!</v>
      </c>
      <c r="J1220" s="825">
        <f>76.9*$B$2</f>
        <v>51386.887000000002</v>
      </c>
      <c r="K1220" s="823" t="e">
        <f t="shared" si="142"/>
        <v>#REF!</v>
      </c>
      <c r="L1220" s="818"/>
    </row>
    <row r="1221" spans="1:12" s="31" customFormat="1" ht="17.25" customHeight="1">
      <c r="A1221" s="821" t="s">
        <v>80</v>
      </c>
      <c r="B1221" s="980" t="s">
        <v>562</v>
      </c>
      <c r="C1221" s="879" t="e">
        <f>VLOOKUP(B1216,'CNKT '!#REF!,8,0)</f>
        <v>#REF!</v>
      </c>
      <c r="D1221" s="825" t="e">
        <f>IF(C1217="A",6.1,IF(C1217="B",5.8,IF(C1217="C",5.5,IF(C1217="C.",5.5,IF(C1217="D",5.2)))))*$B$2</f>
        <v>#REF!</v>
      </c>
      <c r="E1221" s="823" t="e">
        <f t="shared" si="141"/>
        <v>#REF!</v>
      </c>
      <c r="F1221" s="882"/>
      <c r="G1221" s="821" t="s">
        <v>80</v>
      </c>
      <c r="H1221" s="980" t="s">
        <v>562</v>
      </c>
      <c r="I1221" s="879" t="e">
        <f>VLOOKUP(H1216,'CNKT '!#REF!,8,0)</f>
        <v>#REF!</v>
      </c>
      <c r="J1221" s="825" t="e">
        <f>IF(I1217="A",6.1,IF(I1217="B",5.8,IF(I1217="C",5.5,IF(I1217="C.",5.5,IF(I1217="D",5.2)))))*$B$2</f>
        <v>#REF!</v>
      </c>
      <c r="K1221" s="823" t="e">
        <f t="shared" si="142"/>
        <v>#REF!</v>
      </c>
      <c r="L1221" s="818"/>
    </row>
    <row r="1222" spans="1:12" s="31" customFormat="1" ht="17.25" customHeight="1">
      <c r="A1222" s="821" t="s">
        <v>495</v>
      </c>
      <c r="B1222" s="980" t="s">
        <v>563</v>
      </c>
      <c r="C1222" s="879" t="e">
        <f>VLOOKUP(B1216,'CNKT '!#REF!,15,0)</f>
        <v>#REF!</v>
      </c>
      <c r="D1222" s="826">
        <f>92.2*$B$2</f>
        <v>61610.806000000004</v>
      </c>
      <c r="E1222" s="823" t="e">
        <f t="shared" si="141"/>
        <v>#REF!</v>
      </c>
      <c r="F1222" s="882"/>
      <c r="G1222" s="821" t="s">
        <v>495</v>
      </c>
      <c r="H1222" s="980" t="s">
        <v>563</v>
      </c>
      <c r="I1222" s="879" t="e">
        <f>VLOOKUP(H1216,'CNKT '!#REF!,15,0)</f>
        <v>#REF!</v>
      </c>
      <c r="J1222" s="826">
        <f>92.2*$B$2</f>
        <v>61610.806000000004</v>
      </c>
      <c r="K1222" s="823" t="e">
        <f t="shared" si="142"/>
        <v>#REF!</v>
      </c>
      <c r="L1222" s="818"/>
    </row>
    <row r="1223" spans="1:12" s="31" customFormat="1" ht="17.25" customHeight="1">
      <c r="A1223" s="821" t="s">
        <v>496</v>
      </c>
      <c r="B1223" s="980" t="s">
        <v>500</v>
      </c>
      <c r="C1223" s="879" t="e">
        <f>VLOOKUP(B1216,'CNKT '!#REF!,16,0)</f>
        <v>#REF!</v>
      </c>
      <c r="D1223" s="825">
        <f>153.8*$B$2</f>
        <v>102773.774</v>
      </c>
      <c r="E1223" s="823" t="e">
        <f t="shared" si="141"/>
        <v>#REF!</v>
      </c>
      <c r="F1223" s="882"/>
      <c r="G1223" s="821" t="s">
        <v>496</v>
      </c>
      <c r="H1223" s="980" t="s">
        <v>500</v>
      </c>
      <c r="I1223" s="879" t="e">
        <f>VLOOKUP(H1216,'CNKT '!#REF!,16,0)</f>
        <v>#REF!</v>
      </c>
      <c r="J1223" s="825">
        <f>153.8*$B$2</f>
        <v>102773.774</v>
      </c>
      <c r="K1223" s="823" t="e">
        <f t="shared" si="142"/>
        <v>#REF!</v>
      </c>
      <c r="L1223" s="818"/>
    </row>
    <row r="1224" spans="1:12" s="31" customFormat="1" ht="17.25" customHeight="1">
      <c r="A1224" s="821" t="s">
        <v>455</v>
      </c>
      <c r="B1224" s="980" t="s">
        <v>501</v>
      </c>
      <c r="C1224" s="879" t="e">
        <f>VLOOKUP(B1216,'CNKT '!#REF!,18,0)</f>
        <v>#REF!</v>
      </c>
      <c r="D1224" s="825">
        <v>10000</v>
      </c>
      <c r="E1224" s="823" t="e">
        <f>C1224*D1224</f>
        <v>#REF!</v>
      </c>
      <c r="F1224" s="882"/>
      <c r="G1224" s="821" t="s">
        <v>455</v>
      </c>
      <c r="H1224" s="980" t="s">
        <v>501</v>
      </c>
      <c r="I1224" s="879" t="e">
        <f>VLOOKUP(H1216,'CNKT '!#REF!,18,0)</f>
        <v>#REF!</v>
      </c>
      <c r="J1224" s="825">
        <v>10000</v>
      </c>
      <c r="K1224" s="823" t="e">
        <f>I1224*J1224</f>
        <v>#REF!</v>
      </c>
      <c r="L1224" s="818"/>
    </row>
    <row r="1225" spans="1:12" s="31" customFormat="1" ht="17.25" customHeight="1">
      <c r="A1225" s="821" t="s">
        <v>455</v>
      </c>
      <c r="B1225" s="980" t="s">
        <v>501</v>
      </c>
      <c r="C1225" s="879" t="e">
        <f>VLOOKUP(B1216,'CNKT '!#REF!,19,0)</f>
        <v>#REF!</v>
      </c>
      <c r="D1225" s="825">
        <v>20000</v>
      </c>
      <c r="E1225" s="823" t="e">
        <f>C1225*D1225</f>
        <v>#REF!</v>
      </c>
      <c r="F1225" s="882"/>
      <c r="G1225" s="821" t="s">
        <v>455</v>
      </c>
      <c r="H1225" s="980" t="s">
        <v>501</v>
      </c>
      <c r="I1225" s="879" t="e">
        <f>VLOOKUP(H1216,'CNKT '!#REF!,19,0)</f>
        <v>#REF!</v>
      </c>
      <c r="J1225" s="825">
        <v>20000</v>
      </c>
      <c r="K1225" s="823" t="e">
        <f>I1225*J1225</f>
        <v>#REF!</v>
      </c>
      <c r="L1225" s="818"/>
    </row>
    <row r="1226" spans="1:12" s="31" customFormat="1" ht="17.25" customHeight="1">
      <c r="A1226" s="821" t="s">
        <v>517</v>
      </c>
      <c r="B1226" s="980" t="s">
        <v>519</v>
      </c>
      <c r="C1226" s="879"/>
      <c r="D1226" s="825"/>
      <c r="E1226" s="823"/>
      <c r="F1226" s="882"/>
      <c r="G1226" s="821" t="s">
        <v>517</v>
      </c>
      <c r="H1226" s="980" t="s">
        <v>519</v>
      </c>
      <c r="I1226" s="879"/>
      <c r="J1226" s="825"/>
      <c r="K1226" s="823"/>
      <c r="L1226" s="818"/>
    </row>
    <row r="1227" spans="1:12" s="31" customFormat="1" ht="17.25" customHeight="1">
      <c r="A1227" s="827" t="s">
        <v>81</v>
      </c>
      <c r="B1227" s="981" t="s">
        <v>564</v>
      </c>
      <c r="C1227" s="828"/>
      <c r="D1227" s="829"/>
      <c r="E1227" s="828"/>
      <c r="F1227" s="882"/>
      <c r="G1227" s="827" t="s">
        <v>81</v>
      </c>
      <c r="H1227" s="981" t="s">
        <v>564</v>
      </c>
      <c r="I1227" s="828"/>
      <c r="J1227" s="829"/>
      <c r="K1227" s="828"/>
      <c r="L1227" s="818"/>
    </row>
    <row r="1228" spans="1:12" s="31" customFormat="1" ht="17.25" customHeight="1">
      <c r="A1228" s="830" t="s">
        <v>82</v>
      </c>
      <c r="B1228" s="982" t="s">
        <v>565</v>
      </c>
      <c r="C1228" s="828"/>
      <c r="D1228" s="828"/>
      <c r="E1228" s="828"/>
      <c r="F1228" s="882"/>
      <c r="G1228" s="830" t="s">
        <v>82</v>
      </c>
      <c r="H1228" s="982" t="s">
        <v>565</v>
      </c>
      <c r="I1228" s="828"/>
      <c r="J1228" s="828"/>
      <c r="K1228" s="828"/>
      <c r="L1228" s="818"/>
    </row>
    <row r="1229" spans="1:12" s="31" customFormat="1" ht="17.25" customHeight="1">
      <c r="A1229" s="830" t="s">
        <v>83</v>
      </c>
      <c r="B1229" s="983" t="s">
        <v>566</v>
      </c>
      <c r="C1229" s="828"/>
      <c r="D1229" s="828"/>
      <c r="E1229" s="823">
        <f>SUM(E1228)</f>
        <v>0</v>
      </c>
      <c r="F1229" s="882"/>
      <c r="G1229" s="830" t="s">
        <v>83</v>
      </c>
      <c r="H1229" s="983" t="s">
        <v>566</v>
      </c>
      <c r="I1229" s="828"/>
      <c r="J1229" s="828"/>
      <c r="K1229" s="823">
        <f>SUM(K1228)</f>
        <v>0</v>
      </c>
      <c r="L1229" s="818"/>
    </row>
    <row r="1230" spans="1:12" s="31" customFormat="1" ht="17.25" customHeight="1">
      <c r="A1230" s="832" t="s">
        <v>84</v>
      </c>
      <c r="B1230" s="984" t="s">
        <v>438</v>
      </c>
      <c r="C1230" s="833"/>
      <c r="D1230" s="833"/>
      <c r="E1230" s="833" t="e">
        <f>(E1218+E1219+E1220+E1221+E1222+E1223+E1224+E1225+E1226)-E1229</f>
        <v>#REF!</v>
      </c>
      <c r="F1230" s="882"/>
      <c r="G1230" s="832" t="s">
        <v>84</v>
      </c>
      <c r="H1230" s="984" t="s">
        <v>438</v>
      </c>
      <c r="I1230" s="833"/>
      <c r="J1230" s="833"/>
      <c r="K1230" s="833" t="e">
        <f>(K1218+K1219+K1220+K1221+K1222+K1223+K1224+K1225+K1226)-K1229</f>
        <v>#REF!</v>
      </c>
      <c r="L1230" s="835" t="e">
        <f>E1230+K1230</f>
        <v>#REF!</v>
      </c>
    </row>
    <row r="1231" spans="1:12" s="31" customFormat="1" ht="17.25" customHeight="1">
      <c r="A1231" s="1616"/>
      <c r="B1231" s="1616"/>
      <c r="C1231" s="1616"/>
      <c r="D1231" s="1616"/>
      <c r="E1231" s="1616"/>
      <c r="F1231" s="873"/>
      <c r="G1231" s="1616"/>
      <c r="H1231" s="1616"/>
      <c r="I1231" s="1616"/>
      <c r="J1231" s="1616"/>
      <c r="K1231" s="874"/>
      <c r="L1231" s="818"/>
    </row>
    <row r="1232" spans="1:12" s="31" customFormat="1" ht="17.25" customHeight="1">
      <c r="A1232" s="895" t="str">
        <f>A1215</f>
        <v>LƯƠNG THÁNG 01/2025</v>
      </c>
      <c r="B1232" s="895"/>
      <c r="C1232" s="895"/>
      <c r="D1232" s="895"/>
      <c r="E1232" s="895" t="e">
        <f>VLOOKUP(B1233,'CNKT '!#REF!,26,0)</f>
        <v>#REF!</v>
      </c>
      <c r="F1232" s="873"/>
      <c r="G1232" s="895" t="str">
        <f>A1232</f>
        <v>LƯƠNG THÁNG 01/2025</v>
      </c>
      <c r="H1232" s="895"/>
      <c r="I1232" s="895"/>
      <c r="J1232" s="895"/>
      <c r="K1232" s="895" t="e">
        <f>VLOOKUP(H1233,'CNKT '!#REF!,26,0)</f>
        <v>#REF!</v>
      </c>
      <c r="L1232" s="818"/>
    </row>
    <row r="1233" spans="1:12" s="31" customFormat="1" ht="17.25" customHeight="1">
      <c r="A1233" s="837" t="s">
        <v>17</v>
      </c>
      <c r="B1233" s="976" t="e">
        <f>'CNKT '!#REF!</f>
        <v>#REF!</v>
      </c>
      <c r="C1233" s="822"/>
      <c r="D1233" s="976" t="s">
        <v>398</v>
      </c>
      <c r="E1233" s="976" t="s">
        <v>20</v>
      </c>
      <c r="F1233" s="882"/>
      <c r="G1233" s="837" t="s">
        <v>17</v>
      </c>
      <c r="H1233" s="976" t="e">
        <f>'CNKT '!#REF!</f>
        <v>#REF!</v>
      </c>
      <c r="I1233" s="822"/>
      <c r="J1233" s="976" t="s">
        <v>398</v>
      </c>
      <c r="K1233" s="976" t="s">
        <v>20</v>
      </c>
      <c r="L1233" s="818"/>
    </row>
    <row r="1234" spans="1:12" s="31" customFormat="1" ht="17.25" customHeight="1">
      <c r="A1234" s="821" t="s">
        <v>399</v>
      </c>
      <c r="B1234" s="978" t="s">
        <v>559</v>
      </c>
      <c r="C1234" s="822" t="e">
        <f>VLOOKUP(B1233,'BTH mủ tạp'!#REF!,36,0)</f>
        <v>#REF!</v>
      </c>
      <c r="D1234" s="823"/>
      <c r="E1234" s="823"/>
      <c r="F1234" s="882"/>
      <c r="G1234" s="821" t="s">
        <v>399</v>
      </c>
      <c r="H1234" s="978" t="s">
        <v>559</v>
      </c>
      <c r="I1234" s="822" t="e">
        <f>VLOOKUP(H1233,'BTH mủ tạp'!#REF!,36,0)</f>
        <v>#REF!</v>
      </c>
      <c r="J1234" s="823"/>
      <c r="K1234" s="823"/>
      <c r="L1234" s="818"/>
    </row>
    <row r="1235" spans="1:12" s="31" customFormat="1" ht="17.25" customHeight="1">
      <c r="A1235" s="821" t="s">
        <v>79</v>
      </c>
      <c r="B1235" s="979" t="s">
        <v>432</v>
      </c>
      <c r="C1235" s="824" t="e">
        <f>VLOOKUP(B1233,'CNKT '!#REF!,3,0)</f>
        <v>#REF!</v>
      </c>
      <c r="D1235" s="825">
        <v>25000</v>
      </c>
      <c r="E1235" s="823" t="e">
        <f t="shared" ref="E1235:E1240" si="143">C1235*D1235</f>
        <v>#REF!</v>
      </c>
      <c r="F1235" s="882"/>
      <c r="G1235" s="821" t="s">
        <v>79</v>
      </c>
      <c r="H1235" s="979" t="s">
        <v>432</v>
      </c>
      <c r="I1235" s="824" t="e">
        <f>VLOOKUP(H1233,'CNKT '!#REF!,3,0)</f>
        <v>#REF!</v>
      </c>
      <c r="J1235" s="825">
        <v>25000</v>
      </c>
      <c r="K1235" s="823" t="e">
        <f t="shared" ref="K1235:K1240" si="144">I1235*J1235</f>
        <v>#REF!</v>
      </c>
      <c r="L1235" s="818"/>
    </row>
    <row r="1236" spans="1:12" s="31" customFormat="1" ht="17.25" customHeight="1">
      <c r="A1236" s="821" t="s">
        <v>310</v>
      </c>
      <c r="B1236" s="980" t="s">
        <v>560</v>
      </c>
      <c r="C1236" s="879" t="e">
        <f>VLOOKUP(B1233,'CNKT '!#REF!,11,0)</f>
        <v>#REF!</v>
      </c>
      <c r="D1236" s="826">
        <f>46.1*$B$2</f>
        <v>30805.403000000002</v>
      </c>
      <c r="E1236" s="823" t="e">
        <f t="shared" si="143"/>
        <v>#REF!</v>
      </c>
      <c r="F1236" s="882"/>
      <c r="G1236" s="821" t="s">
        <v>310</v>
      </c>
      <c r="H1236" s="980" t="s">
        <v>560</v>
      </c>
      <c r="I1236" s="879" t="e">
        <f>VLOOKUP(H1233,'CNKT '!#REF!,11,0)</f>
        <v>#REF!</v>
      </c>
      <c r="J1236" s="826">
        <f>46.1*$B$2</f>
        <v>30805.403000000002</v>
      </c>
      <c r="K1236" s="823" t="e">
        <f t="shared" si="144"/>
        <v>#REF!</v>
      </c>
      <c r="L1236" s="818"/>
    </row>
    <row r="1237" spans="1:12" s="31" customFormat="1" ht="17.25" customHeight="1">
      <c r="A1237" s="821" t="s">
        <v>401</v>
      </c>
      <c r="B1237" s="980" t="s">
        <v>561</v>
      </c>
      <c r="C1237" s="879" t="e">
        <f>VLOOKUP(B1233,'CNKT '!#REF!,12,0)</f>
        <v>#REF!</v>
      </c>
      <c r="D1237" s="825">
        <f>76.9*$B$2</f>
        <v>51386.887000000002</v>
      </c>
      <c r="E1237" s="823" t="e">
        <f t="shared" si="143"/>
        <v>#REF!</v>
      </c>
      <c r="F1237" s="882"/>
      <c r="G1237" s="821" t="s">
        <v>401</v>
      </c>
      <c r="H1237" s="980" t="s">
        <v>561</v>
      </c>
      <c r="I1237" s="879" t="e">
        <f>VLOOKUP(H1233,'CNKT '!#REF!,12,0)</f>
        <v>#REF!</v>
      </c>
      <c r="J1237" s="825">
        <f>76.9*$B$2</f>
        <v>51386.887000000002</v>
      </c>
      <c r="K1237" s="823" t="e">
        <f t="shared" si="144"/>
        <v>#REF!</v>
      </c>
      <c r="L1237" s="818"/>
    </row>
    <row r="1238" spans="1:12" s="31" customFormat="1" ht="17.25" customHeight="1">
      <c r="A1238" s="821" t="s">
        <v>80</v>
      </c>
      <c r="B1238" s="980" t="s">
        <v>562</v>
      </c>
      <c r="C1238" s="879" t="e">
        <f>VLOOKUP(B1233,'CNKT '!#REF!,8,0)</f>
        <v>#REF!</v>
      </c>
      <c r="D1238" s="825" t="e">
        <f>IF(C1234="A",6.1,IF(C1234="B",5.8,IF(C1234="C",5.5,IF(C1234="C.",5.5,IF(C1234="D",5.2)))))*$B$2</f>
        <v>#REF!</v>
      </c>
      <c r="E1238" s="823" t="e">
        <f t="shared" si="143"/>
        <v>#REF!</v>
      </c>
      <c r="F1238" s="882"/>
      <c r="G1238" s="821" t="s">
        <v>80</v>
      </c>
      <c r="H1238" s="980" t="s">
        <v>562</v>
      </c>
      <c r="I1238" s="879" t="e">
        <f>VLOOKUP(H1233,'CNKT '!#REF!,8,0)</f>
        <v>#REF!</v>
      </c>
      <c r="J1238" s="825" t="e">
        <f>IF(I1234="A",6.1,IF(I1234="B",5.8,IF(I1234="C",5.5,IF(I1234="C.",5.5,IF(I1234="D",5.2)))))*$B$2</f>
        <v>#REF!</v>
      </c>
      <c r="K1238" s="823" t="e">
        <f t="shared" si="144"/>
        <v>#REF!</v>
      </c>
      <c r="L1238" s="818"/>
    </row>
    <row r="1239" spans="1:12" s="31" customFormat="1" ht="17.25" customHeight="1">
      <c r="A1239" s="821" t="s">
        <v>495</v>
      </c>
      <c r="B1239" s="980" t="s">
        <v>563</v>
      </c>
      <c r="C1239" s="879" t="e">
        <f>VLOOKUP(B1233,'CNKT '!#REF!,15,0)</f>
        <v>#REF!</v>
      </c>
      <c r="D1239" s="826">
        <f>92.2*$B$2</f>
        <v>61610.806000000004</v>
      </c>
      <c r="E1239" s="823" t="e">
        <f t="shared" si="143"/>
        <v>#REF!</v>
      </c>
      <c r="F1239" s="882"/>
      <c r="G1239" s="821" t="s">
        <v>495</v>
      </c>
      <c r="H1239" s="980" t="s">
        <v>563</v>
      </c>
      <c r="I1239" s="879" t="e">
        <f>VLOOKUP(H1233,'CNKT '!#REF!,15,0)</f>
        <v>#REF!</v>
      </c>
      <c r="J1239" s="826">
        <f>92.2*$B$2</f>
        <v>61610.806000000004</v>
      </c>
      <c r="K1239" s="823" t="e">
        <f t="shared" si="144"/>
        <v>#REF!</v>
      </c>
      <c r="L1239" s="818"/>
    </row>
    <row r="1240" spans="1:12" s="31" customFormat="1" ht="17.25" customHeight="1">
      <c r="A1240" s="821" t="s">
        <v>496</v>
      </c>
      <c r="B1240" s="980" t="s">
        <v>500</v>
      </c>
      <c r="C1240" s="879" t="e">
        <f>VLOOKUP(B1233,'CNKT '!#REF!,16,0)</f>
        <v>#REF!</v>
      </c>
      <c r="D1240" s="825">
        <f>153.8*$B$2</f>
        <v>102773.774</v>
      </c>
      <c r="E1240" s="823" t="e">
        <f t="shared" si="143"/>
        <v>#REF!</v>
      </c>
      <c r="F1240" s="882"/>
      <c r="G1240" s="821" t="s">
        <v>496</v>
      </c>
      <c r="H1240" s="980" t="s">
        <v>500</v>
      </c>
      <c r="I1240" s="879" t="e">
        <f>VLOOKUP(H1233,'CNKT '!#REF!,16,0)</f>
        <v>#REF!</v>
      </c>
      <c r="J1240" s="825">
        <f>153.8*$B$2</f>
        <v>102773.774</v>
      </c>
      <c r="K1240" s="823" t="e">
        <f t="shared" si="144"/>
        <v>#REF!</v>
      </c>
      <c r="L1240" s="818"/>
    </row>
    <row r="1241" spans="1:12" s="31" customFormat="1" ht="17.25" customHeight="1">
      <c r="A1241" s="821" t="s">
        <v>455</v>
      </c>
      <c r="B1241" s="980" t="s">
        <v>501</v>
      </c>
      <c r="C1241" s="879" t="e">
        <f>VLOOKUP(B1233,'CNKT '!#REF!,18,0)</f>
        <v>#REF!</v>
      </c>
      <c r="D1241" s="825">
        <v>10000</v>
      </c>
      <c r="E1241" s="823" t="e">
        <f>C1241*D1241</f>
        <v>#REF!</v>
      </c>
      <c r="F1241" s="882"/>
      <c r="G1241" s="821" t="s">
        <v>455</v>
      </c>
      <c r="H1241" s="980" t="s">
        <v>501</v>
      </c>
      <c r="I1241" s="879" t="e">
        <f>VLOOKUP(H1233,'CNKT '!#REF!,18,0)</f>
        <v>#REF!</v>
      </c>
      <c r="J1241" s="825">
        <v>10000</v>
      </c>
      <c r="K1241" s="823" t="e">
        <f>I1241*J1241</f>
        <v>#REF!</v>
      </c>
      <c r="L1241" s="818"/>
    </row>
    <row r="1242" spans="1:12" s="31" customFormat="1" ht="17.25" customHeight="1">
      <c r="A1242" s="821" t="s">
        <v>455</v>
      </c>
      <c r="B1242" s="980" t="s">
        <v>501</v>
      </c>
      <c r="C1242" s="879" t="e">
        <f>VLOOKUP(B1233,'CNKT '!#REF!,19,0)</f>
        <v>#REF!</v>
      </c>
      <c r="D1242" s="825">
        <v>20000</v>
      </c>
      <c r="E1242" s="823" t="e">
        <f>C1242*D1242</f>
        <v>#REF!</v>
      </c>
      <c r="F1242" s="882"/>
      <c r="G1242" s="821" t="s">
        <v>455</v>
      </c>
      <c r="H1242" s="980" t="s">
        <v>501</v>
      </c>
      <c r="I1242" s="879" t="e">
        <f>VLOOKUP(H1233,'CNKT '!#REF!,19,0)</f>
        <v>#REF!</v>
      </c>
      <c r="J1242" s="825">
        <v>20000</v>
      </c>
      <c r="K1242" s="823" t="e">
        <f>I1242*J1242</f>
        <v>#REF!</v>
      </c>
      <c r="L1242" s="818"/>
    </row>
    <row r="1243" spans="1:12" s="31" customFormat="1" ht="17.25" customHeight="1">
      <c r="A1243" s="821" t="s">
        <v>517</v>
      </c>
      <c r="B1243" s="980" t="s">
        <v>519</v>
      </c>
      <c r="C1243" s="879"/>
      <c r="D1243" s="825"/>
      <c r="E1243" s="823"/>
      <c r="F1243" s="882"/>
      <c r="G1243" s="821" t="s">
        <v>517</v>
      </c>
      <c r="H1243" s="980" t="s">
        <v>519</v>
      </c>
      <c r="I1243" s="879"/>
      <c r="J1243" s="825"/>
      <c r="K1243" s="823"/>
      <c r="L1243" s="818"/>
    </row>
    <row r="1244" spans="1:12" s="31" customFormat="1" ht="17.25" customHeight="1">
      <c r="A1244" s="827" t="s">
        <v>81</v>
      </c>
      <c r="B1244" s="981" t="s">
        <v>564</v>
      </c>
      <c r="C1244" s="828"/>
      <c r="D1244" s="829"/>
      <c r="E1244" s="828"/>
      <c r="F1244" s="882"/>
      <c r="G1244" s="827" t="s">
        <v>81</v>
      </c>
      <c r="H1244" s="981" t="s">
        <v>564</v>
      </c>
      <c r="I1244" s="828"/>
      <c r="J1244" s="829"/>
      <c r="K1244" s="828"/>
      <c r="L1244" s="818"/>
    </row>
    <row r="1245" spans="1:12" s="31" customFormat="1" ht="17.25" customHeight="1">
      <c r="A1245" s="830" t="s">
        <v>82</v>
      </c>
      <c r="B1245" s="982" t="s">
        <v>565</v>
      </c>
      <c r="C1245" s="828"/>
      <c r="D1245" s="828"/>
      <c r="E1245" s="828"/>
      <c r="F1245" s="882"/>
      <c r="G1245" s="830" t="s">
        <v>82</v>
      </c>
      <c r="H1245" s="982" t="s">
        <v>565</v>
      </c>
      <c r="I1245" s="828"/>
      <c r="J1245" s="828"/>
      <c r="K1245" s="828"/>
      <c r="L1245" s="818"/>
    </row>
    <row r="1246" spans="1:12" s="31" customFormat="1" ht="17.25" customHeight="1">
      <c r="A1246" s="830" t="s">
        <v>83</v>
      </c>
      <c r="B1246" s="983" t="s">
        <v>566</v>
      </c>
      <c r="C1246" s="828"/>
      <c r="D1246" s="828"/>
      <c r="E1246" s="823">
        <f>SUM(E1245)</f>
        <v>0</v>
      </c>
      <c r="F1246" s="882"/>
      <c r="G1246" s="830" t="s">
        <v>83</v>
      </c>
      <c r="H1246" s="983" t="s">
        <v>566</v>
      </c>
      <c r="I1246" s="828"/>
      <c r="J1246" s="828"/>
      <c r="K1246" s="823">
        <f>SUM(K1245)</f>
        <v>0</v>
      </c>
      <c r="L1246" s="818"/>
    </row>
    <row r="1247" spans="1:12" s="31" customFormat="1" ht="17.25" customHeight="1">
      <c r="A1247" s="832" t="s">
        <v>84</v>
      </c>
      <c r="B1247" s="984" t="s">
        <v>438</v>
      </c>
      <c r="C1247" s="833"/>
      <c r="D1247" s="833"/>
      <c r="E1247" s="833" t="e">
        <f>(E1235+E1236+E1237+E1238+E1239+E1240+E1241+E1242+E1243)-E1246</f>
        <v>#REF!</v>
      </c>
      <c r="F1247" s="882"/>
      <c r="G1247" s="832" t="s">
        <v>84</v>
      </c>
      <c r="H1247" s="984" t="s">
        <v>438</v>
      </c>
      <c r="I1247" s="833"/>
      <c r="J1247" s="833"/>
      <c r="K1247" s="833" t="e">
        <f>(K1235+K1236+K1237+K1238+K1239+K1240+K1241+K1242+K1243)-K1246</f>
        <v>#REF!</v>
      </c>
      <c r="L1247" s="835" t="e">
        <f>E1247+K1247</f>
        <v>#REF!</v>
      </c>
    </row>
    <row r="1248" spans="1:12" s="31" customFormat="1" ht="17.25" customHeight="1">
      <c r="A1248" s="895"/>
      <c r="B1248" s="895"/>
      <c r="C1248" s="895"/>
      <c r="D1248" s="895"/>
      <c r="E1248" s="895"/>
      <c r="F1248" s="873"/>
      <c r="G1248" s="895"/>
      <c r="H1248" s="895"/>
      <c r="I1248" s="895"/>
      <c r="J1248" s="895"/>
      <c r="K1248" s="874"/>
      <c r="L1248" s="818"/>
    </row>
    <row r="1249" spans="1:12" s="31" customFormat="1" ht="17.25" customHeight="1">
      <c r="A1249" s="895" t="str">
        <f>A1232</f>
        <v>LƯƠNG THÁNG 01/2025</v>
      </c>
      <c r="B1249" s="895"/>
      <c r="C1249" s="895"/>
      <c r="D1249" s="895"/>
      <c r="E1249" s="895" t="e">
        <f>VLOOKUP(B1250,'CNKT '!#REF!,26,0)</f>
        <v>#REF!</v>
      </c>
      <c r="F1249" s="873"/>
      <c r="G1249" s="895" t="str">
        <f>A1249</f>
        <v>LƯƠNG THÁNG 01/2025</v>
      </c>
      <c r="H1249" s="895"/>
      <c r="I1249" s="895"/>
      <c r="J1249" s="895"/>
      <c r="K1249" s="895" t="e">
        <f>VLOOKUP(H1250,'CNKT '!#REF!,26,0)</f>
        <v>#REF!</v>
      </c>
      <c r="L1249" s="818"/>
    </row>
    <row r="1250" spans="1:12" s="31" customFormat="1" ht="17.25" customHeight="1">
      <c r="A1250" s="837" t="s">
        <v>17</v>
      </c>
      <c r="B1250" s="976" t="e">
        <f>'CNKT '!#REF!</f>
        <v>#REF!</v>
      </c>
      <c r="C1250" s="822"/>
      <c r="D1250" s="976" t="s">
        <v>398</v>
      </c>
      <c r="E1250" s="976" t="s">
        <v>20</v>
      </c>
      <c r="F1250" s="882"/>
      <c r="G1250" s="837" t="s">
        <v>17</v>
      </c>
      <c r="H1250" s="976" t="e">
        <f>'CNKT '!#REF!</f>
        <v>#REF!</v>
      </c>
      <c r="I1250" s="822"/>
      <c r="J1250" s="976" t="s">
        <v>398</v>
      </c>
      <c r="K1250" s="976" t="s">
        <v>20</v>
      </c>
      <c r="L1250" s="818"/>
    </row>
    <row r="1251" spans="1:12" s="31" customFormat="1" ht="17.25" customHeight="1">
      <c r="A1251" s="821" t="s">
        <v>399</v>
      </c>
      <c r="B1251" s="978" t="s">
        <v>559</v>
      </c>
      <c r="C1251" s="822" t="e">
        <f>VLOOKUP(B1250,'BTH mủ tạp'!#REF!,36,0)</f>
        <v>#REF!</v>
      </c>
      <c r="D1251" s="823"/>
      <c r="E1251" s="823"/>
      <c r="F1251" s="882"/>
      <c r="G1251" s="821" t="s">
        <v>399</v>
      </c>
      <c r="H1251" s="978" t="s">
        <v>559</v>
      </c>
      <c r="I1251" s="822" t="e">
        <f>VLOOKUP(H1250,'BTH mủ tạp'!#REF!,36,0)</f>
        <v>#REF!</v>
      </c>
      <c r="J1251" s="823"/>
      <c r="K1251" s="823"/>
      <c r="L1251" s="818"/>
    </row>
    <row r="1252" spans="1:12" s="31" customFormat="1" ht="17.25" customHeight="1">
      <c r="A1252" s="821" t="s">
        <v>79</v>
      </c>
      <c r="B1252" s="979" t="s">
        <v>432</v>
      </c>
      <c r="C1252" s="824" t="e">
        <f>VLOOKUP(B1250,'CNKT '!#REF!,3,0)</f>
        <v>#REF!</v>
      </c>
      <c r="D1252" s="825">
        <v>25000</v>
      </c>
      <c r="E1252" s="823" t="e">
        <f t="shared" ref="E1252:E1257" si="145">C1252*D1252</f>
        <v>#REF!</v>
      </c>
      <c r="F1252" s="882"/>
      <c r="G1252" s="821" t="s">
        <v>79</v>
      </c>
      <c r="H1252" s="979" t="s">
        <v>432</v>
      </c>
      <c r="I1252" s="824" t="e">
        <f>VLOOKUP(H1250,'CNKT '!#REF!,3,0)</f>
        <v>#REF!</v>
      </c>
      <c r="J1252" s="825">
        <v>25000</v>
      </c>
      <c r="K1252" s="823" t="e">
        <f t="shared" ref="K1252:K1257" si="146">I1252*J1252</f>
        <v>#REF!</v>
      </c>
      <c r="L1252" s="818"/>
    </row>
    <row r="1253" spans="1:12" s="31" customFormat="1" ht="17.25" customHeight="1">
      <c r="A1253" s="821" t="s">
        <v>310</v>
      </c>
      <c r="B1253" s="980" t="s">
        <v>560</v>
      </c>
      <c r="C1253" s="879" t="e">
        <f>VLOOKUP(B1250,'CNKT '!#REF!,11,0)</f>
        <v>#REF!</v>
      </c>
      <c r="D1253" s="826">
        <f>46.1*$B$2</f>
        <v>30805.403000000002</v>
      </c>
      <c r="E1253" s="823" t="e">
        <f t="shared" si="145"/>
        <v>#REF!</v>
      </c>
      <c r="F1253" s="882"/>
      <c r="G1253" s="821" t="s">
        <v>310</v>
      </c>
      <c r="H1253" s="980" t="s">
        <v>560</v>
      </c>
      <c r="I1253" s="879" t="e">
        <f>VLOOKUP(H1250,'CNKT '!#REF!,11,0)</f>
        <v>#REF!</v>
      </c>
      <c r="J1253" s="826">
        <f>46.1*$B$2</f>
        <v>30805.403000000002</v>
      </c>
      <c r="K1253" s="823" t="e">
        <f t="shared" si="146"/>
        <v>#REF!</v>
      </c>
      <c r="L1253" s="818"/>
    </row>
    <row r="1254" spans="1:12" s="31" customFormat="1" ht="17.25" customHeight="1">
      <c r="A1254" s="821" t="s">
        <v>401</v>
      </c>
      <c r="B1254" s="980" t="s">
        <v>561</v>
      </c>
      <c r="C1254" s="879" t="e">
        <f>VLOOKUP(B1250,'CNKT '!#REF!,12,0)</f>
        <v>#REF!</v>
      </c>
      <c r="D1254" s="825">
        <f>76.9*$B$2</f>
        <v>51386.887000000002</v>
      </c>
      <c r="E1254" s="823" t="e">
        <f t="shared" si="145"/>
        <v>#REF!</v>
      </c>
      <c r="F1254" s="882"/>
      <c r="G1254" s="821" t="s">
        <v>401</v>
      </c>
      <c r="H1254" s="980" t="s">
        <v>561</v>
      </c>
      <c r="I1254" s="879" t="e">
        <f>VLOOKUP(H1250,'CNKT '!#REF!,12,0)</f>
        <v>#REF!</v>
      </c>
      <c r="J1254" s="825">
        <f>76.9*$B$2</f>
        <v>51386.887000000002</v>
      </c>
      <c r="K1254" s="823" t="e">
        <f t="shared" si="146"/>
        <v>#REF!</v>
      </c>
      <c r="L1254" s="818"/>
    </row>
    <row r="1255" spans="1:12" s="31" customFormat="1" ht="17.25" customHeight="1">
      <c r="A1255" s="821" t="s">
        <v>80</v>
      </c>
      <c r="B1255" s="980" t="s">
        <v>562</v>
      </c>
      <c r="C1255" s="879" t="e">
        <f>VLOOKUP(B1250,'CNKT '!#REF!,8,0)</f>
        <v>#REF!</v>
      </c>
      <c r="D1255" s="825" t="e">
        <f>IF(C1251="A",6.1,IF(C1251="B",5.8,IF(C1251="C",5.5,IF(C1251="C.",5.5,IF(C1251="D",5.2)))))*$B$2</f>
        <v>#REF!</v>
      </c>
      <c r="E1255" s="823" t="e">
        <f t="shared" si="145"/>
        <v>#REF!</v>
      </c>
      <c r="F1255" s="882"/>
      <c r="G1255" s="821" t="s">
        <v>80</v>
      </c>
      <c r="H1255" s="980" t="s">
        <v>562</v>
      </c>
      <c r="I1255" s="879" t="e">
        <f>VLOOKUP(H1250,'CNKT '!#REF!,8,0)</f>
        <v>#REF!</v>
      </c>
      <c r="J1255" s="825" t="e">
        <f>IF(I1251="A",6.1,IF(I1251="B",5.8,IF(I1251="C",5.5,IF(I1251="C.",5.5,IF(I1251="D",5.2)))))*$B$2</f>
        <v>#REF!</v>
      </c>
      <c r="K1255" s="823" t="e">
        <f t="shared" si="146"/>
        <v>#REF!</v>
      </c>
      <c r="L1255" s="818"/>
    </row>
    <row r="1256" spans="1:12" s="31" customFormat="1" ht="17.25" customHeight="1">
      <c r="A1256" s="821" t="s">
        <v>495</v>
      </c>
      <c r="B1256" s="980" t="s">
        <v>563</v>
      </c>
      <c r="C1256" s="879" t="e">
        <f>VLOOKUP(B1250,'CNKT '!#REF!,15,0)</f>
        <v>#REF!</v>
      </c>
      <c r="D1256" s="826">
        <f>92.2*$B$2</f>
        <v>61610.806000000004</v>
      </c>
      <c r="E1256" s="823" t="e">
        <f t="shared" si="145"/>
        <v>#REF!</v>
      </c>
      <c r="F1256" s="882"/>
      <c r="G1256" s="821" t="s">
        <v>495</v>
      </c>
      <c r="H1256" s="980" t="s">
        <v>563</v>
      </c>
      <c r="I1256" s="879" t="e">
        <f>VLOOKUP(H1250,'CNKT '!#REF!,15,0)</f>
        <v>#REF!</v>
      </c>
      <c r="J1256" s="826">
        <f>92.2*$B$2</f>
        <v>61610.806000000004</v>
      </c>
      <c r="K1256" s="823" t="e">
        <f t="shared" si="146"/>
        <v>#REF!</v>
      </c>
      <c r="L1256" s="818"/>
    </row>
    <row r="1257" spans="1:12" s="31" customFormat="1" ht="17.25" customHeight="1">
      <c r="A1257" s="821" t="s">
        <v>496</v>
      </c>
      <c r="B1257" s="980" t="s">
        <v>500</v>
      </c>
      <c r="C1257" s="879" t="e">
        <f>VLOOKUP(B1250,'CNKT '!#REF!,16,0)</f>
        <v>#REF!</v>
      </c>
      <c r="D1257" s="825">
        <f>153.8*$B$2</f>
        <v>102773.774</v>
      </c>
      <c r="E1257" s="823" t="e">
        <f t="shared" si="145"/>
        <v>#REF!</v>
      </c>
      <c r="F1257" s="882"/>
      <c r="G1257" s="821" t="s">
        <v>496</v>
      </c>
      <c r="H1257" s="980" t="s">
        <v>500</v>
      </c>
      <c r="I1257" s="879" t="e">
        <f>VLOOKUP(H1250,'CNKT '!#REF!,16,0)</f>
        <v>#REF!</v>
      </c>
      <c r="J1257" s="825">
        <f>153.8*$B$2</f>
        <v>102773.774</v>
      </c>
      <c r="K1257" s="823" t="e">
        <f t="shared" si="146"/>
        <v>#REF!</v>
      </c>
      <c r="L1257" s="818"/>
    </row>
    <row r="1258" spans="1:12" s="31" customFormat="1" ht="17.25" customHeight="1">
      <c r="A1258" s="821" t="s">
        <v>455</v>
      </c>
      <c r="B1258" s="980" t="s">
        <v>501</v>
      </c>
      <c r="C1258" s="879" t="e">
        <f>VLOOKUP(B1250,'CNKT '!#REF!,18,0)</f>
        <v>#REF!</v>
      </c>
      <c r="D1258" s="825">
        <v>10000</v>
      </c>
      <c r="E1258" s="823" t="e">
        <f>C1258*D1258</f>
        <v>#REF!</v>
      </c>
      <c r="F1258" s="882"/>
      <c r="G1258" s="821" t="s">
        <v>455</v>
      </c>
      <c r="H1258" s="980" t="s">
        <v>501</v>
      </c>
      <c r="I1258" s="879" t="e">
        <f>VLOOKUP(H1250,'CNKT '!#REF!,18,0)</f>
        <v>#REF!</v>
      </c>
      <c r="J1258" s="825">
        <v>10000</v>
      </c>
      <c r="K1258" s="823" t="e">
        <f>I1258*J1258</f>
        <v>#REF!</v>
      </c>
      <c r="L1258" s="818"/>
    </row>
    <row r="1259" spans="1:12" s="31" customFormat="1" ht="17.25" customHeight="1">
      <c r="A1259" s="821" t="s">
        <v>455</v>
      </c>
      <c r="B1259" s="980" t="s">
        <v>501</v>
      </c>
      <c r="C1259" s="879" t="e">
        <f>VLOOKUP(B1250,'CNKT '!#REF!,19,0)</f>
        <v>#REF!</v>
      </c>
      <c r="D1259" s="825">
        <v>20000</v>
      </c>
      <c r="E1259" s="823" t="e">
        <f>C1259*D1259</f>
        <v>#REF!</v>
      </c>
      <c r="F1259" s="882"/>
      <c r="G1259" s="821" t="s">
        <v>455</v>
      </c>
      <c r="H1259" s="980" t="s">
        <v>501</v>
      </c>
      <c r="I1259" s="879" t="e">
        <f>VLOOKUP(H1250,'CNKT '!#REF!,19,0)</f>
        <v>#REF!</v>
      </c>
      <c r="J1259" s="825">
        <v>20000</v>
      </c>
      <c r="K1259" s="823" t="e">
        <f>I1259*J1259</f>
        <v>#REF!</v>
      </c>
      <c r="L1259" s="818"/>
    </row>
    <row r="1260" spans="1:12" s="31" customFormat="1" ht="17.25" customHeight="1">
      <c r="A1260" s="821" t="s">
        <v>517</v>
      </c>
      <c r="B1260" s="980" t="s">
        <v>519</v>
      </c>
      <c r="C1260" s="879"/>
      <c r="D1260" s="825"/>
      <c r="E1260" s="823"/>
      <c r="F1260" s="882"/>
      <c r="G1260" s="821" t="s">
        <v>517</v>
      </c>
      <c r="H1260" s="980" t="s">
        <v>519</v>
      </c>
      <c r="I1260" s="879"/>
      <c r="J1260" s="825"/>
      <c r="K1260" s="823"/>
      <c r="L1260" s="818"/>
    </row>
    <row r="1261" spans="1:12" s="31" customFormat="1" ht="17.25" customHeight="1">
      <c r="A1261" s="827" t="s">
        <v>81</v>
      </c>
      <c r="B1261" s="981" t="s">
        <v>564</v>
      </c>
      <c r="C1261" s="828"/>
      <c r="D1261" s="829"/>
      <c r="E1261" s="828"/>
      <c r="F1261" s="882"/>
      <c r="G1261" s="827" t="s">
        <v>81</v>
      </c>
      <c r="H1261" s="981" t="s">
        <v>564</v>
      </c>
      <c r="I1261" s="828"/>
      <c r="J1261" s="829"/>
      <c r="K1261" s="828"/>
      <c r="L1261" s="818"/>
    </row>
    <row r="1262" spans="1:12" s="31" customFormat="1" ht="17.25" customHeight="1">
      <c r="A1262" s="830" t="s">
        <v>82</v>
      </c>
      <c r="B1262" s="982" t="s">
        <v>565</v>
      </c>
      <c r="C1262" s="828"/>
      <c r="D1262" s="828"/>
      <c r="E1262" s="828"/>
      <c r="F1262" s="882"/>
      <c r="G1262" s="830" t="s">
        <v>82</v>
      </c>
      <c r="H1262" s="982" t="s">
        <v>565</v>
      </c>
      <c r="I1262" s="828"/>
      <c r="J1262" s="828"/>
      <c r="K1262" s="828"/>
      <c r="L1262" s="818"/>
    </row>
    <row r="1263" spans="1:12" s="31" customFormat="1" ht="17.25" customHeight="1">
      <c r="A1263" s="830" t="s">
        <v>83</v>
      </c>
      <c r="B1263" s="983" t="s">
        <v>566</v>
      </c>
      <c r="C1263" s="828"/>
      <c r="D1263" s="828"/>
      <c r="E1263" s="823">
        <f>SUM(E1262)</f>
        <v>0</v>
      </c>
      <c r="F1263" s="882"/>
      <c r="G1263" s="830" t="s">
        <v>83</v>
      </c>
      <c r="H1263" s="983" t="s">
        <v>566</v>
      </c>
      <c r="I1263" s="828"/>
      <c r="J1263" s="828"/>
      <c r="K1263" s="823">
        <f>SUM(K1262)</f>
        <v>0</v>
      </c>
      <c r="L1263" s="818"/>
    </row>
    <row r="1264" spans="1:12" s="31" customFormat="1" ht="17.25" customHeight="1">
      <c r="A1264" s="832" t="s">
        <v>84</v>
      </c>
      <c r="B1264" s="984" t="s">
        <v>438</v>
      </c>
      <c r="C1264" s="833"/>
      <c r="D1264" s="833"/>
      <c r="E1264" s="833" t="e">
        <f>(E1252+E1253+E1254+E1255+E1256+E1257+E1258+E1259+E1260)-E1263</f>
        <v>#REF!</v>
      </c>
      <c r="F1264" s="882"/>
      <c r="G1264" s="832" t="s">
        <v>84</v>
      </c>
      <c r="H1264" s="984" t="s">
        <v>438</v>
      </c>
      <c r="I1264" s="833"/>
      <c r="J1264" s="833"/>
      <c r="K1264" s="833" t="e">
        <f>(K1252+K1253+K1254+K1255+K1256+K1257+K1258+K1259+K1260)-K1263</f>
        <v>#REF!</v>
      </c>
      <c r="L1264" s="835" t="e">
        <f>E1264+K1264</f>
        <v>#REF!</v>
      </c>
    </row>
    <row r="1265" spans="1:12" s="31" customFormat="1" ht="204.75" customHeight="1">
      <c r="A1265" s="895"/>
      <c r="B1265" s="895"/>
      <c r="C1265" s="895"/>
      <c r="D1265" s="895"/>
      <c r="E1265" s="895"/>
      <c r="F1265" s="873"/>
      <c r="G1265" s="895"/>
      <c r="H1265" s="895"/>
      <c r="I1265" s="895"/>
      <c r="J1265" s="895"/>
      <c r="K1265" s="874"/>
      <c r="L1265" s="818"/>
    </row>
    <row r="1266" spans="1:12" s="31" customFormat="1" ht="17.25" customHeight="1">
      <c r="A1266" s="895" t="str">
        <f>A1249</f>
        <v>LƯƠNG THÁNG 01/2025</v>
      </c>
      <c r="B1266" s="895"/>
      <c r="C1266" s="895"/>
      <c r="D1266" s="895"/>
      <c r="E1266" s="895" t="e">
        <f>VLOOKUP(B1267,'CNKT '!#REF!,26,0)</f>
        <v>#REF!</v>
      </c>
      <c r="F1266" s="873"/>
      <c r="G1266" s="895" t="str">
        <f>A1266</f>
        <v>LƯƠNG THÁNG 01/2025</v>
      </c>
      <c r="H1266" s="895"/>
      <c r="I1266" s="895"/>
      <c r="J1266" s="895"/>
      <c r="K1266" s="895" t="e">
        <f>VLOOKUP(H1267,'CNKT '!#REF!,26,0)</f>
        <v>#REF!</v>
      </c>
      <c r="L1266" s="818"/>
    </row>
    <row r="1267" spans="1:12" s="31" customFormat="1" ht="17.25" customHeight="1">
      <c r="A1267" s="837" t="s">
        <v>17</v>
      </c>
      <c r="B1267" s="976" t="e">
        <f>'CNKT '!#REF!</f>
        <v>#REF!</v>
      </c>
      <c r="C1267" s="822"/>
      <c r="D1267" s="976" t="s">
        <v>398</v>
      </c>
      <c r="E1267" s="976" t="s">
        <v>20</v>
      </c>
      <c r="F1267" s="882"/>
      <c r="G1267" s="837" t="s">
        <v>17</v>
      </c>
      <c r="H1267" s="976" t="e">
        <f>'CNKT '!#REF!</f>
        <v>#REF!</v>
      </c>
      <c r="I1267" s="822"/>
      <c r="J1267" s="976" t="s">
        <v>398</v>
      </c>
      <c r="K1267" s="976" t="s">
        <v>20</v>
      </c>
      <c r="L1267" s="818"/>
    </row>
    <row r="1268" spans="1:12" s="31" customFormat="1" ht="17.25" customHeight="1">
      <c r="A1268" s="821" t="s">
        <v>399</v>
      </c>
      <c r="B1268" s="978" t="s">
        <v>559</v>
      </c>
      <c r="C1268" s="822" t="e">
        <f>VLOOKUP(B1267,'BTH mủ tạp'!#REF!,36,0)</f>
        <v>#REF!</v>
      </c>
      <c r="D1268" s="823"/>
      <c r="E1268" s="823"/>
      <c r="F1268" s="882"/>
      <c r="G1268" s="821" t="s">
        <v>399</v>
      </c>
      <c r="H1268" s="978" t="s">
        <v>559</v>
      </c>
      <c r="I1268" s="822" t="e">
        <f>VLOOKUP(H1267,'BTH mủ tạp'!#REF!,36,0)</f>
        <v>#REF!</v>
      </c>
      <c r="J1268" s="823"/>
      <c r="K1268" s="823"/>
      <c r="L1268" s="818"/>
    </row>
    <row r="1269" spans="1:12" s="31" customFormat="1" ht="17.25" customHeight="1">
      <c r="A1269" s="821" t="s">
        <v>79</v>
      </c>
      <c r="B1269" s="979" t="s">
        <v>432</v>
      </c>
      <c r="C1269" s="824" t="e">
        <f>VLOOKUP(B1267,'CNKT '!#REF!,3,0)</f>
        <v>#REF!</v>
      </c>
      <c r="D1269" s="825">
        <v>25000</v>
      </c>
      <c r="E1269" s="823" t="e">
        <f t="shared" ref="E1269:E1274" si="147">C1269*D1269</f>
        <v>#REF!</v>
      </c>
      <c r="F1269" s="882"/>
      <c r="G1269" s="821" t="s">
        <v>79</v>
      </c>
      <c r="H1269" s="979" t="s">
        <v>432</v>
      </c>
      <c r="I1269" s="824" t="e">
        <f>VLOOKUP(H1267,'CNKT '!#REF!,3,0)</f>
        <v>#REF!</v>
      </c>
      <c r="J1269" s="825">
        <v>25000</v>
      </c>
      <c r="K1269" s="823" t="e">
        <f t="shared" ref="K1269:K1274" si="148">I1269*J1269</f>
        <v>#REF!</v>
      </c>
      <c r="L1269" s="818"/>
    </row>
    <row r="1270" spans="1:12" s="31" customFormat="1" ht="17.25" customHeight="1">
      <c r="A1270" s="821" t="s">
        <v>310</v>
      </c>
      <c r="B1270" s="980" t="s">
        <v>560</v>
      </c>
      <c r="C1270" s="879" t="e">
        <f>VLOOKUP(B1267,'CNKT '!#REF!,11,0)</f>
        <v>#REF!</v>
      </c>
      <c r="D1270" s="826">
        <f>46.1*$B$2</f>
        <v>30805.403000000002</v>
      </c>
      <c r="E1270" s="823" t="e">
        <f t="shared" si="147"/>
        <v>#REF!</v>
      </c>
      <c r="F1270" s="882"/>
      <c r="G1270" s="821" t="s">
        <v>310</v>
      </c>
      <c r="H1270" s="980" t="s">
        <v>560</v>
      </c>
      <c r="I1270" s="879" t="e">
        <f>VLOOKUP(H1267,'CNKT '!#REF!,11,0)</f>
        <v>#REF!</v>
      </c>
      <c r="J1270" s="826">
        <f>46.1*$B$2</f>
        <v>30805.403000000002</v>
      </c>
      <c r="K1270" s="823" t="e">
        <f t="shared" si="148"/>
        <v>#REF!</v>
      </c>
      <c r="L1270" s="818"/>
    </row>
    <row r="1271" spans="1:12" s="31" customFormat="1" ht="17.25" customHeight="1">
      <c r="A1271" s="821" t="s">
        <v>401</v>
      </c>
      <c r="B1271" s="980" t="s">
        <v>561</v>
      </c>
      <c r="C1271" s="879" t="e">
        <f>VLOOKUP(B1267,'CNKT '!#REF!,12,0)</f>
        <v>#REF!</v>
      </c>
      <c r="D1271" s="825">
        <f>76.9*$B$2</f>
        <v>51386.887000000002</v>
      </c>
      <c r="E1271" s="823" t="e">
        <f t="shared" si="147"/>
        <v>#REF!</v>
      </c>
      <c r="F1271" s="882"/>
      <c r="G1271" s="821" t="s">
        <v>401</v>
      </c>
      <c r="H1271" s="980" t="s">
        <v>561</v>
      </c>
      <c r="I1271" s="879" t="e">
        <f>VLOOKUP(H1267,'CNKT '!#REF!,12,0)</f>
        <v>#REF!</v>
      </c>
      <c r="J1271" s="825">
        <f>76.9*$B$2</f>
        <v>51386.887000000002</v>
      </c>
      <c r="K1271" s="823" t="e">
        <f t="shared" si="148"/>
        <v>#REF!</v>
      </c>
      <c r="L1271" s="818"/>
    </row>
    <row r="1272" spans="1:12" s="31" customFormat="1" ht="17.25" customHeight="1">
      <c r="A1272" s="821" t="s">
        <v>80</v>
      </c>
      <c r="B1272" s="980" t="s">
        <v>562</v>
      </c>
      <c r="C1272" s="879" t="e">
        <f>VLOOKUP(B1267,'CNKT '!#REF!,8,0)</f>
        <v>#REF!</v>
      </c>
      <c r="D1272" s="825" t="e">
        <f>IF(C1268="A",6.1,IF(C1268="B",5.8,IF(C1268="C",5.5,IF(C1268="C.",5.5,IF(C1268="D",5.2)))))*$B$2</f>
        <v>#REF!</v>
      </c>
      <c r="E1272" s="823" t="e">
        <f t="shared" si="147"/>
        <v>#REF!</v>
      </c>
      <c r="F1272" s="882"/>
      <c r="G1272" s="821" t="s">
        <v>80</v>
      </c>
      <c r="H1272" s="980" t="s">
        <v>562</v>
      </c>
      <c r="I1272" s="879" t="e">
        <f>VLOOKUP(H1267,'CNKT '!#REF!,8,0)</f>
        <v>#REF!</v>
      </c>
      <c r="J1272" s="825" t="e">
        <f>IF(I1268="A",6.1,IF(I1268="B",5.8,IF(I1268="C",5.5,IF(I1268="C.",5.5,IF(I1268="D",5.2)))))*$B$2</f>
        <v>#REF!</v>
      </c>
      <c r="K1272" s="823" t="e">
        <f t="shared" si="148"/>
        <v>#REF!</v>
      </c>
      <c r="L1272" s="818"/>
    </row>
    <row r="1273" spans="1:12" s="31" customFormat="1" ht="17.25" customHeight="1">
      <c r="A1273" s="821" t="s">
        <v>495</v>
      </c>
      <c r="B1273" s="980" t="s">
        <v>563</v>
      </c>
      <c r="C1273" s="879" t="e">
        <f>VLOOKUP(B1267,'CNKT '!#REF!,15,0)</f>
        <v>#REF!</v>
      </c>
      <c r="D1273" s="826">
        <f>92.2*$B$2</f>
        <v>61610.806000000004</v>
      </c>
      <c r="E1273" s="823" t="e">
        <f t="shared" si="147"/>
        <v>#REF!</v>
      </c>
      <c r="F1273" s="882"/>
      <c r="G1273" s="821" t="s">
        <v>495</v>
      </c>
      <c r="H1273" s="980" t="s">
        <v>563</v>
      </c>
      <c r="I1273" s="879" t="e">
        <f>VLOOKUP(H1267,'CNKT '!#REF!,15,0)</f>
        <v>#REF!</v>
      </c>
      <c r="J1273" s="826">
        <f>92.2*$B$2</f>
        <v>61610.806000000004</v>
      </c>
      <c r="K1273" s="823" t="e">
        <f t="shared" si="148"/>
        <v>#REF!</v>
      </c>
      <c r="L1273" s="818"/>
    </row>
    <row r="1274" spans="1:12" s="31" customFormat="1" ht="17.25" customHeight="1">
      <c r="A1274" s="821" t="s">
        <v>496</v>
      </c>
      <c r="B1274" s="980" t="s">
        <v>500</v>
      </c>
      <c r="C1274" s="879" t="e">
        <f>VLOOKUP(B1267,'CNKT '!#REF!,16,0)</f>
        <v>#REF!</v>
      </c>
      <c r="D1274" s="825">
        <f>153.8*$B$2</f>
        <v>102773.774</v>
      </c>
      <c r="E1274" s="823" t="e">
        <f t="shared" si="147"/>
        <v>#REF!</v>
      </c>
      <c r="F1274" s="882"/>
      <c r="G1274" s="821" t="s">
        <v>496</v>
      </c>
      <c r="H1274" s="980" t="s">
        <v>500</v>
      </c>
      <c r="I1274" s="879" t="e">
        <f>VLOOKUP(H1267,'CNKT '!#REF!,16,0)</f>
        <v>#REF!</v>
      </c>
      <c r="J1274" s="825">
        <f>153.8*$B$2</f>
        <v>102773.774</v>
      </c>
      <c r="K1274" s="823" t="e">
        <f t="shared" si="148"/>
        <v>#REF!</v>
      </c>
      <c r="L1274" s="818"/>
    </row>
    <row r="1275" spans="1:12" s="31" customFormat="1" ht="17.25" customHeight="1">
      <c r="A1275" s="821" t="s">
        <v>455</v>
      </c>
      <c r="B1275" s="980" t="s">
        <v>501</v>
      </c>
      <c r="C1275" s="879" t="e">
        <f>VLOOKUP(B1267,'CNKT '!#REF!,18,0)</f>
        <v>#REF!</v>
      </c>
      <c r="D1275" s="825">
        <v>10000</v>
      </c>
      <c r="E1275" s="823" t="e">
        <f>C1275*D1275</f>
        <v>#REF!</v>
      </c>
      <c r="F1275" s="882"/>
      <c r="G1275" s="821" t="s">
        <v>455</v>
      </c>
      <c r="H1275" s="980" t="s">
        <v>501</v>
      </c>
      <c r="I1275" s="879" t="e">
        <f>VLOOKUP(H1267,'CNKT '!#REF!,18,0)</f>
        <v>#REF!</v>
      </c>
      <c r="J1275" s="825">
        <v>10000</v>
      </c>
      <c r="K1275" s="823" t="e">
        <f>I1275*J1275</f>
        <v>#REF!</v>
      </c>
      <c r="L1275" s="818"/>
    </row>
    <row r="1276" spans="1:12" s="31" customFormat="1" ht="17.25" customHeight="1">
      <c r="A1276" s="821" t="s">
        <v>455</v>
      </c>
      <c r="B1276" s="980" t="s">
        <v>501</v>
      </c>
      <c r="C1276" s="879" t="e">
        <f>VLOOKUP(B1267,'CNKT '!#REF!,19,0)</f>
        <v>#REF!</v>
      </c>
      <c r="D1276" s="825">
        <v>20000</v>
      </c>
      <c r="E1276" s="823" t="e">
        <f>C1276*D1276</f>
        <v>#REF!</v>
      </c>
      <c r="F1276" s="882"/>
      <c r="G1276" s="821" t="s">
        <v>455</v>
      </c>
      <c r="H1276" s="980" t="s">
        <v>501</v>
      </c>
      <c r="I1276" s="879" t="e">
        <f>VLOOKUP(H1267,'CNKT '!#REF!,19,0)</f>
        <v>#REF!</v>
      </c>
      <c r="J1276" s="825">
        <v>20000</v>
      </c>
      <c r="K1276" s="823" t="e">
        <f>I1276*J1276</f>
        <v>#REF!</v>
      </c>
      <c r="L1276" s="818"/>
    </row>
    <row r="1277" spans="1:12" s="31" customFormat="1" ht="17.25" customHeight="1">
      <c r="A1277" s="821" t="s">
        <v>517</v>
      </c>
      <c r="B1277" s="980" t="s">
        <v>519</v>
      </c>
      <c r="C1277" s="879"/>
      <c r="D1277" s="825"/>
      <c r="E1277" s="823"/>
      <c r="F1277" s="882"/>
      <c r="G1277" s="821" t="s">
        <v>517</v>
      </c>
      <c r="H1277" s="980" t="s">
        <v>519</v>
      </c>
      <c r="I1277" s="879"/>
      <c r="J1277" s="825"/>
      <c r="K1277" s="823"/>
      <c r="L1277" s="818"/>
    </row>
    <row r="1278" spans="1:12" s="31" customFormat="1" ht="17.25" customHeight="1">
      <c r="A1278" s="827" t="s">
        <v>81</v>
      </c>
      <c r="B1278" s="981" t="s">
        <v>564</v>
      </c>
      <c r="C1278" s="828"/>
      <c r="D1278" s="829"/>
      <c r="E1278" s="828"/>
      <c r="F1278" s="882"/>
      <c r="G1278" s="827" t="s">
        <v>81</v>
      </c>
      <c r="H1278" s="981" t="s">
        <v>564</v>
      </c>
      <c r="I1278" s="828"/>
      <c r="J1278" s="829"/>
      <c r="K1278" s="828"/>
      <c r="L1278" s="818"/>
    </row>
    <row r="1279" spans="1:12" s="31" customFormat="1" ht="17.25" customHeight="1">
      <c r="A1279" s="830" t="s">
        <v>82</v>
      </c>
      <c r="B1279" s="982" t="s">
        <v>565</v>
      </c>
      <c r="C1279" s="828"/>
      <c r="D1279" s="828"/>
      <c r="E1279" s="828"/>
      <c r="F1279" s="882"/>
      <c r="G1279" s="830" t="s">
        <v>82</v>
      </c>
      <c r="H1279" s="982" t="s">
        <v>565</v>
      </c>
      <c r="I1279" s="828"/>
      <c r="J1279" s="828"/>
      <c r="K1279" s="828"/>
      <c r="L1279" s="818"/>
    </row>
    <row r="1280" spans="1:12" s="31" customFormat="1" ht="17.25" customHeight="1">
      <c r="A1280" s="830" t="s">
        <v>83</v>
      </c>
      <c r="B1280" s="983" t="s">
        <v>566</v>
      </c>
      <c r="C1280" s="828"/>
      <c r="D1280" s="828"/>
      <c r="E1280" s="823">
        <f>SUM(E1279)</f>
        <v>0</v>
      </c>
      <c r="F1280" s="882"/>
      <c r="G1280" s="830" t="s">
        <v>83</v>
      </c>
      <c r="H1280" s="983" t="s">
        <v>566</v>
      </c>
      <c r="I1280" s="828"/>
      <c r="J1280" s="828"/>
      <c r="K1280" s="823">
        <f>SUM(K1279)</f>
        <v>0</v>
      </c>
      <c r="L1280" s="818"/>
    </row>
    <row r="1281" spans="1:12" s="31" customFormat="1" ht="17.25" customHeight="1">
      <c r="A1281" s="832" t="s">
        <v>84</v>
      </c>
      <c r="B1281" s="984" t="s">
        <v>438</v>
      </c>
      <c r="C1281" s="833"/>
      <c r="D1281" s="833"/>
      <c r="E1281" s="833" t="e">
        <f>(E1269+E1270+E1271+E1272+E1273+E1274+E1275+E1276+E1277)-E1280</f>
        <v>#REF!</v>
      </c>
      <c r="F1281" s="882"/>
      <c r="G1281" s="832" t="s">
        <v>84</v>
      </c>
      <c r="H1281" s="984" t="s">
        <v>438</v>
      </c>
      <c r="I1281" s="833"/>
      <c r="J1281" s="833"/>
      <c r="K1281" s="833" t="e">
        <f>(K1269+K1270+K1271+K1272+K1273+K1274+K1275+K1276+K1277)-K1280</f>
        <v>#REF!</v>
      </c>
      <c r="L1281" s="835" t="e">
        <f>E1281+K1281</f>
        <v>#REF!</v>
      </c>
    </row>
    <row r="1282" spans="1:12" s="31" customFormat="1" ht="66.75" customHeight="1">
      <c r="A1282" s="895"/>
      <c r="B1282" s="895"/>
      <c r="C1282" s="895"/>
      <c r="D1282" s="895"/>
      <c r="E1282" s="895"/>
      <c r="F1282" s="873"/>
      <c r="G1282" s="895"/>
      <c r="H1282" s="895"/>
      <c r="I1282" s="895"/>
      <c r="J1282" s="895"/>
      <c r="K1282" s="874"/>
      <c r="L1282" s="818"/>
    </row>
    <row r="1283" spans="1:12" s="31" customFormat="1" ht="17.25" customHeight="1">
      <c r="A1283" s="895" t="str">
        <f>A1266</f>
        <v>LƯƠNG THÁNG 01/2025</v>
      </c>
      <c r="B1283" s="895"/>
      <c r="C1283" s="895"/>
      <c r="D1283" s="895"/>
      <c r="E1283" s="895" t="e">
        <f>VLOOKUP(B1284,'CNKT '!#REF!,26,0)</f>
        <v>#REF!</v>
      </c>
      <c r="F1283" s="873"/>
      <c r="G1283" s="895" t="str">
        <f>A1283</f>
        <v>LƯƠNG THÁNG 01/2025</v>
      </c>
      <c r="H1283" s="895"/>
      <c r="I1283" s="895"/>
      <c r="J1283" s="895"/>
      <c r="K1283" s="895" t="e">
        <f>VLOOKUP(H1284,'CNKT '!#REF!,26,0)</f>
        <v>#REF!</v>
      </c>
      <c r="L1283" s="818"/>
    </row>
    <row r="1284" spans="1:12" s="31" customFormat="1" ht="17.25" customHeight="1">
      <c r="A1284" s="837" t="s">
        <v>17</v>
      </c>
      <c r="B1284" s="976" t="e">
        <f>'CNKT '!#REF!</f>
        <v>#REF!</v>
      </c>
      <c r="C1284" s="822"/>
      <c r="D1284" s="976" t="s">
        <v>398</v>
      </c>
      <c r="E1284" s="976" t="s">
        <v>20</v>
      </c>
      <c r="F1284" s="882"/>
      <c r="G1284" s="837" t="s">
        <v>17</v>
      </c>
      <c r="H1284" s="976" t="e">
        <f>'CNKT '!#REF!</f>
        <v>#REF!</v>
      </c>
      <c r="I1284" s="822"/>
      <c r="J1284" s="976" t="s">
        <v>398</v>
      </c>
      <c r="K1284" s="976" t="s">
        <v>20</v>
      </c>
      <c r="L1284" s="818"/>
    </row>
    <row r="1285" spans="1:12" s="31" customFormat="1" ht="17.25" customHeight="1">
      <c r="A1285" s="821" t="s">
        <v>399</v>
      </c>
      <c r="B1285" s="978" t="s">
        <v>559</v>
      </c>
      <c r="C1285" s="822" t="e">
        <f>VLOOKUP(B1284,'BTH mủ tạp'!#REF!,36,0)</f>
        <v>#REF!</v>
      </c>
      <c r="D1285" s="823"/>
      <c r="E1285" s="823"/>
      <c r="F1285" s="882"/>
      <c r="G1285" s="821" t="s">
        <v>399</v>
      </c>
      <c r="H1285" s="978" t="s">
        <v>559</v>
      </c>
      <c r="I1285" s="822" t="e">
        <f>VLOOKUP(H1284,'BTH mủ tạp'!#REF!,36,0)</f>
        <v>#REF!</v>
      </c>
      <c r="J1285" s="823"/>
      <c r="K1285" s="823"/>
      <c r="L1285" s="818"/>
    </row>
    <row r="1286" spans="1:12" s="31" customFormat="1" ht="17.25" customHeight="1">
      <c r="A1286" s="821" t="s">
        <v>79</v>
      </c>
      <c r="B1286" s="979" t="s">
        <v>432</v>
      </c>
      <c r="C1286" s="824" t="e">
        <f>VLOOKUP(B1284,'CNKT '!#REF!,3,0)</f>
        <v>#REF!</v>
      </c>
      <c r="D1286" s="825">
        <v>25000</v>
      </c>
      <c r="E1286" s="823" t="e">
        <f t="shared" ref="E1286:E1291" si="149">C1286*D1286</f>
        <v>#REF!</v>
      </c>
      <c r="F1286" s="882"/>
      <c r="G1286" s="821" t="s">
        <v>79</v>
      </c>
      <c r="H1286" s="979" t="s">
        <v>432</v>
      </c>
      <c r="I1286" s="824" t="e">
        <f>VLOOKUP(H1284,'CNKT '!#REF!,3,0)</f>
        <v>#REF!</v>
      </c>
      <c r="J1286" s="825">
        <v>25000</v>
      </c>
      <c r="K1286" s="823" t="e">
        <f t="shared" ref="K1286:K1291" si="150">I1286*J1286</f>
        <v>#REF!</v>
      </c>
      <c r="L1286" s="818"/>
    </row>
    <row r="1287" spans="1:12" s="31" customFormat="1" ht="17.25" customHeight="1">
      <c r="A1287" s="821" t="s">
        <v>310</v>
      </c>
      <c r="B1287" s="980" t="s">
        <v>560</v>
      </c>
      <c r="C1287" s="879" t="e">
        <f>VLOOKUP(B1284,'CNKT '!#REF!,11,0)</f>
        <v>#REF!</v>
      </c>
      <c r="D1287" s="826">
        <f>46.1*$B$2</f>
        <v>30805.403000000002</v>
      </c>
      <c r="E1287" s="823" t="e">
        <f t="shared" si="149"/>
        <v>#REF!</v>
      </c>
      <c r="F1287" s="882"/>
      <c r="G1287" s="821" t="s">
        <v>310</v>
      </c>
      <c r="H1287" s="980" t="s">
        <v>560</v>
      </c>
      <c r="I1287" s="879" t="e">
        <f>VLOOKUP(H1284,'CNKT '!#REF!,11,0)</f>
        <v>#REF!</v>
      </c>
      <c r="J1287" s="826">
        <f>46.1*$B$2</f>
        <v>30805.403000000002</v>
      </c>
      <c r="K1287" s="823" t="e">
        <f t="shared" si="150"/>
        <v>#REF!</v>
      </c>
      <c r="L1287" s="818"/>
    </row>
    <row r="1288" spans="1:12" s="31" customFormat="1" ht="17.25" customHeight="1">
      <c r="A1288" s="821" t="s">
        <v>401</v>
      </c>
      <c r="B1288" s="980" t="s">
        <v>561</v>
      </c>
      <c r="C1288" s="879" t="e">
        <f>VLOOKUP(B1284,'CNKT '!#REF!,12,0)</f>
        <v>#REF!</v>
      </c>
      <c r="D1288" s="825">
        <f>76.9*$B$2</f>
        <v>51386.887000000002</v>
      </c>
      <c r="E1288" s="823" t="e">
        <f t="shared" si="149"/>
        <v>#REF!</v>
      </c>
      <c r="F1288" s="882"/>
      <c r="G1288" s="821" t="s">
        <v>401</v>
      </c>
      <c r="H1288" s="980" t="s">
        <v>561</v>
      </c>
      <c r="I1288" s="879" t="e">
        <f>VLOOKUP(H1284,'CNKT '!#REF!,12,0)</f>
        <v>#REF!</v>
      </c>
      <c r="J1288" s="825">
        <f>76.9*$B$2</f>
        <v>51386.887000000002</v>
      </c>
      <c r="K1288" s="823" t="e">
        <f t="shared" si="150"/>
        <v>#REF!</v>
      </c>
      <c r="L1288" s="818"/>
    </row>
    <row r="1289" spans="1:12" s="31" customFormat="1" ht="17.25" customHeight="1">
      <c r="A1289" s="821" t="s">
        <v>80</v>
      </c>
      <c r="B1289" s="980" t="s">
        <v>562</v>
      </c>
      <c r="C1289" s="879" t="e">
        <f>VLOOKUP(B1284,'CNKT '!#REF!,8,0)</f>
        <v>#REF!</v>
      </c>
      <c r="D1289" s="825" t="e">
        <f>IF(C1285="A",6.1,IF(C1285="B",5.8,IF(C1285="C",5.5,IF(C1285="C.",5.5,IF(C1285="D",5.2)))))*$B$2</f>
        <v>#REF!</v>
      </c>
      <c r="E1289" s="823" t="e">
        <f t="shared" si="149"/>
        <v>#REF!</v>
      </c>
      <c r="F1289" s="882"/>
      <c r="G1289" s="821" t="s">
        <v>80</v>
      </c>
      <c r="H1289" s="980" t="s">
        <v>562</v>
      </c>
      <c r="I1289" s="879" t="e">
        <f>VLOOKUP(H1284,'CNKT '!#REF!,8,0)</f>
        <v>#REF!</v>
      </c>
      <c r="J1289" s="825" t="e">
        <f>IF(I1285="A",6.1,IF(I1285="B",5.8,IF(I1285="C",5.5,IF(I1285="C.",5.5,IF(I1285="D",5.2)))))*$B$2</f>
        <v>#REF!</v>
      </c>
      <c r="K1289" s="823" t="e">
        <f t="shared" si="150"/>
        <v>#REF!</v>
      </c>
      <c r="L1289" s="818"/>
    </row>
    <row r="1290" spans="1:12" s="31" customFormat="1" ht="17.25" customHeight="1">
      <c r="A1290" s="821" t="s">
        <v>495</v>
      </c>
      <c r="B1290" s="980" t="s">
        <v>563</v>
      </c>
      <c r="C1290" s="879" t="e">
        <f>VLOOKUP(B1284,'CNKT '!#REF!,15,0)</f>
        <v>#REF!</v>
      </c>
      <c r="D1290" s="826">
        <f>92.2*$B$2</f>
        <v>61610.806000000004</v>
      </c>
      <c r="E1290" s="823" t="e">
        <f t="shared" si="149"/>
        <v>#REF!</v>
      </c>
      <c r="F1290" s="882"/>
      <c r="G1290" s="821" t="s">
        <v>495</v>
      </c>
      <c r="H1290" s="980" t="s">
        <v>563</v>
      </c>
      <c r="I1290" s="879" t="e">
        <f>VLOOKUP(H1284,'CNKT '!#REF!,15,0)</f>
        <v>#REF!</v>
      </c>
      <c r="J1290" s="826">
        <f>92.2*$B$2</f>
        <v>61610.806000000004</v>
      </c>
      <c r="K1290" s="823" t="e">
        <f t="shared" si="150"/>
        <v>#REF!</v>
      </c>
      <c r="L1290" s="818"/>
    </row>
    <row r="1291" spans="1:12" s="31" customFormat="1" ht="17.25" customHeight="1">
      <c r="A1291" s="821" t="s">
        <v>496</v>
      </c>
      <c r="B1291" s="980" t="s">
        <v>500</v>
      </c>
      <c r="C1291" s="879" t="e">
        <f>VLOOKUP(B1284,'CNKT '!#REF!,16,0)</f>
        <v>#REF!</v>
      </c>
      <c r="D1291" s="825">
        <f>153.8*$B$2</f>
        <v>102773.774</v>
      </c>
      <c r="E1291" s="823" t="e">
        <f t="shared" si="149"/>
        <v>#REF!</v>
      </c>
      <c r="F1291" s="882"/>
      <c r="G1291" s="821" t="s">
        <v>496</v>
      </c>
      <c r="H1291" s="980" t="s">
        <v>500</v>
      </c>
      <c r="I1291" s="879" t="e">
        <f>VLOOKUP(H1284,'CNKT '!#REF!,16,0)</f>
        <v>#REF!</v>
      </c>
      <c r="J1291" s="825">
        <f>153.8*$B$2</f>
        <v>102773.774</v>
      </c>
      <c r="K1291" s="823" t="e">
        <f t="shared" si="150"/>
        <v>#REF!</v>
      </c>
      <c r="L1291" s="818"/>
    </row>
    <row r="1292" spans="1:12" s="31" customFormat="1" ht="17.25" customHeight="1">
      <c r="A1292" s="821" t="s">
        <v>455</v>
      </c>
      <c r="B1292" s="980" t="s">
        <v>501</v>
      </c>
      <c r="C1292" s="879" t="e">
        <f>VLOOKUP(B1284,'CNKT '!#REF!,18,0)</f>
        <v>#REF!</v>
      </c>
      <c r="D1292" s="825">
        <v>10000</v>
      </c>
      <c r="E1292" s="823" t="e">
        <f>C1292*D1292</f>
        <v>#REF!</v>
      </c>
      <c r="F1292" s="882"/>
      <c r="G1292" s="821" t="s">
        <v>455</v>
      </c>
      <c r="H1292" s="980" t="s">
        <v>501</v>
      </c>
      <c r="I1292" s="879" t="e">
        <f>VLOOKUP(H1284,'CNKT '!#REF!,18,0)</f>
        <v>#REF!</v>
      </c>
      <c r="J1292" s="825">
        <v>10000</v>
      </c>
      <c r="K1292" s="823" t="e">
        <f>I1292*J1292</f>
        <v>#REF!</v>
      </c>
      <c r="L1292" s="818"/>
    </row>
    <row r="1293" spans="1:12" s="31" customFormat="1" ht="17.25" customHeight="1">
      <c r="A1293" s="821" t="s">
        <v>455</v>
      </c>
      <c r="B1293" s="980" t="s">
        <v>501</v>
      </c>
      <c r="C1293" s="879" t="e">
        <f>VLOOKUP(B1284,'CNKT '!#REF!,19,0)</f>
        <v>#REF!</v>
      </c>
      <c r="D1293" s="825">
        <v>20000</v>
      </c>
      <c r="E1293" s="823" t="e">
        <f>C1293*D1293</f>
        <v>#REF!</v>
      </c>
      <c r="F1293" s="882"/>
      <c r="G1293" s="821" t="s">
        <v>455</v>
      </c>
      <c r="H1293" s="980" t="s">
        <v>501</v>
      </c>
      <c r="I1293" s="879" t="e">
        <f>VLOOKUP(H1284,'CNKT '!#REF!,19,0)</f>
        <v>#REF!</v>
      </c>
      <c r="J1293" s="825">
        <v>20000</v>
      </c>
      <c r="K1293" s="823" t="e">
        <f>I1293*J1293</f>
        <v>#REF!</v>
      </c>
      <c r="L1293" s="818"/>
    </row>
    <row r="1294" spans="1:12" s="31" customFormat="1" ht="17.25" customHeight="1">
      <c r="A1294" s="821" t="s">
        <v>517</v>
      </c>
      <c r="B1294" s="980" t="s">
        <v>519</v>
      </c>
      <c r="C1294" s="879"/>
      <c r="D1294" s="825"/>
      <c r="E1294" s="823"/>
      <c r="F1294" s="882"/>
      <c r="G1294" s="821" t="s">
        <v>517</v>
      </c>
      <c r="H1294" s="980" t="s">
        <v>519</v>
      </c>
      <c r="I1294" s="879"/>
      <c r="J1294" s="825"/>
      <c r="K1294" s="823"/>
      <c r="L1294" s="818"/>
    </row>
    <row r="1295" spans="1:12" s="31" customFormat="1" ht="17.25" customHeight="1">
      <c r="A1295" s="827" t="s">
        <v>81</v>
      </c>
      <c r="B1295" s="981" t="s">
        <v>564</v>
      </c>
      <c r="C1295" s="828"/>
      <c r="D1295" s="829"/>
      <c r="E1295" s="828"/>
      <c r="F1295" s="882"/>
      <c r="G1295" s="827" t="s">
        <v>81</v>
      </c>
      <c r="H1295" s="981" t="s">
        <v>564</v>
      </c>
      <c r="I1295" s="828"/>
      <c r="J1295" s="829"/>
      <c r="K1295" s="828"/>
      <c r="L1295" s="818"/>
    </row>
    <row r="1296" spans="1:12" s="31" customFormat="1" ht="17.25" customHeight="1">
      <c r="A1296" s="830" t="s">
        <v>82</v>
      </c>
      <c r="B1296" s="982" t="s">
        <v>565</v>
      </c>
      <c r="C1296" s="828"/>
      <c r="D1296" s="828"/>
      <c r="E1296" s="828"/>
      <c r="F1296" s="882"/>
      <c r="G1296" s="830" t="s">
        <v>82</v>
      </c>
      <c r="H1296" s="982" t="s">
        <v>565</v>
      </c>
      <c r="I1296" s="828"/>
      <c r="J1296" s="828"/>
      <c r="K1296" s="828"/>
      <c r="L1296" s="818"/>
    </row>
    <row r="1297" spans="1:12" s="31" customFormat="1" ht="17.25" customHeight="1">
      <c r="A1297" s="830" t="s">
        <v>83</v>
      </c>
      <c r="B1297" s="983" t="s">
        <v>566</v>
      </c>
      <c r="C1297" s="828"/>
      <c r="D1297" s="828"/>
      <c r="E1297" s="823">
        <f>SUM(E1296)</f>
        <v>0</v>
      </c>
      <c r="F1297" s="882"/>
      <c r="G1297" s="830" t="s">
        <v>83</v>
      </c>
      <c r="H1297" s="983" t="s">
        <v>566</v>
      </c>
      <c r="I1297" s="828"/>
      <c r="J1297" s="828"/>
      <c r="K1297" s="823">
        <f>SUM(K1296)</f>
        <v>0</v>
      </c>
      <c r="L1297" s="818"/>
    </row>
    <row r="1298" spans="1:12" s="31" customFormat="1" ht="17.25" customHeight="1">
      <c r="A1298" s="832" t="s">
        <v>84</v>
      </c>
      <c r="B1298" s="984" t="s">
        <v>438</v>
      </c>
      <c r="C1298" s="833"/>
      <c r="D1298" s="833"/>
      <c r="E1298" s="833" t="e">
        <f>(E1286+E1287+E1288+E1289+E1290+E1291+E1292+E1293+E1294)-E1297</f>
        <v>#REF!</v>
      </c>
      <c r="F1298" s="882"/>
      <c r="G1298" s="832" t="s">
        <v>84</v>
      </c>
      <c r="H1298" s="984" t="s">
        <v>438</v>
      </c>
      <c r="I1298" s="833"/>
      <c r="J1298" s="833"/>
      <c r="K1298" s="833" t="e">
        <f>(K1286+K1287+K1288+K1289+K1290+K1291+K1292+K1293+K1294)-K1297</f>
        <v>#REF!</v>
      </c>
      <c r="L1298" s="835" t="e">
        <f>E1298+K1298</f>
        <v>#REF!</v>
      </c>
    </row>
    <row r="1299" spans="1:12" s="31" customFormat="1" ht="17.25" customHeight="1">
      <c r="A1299" s="895"/>
      <c r="B1299" s="895"/>
      <c r="C1299" s="895"/>
      <c r="D1299" s="895"/>
      <c r="E1299" s="895"/>
      <c r="F1299" s="873"/>
      <c r="G1299" s="895"/>
      <c r="H1299" s="895"/>
      <c r="I1299" s="895"/>
      <c r="J1299" s="895"/>
      <c r="K1299" s="874"/>
      <c r="L1299" s="818"/>
    </row>
    <row r="1300" spans="1:12" s="31" customFormat="1" ht="17.25" customHeight="1">
      <c r="A1300" s="895" t="str">
        <f>A1283</f>
        <v>LƯƠNG THÁNG 01/2025</v>
      </c>
      <c r="B1300" s="895"/>
      <c r="C1300" s="895"/>
      <c r="D1300" s="895"/>
      <c r="E1300" s="895" t="e">
        <f>VLOOKUP(B1301,'CNKT '!#REF!,26,0)</f>
        <v>#REF!</v>
      </c>
      <c r="F1300" s="873"/>
      <c r="G1300" s="895" t="str">
        <f>A1300</f>
        <v>LƯƠNG THÁNG 01/2025</v>
      </c>
      <c r="H1300" s="895"/>
      <c r="I1300" s="895"/>
      <c r="J1300" s="895"/>
      <c r="K1300" s="895" t="e">
        <f>VLOOKUP(H1301,'CNKT '!#REF!,26,0)</f>
        <v>#REF!</v>
      </c>
      <c r="L1300" s="818"/>
    </row>
    <row r="1301" spans="1:12" s="31" customFormat="1" ht="17.25" customHeight="1">
      <c r="A1301" s="837" t="s">
        <v>17</v>
      </c>
      <c r="B1301" s="976" t="e">
        <f>'CNKT '!#REF!</f>
        <v>#REF!</v>
      </c>
      <c r="C1301" s="822"/>
      <c r="D1301" s="976" t="s">
        <v>398</v>
      </c>
      <c r="E1301" s="976" t="s">
        <v>20</v>
      </c>
      <c r="F1301" s="882"/>
      <c r="G1301" s="837" t="s">
        <v>17</v>
      </c>
      <c r="H1301" s="976" t="e">
        <f>'CNKT '!#REF!</f>
        <v>#REF!</v>
      </c>
      <c r="I1301" s="822"/>
      <c r="J1301" s="976" t="s">
        <v>398</v>
      </c>
      <c r="K1301" s="976" t="s">
        <v>20</v>
      </c>
      <c r="L1301" s="818"/>
    </row>
    <row r="1302" spans="1:12" s="31" customFormat="1" ht="17.25" customHeight="1">
      <c r="A1302" s="821" t="s">
        <v>399</v>
      </c>
      <c r="B1302" s="978" t="s">
        <v>559</v>
      </c>
      <c r="C1302" s="822" t="e">
        <f>VLOOKUP(B1301,'BTH mủ tạp'!#REF!,36,0)</f>
        <v>#REF!</v>
      </c>
      <c r="D1302" s="823"/>
      <c r="E1302" s="823"/>
      <c r="F1302" s="882"/>
      <c r="G1302" s="821" t="s">
        <v>399</v>
      </c>
      <c r="H1302" s="978" t="s">
        <v>559</v>
      </c>
      <c r="I1302" s="822" t="e">
        <f>VLOOKUP(H1301,'BTH mủ tạp'!#REF!,36,0)</f>
        <v>#REF!</v>
      </c>
      <c r="J1302" s="823"/>
      <c r="K1302" s="823"/>
      <c r="L1302" s="818"/>
    </row>
    <row r="1303" spans="1:12" s="31" customFormat="1" ht="17.25" customHeight="1">
      <c r="A1303" s="821" t="s">
        <v>79</v>
      </c>
      <c r="B1303" s="979" t="s">
        <v>432</v>
      </c>
      <c r="C1303" s="824" t="e">
        <f>VLOOKUP(B1301,'CNKT '!#REF!,3,0)</f>
        <v>#REF!</v>
      </c>
      <c r="D1303" s="825">
        <v>25000</v>
      </c>
      <c r="E1303" s="823" t="e">
        <f t="shared" ref="E1303:E1308" si="151">C1303*D1303</f>
        <v>#REF!</v>
      </c>
      <c r="F1303" s="882"/>
      <c r="G1303" s="821" t="s">
        <v>79</v>
      </c>
      <c r="H1303" s="979" t="s">
        <v>432</v>
      </c>
      <c r="I1303" s="824" t="e">
        <f>VLOOKUP(H1301,'CNKT '!#REF!,3,0)</f>
        <v>#REF!</v>
      </c>
      <c r="J1303" s="825">
        <v>25000</v>
      </c>
      <c r="K1303" s="823" t="e">
        <f t="shared" ref="K1303:K1308" si="152">I1303*J1303</f>
        <v>#REF!</v>
      </c>
      <c r="L1303" s="818"/>
    </row>
    <row r="1304" spans="1:12" s="31" customFormat="1" ht="17.25" customHeight="1">
      <c r="A1304" s="821" t="s">
        <v>310</v>
      </c>
      <c r="B1304" s="980" t="s">
        <v>560</v>
      </c>
      <c r="C1304" s="879" t="e">
        <f>VLOOKUP(B1301,'CNKT '!#REF!,11,0)</f>
        <v>#REF!</v>
      </c>
      <c r="D1304" s="826">
        <f>46.1*$B$2</f>
        <v>30805.403000000002</v>
      </c>
      <c r="E1304" s="823" t="e">
        <f t="shared" si="151"/>
        <v>#REF!</v>
      </c>
      <c r="F1304" s="882"/>
      <c r="G1304" s="821" t="s">
        <v>310</v>
      </c>
      <c r="H1304" s="980" t="s">
        <v>560</v>
      </c>
      <c r="I1304" s="879" t="e">
        <f>VLOOKUP(H1301,'CNKT '!#REF!,11,0)</f>
        <v>#REF!</v>
      </c>
      <c r="J1304" s="826">
        <f>46.1*$B$2</f>
        <v>30805.403000000002</v>
      </c>
      <c r="K1304" s="823" t="e">
        <f t="shared" si="152"/>
        <v>#REF!</v>
      </c>
      <c r="L1304" s="818"/>
    </row>
    <row r="1305" spans="1:12" s="31" customFormat="1" ht="17.25" customHeight="1">
      <c r="A1305" s="821" t="s">
        <v>401</v>
      </c>
      <c r="B1305" s="980" t="s">
        <v>561</v>
      </c>
      <c r="C1305" s="879" t="e">
        <f>VLOOKUP(B1301,'CNKT '!#REF!,12,0)</f>
        <v>#REF!</v>
      </c>
      <c r="D1305" s="825">
        <f>76.9*$B$2</f>
        <v>51386.887000000002</v>
      </c>
      <c r="E1305" s="823" t="e">
        <f t="shared" si="151"/>
        <v>#REF!</v>
      </c>
      <c r="F1305" s="882"/>
      <c r="G1305" s="821" t="s">
        <v>401</v>
      </c>
      <c r="H1305" s="980" t="s">
        <v>561</v>
      </c>
      <c r="I1305" s="879" t="e">
        <f>VLOOKUP(H1301,'CNKT '!#REF!,12,0)</f>
        <v>#REF!</v>
      </c>
      <c r="J1305" s="825">
        <f>76.9*$B$2</f>
        <v>51386.887000000002</v>
      </c>
      <c r="K1305" s="823" t="e">
        <f t="shared" si="152"/>
        <v>#REF!</v>
      </c>
      <c r="L1305" s="818"/>
    </row>
    <row r="1306" spans="1:12" s="31" customFormat="1" ht="17.25" customHeight="1">
      <c r="A1306" s="821" t="s">
        <v>80</v>
      </c>
      <c r="B1306" s="980" t="s">
        <v>562</v>
      </c>
      <c r="C1306" s="879" t="e">
        <f>VLOOKUP(B1301,'CNKT '!#REF!,8,0)</f>
        <v>#REF!</v>
      </c>
      <c r="D1306" s="825" t="e">
        <f>IF(C1302="A",6.1,IF(C1302="B",5.8,IF(C1302="C",5.5,IF(C1302="C.",5.5,IF(C1302="D",5.2)))))*$B$2</f>
        <v>#REF!</v>
      </c>
      <c r="E1306" s="823" t="e">
        <f t="shared" si="151"/>
        <v>#REF!</v>
      </c>
      <c r="F1306" s="882"/>
      <c r="G1306" s="821" t="s">
        <v>80</v>
      </c>
      <c r="H1306" s="980" t="s">
        <v>562</v>
      </c>
      <c r="I1306" s="879" t="e">
        <f>VLOOKUP(H1301,'CNKT '!#REF!,8,0)</f>
        <v>#REF!</v>
      </c>
      <c r="J1306" s="825" t="e">
        <f>IF(I1302="A",6.1,IF(I1302="B",5.8,IF(I1302="C",5.5,IF(I1302="C.",5.5,IF(I1302="D",5.2)))))*$B$2</f>
        <v>#REF!</v>
      </c>
      <c r="K1306" s="823" t="e">
        <f t="shared" si="152"/>
        <v>#REF!</v>
      </c>
      <c r="L1306" s="818"/>
    </row>
    <row r="1307" spans="1:12" s="31" customFormat="1" ht="17.25" customHeight="1">
      <c r="A1307" s="821" t="s">
        <v>495</v>
      </c>
      <c r="B1307" s="980" t="s">
        <v>563</v>
      </c>
      <c r="C1307" s="879" t="e">
        <f>VLOOKUP(B1301,'CNKT '!#REF!,15,0)</f>
        <v>#REF!</v>
      </c>
      <c r="D1307" s="826">
        <f>92.2*$B$2</f>
        <v>61610.806000000004</v>
      </c>
      <c r="E1307" s="823" t="e">
        <f t="shared" si="151"/>
        <v>#REF!</v>
      </c>
      <c r="F1307" s="882"/>
      <c r="G1307" s="821" t="s">
        <v>495</v>
      </c>
      <c r="H1307" s="980" t="s">
        <v>563</v>
      </c>
      <c r="I1307" s="879" t="e">
        <f>VLOOKUP(H1301,'CNKT '!#REF!,15,0)</f>
        <v>#REF!</v>
      </c>
      <c r="J1307" s="826">
        <f>92.2*$B$2</f>
        <v>61610.806000000004</v>
      </c>
      <c r="K1307" s="823" t="e">
        <f t="shared" si="152"/>
        <v>#REF!</v>
      </c>
      <c r="L1307" s="818"/>
    </row>
    <row r="1308" spans="1:12" s="31" customFormat="1" ht="17.25" customHeight="1">
      <c r="A1308" s="821" t="s">
        <v>496</v>
      </c>
      <c r="B1308" s="980" t="s">
        <v>500</v>
      </c>
      <c r="C1308" s="879" t="e">
        <f>VLOOKUP(B1301,'CNKT '!#REF!,16,0)</f>
        <v>#REF!</v>
      </c>
      <c r="D1308" s="825">
        <f>153.8*$B$2</f>
        <v>102773.774</v>
      </c>
      <c r="E1308" s="823" t="e">
        <f t="shared" si="151"/>
        <v>#REF!</v>
      </c>
      <c r="F1308" s="882"/>
      <c r="G1308" s="821" t="s">
        <v>496</v>
      </c>
      <c r="H1308" s="980" t="s">
        <v>500</v>
      </c>
      <c r="I1308" s="879" t="e">
        <f>VLOOKUP(H1301,'CNKT '!#REF!,16,0)</f>
        <v>#REF!</v>
      </c>
      <c r="J1308" s="825">
        <f>153.8*$B$2</f>
        <v>102773.774</v>
      </c>
      <c r="K1308" s="823" t="e">
        <f t="shared" si="152"/>
        <v>#REF!</v>
      </c>
      <c r="L1308" s="818"/>
    </row>
    <row r="1309" spans="1:12" s="31" customFormat="1" ht="17.25" customHeight="1">
      <c r="A1309" s="821" t="s">
        <v>455</v>
      </c>
      <c r="B1309" s="980" t="s">
        <v>501</v>
      </c>
      <c r="C1309" s="879" t="e">
        <f>VLOOKUP(B1301,'CNKT '!#REF!,18,0)</f>
        <v>#REF!</v>
      </c>
      <c r="D1309" s="825">
        <v>10000</v>
      </c>
      <c r="E1309" s="823" t="e">
        <f>C1309*D1309</f>
        <v>#REF!</v>
      </c>
      <c r="F1309" s="882"/>
      <c r="G1309" s="821" t="s">
        <v>455</v>
      </c>
      <c r="H1309" s="980" t="s">
        <v>501</v>
      </c>
      <c r="I1309" s="879" t="e">
        <f>VLOOKUP(H1301,'CNKT '!#REF!,18,0)</f>
        <v>#REF!</v>
      </c>
      <c r="J1309" s="825">
        <v>10000</v>
      </c>
      <c r="K1309" s="823" t="e">
        <f>I1309*J1309</f>
        <v>#REF!</v>
      </c>
      <c r="L1309" s="818"/>
    </row>
    <row r="1310" spans="1:12" s="31" customFormat="1" ht="17.25" customHeight="1">
      <c r="A1310" s="821" t="s">
        <v>455</v>
      </c>
      <c r="B1310" s="980" t="s">
        <v>501</v>
      </c>
      <c r="C1310" s="879" t="e">
        <f>VLOOKUP(B1301,'CNKT '!#REF!,19,0)</f>
        <v>#REF!</v>
      </c>
      <c r="D1310" s="825">
        <v>20000</v>
      </c>
      <c r="E1310" s="823" t="e">
        <f>C1310*D1310</f>
        <v>#REF!</v>
      </c>
      <c r="F1310" s="882"/>
      <c r="G1310" s="821" t="s">
        <v>455</v>
      </c>
      <c r="H1310" s="980" t="s">
        <v>501</v>
      </c>
      <c r="I1310" s="879" t="e">
        <f>VLOOKUP(H1301,'CNKT '!#REF!,19,0)</f>
        <v>#REF!</v>
      </c>
      <c r="J1310" s="825">
        <v>20000</v>
      </c>
      <c r="K1310" s="823" t="e">
        <f>I1310*J1310</f>
        <v>#REF!</v>
      </c>
      <c r="L1310" s="818"/>
    </row>
    <row r="1311" spans="1:12" s="31" customFormat="1" ht="17.25" customHeight="1">
      <c r="A1311" s="821" t="s">
        <v>517</v>
      </c>
      <c r="B1311" s="980" t="s">
        <v>519</v>
      </c>
      <c r="C1311" s="879"/>
      <c r="D1311" s="825"/>
      <c r="E1311" s="823"/>
      <c r="F1311" s="882"/>
      <c r="G1311" s="821" t="s">
        <v>517</v>
      </c>
      <c r="H1311" s="980" t="s">
        <v>519</v>
      </c>
      <c r="I1311" s="879"/>
      <c r="J1311" s="825"/>
      <c r="K1311" s="823"/>
      <c r="L1311" s="818"/>
    </row>
    <row r="1312" spans="1:12" s="31" customFormat="1" ht="17.25" customHeight="1">
      <c r="A1312" s="827" t="s">
        <v>81</v>
      </c>
      <c r="B1312" s="981" t="s">
        <v>564</v>
      </c>
      <c r="C1312" s="828"/>
      <c r="D1312" s="829"/>
      <c r="E1312" s="828"/>
      <c r="F1312" s="882"/>
      <c r="G1312" s="827" t="s">
        <v>81</v>
      </c>
      <c r="H1312" s="981" t="s">
        <v>564</v>
      </c>
      <c r="I1312" s="828"/>
      <c r="J1312" s="829"/>
      <c r="K1312" s="828"/>
      <c r="L1312" s="818"/>
    </row>
    <row r="1313" spans="1:12" s="31" customFormat="1" ht="17.25" customHeight="1">
      <c r="A1313" s="830" t="s">
        <v>82</v>
      </c>
      <c r="B1313" s="982" t="s">
        <v>565</v>
      </c>
      <c r="C1313" s="828"/>
      <c r="D1313" s="828"/>
      <c r="E1313" s="828"/>
      <c r="F1313" s="882"/>
      <c r="G1313" s="830" t="s">
        <v>82</v>
      </c>
      <c r="H1313" s="982" t="s">
        <v>565</v>
      </c>
      <c r="I1313" s="828"/>
      <c r="J1313" s="828"/>
      <c r="K1313" s="828"/>
      <c r="L1313" s="818"/>
    </row>
    <row r="1314" spans="1:12" s="31" customFormat="1" ht="17.25" customHeight="1">
      <c r="A1314" s="830" t="s">
        <v>83</v>
      </c>
      <c r="B1314" s="983" t="s">
        <v>566</v>
      </c>
      <c r="C1314" s="828"/>
      <c r="D1314" s="828"/>
      <c r="E1314" s="823">
        <f>SUM(E1313)</f>
        <v>0</v>
      </c>
      <c r="F1314" s="882"/>
      <c r="G1314" s="830" t="s">
        <v>83</v>
      </c>
      <c r="H1314" s="983" t="s">
        <v>566</v>
      </c>
      <c r="I1314" s="828"/>
      <c r="J1314" s="828"/>
      <c r="K1314" s="823">
        <f>SUM(K1313)</f>
        <v>0</v>
      </c>
      <c r="L1314" s="818"/>
    </row>
    <row r="1315" spans="1:12" s="31" customFormat="1" ht="17.25" customHeight="1">
      <c r="A1315" s="832" t="s">
        <v>84</v>
      </c>
      <c r="B1315" s="984" t="s">
        <v>438</v>
      </c>
      <c r="C1315" s="833"/>
      <c r="D1315" s="833"/>
      <c r="E1315" s="833" t="e">
        <f>(E1303+E1304+E1305+E1306+E1307+E1308+E1309+E1310+E1311)-E1314</f>
        <v>#REF!</v>
      </c>
      <c r="F1315" s="882"/>
      <c r="G1315" s="832" t="s">
        <v>84</v>
      </c>
      <c r="H1315" s="984" t="s">
        <v>438</v>
      </c>
      <c r="I1315" s="833"/>
      <c r="J1315" s="833"/>
      <c r="K1315" s="833" t="e">
        <f>(K1303+K1304+K1305+K1306+K1307+K1308+K1309+K1310+K1311)-K1314</f>
        <v>#REF!</v>
      </c>
      <c r="L1315" s="835" t="e">
        <f>E1315+K1315</f>
        <v>#REF!</v>
      </c>
    </row>
    <row r="1316" spans="1:12" s="31" customFormat="1" ht="17.25" customHeight="1">
      <c r="A1316" s="895"/>
      <c r="B1316" s="895"/>
      <c r="C1316" s="895"/>
      <c r="D1316" s="895"/>
      <c r="E1316" s="895"/>
      <c r="F1316" s="873"/>
      <c r="G1316" s="895"/>
      <c r="H1316" s="895"/>
      <c r="I1316" s="895"/>
      <c r="J1316" s="895"/>
      <c r="K1316" s="874"/>
      <c r="L1316" s="818"/>
    </row>
    <row r="1317" spans="1:12" s="31" customFormat="1" ht="17.25" customHeight="1">
      <c r="A1317" s="895" t="str">
        <f>A1300</f>
        <v>LƯƠNG THÁNG 01/2025</v>
      </c>
      <c r="B1317" s="895"/>
      <c r="C1317" s="895"/>
      <c r="D1317" s="895"/>
      <c r="E1317" s="895" t="e">
        <f>VLOOKUP(B1318,'CNKT '!#REF!,26,0)</f>
        <v>#REF!</v>
      </c>
      <c r="F1317" s="873"/>
      <c r="G1317" s="895" t="str">
        <f>A1317</f>
        <v>LƯƠNG THÁNG 01/2025</v>
      </c>
      <c r="H1317" s="895"/>
      <c r="I1317" s="895"/>
      <c r="J1317" s="895"/>
      <c r="K1317" s="895" t="e">
        <f>VLOOKUP(H1318,'CNKT '!#REF!,26,0)</f>
        <v>#REF!</v>
      </c>
      <c r="L1317" s="818"/>
    </row>
    <row r="1318" spans="1:12" s="31" customFormat="1" ht="17.25" customHeight="1">
      <c r="A1318" s="837" t="s">
        <v>17</v>
      </c>
      <c r="B1318" s="976" t="e">
        <f>'CNKT '!#REF!</f>
        <v>#REF!</v>
      </c>
      <c r="C1318" s="822"/>
      <c r="D1318" s="976" t="s">
        <v>398</v>
      </c>
      <c r="E1318" s="976" t="s">
        <v>20</v>
      </c>
      <c r="F1318" s="882"/>
      <c r="G1318" s="837" t="s">
        <v>17</v>
      </c>
      <c r="H1318" s="976" t="e">
        <f>'CNKT '!#REF!</f>
        <v>#REF!</v>
      </c>
      <c r="I1318" s="822"/>
      <c r="J1318" s="976" t="s">
        <v>398</v>
      </c>
      <c r="K1318" s="976" t="s">
        <v>20</v>
      </c>
      <c r="L1318" s="818"/>
    </row>
    <row r="1319" spans="1:12" s="31" customFormat="1" ht="17.25" customHeight="1">
      <c r="A1319" s="821" t="s">
        <v>399</v>
      </c>
      <c r="B1319" s="978" t="s">
        <v>559</v>
      </c>
      <c r="C1319" s="822" t="e">
        <f>VLOOKUP(B1318,'BTH mủ tạp'!#REF!,36,0)</f>
        <v>#REF!</v>
      </c>
      <c r="D1319" s="823"/>
      <c r="E1319" s="823"/>
      <c r="F1319" s="882"/>
      <c r="G1319" s="821" t="s">
        <v>399</v>
      </c>
      <c r="H1319" s="978" t="s">
        <v>559</v>
      </c>
      <c r="I1319" s="822" t="e">
        <f>VLOOKUP(H1318,'BTH mủ tạp'!#REF!,36,0)</f>
        <v>#REF!</v>
      </c>
      <c r="J1319" s="823"/>
      <c r="K1319" s="823"/>
      <c r="L1319" s="818"/>
    </row>
    <row r="1320" spans="1:12" s="31" customFormat="1" ht="17.25" customHeight="1">
      <c r="A1320" s="821" t="s">
        <v>79</v>
      </c>
      <c r="B1320" s="979" t="s">
        <v>432</v>
      </c>
      <c r="C1320" s="824" t="e">
        <f>VLOOKUP(B1318,'CNKT '!#REF!,3,0)</f>
        <v>#REF!</v>
      </c>
      <c r="D1320" s="825">
        <v>25000</v>
      </c>
      <c r="E1320" s="823" t="e">
        <f t="shared" ref="E1320:E1325" si="153">C1320*D1320</f>
        <v>#REF!</v>
      </c>
      <c r="F1320" s="882"/>
      <c r="G1320" s="821" t="s">
        <v>79</v>
      </c>
      <c r="H1320" s="979" t="s">
        <v>432</v>
      </c>
      <c r="I1320" s="824" t="e">
        <f>VLOOKUP(H1318,'CNKT '!#REF!,3,0)</f>
        <v>#REF!</v>
      </c>
      <c r="J1320" s="825">
        <v>25000</v>
      </c>
      <c r="K1320" s="823" t="e">
        <f t="shared" ref="K1320:K1325" si="154">I1320*J1320</f>
        <v>#REF!</v>
      </c>
      <c r="L1320" s="818"/>
    </row>
    <row r="1321" spans="1:12" s="31" customFormat="1" ht="17.25" customHeight="1">
      <c r="A1321" s="821" t="s">
        <v>310</v>
      </c>
      <c r="B1321" s="980" t="s">
        <v>560</v>
      </c>
      <c r="C1321" s="879" t="e">
        <f>VLOOKUP(B1318,'CNKT '!#REF!,11,0)</f>
        <v>#REF!</v>
      </c>
      <c r="D1321" s="826">
        <f>46.1*$B$2</f>
        <v>30805.403000000002</v>
      </c>
      <c r="E1321" s="823" t="e">
        <f t="shared" si="153"/>
        <v>#REF!</v>
      </c>
      <c r="F1321" s="882"/>
      <c r="G1321" s="821" t="s">
        <v>310</v>
      </c>
      <c r="H1321" s="980" t="s">
        <v>560</v>
      </c>
      <c r="I1321" s="879" t="e">
        <f>VLOOKUP(H1318,'CNKT '!#REF!,11,0)</f>
        <v>#REF!</v>
      </c>
      <c r="J1321" s="826">
        <f>46.1*$B$2</f>
        <v>30805.403000000002</v>
      </c>
      <c r="K1321" s="823" t="e">
        <f t="shared" si="154"/>
        <v>#REF!</v>
      </c>
      <c r="L1321" s="818"/>
    </row>
    <row r="1322" spans="1:12" s="31" customFormat="1" ht="17.25" customHeight="1">
      <c r="A1322" s="821" t="s">
        <v>401</v>
      </c>
      <c r="B1322" s="980" t="s">
        <v>561</v>
      </c>
      <c r="C1322" s="879" t="e">
        <f>VLOOKUP(B1318,'CNKT '!#REF!,12,0)</f>
        <v>#REF!</v>
      </c>
      <c r="D1322" s="825">
        <f>76.9*$B$2</f>
        <v>51386.887000000002</v>
      </c>
      <c r="E1322" s="823" t="e">
        <f t="shared" si="153"/>
        <v>#REF!</v>
      </c>
      <c r="F1322" s="882"/>
      <c r="G1322" s="821" t="s">
        <v>401</v>
      </c>
      <c r="H1322" s="980" t="s">
        <v>561</v>
      </c>
      <c r="I1322" s="879" t="e">
        <f>VLOOKUP(H1318,'CNKT '!#REF!,12,0)</f>
        <v>#REF!</v>
      </c>
      <c r="J1322" s="825">
        <f>76.9*$B$2</f>
        <v>51386.887000000002</v>
      </c>
      <c r="K1322" s="823" t="e">
        <f t="shared" si="154"/>
        <v>#REF!</v>
      </c>
      <c r="L1322" s="818"/>
    </row>
    <row r="1323" spans="1:12" s="31" customFormat="1" ht="17.25" customHeight="1">
      <c r="A1323" s="821" t="s">
        <v>80</v>
      </c>
      <c r="B1323" s="980" t="s">
        <v>562</v>
      </c>
      <c r="C1323" s="879" t="e">
        <f>VLOOKUP(B1318,'CNKT '!#REF!,8,0)</f>
        <v>#REF!</v>
      </c>
      <c r="D1323" s="825" t="e">
        <f>IF(C1319="A",6.1,IF(C1319="B",5.8,IF(C1319="C",5.5,IF(C1319="C.",5.5,IF(C1319="D",5.2)))))*$B$2</f>
        <v>#REF!</v>
      </c>
      <c r="E1323" s="823" t="e">
        <f t="shared" si="153"/>
        <v>#REF!</v>
      </c>
      <c r="F1323" s="882"/>
      <c r="G1323" s="821" t="s">
        <v>80</v>
      </c>
      <c r="H1323" s="980" t="s">
        <v>562</v>
      </c>
      <c r="I1323" s="879" t="e">
        <f>VLOOKUP(H1318,'CNKT '!#REF!,8,0)</f>
        <v>#REF!</v>
      </c>
      <c r="J1323" s="825" t="e">
        <f>IF(I1319="A",6.1,IF(I1319="B",5.8,IF(I1319="C",5.5,IF(I1319="C.",5.5,IF(I1319="D",5.2)))))*$B$2</f>
        <v>#REF!</v>
      </c>
      <c r="K1323" s="823" t="e">
        <f t="shared" si="154"/>
        <v>#REF!</v>
      </c>
      <c r="L1323" s="818"/>
    </row>
    <row r="1324" spans="1:12" s="31" customFormat="1" ht="17.25" customHeight="1">
      <c r="A1324" s="821" t="s">
        <v>495</v>
      </c>
      <c r="B1324" s="980" t="s">
        <v>563</v>
      </c>
      <c r="C1324" s="879" t="e">
        <f>VLOOKUP(B1318,'CNKT '!#REF!,15,0)</f>
        <v>#REF!</v>
      </c>
      <c r="D1324" s="826">
        <f>92.2*$B$2</f>
        <v>61610.806000000004</v>
      </c>
      <c r="E1324" s="823" t="e">
        <f t="shared" si="153"/>
        <v>#REF!</v>
      </c>
      <c r="F1324" s="882"/>
      <c r="G1324" s="821" t="s">
        <v>495</v>
      </c>
      <c r="H1324" s="980" t="s">
        <v>563</v>
      </c>
      <c r="I1324" s="879" t="e">
        <f>VLOOKUP(H1318,'CNKT '!#REF!,15,0)</f>
        <v>#REF!</v>
      </c>
      <c r="J1324" s="826">
        <f>92.2*$B$2</f>
        <v>61610.806000000004</v>
      </c>
      <c r="K1324" s="823" t="e">
        <f t="shared" si="154"/>
        <v>#REF!</v>
      </c>
      <c r="L1324" s="818"/>
    </row>
    <row r="1325" spans="1:12" s="31" customFormat="1" ht="17.25" customHeight="1">
      <c r="A1325" s="821" t="s">
        <v>496</v>
      </c>
      <c r="B1325" s="980" t="s">
        <v>500</v>
      </c>
      <c r="C1325" s="879" t="e">
        <f>VLOOKUP(B1318,'CNKT '!#REF!,16,0)</f>
        <v>#REF!</v>
      </c>
      <c r="D1325" s="825">
        <f>153.8*$B$2</f>
        <v>102773.774</v>
      </c>
      <c r="E1325" s="823" t="e">
        <f t="shared" si="153"/>
        <v>#REF!</v>
      </c>
      <c r="F1325" s="882"/>
      <c r="G1325" s="821" t="s">
        <v>496</v>
      </c>
      <c r="H1325" s="980" t="s">
        <v>500</v>
      </c>
      <c r="I1325" s="879" t="e">
        <f>VLOOKUP(H1318,'CNKT '!#REF!,16,0)</f>
        <v>#REF!</v>
      </c>
      <c r="J1325" s="825">
        <f>153.8*$B$2</f>
        <v>102773.774</v>
      </c>
      <c r="K1325" s="823" t="e">
        <f t="shared" si="154"/>
        <v>#REF!</v>
      </c>
      <c r="L1325" s="818"/>
    </row>
    <row r="1326" spans="1:12" s="31" customFormat="1" ht="17.25" customHeight="1">
      <c r="A1326" s="821" t="s">
        <v>455</v>
      </c>
      <c r="B1326" s="980" t="s">
        <v>501</v>
      </c>
      <c r="C1326" s="879" t="e">
        <f>VLOOKUP(B1318,'CNKT '!#REF!,18,0)</f>
        <v>#REF!</v>
      </c>
      <c r="D1326" s="825">
        <v>10000</v>
      </c>
      <c r="E1326" s="823" t="e">
        <f>C1326*D1326</f>
        <v>#REF!</v>
      </c>
      <c r="F1326" s="882"/>
      <c r="G1326" s="821" t="s">
        <v>455</v>
      </c>
      <c r="H1326" s="980" t="s">
        <v>501</v>
      </c>
      <c r="I1326" s="879" t="e">
        <f>VLOOKUP(H1318,'CNKT '!#REF!,18,0)</f>
        <v>#REF!</v>
      </c>
      <c r="J1326" s="825">
        <v>10000</v>
      </c>
      <c r="K1326" s="823" t="e">
        <f>I1326*J1326</f>
        <v>#REF!</v>
      </c>
      <c r="L1326" s="818"/>
    </row>
    <row r="1327" spans="1:12" s="31" customFormat="1" ht="17.25" customHeight="1">
      <c r="A1327" s="821" t="s">
        <v>455</v>
      </c>
      <c r="B1327" s="980" t="s">
        <v>501</v>
      </c>
      <c r="C1327" s="879" t="e">
        <f>VLOOKUP(B1318,'CNKT '!#REF!,19,0)</f>
        <v>#REF!</v>
      </c>
      <c r="D1327" s="825">
        <v>20000</v>
      </c>
      <c r="E1327" s="823" t="e">
        <f>C1327*D1327</f>
        <v>#REF!</v>
      </c>
      <c r="F1327" s="882"/>
      <c r="G1327" s="821" t="s">
        <v>455</v>
      </c>
      <c r="H1327" s="980" t="s">
        <v>501</v>
      </c>
      <c r="I1327" s="879" t="e">
        <f>VLOOKUP(H1318,'CNKT '!#REF!,19,0)</f>
        <v>#REF!</v>
      </c>
      <c r="J1327" s="825">
        <v>20000</v>
      </c>
      <c r="K1327" s="823" t="e">
        <f>I1327*J1327</f>
        <v>#REF!</v>
      </c>
      <c r="L1327" s="818"/>
    </row>
    <row r="1328" spans="1:12" s="31" customFormat="1" ht="17.25" customHeight="1">
      <c r="A1328" s="821" t="s">
        <v>517</v>
      </c>
      <c r="B1328" s="980" t="s">
        <v>519</v>
      </c>
      <c r="C1328" s="879"/>
      <c r="D1328" s="825"/>
      <c r="E1328" s="823"/>
      <c r="F1328" s="882"/>
      <c r="G1328" s="821" t="s">
        <v>517</v>
      </c>
      <c r="H1328" s="980" t="s">
        <v>519</v>
      </c>
      <c r="I1328" s="879"/>
      <c r="J1328" s="825"/>
      <c r="K1328" s="823"/>
      <c r="L1328" s="818"/>
    </row>
    <row r="1329" spans="1:12" s="31" customFormat="1" ht="17.25" customHeight="1">
      <c r="A1329" s="827" t="s">
        <v>81</v>
      </c>
      <c r="B1329" s="981" t="s">
        <v>564</v>
      </c>
      <c r="C1329" s="828"/>
      <c r="D1329" s="829"/>
      <c r="E1329" s="828"/>
      <c r="F1329" s="882"/>
      <c r="G1329" s="827" t="s">
        <v>81</v>
      </c>
      <c r="H1329" s="981" t="s">
        <v>564</v>
      </c>
      <c r="I1329" s="828"/>
      <c r="J1329" s="829"/>
      <c r="K1329" s="828"/>
      <c r="L1329" s="818"/>
    </row>
    <row r="1330" spans="1:12" s="31" customFormat="1" ht="17.25" customHeight="1">
      <c r="A1330" s="830" t="s">
        <v>82</v>
      </c>
      <c r="B1330" s="982" t="s">
        <v>565</v>
      </c>
      <c r="C1330" s="828"/>
      <c r="D1330" s="828"/>
      <c r="E1330" s="828"/>
      <c r="F1330" s="882"/>
      <c r="G1330" s="830" t="s">
        <v>82</v>
      </c>
      <c r="H1330" s="982" t="s">
        <v>565</v>
      </c>
      <c r="I1330" s="828"/>
      <c r="J1330" s="828"/>
      <c r="K1330" s="828"/>
      <c r="L1330" s="818"/>
    </row>
    <row r="1331" spans="1:12" s="31" customFormat="1" ht="17.25" customHeight="1">
      <c r="A1331" s="830" t="s">
        <v>83</v>
      </c>
      <c r="B1331" s="983" t="s">
        <v>566</v>
      </c>
      <c r="C1331" s="828"/>
      <c r="D1331" s="828"/>
      <c r="E1331" s="823">
        <f>SUM(E1330)</f>
        <v>0</v>
      </c>
      <c r="F1331" s="882"/>
      <c r="G1331" s="830" t="s">
        <v>83</v>
      </c>
      <c r="H1331" s="983" t="s">
        <v>566</v>
      </c>
      <c r="I1331" s="828"/>
      <c r="J1331" s="828"/>
      <c r="K1331" s="823">
        <f>SUM(K1330)</f>
        <v>0</v>
      </c>
      <c r="L1331" s="818"/>
    </row>
    <row r="1332" spans="1:12" s="31" customFormat="1" ht="17.25" customHeight="1">
      <c r="A1332" s="832" t="s">
        <v>84</v>
      </c>
      <c r="B1332" s="984" t="s">
        <v>438</v>
      </c>
      <c r="C1332" s="833"/>
      <c r="D1332" s="833"/>
      <c r="E1332" s="833" t="e">
        <f>(E1320+E1321+E1322+E1323+E1324+E1325+E1326+E1327+E1328)-E1331</f>
        <v>#REF!</v>
      </c>
      <c r="F1332" s="882"/>
      <c r="G1332" s="832" t="s">
        <v>84</v>
      </c>
      <c r="H1332" s="984" t="s">
        <v>438</v>
      </c>
      <c r="I1332" s="833"/>
      <c r="J1332" s="833"/>
      <c r="K1332" s="833" t="e">
        <f>(K1320+K1321+K1322+K1323+K1324+K1325+K1326+K1327+K1328)-K1331</f>
        <v>#REF!</v>
      </c>
      <c r="L1332" s="835" t="e">
        <f>E1332+K1332</f>
        <v>#REF!</v>
      </c>
    </row>
    <row r="1333" spans="1:12" s="31" customFormat="1" ht="222.75" customHeight="1">
      <c r="A1333" s="895"/>
      <c r="B1333" s="895"/>
      <c r="C1333" s="895"/>
      <c r="D1333" s="895"/>
      <c r="E1333" s="895"/>
      <c r="F1333" s="873"/>
      <c r="G1333" s="895"/>
      <c r="H1333" s="895"/>
      <c r="I1333" s="895"/>
      <c r="J1333" s="895"/>
      <c r="K1333" s="874"/>
      <c r="L1333" s="818"/>
    </row>
    <row r="1334" spans="1:12" s="31" customFormat="1" ht="17.25" customHeight="1">
      <c r="A1334" s="895" t="str">
        <f>A1317</f>
        <v>LƯƠNG THÁNG 01/2025</v>
      </c>
      <c r="B1334" s="895"/>
      <c r="C1334" s="895"/>
      <c r="D1334" s="895"/>
      <c r="E1334" s="895" t="e">
        <f>VLOOKUP(B1335,'CNKT '!#REF!,26,0)</f>
        <v>#REF!</v>
      </c>
      <c r="F1334" s="873"/>
      <c r="G1334" s="895" t="str">
        <f>A1334</f>
        <v>LƯƠNG THÁNG 01/2025</v>
      </c>
      <c r="H1334" s="895"/>
      <c r="I1334" s="895"/>
      <c r="J1334" s="895"/>
      <c r="K1334" s="895" t="e">
        <f>VLOOKUP(H1335,'CNKT '!#REF!,26,0)</f>
        <v>#REF!</v>
      </c>
      <c r="L1334" s="818"/>
    </row>
    <row r="1335" spans="1:12" s="31" customFormat="1" ht="17.25" customHeight="1">
      <c r="A1335" s="837" t="s">
        <v>17</v>
      </c>
      <c r="B1335" s="976" t="e">
        <f>'CNKT '!#REF!</f>
        <v>#REF!</v>
      </c>
      <c r="C1335" s="822"/>
      <c r="D1335" s="976" t="s">
        <v>398</v>
      </c>
      <c r="E1335" s="976" t="s">
        <v>20</v>
      </c>
      <c r="F1335" s="882"/>
      <c r="G1335" s="837" t="s">
        <v>17</v>
      </c>
      <c r="H1335" s="976" t="e">
        <f>'CNKT '!#REF!</f>
        <v>#REF!</v>
      </c>
      <c r="I1335" s="822"/>
      <c r="J1335" s="976" t="s">
        <v>398</v>
      </c>
      <c r="K1335" s="976" t="s">
        <v>20</v>
      </c>
      <c r="L1335" s="818"/>
    </row>
    <row r="1336" spans="1:12" s="31" customFormat="1" ht="17.25" customHeight="1">
      <c r="A1336" s="821" t="s">
        <v>399</v>
      </c>
      <c r="B1336" s="978" t="s">
        <v>559</v>
      </c>
      <c r="C1336" s="822" t="e">
        <f>VLOOKUP(B1335,'BTH mủ tạp'!#REF!,36,0)</f>
        <v>#REF!</v>
      </c>
      <c r="D1336" s="823"/>
      <c r="E1336" s="823"/>
      <c r="F1336" s="882"/>
      <c r="G1336" s="821" t="s">
        <v>399</v>
      </c>
      <c r="H1336" s="978" t="s">
        <v>559</v>
      </c>
      <c r="I1336" s="822" t="e">
        <f>VLOOKUP(H1335,'BTH mủ tạp'!#REF!,36,0)</f>
        <v>#REF!</v>
      </c>
      <c r="J1336" s="823"/>
      <c r="K1336" s="823"/>
      <c r="L1336" s="818"/>
    </row>
    <row r="1337" spans="1:12" s="31" customFormat="1" ht="17.25" customHeight="1">
      <c r="A1337" s="821" t="s">
        <v>79</v>
      </c>
      <c r="B1337" s="979" t="s">
        <v>432</v>
      </c>
      <c r="C1337" s="824" t="e">
        <f>VLOOKUP(B1335,'CNKT '!#REF!,3,0)</f>
        <v>#REF!</v>
      </c>
      <c r="D1337" s="825">
        <v>25000</v>
      </c>
      <c r="E1337" s="823" t="e">
        <f t="shared" ref="E1337:E1342" si="155">C1337*D1337</f>
        <v>#REF!</v>
      </c>
      <c r="F1337" s="882"/>
      <c r="G1337" s="821" t="s">
        <v>79</v>
      </c>
      <c r="H1337" s="979" t="s">
        <v>432</v>
      </c>
      <c r="I1337" s="824" t="e">
        <f>VLOOKUP(H1335,'CNKT '!#REF!,3,0)</f>
        <v>#REF!</v>
      </c>
      <c r="J1337" s="825">
        <v>25000</v>
      </c>
      <c r="K1337" s="823" t="e">
        <f t="shared" ref="K1337:K1342" si="156">I1337*J1337</f>
        <v>#REF!</v>
      </c>
      <c r="L1337" s="818"/>
    </row>
    <row r="1338" spans="1:12" s="31" customFormat="1" ht="17.25" customHeight="1">
      <c r="A1338" s="821" t="s">
        <v>310</v>
      </c>
      <c r="B1338" s="980" t="s">
        <v>560</v>
      </c>
      <c r="C1338" s="879" t="e">
        <f>VLOOKUP(B1335,'CNKT '!#REF!,11,0)</f>
        <v>#REF!</v>
      </c>
      <c r="D1338" s="826">
        <f>46.1*$B$2</f>
        <v>30805.403000000002</v>
      </c>
      <c r="E1338" s="823" t="e">
        <f t="shared" si="155"/>
        <v>#REF!</v>
      </c>
      <c r="F1338" s="882"/>
      <c r="G1338" s="821" t="s">
        <v>310</v>
      </c>
      <c r="H1338" s="980" t="s">
        <v>560</v>
      </c>
      <c r="I1338" s="879" t="e">
        <f>VLOOKUP(H1335,'CNKT '!#REF!,11,0)</f>
        <v>#REF!</v>
      </c>
      <c r="J1338" s="826">
        <f>46.1*$B$2</f>
        <v>30805.403000000002</v>
      </c>
      <c r="K1338" s="823" t="e">
        <f t="shared" si="156"/>
        <v>#REF!</v>
      </c>
      <c r="L1338" s="818"/>
    </row>
    <row r="1339" spans="1:12" s="31" customFormat="1" ht="17.25" customHeight="1">
      <c r="A1339" s="821" t="s">
        <v>401</v>
      </c>
      <c r="B1339" s="980" t="s">
        <v>561</v>
      </c>
      <c r="C1339" s="879" t="e">
        <f>VLOOKUP(B1335,'CNKT '!#REF!,12,0)</f>
        <v>#REF!</v>
      </c>
      <c r="D1339" s="825">
        <f>76.9*$B$2</f>
        <v>51386.887000000002</v>
      </c>
      <c r="E1339" s="823" t="e">
        <f t="shared" si="155"/>
        <v>#REF!</v>
      </c>
      <c r="F1339" s="882"/>
      <c r="G1339" s="821" t="s">
        <v>401</v>
      </c>
      <c r="H1339" s="980" t="s">
        <v>561</v>
      </c>
      <c r="I1339" s="879" t="e">
        <f>VLOOKUP(H1335,'CNKT '!#REF!,12,0)</f>
        <v>#REF!</v>
      </c>
      <c r="J1339" s="825">
        <f>76.9*$B$2</f>
        <v>51386.887000000002</v>
      </c>
      <c r="K1339" s="823" t="e">
        <f t="shared" si="156"/>
        <v>#REF!</v>
      </c>
      <c r="L1339" s="818"/>
    </row>
    <row r="1340" spans="1:12" s="31" customFormat="1" ht="17.25" customHeight="1">
      <c r="A1340" s="821" t="s">
        <v>80</v>
      </c>
      <c r="B1340" s="980" t="s">
        <v>562</v>
      </c>
      <c r="C1340" s="879" t="e">
        <f>VLOOKUP(B1335,'CNKT '!#REF!,8,0)</f>
        <v>#REF!</v>
      </c>
      <c r="D1340" s="825" t="e">
        <f>IF(C1336="A",6.1,IF(C1336="B",5.8,IF(C1336="C",5.5,IF(C1336="C.",5.5,IF(C1336="D",5.2)))))*$B$2</f>
        <v>#REF!</v>
      </c>
      <c r="E1340" s="823" t="e">
        <f t="shared" si="155"/>
        <v>#REF!</v>
      </c>
      <c r="F1340" s="882"/>
      <c r="G1340" s="821" t="s">
        <v>80</v>
      </c>
      <c r="H1340" s="980" t="s">
        <v>562</v>
      </c>
      <c r="I1340" s="879" t="e">
        <f>VLOOKUP(H1335,'CNKT '!#REF!,8,0)</f>
        <v>#REF!</v>
      </c>
      <c r="J1340" s="825" t="e">
        <f>IF(I1336="A",6.1,IF(I1336="B",5.8,IF(I1336="C",5.5,IF(I1336="C.",5.5,IF(I1336="D",5.2)))))*$B$2</f>
        <v>#REF!</v>
      </c>
      <c r="K1340" s="823" t="e">
        <f t="shared" si="156"/>
        <v>#REF!</v>
      </c>
      <c r="L1340" s="818"/>
    </row>
    <row r="1341" spans="1:12" s="31" customFormat="1" ht="17.25" customHeight="1">
      <c r="A1341" s="821" t="s">
        <v>495</v>
      </c>
      <c r="B1341" s="980" t="s">
        <v>563</v>
      </c>
      <c r="C1341" s="879" t="e">
        <f>VLOOKUP(B1335,'CNKT '!#REF!,15,0)</f>
        <v>#REF!</v>
      </c>
      <c r="D1341" s="826">
        <f>92.2*$B$2</f>
        <v>61610.806000000004</v>
      </c>
      <c r="E1341" s="823" t="e">
        <f t="shared" si="155"/>
        <v>#REF!</v>
      </c>
      <c r="F1341" s="882"/>
      <c r="G1341" s="821" t="s">
        <v>495</v>
      </c>
      <c r="H1341" s="980" t="s">
        <v>563</v>
      </c>
      <c r="I1341" s="879" t="e">
        <f>VLOOKUP(H1335,'CNKT '!#REF!,15,0)</f>
        <v>#REF!</v>
      </c>
      <c r="J1341" s="826">
        <f>92.2*$B$2</f>
        <v>61610.806000000004</v>
      </c>
      <c r="K1341" s="823" t="e">
        <f t="shared" si="156"/>
        <v>#REF!</v>
      </c>
      <c r="L1341" s="818"/>
    </row>
    <row r="1342" spans="1:12" s="31" customFormat="1" ht="17.25" customHeight="1">
      <c r="A1342" s="821" t="s">
        <v>496</v>
      </c>
      <c r="B1342" s="980" t="s">
        <v>500</v>
      </c>
      <c r="C1342" s="879" t="e">
        <f>VLOOKUP(B1335,'CNKT '!#REF!,16,0)</f>
        <v>#REF!</v>
      </c>
      <c r="D1342" s="825">
        <f>153.8*$B$2</f>
        <v>102773.774</v>
      </c>
      <c r="E1342" s="823" t="e">
        <f t="shared" si="155"/>
        <v>#REF!</v>
      </c>
      <c r="F1342" s="882"/>
      <c r="G1342" s="821" t="s">
        <v>496</v>
      </c>
      <c r="H1342" s="980" t="s">
        <v>500</v>
      </c>
      <c r="I1342" s="879" t="e">
        <f>VLOOKUP(H1335,'CNKT '!#REF!,16,0)</f>
        <v>#REF!</v>
      </c>
      <c r="J1342" s="825">
        <f>153.8*$B$2</f>
        <v>102773.774</v>
      </c>
      <c r="K1342" s="823" t="e">
        <f t="shared" si="156"/>
        <v>#REF!</v>
      </c>
      <c r="L1342" s="818"/>
    </row>
    <row r="1343" spans="1:12" s="31" customFormat="1" ht="17.25" customHeight="1">
      <c r="A1343" s="821" t="s">
        <v>455</v>
      </c>
      <c r="B1343" s="980" t="s">
        <v>501</v>
      </c>
      <c r="C1343" s="879" t="e">
        <f>VLOOKUP(B1335,'CNKT '!#REF!,18,0)</f>
        <v>#REF!</v>
      </c>
      <c r="D1343" s="825">
        <v>10000</v>
      </c>
      <c r="E1343" s="823" t="e">
        <f>C1343*D1343</f>
        <v>#REF!</v>
      </c>
      <c r="F1343" s="882"/>
      <c r="G1343" s="821" t="s">
        <v>455</v>
      </c>
      <c r="H1343" s="980" t="s">
        <v>501</v>
      </c>
      <c r="I1343" s="879" t="e">
        <f>VLOOKUP(H1335,'CNKT '!#REF!,18,0)</f>
        <v>#REF!</v>
      </c>
      <c r="J1343" s="825">
        <v>10000</v>
      </c>
      <c r="K1343" s="823" t="e">
        <f>I1343*J1343</f>
        <v>#REF!</v>
      </c>
      <c r="L1343" s="818"/>
    </row>
    <row r="1344" spans="1:12" s="31" customFormat="1" ht="17.25" customHeight="1">
      <c r="A1344" s="821" t="s">
        <v>455</v>
      </c>
      <c r="B1344" s="980" t="s">
        <v>501</v>
      </c>
      <c r="C1344" s="879" t="e">
        <f>VLOOKUP(B1335,'CNKT '!#REF!,19,0)</f>
        <v>#REF!</v>
      </c>
      <c r="D1344" s="825">
        <v>20000</v>
      </c>
      <c r="E1344" s="823" t="e">
        <f>C1344*D1344</f>
        <v>#REF!</v>
      </c>
      <c r="F1344" s="882"/>
      <c r="G1344" s="821" t="s">
        <v>455</v>
      </c>
      <c r="H1344" s="980" t="s">
        <v>501</v>
      </c>
      <c r="I1344" s="879" t="e">
        <f>VLOOKUP(H1335,'CNKT '!#REF!,19,0)</f>
        <v>#REF!</v>
      </c>
      <c r="J1344" s="825">
        <v>20000</v>
      </c>
      <c r="K1344" s="823" t="e">
        <f>I1344*J1344</f>
        <v>#REF!</v>
      </c>
      <c r="L1344" s="818"/>
    </row>
    <row r="1345" spans="1:12" s="31" customFormat="1" ht="17.25" customHeight="1">
      <c r="A1345" s="821" t="s">
        <v>517</v>
      </c>
      <c r="B1345" s="980" t="s">
        <v>519</v>
      </c>
      <c r="C1345" s="879"/>
      <c r="D1345" s="825"/>
      <c r="E1345" s="823"/>
      <c r="F1345" s="882"/>
      <c r="G1345" s="821" t="s">
        <v>517</v>
      </c>
      <c r="H1345" s="980" t="s">
        <v>519</v>
      </c>
      <c r="I1345" s="879"/>
      <c r="J1345" s="825"/>
      <c r="K1345" s="823"/>
      <c r="L1345" s="818"/>
    </row>
    <row r="1346" spans="1:12" s="31" customFormat="1" ht="17.25" customHeight="1">
      <c r="A1346" s="827" t="s">
        <v>81</v>
      </c>
      <c r="B1346" s="981" t="s">
        <v>564</v>
      </c>
      <c r="C1346" s="828"/>
      <c r="D1346" s="829"/>
      <c r="E1346" s="828"/>
      <c r="F1346" s="882"/>
      <c r="G1346" s="827" t="s">
        <v>81</v>
      </c>
      <c r="H1346" s="981" t="s">
        <v>564</v>
      </c>
      <c r="I1346" s="828"/>
      <c r="J1346" s="829"/>
      <c r="K1346" s="828"/>
      <c r="L1346" s="818"/>
    </row>
    <row r="1347" spans="1:12" s="31" customFormat="1" ht="17.25" customHeight="1">
      <c r="A1347" s="830" t="s">
        <v>82</v>
      </c>
      <c r="B1347" s="982" t="s">
        <v>565</v>
      </c>
      <c r="C1347" s="828"/>
      <c r="D1347" s="828"/>
      <c r="E1347" s="828"/>
      <c r="F1347" s="882"/>
      <c r="G1347" s="830" t="s">
        <v>82</v>
      </c>
      <c r="H1347" s="982" t="s">
        <v>565</v>
      </c>
      <c r="I1347" s="828"/>
      <c r="J1347" s="828"/>
      <c r="K1347" s="828"/>
      <c r="L1347" s="818"/>
    </row>
    <row r="1348" spans="1:12" s="31" customFormat="1" ht="17.25" customHeight="1">
      <c r="A1348" s="830" t="s">
        <v>83</v>
      </c>
      <c r="B1348" s="983" t="s">
        <v>566</v>
      </c>
      <c r="C1348" s="828"/>
      <c r="D1348" s="828"/>
      <c r="E1348" s="823">
        <f>SUM(E1347)</f>
        <v>0</v>
      </c>
      <c r="F1348" s="882"/>
      <c r="G1348" s="830" t="s">
        <v>83</v>
      </c>
      <c r="H1348" s="983" t="s">
        <v>566</v>
      </c>
      <c r="I1348" s="828"/>
      <c r="J1348" s="828"/>
      <c r="K1348" s="823">
        <f>SUM(K1347)</f>
        <v>0</v>
      </c>
      <c r="L1348" s="818"/>
    </row>
    <row r="1349" spans="1:12" s="31" customFormat="1" ht="17.25" customHeight="1">
      <c r="A1349" s="832" t="s">
        <v>84</v>
      </c>
      <c r="B1349" s="984" t="s">
        <v>438</v>
      </c>
      <c r="C1349" s="833"/>
      <c r="D1349" s="833"/>
      <c r="E1349" s="833" t="e">
        <f>(E1337+E1338+E1339+E1340+E1341+E1342+E1343+E1344+E1345)-E1348</f>
        <v>#REF!</v>
      </c>
      <c r="F1349" s="882"/>
      <c r="G1349" s="832" t="s">
        <v>84</v>
      </c>
      <c r="H1349" s="984" t="s">
        <v>438</v>
      </c>
      <c r="I1349" s="833"/>
      <c r="J1349" s="833"/>
      <c r="K1349" s="833" t="e">
        <f>(K1337+K1338+K1339+K1340+K1341+K1342+K1343+K1344+K1345)-K1348</f>
        <v>#REF!</v>
      </c>
      <c r="L1349" s="835" t="e">
        <f>E1349+K1349</f>
        <v>#REF!</v>
      </c>
    </row>
    <row r="1350" spans="1:12" s="31" customFormat="1" ht="17.25" customHeight="1">
      <c r="A1350" s="895"/>
      <c r="B1350" s="895"/>
      <c r="C1350" s="895"/>
      <c r="D1350" s="895"/>
      <c r="E1350" s="895"/>
      <c r="F1350" s="873"/>
      <c r="G1350" s="895"/>
      <c r="H1350" s="895"/>
      <c r="I1350" s="895"/>
      <c r="J1350" s="895"/>
      <c r="K1350" s="874"/>
      <c r="L1350" s="818"/>
    </row>
    <row r="1351" spans="1:12" s="31" customFormat="1" ht="17.25" customHeight="1">
      <c r="A1351" s="895" t="str">
        <f>A1334</f>
        <v>LƯƠNG THÁNG 01/2025</v>
      </c>
      <c r="B1351" s="895"/>
      <c r="C1351" s="895"/>
      <c r="D1351" s="895"/>
      <c r="E1351" s="895" t="e">
        <f>VLOOKUP(B1352,'CNKT '!#REF!,26,0)</f>
        <v>#REF!</v>
      </c>
      <c r="F1351" s="873"/>
      <c r="G1351" s="895" t="str">
        <f>A1351</f>
        <v>LƯƠNG THÁNG 01/2025</v>
      </c>
      <c r="H1351" s="895"/>
      <c r="I1351" s="895"/>
      <c r="J1351" s="895"/>
      <c r="K1351" s="895" t="e">
        <f>VLOOKUP(H1352,'CNKT '!#REF!,26,0)</f>
        <v>#REF!</v>
      </c>
      <c r="L1351" s="818"/>
    </row>
    <row r="1352" spans="1:12" s="31" customFormat="1" ht="17.25" customHeight="1">
      <c r="A1352" s="837" t="s">
        <v>17</v>
      </c>
      <c r="B1352" s="976" t="e">
        <f>'CNKT '!#REF!</f>
        <v>#REF!</v>
      </c>
      <c r="C1352" s="822"/>
      <c r="D1352" s="976" t="s">
        <v>398</v>
      </c>
      <c r="E1352" s="976" t="s">
        <v>20</v>
      </c>
      <c r="F1352" s="882"/>
      <c r="G1352" s="837" t="s">
        <v>17</v>
      </c>
      <c r="H1352" s="976" t="e">
        <f>'CNKT '!#REF!</f>
        <v>#REF!</v>
      </c>
      <c r="I1352" s="822"/>
      <c r="J1352" s="976" t="s">
        <v>398</v>
      </c>
      <c r="K1352" s="976" t="s">
        <v>20</v>
      </c>
      <c r="L1352" s="818"/>
    </row>
    <row r="1353" spans="1:12" s="31" customFormat="1" ht="17.25" customHeight="1">
      <c r="A1353" s="821" t="s">
        <v>399</v>
      </c>
      <c r="B1353" s="978" t="s">
        <v>559</v>
      </c>
      <c r="C1353" s="822" t="e">
        <f>VLOOKUP(B1352,'BTH mủ tạp'!#REF!,36,0)</f>
        <v>#REF!</v>
      </c>
      <c r="D1353" s="823"/>
      <c r="E1353" s="823"/>
      <c r="F1353" s="882"/>
      <c r="G1353" s="821" t="s">
        <v>399</v>
      </c>
      <c r="H1353" s="978" t="s">
        <v>559</v>
      </c>
      <c r="I1353" s="822" t="e">
        <f>VLOOKUP(H1352,'BTH mủ tạp'!#REF!,36,0)</f>
        <v>#REF!</v>
      </c>
      <c r="J1353" s="823"/>
      <c r="K1353" s="823"/>
      <c r="L1353" s="818"/>
    </row>
    <row r="1354" spans="1:12" s="31" customFormat="1" ht="17.25" customHeight="1">
      <c r="A1354" s="821" t="s">
        <v>79</v>
      </c>
      <c r="B1354" s="979" t="s">
        <v>432</v>
      </c>
      <c r="C1354" s="824" t="e">
        <f>VLOOKUP(B1352,'CNKT '!#REF!,3,0)</f>
        <v>#REF!</v>
      </c>
      <c r="D1354" s="825">
        <v>25000</v>
      </c>
      <c r="E1354" s="823" t="e">
        <f t="shared" ref="E1354:E1359" si="157">C1354*D1354</f>
        <v>#REF!</v>
      </c>
      <c r="F1354" s="882"/>
      <c r="G1354" s="821" t="s">
        <v>79</v>
      </c>
      <c r="H1354" s="979" t="s">
        <v>432</v>
      </c>
      <c r="I1354" s="824" t="e">
        <f>VLOOKUP(H1352,'CNKT '!#REF!,3,0)</f>
        <v>#REF!</v>
      </c>
      <c r="J1354" s="825">
        <v>25000</v>
      </c>
      <c r="K1354" s="823" t="e">
        <f t="shared" ref="K1354:K1359" si="158">I1354*J1354</f>
        <v>#REF!</v>
      </c>
      <c r="L1354" s="818"/>
    </row>
    <row r="1355" spans="1:12" s="31" customFormat="1" ht="17.25" customHeight="1">
      <c r="A1355" s="821" t="s">
        <v>310</v>
      </c>
      <c r="B1355" s="980" t="s">
        <v>560</v>
      </c>
      <c r="C1355" s="879" t="e">
        <f>VLOOKUP(B1352,'CNKT '!#REF!,11,0)</f>
        <v>#REF!</v>
      </c>
      <c r="D1355" s="826">
        <f>46.1*$B$2</f>
        <v>30805.403000000002</v>
      </c>
      <c r="E1355" s="823" t="e">
        <f t="shared" si="157"/>
        <v>#REF!</v>
      </c>
      <c r="F1355" s="882"/>
      <c r="G1355" s="821" t="s">
        <v>310</v>
      </c>
      <c r="H1355" s="980" t="s">
        <v>560</v>
      </c>
      <c r="I1355" s="879" t="e">
        <f>VLOOKUP(H1352,'CNKT '!#REF!,11,0)</f>
        <v>#REF!</v>
      </c>
      <c r="J1355" s="826">
        <f>46.1*$B$2</f>
        <v>30805.403000000002</v>
      </c>
      <c r="K1355" s="823" t="e">
        <f t="shared" si="158"/>
        <v>#REF!</v>
      </c>
      <c r="L1355" s="818"/>
    </row>
    <row r="1356" spans="1:12" s="31" customFormat="1" ht="17.25" customHeight="1">
      <c r="A1356" s="821" t="s">
        <v>401</v>
      </c>
      <c r="B1356" s="980" t="s">
        <v>561</v>
      </c>
      <c r="C1356" s="879" t="e">
        <f>VLOOKUP(B1352,'CNKT '!#REF!,12,0)</f>
        <v>#REF!</v>
      </c>
      <c r="D1356" s="825">
        <f>76.9*$B$2</f>
        <v>51386.887000000002</v>
      </c>
      <c r="E1356" s="823" t="e">
        <f t="shared" si="157"/>
        <v>#REF!</v>
      </c>
      <c r="F1356" s="882"/>
      <c r="G1356" s="821" t="s">
        <v>401</v>
      </c>
      <c r="H1356" s="980" t="s">
        <v>561</v>
      </c>
      <c r="I1356" s="879" t="e">
        <f>VLOOKUP(H1352,'CNKT '!#REF!,12,0)</f>
        <v>#REF!</v>
      </c>
      <c r="J1356" s="825">
        <f>76.9*$B$2</f>
        <v>51386.887000000002</v>
      </c>
      <c r="K1356" s="823" t="e">
        <f t="shared" si="158"/>
        <v>#REF!</v>
      </c>
      <c r="L1356" s="818"/>
    </row>
    <row r="1357" spans="1:12" s="31" customFormat="1" ht="17.25" customHeight="1">
      <c r="A1357" s="821" t="s">
        <v>80</v>
      </c>
      <c r="B1357" s="980" t="s">
        <v>562</v>
      </c>
      <c r="C1357" s="879" t="e">
        <f>VLOOKUP(B1352,'CNKT '!#REF!,8,0)</f>
        <v>#REF!</v>
      </c>
      <c r="D1357" s="825" t="e">
        <f>IF(C1353="A",6.1,IF(C1353="B",5.8,IF(C1353="C",5.5,IF(C1353="C.",5.5,IF(C1353="D",5.2)))))*$B$2</f>
        <v>#REF!</v>
      </c>
      <c r="E1357" s="823" t="e">
        <f t="shared" si="157"/>
        <v>#REF!</v>
      </c>
      <c r="F1357" s="882"/>
      <c r="G1357" s="821" t="s">
        <v>80</v>
      </c>
      <c r="H1357" s="980" t="s">
        <v>562</v>
      </c>
      <c r="I1357" s="879" t="e">
        <f>VLOOKUP(H1352,'CNKT '!#REF!,8,0)</f>
        <v>#REF!</v>
      </c>
      <c r="J1357" s="825" t="e">
        <f>IF(I1353="A",6.1,IF(I1353="B",5.8,IF(I1353="C",5.5,IF(I1353="C.",5.5,IF(I1353="D",5.2)))))*$B$2</f>
        <v>#REF!</v>
      </c>
      <c r="K1357" s="823" t="e">
        <f t="shared" si="158"/>
        <v>#REF!</v>
      </c>
      <c r="L1357" s="818"/>
    </row>
    <row r="1358" spans="1:12" s="31" customFormat="1" ht="17.25" customHeight="1">
      <c r="A1358" s="821" t="s">
        <v>495</v>
      </c>
      <c r="B1358" s="980" t="s">
        <v>563</v>
      </c>
      <c r="C1358" s="879" t="e">
        <f>VLOOKUP(B1352,'CNKT '!#REF!,15,0)</f>
        <v>#REF!</v>
      </c>
      <c r="D1358" s="826">
        <f>92.2*$B$2</f>
        <v>61610.806000000004</v>
      </c>
      <c r="E1358" s="823" t="e">
        <f t="shared" si="157"/>
        <v>#REF!</v>
      </c>
      <c r="F1358" s="882"/>
      <c r="G1358" s="821" t="s">
        <v>495</v>
      </c>
      <c r="H1358" s="980" t="s">
        <v>563</v>
      </c>
      <c r="I1358" s="879" t="e">
        <f>VLOOKUP(H1352,'CNKT '!#REF!,15,0)</f>
        <v>#REF!</v>
      </c>
      <c r="J1358" s="826">
        <f>92.2*$B$2</f>
        <v>61610.806000000004</v>
      </c>
      <c r="K1358" s="823" t="e">
        <f t="shared" si="158"/>
        <v>#REF!</v>
      </c>
      <c r="L1358" s="818"/>
    </row>
    <row r="1359" spans="1:12" s="31" customFormat="1" ht="17.25" customHeight="1">
      <c r="A1359" s="821" t="s">
        <v>496</v>
      </c>
      <c r="B1359" s="980" t="s">
        <v>500</v>
      </c>
      <c r="C1359" s="879" t="e">
        <f>VLOOKUP(B1352,'CNKT '!#REF!,16,0)</f>
        <v>#REF!</v>
      </c>
      <c r="D1359" s="825">
        <f>153.8*$B$2</f>
        <v>102773.774</v>
      </c>
      <c r="E1359" s="823" t="e">
        <f t="shared" si="157"/>
        <v>#REF!</v>
      </c>
      <c r="F1359" s="882"/>
      <c r="G1359" s="821" t="s">
        <v>496</v>
      </c>
      <c r="H1359" s="980" t="s">
        <v>500</v>
      </c>
      <c r="I1359" s="879" t="e">
        <f>VLOOKUP(H1352,'CNKT '!#REF!,16,0)</f>
        <v>#REF!</v>
      </c>
      <c r="J1359" s="825">
        <f>153.8*$B$2</f>
        <v>102773.774</v>
      </c>
      <c r="K1359" s="823" t="e">
        <f t="shared" si="158"/>
        <v>#REF!</v>
      </c>
      <c r="L1359" s="818"/>
    </row>
    <row r="1360" spans="1:12" s="31" customFormat="1" ht="17.25" customHeight="1">
      <c r="A1360" s="821" t="s">
        <v>455</v>
      </c>
      <c r="B1360" s="980" t="s">
        <v>501</v>
      </c>
      <c r="C1360" s="879" t="e">
        <f>VLOOKUP(B1352,'CNKT '!#REF!,18,0)</f>
        <v>#REF!</v>
      </c>
      <c r="D1360" s="825">
        <v>10000</v>
      </c>
      <c r="E1360" s="823" t="e">
        <f>C1360*D1360</f>
        <v>#REF!</v>
      </c>
      <c r="F1360" s="882"/>
      <c r="G1360" s="821" t="s">
        <v>455</v>
      </c>
      <c r="H1360" s="980" t="s">
        <v>501</v>
      </c>
      <c r="I1360" s="879" t="e">
        <f>VLOOKUP(H1352,'CNKT '!#REF!,18,0)</f>
        <v>#REF!</v>
      </c>
      <c r="J1360" s="825">
        <v>10000</v>
      </c>
      <c r="K1360" s="823" t="e">
        <f>I1360*J1360</f>
        <v>#REF!</v>
      </c>
      <c r="L1360" s="818"/>
    </row>
    <row r="1361" spans="1:12" s="31" customFormat="1" ht="17.25" customHeight="1">
      <c r="A1361" s="821" t="s">
        <v>455</v>
      </c>
      <c r="B1361" s="980" t="s">
        <v>501</v>
      </c>
      <c r="C1361" s="879" t="e">
        <f>VLOOKUP(B1352,'CNKT '!#REF!,19,0)</f>
        <v>#REF!</v>
      </c>
      <c r="D1361" s="825">
        <v>20000</v>
      </c>
      <c r="E1361" s="823" t="e">
        <f>C1361*D1361</f>
        <v>#REF!</v>
      </c>
      <c r="F1361" s="882"/>
      <c r="G1361" s="821" t="s">
        <v>455</v>
      </c>
      <c r="H1361" s="980" t="s">
        <v>501</v>
      </c>
      <c r="I1361" s="879" t="e">
        <f>VLOOKUP(H1352,'CNKT '!#REF!,19,0)</f>
        <v>#REF!</v>
      </c>
      <c r="J1361" s="825">
        <v>20000</v>
      </c>
      <c r="K1361" s="823" t="e">
        <f>I1361*J1361</f>
        <v>#REF!</v>
      </c>
      <c r="L1361" s="818"/>
    </row>
    <row r="1362" spans="1:12" s="31" customFormat="1" ht="17.25" customHeight="1">
      <c r="A1362" s="821" t="s">
        <v>517</v>
      </c>
      <c r="B1362" s="980" t="s">
        <v>519</v>
      </c>
      <c r="C1362" s="879"/>
      <c r="D1362" s="825"/>
      <c r="E1362" s="823"/>
      <c r="F1362" s="882"/>
      <c r="G1362" s="821" t="s">
        <v>517</v>
      </c>
      <c r="H1362" s="980" t="s">
        <v>519</v>
      </c>
      <c r="I1362" s="879"/>
      <c r="J1362" s="825"/>
      <c r="K1362" s="823"/>
      <c r="L1362" s="818"/>
    </row>
    <row r="1363" spans="1:12" s="31" customFormat="1" ht="17.25" customHeight="1">
      <c r="A1363" s="827" t="s">
        <v>81</v>
      </c>
      <c r="B1363" s="981" t="s">
        <v>564</v>
      </c>
      <c r="C1363" s="828"/>
      <c r="D1363" s="829"/>
      <c r="E1363" s="828"/>
      <c r="F1363" s="882"/>
      <c r="G1363" s="827" t="s">
        <v>81</v>
      </c>
      <c r="H1363" s="981" t="s">
        <v>564</v>
      </c>
      <c r="I1363" s="828"/>
      <c r="J1363" s="829"/>
      <c r="K1363" s="828"/>
      <c r="L1363" s="818"/>
    </row>
    <row r="1364" spans="1:12" s="31" customFormat="1" ht="17.25" customHeight="1">
      <c r="A1364" s="830" t="s">
        <v>82</v>
      </c>
      <c r="B1364" s="982" t="s">
        <v>565</v>
      </c>
      <c r="C1364" s="828"/>
      <c r="D1364" s="828"/>
      <c r="E1364" s="828"/>
      <c r="F1364" s="882"/>
      <c r="G1364" s="830" t="s">
        <v>82</v>
      </c>
      <c r="H1364" s="982" t="s">
        <v>565</v>
      </c>
      <c r="I1364" s="828"/>
      <c r="J1364" s="828"/>
      <c r="K1364" s="828"/>
      <c r="L1364" s="818"/>
    </row>
    <row r="1365" spans="1:12" s="31" customFormat="1" ht="17.25" customHeight="1">
      <c r="A1365" s="830" t="s">
        <v>83</v>
      </c>
      <c r="B1365" s="983" t="s">
        <v>566</v>
      </c>
      <c r="C1365" s="828"/>
      <c r="D1365" s="828"/>
      <c r="E1365" s="823">
        <f>SUM(E1364)</f>
        <v>0</v>
      </c>
      <c r="F1365" s="882"/>
      <c r="G1365" s="830" t="s">
        <v>83</v>
      </c>
      <c r="H1365" s="983" t="s">
        <v>566</v>
      </c>
      <c r="I1365" s="828"/>
      <c r="J1365" s="828"/>
      <c r="K1365" s="823">
        <f>SUM(K1364)</f>
        <v>0</v>
      </c>
      <c r="L1365" s="818"/>
    </row>
    <row r="1366" spans="1:12" s="31" customFormat="1" ht="17.25" customHeight="1">
      <c r="A1366" s="832" t="s">
        <v>84</v>
      </c>
      <c r="B1366" s="984" t="s">
        <v>438</v>
      </c>
      <c r="C1366" s="833"/>
      <c r="D1366" s="833"/>
      <c r="E1366" s="833" t="e">
        <f>(E1354+E1355+E1356+E1357+E1358+E1359+E1360+E1361+E1362)-E1365</f>
        <v>#REF!</v>
      </c>
      <c r="F1366" s="882"/>
      <c r="G1366" s="832" t="s">
        <v>84</v>
      </c>
      <c r="H1366" s="984" t="s">
        <v>438</v>
      </c>
      <c r="I1366" s="833"/>
      <c r="J1366" s="833"/>
      <c r="K1366" s="833" t="e">
        <f>(K1354+K1355+K1356+K1357+K1358+K1359+K1360+K1361+K1362)-K1365</f>
        <v>#REF!</v>
      </c>
      <c r="L1366" s="835" t="e">
        <f>E1366+K1366</f>
        <v>#REF!</v>
      </c>
    </row>
    <row r="1367" spans="1:12" s="31" customFormat="1" ht="69" customHeight="1">
      <c r="A1367" s="895"/>
      <c r="B1367" s="895"/>
      <c r="C1367" s="895"/>
      <c r="D1367" s="895"/>
      <c r="E1367" s="895"/>
      <c r="F1367" s="873"/>
      <c r="G1367" s="895"/>
      <c r="H1367" s="895"/>
      <c r="I1367" s="895"/>
      <c r="J1367" s="895"/>
      <c r="K1367" s="874"/>
      <c r="L1367" s="818"/>
    </row>
    <row r="1368" spans="1:12" s="31" customFormat="1" ht="17.25" customHeight="1">
      <c r="A1368" s="895" t="str">
        <f>A1351</f>
        <v>LƯƠNG THÁNG 01/2025</v>
      </c>
      <c r="B1368" s="895"/>
      <c r="C1368" s="895"/>
      <c r="D1368" s="895"/>
      <c r="E1368" s="895" t="e">
        <f>VLOOKUP(B1369,'CNKT '!#REF!,26,0)</f>
        <v>#REF!</v>
      </c>
      <c r="F1368" s="873"/>
      <c r="G1368" s="895" t="str">
        <f>A1368</f>
        <v>LƯƠNG THÁNG 01/2025</v>
      </c>
      <c r="H1368" s="895"/>
      <c r="I1368" s="895"/>
      <c r="J1368" s="895"/>
      <c r="K1368" s="895" t="e">
        <f>VLOOKUP(H1369,'CNKT '!#REF!,26,0)</f>
        <v>#REF!</v>
      </c>
      <c r="L1368" s="818"/>
    </row>
    <row r="1369" spans="1:12" s="31" customFormat="1" ht="17.25" customHeight="1">
      <c r="A1369" s="837" t="s">
        <v>17</v>
      </c>
      <c r="B1369" s="976" t="e">
        <f>'CNKT '!#REF!</f>
        <v>#REF!</v>
      </c>
      <c r="C1369" s="822"/>
      <c r="D1369" s="976" t="s">
        <v>398</v>
      </c>
      <c r="E1369" s="976" t="s">
        <v>20</v>
      </c>
      <c r="F1369" s="882"/>
      <c r="G1369" s="837" t="s">
        <v>17</v>
      </c>
      <c r="H1369" s="976" t="e">
        <f>'CNKT '!#REF!</f>
        <v>#REF!</v>
      </c>
      <c r="I1369" s="822"/>
      <c r="J1369" s="976" t="s">
        <v>398</v>
      </c>
      <c r="K1369" s="976" t="s">
        <v>20</v>
      </c>
      <c r="L1369" s="818"/>
    </row>
    <row r="1370" spans="1:12" s="31" customFormat="1" ht="17.25" customHeight="1">
      <c r="A1370" s="821" t="s">
        <v>399</v>
      </c>
      <c r="B1370" s="978" t="s">
        <v>559</v>
      </c>
      <c r="C1370" s="822" t="e">
        <f>VLOOKUP(B1369,'BTH mủ tạp'!#REF!,36,0)</f>
        <v>#REF!</v>
      </c>
      <c r="D1370" s="823"/>
      <c r="E1370" s="823"/>
      <c r="F1370" s="882"/>
      <c r="G1370" s="821" t="s">
        <v>399</v>
      </c>
      <c r="H1370" s="978" t="s">
        <v>559</v>
      </c>
      <c r="I1370" s="822" t="e">
        <f>VLOOKUP(H1369,'BTH mủ tạp'!#REF!,36,0)</f>
        <v>#REF!</v>
      </c>
      <c r="J1370" s="823"/>
      <c r="K1370" s="823"/>
      <c r="L1370" s="818"/>
    </row>
    <row r="1371" spans="1:12" s="31" customFormat="1" ht="17.25" customHeight="1">
      <c r="A1371" s="821" t="s">
        <v>79</v>
      </c>
      <c r="B1371" s="979" t="s">
        <v>432</v>
      </c>
      <c r="C1371" s="824" t="e">
        <f>VLOOKUP(B1369,'CNKT '!#REF!,3,0)</f>
        <v>#REF!</v>
      </c>
      <c r="D1371" s="825">
        <v>25000</v>
      </c>
      <c r="E1371" s="823" t="e">
        <f t="shared" ref="E1371:E1376" si="159">C1371*D1371</f>
        <v>#REF!</v>
      </c>
      <c r="F1371" s="882"/>
      <c r="G1371" s="821" t="s">
        <v>79</v>
      </c>
      <c r="H1371" s="979" t="s">
        <v>432</v>
      </c>
      <c r="I1371" s="824" t="e">
        <f>VLOOKUP(H1369,'CNKT '!#REF!,3,0)</f>
        <v>#REF!</v>
      </c>
      <c r="J1371" s="825">
        <v>25000</v>
      </c>
      <c r="K1371" s="823" t="e">
        <f t="shared" ref="K1371:K1376" si="160">I1371*J1371</f>
        <v>#REF!</v>
      </c>
      <c r="L1371" s="818"/>
    </row>
    <row r="1372" spans="1:12" s="31" customFormat="1" ht="17.25" customHeight="1">
      <c r="A1372" s="821" t="s">
        <v>310</v>
      </c>
      <c r="B1372" s="980" t="s">
        <v>560</v>
      </c>
      <c r="C1372" s="879" t="e">
        <f>VLOOKUP(B1369,'CNKT '!#REF!,11,0)</f>
        <v>#REF!</v>
      </c>
      <c r="D1372" s="826">
        <f>46.1*$B$2</f>
        <v>30805.403000000002</v>
      </c>
      <c r="E1372" s="823" t="e">
        <f t="shared" si="159"/>
        <v>#REF!</v>
      </c>
      <c r="F1372" s="882"/>
      <c r="G1372" s="821" t="s">
        <v>310</v>
      </c>
      <c r="H1372" s="980" t="s">
        <v>560</v>
      </c>
      <c r="I1372" s="879" t="e">
        <f>VLOOKUP(H1369,'CNKT '!#REF!,11,0)</f>
        <v>#REF!</v>
      </c>
      <c r="J1372" s="826">
        <f>46.1*$B$2</f>
        <v>30805.403000000002</v>
      </c>
      <c r="K1372" s="823" t="e">
        <f t="shared" si="160"/>
        <v>#REF!</v>
      </c>
      <c r="L1372" s="818"/>
    </row>
    <row r="1373" spans="1:12" s="31" customFormat="1" ht="17.25" customHeight="1">
      <c r="A1373" s="821" t="s">
        <v>401</v>
      </c>
      <c r="B1373" s="980" t="s">
        <v>561</v>
      </c>
      <c r="C1373" s="879" t="e">
        <f>VLOOKUP(B1369,'CNKT '!#REF!,12,0)</f>
        <v>#REF!</v>
      </c>
      <c r="D1373" s="825">
        <f>76.9*$B$2</f>
        <v>51386.887000000002</v>
      </c>
      <c r="E1373" s="823" t="e">
        <f t="shared" si="159"/>
        <v>#REF!</v>
      </c>
      <c r="F1373" s="882"/>
      <c r="G1373" s="821" t="s">
        <v>401</v>
      </c>
      <c r="H1373" s="980" t="s">
        <v>561</v>
      </c>
      <c r="I1373" s="879" t="e">
        <f>VLOOKUP(H1369,'CNKT '!#REF!,12,0)</f>
        <v>#REF!</v>
      </c>
      <c r="J1373" s="825">
        <f>76.9*$B$2</f>
        <v>51386.887000000002</v>
      </c>
      <c r="K1373" s="823" t="e">
        <f t="shared" si="160"/>
        <v>#REF!</v>
      </c>
      <c r="L1373" s="818"/>
    </row>
    <row r="1374" spans="1:12" s="31" customFormat="1" ht="17.25" customHeight="1">
      <c r="A1374" s="821" t="s">
        <v>80</v>
      </c>
      <c r="B1374" s="980" t="s">
        <v>562</v>
      </c>
      <c r="C1374" s="879" t="e">
        <f>VLOOKUP(B1369,'CNKT '!#REF!,8,0)</f>
        <v>#REF!</v>
      </c>
      <c r="D1374" s="825" t="e">
        <f>IF(C1370="A",6.1,IF(C1370="B",5.8,IF(C1370="C",5.5,IF(C1370="C.",5.5,IF(C1370="D",5.2)))))*$B$2</f>
        <v>#REF!</v>
      </c>
      <c r="E1374" s="823" t="e">
        <f t="shared" si="159"/>
        <v>#REF!</v>
      </c>
      <c r="F1374" s="882"/>
      <c r="G1374" s="821" t="s">
        <v>80</v>
      </c>
      <c r="H1374" s="980" t="s">
        <v>562</v>
      </c>
      <c r="I1374" s="879" t="e">
        <f>VLOOKUP(H1369,'CNKT '!#REF!,8,0)</f>
        <v>#REF!</v>
      </c>
      <c r="J1374" s="825" t="e">
        <f>IF(I1370="A",6.1,IF(I1370="B",5.8,IF(I1370="C",5.5,IF(I1370="C.",5.5,IF(I1370="D",5.2)))))*$B$2</f>
        <v>#REF!</v>
      </c>
      <c r="K1374" s="823" t="e">
        <f t="shared" si="160"/>
        <v>#REF!</v>
      </c>
      <c r="L1374" s="818"/>
    </row>
    <row r="1375" spans="1:12" s="31" customFormat="1" ht="17.25" customHeight="1">
      <c r="A1375" s="821" t="s">
        <v>495</v>
      </c>
      <c r="B1375" s="980" t="s">
        <v>563</v>
      </c>
      <c r="C1375" s="879" t="e">
        <f>VLOOKUP(B1369,'CNKT '!#REF!,15,0)</f>
        <v>#REF!</v>
      </c>
      <c r="D1375" s="826">
        <f>92.2*$B$2</f>
        <v>61610.806000000004</v>
      </c>
      <c r="E1375" s="823" t="e">
        <f t="shared" si="159"/>
        <v>#REF!</v>
      </c>
      <c r="F1375" s="882"/>
      <c r="G1375" s="821" t="s">
        <v>495</v>
      </c>
      <c r="H1375" s="980" t="s">
        <v>563</v>
      </c>
      <c r="I1375" s="879" t="e">
        <f>VLOOKUP(H1369,'CNKT '!#REF!,15,0)</f>
        <v>#REF!</v>
      </c>
      <c r="J1375" s="826">
        <f>92.2*$B$2</f>
        <v>61610.806000000004</v>
      </c>
      <c r="K1375" s="823" t="e">
        <f t="shared" si="160"/>
        <v>#REF!</v>
      </c>
      <c r="L1375" s="818"/>
    </row>
    <row r="1376" spans="1:12" s="31" customFormat="1" ht="17.25" customHeight="1">
      <c r="A1376" s="821" t="s">
        <v>496</v>
      </c>
      <c r="B1376" s="980" t="s">
        <v>500</v>
      </c>
      <c r="C1376" s="879" t="e">
        <f>VLOOKUP(B1369,'CNKT '!#REF!,16,0)</f>
        <v>#REF!</v>
      </c>
      <c r="D1376" s="825">
        <f>153.8*$B$2</f>
        <v>102773.774</v>
      </c>
      <c r="E1376" s="823" t="e">
        <f t="shared" si="159"/>
        <v>#REF!</v>
      </c>
      <c r="F1376" s="882"/>
      <c r="G1376" s="821" t="s">
        <v>496</v>
      </c>
      <c r="H1376" s="980" t="s">
        <v>500</v>
      </c>
      <c r="I1376" s="879" t="e">
        <f>VLOOKUP(H1369,'CNKT '!#REF!,16,0)</f>
        <v>#REF!</v>
      </c>
      <c r="J1376" s="825">
        <f>153.8*$B$2</f>
        <v>102773.774</v>
      </c>
      <c r="K1376" s="823" t="e">
        <f t="shared" si="160"/>
        <v>#REF!</v>
      </c>
      <c r="L1376" s="818"/>
    </row>
    <row r="1377" spans="1:12" s="31" customFormat="1" ht="17.25" customHeight="1">
      <c r="A1377" s="821" t="s">
        <v>455</v>
      </c>
      <c r="B1377" s="980" t="s">
        <v>501</v>
      </c>
      <c r="C1377" s="879" t="e">
        <f>VLOOKUP(B1369,'CNKT '!#REF!,18,0)</f>
        <v>#REF!</v>
      </c>
      <c r="D1377" s="825">
        <v>10000</v>
      </c>
      <c r="E1377" s="823" t="e">
        <f>C1377*D1377</f>
        <v>#REF!</v>
      </c>
      <c r="F1377" s="882"/>
      <c r="G1377" s="821" t="s">
        <v>455</v>
      </c>
      <c r="H1377" s="980" t="s">
        <v>501</v>
      </c>
      <c r="I1377" s="879" t="e">
        <f>VLOOKUP(H1369,'CNKT '!#REF!,18,0)</f>
        <v>#REF!</v>
      </c>
      <c r="J1377" s="825">
        <v>10000</v>
      </c>
      <c r="K1377" s="823" t="e">
        <f>I1377*J1377</f>
        <v>#REF!</v>
      </c>
      <c r="L1377" s="818"/>
    </row>
    <row r="1378" spans="1:12" s="31" customFormat="1" ht="17.25" customHeight="1">
      <c r="A1378" s="821" t="s">
        <v>455</v>
      </c>
      <c r="B1378" s="980" t="s">
        <v>501</v>
      </c>
      <c r="C1378" s="879" t="e">
        <f>VLOOKUP(B1369,'CNKT '!#REF!,19,0)</f>
        <v>#REF!</v>
      </c>
      <c r="D1378" s="825">
        <v>20000</v>
      </c>
      <c r="E1378" s="823" t="e">
        <f>C1378*D1378</f>
        <v>#REF!</v>
      </c>
      <c r="F1378" s="882"/>
      <c r="G1378" s="821" t="s">
        <v>455</v>
      </c>
      <c r="H1378" s="980" t="s">
        <v>501</v>
      </c>
      <c r="I1378" s="879" t="e">
        <f>VLOOKUP(H1369,'CNKT '!#REF!,19,0)</f>
        <v>#REF!</v>
      </c>
      <c r="J1378" s="825">
        <v>20000</v>
      </c>
      <c r="K1378" s="823" t="e">
        <f>I1378*J1378</f>
        <v>#REF!</v>
      </c>
      <c r="L1378" s="818"/>
    </row>
    <row r="1379" spans="1:12" s="31" customFormat="1" ht="17.25" customHeight="1">
      <c r="A1379" s="821" t="s">
        <v>517</v>
      </c>
      <c r="B1379" s="980" t="s">
        <v>519</v>
      </c>
      <c r="C1379" s="879"/>
      <c r="D1379" s="825"/>
      <c r="E1379" s="823"/>
      <c r="F1379" s="882"/>
      <c r="G1379" s="821" t="s">
        <v>517</v>
      </c>
      <c r="H1379" s="980" t="s">
        <v>519</v>
      </c>
      <c r="I1379" s="879"/>
      <c r="J1379" s="825"/>
      <c r="K1379" s="823"/>
      <c r="L1379" s="818"/>
    </row>
    <row r="1380" spans="1:12" s="31" customFormat="1" ht="17.25" customHeight="1">
      <c r="A1380" s="827" t="s">
        <v>81</v>
      </c>
      <c r="B1380" s="981" t="s">
        <v>564</v>
      </c>
      <c r="C1380" s="828"/>
      <c r="D1380" s="829"/>
      <c r="E1380" s="828"/>
      <c r="F1380" s="882"/>
      <c r="G1380" s="827" t="s">
        <v>81</v>
      </c>
      <c r="H1380" s="981" t="s">
        <v>564</v>
      </c>
      <c r="I1380" s="828"/>
      <c r="J1380" s="829"/>
      <c r="K1380" s="828"/>
      <c r="L1380" s="818"/>
    </row>
    <row r="1381" spans="1:12" s="31" customFormat="1" ht="17.25" customHeight="1">
      <c r="A1381" s="830" t="s">
        <v>82</v>
      </c>
      <c r="B1381" s="982" t="s">
        <v>565</v>
      </c>
      <c r="C1381" s="828"/>
      <c r="D1381" s="828"/>
      <c r="E1381" s="828"/>
      <c r="F1381" s="882"/>
      <c r="G1381" s="830" t="s">
        <v>82</v>
      </c>
      <c r="H1381" s="982" t="s">
        <v>565</v>
      </c>
      <c r="I1381" s="828"/>
      <c r="J1381" s="828"/>
      <c r="K1381" s="828"/>
      <c r="L1381" s="818"/>
    </row>
    <row r="1382" spans="1:12" s="31" customFormat="1" ht="17.25" customHeight="1">
      <c r="A1382" s="830" t="s">
        <v>83</v>
      </c>
      <c r="B1382" s="983" t="s">
        <v>566</v>
      </c>
      <c r="C1382" s="828"/>
      <c r="D1382" s="828"/>
      <c r="E1382" s="823">
        <f>SUM(E1381)</f>
        <v>0</v>
      </c>
      <c r="F1382" s="882"/>
      <c r="G1382" s="830" t="s">
        <v>83</v>
      </c>
      <c r="H1382" s="983" t="s">
        <v>566</v>
      </c>
      <c r="I1382" s="828"/>
      <c r="J1382" s="828"/>
      <c r="K1382" s="823">
        <f>SUM(K1381)</f>
        <v>0</v>
      </c>
      <c r="L1382" s="818"/>
    </row>
    <row r="1383" spans="1:12" s="31" customFormat="1" ht="17.25" customHeight="1">
      <c r="A1383" s="832" t="s">
        <v>84</v>
      </c>
      <c r="B1383" s="984" t="s">
        <v>438</v>
      </c>
      <c r="C1383" s="833"/>
      <c r="D1383" s="833"/>
      <c r="E1383" s="833" t="e">
        <f>(E1371+E1372+E1373+E1374+E1375+E1376+E1377+E1378+E1379)-E1382</f>
        <v>#REF!</v>
      </c>
      <c r="F1383" s="882"/>
      <c r="G1383" s="832" t="s">
        <v>84</v>
      </c>
      <c r="H1383" s="984" t="s">
        <v>438</v>
      </c>
      <c r="I1383" s="833"/>
      <c r="J1383" s="833"/>
      <c r="K1383" s="833" t="e">
        <f>(K1371+K1372+K1373+K1374+K1375+K1376+K1377+K1378+K1379)-K1382</f>
        <v>#REF!</v>
      </c>
      <c r="L1383" s="835" t="e">
        <f>E1383+K1383</f>
        <v>#REF!</v>
      </c>
    </row>
    <row r="1384" spans="1:12" s="31" customFormat="1" ht="17.25" customHeight="1">
      <c r="A1384" s="895"/>
      <c r="B1384" s="895"/>
      <c r="C1384" s="895"/>
      <c r="D1384" s="895"/>
      <c r="E1384" s="895"/>
      <c r="F1384" s="873"/>
      <c r="G1384" s="895"/>
      <c r="H1384" s="895"/>
      <c r="I1384" s="895"/>
      <c r="J1384" s="895"/>
      <c r="K1384" s="874"/>
      <c r="L1384" s="818"/>
    </row>
    <row r="1385" spans="1:12" s="31" customFormat="1" ht="17.25" customHeight="1">
      <c r="A1385" s="895" t="str">
        <f>A1368</f>
        <v>LƯƠNG THÁNG 01/2025</v>
      </c>
      <c r="B1385" s="895"/>
      <c r="C1385" s="895"/>
      <c r="D1385" s="895"/>
      <c r="E1385" s="895" t="e">
        <f>VLOOKUP(B1386,'CNKT '!#REF!,26,0)</f>
        <v>#REF!</v>
      </c>
      <c r="F1385" s="873"/>
      <c r="G1385" s="895" t="str">
        <f>A1385</f>
        <v>LƯƠNG THÁNG 01/2025</v>
      </c>
      <c r="H1385" s="895"/>
      <c r="I1385" s="895"/>
      <c r="J1385" s="895"/>
      <c r="K1385" s="895" t="e">
        <f>VLOOKUP(H1386,'CNKT '!#REF!,26,0)</f>
        <v>#REF!</v>
      </c>
      <c r="L1385" s="818"/>
    </row>
    <row r="1386" spans="1:12" s="31" customFormat="1" ht="17.25" customHeight="1">
      <c r="A1386" s="837" t="s">
        <v>17</v>
      </c>
      <c r="B1386" s="976" t="e">
        <f>'CNKT '!#REF!</f>
        <v>#REF!</v>
      </c>
      <c r="C1386" s="822"/>
      <c r="D1386" s="976" t="s">
        <v>398</v>
      </c>
      <c r="E1386" s="976" t="s">
        <v>20</v>
      </c>
      <c r="F1386" s="882"/>
      <c r="G1386" s="837" t="s">
        <v>17</v>
      </c>
      <c r="H1386" s="976" t="e">
        <f>'CNKT '!#REF!</f>
        <v>#REF!</v>
      </c>
      <c r="I1386" s="822"/>
      <c r="J1386" s="976" t="s">
        <v>398</v>
      </c>
      <c r="K1386" s="976" t="s">
        <v>20</v>
      </c>
      <c r="L1386" s="818"/>
    </row>
    <row r="1387" spans="1:12" s="31" customFormat="1" ht="17.25" customHeight="1">
      <c r="A1387" s="821" t="s">
        <v>399</v>
      </c>
      <c r="B1387" s="978" t="s">
        <v>559</v>
      </c>
      <c r="C1387" s="822" t="e">
        <f>VLOOKUP(B1386,'BTH mủ tạp'!#REF!,36,0)</f>
        <v>#REF!</v>
      </c>
      <c r="D1387" s="823"/>
      <c r="E1387" s="823"/>
      <c r="F1387" s="882"/>
      <c r="G1387" s="821" t="s">
        <v>399</v>
      </c>
      <c r="H1387" s="978" t="s">
        <v>559</v>
      </c>
      <c r="I1387" s="822" t="e">
        <f>VLOOKUP(H1386,'BTH mủ tạp'!#REF!,36,0)</f>
        <v>#REF!</v>
      </c>
      <c r="J1387" s="823"/>
      <c r="K1387" s="823"/>
      <c r="L1387" s="818"/>
    </row>
    <row r="1388" spans="1:12" s="31" customFormat="1" ht="17.25" customHeight="1">
      <c r="A1388" s="821" t="s">
        <v>79</v>
      </c>
      <c r="B1388" s="979" t="s">
        <v>432</v>
      </c>
      <c r="C1388" s="824" t="e">
        <f>VLOOKUP(B1386,'CNKT '!#REF!,3,0)</f>
        <v>#REF!</v>
      </c>
      <c r="D1388" s="825">
        <v>25000</v>
      </c>
      <c r="E1388" s="823" t="e">
        <f t="shared" ref="E1388:E1393" si="161">C1388*D1388</f>
        <v>#REF!</v>
      </c>
      <c r="F1388" s="882"/>
      <c r="G1388" s="821" t="s">
        <v>79</v>
      </c>
      <c r="H1388" s="979" t="s">
        <v>432</v>
      </c>
      <c r="I1388" s="824" t="e">
        <f>VLOOKUP(H1386,'CNKT '!#REF!,3,0)</f>
        <v>#REF!</v>
      </c>
      <c r="J1388" s="825">
        <v>25000</v>
      </c>
      <c r="K1388" s="823" t="e">
        <f t="shared" ref="K1388:K1393" si="162">I1388*J1388</f>
        <v>#REF!</v>
      </c>
      <c r="L1388" s="818"/>
    </row>
    <row r="1389" spans="1:12" s="31" customFormat="1" ht="17.25" customHeight="1">
      <c r="A1389" s="821" t="s">
        <v>310</v>
      </c>
      <c r="B1389" s="980" t="s">
        <v>560</v>
      </c>
      <c r="C1389" s="879" t="e">
        <f>VLOOKUP(B1386,'CNKT '!#REF!,11,0)</f>
        <v>#REF!</v>
      </c>
      <c r="D1389" s="826">
        <f>46.1*$B$2</f>
        <v>30805.403000000002</v>
      </c>
      <c r="E1389" s="823" t="e">
        <f t="shared" si="161"/>
        <v>#REF!</v>
      </c>
      <c r="F1389" s="882"/>
      <c r="G1389" s="821" t="s">
        <v>310</v>
      </c>
      <c r="H1389" s="980" t="s">
        <v>560</v>
      </c>
      <c r="I1389" s="879" t="e">
        <f>VLOOKUP(H1386,'CNKT '!#REF!,11,0)</f>
        <v>#REF!</v>
      </c>
      <c r="J1389" s="826">
        <f>46.1*$B$2</f>
        <v>30805.403000000002</v>
      </c>
      <c r="K1389" s="823" t="e">
        <f t="shared" si="162"/>
        <v>#REF!</v>
      </c>
      <c r="L1389" s="818"/>
    </row>
    <row r="1390" spans="1:12" s="31" customFormat="1" ht="17.25" customHeight="1">
      <c r="A1390" s="821" t="s">
        <v>401</v>
      </c>
      <c r="B1390" s="980" t="s">
        <v>561</v>
      </c>
      <c r="C1390" s="879" t="e">
        <f>VLOOKUP(B1386,'CNKT '!#REF!,12,0)</f>
        <v>#REF!</v>
      </c>
      <c r="D1390" s="825">
        <f>76.9*$B$2</f>
        <v>51386.887000000002</v>
      </c>
      <c r="E1390" s="823" t="e">
        <f t="shared" si="161"/>
        <v>#REF!</v>
      </c>
      <c r="F1390" s="882"/>
      <c r="G1390" s="821" t="s">
        <v>401</v>
      </c>
      <c r="H1390" s="980" t="s">
        <v>561</v>
      </c>
      <c r="I1390" s="879" t="e">
        <f>VLOOKUP(H1386,'CNKT '!#REF!,12,0)</f>
        <v>#REF!</v>
      </c>
      <c r="J1390" s="825">
        <f>76.9*$B$2</f>
        <v>51386.887000000002</v>
      </c>
      <c r="K1390" s="823" t="e">
        <f t="shared" si="162"/>
        <v>#REF!</v>
      </c>
      <c r="L1390" s="818"/>
    </row>
    <row r="1391" spans="1:12" s="31" customFormat="1" ht="17.25" customHeight="1">
      <c r="A1391" s="821" t="s">
        <v>80</v>
      </c>
      <c r="B1391" s="980" t="s">
        <v>562</v>
      </c>
      <c r="C1391" s="879" t="e">
        <f>VLOOKUP(B1386,'CNKT '!#REF!,8,0)</f>
        <v>#REF!</v>
      </c>
      <c r="D1391" s="825" t="e">
        <f>IF(C1387="A",6.1,IF(C1387="B",5.8,IF(C1387="C",5.5,IF(C1387="C.",5.5,IF(C1387="D",5.2)))))*$B$2</f>
        <v>#REF!</v>
      </c>
      <c r="E1391" s="823" t="e">
        <f t="shared" si="161"/>
        <v>#REF!</v>
      </c>
      <c r="F1391" s="882"/>
      <c r="G1391" s="821" t="s">
        <v>80</v>
      </c>
      <c r="H1391" s="980" t="s">
        <v>562</v>
      </c>
      <c r="I1391" s="879" t="e">
        <f>VLOOKUP(H1386,'CNKT '!#REF!,8,0)</f>
        <v>#REF!</v>
      </c>
      <c r="J1391" s="825" t="e">
        <f>IF(I1387="A",6.1,IF(I1387="B",5.8,IF(I1387="C",5.5,IF(I1387="C.",5.5,IF(I1387="D",5.2)))))*$B$2</f>
        <v>#REF!</v>
      </c>
      <c r="K1391" s="823" t="e">
        <f t="shared" si="162"/>
        <v>#REF!</v>
      </c>
      <c r="L1391" s="818"/>
    </row>
    <row r="1392" spans="1:12" s="31" customFormat="1" ht="17.25" customHeight="1">
      <c r="A1392" s="821" t="s">
        <v>495</v>
      </c>
      <c r="B1392" s="980" t="s">
        <v>563</v>
      </c>
      <c r="C1392" s="879" t="e">
        <f>VLOOKUP(B1386,'CNKT '!#REF!,15,0)</f>
        <v>#REF!</v>
      </c>
      <c r="D1392" s="826">
        <f>92.2*$B$2</f>
        <v>61610.806000000004</v>
      </c>
      <c r="E1392" s="823" t="e">
        <f t="shared" si="161"/>
        <v>#REF!</v>
      </c>
      <c r="F1392" s="882"/>
      <c r="G1392" s="821" t="s">
        <v>495</v>
      </c>
      <c r="H1392" s="980" t="s">
        <v>563</v>
      </c>
      <c r="I1392" s="879" t="e">
        <f>VLOOKUP(H1386,'CNKT '!#REF!,15,0)</f>
        <v>#REF!</v>
      </c>
      <c r="J1392" s="826">
        <f>92.2*$B$2</f>
        <v>61610.806000000004</v>
      </c>
      <c r="K1392" s="823" t="e">
        <f t="shared" si="162"/>
        <v>#REF!</v>
      </c>
      <c r="L1392" s="818"/>
    </row>
    <row r="1393" spans="1:12" s="31" customFormat="1" ht="17.25" customHeight="1">
      <c r="A1393" s="821" t="s">
        <v>496</v>
      </c>
      <c r="B1393" s="980" t="s">
        <v>500</v>
      </c>
      <c r="C1393" s="879" t="e">
        <f>VLOOKUP(B1386,'CNKT '!#REF!,16,0)</f>
        <v>#REF!</v>
      </c>
      <c r="D1393" s="825">
        <f>153.8*$B$2</f>
        <v>102773.774</v>
      </c>
      <c r="E1393" s="823" t="e">
        <f t="shared" si="161"/>
        <v>#REF!</v>
      </c>
      <c r="F1393" s="882"/>
      <c r="G1393" s="821" t="s">
        <v>496</v>
      </c>
      <c r="H1393" s="980" t="s">
        <v>500</v>
      </c>
      <c r="I1393" s="879" t="e">
        <f>VLOOKUP(H1386,'CNKT '!#REF!,16,0)</f>
        <v>#REF!</v>
      </c>
      <c r="J1393" s="825">
        <f>153.8*$B$2</f>
        <v>102773.774</v>
      </c>
      <c r="K1393" s="823" t="e">
        <f t="shared" si="162"/>
        <v>#REF!</v>
      </c>
      <c r="L1393" s="818"/>
    </row>
    <row r="1394" spans="1:12" s="31" customFormat="1" ht="17.25" customHeight="1">
      <c r="A1394" s="821" t="s">
        <v>455</v>
      </c>
      <c r="B1394" s="980" t="s">
        <v>501</v>
      </c>
      <c r="C1394" s="879" t="e">
        <f>VLOOKUP(B1386,'CNKT '!#REF!,18,0)</f>
        <v>#REF!</v>
      </c>
      <c r="D1394" s="825">
        <v>10000</v>
      </c>
      <c r="E1394" s="823" t="e">
        <f>C1394*D1394</f>
        <v>#REF!</v>
      </c>
      <c r="F1394" s="882"/>
      <c r="G1394" s="821" t="s">
        <v>455</v>
      </c>
      <c r="H1394" s="980" t="s">
        <v>501</v>
      </c>
      <c r="I1394" s="879" t="e">
        <f>VLOOKUP(H1386,'CNKT '!#REF!,18,0)</f>
        <v>#REF!</v>
      </c>
      <c r="J1394" s="825">
        <v>10000</v>
      </c>
      <c r="K1394" s="823" t="e">
        <f>I1394*J1394</f>
        <v>#REF!</v>
      </c>
      <c r="L1394" s="818"/>
    </row>
    <row r="1395" spans="1:12" s="31" customFormat="1" ht="17.25" customHeight="1">
      <c r="A1395" s="821" t="s">
        <v>455</v>
      </c>
      <c r="B1395" s="980" t="s">
        <v>501</v>
      </c>
      <c r="C1395" s="879" t="e">
        <f>VLOOKUP(B1386,'CNKT '!#REF!,19,0)</f>
        <v>#REF!</v>
      </c>
      <c r="D1395" s="825">
        <v>20000</v>
      </c>
      <c r="E1395" s="823" t="e">
        <f>C1395*D1395</f>
        <v>#REF!</v>
      </c>
      <c r="F1395" s="882"/>
      <c r="G1395" s="821" t="s">
        <v>455</v>
      </c>
      <c r="H1395" s="980" t="s">
        <v>501</v>
      </c>
      <c r="I1395" s="879" t="e">
        <f>VLOOKUP(H1386,'CNKT '!#REF!,19,0)</f>
        <v>#REF!</v>
      </c>
      <c r="J1395" s="825">
        <v>20000</v>
      </c>
      <c r="K1395" s="823" t="e">
        <f>I1395*J1395</f>
        <v>#REF!</v>
      </c>
      <c r="L1395" s="818"/>
    </row>
    <row r="1396" spans="1:12" s="31" customFormat="1" ht="17.25" customHeight="1">
      <c r="A1396" s="821" t="s">
        <v>517</v>
      </c>
      <c r="B1396" s="980" t="s">
        <v>519</v>
      </c>
      <c r="C1396" s="879"/>
      <c r="D1396" s="825"/>
      <c r="E1396" s="823"/>
      <c r="F1396" s="882"/>
      <c r="G1396" s="821" t="s">
        <v>517</v>
      </c>
      <c r="H1396" s="980" t="s">
        <v>519</v>
      </c>
      <c r="I1396" s="879"/>
      <c r="J1396" s="825"/>
      <c r="K1396" s="823"/>
      <c r="L1396" s="818"/>
    </row>
    <row r="1397" spans="1:12" s="31" customFormat="1" ht="17.25" customHeight="1">
      <c r="A1397" s="827" t="s">
        <v>81</v>
      </c>
      <c r="B1397" s="981" t="s">
        <v>564</v>
      </c>
      <c r="C1397" s="828"/>
      <c r="D1397" s="829"/>
      <c r="E1397" s="828"/>
      <c r="F1397" s="882"/>
      <c r="G1397" s="827" t="s">
        <v>81</v>
      </c>
      <c r="H1397" s="981" t="s">
        <v>564</v>
      </c>
      <c r="I1397" s="828"/>
      <c r="J1397" s="829"/>
      <c r="K1397" s="828"/>
      <c r="L1397" s="818"/>
    </row>
    <row r="1398" spans="1:12" s="31" customFormat="1" ht="17.25" customHeight="1">
      <c r="A1398" s="830" t="s">
        <v>82</v>
      </c>
      <c r="B1398" s="982" t="s">
        <v>565</v>
      </c>
      <c r="C1398" s="828"/>
      <c r="D1398" s="828"/>
      <c r="E1398" s="828"/>
      <c r="F1398" s="882"/>
      <c r="G1398" s="830" t="s">
        <v>82</v>
      </c>
      <c r="H1398" s="982" t="s">
        <v>565</v>
      </c>
      <c r="I1398" s="828"/>
      <c r="J1398" s="828"/>
      <c r="K1398" s="828"/>
      <c r="L1398" s="818"/>
    </row>
    <row r="1399" spans="1:12" s="31" customFormat="1" ht="17.25" customHeight="1">
      <c r="A1399" s="830" t="s">
        <v>83</v>
      </c>
      <c r="B1399" s="983" t="s">
        <v>566</v>
      </c>
      <c r="C1399" s="828"/>
      <c r="D1399" s="828"/>
      <c r="E1399" s="823">
        <f>SUM(E1398)</f>
        <v>0</v>
      </c>
      <c r="F1399" s="882"/>
      <c r="G1399" s="830" t="s">
        <v>83</v>
      </c>
      <c r="H1399" s="983" t="s">
        <v>566</v>
      </c>
      <c r="I1399" s="828"/>
      <c r="J1399" s="828"/>
      <c r="K1399" s="823">
        <f>SUM(K1398)</f>
        <v>0</v>
      </c>
      <c r="L1399" s="818"/>
    </row>
    <row r="1400" spans="1:12" s="31" customFormat="1" ht="17.25" customHeight="1">
      <c r="A1400" s="832" t="s">
        <v>84</v>
      </c>
      <c r="B1400" s="984" t="s">
        <v>438</v>
      </c>
      <c r="C1400" s="833"/>
      <c r="D1400" s="833"/>
      <c r="E1400" s="833" t="e">
        <f>(E1388+E1389+E1390+E1391+E1392+E1393+E1394+E1395+E1396)-E1399</f>
        <v>#REF!</v>
      </c>
      <c r="F1400" s="882"/>
      <c r="G1400" s="832" t="s">
        <v>84</v>
      </c>
      <c r="H1400" s="984" t="s">
        <v>438</v>
      </c>
      <c r="I1400" s="833"/>
      <c r="J1400" s="833"/>
      <c r="K1400" s="833" t="e">
        <f>(K1388+K1389+K1390+K1391+K1392+K1393+K1394+K1395+K1396)-K1399</f>
        <v>#REF!</v>
      </c>
      <c r="L1400" s="835" t="e">
        <f>E1400+K1400</f>
        <v>#REF!</v>
      </c>
    </row>
    <row r="1401" spans="1:12" s="31" customFormat="1" ht="226.5" customHeight="1">
      <c r="A1401" s="895"/>
      <c r="B1401" s="895"/>
      <c r="C1401" s="895"/>
      <c r="D1401" s="895"/>
      <c r="E1401" s="895"/>
      <c r="F1401" s="873"/>
      <c r="G1401" s="895"/>
      <c r="H1401" s="895"/>
      <c r="I1401" s="895"/>
      <c r="J1401" s="895"/>
      <c r="K1401" s="874"/>
      <c r="L1401" s="818"/>
    </row>
    <row r="1402" spans="1:12" s="31" customFormat="1" ht="17.25" customHeight="1">
      <c r="A1402" s="895" t="str">
        <f>A1385</f>
        <v>LƯƠNG THÁNG 01/2025</v>
      </c>
      <c r="B1402" s="895"/>
      <c r="C1402" s="895"/>
      <c r="D1402" s="895"/>
      <c r="E1402" s="895" t="e">
        <f>VLOOKUP(B1403,'CNKT '!#REF!,26,0)</f>
        <v>#REF!</v>
      </c>
      <c r="F1402" s="873"/>
      <c r="G1402" s="895" t="str">
        <f>A1402</f>
        <v>LƯƠNG THÁNG 01/2025</v>
      </c>
      <c r="H1402" s="895"/>
      <c r="I1402" s="895"/>
      <c r="J1402" s="895"/>
      <c r="K1402" s="895" t="e">
        <f>VLOOKUP(H1403,'CNKT '!#REF!,26,0)</f>
        <v>#REF!</v>
      </c>
      <c r="L1402" s="818"/>
    </row>
    <row r="1403" spans="1:12" s="31" customFormat="1" ht="17.25" customHeight="1">
      <c r="A1403" s="837" t="s">
        <v>17</v>
      </c>
      <c r="B1403" s="976" t="e">
        <f>'CNKT '!#REF!</f>
        <v>#REF!</v>
      </c>
      <c r="C1403" s="822"/>
      <c r="D1403" s="976" t="s">
        <v>398</v>
      </c>
      <c r="E1403" s="976" t="s">
        <v>20</v>
      </c>
      <c r="F1403" s="882"/>
      <c r="G1403" s="837" t="s">
        <v>17</v>
      </c>
      <c r="H1403" s="976" t="e">
        <f>'CNKT '!#REF!</f>
        <v>#REF!</v>
      </c>
      <c r="I1403" s="822"/>
      <c r="J1403" s="976" t="s">
        <v>398</v>
      </c>
      <c r="K1403" s="976" t="s">
        <v>20</v>
      </c>
      <c r="L1403" s="818"/>
    </row>
    <row r="1404" spans="1:12" s="31" customFormat="1" ht="17.25" customHeight="1">
      <c r="A1404" s="821" t="s">
        <v>399</v>
      </c>
      <c r="B1404" s="978" t="s">
        <v>559</v>
      </c>
      <c r="C1404" s="822" t="e">
        <f>VLOOKUP(B1403,'BTH mủ tạp'!#REF!,36,0)</f>
        <v>#REF!</v>
      </c>
      <c r="D1404" s="823"/>
      <c r="E1404" s="823"/>
      <c r="F1404" s="882"/>
      <c r="G1404" s="821" t="s">
        <v>399</v>
      </c>
      <c r="H1404" s="978" t="s">
        <v>559</v>
      </c>
      <c r="I1404" s="822" t="e">
        <f>VLOOKUP(H1403,'BTH mủ tạp'!$C$97:$AL$101,36,0)</f>
        <v>#REF!</v>
      </c>
      <c r="J1404" s="823"/>
      <c r="K1404" s="823"/>
      <c r="L1404" s="818"/>
    </row>
    <row r="1405" spans="1:12" s="31" customFormat="1" ht="17.25" customHeight="1">
      <c r="A1405" s="821" t="s">
        <v>79</v>
      </c>
      <c r="B1405" s="979" t="s">
        <v>432</v>
      </c>
      <c r="C1405" s="824" t="e">
        <f>VLOOKUP(B1403,'CNKT '!#REF!,3,0)</f>
        <v>#REF!</v>
      </c>
      <c r="D1405" s="825">
        <v>25000</v>
      </c>
      <c r="E1405" s="823" t="e">
        <f t="shared" ref="E1405:E1410" si="163">C1405*D1405</f>
        <v>#REF!</v>
      </c>
      <c r="F1405" s="882"/>
      <c r="G1405" s="821" t="s">
        <v>79</v>
      </c>
      <c r="H1405" s="979" t="s">
        <v>432</v>
      </c>
      <c r="I1405" s="824" t="e">
        <f>VLOOKUP(H1403,'CNKT '!#REF!,3,0)</f>
        <v>#REF!</v>
      </c>
      <c r="J1405" s="825">
        <v>25000</v>
      </c>
      <c r="K1405" s="823" t="e">
        <f t="shared" ref="K1405:K1410" si="164">I1405*J1405</f>
        <v>#REF!</v>
      </c>
      <c r="L1405" s="818"/>
    </row>
    <row r="1406" spans="1:12" s="31" customFormat="1" ht="17.25" customHeight="1">
      <c r="A1406" s="821" t="s">
        <v>310</v>
      </c>
      <c r="B1406" s="980" t="s">
        <v>560</v>
      </c>
      <c r="C1406" s="879" t="e">
        <f>VLOOKUP(B1403,'CNKT '!#REF!,11,0)</f>
        <v>#REF!</v>
      </c>
      <c r="D1406" s="826">
        <f>46.1*$B$2</f>
        <v>30805.403000000002</v>
      </c>
      <c r="E1406" s="823" t="e">
        <f t="shared" si="163"/>
        <v>#REF!</v>
      </c>
      <c r="F1406" s="882"/>
      <c r="G1406" s="821" t="s">
        <v>310</v>
      </c>
      <c r="H1406" s="980" t="s">
        <v>560</v>
      </c>
      <c r="I1406" s="879" t="e">
        <f>VLOOKUP(H1403,'CNKT '!#REF!,11,0)</f>
        <v>#REF!</v>
      </c>
      <c r="J1406" s="826">
        <f>46.1*$B$2</f>
        <v>30805.403000000002</v>
      </c>
      <c r="K1406" s="823" t="e">
        <f t="shared" si="164"/>
        <v>#REF!</v>
      </c>
      <c r="L1406" s="818"/>
    </row>
    <row r="1407" spans="1:12" s="31" customFormat="1" ht="17.25" customHeight="1">
      <c r="A1407" s="821" t="s">
        <v>401</v>
      </c>
      <c r="B1407" s="980" t="s">
        <v>561</v>
      </c>
      <c r="C1407" s="879" t="e">
        <f>VLOOKUP(B1403,'CNKT '!#REF!,12,0)</f>
        <v>#REF!</v>
      </c>
      <c r="D1407" s="825">
        <f>76.9*$B$2</f>
        <v>51386.887000000002</v>
      </c>
      <c r="E1407" s="823" t="e">
        <f t="shared" si="163"/>
        <v>#REF!</v>
      </c>
      <c r="F1407" s="882"/>
      <c r="G1407" s="821" t="s">
        <v>401</v>
      </c>
      <c r="H1407" s="980" t="s">
        <v>561</v>
      </c>
      <c r="I1407" s="879" t="e">
        <f>VLOOKUP(H1403,'CNKT '!#REF!,12,0)</f>
        <v>#REF!</v>
      </c>
      <c r="J1407" s="825">
        <f>76.9*$B$2</f>
        <v>51386.887000000002</v>
      </c>
      <c r="K1407" s="823" t="e">
        <f t="shared" si="164"/>
        <v>#REF!</v>
      </c>
      <c r="L1407" s="818"/>
    </row>
    <row r="1408" spans="1:12" s="31" customFormat="1" ht="17.25" customHeight="1">
      <c r="A1408" s="821" t="s">
        <v>80</v>
      </c>
      <c r="B1408" s="980" t="s">
        <v>562</v>
      </c>
      <c r="C1408" s="879" t="e">
        <f>VLOOKUP(B1403,'CNKT '!#REF!,8,0)</f>
        <v>#REF!</v>
      </c>
      <c r="D1408" s="825" t="e">
        <f>IF(C1404="A",6.1,IF(C1404="B",5.8,IF(C1404="C",5.5,IF(C1404="C.",5.5,IF(C1404="D",5.2)))))*$B$2</f>
        <v>#REF!</v>
      </c>
      <c r="E1408" s="823" t="e">
        <f t="shared" si="163"/>
        <v>#REF!</v>
      </c>
      <c r="F1408" s="882"/>
      <c r="G1408" s="821" t="s">
        <v>80</v>
      </c>
      <c r="H1408" s="980" t="s">
        <v>562</v>
      </c>
      <c r="I1408" s="879" t="e">
        <f>VLOOKUP(H1403,'CNKT '!#REF!,8,0)</f>
        <v>#REF!</v>
      </c>
      <c r="J1408" s="825" t="e">
        <f>IF(I1404="A",6.1,IF(I1404="B",5.8,IF(I1404="C",5.5,IF(I1404="C.",5.5,IF(I1404="D",5.2)))))*$B$2</f>
        <v>#REF!</v>
      </c>
      <c r="K1408" s="823" t="e">
        <f t="shared" si="164"/>
        <v>#REF!</v>
      </c>
      <c r="L1408" s="818"/>
    </row>
    <row r="1409" spans="1:12" s="31" customFormat="1" ht="17.25" customHeight="1">
      <c r="A1409" s="821" t="s">
        <v>495</v>
      </c>
      <c r="B1409" s="980" t="s">
        <v>563</v>
      </c>
      <c r="C1409" s="879" t="e">
        <f>VLOOKUP(B1403,'CNKT '!#REF!,15,0)</f>
        <v>#REF!</v>
      </c>
      <c r="D1409" s="826">
        <f>92.2*$B$2</f>
        <v>61610.806000000004</v>
      </c>
      <c r="E1409" s="823" t="e">
        <f t="shared" si="163"/>
        <v>#REF!</v>
      </c>
      <c r="F1409" s="882"/>
      <c r="G1409" s="821" t="s">
        <v>495</v>
      </c>
      <c r="H1409" s="980" t="s">
        <v>563</v>
      </c>
      <c r="I1409" s="879" t="e">
        <f>VLOOKUP(H1403,'CNKT '!#REF!,15,0)</f>
        <v>#REF!</v>
      </c>
      <c r="J1409" s="826">
        <f>92.2*$B$2</f>
        <v>61610.806000000004</v>
      </c>
      <c r="K1409" s="823" t="e">
        <f t="shared" si="164"/>
        <v>#REF!</v>
      </c>
      <c r="L1409" s="818"/>
    </row>
    <row r="1410" spans="1:12" s="31" customFormat="1" ht="17.25" customHeight="1">
      <c r="A1410" s="821" t="s">
        <v>496</v>
      </c>
      <c r="B1410" s="980" t="s">
        <v>500</v>
      </c>
      <c r="C1410" s="879" t="e">
        <f>VLOOKUP(B1403,'CNKT '!#REF!,16,0)</f>
        <v>#REF!</v>
      </c>
      <c r="D1410" s="825">
        <f>153.8*$B$2</f>
        <v>102773.774</v>
      </c>
      <c r="E1410" s="823" t="e">
        <f t="shared" si="163"/>
        <v>#REF!</v>
      </c>
      <c r="F1410" s="882"/>
      <c r="G1410" s="821" t="s">
        <v>496</v>
      </c>
      <c r="H1410" s="980" t="s">
        <v>500</v>
      </c>
      <c r="I1410" s="879" t="e">
        <f>VLOOKUP(H1403,'CNKT '!#REF!,16,0)</f>
        <v>#REF!</v>
      </c>
      <c r="J1410" s="825">
        <f>153.8*$B$2</f>
        <v>102773.774</v>
      </c>
      <c r="K1410" s="823" t="e">
        <f t="shared" si="164"/>
        <v>#REF!</v>
      </c>
      <c r="L1410" s="818"/>
    </row>
    <row r="1411" spans="1:12" s="31" customFormat="1" ht="17.25" customHeight="1">
      <c r="A1411" s="821" t="s">
        <v>455</v>
      </c>
      <c r="B1411" s="980" t="s">
        <v>501</v>
      </c>
      <c r="C1411" s="879" t="e">
        <f>VLOOKUP(B1403,'CNKT '!#REF!,18,0)</f>
        <v>#REF!</v>
      </c>
      <c r="D1411" s="825">
        <v>10000</v>
      </c>
      <c r="E1411" s="823" t="e">
        <f>C1411*D1411</f>
        <v>#REF!</v>
      </c>
      <c r="F1411" s="882"/>
      <c r="G1411" s="821" t="s">
        <v>455</v>
      </c>
      <c r="H1411" s="980" t="s">
        <v>501</v>
      </c>
      <c r="I1411" s="879" t="e">
        <f>VLOOKUP(H1403,'CNKT '!#REF!,18,0)</f>
        <v>#REF!</v>
      </c>
      <c r="J1411" s="825">
        <v>10000</v>
      </c>
      <c r="K1411" s="823" t="e">
        <f>I1411*J1411</f>
        <v>#REF!</v>
      </c>
      <c r="L1411" s="818"/>
    </row>
    <row r="1412" spans="1:12" s="31" customFormat="1" ht="17.25" customHeight="1">
      <c r="A1412" s="821" t="s">
        <v>455</v>
      </c>
      <c r="B1412" s="980" t="s">
        <v>501</v>
      </c>
      <c r="C1412" s="879" t="e">
        <f>VLOOKUP(B1403,'CNKT '!#REF!,19,0)</f>
        <v>#REF!</v>
      </c>
      <c r="D1412" s="825">
        <v>20000</v>
      </c>
      <c r="E1412" s="823" t="e">
        <f>C1412*D1412</f>
        <v>#REF!</v>
      </c>
      <c r="F1412" s="882"/>
      <c r="G1412" s="821" t="s">
        <v>455</v>
      </c>
      <c r="H1412" s="980" t="s">
        <v>501</v>
      </c>
      <c r="I1412" s="879" t="e">
        <f>VLOOKUP(H1403,'CNKT '!#REF!,19,0)</f>
        <v>#REF!</v>
      </c>
      <c r="J1412" s="825">
        <v>20000</v>
      </c>
      <c r="K1412" s="823" t="e">
        <f>I1412*J1412</f>
        <v>#REF!</v>
      </c>
      <c r="L1412" s="818"/>
    </row>
    <row r="1413" spans="1:12" s="31" customFormat="1" ht="17.25" customHeight="1">
      <c r="A1413" s="821" t="s">
        <v>517</v>
      </c>
      <c r="B1413" s="980" t="s">
        <v>519</v>
      </c>
      <c r="C1413" s="879"/>
      <c r="D1413" s="825"/>
      <c r="E1413" s="823"/>
      <c r="F1413" s="882"/>
      <c r="G1413" s="821" t="s">
        <v>517</v>
      </c>
      <c r="H1413" s="980" t="s">
        <v>519</v>
      </c>
      <c r="I1413" s="879"/>
      <c r="J1413" s="825"/>
      <c r="K1413" s="823"/>
      <c r="L1413" s="818"/>
    </row>
    <row r="1414" spans="1:12" s="31" customFormat="1" ht="17.25" customHeight="1">
      <c r="A1414" s="827" t="s">
        <v>81</v>
      </c>
      <c r="B1414" s="981" t="s">
        <v>564</v>
      </c>
      <c r="C1414" s="828"/>
      <c r="D1414" s="829"/>
      <c r="E1414" s="828"/>
      <c r="F1414" s="882"/>
      <c r="G1414" s="827" t="s">
        <v>81</v>
      </c>
      <c r="H1414" s="981" t="s">
        <v>564</v>
      </c>
      <c r="I1414" s="828"/>
      <c r="J1414" s="829"/>
      <c r="K1414" s="828"/>
      <c r="L1414" s="818"/>
    </row>
    <row r="1415" spans="1:12" s="31" customFormat="1" ht="17.25" customHeight="1">
      <c r="A1415" s="830" t="s">
        <v>82</v>
      </c>
      <c r="B1415" s="982" t="s">
        <v>565</v>
      </c>
      <c r="C1415" s="828"/>
      <c r="D1415" s="828"/>
      <c r="E1415" s="828"/>
      <c r="F1415" s="882"/>
      <c r="G1415" s="830" t="s">
        <v>82</v>
      </c>
      <c r="H1415" s="982" t="s">
        <v>565</v>
      </c>
      <c r="I1415" s="828"/>
      <c r="J1415" s="828"/>
      <c r="K1415" s="828"/>
      <c r="L1415" s="818"/>
    </row>
    <row r="1416" spans="1:12" s="31" customFormat="1" ht="17.25" customHeight="1">
      <c r="A1416" s="830" t="s">
        <v>83</v>
      </c>
      <c r="B1416" s="983" t="s">
        <v>566</v>
      </c>
      <c r="C1416" s="828"/>
      <c r="D1416" s="828"/>
      <c r="E1416" s="823">
        <f>SUM(E1415)</f>
        <v>0</v>
      </c>
      <c r="F1416" s="882"/>
      <c r="G1416" s="830" t="s">
        <v>83</v>
      </c>
      <c r="H1416" s="983" t="s">
        <v>566</v>
      </c>
      <c r="I1416" s="828"/>
      <c r="J1416" s="828"/>
      <c r="K1416" s="823">
        <f>SUM(K1415)</f>
        <v>0</v>
      </c>
      <c r="L1416" s="818"/>
    </row>
    <row r="1417" spans="1:12" s="31" customFormat="1" ht="17.25" customHeight="1">
      <c r="A1417" s="832" t="s">
        <v>84</v>
      </c>
      <c r="B1417" s="984" t="s">
        <v>438</v>
      </c>
      <c r="C1417" s="833"/>
      <c r="D1417" s="833"/>
      <c r="E1417" s="833" t="e">
        <f>(E1405+E1406+E1407+E1408+E1409+E1410+E1411+E1412+E1413)-E1416</f>
        <v>#REF!</v>
      </c>
      <c r="F1417" s="882"/>
      <c r="G1417" s="832" t="s">
        <v>84</v>
      </c>
      <c r="H1417" s="984" t="s">
        <v>438</v>
      </c>
      <c r="I1417" s="833"/>
      <c r="J1417" s="833"/>
      <c r="K1417" s="833" t="e">
        <f>(K1405+K1406+K1407+K1408+K1409+K1410+K1411+K1412+K1413)-K1416</f>
        <v>#REF!</v>
      </c>
      <c r="L1417" s="835" t="e">
        <f>E1417+K1417</f>
        <v>#REF!</v>
      </c>
    </row>
    <row r="1418" spans="1:12" s="31" customFormat="1" ht="17.25" customHeight="1">
      <c r="A1418" s="895"/>
      <c r="B1418" s="895"/>
      <c r="C1418" s="895"/>
      <c r="D1418" s="895"/>
      <c r="E1418" s="895"/>
      <c r="F1418" s="873"/>
      <c r="G1418" s="895"/>
      <c r="H1418" s="895"/>
      <c r="I1418" s="895"/>
      <c r="J1418" s="895"/>
      <c r="K1418" s="874"/>
      <c r="L1418" s="818"/>
    </row>
    <row r="1419" spans="1:12" s="31" customFormat="1" ht="17.25" customHeight="1">
      <c r="A1419" s="895" t="str">
        <f>A1402</f>
        <v>LƯƠNG THÁNG 01/2025</v>
      </c>
      <c r="B1419" s="895"/>
      <c r="C1419" s="895"/>
      <c r="D1419" s="895"/>
      <c r="E1419" s="895" t="e">
        <f>VLOOKUP(B1420,'CNKT '!#REF!,26,0)</f>
        <v>#REF!</v>
      </c>
      <c r="F1419" s="873"/>
      <c r="G1419" s="895" t="str">
        <f>A1419</f>
        <v>LƯƠNG THÁNG 01/2025</v>
      </c>
      <c r="H1419" s="895"/>
      <c r="I1419" s="895"/>
      <c r="J1419" s="895"/>
      <c r="K1419" s="895" t="e">
        <f>VLOOKUP(H1420,'CNKT '!#REF!,26,0)</f>
        <v>#REF!</v>
      </c>
      <c r="L1419" s="818"/>
    </row>
    <row r="1420" spans="1:12" s="31" customFormat="1" ht="17.25" customHeight="1">
      <c r="A1420" s="837" t="s">
        <v>17</v>
      </c>
      <c r="B1420" s="976" t="e">
        <f>'CNKT '!#REF!</f>
        <v>#REF!</v>
      </c>
      <c r="C1420" s="822"/>
      <c r="D1420" s="976" t="s">
        <v>398</v>
      </c>
      <c r="E1420" s="976" t="s">
        <v>20</v>
      </c>
      <c r="F1420" s="882"/>
      <c r="G1420" s="837" t="s">
        <v>17</v>
      </c>
      <c r="H1420" s="976" t="e">
        <f>'CNKT '!#REF!</f>
        <v>#REF!</v>
      </c>
      <c r="I1420" s="822"/>
      <c r="J1420" s="976" t="s">
        <v>398</v>
      </c>
      <c r="K1420" s="976" t="s">
        <v>20</v>
      </c>
      <c r="L1420" s="818"/>
    </row>
    <row r="1421" spans="1:12" s="31" customFormat="1" ht="17.25" customHeight="1">
      <c r="A1421" s="821" t="s">
        <v>399</v>
      </c>
      <c r="B1421" s="978" t="s">
        <v>559</v>
      </c>
      <c r="C1421" s="822" t="e">
        <f>VLOOKUP(B1420,'BTH mủ tạp'!$C$97:$AL$101,36,0)</f>
        <v>#REF!</v>
      </c>
      <c r="D1421" s="823"/>
      <c r="E1421" s="823"/>
      <c r="F1421" s="882"/>
      <c r="G1421" s="821" t="s">
        <v>399</v>
      </c>
      <c r="H1421" s="978" t="s">
        <v>559</v>
      </c>
      <c r="I1421" s="822" t="e">
        <f>VLOOKUP(H1420,'BTH mủ tạp'!$C$97:$AL$101,36,0)</f>
        <v>#REF!</v>
      </c>
      <c r="J1421" s="823"/>
      <c r="K1421" s="823"/>
      <c r="L1421" s="818"/>
    </row>
    <row r="1422" spans="1:12" s="31" customFormat="1" ht="17.25" customHeight="1">
      <c r="A1422" s="821" t="s">
        <v>79</v>
      </c>
      <c r="B1422" s="979" t="s">
        <v>432</v>
      </c>
      <c r="C1422" s="824" t="e">
        <f>VLOOKUP(B1420,'CNKT '!#REF!,3,0)</f>
        <v>#REF!</v>
      </c>
      <c r="D1422" s="825">
        <v>25000</v>
      </c>
      <c r="E1422" s="823" t="e">
        <f t="shared" ref="E1422:E1427" si="165">C1422*D1422</f>
        <v>#REF!</v>
      </c>
      <c r="F1422" s="882"/>
      <c r="G1422" s="821" t="s">
        <v>79</v>
      </c>
      <c r="H1422" s="979" t="s">
        <v>432</v>
      </c>
      <c r="I1422" s="824" t="e">
        <f>VLOOKUP(H1420,'CNKT '!#REF!,3,0)</f>
        <v>#REF!</v>
      </c>
      <c r="J1422" s="825">
        <v>25000</v>
      </c>
      <c r="K1422" s="823" t="e">
        <f t="shared" ref="K1422:K1427" si="166">I1422*J1422</f>
        <v>#REF!</v>
      </c>
      <c r="L1422" s="818"/>
    </row>
    <row r="1423" spans="1:12" s="31" customFormat="1" ht="17.25" customHeight="1">
      <c r="A1423" s="821" t="s">
        <v>310</v>
      </c>
      <c r="B1423" s="980" t="s">
        <v>560</v>
      </c>
      <c r="C1423" s="879" t="e">
        <f>VLOOKUP(B1420,'CNKT '!#REF!,11,0)</f>
        <v>#REF!</v>
      </c>
      <c r="D1423" s="826">
        <f>46.1*$B$2</f>
        <v>30805.403000000002</v>
      </c>
      <c r="E1423" s="823" t="e">
        <f t="shared" si="165"/>
        <v>#REF!</v>
      </c>
      <c r="F1423" s="882"/>
      <c r="G1423" s="821" t="s">
        <v>310</v>
      </c>
      <c r="H1423" s="980" t="s">
        <v>560</v>
      </c>
      <c r="I1423" s="879" t="e">
        <f>VLOOKUP(H1420,'CNKT '!#REF!,11,0)</f>
        <v>#REF!</v>
      </c>
      <c r="J1423" s="826">
        <f>46.1*$B$2</f>
        <v>30805.403000000002</v>
      </c>
      <c r="K1423" s="823" t="e">
        <f t="shared" si="166"/>
        <v>#REF!</v>
      </c>
      <c r="L1423" s="818"/>
    </row>
    <row r="1424" spans="1:12" s="31" customFormat="1" ht="17.25" customHeight="1">
      <c r="A1424" s="821" t="s">
        <v>401</v>
      </c>
      <c r="B1424" s="980" t="s">
        <v>561</v>
      </c>
      <c r="C1424" s="879" t="e">
        <f>VLOOKUP(B1420,'CNKT '!#REF!,12,0)</f>
        <v>#REF!</v>
      </c>
      <c r="D1424" s="825">
        <f>76.9*$B$2</f>
        <v>51386.887000000002</v>
      </c>
      <c r="E1424" s="823" t="e">
        <f t="shared" si="165"/>
        <v>#REF!</v>
      </c>
      <c r="F1424" s="882"/>
      <c r="G1424" s="821" t="s">
        <v>401</v>
      </c>
      <c r="H1424" s="980" t="s">
        <v>561</v>
      </c>
      <c r="I1424" s="879" t="e">
        <f>VLOOKUP(H1420,'CNKT '!#REF!,12,0)</f>
        <v>#REF!</v>
      </c>
      <c r="J1424" s="825">
        <f>76.9*$B$2</f>
        <v>51386.887000000002</v>
      </c>
      <c r="K1424" s="823" t="e">
        <f t="shared" si="166"/>
        <v>#REF!</v>
      </c>
      <c r="L1424" s="818"/>
    </row>
    <row r="1425" spans="1:12" s="31" customFormat="1" ht="17.25" customHeight="1">
      <c r="A1425" s="821" t="s">
        <v>80</v>
      </c>
      <c r="B1425" s="980" t="s">
        <v>562</v>
      </c>
      <c r="C1425" s="879" t="e">
        <f>VLOOKUP(B1420,'CNKT '!#REF!,8,0)</f>
        <v>#REF!</v>
      </c>
      <c r="D1425" s="825" t="e">
        <f>IF(C1421="A",6.1,IF(C1421="B",5.8,IF(C1421="C",5.5,IF(C1421="C.",5.5,IF(C1421="D",5.2)))))*$B$2</f>
        <v>#REF!</v>
      </c>
      <c r="E1425" s="823" t="e">
        <f t="shared" si="165"/>
        <v>#REF!</v>
      </c>
      <c r="F1425" s="882"/>
      <c r="G1425" s="821" t="s">
        <v>80</v>
      </c>
      <c r="H1425" s="980" t="s">
        <v>562</v>
      </c>
      <c r="I1425" s="879" t="e">
        <f>VLOOKUP(H1420,'CNKT '!#REF!,8,0)</f>
        <v>#REF!</v>
      </c>
      <c r="J1425" s="825" t="e">
        <f>IF(I1421="A",6.1,IF(I1421="B",5.8,IF(I1421="C",5.5,IF(I1421="C.",5.5,IF(I1421="D",5.2)))))*$B$2</f>
        <v>#REF!</v>
      </c>
      <c r="K1425" s="823" t="e">
        <f t="shared" si="166"/>
        <v>#REF!</v>
      </c>
      <c r="L1425" s="818"/>
    </row>
    <row r="1426" spans="1:12" s="31" customFormat="1" ht="17.25" customHeight="1">
      <c r="A1426" s="821" t="s">
        <v>495</v>
      </c>
      <c r="B1426" s="980" t="s">
        <v>563</v>
      </c>
      <c r="C1426" s="879" t="e">
        <f>VLOOKUP(B1420,'CNKT '!#REF!,15,0)</f>
        <v>#REF!</v>
      </c>
      <c r="D1426" s="826">
        <f>92.2*$B$2</f>
        <v>61610.806000000004</v>
      </c>
      <c r="E1426" s="823" t="e">
        <f t="shared" si="165"/>
        <v>#REF!</v>
      </c>
      <c r="F1426" s="882"/>
      <c r="G1426" s="821" t="s">
        <v>495</v>
      </c>
      <c r="H1426" s="980" t="s">
        <v>563</v>
      </c>
      <c r="I1426" s="879" t="e">
        <f>VLOOKUP(H1420,'CNKT '!#REF!,15,0)</f>
        <v>#REF!</v>
      </c>
      <c r="J1426" s="826">
        <f>92.2*$B$2</f>
        <v>61610.806000000004</v>
      </c>
      <c r="K1426" s="823" t="e">
        <f t="shared" si="166"/>
        <v>#REF!</v>
      </c>
      <c r="L1426" s="818"/>
    </row>
    <row r="1427" spans="1:12" s="31" customFormat="1" ht="17.25" customHeight="1">
      <c r="A1427" s="821" t="s">
        <v>496</v>
      </c>
      <c r="B1427" s="980" t="s">
        <v>500</v>
      </c>
      <c r="C1427" s="879" t="e">
        <f>VLOOKUP(B1420,'CNKT '!#REF!,16,0)</f>
        <v>#REF!</v>
      </c>
      <c r="D1427" s="825">
        <f>153.8*$B$2</f>
        <v>102773.774</v>
      </c>
      <c r="E1427" s="823" t="e">
        <f t="shared" si="165"/>
        <v>#REF!</v>
      </c>
      <c r="F1427" s="882"/>
      <c r="G1427" s="821" t="s">
        <v>496</v>
      </c>
      <c r="H1427" s="980" t="s">
        <v>500</v>
      </c>
      <c r="I1427" s="879" t="e">
        <f>VLOOKUP(H1420,'CNKT '!#REF!,16,0)</f>
        <v>#REF!</v>
      </c>
      <c r="J1427" s="825">
        <f>153.8*$B$2</f>
        <v>102773.774</v>
      </c>
      <c r="K1427" s="823" t="e">
        <f t="shared" si="166"/>
        <v>#REF!</v>
      </c>
      <c r="L1427" s="818"/>
    </row>
    <row r="1428" spans="1:12" s="31" customFormat="1" ht="17.25" customHeight="1">
      <c r="A1428" s="821" t="s">
        <v>455</v>
      </c>
      <c r="B1428" s="980" t="s">
        <v>501</v>
      </c>
      <c r="C1428" s="879" t="e">
        <f>VLOOKUP(B1420,'CNKT '!#REF!,18,0)</f>
        <v>#REF!</v>
      </c>
      <c r="D1428" s="825">
        <v>10000</v>
      </c>
      <c r="E1428" s="823" t="e">
        <f>C1428*D1428</f>
        <v>#REF!</v>
      </c>
      <c r="F1428" s="882"/>
      <c r="G1428" s="821" t="s">
        <v>455</v>
      </c>
      <c r="H1428" s="980" t="s">
        <v>501</v>
      </c>
      <c r="I1428" s="879" t="e">
        <f>VLOOKUP(H1420,'CNKT '!#REF!,18,0)</f>
        <v>#REF!</v>
      </c>
      <c r="J1428" s="825">
        <v>10000</v>
      </c>
      <c r="K1428" s="823" t="e">
        <f>I1428*J1428</f>
        <v>#REF!</v>
      </c>
      <c r="L1428" s="818"/>
    </row>
    <row r="1429" spans="1:12" s="31" customFormat="1" ht="17.25" customHeight="1">
      <c r="A1429" s="821" t="s">
        <v>455</v>
      </c>
      <c r="B1429" s="980" t="s">
        <v>501</v>
      </c>
      <c r="C1429" s="879" t="e">
        <f>VLOOKUP(B1420,'CNKT '!#REF!,19,0)</f>
        <v>#REF!</v>
      </c>
      <c r="D1429" s="825">
        <v>20000</v>
      </c>
      <c r="E1429" s="823" t="e">
        <f>C1429*D1429</f>
        <v>#REF!</v>
      </c>
      <c r="F1429" s="882"/>
      <c r="G1429" s="821" t="s">
        <v>455</v>
      </c>
      <c r="H1429" s="980" t="s">
        <v>501</v>
      </c>
      <c r="I1429" s="879" t="e">
        <f>VLOOKUP(H1420,'CNKT '!#REF!,19,0)</f>
        <v>#REF!</v>
      </c>
      <c r="J1429" s="825">
        <v>20000</v>
      </c>
      <c r="K1429" s="823" t="e">
        <f>I1429*J1429</f>
        <v>#REF!</v>
      </c>
      <c r="L1429" s="818"/>
    </row>
    <row r="1430" spans="1:12" s="31" customFormat="1" ht="17.25" customHeight="1">
      <c r="A1430" s="821" t="s">
        <v>517</v>
      </c>
      <c r="B1430" s="980" t="s">
        <v>519</v>
      </c>
      <c r="C1430" s="879"/>
      <c r="D1430" s="825"/>
      <c r="E1430" s="823"/>
      <c r="F1430" s="882"/>
      <c r="G1430" s="821" t="s">
        <v>517</v>
      </c>
      <c r="H1430" s="980" t="s">
        <v>519</v>
      </c>
      <c r="I1430" s="879"/>
      <c r="J1430" s="825"/>
      <c r="K1430" s="823"/>
      <c r="L1430" s="818"/>
    </row>
    <row r="1431" spans="1:12" s="31" customFormat="1" ht="17.25" customHeight="1">
      <c r="A1431" s="827" t="s">
        <v>81</v>
      </c>
      <c r="B1431" s="981" t="s">
        <v>564</v>
      </c>
      <c r="C1431" s="828"/>
      <c r="D1431" s="829"/>
      <c r="E1431" s="828"/>
      <c r="F1431" s="882"/>
      <c r="G1431" s="827" t="s">
        <v>81</v>
      </c>
      <c r="H1431" s="981" t="s">
        <v>564</v>
      </c>
      <c r="I1431" s="828"/>
      <c r="J1431" s="829"/>
      <c r="K1431" s="828"/>
      <c r="L1431" s="818"/>
    </row>
    <row r="1432" spans="1:12" s="31" customFormat="1" ht="17.25" customHeight="1">
      <c r="A1432" s="830" t="s">
        <v>82</v>
      </c>
      <c r="B1432" s="982" t="s">
        <v>565</v>
      </c>
      <c r="C1432" s="828"/>
      <c r="D1432" s="828"/>
      <c r="E1432" s="828"/>
      <c r="F1432" s="882"/>
      <c r="G1432" s="830" t="s">
        <v>82</v>
      </c>
      <c r="H1432" s="982" t="s">
        <v>565</v>
      </c>
      <c r="I1432" s="828"/>
      <c r="J1432" s="828"/>
      <c r="K1432" s="828"/>
      <c r="L1432" s="818"/>
    </row>
    <row r="1433" spans="1:12" s="31" customFormat="1" ht="17.25" customHeight="1">
      <c r="A1433" s="830" t="s">
        <v>83</v>
      </c>
      <c r="B1433" s="983" t="s">
        <v>566</v>
      </c>
      <c r="C1433" s="828"/>
      <c r="D1433" s="828"/>
      <c r="E1433" s="823">
        <f>SUM(E1432)</f>
        <v>0</v>
      </c>
      <c r="F1433" s="882"/>
      <c r="G1433" s="830" t="s">
        <v>83</v>
      </c>
      <c r="H1433" s="983" t="s">
        <v>566</v>
      </c>
      <c r="I1433" s="828"/>
      <c r="J1433" s="828"/>
      <c r="K1433" s="823">
        <f>SUM(K1432)</f>
        <v>0</v>
      </c>
      <c r="L1433" s="818"/>
    </row>
    <row r="1434" spans="1:12" s="31" customFormat="1" ht="17.25" customHeight="1">
      <c r="A1434" s="832" t="s">
        <v>84</v>
      </c>
      <c r="B1434" s="984" t="s">
        <v>438</v>
      </c>
      <c r="C1434" s="833"/>
      <c r="D1434" s="833"/>
      <c r="E1434" s="833" t="e">
        <f>(E1422+E1423+E1424+E1425+E1426+E1427+E1428+E1429+E1430)-E1433</f>
        <v>#REF!</v>
      </c>
      <c r="F1434" s="882"/>
      <c r="G1434" s="832" t="s">
        <v>84</v>
      </c>
      <c r="H1434" s="984" t="s">
        <v>438</v>
      </c>
      <c r="I1434" s="833"/>
      <c r="J1434" s="833"/>
      <c r="K1434" s="833" t="e">
        <f>(K1422+K1423+K1424+K1425+K1426+K1427+K1428+K1429+K1430)-K1433</f>
        <v>#REF!</v>
      </c>
      <c r="L1434" s="835" t="e">
        <f>E1434+K1434</f>
        <v>#REF!</v>
      </c>
    </row>
    <row r="1435" spans="1:12" s="31" customFormat="1" ht="17.25" customHeight="1">
      <c r="A1435" s="895"/>
      <c r="B1435" s="895"/>
      <c r="C1435" s="895"/>
      <c r="D1435" s="895"/>
      <c r="E1435" s="895"/>
      <c r="F1435" s="873"/>
      <c r="G1435" s="895"/>
      <c r="H1435" s="895"/>
      <c r="I1435" s="895"/>
      <c r="J1435" s="895"/>
      <c r="K1435" s="874"/>
      <c r="L1435" s="818"/>
    </row>
    <row r="1436" spans="1:12" s="31" customFormat="1" ht="17.25" customHeight="1">
      <c r="A1436" s="895" t="str">
        <f>A1419</f>
        <v>LƯƠNG THÁNG 01/2025</v>
      </c>
      <c r="B1436" s="895"/>
      <c r="C1436" s="895"/>
      <c r="D1436" s="895"/>
      <c r="E1436" s="895" t="e">
        <f>VLOOKUP(B1437,'CNKT '!#REF!,26,0)</f>
        <v>#REF!</v>
      </c>
      <c r="F1436" s="873"/>
      <c r="G1436" s="895" t="str">
        <f>A1436</f>
        <v>LƯƠNG THÁNG 01/2025</v>
      </c>
      <c r="H1436" s="895"/>
      <c r="I1436" s="895"/>
      <c r="J1436" s="895"/>
      <c r="K1436" s="895" t="e">
        <f>VLOOKUP(H1437,'CNKT '!#REF!,26,0)</f>
        <v>#REF!</v>
      </c>
      <c r="L1436" s="818"/>
    </row>
    <row r="1437" spans="1:12" s="31" customFormat="1" ht="17.25" customHeight="1">
      <c r="A1437" s="837" t="s">
        <v>17</v>
      </c>
      <c r="B1437" s="976" t="e">
        <f>'CNKT '!#REF!</f>
        <v>#REF!</v>
      </c>
      <c r="C1437" s="822"/>
      <c r="D1437" s="976" t="s">
        <v>398</v>
      </c>
      <c r="E1437" s="976" t="s">
        <v>20</v>
      </c>
      <c r="F1437" s="882"/>
      <c r="G1437" s="837" t="s">
        <v>17</v>
      </c>
      <c r="H1437" s="976" t="e">
        <f>'CNKT '!#REF!</f>
        <v>#REF!</v>
      </c>
      <c r="I1437" s="822"/>
      <c r="J1437" s="976" t="s">
        <v>398</v>
      </c>
      <c r="K1437" s="976" t="s">
        <v>20</v>
      </c>
      <c r="L1437" s="818"/>
    </row>
    <row r="1438" spans="1:12" s="31" customFormat="1" ht="17.25" customHeight="1">
      <c r="A1438" s="821" t="s">
        <v>399</v>
      </c>
      <c r="B1438" s="978" t="s">
        <v>559</v>
      </c>
      <c r="C1438" s="822" t="e">
        <f>VLOOKUP(B1437,'BTH mủ tạp'!$C$97:$AL$101,36,0)</f>
        <v>#REF!</v>
      </c>
      <c r="D1438" s="823"/>
      <c r="E1438" s="823"/>
      <c r="F1438" s="882"/>
      <c r="G1438" s="821" t="s">
        <v>399</v>
      </c>
      <c r="H1438" s="978" t="s">
        <v>559</v>
      </c>
      <c r="I1438" s="822"/>
      <c r="J1438" s="823"/>
      <c r="K1438" s="823"/>
      <c r="L1438" s="818"/>
    </row>
    <row r="1439" spans="1:12" s="31" customFormat="1" ht="17.25" customHeight="1">
      <c r="A1439" s="821" t="s">
        <v>79</v>
      </c>
      <c r="B1439" s="979" t="s">
        <v>432</v>
      </c>
      <c r="C1439" s="824" t="e">
        <f>VLOOKUP(B1437,'CNKT '!#REF!,3,0)</f>
        <v>#REF!</v>
      </c>
      <c r="D1439" s="825">
        <v>25000</v>
      </c>
      <c r="E1439" s="823" t="e">
        <f t="shared" ref="E1439:E1444" si="167">C1439*D1439</f>
        <v>#REF!</v>
      </c>
      <c r="F1439" s="882"/>
      <c r="G1439" s="821" t="s">
        <v>79</v>
      </c>
      <c r="H1439" s="979" t="s">
        <v>432</v>
      </c>
      <c r="I1439" s="824" t="e">
        <f>VLOOKUP(H1437,'CNKT '!#REF!,3,0)</f>
        <v>#REF!</v>
      </c>
      <c r="J1439" s="825">
        <v>25000</v>
      </c>
      <c r="K1439" s="823" t="e">
        <f t="shared" ref="K1439:K1444" si="168">I1439*J1439</f>
        <v>#REF!</v>
      </c>
      <c r="L1439" s="818"/>
    </row>
    <row r="1440" spans="1:12" s="31" customFormat="1" ht="17.25" customHeight="1">
      <c r="A1440" s="821" t="s">
        <v>310</v>
      </c>
      <c r="B1440" s="980" t="s">
        <v>560</v>
      </c>
      <c r="C1440" s="879" t="e">
        <f>VLOOKUP(B1437,'CNKT '!#REF!,11,0)</f>
        <v>#REF!</v>
      </c>
      <c r="D1440" s="826">
        <f>46.1*$B$2</f>
        <v>30805.403000000002</v>
      </c>
      <c r="E1440" s="823" t="e">
        <f t="shared" si="167"/>
        <v>#REF!</v>
      </c>
      <c r="F1440" s="882"/>
      <c r="G1440" s="821" t="s">
        <v>310</v>
      </c>
      <c r="H1440" s="980" t="s">
        <v>560</v>
      </c>
      <c r="I1440" s="879" t="e">
        <f>VLOOKUP(H1437,'CNKT '!#REF!,11,0)</f>
        <v>#REF!</v>
      </c>
      <c r="J1440" s="826">
        <f>46.1*$B$2</f>
        <v>30805.403000000002</v>
      </c>
      <c r="K1440" s="823" t="e">
        <f t="shared" si="168"/>
        <v>#REF!</v>
      </c>
      <c r="L1440" s="818"/>
    </row>
    <row r="1441" spans="1:13" s="31" customFormat="1" ht="17.25" customHeight="1">
      <c r="A1441" s="821" t="s">
        <v>401</v>
      </c>
      <c r="B1441" s="980" t="s">
        <v>561</v>
      </c>
      <c r="C1441" s="879" t="e">
        <f>VLOOKUP(B1437,'CNKT '!#REF!,12,0)</f>
        <v>#REF!</v>
      </c>
      <c r="D1441" s="825">
        <f>76.9*$B$2</f>
        <v>51386.887000000002</v>
      </c>
      <c r="E1441" s="823" t="e">
        <f t="shared" si="167"/>
        <v>#REF!</v>
      </c>
      <c r="F1441" s="882"/>
      <c r="G1441" s="821" t="s">
        <v>401</v>
      </c>
      <c r="H1441" s="980" t="s">
        <v>561</v>
      </c>
      <c r="I1441" s="879" t="e">
        <f>VLOOKUP(H1437,'CNKT '!#REF!,12,0)</f>
        <v>#REF!</v>
      </c>
      <c r="J1441" s="825">
        <f>76.9*$B$2</f>
        <v>51386.887000000002</v>
      </c>
      <c r="K1441" s="823" t="e">
        <f t="shared" si="168"/>
        <v>#REF!</v>
      </c>
      <c r="L1441" s="818"/>
    </row>
    <row r="1442" spans="1:13" s="31" customFormat="1" ht="17.25" customHeight="1">
      <c r="A1442" s="821" t="s">
        <v>80</v>
      </c>
      <c r="B1442" s="980" t="s">
        <v>562</v>
      </c>
      <c r="C1442" s="879" t="e">
        <f>VLOOKUP(B1437,'CNKT '!#REF!,8,0)</f>
        <v>#REF!</v>
      </c>
      <c r="D1442" s="825" t="e">
        <f>IF(C1438="A",6.1,IF(C1438="B",5.8,IF(C1438="C",5.5,IF(C1438="C.",5.5,IF(C1438="D",5.2)))))*$B$2</f>
        <v>#REF!</v>
      </c>
      <c r="E1442" s="823" t="e">
        <f t="shared" si="167"/>
        <v>#REF!</v>
      </c>
      <c r="F1442" s="882"/>
      <c r="G1442" s="821" t="s">
        <v>80</v>
      </c>
      <c r="H1442" s="980" t="s">
        <v>562</v>
      </c>
      <c r="I1442" s="879" t="e">
        <f>VLOOKUP(H1437,'CNKT '!#REF!,8,0)</f>
        <v>#REF!</v>
      </c>
      <c r="J1442" s="825">
        <f>IF(I1438="A",6.1,IF(I1438="B",5.8,IF(I1438="C",5.5,IF(I1438="C.",5.5,IF(I1438="D",5.2)))))*$B$2</f>
        <v>0</v>
      </c>
      <c r="K1442" s="823" t="e">
        <f t="shared" si="168"/>
        <v>#REF!</v>
      </c>
      <c r="L1442" s="818"/>
    </row>
    <row r="1443" spans="1:13" s="31" customFormat="1" ht="17.25" customHeight="1">
      <c r="A1443" s="821" t="s">
        <v>495</v>
      </c>
      <c r="B1443" s="980" t="s">
        <v>563</v>
      </c>
      <c r="C1443" s="879" t="e">
        <f>VLOOKUP(B1437,'CNKT '!#REF!,15,0)</f>
        <v>#REF!</v>
      </c>
      <c r="D1443" s="826">
        <f>92.2*$B$2</f>
        <v>61610.806000000004</v>
      </c>
      <c r="E1443" s="823" t="e">
        <f t="shared" si="167"/>
        <v>#REF!</v>
      </c>
      <c r="F1443" s="882"/>
      <c r="G1443" s="821" t="s">
        <v>495</v>
      </c>
      <c r="H1443" s="980" t="s">
        <v>563</v>
      </c>
      <c r="I1443" s="879" t="e">
        <f>VLOOKUP(H1437,'CNKT '!#REF!,15,0)</f>
        <v>#REF!</v>
      </c>
      <c r="J1443" s="826">
        <f>92.2*$B$2</f>
        <v>61610.806000000004</v>
      </c>
      <c r="K1443" s="823" t="e">
        <f t="shared" si="168"/>
        <v>#REF!</v>
      </c>
      <c r="L1443" s="818"/>
    </row>
    <row r="1444" spans="1:13" s="31" customFormat="1" ht="17.25" customHeight="1">
      <c r="A1444" s="821" t="s">
        <v>496</v>
      </c>
      <c r="B1444" s="980" t="s">
        <v>500</v>
      </c>
      <c r="C1444" s="879" t="e">
        <f>VLOOKUP(B1437,'CNKT '!#REF!,16,0)</f>
        <v>#REF!</v>
      </c>
      <c r="D1444" s="825">
        <f>153.8*$B$2</f>
        <v>102773.774</v>
      </c>
      <c r="E1444" s="823" t="e">
        <f t="shared" si="167"/>
        <v>#REF!</v>
      </c>
      <c r="F1444" s="882"/>
      <c r="G1444" s="821" t="s">
        <v>496</v>
      </c>
      <c r="H1444" s="980" t="s">
        <v>500</v>
      </c>
      <c r="I1444" s="879" t="e">
        <f>VLOOKUP(H1437,'CNKT '!#REF!,16,0)</f>
        <v>#REF!</v>
      </c>
      <c r="J1444" s="825">
        <f>153.8*$B$2</f>
        <v>102773.774</v>
      </c>
      <c r="K1444" s="823" t="e">
        <f t="shared" si="168"/>
        <v>#REF!</v>
      </c>
      <c r="L1444" s="818"/>
    </row>
    <row r="1445" spans="1:13" s="31" customFormat="1" ht="17.25" customHeight="1">
      <c r="A1445" s="821" t="s">
        <v>455</v>
      </c>
      <c r="B1445" s="980" t="s">
        <v>501</v>
      </c>
      <c r="C1445" s="879" t="e">
        <f>VLOOKUP(B1437,'CNKT '!#REF!,18,0)</f>
        <v>#REF!</v>
      </c>
      <c r="D1445" s="825">
        <v>10000</v>
      </c>
      <c r="E1445" s="823" t="e">
        <f>C1445*D1445</f>
        <v>#REF!</v>
      </c>
      <c r="F1445" s="882"/>
      <c r="G1445" s="821" t="s">
        <v>455</v>
      </c>
      <c r="H1445" s="980" t="s">
        <v>501</v>
      </c>
      <c r="I1445" s="879" t="e">
        <f>VLOOKUP(H1437,'CNKT '!#REF!,18,0)</f>
        <v>#REF!</v>
      </c>
      <c r="J1445" s="825">
        <v>10000</v>
      </c>
      <c r="K1445" s="823" t="e">
        <f>I1445*J1445</f>
        <v>#REF!</v>
      </c>
      <c r="L1445" s="818"/>
    </row>
    <row r="1446" spans="1:13" s="31" customFormat="1" ht="17.25" customHeight="1">
      <c r="A1446" s="821" t="s">
        <v>455</v>
      </c>
      <c r="B1446" s="980" t="s">
        <v>501</v>
      </c>
      <c r="C1446" s="879" t="e">
        <f>VLOOKUP(B1437,'CNKT '!#REF!,19,0)</f>
        <v>#REF!</v>
      </c>
      <c r="D1446" s="825">
        <v>20000</v>
      </c>
      <c r="E1446" s="823" t="e">
        <f>C1446*D1446</f>
        <v>#REF!</v>
      </c>
      <c r="F1446" s="882"/>
      <c r="G1446" s="821"/>
      <c r="H1446" s="980" t="s">
        <v>501</v>
      </c>
      <c r="I1446" s="879" t="e">
        <f>VLOOKUP(H1437,'CNKT '!#REF!,19,0)</f>
        <v>#REF!</v>
      </c>
      <c r="J1446" s="825">
        <v>20000</v>
      </c>
      <c r="K1446" s="823" t="e">
        <f>I1446*J1446</f>
        <v>#REF!</v>
      </c>
      <c r="L1446" s="818"/>
    </row>
    <row r="1447" spans="1:13" s="31" customFormat="1" ht="17.25" customHeight="1">
      <c r="A1447" s="821" t="s">
        <v>517</v>
      </c>
      <c r="B1447" s="980" t="s">
        <v>519</v>
      </c>
      <c r="C1447" s="879"/>
      <c r="D1447" s="825"/>
      <c r="E1447" s="823"/>
      <c r="F1447" s="882"/>
      <c r="G1447" s="821" t="s">
        <v>517</v>
      </c>
      <c r="H1447" s="980" t="s">
        <v>519</v>
      </c>
      <c r="I1447" s="879"/>
      <c r="J1447" s="825"/>
      <c r="K1447" s="823"/>
      <c r="L1447" s="818"/>
    </row>
    <row r="1448" spans="1:13" s="31" customFormat="1" ht="17.25" customHeight="1">
      <c r="A1448" s="827" t="s">
        <v>81</v>
      </c>
      <c r="B1448" s="981" t="s">
        <v>564</v>
      </c>
      <c r="C1448" s="828"/>
      <c r="D1448" s="829"/>
      <c r="E1448" s="828"/>
      <c r="F1448" s="882"/>
      <c r="G1448" s="827" t="s">
        <v>81</v>
      </c>
      <c r="H1448" s="981" t="s">
        <v>564</v>
      </c>
      <c r="I1448" s="828"/>
      <c r="J1448" s="829"/>
      <c r="K1448" s="828"/>
      <c r="L1448" s="818"/>
    </row>
    <row r="1449" spans="1:13" s="31" customFormat="1" ht="17.25" customHeight="1">
      <c r="A1449" s="830" t="s">
        <v>82</v>
      </c>
      <c r="B1449" s="982" t="s">
        <v>565</v>
      </c>
      <c r="C1449" s="828"/>
      <c r="D1449" s="828"/>
      <c r="E1449" s="828"/>
      <c r="F1449" s="882"/>
      <c r="G1449" s="830" t="s">
        <v>82</v>
      </c>
      <c r="H1449" s="982" t="s">
        <v>565</v>
      </c>
      <c r="I1449" s="828"/>
      <c r="J1449" s="828"/>
      <c r="K1449" s="828"/>
      <c r="L1449" s="818"/>
    </row>
    <row r="1450" spans="1:13" s="31" customFormat="1" ht="17.25" customHeight="1">
      <c r="A1450" s="830" t="s">
        <v>83</v>
      </c>
      <c r="B1450" s="983" t="s">
        <v>566</v>
      </c>
      <c r="C1450" s="828"/>
      <c r="D1450" s="828"/>
      <c r="E1450" s="823">
        <f>SUM(E1449)</f>
        <v>0</v>
      </c>
      <c r="F1450" s="882"/>
      <c r="G1450" s="830" t="s">
        <v>83</v>
      </c>
      <c r="H1450" s="983" t="s">
        <v>566</v>
      </c>
      <c r="I1450" s="828"/>
      <c r="J1450" s="828"/>
      <c r="K1450" s="823">
        <f>SUM(K1449)</f>
        <v>0</v>
      </c>
      <c r="L1450" s="818"/>
    </row>
    <row r="1451" spans="1:13" s="31" customFormat="1" ht="17.25" customHeight="1">
      <c r="A1451" s="832" t="s">
        <v>84</v>
      </c>
      <c r="B1451" s="984" t="s">
        <v>438</v>
      </c>
      <c r="C1451" s="833"/>
      <c r="D1451" s="833"/>
      <c r="E1451" s="833" t="e">
        <f>(E1439+E1440+E1441+E1442+E1443+E1444+E1445+E1446+E1447)-E1450</f>
        <v>#REF!</v>
      </c>
      <c r="F1451" s="882"/>
      <c r="G1451" s="832" t="s">
        <v>84</v>
      </c>
      <c r="H1451" s="984" t="s">
        <v>438</v>
      </c>
      <c r="I1451" s="833"/>
      <c r="J1451" s="833"/>
      <c r="K1451" s="833" t="e">
        <f>(K1439+K1440+K1441+K1442+K1443+K1444+K1445+K1446+K1447)-K1450</f>
        <v>#REF!</v>
      </c>
      <c r="L1451" s="835" t="e">
        <f>E1451+K1451</f>
        <v>#REF!</v>
      </c>
    </row>
    <row r="1452" spans="1:13" s="31" customFormat="1" ht="17.25" customHeight="1">
      <c r="A1452" s="895"/>
      <c r="B1452" s="895"/>
      <c r="C1452" s="895"/>
      <c r="D1452" s="895"/>
      <c r="E1452" s="895"/>
      <c r="F1452" s="873"/>
      <c r="G1452" s="895"/>
      <c r="H1452" s="895"/>
      <c r="I1452" s="895"/>
      <c r="J1452" s="895"/>
      <c r="K1452" s="874"/>
      <c r="L1452" s="818"/>
      <c r="M1452" s="31">
        <f>SUM(M743:M1450)</f>
        <v>0</v>
      </c>
    </row>
    <row r="1453" spans="1:13" s="31" customFormat="1" ht="51.75" customHeight="1">
      <c r="A1453" s="838"/>
      <c r="B1453" s="844"/>
      <c r="C1453" s="845"/>
      <c r="D1453" s="845"/>
      <c r="E1453" s="843"/>
      <c r="F1453" s="855"/>
      <c r="G1453" s="838"/>
      <c r="H1453" s="844"/>
      <c r="I1453" s="845"/>
      <c r="J1453" s="843"/>
      <c r="K1453" s="974"/>
      <c r="L1453" s="818"/>
    </row>
    <row r="1454" spans="1:13" s="31" customFormat="1" ht="19.5" customHeight="1">
      <c r="A1454" s="895" t="str">
        <f>A1436</f>
        <v>LƯƠNG THÁNG 01/2025</v>
      </c>
      <c r="B1454" s="895"/>
      <c r="C1454" s="895"/>
      <c r="D1454" s="895"/>
      <c r="E1454" s="895" t="e">
        <f>VLOOKUP(B1455,'CNKT '!#REF!,26,0)</f>
        <v>#REF!</v>
      </c>
      <c r="F1454" s="855"/>
      <c r="G1454" s="895" t="str">
        <f>A1454</f>
        <v>LƯƠNG THÁNG 01/2025</v>
      </c>
      <c r="H1454" s="895"/>
      <c r="I1454" s="895"/>
      <c r="J1454" s="895"/>
      <c r="K1454" s="895" t="e">
        <f>VLOOKUP(H1455,'CNKT '!#REF!,26,0)</f>
        <v>#REF!</v>
      </c>
      <c r="L1454" s="818"/>
    </row>
    <row r="1455" spans="1:13" s="31" customFormat="1" ht="19.5" customHeight="1">
      <c r="A1455" s="837" t="s">
        <v>17</v>
      </c>
      <c r="B1455" s="976" t="e">
        <f>'CNKT '!#REF!</f>
        <v>#REF!</v>
      </c>
      <c r="C1455" s="822"/>
      <c r="D1455" s="976" t="s">
        <v>398</v>
      </c>
      <c r="E1455" s="976" t="s">
        <v>20</v>
      </c>
      <c r="F1455" s="855"/>
      <c r="G1455" s="837" t="s">
        <v>17</v>
      </c>
      <c r="H1455" s="976" t="e">
        <f>'CNKT '!#REF!</f>
        <v>#REF!</v>
      </c>
      <c r="I1455" s="822"/>
      <c r="J1455" s="976" t="s">
        <v>398</v>
      </c>
      <c r="K1455" s="976" t="s">
        <v>20</v>
      </c>
      <c r="L1455" s="818"/>
    </row>
    <row r="1456" spans="1:13" s="31" customFormat="1" ht="19.5" customHeight="1">
      <c r="A1456" s="821" t="s">
        <v>399</v>
      </c>
      <c r="B1456" s="978" t="s">
        <v>559</v>
      </c>
      <c r="C1456" s="822" t="e">
        <f>VLOOKUP(B1455,'BTH mủ tạp'!$C$97:$AL$103,36,0)</f>
        <v>#REF!</v>
      </c>
      <c r="D1456" s="823"/>
      <c r="E1456" s="823"/>
      <c r="F1456" s="855"/>
      <c r="G1456" s="821" t="s">
        <v>399</v>
      </c>
      <c r="H1456" s="978" t="s">
        <v>559</v>
      </c>
      <c r="I1456" s="822" t="s">
        <v>40</v>
      </c>
      <c r="J1456" s="823"/>
      <c r="K1456" s="823"/>
      <c r="L1456" s="818"/>
    </row>
    <row r="1457" spans="1:12" s="31" customFormat="1" ht="15.75" customHeight="1">
      <c r="A1457" s="821" t="s">
        <v>79</v>
      </c>
      <c r="B1457" s="979" t="s">
        <v>432</v>
      </c>
      <c r="C1457" s="824" t="e">
        <f>VLOOKUP(B1455,'CNKT '!#REF!,3,0)</f>
        <v>#REF!</v>
      </c>
      <c r="D1457" s="825">
        <v>25000</v>
      </c>
      <c r="E1457" s="823" t="e">
        <f t="shared" ref="E1457:E1462" si="169">C1457*D1457</f>
        <v>#REF!</v>
      </c>
      <c r="F1457" s="855"/>
      <c r="G1457" s="821" t="s">
        <v>79</v>
      </c>
      <c r="H1457" s="979" t="s">
        <v>432</v>
      </c>
      <c r="I1457" s="824" t="e">
        <f>VLOOKUP(H1455,'CNKT '!#REF!,3,0)</f>
        <v>#REF!</v>
      </c>
      <c r="J1457" s="825">
        <v>25000</v>
      </c>
      <c r="K1457" s="823" t="e">
        <f t="shared" ref="K1457:K1462" si="170">I1457*J1457</f>
        <v>#REF!</v>
      </c>
      <c r="L1457" s="818"/>
    </row>
    <row r="1458" spans="1:12" s="31" customFormat="1" ht="15.75" customHeight="1">
      <c r="A1458" s="821" t="s">
        <v>310</v>
      </c>
      <c r="B1458" s="980" t="s">
        <v>560</v>
      </c>
      <c r="C1458" s="879" t="e">
        <f>VLOOKUP(B1455,'CNKT '!#REF!,11,0)</f>
        <v>#REF!</v>
      </c>
      <c r="D1458" s="826">
        <f>46.1*$B$2</f>
        <v>30805.403000000002</v>
      </c>
      <c r="E1458" s="823" t="e">
        <f t="shared" si="169"/>
        <v>#REF!</v>
      </c>
      <c r="F1458" s="855"/>
      <c r="G1458" s="821" t="s">
        <v>310</v>
      </c>
      <c r="H1458" s="980" t="s">
        <v>560</v>
      </c>
      <c r="I1458" s="879" t="e">
        <f>VLOOKUP(H1455,'CNKT '!#REF!,11,0)</f>
        <v>#REF!</v>
      </c>
      <c r="J1458" s="826">
        <f>46.1*$B$2</f>
        <v>30805.403000000002</v>
      </c>
      <c r="K1458" s="823" t="e">
        <f t="shared" si="170"/>
        <v>#REF!</v>
      </c>
      <c r="L1458" s="818"/>
    </row>
    <row r="1459" spans="1:12" s="31" customFormat="1" ht="15.75" customHeight="1">
      <c r="A1459" s="821" t="s">
        <v>401</v>
      </c>
      <c r="B1459" s="980" t="s">
        <v>561</v>
      </c>
      <c r="C1459" s="879" t="e">
        <f>VLOOKUP(B1455,'CNKT '!#REF!,12,0)</f>
        <v>#REF!</v>
      </c>
      <c r="D1459" s="825">
        <f>76.9*$B$2</f>
        <v>51386.887000000002</v>
      </c>
      <c r="E1459" s="823" t="e">
        <f t="shared" si="169"/>
        <v>#REF!</v>
      </c>
      <c r="F1459" s="855"/>
      <c r="G1459" s="821" t="s">
        <v>401</v>
      </c>
      <c r="H1459" s="980" t="s">
        <v>561</v>
      </c>
      <c r="I1459" s="879" t="e">
        <f>VLOOKUP(H1455,'CNKT '!#REF!,12,0)</f>
        <v>#REF!</v>
      </c>
      <c r="J1459" s="825">
        <f>76.9*$B$2</f>
        <v>51386.887000000002</v>
      </c>
      <c r="K1459" s="823" t="e">
        <f t="shared" si="170"/>
        <v>#REF!</v>
      </c>
      <c r="L1459" s="818"/>
    </row>
    <row r="1460" spans="1:12" s="31" customFormat="1" ht="15.75" customHeight="1">
      <c r="A1460" s="821" t="s">
        <v>80</v>
      </c>
      <c r="B1460" s="980" t="s">
        <v>562</v>
      </c>
      <c r="C1460" s="879" t="e">
        <f>VLOOKUP(B1455,'CNKT '!#REF!,8,0)</f>
        <v>#REF!</v>
      </c>
      <c r="D1460" s="825" t="e">
        <f>IF(C1456="A",6.1,IF(C1456="B",5.8,IF(C1456="C",5.5,IF(C1456="C.",5.5,IF(C1456="D",5.2)))))*$B$2</f>
        <v>#REF!</v>
      </c>
      <c r="E1460" s="823" t="e">
        <f t="shared" si="169"/>
        <v>#REF!</v>
      </c>
      <c r="F1460" s="855"/>
      <c r="G1460" s="821" t="s">
        <v>80</v>
      </c>
      <c r="H1460" s="980" t="s">
        <v>562</v>
      </c>
      <c r="I1460" s="879" t="e">
        <f>VLOOKUP(H1455,'CNKT '!#REF!,8,0)</f>
        <v>#REF!</v>
      </c>
      <c r="J1460" s="825">
        <f>IF(I1456="A",6.1,IF(I1456="B",5.8,IF(I1456="C",5.5,IF(I1456="C.",5.5,IF(I1456="D",5.2)))))*$B$2</f>
        <v>4076.203</v>
      </c>
      <c r="K1460" s="823" t="e">
        <f t="shared" si="170"/>
        <v>#REF!</v>
      </c>
      <c r="L1460" s="818"/>
    </row>
    <row r="1461" spans="1:12" s="31" customFormat="1" ht="15.75" customHeight="1">
      <c r="A1461" s="821" t="s">
        <v>495</v>
      </c>
      <c r="B1461" s="980" t="s">
        <v>563</v>
      </c>
      <c r="C1461" s="879" t="e">
        <f>VLOOKUP(B1455,'CNKT '!#REF!,15,0)</f>
        <v>#REF!</v>
      </c>
      <c r="D1461" s="826">
        <f>92.2*$B$2</f>
        <v>61610.806000000004</v>
      </c>
      <c r="E1461" s="823" t="e">
        <f t="shared" si="169"/>
        <v>#REF!</v>
      </c>
      <c r="F1461" s="855"/>
      <c r="G1461" s="821" t="s">
        <v>495</v>
      </c>
      <c r="H1461" s="980" t="s">
        <v>563</v>
      </c>
      <c r="I1461" s="879" t="e">
        <f>VLOOKUP(H1455,'CNKT '!#REF!,15,0)</f>
        <v>#REF!</v>
      </c>
      <c r="J1461" s="826">
        <f>92.2*$B$2</f>
        <v>61610.806000000004</v>
      </c>
      <c r="K1461" s="823" t="e">
        <f t="shared" si="170"/>
        <v>#REF!</v>
      </c>
      <c r="L1461" s="818"/>
    </row>
    <row r="1462" spans="1:12" s="31" customFormat="1" ht="15.75" customHeight="1">
      <c r="A1462" s="821" t="s">
        <v>496</v>
      </c>
      <c r="B1462" s="980" t="s">
        <v>500</v>
      </c>
      <c r="C1462" s="879" t="e">
        <f>VLOOKUP(B1455,'CNKT '!#REF!,16,0)</f>
        <v>#REF!</v>
      </c>
      <c r="D1462" s="825">
        <f>153.8*$B$2</f>
        <v>102773.774</v>
      </c>
      <c r="E1462" s="823" t="e">
        <f t="shared" si="169"/>
        <v>#REF!</v>
      </c>
      <c r="F1462" s="855"/>
      <c r="G1462" s="821" t="s">
        <v>496</v>
      </c>
      <c r="H1462" s="980" t="s">
        <v>500</v>
      </c>
      <c r="I1462" s="879" t="e">
        <f>VLOOKUP(H1455,'CNKT '!#REF!,16,0)</f>
        <v>#REF!</v>
      </c>
      <c r="J1462" s="825">
        <f>153.8*$B$2</f>
        <v>102773.774</v>
      </c>
      <c r="K1462" s="823" t="e">
        <f t="shared" si="170"/>
        <v>#REF!</v>
      </c>
      <c r="L1462" s="818"/>
    </row>
    <row r="1463" spans="1:12" s="31" customFormat="1" ht="15.75" customHeight="1">
      <c r="A1463" s="821" t="s">
        <v>455</v>
      </c>
      <c r="B1463" s="980" t="s">
        <v>501</v>
      </c>
      <c r="C1463" s="879" t="e">
        <f>VLOOKUP(B1455,'CNKT '!#REF!,18,0)</f>
        <v>#REF!</v>
      </c>
      <c r="D1463" s="825">
        <v>10000</v>
      </c>
      <c r="E1463" s="823" t="e">
        <f>C1463*D1463</f>
        <v>#REF!</v>
      </c>
      <c r="F1463" s="855"/>
      <c r="G1463" s="821" t="s">
        <v>455</v>
      </c>
      <c r="H1463" s="980" t="s">
        <v>501</v>
      </c>
      <c r="I1463" s="879" t="e">
        <f>VLOOKUP(H1455,'CNKT '!#REF!,18,0)</f>
        <v>#REF!</v>
      </c>
      <c r="J1463" s="825">
        <v>10000</v>
      </c>
      <c r="K1463" s="823" t="e">
        <f>I1463*J1463</f>
        <v>#REF!</v>
      </c>
      <c r="L1463" s="818"/>
    </row>
    <row r="1464" spans="1:12" s="31" customFormat="1" ht="15.75" customHeight="1">
      <c r="A1464" s="821" t="s">
        <v>455</v>
      </c>
      <c r="B1464" s="980" t="s">
        <v>501</v>
      </c>
      <c r="C1464" s="879" t="e">
        <f>VLOOKUP(B1455,'CNKT '!#REF!,19,0)</f>
        <v>#REF!</v>
      </c>
      <c r="D1464" s="825">
        <v>20000</v>
      </c>
      <c r="E1464" s="823" t="e">
        <f>C1464*D1464</f>
        <v>#REF!</v>
      </c>
      <c r="F1464" s="855"/>
      <c r="G1464" s="821" t="s">
        <v>455</v>
      </c>
      <c r="H1464" s="980" t="s">
        <v>501</v>
      </c>
      <c r="I1464" s="879" t="e">
        <f>VLOOKUP(H1455,'CNKT '!#REF!,19,0)</f>
        <v>#REF!</v>
      </c>
      <c r="J1464" s="825">
        <v>20000</v>
      </c>
      <c r="K1464" s="823" t="e">
        <f>I1464*J1464</f>
        <v>#REF!</v>
      </c>
      <c r="L1464" s="818"/>
    </row>
    <row r="1465" spans="1:12" s="31" customFormat="1" ht="15.75" customHeight="1">
      <c r="A1465" s="821" t="s">
        <v>517</v>
      </c>
      <c r="B1465" s="980" t="s">
        <v>519</v>
      </c>
      <c r="C1465" s="879"/>
      <c r="D1465" s="825">
        <v>100000</v>
      </c>
      <c r="E1465" s="823">
        <f>C1465*D1465</f>
        <v>0</v>
      </c>
      <c r="F1465" s="855"/>
      <c r="G1465" s="821" t="s">
        <v>517</v>
      </c>
      <c r="H1465" s="980" t="s">
        <v>519</v>
      </c>
      <c r="I1465" s="879"/>
      <c r="J1465" s="825">
        <v>100000</v>
      </c>
      <c r="K1465" s="823">
        <f>I1465*J1465</f>
        <v>0</v>
      </c>
      <c r="L1465" s="818"/>
    </row>
    <row r="1466" spans="1:12" s="31" customFormat="1" ht="15.75" customHeight="1">
      <c r="A1466" s="827" t="s">
        <v>81</v>
      </c>
      <c r="B1466" s="981" t="s">
        <v>564</v>
      </c>
      <c r="C1466" s="828"/>
      <c r="D1466" s="829"/>
      <c r="E1466" s="828"/>
      <c r="F1466" s="855"/>
      <c r="G1466" s="827" t="s">
        <v>81</v>
      </c>
      <c r="H1466" s="981" t="s">
        <v>564</v>
      </c>
      <c r="I1466" s="828"/>
      <c r="J1466" s="829"/>
      <c r="K1466" s="828"/>
      <c r="L1466" s="818"/>
    </row>
    <row r="1467" spans="1:12" s="31" customFormat="1" ht="15.75" customHeight="1">
      <c r="A1467" s="830" t="s">
        <v>82</v>
      </c>
      <c r="B1467" s="982" t="s">
        <v>565</v>
      </c>
      <c r="C1467" s="828"/>
      <c r="D1467" s="828"/>
      <c r="E1467" s="828"/>
      <c r="F1467" s="855"/>
      <c r="G1467" s="830" t="s">
        <v>82</v>
      </c>
      <c r="H1467" s="982" t="s">
        <v>565</v>
      </c>
      <c r="I1467" s="828"/>
      <c r="J1467" s="828"/>
      <c r="K1467" s="828"/>
      <c r="L1467" s="818"/>
    </row>
    <row r="1468" spans="1:12" s="31" customFormat="1" ht="15.75" customHeight="1">
      <c r="A1468" s="830" t="s">
        <v>83</v>
      </c>
      <c r="B1468" s="983" t="s">
        <v>566</v>
      </c>
      <c r="C1468" s="828"/>
      <c r="D1468" s="828"/>
      <c r="E1468" s="823">
        <f>SUM(E1467)</f>
        <v>0</v>
      </c>
      <c r="F1468" s="855"/>
      <c r="G1468" s="830" t="s">
        <v>83</v>
      </c>
      <c r="H1468" s="983" t="s">
        <v>566</v>
      </c>
      <c r="I1468" s="828"/>
      <c r="J1468" s="828"/>
      <c r="K1468" s="823">
        <f>SUM(K1467)</f>
        <v>0</v>
      </c>
      <c r="L1468" s="818"/>
    </row>
    <row r="1469" spans="1:12" s="31" customFormat="1" ht="15.75" customHeight="1">
      <c r="A1469" s="832" t="s">
        <v>84</v>
      </c>
      <c r="B1469" s="984" t="s">
        <v>438</v>
      </c>
      <c r="C1469" s="833"/>
      <c r="D1469" s="833"/>
      <c r="E1469" s="833" t="e">
        <f>(E1457+E1458+E1459+E1460+E1461+E1462+E1463+E1464+E1465)-E1468</f>
        <v>#REF!</v>
      </c>
      <c r="F1469" s="855"/>
      <c r="G1469" s="832" t="s">
        <v>84</v>
      </c>
      <c r="H1469" s="984" t="s">
        <v>438</v>
      </c>
      <c r="I1469" s="833"/>
      <c r="J1469" s="833"/>
      <c r="K1469" s="833" t="e">
        <f>(K1457+K1458+K1459+K1460+K1461+K1462+K1463+K1464+K1465)-K1468</f>
        <v>#REF!</v>
      </c>
      <c r="L1469" s="835" t="e">
        <f>E1469+K1469</f>
        <v>#REF!</v>
      </c>
    </row>
    <row r="1470" spans="1:12" s="31" customFormat="1" ht="15.75" customHeight="1">
      <c r="A1470" s="838"/>
      <c r="B1470" s="844"/>
      <c r="C1470" s="845"/>
      <c r="D1470" s="845"/>
      <c r="E1470" s="843"/>
      <c r="F1470" s="855"/>
      <c r="G1470" s="838"/>
      <c r="H1470" s="844"/>
      <c r="I1470" s="845"/>
      <c r="J1470" s="843"/>
      <c r="K1470" s="974"/>
      <c r="L1470" s="818"/>
    </row>
    <row r="1471" spans="1:12" s="31" customFormat="1" ht="220.5" customHeight="1">
      <c r="A1471" s="838"/>
      <c r="B1471" s="844"/>
      <c r="C1471" s="845"/>
      <c r="D1471" s="845"/>
      <c r="E1471" s="843"/>
      <c r="F1471" s="855"/>
      <c r="G1471" s="838"/>
      <c r="H1471" s="844"/>
      <c r="I1471" s="845"/>
      <c r="J1471" s="843"/>
      <c r="K1471" s="974"/>
      <c r="L1471" s="818"/>
    </row>
    <row r="1472" spans="1:12" s="31" customFormat="1" ht="17.25" customHeight="1">
      <c r="A1472" s="895" t="str">
        <f>G1436</f>
        <v>LƯƠNG THÁNG 01/2025</v>
      </c>
      <c r="B1472" s="895"/>
      <c r="C1472" s="895"/>
      <c r="D1472" s="895"/>
      <c r="E1472" s="895" t="e">
        <f>VLOOKUP(B1473,'CNKT '!#REF!,26,0)</f>
        <v>#REF!</v>
      </c>
      <c r="F1472" s="855"/>
      <c r="G1472" s="895" t="str">
        <f>A1472</f>
        <v>LƯƠNG THÁNG 01/2025</v>
      </c>
      <c r="H1472" s="895"/>
      <c r="I1472" s="895"/>
      <c r="J1472" s="895"/>
      <c r="K1472" s="895" t="e">
        <f>VLOOKUP(H1473,'CNKT '!#REF!,26,0)</f>
        <v>#REF!</v>
      </c>
      <c r="L1472" s="818"/>
    </row>
    <row r="1473" spans="1:13" s="31" customFormat="1" ht="17.25" customHeight="1">
      <c r="A1473" s="837" t="s">
        <v>17</v>
      </c>
      <c r="B1473" s="976" t="e">
        <f>'CNKT '!#REF!</f>
        <v>#REF!</v>
      </c>
      <c r="C1473" s="822"/>
      <c r="D1473" s="976" t="s">
        <v>398</v>
      </c>
      <c r="E1473" s="976" t="s">
        <v>20</v>
      </c>
      <c r="F1473" s="843"/>
      <c r="G1473" s="837" t="s">
        <v>17</v>
      </c>
      <c r="H1473" s="976" t="e">
        <f>'CNKT '!#REF!</f>
        <v>#REF!</v>
      </c>
      <c r="I1473" s="822"/>
      <c r="J1473" s="976" t="s">
        <v>398</v>
      </c>
      <c r="K1473" s="976" t="s">
        <v>20</v>
      </c>
      <c r="L1473" s="818"/>
    </row>
    <row r="1474" spans="1:13" s="31" customFormat="1" ht="17.25" customHeight="1">
      <c r="A1474" s="821" t="s">
        <v>399</v>
      </c>
      <c r="B1474" s="978" t="s">
        <v>559</v>
      </c>
      <c r="C1474" s="822"/>
      <c r="D1474" s="823"/>
      <c r="E1474" s="823"/>
      <c r="F1474" s="843"/>
      <c r="G1474" s="821" t="s">
        <v>399</v>
      </c>
      <c r="H1474" s="712" t="s">
        <v>431</v>
      </c>
      <c r="I1474" s="822"/>
      <c r="J1474" s="823"/>
      <c r="K1474" s="823"/>
      <c r="L1474" s="818"/>
    </row>
    <row r="1475" spans="1:13" s="31" customFormat="1" ht="17.25" customHeight="1">
      <c r="A1475" s="821" t="s">
        <v>79</v>
      </c>
      <c r="B1475" s="979" t="s">
        <v>432</v>
      </c>
      <c r="C1475" s="824" t="e">
        <f>VLOOKUP(B1473,'CNKT '!$C$97:$Z$98,3,0)</f>
        <v>#REF!</v>
      </c>
      <c r="D1475" s="825">
        <v>25000</v>
      </c>
      <c r="E1475" s="823" t="e">
        <f t="shared" ref="E1475:E1480" si="171">C1475*D1475</f>
        <v>#REF!</v>
      </c>
      <c r="F1475" s="843"/>
      <c r="G1475" s="821" t="s">
        <v>79</v>
      </c>
      <c r="H1475" s="713" t="s">
        <v>432</v>
      </c>
      <c r="I1475" s="824" t="e">
        <f>VLOOKUP(H1473,'CNKT '!$C$97:$Z$98,3,0)</f>
        <v>#REF!</v>
      </c>
      <c r="J1475" s="825">
        <v>25000</v>
      </c>
      <c r="K1475" s="823" t="e">
        <f t="shared" ref="K1475:K1480" si="172">I1475*J1475</f>
        <v>#REF!</v>
      </c>
      <c r="L1475" s="818"/>
    </row>
    <row r="1476" spans="1:13" s="31" customFormat="1" ht="17.25" customHeight="1">
      <c r="A1476" s="821" t="s">
        <v>310</v>
      </c>
      <c r="B1476" s="980" t="s">
        <v>560</v>
      </c>
      <c r="C1476" s="879" t="e">
        <f>VLOOKUP(B1473,'CNKT '!$C$97:$Z$98,11,0)</f>
        <v>#REF!</v>
      </c>
      <c r="D1476" s="826">
        <f>46.1*$B$2</f>
        <v>30805.403000000002</v>
      </c>
      <c r="E1476" s="823" t="e">
        <f t="shared" si="171"/>
        <v>#REF!</v>
      </c>
      <c r="F1476" s="843"/>
      <c r="G1476" s="821" t="s">
        <v>310</v>
      </c>
      <c r="H1476" s="714" t="s">
        <v>433</v>
      </c>
      <c r="I1476" s="879" t="e">
        <f>VLOOKUP(H1473,'CNKT '!$C$97:$Z$98,11,0)</f>
        <v>#REF!</v>
      </c>
      <c r="J1476" s="826">
        <f>46.1*$B$2</f>
        <v>30805.403000000002</v>
      </c>
      <c r="K1476" s="823" t="e">
        <f t="shared" si="172"/>
        <v>#REF!</v>
      </c>
      <c r="L1476" s="818"/>
    </row>
    <row r="1477" spans="1:13" s="31" customFormat="1" ht="17.25" customHeight="1">
      <c r="A1477" s="821" t="s">
        <v>401</v>
      </c>
      <c r="B1477" s="980" t="s">
        <v>561</v>
      </c>
      <c r="C1477" s="879" t="e">
        <f>VLOOKUP(B1473,'CNKT '!$C$97:$Z$98,12,0)</f>
        <v>#REF!</v>
      </c>
      <c r="D1477" s="825">
        <f>76.9*$B$2</f>
        <v>51386.887000000002</v>
      </c>
      <c r="E1477" s="823" t="e">
        <f t="shared" si="171"/>
        <v>#REF!</v>
      </c>
      <c r="F1477" s="843"/>
      <c r="G1477" s="821" t="s">
        <v>401</v>
      </c>
      <c r="H1477" s="714" t="s">
        <v>498</v>
      </c>
      <c r="I1477" s="879" t="e">
        <f>VLOOKUP(H1473,'CNKT '!$C$97:$Z$98,12,0)</f>
        <v>#REF!</v>
      </c>
      <c r="J1477" s="825">
        <f>76.9*$B$2</f>
        <v>51386.887000000002</v>
      </c>
      <c r="K1477" s="823" t="e">
        <f t="shared" si="172"/>
        <v>#REF!</v>
      </c>
      <c r="L1477" s="818"/>
    </row>
    <row r="1478" spans="1:13" s="31" customFormat="1" ht="17.25" customHeight="1">
      <c r="A1478" s="821" t="s">
        <v>80</v>
      </c>
      <c r="B1478" s="980" t="s">
        <v>562</v>
      </c>
      <c r="C1478" s="879" t="e">
        <f>VLOOKUP(B1473,'CNKT '!$C$97:$Z$98,8,0)</f>
        <v>#REF!</v>
      </c>
      <c r="D1478" s="825">
        <f>IF(C1474="A",6.1,IF(C1474="B",5.8,IF(C1474="C",5.5,IF(C1474="C.",5.5,IF(C1474="D",5.2)))))*$B$2</f>
        <v>0</v>
      </c>
      <c r="E1478" s="823" t="e">
        <f t="shared" si="171"/>
        <v>#REF!</v>
      </c>
      <c r="F1478" s="843"/>
      <c r="G1478" s="821" t="s">
        <v>80</v>
      </c>
      <c r="H1478" s="714" t="s">
        <v>434</v>
      </c>
      <c r="I1478" s="879" t="e">
        <f>VLOOKUP(H1473,'CNKT '!$C$97:$Z$98,8,0)</f>
        <v>#REF!</v>
      </c>
      <c r="J1478" s="825">
        <f>IF(I1474="A",6.1,IF(I1474="B",5.8,IF(I1474="C",5.5,IF(I1474="C.",5.5,IF(I1474="D",5.2)))))*$B$2</f>
        <v>0</v>
      </c>
      <c r="K1478" s="823" t="e">
        <f t="shared" si="172"/>
        <v>#REF!</v>
      </c>
      <c r="L1478" s="818"/>
    </row>
    <row r="1479" spans="1:13" s="31" customFormat="1" ht="17.25" customHeight="1">
      <c r="A1479" s="821" t="s">
        <v>495</v>
      </c>
      <c r="B1479" s="980" t="s">
        <v>563</v>
      </c>
      <c r="C1479" s="879" t="e">
        <f>VLOOKUP(B1473,'CNKT '!$C$97:$Z$98,15,0)</f>
        <v>#REF!</v>
      </c>
      <c r="D1479" s="826">
        <f>92.2*$B$2</f>
        <v>61610.806000000004</v>
      </c>
      <c r="E1479" s="823" t="e">
        <f t="shared" si="171"/>
        <v>#REF!</v>
      </c>
      <c r="F1479" s="843"/>
      <c r="G1479" s="821" t="s">
        <v>495</v>
      </c>
      <c r="H1479" s="714" t="s">
        <v>499</v>
      </c>
      <c r="I1479" s="879" t="e">
        <f>VLOOKUP(H1473,'CNKT '!$C$97:$Z$98,15,0)</f>
        <v>#REF!</v>
      </c>
      <c r="J1479" s="826">
        <f>92.2*$B$2</f>
        <v>61610.806000000004</v>
      </c>
      <c r="K1479" s="823" t="e">
        <f t="shared" si="172"/>
        <v>#REF!</v>
      </c>
      <c r="L1479" s="818"/>
    </row>
    <row r="1480" spans="1:13" s="31" customFormat="1" ht="17.25" customHeight="1">
      <c r="A1480" s="821" t="s">
        <v>496</v>
      </c>
      <c r="B1480" s="980" t="s">
        <v>500</v>
      </c>
      <c r="C1480" s="879" t="e">
        <f>VLOOKUP(B1473,'CNKT '!$C$97:$Z$98,16,0)</f>
        <v>#REF!</v>
      </c>
      <c r="D1480" s="825">
        <f>153.6*$B$2</f>
        <v>102640.128</v>
      </c>
      <c r="E1480" s="823" t="e">
        <f t="shared" si="171"/>
        <v>#REF!</v>
      </c>
      <c r="F1480" s="843"/>
      <c r="G1480" s="821" t="s">
        <v>496</v>
      </c>
      <c r="H1480" s="714" t="s">
        <v>500</v>
      </c>
      <c r="I1480" s="879" t="e">
        <f>VLOOKUP(H1473,'CNKT '!$C$97:$Z$98,16,0)</f>
        <v>#REF!</v>
      </c>
      <c r="J1480" s="825">
        <f>153.6*$B$2</f>
        <v>102640.128</v>
      </c>
      <c r="K1480" s="823" t="e">
        <f t="shared" si="172"/>
        <v>#REF!</v>
      </c>
      <c r="L1480" s="818"/>
    </row>
    <row r="1481" spans="1:13" s="31" customFormat="1" ht="17.25" customHeight="1">
      <c r="A1481" s="821" t="s">
        <v>455</v>
      </c>
      <c r="B1481" s="980" t="s">
        <v>501</v>
      </c>
      <c r="C1481" s="879" t="e">
        <f>VLOOKUP(B1473,'CNKT '!#REF!,18,0)</f>
        <v>#REF!</v>
      </c>
      <c r="D1481" s="825">
        <v>10000</v>
      </c>
      <c r="E1481" s="823" t="e">
        <f>C1481*D1481</f>
        <v>#REF!</v>
      </c>
      <c r="F1481" s="843"/>
      <c r="G1481" s="821" t="s">
        <v>455</v>
      </c>
      <c r="H1481" s="714" t="s">
        <v>501</v>
      </c>
      <c r="I1481" s="879" t="e">
        <f>VLOOKUP(H1473,'CNKT '!#REF!,18,0)</f>
        <v>#REF!</v>
      </c>
      <c r="J1481" s="825">
        <v>10000</v>
      </c>
      <c r="K1481" s="823" t="e">
        <f>I1481*J1481</f>
        <v>#REF!</v>
      </c>
      <c r="L1481" s="818"/>
    </row>
    <row r="1482" spans="1:13" s="31" customFormat="1" ht="17.25" customHeight="1">
      <c r="A1482" s="821" t="s">
        <v>517</v>
      </c>
      <c r="B1482" s="980" t="s">
        <v>501</v>
      </c>
      <c r="C1482" s="879"/>
      <c r="D1482" s="825"/>
      <c r="E1482" s="823"/>
      <c r="F1482" s="843"/>
      <c r="G1482" s="821" t="s">
        <v>517</v>
      </c>
      <c r="H1482" s="714"/>
      <c r="I1482" s="879"/>
      <c r="J1482" s="825"/>
      <c r="K1482" s="823"/>
      <c r="L1482" s="818"/>
    </row>
    <row r="1483" spans="1:13" s="31" customFormat="1" ht="17.25" customHeight="1">
      <c r="A1483" s="827" t="s">
        <v>81</v>
      </c>
      <c r="B1483" s="980" t="s">
        <v>519</v>
      </c>
      <c r="C1483" s="828"/>
      <c r="D1483" s="829"/>
      <c r="E1483" s="828"/>
      <c r="F1483" s="843"/>
      <c r="G1483" s="827" t="s">
        <v>81</v>
      </c>
      <c r="H1483" s="715" t="s">
        <v>435</v>
      </c>
      <c r="I1483" s="828"/>
      <c r="J1483" s="829"/>
      <c r="K1483" s="828"/>
      <c r="L1483" s="818"/>
    </row>
    <row r="1484" spans="1:13" s="31" customFormat="1" ht="17.25" customHeight="1">
      <c r="A1484" s="830" t="s">
        <v>82</v>
      </c>
      <c r="B1484" s="981" t="s">
        <v>564</v>
      </c>
      <c r="C1484" s="828"/>
      <c r="D1484" s="828"/>
      <c r="E1484" s="828"/>
      <c r="F1484" s="843"/>
      <c r="G1484" s="830" t="s">
        <v>82</v>
      </c>
      <c r="H1484" s="716" t="s">
        <v>436</v>
      </c>
      <c r="I1484" s="828"/>
      <c r="J1484" s="828"/>
      <c r="K1484" s="828"/>
      <c r="L1484" s="818"/>
    </row>
    <row r="1485" spans="1:13" s="31" customFormat="1" ht="17.25" customHeight="1">
      <c r="A1485" s="830" t="s">
        <v>83</v>
      </c>
      <c r="B1485" s="982" t="s">
        <v>565</v>
      </c>
      <c r="C1485" s="828"/>
      <c r="D1485" s="828"/>
      <c r="E1485" s="823">
        <f>SUM(E1484)</f>
        <v>0</v>
      </c>
      <c r="F1485" s="843"/>
      <c r="G1485" s="830" t="s">
        <v>83</v>
      </c>
      <c r="H1485" s="717" t="s">
        <v>437</v>
      </c>
      <c r="I1485" s="828"/>
      <c r="J1485" s="828"/>
      <c r="K1485" s="823">
        <f>SUM(K1484)</f>
        <v>0</v>
      </c>
      <c r="L1485" s="818"/>
    </row>
    <row r="1486" spans="1:13" s="31" customFormat="1" ht="17.25" customHeight="1">
      <c r="A1486" s="832" t="s">
        <v>84</v>
      </c>
      <c r="B1486" s="983" t="s">
        <v>566</v>
      </c>
      <c r="C1486" s="833"/>
      <c r="D1486" s="833"/>
      <c r="E1486" s="833" t="e">
        <f>(E1475+E1476+E1477+E1478+E1479+E1480+E1481+E1482)-E1485</f>
        <v>#REF!</v>
      </c>
      <c r="F1486" s="843"/>
      <c r="G1486" s="832" t="s">
        <v>84</v>
      </c>
      <c r="H1486" s="748" t="s">
        <v>438</v>
      </c>
      <c r="I1486" s="833"/>
      <c r="J1486" s="833"/>
      <c r="K1486" s="833" t="e">
        <f>(K1475+K1476+K1477+K1478+K1479+K1480+K1481+K1482)-K1485</f>
        <v>#REF!</v>
      </c>
      <c r="L1486" s="835" t="e">
        <f>E1486+K1486</f>
        <v>#REF!</v>
      </c>
      <c r="M1486" s="857"/>
    </row>
    <row r="1487" spans="1:13" s="31" customFormat="1" ht="17.25" customHeight="1">
      <c r="A1487" s="895"/>
      <c r="B1487" s="984" t="s">
        <v>438</v>
      </c>
      <c r="C1487" s="895"/>
      <c r="D1487" s="895"/>
      <c r="E1487" s="874"/>
      <c r="F1487" s="843"/>
      <c r="G1487" s="838"/>
      <c r="H1487" s="844"/>
      <c r="I1487" s="845"/>
      <c r="J1487" s="843"/>
      <c r="K1487" s="974"/>
      <c r="L1487" s="818"/>
      <c r="M1487" s="857"/>
    </row>
    <row r="1488" spans="1:13" s="31" customFormat="1" ht="17.25" customHeight="1">
      <c r="A1488" s="838"/>
      <c r="B1488" s="844"/>
      <c r="C1488" s="845"/>
      <c r="D1488" s="845"/>
      <c r="E1488" s="843"/>
      <c r="F1488" s="843"/>
      <c r="G1488" s="838"/>
      <c r="H1488" s="844"/>
      <c r="I1488" s="845"/>
      <c r="J1488" s="843"/>
      <c r="K1488" s="974"/>
      <c r="L1488" s="818"/>
    </row>
    <row r="1489" spans="1:15" s="31" customFormat="1" ht="17.25" customHeight="1">
      <c r="A1489" s="836" t="s">
        <v>146</v>
      </c>
      <c r="B1489" s="836"/>
      <c r="C1489" s="836"/>
      <c r="D1489" s="836"/>
      <c r="E1489" s="836"/>
      <c r="F1489" s="836"/>
      <c r="G1489" s="836"/>
      <c r="H1489" s="836"/>
      <c r="I1489" s="836"/>
      <c r="J1489" s="836"/>
      <c r="L1489" s="835"/>
      <c r="M1489" s="857" t="e">
        <f>SUM(L740:L1486)</f>
        <v>#REF!</v>
      </c>
      <c r="N1489" s="857">
        <v>526735269</v>
      </c>
      <c r="O1489" s="867" t="e">
        <f>M1489-N1489</f>
        <v>#REF!</v>
      </c>
    </row>
    <row r="1490" spans="1:15" s="31" customFormat="1" ht="17.25" customHeight="1">
      <c r="A1490" s="974"/>
      <c r="B1490" s="974"/>
      <c r="C1490" s="974"/>
      <c r="D1490" s="974"/>
      <c r="E1490" s="974"/>
      <c r="F1490" s="974"/>
      <c r="G1490" s="974"/>
      <c r="H1490" s="974"/>
      <c r="I1490" s="974"/>
      <c r="J1490" s="974"/>
      <c r="L1490" s="835"/>
      <c r="M1490" s="857"/>
      <c r="N1490" s="857"/>
      <c r="O1490" s="867"/>
    </row>
    <row r="1491" spans="1:15" s="31" customFormat="1" ht="17.25" customHeight="1">
      <c r="A1491" s="896" t="str">
        <f>A1436</f>
        <v>LƯƠNG THÁNG 01/2025</v>
      </c>
      <c r="B1491" s="897"/>
      <c r="C1491" s="897"/>
      <c r="D1491" s="897"/>
      <c r="E1491" s="904">
        <f>VLOOKUP(B1492,'CNKT '!$C$98:$AC$162,26,0)</f>
        <v>0</v>
      </c>
      <c r="F1491" s="971"/>
      <c r="G1491" s="896" t="str">
        <f>A1491</f>
        <v>LƯƠNG THÁNG 01/2025</v>
      </c>
      <c r="H1491" s="897"/>
      <c r="I1491" s="897"/>
      <c r="J1491" s="897"/>
      <c r="K1491" s="904">
        <f>VLOOKUP(H1492,'CNKT '!$C$98:$AC$162,26,0)</f>
        <v>0</v>
      </c>
      <c r="L1491" s="835"/>
      <c r="M1491" s="857"/>
      <c r="N1491" s="857"/>
      <c r="O1491" s="867"/>
    </row>
    <row r="1492" spans="1:15" s="31" customFormat="1" ht="17.25" customHeight="1">
      <c r="A1492" s="837" t="s">
        <v>17</v>
      </c>
      <c r="B1492" s="976" t="str">
        <f>'CNKT '!C98</f>
        <v xml:space="preserve">T. Lun </v>
      </c>
      <c r="C1492" s="822"/>
      <c r="D1492" s="976" t="s">
        <v>398</v>
      </c>
      <c r="E1492" s="976" t="s">
        <v>20</v>
      </c>
      <c r="F1492" s="882"/>
      <c r="G1492" s="837" t="s">
        <v>17</v>
      </c>
      <c r="H1492" s="976" t="str">
        <f>'CNKT '!C99</f>
        <v>N. Keo</v>
      </c>
      <c r="I1492" s="822"/>
      <c r="J1492" s="976" t="s">
        <v>398</v>
      </c>
      <c r="K1492" s="976" t="s">
        <v>20</v>
      </c>
      <c r="L1492" s="880"/>
    </row>
    <row r="1493" spans="1:15" s="31" customFormat="1" ht="17.25" customHeight="1">
      <c r="A1493" s="821" t="s">
        <v>399</v>
      </c>
      <c r="B1493" s="978" t="s">
        <v>559</v>
      </c>
      <c r="C1493" s="822" t="str">
        <f>VLOOKUP(B1492,'BTH mủ tạp'!$C$98:$AL$160,36,0)</f>
        <v>A</v>
      </c>
      <c r="D1493" s="823"/>
      <c r="E1493" s="823"/>
      <c r="F1493" s="882"/>
      <c r="G1493" s="821" t="s">
        <v>399</v>
      </c>
      <c r="H1493" s="978" t="s">
        <v>559</v>
      </c>
      <c r="I1493" s="822" t="str">
        <f>VLOOKUP(H1492,'BTH mủ tạp'!$C$98:$AL$160,36,0)</f>
        <v>A</v>
      </c>
      <c r="J1493" s="823"/>
      <c r="K1493" s="823"/>
      <c r="L1493" s="818"/>
      <c r="M1493" s="867"/>
    </row>
    <row r="1494" spans="1:15" s="31" customFormat="1" ht="17.25" customHeight="1">
      <c r="A1494" s="821" t="s">
        <v>79</v>
      </c>
      <c r="B1494" s="979" t="s">
        <v>432</v>
      </c>
      <c r="C1494" s="824">
        <f>VLOOKUP(B1492,'CNKT '!$C$97:$Z$162,3,0)</f>
        <v>0</v>
      </c>
      <c r="D1494" s="825">
        <v>25000</v>
      </c>
      <c r="E1494" s="823">
        <f t="shared" ref="E1494:E1499" si="173">C1494*D1494</f>
        <v>0</v>
      </c>
      <c r="F1494" s="882"/>
      <c r="G1494" s="821" t="s">
        <v>79</v>
      </c>
      <c r="H1494" s="979" t="s">
        <v>432</v>
      </c>
      <c r="I1494" s="824">
        <f>VLOOKUP(H1492,'CNKT '!$C$97:$Z$162,3,0)</f>
        <v>0</v>
      </c>
      <c r="J1494" s="825">
        <v>25000</v>
      </c>
      <c r="K1494" s="823">
        <f t="shared" ref="K1494:K1499" si="174">I1494*J1494</f>
        <v>0</v>
      </c>
      <c r="L1494" s="818"/>
    </row>
    <row r="1495" spans="1:15" s="31" customFormat="1" ht="17.25" customHeight="1">
      <c r="A1495" s="821" t="s">
        <v>310</v>
      </c>
      <c r="B1495" s="980" t="s">
        <v>560</v>
      </c>
      <c r="C1495" s="879">
        <f>VLOOKUP(B1492,'CNKT '!$C$97:$Z$162,11,0)</f>
        <v>26</v>
      </c>
      <c r="D1495" s="826">
        <f>46.1*$B$2</f>
        <v>30805.403000000002</v>
      </c>
      <c r="E1495" s="823">
        <f t="shared" si="173"/>
        <v>800940.478</v>
      </c>
      <c r="F1495" s="882"/>
      <c r="G1495" s="821" t="s">
        <v>310</v>
      </c>
      <c r="H1495" s="980" t="s">
        <v>560</v>
      </c>
      <c r="I1495" s="879">
        <f>VLOOKUP(H1492,'CNKT '!$C$97:$Z$162,11,0)</f>
        <v>26</v>
      </c>
      <c r="J1495" s="826">
        <f>46.1*$B$2</f>
        <v>30805.403000000002</v>
      </c>
      <c r="K1495" s="823">
        <f t="shared" si="174"/>
        <v>800940.478</v>
      </c>
      <c r="L1495" s="818"/>
    </row>
    <row r="1496" spans="1:15" s="31" customFormat="1" ht="17.25" customHeight="1">
      <c r="A1496" s="821" t="s">
        <v>401</v>
      </c>
      <c r="B1496" s="980" t="s">
        <v>561</v>
      </c>
      <c r="C1496" s="879">
        <f>VLOOKUP(B1492,'CNKT '!$C$97:$Z$162,12,0)</f>
        <v>4</v>
      </c>
      <c r="D1496" s="825">
        <f>76.9*$B$2</f>
        <v>51386.887000000002</v>
      </c>
      <c r="E1496" s="823">
        <f t="shared" si="173"/>
        <v>205547.54800000001</v>
      </c>
      <c r="F1496" s="882"/>
      <c r="G1496" s="821" t="s">
        <v>401</v>
      </c>
      <c r="H1496" s="980" t="s">
        <v>561</v>
      </c>
      <c r="I1496" s="879">
        <f>VLOOKUP(H1492,'CNKT '!$C$97:$Z$162,12,0)</f>
        <v>3</v>
      </c>
      <c r="J1496" s="825">
        <f>76.9*$B$2</f>
        <v>51386.887000000002</v>
      </c>
      <c r="K1496" s="823">
        <f t="shared" si="174"/>
        <v>154160.66100000002</v>
      </c>
      <c r="L1496" s="818"/>
    </row>
    <row r="1497" spans="1:15" s="31" customFormat="1" ht="17.25" customHeight="1">
      <c r="A1497" s="821" t="s">
        <v>80</v>
      </c>
      <c r="B1497" s="980" t="s">
        <v>562</v>
      </c>
      <c r="C1497" s="879">
        <f>VLOOKUP(B1492,'CNKT '!$C$97:$Z$162,8,0)</f>
        <v>1018.7429467493505</v>
      </c>
      <c r="D1497" s="825">
        <f>IF(C1493="A",6.1,IF(C1493="B",5.8,IF(C1493="C",5.5,IF(C1493="C.",5.5,IF(C1493="D",5.2)))))*$B$2</f>
        <v>4076.203</v>
      </c>
      <c r="E1497" s="823">
        <f t="shared" si="173"/>
        <v>4152603.0557685429</v>
      </c>
      <c r="F1497" s="882"/>
      <c r="G1497" s="821" t="s">
        <v>80</v>
      </c>
      <c r="H1497" s="980" t="s">
        <v>562</v>
      </c>
      <c r="I1497" s="879">
        <f>VLOOKUP(H1492,'CNKT '!$C$97:$Z$162,8,0)</f>
        <v>908.0320980996205</v>
      </c>
      <c r="J1497" s="825">
        <f>IF(I1493="A",6.1,IF(I1493="B",5.8,IF(I1493="C",5.5,IF(I1493="C.",5.5,IF(I1493="D",5.2)))))*$B$2</f>
        <v>4076.203</v>
      </c>
      <c r="K1497" s="823">
        <f t="shared" si="174"/>
        <v>3701323.1623699674</v>
      </c>
      <c r="L1497" s="818"/>
    </row>
    <row r="1498" spans="1:15" s="31" customFormat="1" ht="17.25" customHeight="1">
      <c r="A1498" s="821" t="s">
        <v>497</v>
      </c>
      <c r="B1498" s="980" t="s">
        <v>563</v>
      </c>
      <c r="C1498" s="879">
        <f>VLOOKUP(B1492,'CNKT '!$C$97:$Z$162,13,0)</f>
        <v>0</v>
      </c>
      <c r="D1498" s="826">
        <f>92.2*$B$2</f>
        <v>61610.806000000004</v>
      </c>
      <c r="E1498" s="823">
        <f t="shared" si="173"/>
        <v>0</v>
      </c>
      <c r="F1498" s="882"/>
      <c r="G1498" s="821" t="s">
        <v>497</v>
      </c>
      <c r="H1498" s="980" t="s">
        <v>563</v>
      </c>
      <c r="I1498" s="879">
        <f>VLOOKUP(H1492,'CNKT '!$C$97:$Z$162,13,0)</f>
        <v>0</v>
      </c>
      <c r="J1498" s="826">
        <f>92.2*$B$2</f>
        <v>61610.806000000004</v>
      </c>
      <c r="K1498" s="823">
        <f t="shared" si="174"/>
        <v>0</v>
      </c>
      <c r="L1498" s="818"/>
    </row>
    <row r="1499" spans="1:15" s="31" customFormat="1" ht="19.5" customHeight="1">
      <c r="A1499" s="821" t="s">
        <v>448</v>
      </c>
      <c r="B1499" s="980" t="s">
        <v>500</v>
      </c>
      <c r="C1499" s="879">
        <f>VLOOKUP(B1492,'CNKT '!$C$97:$Z$162,14,0)</f>
        <v>0</v>
      </c>
      <c r="D1499" s="825">
        <f>153.6*$B$2</f>
        <v>102640.128</v>
      </c>
      <c r="E1499" s="823">
        <f t="shared" si="173"/>
        <v>0</v>
      </c>
      <c r="F1499" s="882"/>
      <c r="G1499" s="821" t="s">
        <v>448</v>
      </c>
      <c r="H1499" s="980" t="s">
        <v>500</v>
      </c>
      <c r="I1499" s="879">
        <f>VLOOKUP(H1492,'CNKT '!$C$97:$Z$162,14,0)</f>
        <v>0</v>
      </c>
      <c r="J1499" s="825">
        <f>153.6*$B$2</f>
        <v>102640.128</v>
      </c>
      <c r="K1499" s="823">
        <f t="shared" si="174"/>
        <v>0</v>
      </c>
      <c r="L1499" s="818"/>
    </row>
    <row r="1500" spans="1:15" s="31" customFormat="1" ht="17.25" customHeight="1">
      <c r="A1500" s="821" t="s">
        <v>455</v>
      </c>
      <c r="B1500" s="980" t="s">
        <v>501</v>
      </c>
      <c r="C1500" s="879">
        <f>VLOOKUP(B1492,'CNKT '!$C$98:$Z$162,18,0)</f>
        <v>0</v>
      </c>
      <c r="D1500" s="825">
        <v>10000</v>
      </c>
      <c r="E1500" s="823">
        <f>C1500*D1500</f>
        <v>0</v>
      </c>
      <c r="F1500" s="882"/>
      <c r="G1500" s="821" t="s">
        <v>455</v>
      </c>
      <c r="H1500" s="980" t="s">
        <v>501</v>
      </c>
      <c r="I1500" s="879">
        <f>VLOOKUP(H1492,'CNKT '!$C$98:$Z$162,18,0)</f>
        <v>0</v>
      </c>
      <c r="J1500" s="825">
        <v>10000</v>
      </c>
      <c r="K1500" s="823">
        <f>I1500*J1500</f>
        <v>0</v>
      </c>
      <c r="L1500" s="818"/>
    </row>
    <row r="1501" spans="1:15" s="31" customFormat="1" ht="17.25" customHeight="1">
      <c r="A1501" s="821" t="s">
        <v>455</v>
      </c>
      <c r="B1501" s="980" t="s">
        <v>501</v>
      </c>
      <c r="C1501" s="879">
        <f>VLOOKUP(B1492,'CNKT '!$C$98:$Z$162,19,0)</f>
        <v>0</v>
      </c>
      <c r="D1501" s="825">
        <v>20000</v>
      </c>
      <c r="E1501" s="823">
        <f>C1501*D1501</f>
        <v>0</v>
      </c>
      <c r="F1501" s="882"/>
      <c r="G1501" s="821" t="s">
        <v>455</v>
      </c>
      <c r="H1501" s="980" t="s">
        <v>501</v>
      </c>
      <c r="I1501" s="879">
        <f>VLOOKUP(H1492,'CNKT '!$C$98:$Z$162,19,0)</f>
        <v>0</v>
      </c>
      <c r="J1501" s="825">
        <v>20000</v>
      </c>
      <c r="K1501" s="823">
        <f>I1501*J1501</f>
        <v>0</v>
      </c>
      <c r="L1501" s="818"/>
    </row>
    <row r="1502" spans="1:15" s="31" customFormat="1" ht="17.25" customHeight="1">
      <c r="A1502" s="821" t="s">
        <v>517</v>
      </c>
      <c r="B1502" s="980" t="s">
        <v>519</v>
      </c>
      <c r="C1502" s="879"/>
      <c r="D1502" s="825"/>
      <c r="E1502" s="823"/>
      <c r="F1502" s="882"/>
      <c r="G1502" s="821" t="s">
        <v>517</v>
      </c>
      <c r="H1502" s="980" t="s">
        <v>519</v>
      </c>
      <c r="I1502" s="879"/>
      <c r="J1502" s="825"/>
      <c r="K1502" s="823"/>
      <c r="L1502" s="818"/>
    </row>
    <row r="1503" spans="1:15" s="31" customFormat="1" ht="17.25" customHeight="1">
      <c r="A1503" s="827" t="s">
        <v>81</v>
      </c>
      <c r="B1503" s="981" t="s">
        <v>564</v>
      </c>
      <c r="C1503" s="828"/>
      <c r="D1503" s="829"/>
      <c r="E1503" s="828"/>
      <c r="F1503" s="882"/>
      <c r="G1503" s="827" t="s">
        <v>81</v>
      </c>
      <c r="H1503" s="981" t="s">
        <v>564</v>
      </c>
      <c r="I1503" s="828"/>
      <c r="J1503" s="829"/>
      <c r="K1503" s="828"/>
      <c r="L1503" s="818"/>
    </row>
    <row r="1504" spans="1:15" s="31" customFormat="1" ht="17.25" customHeight="1">
      <c r="A1504" s="830" t="s">
        <v>82</v>
      </c>
      <c r="B1504" s="982" t="s">
        <v>565</v>
      </c>
      <c r="C1504" s="828"/>
      <c r="D1504" s="828"/>
      <c r="E1504" s="828"/>
      <c r="F1504" s="882"/>
      <c r="G1504" s="830" t="s">
        <v>82</v>
      </c>
      <c r="H1504" s="982" t="s">
        <v>565</v>
      </c>
      <c r="I1504" s="828"/>
      <c r="J1504" s="828"/>
      <c r="K1504" s="828"/>
      <c r="L1504" s="818"/>
    </row>
    <row r="1505" spans="1:13" s="31" customFormat="1" ht="17.25" customHeight="1">
      <c r="A1505" s="830" t="s">
        <v>83</v>
      </c>
      <c r="B1505" s="983" t="s">
        <v>566</v>
      </c>
      <c r="C1505" s="828"/>
      <c r="D1505" s="828"/>
      <c r="E1505" s="823">
        <f>SUM(E1504)</f>
        <v>0</v>
      </c>
      <c r="F1505" s="869"/>
      <c r="G1505" s="830" t="s">
        <v>83</v>
      </c>
      <c r="H1505" s="983" t="s">
        <v>566</v>
      </c>
      <c r="I1505" s="828"/>
      <c r="J1505" s="828"/>
      <c r="K1505" s="823">
        <f>SUM(K1504)</f>
        <v>0</v>
      </c>
      <c r="L1505" s="818"/>
      <c r="M1505" s="831">
        <f>E1505+K1505</f>
        <v>0</v>
      </c>
    </row>
    <row r="1506" spans="1:13" s="31" customFormat="1" ht="17.25" customHeight="1">
      <c r="A1506" s="832" t="s">
        <v>84</v>
      </c>
      <c r="B1506" s="984" t="s">
        <v>438</v>
      </c>
      <c r="C1506" s="833"/>
      <c r="D1506" s="833"/>
      <c r="E1506" s="833">
        <f>(E1494+E1495+E1496+E1497+E1498+E1499+E1500+E1501+E1502)-E1505</f>
        <v>5159091.0817685425</v>
      </c>
      <c r="F1506" s="882"/>
      <c r="G1506" s="832" t="s">
        <v>84</v>
      </c>
      <c r="H1506" s="984" t="s">
        <v>438</v>
      </c>
      <c r="I1506" s="833"/>
      <c r="J1506" s="833"/>
      <c r="K1506" s="833">
        <f>(K1494+K1495+K1496+K1497+K1498+K1499+K1500+K1501+K1502)-K1505</f>
        <v>4656424.3013699669</v>
      </c>
      <c r="L1506" s="835">
        <f>E1506+K1506</f>
        <v>9815515.3831385095</v>
      </c>
    </row>
    <row r="1507" spans="1:13" s="31" customFormat="1" ht="17.25" customHeight="1">
      <c r="A1507" s="895"/>
      <c r="B1507" s="895"/>
      <c r="C1507" s="895"/>
      <c r="D1507" s="895"/>
      <c r="E1507" s="895"/>
      <c r="F1507" s="895"/>
      <c r="G1507" s="895"/>
      <c r="H1507" s="895"/>
      <c r="I1507" s="895"/>
      <c r="J1507" s="895"/>
      <c r="K1507" s="895"/>
      <c r="L1507" s="818"/>
    </row>
    <row r="1508" spans="1:13" s="31" customFormat="1" ht="17.25" customHeight="1">
      <c r="A1508" s="891" t="str">
        <f>A1491</f>
        <v>LƯƠNG THÁNG 01/2025</v>
      </c>
      <c r="B1508" s="895"/>
      <c r="C1508" s="895"/>
      <c r="D1508" s="895"/>
      <c r="E1508" s="904">
        <f>VLOOKUP(B1509,'CNKT '!$C$98:$AC$162,26,0)</f>
        <v>0</v>
      </c>
      <c r="F1508" s="882"/>
      <c r="G1508" s="891" t="str">
        <f>G1491</f>
        <v>LƯƠNG THÁNG 01/2025</v>
      </c>
      <c r="H1508" s="895"/>
      <c r="I1508" s="895"/>
      <c r="J1508" s="895"/>
      <c r="K1508" s="904">
        <f>VLOOKUP(H1509,'CNKT '!$C$98:$AC$162,26,0)</f>
        <v>0</v>
      </c>
      <c r="L1508" s="818"/>
    </row>
    <row r="1509" spans="1:13" s="31" customFormat="1" ht="17.25" customHeight="1">
      <c r="A1509" s="837" t="s">
        <v>17</v>
      </c>
      <c r="B1509" s="976" t="str">
        <f>'CNKT '!C100</f>
        <v>T .Nhum</v>
      </c>
      <c r="C1509" s="822"/>
      <c r="D1509" s="976" t="s">
        <v>398</v>
      </c>
      <c r="E1509" s="976" t="s">
        <v>20</v>
      </c>
      <c r="F1509" s="882"/>
      <c r="G1509" s="837" t="s">
        <v>17</v>
      </c>
      <c r="H1509" s="976" t="str">
        <f>'CNKT '!C101</f>
        <v>N.Vông Ma Ni</v>
      </c>
      <c r="I1509" s="822"/>
      <c r="J1509" s="976" t="s">
        <v>398</v>
      </c>
      <c r="K1509" s="976" t="s">
        <v>20</v>
      </c>
      <c r="L1509" s="818"/>
    </row>
    <row r="1510" spans="1:13" s="31" customFormat="1" ht="17.25" customHeight="1">
      <c r="A1510" s="821" t="s">
        <v>399</v>
      </c>
      <c r="B1510" s="978" t="s">
        <v>559</v>
      </c>
      <c r="C1510" s="822" t="str">
        <f>VLOOKUP(B1509,'BTH mủ tạp'!$C$98:$AL$160,36,0)</f>
        <v>A</v>
      </c>
      <c r="D1510" s="823"/>
      <c r="E1510" s="823"/>
      <c r="F1510" s="882"/>
      <c r="G1510" s="821" t="s">
        <v>399</v>
      </c>
      <c r="H1510" s="978" t="s">
        <v>559</v>
      </c>
      <c r="I1510" s="822" t="str">
        <f>VLOOKUP(H1509,'BTH mủ tạp'!$C$98:$AL$160,36,0)</f>
        <v>A</v>
      </c>
      <c r="J1510" s="823"/>
      <c r="K1510" s="823"/>
      <c r="L1510" s="818"/>
    </row>
    <row r="1511" spans="1:13" s="31" customFormat="1" ht="17.25" customHeight="1">
      <c r="A1511" s="821" t="s">
        <v>79</v>
      </c>
      <c r="B1511" s="979" t="s">
        <v>432</v>
      </c>
      <c r="C1511" s="824">
        <f>VLOOKUP(B1509,'CNKT '!$C$97:$Z$162,3,0)</f>
        <v>0</v>
      </c>
      <c r="D1511" s="825">
        <v>25000</v>
      </c>
      <c r="E1511" s="823">
        <f t="shared" ref="E1511:E1516" si="175">C1511*D1511</f>
        <v>0</v>
      </c>
      <c r="F1511" s="882"/>
      <c r="G1511" s="821" t="s">
        <v>79</v>
      </c>
      <c r="H1511" s="979" t="s">
        <v>432</v>
      </c>
      <c r="I1511" s="824">
        <f>VLOOKUP(H1509,'CNKT '!$C$97:$Z$162,3,0)</f>
        <v>0</v>
      </c>
      <c r="J1511" s="825">
        <v>25000</v>
      </c>
      <c r="K1511" s="823">
        <f t="shared" ref="K1511:K1516" si="176">I1511*J1511</f>
        <v>0</v>
      </c>
      <c r="L1511" s="818"/>
    </row>
    <row r="1512" spans="1:13" s="31" customFormat="1" ht="17.25" customHeight="1">
      <c r="A1512" s="821" t="s">
        <v>310</v>
      </c>
      <c r="B1512" s="980" t="s">
        <v>560</v>
      </c>
      <c r="C1512" s="879">
        <f>VLOOKUP(B1509,'CNKT '!$C$97:$Z$162,11,0)</f>
        <v>26</v>
      </c>
      <c r="D1512" s="826">
        <f>46.1*$B$2</f>
        <v>30805.403000000002</v>
      </c>
      <c r="E1512" s="823">
        <f t="shared" si="175"/>
        <v>800940.478</v>
      </c>
      <c r="F1512" s="882"/>
      <c r="G1512" s="821" t="s">
        <v>310</v>
      </c>
      <c r="H1512" s="980" t="s">
        <v>560</v>
      </c>
      <c r="I1512" s="879">
        <f>VLOOKUP(H1509,'CNKT '!$C$97:$Z$162,11,0)</f>
        <v>26</v>
      </c>
      <c r="J1512" s="826">
        <f>46.1*$B$2</f>
        <v>30805.403000000002</v>
      </c>
      <c r="K1512" s="823">
        <f t="shared" si="176"/>
        <v>800940.478</v>
      </c>
      <c r="L1512" s="818"/>
    </row>
    <row r="1513" spans="1:13" s="31" customFormat="1" ht="17.25" customHeight="1">
      <c r="A1513" s="821" t="s">
        <v>401</v>
      </c>
      <c r="B1513" s="980" t="s">
        <v>561</v>
      </c>
      <c r="C1513" s="879">
        <f>VLOOKUP(B1509,'CNKT '!$C$97:$Z$162,12,0)</f>
        <v>4</v>
      </c>
      <c r="D1513" s="825">
        <f>76.9*$B$2</f>
        <v>51386.887000000002</v>
      </c>
      <c r="E1513" s="823">
        <f t="shared" si="175"/>
        <v>205547.54800000001</v>
      </c>
      <c r="F1513" s="882"/>
      <c r="G1513" s="821" t="s">
        <v>401</v>
      </c>
      <c r="H1513" s="980" t="s">
        <v>561</v>
      </c>
      <c r="I1513" s="879">
        <f>VLOOKUP(H1509,'CNKT '!$C$97:$Z$162,12,0)</f>
        <v>4</v>
      </c>
      <c r="J1513" s="825">
        <f>76.9*$B$2</f>
        <v>51386.887000000002</v>
      </c>
      <c r="K1513" s="823">
        <f t="shared" si="176"/>
        <v>205547.54800000001</v>
      </c>
      <c r="L1513" s="818"/>
    </row>
    <row r="1514" spans="1:13" s="31" customFormat="1" ht="17.25" customHeight="1">
      <c r="A1514" s="821" t="s">
        <v>80</v>
      </c>
      <c r="B1514" s="980" t="s">
        <v>562</v>
      </c>
      <c r="C1514" s="879">
        <f>VLOOKUP(B1509,'CNKT '!$C$97:$Z$162,8,0)</f>
        <v>682.54761736347314</v>
      </c>
      <c r="D1514" s="825">
        <f>IF(C1510="A",6.1,IF(C1510="B",5.8,IF(C1510="C",5.5,IF(C1510="C.",5.5,IF(C1510="D",5.2)))))*$B$2</f>
        <v>4076.203</v>
      </c>
      <c r="E1514" s="823">
        <f t="shared" si="175"/>
        <v>2782202.6455398411</v>
      </c>
      <c r="F1514" s="882"/>
      <c r="G1514" s="821" t="s">
        <v>80</v>
      </c>
      <c r="H1514" s="980" t="s">
        <v>562</v>
      </c>
      <c r="I1514" s="879">
        <f>VLOOKUP(H1509,'CNKT '!$C$97:$Z$162,8,0)</f>
        <v>967.95815379075873</v>
      </c>
      <c r="J1514" s="825">
        <f>IF(I1510="A",6.1,IF(I1510="B",5.8,IF(I1510="C",5.5,IF(I1510="C.",5.5,IF(I1510="D",5.2)))))*$B$2</f>
        <v>4076.203</v>
      </c>
      <c r="K1514" s="823">
        <f t="shared" si="176"/>
        <v>3945593.9303563521</v>
      </c>
      <c r="L1514" s="818"/>
    </row>
    <row r="1515" spans="1:13" s="31" customFormat="1" ht="17.25" customHeight="1">
      <c r="A1515" s="821" t="s">
        <v>497</v>
      </c>
      <c r="B1515" s="980" t="s">
        <v>563</v>
      </c>
      <c r="C1515" s="879">
        <f>VLOOKUP(B1509,'CNKT '!$C$97:$Z$162,13,0)</f>
        <v>0</v>
      </c>
      <c r="D1515" s="826">
        <f>92.2*$B$2</f>
        <v>61610.806000000004</v>
      </c>
      <c r="E1515" s="823">
        <f t="shared" si="175"/>
        <v>0</v>
      </c>
      <c r="F1515" s="882"/>
      <c r="G1515" s="821" t="s">
        <v>497</v>
      </c>
      <c r="H1515" s="980" t="s">
        <v>563</v>
      </c>
      <c r="I1515" s="879">
        <f>VLOOKUP(H1509,'CNKT '!$C$97:$Z$162,13,0)</f>
        <v>0</v>
      </c>
      <c r="J1515" s="826">
        <f>92.2*$B$2</f>
        <v>61610.806000000004</v>
      </c>
      <c r="K1515" s="823">
        <f t="shared" si="176"/>
        <v>0</v>
      </c>
      <c r="L1515" s="818"/>
    </row>
    <row r="1516" spans="1:13" s="31" customFormat="1" ht="17.25" customHeight="1">
      <c r="A1516" s="821" t="s">
        <v>448</v>
      </c>
      <c r="B1516" s="980" t="s">
        <v>500</v>
      </c>
      <c r="C1516" s="879">
        <f>VLOOKUP(B1509,'CNKT '!$C$97:$Z$162,14,0)</f>
        <v>0</v>
      </c>
      <c r="D1516" s="825">
        <f>153.6*$B$2</f>
        <v>102640.128</v>
      </c>
      <c r="E1516" s="823">
        <f t="shared" si="175"/>
        <v>0</v>
      </c>
      <c r="F1516" s="882"/>
      <c r="G1516" s="821" t="s">
        <v>448</v>
      </c>
      <c r="H1516" s="980" t="s">
        <v>500</v>
      </c>
      <c r="I1516" s="879">
        <f>VLOOKUP(H1509,'CNKT '!$C$97:$Z$162,14,0)</f>
        <v>0</v>
      </c>
      <c r="J1516" s="825">
        <f>153.6*$B$2</f>
        <v>102640.128</v>
      </c>
      <c r="K1516" s="823">
        <f t="shared" si="176"/>
        <v>0</v>
      </c>
      <c r="L1516" s="818"/>
    </row>
    <row r="1517" spans="1:13" s="31" customFormat="1" ht="17.25" customHeight="1">
      <c r="A1517" s="821" t="s">
        <v>455</v>
      </c>
      <c r="B1517" s="980" t="s">
        <v>501</v>
      </c>
      <c r="C1517" s="879">
        <f>VLOOKUP(B1509,'CNKT '!$C$98:$Z$162,18,0)</f>
        <v>0</v>
      </c>
      <c r="D1517" s="825">
        <v>10000</v>
      </c>
      <c r="E1517" s="823">
        <f>C1517*D1517</f>
        <v>0</v>
      </c>
      <c r="F1517" s="882"/>
      <c r="G1517" s="821" t="s">
        <v>455</v>
      </c>
      <c r="H1517" s="980" t="s">
        <v>501</v>
      </c>
      <c r="I1517" s="879">
        <f>VLOOKUP(H1509,'CNKT '!$C$98:$Z$162,18,0)</f>
        <v>0</v>
      </c>
      <c r="J1517" s="825">
        <v>10000</v>
      </c>
      <c r="K1517" s="823">
        <f>I1517*J1517</f>
        <v>0</v>
      </c>
      <c r="L1517" s="818"/>
    </row>
    <row r="1518" spans="1:13" s="31" customFormat="1" ht="17.25" customHeight="1">
      <c r="A1518" s="821" t="s">
        <v>455</v>
      </c>
      <c r="B1518" s="980" t="s">
        <v>501</v>
      </c>
      <c r="C1518" s="879">
        <f>VLOOKUP(B1509,'CNKT '!$C$98:$Z$162,19,0)</f>
        <v>0</v>
      </c>
      <c r="D1518" s="825">
        <v>20000</v>
      </c>
      <c r="E1518" s="823">
        <f>C1518*D1518</f>
        <v>0</v>
      </c>
      <c r="F1518" s="882"/>
      <c r="G1518" s="821" t="s">
        <v>455</v>
      </c>
      <c r="H1518" s="980" t="s">
        <v>501</v>
      </c>
      <c r="I1518" s="879">
        <f>VLOOKUP(H1509,'CNKT '!$C$98:$Z$162,19,0)</f>
        <v>0</v>
      </c>
      <c r="J1518" s="825">
        <v>20000</v>
      </c>
      <c r="K1518" s="823">
        <f>I1518*J1518</f>
        <v>0</v>
      </c>
      <c r="L1518" s="818"/>
    </row>
    <row r="1519" spans="1:13" s="31" customFormat="1" ht="17.25" customHeight="1">
      <c r="A1519" s="821" t="s">
        <v>517</v>
      </c>
      <c r="B1519" s="980" t="s">
        <v>519</v>
      </c>
      <c r="C1519" s="879"/>
      <c r="D1519" s="825"/>
      <c r="E1519" s="823"/>
      <c r="F1519" s="882"/>
      <c r="G1519" s="821" t="s">
        <v>517</v>
      </c>
      <c r="H1519" s="980" t="s">
        <v>519</v>
      </c>
      <c r="I1519" s="879"/>
      <c r="J1519" s="825"/>
      <c r="K1519" s="823"/>
      <c r="L1519" s="818"/>
    </row>
    <row r="1520" spans="1:13" s="31" customFormat="1" ht="17.25" customHeight="1">
      <c r="A1520" s="827" t="s">
        <v>81</v>
      </c>
      <c r="B1520" s="981" t="s">
        <v>564</v>
      </c>
      <c r="C1520" s="828"/>
      <c r="D1520" s="829"/>
      <c r="E1520" s="828"/>
      <c r="F1520" s="882"/>
      <c r="G1520" s="827" t="s">
        <v>81</v>
      </c>
      <c r="H1520" s="981" t="s">
        <v>564</v>
      </c>
      <c r="I1520" s="828"/>
      <c r="J1520" s="829"/>
      <c r="K1520" s="828"/>
      <c r="L1520" s="818"/>
    </row>
    <row r="1521" spans="1:12" s="31" customFormat="1" ht="17.25" customHeight="1">
      <c r="A1521" s="830" t="s">
        <v>82</v>
      </c>
      <c r="B1521" s="982" t="s">
        <v>565</v>
      </c>
      <c r="C1521" s="828"/>
      <c r="D1521" s="828"/>
      <c r="E1521" s="828"/>
      <c r="F1521" s="882"/>
      <c r="G1521" s="830" t="s">
        <v>82</v>
      </c>
      <c r="H1521" s="982" t="s">
        <v>565</v>
      </c>
      <c r="I1521" s="828"/>
      <c r="J1521" s="828"/>
      <c r="K1521" s="828"/>
      <c r="L1521" s="818"/>
    </row>
    <row r="1522" spans="1:12" s="31" customFormat="1" ht="17.25" customHeight="1">
      <c r="A1522" s="830" t="s">
        <v>83</v>
      </c>
      <c r="B1522" s="983" t="s">
        <v>566</v>
      </c>
      <c r="C1522" s="828"/>
      <c r="D1522" s="828"/>
      <c r="E1522" s="823">
        <f>SUM(E1521)</f>
        <v>0</v>
      </c>
      <c r="F1522" s="879"/>
      <c r="G1522" s="830" t="s">
        <v>83</v>
      </c>
      <c r="H1522" s="983" t="s">
        <v>566</v>
      </c>
      <c r="I1522" s="828"/>
      <c r="J1522" s="828"/>
      <c r="K1522" s="823">
        <f>SUM(K1521)</f>
        <v>0</v>
      </c>
      <c r="L1522" s="818"/>
    </row>
    <row r="1523" spans="1:12" s="31" customFormat="1" ht="17.25" customHeight="1">
      <c r="A1523" s="832" t="s">
        <v>84</v>
      </c>
      <c r="B1523" s="984" t="s">
        <v>438</v>
      </c>
      <c r="C1523" s="833"/>
      <c r="D1523" s="833"/>
      <c r="E1523" s="833">
        <f>(E1511+E1512+E1513+E1514+E1515+E1516+E1517+E1518+E1519)-E1522</f>
        <v>3788690.6715398412</v>
      </c>
      <c r="F1523" s="882"/>
      <c r="G1523" s="832" t="s">
        <v>84</v>
      </c>
      <c r="H1523" s="984" t="s">
        <v>438</v>
      </c>
      <c r="I1523" s="833"/>
      <c r="J1523" s="833"/>
      <c r="K1523" s="833">
        <f>(K1511+K1512+K1513+K1514+K1515+K1516+K1517+K1518+K1519)-K1522</f>
        <v>4952081.9563563522</v>
      </c>
      <c r="L1523" s="835">
        <f>E1523+K1523</f>
        <v>8740772.6278961934</v>
      </c>
    </row>
    <row r="1524" spans="1:12" s="31" customFormat="1" ht="17.25" customHeight="1">
      <c r="A1524" s="895"/>
      <c r="B1524" s="895"/>
      <c r="C1524" s="895"/>
      <c r="D1524" s="895"/>
      <c r="E1524" s="895"/>
      <c r="F1524" s="895"/>
      <c r="G1524" s="895"/>
      <c r="H1524" s="895"/>
      <c r="I1524" s="895"/>
      <c r="J1524" s="895"/>
      <c r="K1524" s="895"/>
      <c r="L1524" s="818"/>
    </row>
    <row r="1525" spans="1:12" s="31" customFormat="1" ht="17.25" customHeight="1">
      <c r="A1525" s="891" t="str">
        <f>A1508</f>
        <v>LƯƠNG THÁNG 01/2025</v>
      </c>
      <c r="B1525" s="895"/>
      <c r="C1525" s="895"/>
      <c r="D1525" s="895"/>
      <c r="E1525" s="904">
        <f>VLOOKUP(B1526,'CNKT '!$C$98:$AC$162,26,0)</f>
        <v>0</v>
      </c>
      <c r="F1525" s="882"/>
      <c r="G1525" s="891" t="str">
        <f>G1508</f>
        <v>LƯƠNG THÁNG 01/2025</v>
      </c>
      <c r="H1525" s="895"/>
      <c r="I1525" s="895"/>
      <c r="J1525" s="895"/>
      <c r="K1525" s="904">
        <f>VLOOKUP(H1526,'CNKT '!$C$98:$AC$162,26,0)</f>
        <v>0</v>
      </c>
      <c r="L1525" s="818"/>
    </row>
    <row r="1526" spans="1:12" s="31" customFormat="1" ht="17.25" customHeight="1">
      <c r="A1526" s="837" t="s">
        <v>17</v>
      </c>
      <c r="B1526" s="976" t="str">
        <f>'CNKT '!C102</f>
        <v>Đao Hương</v>
      </c>
      <c r="C1526" s="822"/>
      <c r="D1526" s="976" t="s">
        <v>398</v>
      </c>
      <c r="E1526" s="976" t="s">
        <v>20</v>
      </c>
      <c r="F1526" s="882"/>
      <c r="G1526" s="837" t="s">
        <v>17</v>
      </c>
      <c r="H1526" s="976" t="str">
        <f>'CNKT '!C103</f>
        <v>T. Xi Nun</v>
      </c>
      <c r="I1526" s="822"/>
      <c r="J1526" s="976" t="s">
        <v>398</v>
      </c>
      <c r="K1526" s="976" t="s">
        <v>20</v>
      </c>
      <c r="L1526" s="818"/>
    </row>
    <row r="1527" spans="1:12" s="31" customFormat="1" ht="17.25" customHeight="1">
      <c r="A1527" s="821" t="s">
        <v>399</v>
      </c>
      <c r="B1527" s="978" t="s">
        <v>559</v>
      </c>
      <c r="C1527" s="822" t="str">
        <f>VLOOKUP(B1526,'BTH mủ tạp'!$C$98:$AL$160,36,0)</f>
        <v>A</v>
      </c>
      <c r="D1527" s="823"/>
      <c r="E1527" s="823"/>
      <c r="F1527" s="882"/>
      <c r="G1527" s="821" t="s">
        <v>399</v>
      </c>
      <c r="H1527" s="978" t="s">
        <v>559</v>
      </c>
      <c r="I1527" s="822" t="str">
        <f>VLOOKUP(H1526,'BTH mủ tạp'!$C$98:$AL$160,36,0)</f>
        <v>B</v>
      </c>
      <c r="J1527" s="823"/>
      <c r="K1527" s="823"/>
      <c r="L1527" s="818"/>
    </row>
    <row r="1528" spans="1:12" s="31" customFormat="1" ht="17.25" customHeight="1">
      <c r="A1528" s="821" t="s">
        <v>79</v>
      </c>
      <c r="B1528" s="979" t="s">
        <v>432</v>
      </c>
      <c r="C1528" s="824">
        <f>VLOOKUP(B1526,'CNKT '!$C$97:$Z$162,3,0)</f>
        <v>0</v>
      </c>
      <c r="D1528" s="825">
        <v>25000</v>
      </c>
      <c r="E1528" s="823">
        <f t="shared" ref="E1528:E1533" si="177">C1528*D1528</f>
        <v>0</v>
      </c>
      <c r="F1528" s="882"/>
      <c r="G1528" s="821" t="s">
        <v>79</v>
      </c>
      <c r="H1528" s="979" t="s">
        <v>432</v>
      </c>
      <c r="I1528" s="824">
        <f>VLOOKUP(H1526,'CNKT '!$C$97:$Z$162,3,0)</f>
        <v>0</v>
      </c>
      <c r="J1528" s="825">
        <v>25000</v>
      </c>
      <c r="K1528" s="823">
        <f t="shared" ref="K1528:K1533" si="178">I1528*J1528</f>
        <v>0</v>
      </c>
      <c r="L1528" s="818"/>
    </row>
    <row r="1529" spans="1:12" s="31" customFormat="1" ht="17.25" customHeight="1">
      <c r="A1529" s="821" t="s">
        <v>310</v>
      </c>
      <c r="B1529" s="980" t="s">
        <v>560</v>
      </c>
      <c r="C1529" s="879">
        <f>VLOOKUP(B1526,'CNKT '!$C$97:$Z$162,11,0)</f>
        <v>26</v>
      </c>
      <c r="D1529" s="826">
        <f>46.1*$B$2</f>
        <v>30805.403000000002</v>
      </c>
      <c r="E1529" s="823">
        <f t="shared" si="177"/>
        <v>800940.478</v>
      </c>
      <c r="F1529" s="882"/>
      <c r="G1529" s="821" t="s">
        <v>310</v>
      </c>
      <c r="H1529" s="980" t="s">
        <v>560</v>
      </c>
      <c r="I1529" s="879">
        <f>VLOOKUP(H1526,'CNKT '!$C$97:$Z$162,11,0)</f>
        <v>21</v>
      </c>
      <c r="J1529" s="826">
        <f>46.1*$B$2</f>
        <v>30805.403000000002</v>
      </c>
      <c r="K1529" s="823">
        <f t="shared" si="178"/>
        <v>646913.46299999999</v>
      </c>
      <c r="L1529" s="818"/>
    </row>
    <row r="1530" spans="1:12" s="31" customFormat="1" ht="17.25" customHeight="1">
      <c r="A1530" s="821" t="s">
        <v>401</v>
      </c>
      <c r="B1530" s="980" t="s">
        <v>561</v>
      </c>
      <c r="C1530" s="879">
        <f>VLOOKUP(B1526,'CNKT '!$C$97:$Z$162,12,0)</f>
        <v>4</v>
      </c>
      <c r="D1530" s="825">
        <f>76.9*$B$2</f>
        <v>51386.887000000002</v>
      </c>
      <c r="E1530" s="823">
        <f t="shared" si="177"/>
        <v>205547.54800000001</v>
      </c>
      <c r="F1530" s="882"/>
      <c r="G1530" s="821" t="s">
        <v>401</v>
      </c>
      <c r="H1530" s="980" t="s">
        <v>561</v>
      </c>
      <c r="I1530" s="879">
        <f>VLOOKUP(H1526,'CNKT '!$C$97:$Z$162,12,0)</f>
        <v>1</v>
      </c>
      <c r="J1530" s="825">
        <f>76.9*$B$2</f>
        <v>51386.887000000002</v>
      </c>
      <c r="K1530" s="823">
        <f t="shared" si="178"/>
        <v>51386.887000000002</v>
      </c>
      <c r="L1530" s="818"/>
    </row>
    <row r="1531" spans="1:12" s="31" customFormat="1" ht="17.25" customHeight="1">
      <c r="A1531" s="821" t="s">
        <v>80</v>
      </c>
      <c r="B1531" s="980" t="s">
        <v>562</v>
      </c>
      <c r="C1531" s="879">
        <f>VLOOKUP(B1526,'CNKT '!$C$97:$Z$162,8,0)</f>
        <v>937.48727801560369</v>
      </c>
      <c r="D1531" s="825">
        <f>IF(C1527="A",6.1,IF(C1527="B",5.8,IF(C1527="C",5.5,IF(C1527="C.",5.5,IF(C1527="D",5.2)))))*$B$2</f>
        <v>4076.203</v>
      </c>
      <c r="E1531" s="823">
        <f t="shared" si="177"/>
        <v>3821388.4551090379</v>
      </c>
      <c r="F1531" s="882"/>
      <c r="G1531" s="821" t="s">
        <v>80</v>
      </c>
      <c r="H1531" s="980" t="s">
        <v>562</v>
      </c>
      <c r="I1531" s="879">
        <f>VLOOKUP(H1526,'CNKT '!$C$97:$Z$162,8,0)</f>
        <v>448.9375697539511</v>
      </c>
      <c r="J1531" s="825">
        <f>IF(I1527="A",6.1,IF(I1527="B",5.8,IF(I1527="C",5.5,IF(I1527="C.",5.5,IF(I1527="D",5.2)))))*$B$2</f>
        <v>3875.7339999999999</v>
      </c>
      <c r="K1531" s="823">
        <f t="shared" si="178"/>
        <v>1739962.6029727599</v>
      </c>
      <c r="L1531" s="818"/>
    </row>
    <row r="1532" spans="1:12" s="31" customFormat="1" ht="17.25" customHeight="1">
      <c r="A1532" s="821" t="s">
        <v>497</v>
      </c>
      <c r="B1532" s="980" t="s">
        <v>563</v>
      </c>
      <c r="C1532" s="879">
        <f>VLOOKUP(B1526,'CNKT '!$C$97:$Z$162,13,0)</f>
        <v>0</v>
      </c>
      <c r="D1532" s="826">
        <f>92.2*$B$2</f>
        <v>61610.806000000004</v>
      </c>
      <c r="E1532" s="823">
        <f t="shared" si="177"/>
        <v>0</v>
      </c>
      <c r="F1532" s="882"/>
      <c r="G1532" s="821" t="s">
        <v>497</v>
      </c>
      <c r="H1532" s="980" t="s">
        <v>563</v>
      </c>
      <c r="I1532" s="879">
        <f>VLOOKUP(H1526,'CNKT '!$C$97:$Z$162,13,0)</f>
        <v>0</v>
      </c>
      <c r="J1532" s="826">
        <f>92.2*$B$2</f>
        <v>61610.806000000004</v>
      </c>
      <c r="K1532" s="823">
        <f t="shared" si="178"/>
        <v>0</v>
      </c>
      <c r="L1532" s="818"/>
    </row>
    <row r="1533" spans="1:12" s="31" customFormat="1" ht="17.25" customHeight="1">
      <c r="A1533" s="821" t="s">
        <v>448</v>
      </c>
      <c r="B1533" s="980" t="s">
        <v>500</v>
      </c>
      <c r="C1533" s="879">
        <f>VLOOKUP(B1526,'CNKT '!$C$97:$Z$162,14,0)</f>
        <v>0</v>
      </c>
      <c r="D1533" s="825">
        <f>153.6*$B$2</f>
        <v>102640.128</v>
      </c>
      <c r="E1533" s="823">
        <f t="shared" si="177"/>
        <v>0</v>
      </c>
      <c r="F1533" s="882"/>
      <c r="G1533" s="821" t="s">
        <v>448</v>
      </c>
      <c r="H1533" s="980" t="s">
        <v>500</v>
      </c>
      <c r="I1533" s="879">
        <f>VLOOKUP(H1526,'CNKT '!$C$97:$Z$162,14,0)</f>
        <v>0</v>
      </c>
      <c r="J1533" s="825">
        <f>153.6*$B$2</f>
        <v>102640.128</v>
      </c>
      <c r="K1533" s="823">
        <f t="shared" si="178"/>
        <v>0</v>
      </c>
      <c r="L1533" s="818"/>
    </row>
    <row r="1534" spans="1:12" s="31" customFormat="1" ht="17.25" customHeight="1">
      <c r="A1534" s="821" t="s">
        <v>455</v>
      </c>
      <c r="B1534" s="980" t="s">
        <v>501</v>
      </c>
      <c r="C1534" s="879">
        <f>VLOOKUP(B1526,'CNKT '!$C$98:$Z$162,18,0)</f>
        <v>0</v>
      </c>
      <c r="D1534" s="825">
        <v>10000</v>
      </c>
      <c r="E1534" s="823">
        <f>C1534*D1534</f>
        <v>0</v>
      </c>
      <c r="F1534" s="882"/>
      <c r="G1534" s="821" t="s">
        <v>455</v>
      </c>
      <c r="H1534" s="980" t="s">
        <v>501</v>
      </c>
      <c r="I1534" s="879">
        <f>VLOOKUP(H1526,'CNKT '!$C$98:$Z$162,18,0)</f>
        <v>0</v>
      </c>
      <c r="J1534" s="825">
        <v>10000</v>
      </c>
      <c r="K1534" s="823">
        <f>I1534*J1534</f>
        <v>0</v>
      </c>
      <c r="L1534" s="818"/>
    </row>
    <row r="1535" spans="1:12" s="31" customFormat="1" ht="17.25" customHeight="1">
      <c r="A1535" s="821" t="s">
        <v>455</v>
      </c>
      <c r="B1535" s="980" t="s">
        <v>501</v>
      </c>
      <c r="C1535" s="879">
        <f>VLOOKUP(B1526,'CNKT '!$C$98:$Z$162,19,0)</f>
        <v>0</v>
      </c>
      <c r="D1535" s="825">
        <v>20000</v>
      </c>
      <c r="E1535" s="823">
        <f>C1535*D1535</f>
        <v>0</v>
      </c>
      <c r="F1535" s="882"/>
      <c r="G1535" s="821" t="s">
        <v>455</v>
      </c>
      <c r="H1535" s="980" t="s">
        <v>501</v>
      </c>
      <c r="I1535" s="879">
        <f>VLOOKUP(H1526,'CNKT '!$C$98:$Z$162,19,0)</f>
        <v>0</v>
      </c>
      <c r="J1535" s="825">
        <v>20000</v>
      </c>
      <c r="K1535" s="823">
        <f>I1535*J1535</f>
        <v>0</v>
      </c>
      <c r="L1535" s="818"/>
    </row>
    <row r="1536" spans="1:12" s="31" customFormat="1" ht="17.25" customHeight="1">
      <c r="A1536" s="821" t="s">
        <v>517</v>
      </c>
      <c r="B1536" s="980" t="s">
        <v>519</v>
      </c>
      <c r="C1536" s="879"/>
      <c r="D1536" s="825"/>
      <c r="E1536" s="823"/>
      <c r="F1536" s="882"/>
      <c r="G1536" s="821" t="s">
        <v>517</v>
      </c>
      <c r="H1536" s="980" t="s">
        <v>519</v>
      </c>
      <c r="I1536" s="879"/>
      <c r="J1536" s="825"/>
      <c r="K1536" s="823"/>
      <c r="L1536" s="818"/>
    </row>
    <row r="1537" spans="1:12" s="31" customFormat="1" ht="17.25" customHeight="1">
      <c r="A1537" s="827" t="s">
        <v>81</v>
      </c>
      <c r="B1537" s="981" t="s">
        <v>564</v>
      </c>
      <c r="C1537" s="828"/>
      <c r="D1537" s="829"/>
      <c r="E1537" s="828"/>
      <c r="F1537" s="882"/>
      <c r="G1537" s="827" t="s">
        <v>81</v>
      </c>
      <c r="H1537" s="981" t="s">
        <v>564</v>
      </c>
      <c r="I1537" s="828"/>
      <c r="J1537" s="829"/>
      <c r="K1537" s="828"/>
      <c r="L1537" s="818"/>
    </row>
    <row r="1538" spans="1:12" s="31" customFormat="1" ht="17.25" customHeight="1">
      <c r="A1538" s="830" t="s">
        <v>82</v>
      </c>
      <c r="B1538" s="982" t="s">
        <v>565</v>
      </c>
      <c r="C1538" s="828"/>
      <c r="D1538" s="828"/>
      <c r="E1538" s="828"/>
      <c r="F1538" s="882"/>
      <c r="G1538" s="830" t="s">
        <v>82</v>
      </c>
      <c r="H1538" s="982" t="s">
        <v>565</v>
      </c>
      <c r="I1538" s="828"/>
      <c r="J1538" s="828"/>
      <c r="K1538" s="828"/>
      <c r="L1538" s="818"/>
    </row>
    <row r="1539" spans="1:12" s="31" customFormat="1" ht="17.25" customHeight="1">
      <c r="A1539" s="830" t="s">
        <v>83</v>
      </c>
      <c r="B1539" s="983" t="s">
        <v>566</v>
      </c>
      <c r="C1539" s="828"/>
      <c r="D1539" s="828"/>
      <c r="E1539" s="823">
        <f>SUM(E1538)</f>
        <v>0</v>
      </c>
      <c r="F1539" s="882"/>
      <c r="G1539" s="830" t="s">
        <v>83</v>
      </c>
      <c r="H1539" s="983" t="s">
        <v>566</v>
      </c>
      <c r="I1539" s="828"/>
      <c r="J1539" s="828"/>
      <c r="K1539" s="823">
        <f>SUM(K1538)</f>
        <v>0</v>
      </c>
      <c r="L1539" s="818"/>
    </row>
    <row r="1540" spans="1:12" s="31" customFormat="1" ht="17.25" customHeight="1">
      <c r="A1540" s="832" t="s">
        <v>84</v>
      </c>
      <c r="B1540" s="984" t="s">
        <v>438</v>
      </c>
      <c r="C1540" s="833"/>
      <c r="D1540" s="833"/>
      <c r="E1540" s="833">
        <f>(E1528+E1529+E1530+E1531+E1532+E1533+E1534+E1535+E1536)-E1539</f>
        <v>4827876.481109038</v>
      </c>
      <c r="F1540" s="881"/>
      <c r="G1540" s="832" t="s">
        <v>84</v>
      </c>
      <c r="H1540" s="984" t="s">
        <v>438</v>
      </c>
      <c r="I1540" s="833"/>
      <c r="J1540" s="833"/>
      <c r="K1540" s="833">
        <f>(K1528+K1529+K1530+K1531+K1532+K1533+K1534+K1535+K1536)-K1539</f>
        <v>2438262.95297276</v>
      </c>
      <c r="L1540" s="835">
        <f>E1540+K1540</f>
        <v>7266139.4340817984</v>
      </c>
    </row>
    <row r="1541" spans="1:12" s="31" customFormat="1" ht="237" customHeight="1">
      <c r="A1541" s="895"/>
      <c r="B1541" s="895"/>
      <c r="C1541" s="895"/>
      <c r="D1541" s="895"/>
      <c r="E1541" s="895"/>
      <c r="F1541" s="895"/>
      <c r="G1541" s="895"/>
      <c r="H1541" s="895"/>
      <c r="I1541" s="895"/>
      <c r="J1541" s="895"/>
      <c r="K1541" s="895"/>
      <c r="L1541" s="818"/>
    </row>
    <row r="1542" spans="1:12" s="31" customFormat="1" ht="17.25" customHeight="1">
      <c r="A1542" s="891" t="str">
        <f>A1525</f>
        <v>LƯƠNG THÁNG 01/2025</v>
      </c>
      <c r="B1542" s="895"/>
      <c r="C1542" s="895"/>
      <c r="D1542" s="895"/>
      <c r="E1542" s="904">
        <f>VLOOKUP(B1543,'CNKT '!$C$98:$AC$162,26,0)</f>
        <v>0</v>
      </c>
      <c r="F1542" s="882"/>
      <c r="G1542" s="891" t="str">
        <f>G1525</f>
        <v>LƯƠNG THÁNG 01/2025</v>
      </c>
      <c r="H1542" s="895"/>
      <c r="I1542" s="895"/>
      <c r="J1542" s="895"/>
      <c r="K1542" s="904">
        <f>VLOOKUP(H1543,'CNKT '!$C$98:$AC$162,26,0)</f>
        <v>0</v>
      </c>
      <c r="L1542" s="818"/>
    </row>
    <row r="1543" spans="1:12" s="31" customFormat="1" ht="17.25" customHeight="1">
      <c r="A1543" s="837" t="s">
        <v>17</v>
      </c>
      <c r="B1543" s="976" t="str">
        <f>'CNKT '!C104</f>
        <v>T. Bun Hinh</v>
      </c>
      <c r="C1543" s="822"/>
      <c r="D1543" s="976" t="s">
        <v>398</v>
      </c>
      <c r="E1543" s="976" t="s">
        <v>20</v>
      </c>
      <c r="F1543" s="882"/>
      <c r="G1543" s="837" t="s">
        <v>17</v>
      </c>
      <c r="H1543" s="976" t="str">
        <f>'CNKT '!C105</f>
        <v>T. Miềng</v>
      </c>
      <c r="I1543" s="822"/>
      <c r="J1543" s="976" t="s">
        <v>398</v>
      </c>
      <c r="K1543" s="976" t="s">
        <v>20</v>
      </c>
      <c r="L1543" s="818"/>
    </row>
    <row r="1544" spans="1:12" s="31" customFormat="1" ht="17.25" customHeight="1">
      <c r="A1544" s="821" t="s">
        <v>399</v>
      </c>
      <c r="B1544" s="978" t="s">
        <v>559</v>
      </c>
      <c r="C1544" s="822" t="str">
        <f>VLOOKUP(B1543,'BTH mủ tạp'!$C$98:$AL$160,36,0)</f>
        <v>A</v>
      </c>
      <c r="D1544" s="823"/>
      <c r="E1544" s="823"/>
      <c r="F1544" s="882"/>
      <c r="G1544" s="821" t="s">
        <v>399</v>
      </c>
      <c r="H1544" s="978" t="s">
        <v>559</v>
      </c>
      <c r="I1544" s="822" t="str">
        <f>VLOOKUP(H1543,'BTH mủ tạp'!$C$98:$AL$160,36,0)</f>
        <v>A</v>
      </c>
      <c r="J1544" s="823"/>
      <c r="K1544" s="823"/>
      <c r="L1544" s="818"/>
    </row>
    <row r="1545" spans="1:12" s="31" customFormat="1" ht="17.25" customHeight="1">
      <c r="A1545" s="821" t="s">
        <v>79</v>
      </c>
      <c r="B1545" s="979" t="s">
        <v>432</v>
      </c>
      <c r="C1545" s="824">
        <f>VLOOKUP(B1543,'CNKT '!$C$97:$Z$162,3,0)</f>
        <v>0</v>
      </c>
      <c r="D1545" s="825">
        <v>25000</v>
      </c>
      <c r="E1545" s="823">
        <f t="shared" ref="E1545:E1550" si="179">C1545*D1545</f>
        <v>0</v>
      </c>
      <c r="F1545" s="882"/>
      <c r="G1545" s="821" t="s">
        <v>79</v>
      </c>
      <c r="H1545" s="979" t="s">
        <v>432</v>
      </c>
      <c r="I1545" s="824">
        <f>VLOOKUP(H1543,'CNKT '!$C$97:$Z$162,3,0)</f>
        <v>0</v>
      </c>
      <c r="J1545" s="825">
        <v>25000</v>
      </c>
      <c r="K1545" s="823">
        <f t="shared" ref="K1545:K1550" si="180">I1545*J1545</f>
        <v>0</v>
      </c>
      <c r="L1545" s="818"/>
    </row>
    <row r="1546" spans="1:12" s="31" customFormat="1" ht="17.25" customHeight="1">
      <c r="A1546" s="821" t="s">
        <v>310</v>
      </c>
      <c r="B1546" s="980" t="s">
        <v>560</v>
      </c>
      <c r="C1546" s="879">
        <f>VLOOKUP(B1543,'CNKT '!$C$97:$Z$162,11,0)</f>
        <v>27</v>
      </c>
      <c r="D1546" s="826">
        <f>46.1*$B$2</f>
        <v>30805.403000000002</v>
      </c>
      <c r="E1546" s="823">
        <f t="shared" si="179"/>
        <v>831745.88100000005</v>
      </c>
      <c r="F1546" s="882"/>
      <c r="G1546" s="821" t="s">
        <v>310</v>
      </c>
      <c r="H1546" s="980" t="s">
        <v>560</v>
      </c>
      <c r="I1546" s="879">
        <f>VLOOKUP(H1543,'CNKT '!$C$97:$Z$162,11,0)</f>
        <v>26</v>
      </c>
      <c r="J1546" s="826">
        <f>46.1*$B$2</f>
        <v>30805.403000000002</v>
      </c>
      <c r="K1546" s="823">
        <f t="shared" si="180"/>
        <v>800940.478</v>
      </c>
      <c r="L1546" s="818"/>
    </row>
    <row r="1547" spans="1:12" s="31" customFormat="1" ht="17.25" customHeight="1">
      <c r="A1547" s="821" t="s">
        <v>401</v>
      </c>
      <c r="B1547" s="980" t="s">
        <v>561</v>
      </c>
      <c r="C1547" s="879">
        <f>VLOOKUP(B1543,'CNKT '!$C$97:$Z$162,12,0)</f>
        <v>4</v>
      </c>
      <c r="D1547" s="825">
        <f>76.9*$B$2</f>
        <v>51386.887000000002</v>
      </c>
      <c r="E1547" s="823">
        <f t="shared" si="179"/>
        <v>205547.54800000001</v>
      </c>
      <c r="F1547" s="882"/>
      <c r="G1547" s="821" t="s">
        <v>401</v>
      </c>
      <c r="H1547" s="980" t="s">
        <v>561</v>
      </c>
      <c r="I1547" s="879">
        <f>VLOOKUP(H1543,'CNKT '!$C$97:$Z$162,12,0)</f>
        <v>4</v>
      </c>
      <c r="J1547" s="825">
        <f>76.9*$B$2</f>
        <v>51386.887000000002</v>
      </c>
      <c r="K1547" s="823">
        <f t="shared" si="180"/>
        <v>205547.54800000001</v>
      </c>
      <c r="L1547" s="818"/>
    </row>
    <row r="1548" spans="1:12" s="31" customFormat="1" ht="17.25" customHeight="1">
      <c r="A1548" s="821" t="s">
        <v>80</v>
      </c>
      <c r="B1548" s="980" t="s">
        <v>562</v>
      </c>
      <c r="C1548" s="879">
        <f>VLOOKUP(B1543,'CNKT '!$C$97:$Z$162,8,0)</f>
        <v>1050.2295183836775</v>
      </c>
      <c r="D1548" s="825">
        <f>IF(C1544="A",6.1,IF(C1544="B",5.8,IF(C1544="C",5.5,IF(C1544="C.",5.5,IF(C1544="D",5.2)))))*$B$2</f>
        <v>4076.203</v>
      </c>
      <c r="E1548" s="823">
        <f t="shared" si="179"/>
        <v>4280948.7135241013</v>
      </c>
      <c r="F1548" s="882"/>
      <c r="G1548" s="821" t="s">
        <v>80</v>
      </c>
      <c r="H1548" s="980" t="s">
        <v>562</v>
      </c>
      <c r="I1548" s="879">
        <f>VLOOKUP(H1543,'CNKT '!$C$97:$Z$162,8,0)</f>
        <v>804.93896839367926</v>
      </c>
      <c r="J1548" s="825">
        <f>IF(I1544="A",6.1,IF(I1544="B",5.8,IF(I1544="C",5.5,IF(I1544="C.",5.5,IF(I1544="D",5.2)))))*$B$2</f>
        <v>4076.203</v>
      </c>
      <c r="K1548" s="823">
        <f t="shared" si="180"/>
        <v>3281094.6377832205</v>
      </c>
      <c r="L1548" s="818"/>
    </row>
    <row r="1549" spans="1:12" s="31" customFormat="1" ht="17.25" customHeight="1">
      <c r="A1549" s="821" t="s">
        <v>497</v>
      </c>
      <c r="B1549" s="980" t="s">
        <v>563</v>
      </c>
      <c r="C1549" s="879">
        <f>VLOOKUP(B1543,'CNKT '!$C$97:$Z$162,13,0)</f>
        <v>0</v>
      </c>
      <c r="D1549" s="826">
        <f>92.2*$B$2</f>
        <v>61610.806000000004</v>
      </c>
      <c r="E1549" s="823">
        <f t="shared" si="179"/>
        <v>0</v>
      </c>
      <c r="F1549" s="882"/>
      <c r="G1549" s="821" t="s">
        <v>497</v>
      </c>
      <c r="H1549" s="980" t="s">
        <v>563</v>
      </c>
      <c r="I1549" s="879">
        <f>VLOOKUP(H1543,'CNKT '!$C$97:$Z$162,13,0)</f>
        <v>0</v>
      </c>
      <c r="J1549" s="826">
        <f>92.2*$B$2</f>
        <v>61610.806000000004</v>
      </c>
      <c r="K1549" s="823">
        <f t="shared" si="180"/>
        <v>0</v>
      </c>
      <c r="L1549" s="818"/>
    </row>
    <row r="1550" spans="1:12" s="31" customFormat="1" ht="17.25" customHeight="1">
      <c r="A1550" s="821" t="s">
        <v>448</v>
      </c>
      <c r="B1550" s="980" t="s">
        <v>500</v>
      </c>
      <c r="C1550" s="879">
        <f>VLOOKUP(B1543,'CNKT '!$C$97:$Z$162,14,0)</f>
        <v>0</v>
      </c>
      <c r="D1550" s="825">
        <f>153.6*$B$2</f>
        <v>102640.128</v>
      </c>
      <c r="E1550" s="823">
        <f t="shared" si="179"/>
        <v>0</v>
      </c>
      <c r="F1550" s="882"/>
      <c r="G1550" s="821" t="s">
        <v>448</v>
      </c>
      <c r="H1550" s="980" t="s">
        <v>500</v>
      </c>
      <c r="I1550" s="879">
        <f>VLOOKUP(H1543,'CNKT '!$C$97:$Z$162,14,0)</f>
        <v>0</v>
      </c>
      <c r="J1550" s="825">
        <f>153.6*$B$2</f>
        <v>102640.128</v>
      </c>
      <c r="K1550" s="823">
        <f t="shared" si="180"/>
        <v>0</v>
      </c>
      <c r="L1550" s="818"/>
    </row>
    <row r="1551" spans="1:12" s="31" customFormat="1" ht="17.25" customHeight="1">
      <c r="A1551" s="821" t="s">
        <v>455</v>
      </c>
      <c r="B1551" s="980" t="s">
        <v>501</v>
      </c>
      <c r="C1551" s="879">
        <f>VLOOKUP(B1543,'CNKT '!$C$98:$Z$162,18,0)</f>
        <v>0</v>
      </c>
      <c r="D1551" s="825">
        <v>10000</v>
      </c>
      <c r="E1551" s="823">
        <f>C1551*D1551</f>
        <v>0</v>
      </c>
      <c r="F1551" s="882"/>
      <c r="G1551" s="821" t="s">
        <v>455</v>
      </c>
      <c r="H1551" s="980" t="s">
        <v>501</v>
      </c>
      <c r="I1551" s="879">
        <f>VLOOKUP(H1543,'CNKT '!$C$98:$Z$162,18,0)</f>
        <v>0</v>
      </c>
      <c r="J1551" s="825">
        <v>10000</v>
      </c>
      <c r="K1551" s="823">
        <f>I1551*J1551</f>
        <v>0</v>
      </c>
      <c r="L1551" s="818"/>
    </row>
    <row r="1552" spans="1:12" s="31" customFormat="1" ht="17.25" customHeight="1">
      <c r="A1552" s="821" t="s">
        <v>455</v>
      </c>
      <c r="B1552" s="980" t="s">
        <v>501</v>
      </c>
      <c r="C1552" s="879">
        <f>VLOOKUP(B1543,'CNKT '!$C$98:$Z$162,19,0)</f>
        <v>0</v>
      </c>
      <c r="D1552" s="825">
        <v>20000</v>
      </c>
      <c r="E1552" s="823">
        <f>C1552*D1552</f>
        <v>0</v>
      </c>
      <c r="F1552" s="882"/>
      <c r="G1552" s="821" t="s">
        <v>455</v>
      </c>
      <c r="H1552" s="980" t="s">
        <v>501</v>
      </c>
      <c r="I1552" s="879">
        <f>VLOOKUP(H1543,'CNKT '!$C$98:$Z$162,19,0)</f>
        <v>0</v>
      </c>
      <c r="J1552" s="825">
        <v>20000</v>
      </c>
      <c r="K1552" s="823">
        <f>I1552*J1552</f>
        <v>0</v>
      </c>
      <c r="L1552" s="818"/>
    </row>
    <row r="1553" spans="1:12" s="31" customFormat="1" ht="17.25" customHeight="1">
      <c r="A1553" s="821" t="s">
        <v>517</v>
      </c>
      <c r="B1553" s="980" t="s">
        <v>519</v>
      </c>
      <c r="C1553" s="879"/>
      <c r="D1553" s="825"/>
      <c r="E1553" s="823"/>
      <c r="F1553" s="882"/>
      <c r="G1553" s="821" t="s">
        <v>517</v>
      </c>
      <c r="H1553" s="980" t="s">
        <v>519</v>
      </c>
      <c r="I1553" s="879"/>
      <c r="J1553" s="825"/>
      <c r="K1553" s="823"/>
      <c r="L1553" s="818"/>
    </row>
    <row r="1554" spans="1:12" s="31" customFormat="1" ht="17.25" customHeight="1">
      <c r="A1554" s="827" t="s">
        <v>81</v>
      </c>
      <c r="B1554" s="981" t="s">
        <v>564</v>
      </c>
      <c r="C1554" s="828"/>
      <c r="D1554" s="829"/>
      <c r="E1554" s="828"/>
      <c r="F1554" s="882"/>
      <c r="G1554" s="827" t="s">
        <v>81</v>
      </c>
      <c r="H1554" s="981" t="s">
        <v>564</v>
      </c>
      <c r="I1554" s="828"/>
      <c r="J1554" s="829"/>
      <c r="K1554" s="828"/>
      <c r="L1554" s="818"/>
    </row>
    <row r="1555" spans="1:12" s="31" customFormat="1" ht="17.25" customHeight="1">
      <c r="A1555" s="830" t="s">
        <v>82</v>
      </c>
      <c r="B1555" s="982" t="s">
        <v>565</v>
      </c>
      <c r="C1555" s="828"/>
      <c r="D1555" s="828"/>
      <c r="E1555" s="828"/>
      <c r="F1555" s="882"/>
      <c r="G1555" s="830" t="s">
        <v>82</v>
      </c>
      <c r="H1555" s="982" t="s">
        <v>565</v>
      </c>
      <c r="I1555" s="828"/>
      <c r="J1555" s="828"/>
      <c r="K1555" s="828"/>
      <c r="L1555" s="818"/>
    </row>
    <row r="1556" spans="1:12" s="31" customFormat="1" ht="17.25" customHeight="1">
      <c r="A1556" s="830" t="s">
        <v>83</v>
      </c>
      <c r="B1556" s="983" t="s">
        <v>566</v>
      </c>
      <c r="C1556" s="828"/>
      <c r="D1556" s="828"/>
      <c r="E1556" s="823">
        <f>SUM(E1555)</f>
        <v>0</v>
      </c>
      <c r="F1556" s="882"/>
      <c r="G1556" s="830" t="s">
        <v>83</v>
      </c>
      <c r="H1556" s="983" t="s">
        <v>566</v>
      </c>
      <c r="I1556" s="828"/>
      <c r="J1556" s="828"/>
      <c r="K1556" s="823">
        <f>SUM(K1555)</f>
        <v>0</v>
      </c>
      <c r="L1556" s="818"/>
    </row>
    <row r="1557" spans="1:12" s="31" customFormat="1" ht="17.25" customHeight="1">
      <c r="A1557" s="832" t="s">
        <v>84</v>
      </c>
      <c r="B1557" s="984" t="s">
        <v>438</v>
      </c>
      <c r="C1557" s="833"/>
      <c r="D1557" s="833"/>
      <c r="E1557" s="833">
        <f>(E1545+E1546+E1547+E1548+E1549+E1550+E1551+E1552+E1553)-E1556</f>
        <v>5318242.1425241008</v>
      </c>
      <c r="F1557" s="869"/>
      <c r="G1557" s="832" t="s">
        <v>84</v>
      </c>
      <c r="H1557" s="984" t="s">
        <v>438</v>
      </c>
      <c r="I1557" s="833"/>
      <c r="J1557" s="833"/>
      <c r="K1557" s="833">
        <f>(K1545+K1546+K1547+K1548+K1549+K1550+K1551+K1552+K1553)-K1556</f>
        <v>4287582.6637832206</v>
      </c>
      <c r="L1557" s="835">
        <f>E1557+K1557</f>
        <v>9605824.8063073214</v>
      </c>
    </row>
    <row r="1558" spans="1:12" s="31" customFormat="1" ht="17.25" customHeight="1">
      <c r="A1558" s="895"/>
      <c r="B1558" s="895"/>
      <c r="C1558" s="895"/>
      <c r="D1558" s="895"/>
      <c r="E1558" s="895"/>
      <c r="F1558" s="895"/>
      <c r="G1558" s="895"/>
      <c r="H1558" s="895"/>
      <c r="I1558" s="895"/>
      <c r="J1558" s="895"/>
      <c r="K1558" s="895"/>
      <c r="L1558" s="818"/>
    </row>
    <row r="1559" spans="1:12" s="31" customFormat="1" ht="17.25" customHeight="1">
      <c r="A1559" s="891" t="str">
        <f>A1542</f>
        <v>LƯƠNG THÁNG 01/2025</v>
      </c>
      <c r="B1559" s="895"/>
      <c r="C1559" s="895"/>
      <c r="D1559" s="895"/>
      <c r="E1559" s="904">
        <f>VLOOKUP(B1560,'CNKT '!$C$98:$AC$162,26,0)</f>
        <v>0</v>
      </c>
      <c r="F1559" s="882"/>
      <c r="G1559" s="891" t="str">
        <f>A1559</f>
        <v>LƯƠNG THÁNG 01/2025</v>
      </c>
      <c r="H1559" s="895"/>
      <c r="I1559" s="895"/>
      <c r="J1559" s="898"/>
      <c r="K1559" s="904">
        <f>VLOOKUP(H1560,'CNKT '!$C$98:$AC$162,26,0)</f>
        <v>0</v>
      </c>
      <c r="L1559" s="818"/>
    </row>
    <row r="1560" spans="1:12" s="31" customFormat="1" ht="17.25" customHeight="1">
      <c r="A1560" s="837" t="s">
        <v>17</v>
      </c>
      <c r="B1560" s="976" t="str">
        <f>'CNKT '!C106</f>
        <v>N. Xúc</v>
      </c>
      <c r="C1560" s="822"/>
      <c r="D1560" s="976" t="s">
        <v>398</v>
      </c>
      <c r="E1560" s="976" t="s">
        <v>20</v>
      </c>
      <c r="F1560" s="882"/>
      <c r="G1560" s="837" t="s">
        <v>17</v>
      </c>
      <c r="H1560" s="976" t="str">
        <f>'CNKT '!C107</f>
        <v>N. Lẹ</v>
      </c>
      <c r="I1560" s="822"/>
      <c r="J1560" s="976" t="s">
        <v>398</v>
      </c>
      <c r="K1560" s="976" t="s">
        <v>20</v>
      </c>
      <c r="L1560" s="818"/>
    </row>
    <row r="1561" spans="1:12" s="31" customFormat="1" ht="17.25" customHeight="1">
      <c r="A1561" s="821" t="s">
        <v>399</v>
      </c>
      <c r="B1561" s="978" t="s">
        <v>559</v>
      </c>
      <c r="C1561" s="822" t="str">
        <f>VLOOKUP(B1560,'BTH mủ tạp'!$C$98:$AL$160,36,0)</f>
        <v>B</v>
      </c>
      <c r="D1561" s="823"/>
      <c r="E1561" s="823"/>
      <c r="F1561" s="882"/>
      <c r="G1561" s="821" t="s">
        <v>399</v>
      </c>
      <c r="H1561" s="978" t="s">
        <v>559</v>
      </c>
      <c r="I1561" s="822" t="str">
        <f>VLOOKUP(H1560,'BTH mủ tạp'!$C$98:$AL$160,36,0)</f>
        <v>A</v>
      </c>
      <c r="J1561" s="823"/>
      <c r="K1561" s="823"/>
      <c r="L1561" s="818"/>
    </row>
    <row r="1562" spans="1:12" s="31" customFormat="1" ht="17.25" customHeight="1">
      <c r="A1562" s="821" t="s">
        <v>79</v>
      </c>
      <c r="B1562" s="979" t="s">
        <v>432</v>
      </c>
      <c r="C1562" s="824">
        <f>VLOOKUP(B1560,'CNKT '!$C$97:$Z$162,3,0)</f>
        <v>0</v>
      </c>
      <c r="D1562" s="825">
        <v>25000</v>
      </c>
      <c r="E1562" s="823">
        <f t="shared" ref="E1562:E1567" si="181">C1562*D1562</f>
        <v>0</v>
      </c>
      <c r="F1562" s="882"/>
      <c r="G1562" s="821" t="s">
        <v>79</v>
      </c>
      <c r="H1562" s="979" t="s">
        <v>432</v>
      </c>
      <c r="I1562" s="824">
        <f>VLOOKUP(H1560,'CNKT '!$C$97:$Z$162,3,0)</f>
        <v>0</v>
      </c>
      <c r="J1562" s="825">
        <v>25000</v>
      </c>
      <c r="K1562" s="823">
        <f t="shared" ref="K1562:K1567" si="182">I1562*J1562</f>
        <v>0</v>
      </c>
      <c r="L1562" s="818"/>
    </row>
    <row r="1563" spans="1:12" s="31" customFormat="1" ht="17.25" customHeight="1">
      <c r="A1563" s="821" t="s">
        <v>310</v>
      </c>
      <c r="B1563" s="980" t="s">
        <v>560</v>
      </c>
      <c r="C1563" s="879">
        <f>VLOOKUP(B1560,'CNKT '!$C$97:$Z$162,11,0)</f>
        <v>27</v>
      </c>
      <c r="D1563" s="826">
        <f>46.1*$B$2</f>
        <v>30805.403000000002</v>
      </c>
      <c r="E1563" s="823">
        <f t="shared" si="181"/>
        <v>831745.88100000005</v>
      </c>
      <c r="F1563" s="882"/>
      <c r="G1563" s="821" t="s">
        <v>310</v>
      </c>
      <c r="H1563" s="980" t="s">
        <v>560</v>
      </c>
      <c r="I1563" s="879">
        <f>VLOOKUP(H1560,'CNKT '!$C$97:$Z$162,11,0)</f>
        <v>26</v>
      </c>
      <c r="J1563" s="826">
        <f>46.1*$B$2</f>
        <v>30805.403000000002</v>
      </c>
      <c r="K1563" s="823">
        <f t="shared" si="182"/>
        <v>800940.478</v>
      </c>
      <c r="L1563" s="818"/>
    </row>
    <row r="1564" spans="1:12" s="31" customFormat="1" ht="17.25" customHeight="1">
      <c r="A1564" s="821" t="s">
        <v>401</v>
      </c>
      <c r="B1564" s="980" t="s">
        <v>561</v>
      </c>
      <c r="C1564" s="879">
        <f>VLOOKUP(B1560,'CNKT '!$C$97:$Z$162,12,0)</f>
        <v>4</v>
      </c>
      <c r="D1564" s="825">
        <f>76.9*$B$2</f>
        <v>51386.887000000002</v>
      </c>
      <c r="E1564" s="823">
        <f t="shared" si="181"/>
        <v>205547.54800000001</v>
      </c>
      <c r="F1564" s="882"/>
      <c r="G1564" s="821" t="s">
        <v>401</v>
      </c>
      <c r="H1564" s="980" t="s">
        <v>561</v>
      </c>
      <c r="I1564" s="879">
        <f>VLOOKUP(H1560,'CNKT '!$C$97:$Z$162,12,0)</f>
        <v>4</v>
      </c>
      <c r="J1564" s="825">
        <f>76.9*$B$2</f>
        <v>51386.887000000002</v>
      </c>
      <c r="K1564" s="823">
        <f t="shared" si="182"/>
        <v>205547.54800000001</v>
      </c>
      <c r="L1564" s="818"/>
    </row>
    <row r="1565" spans="1:12" s="31" customFormat="1" ht="17.25" customHeight="1">
      <c r="A1565" s="821" t="s">
        <v>80</v>
      </c>
      <c r="B1565" s="980" t="s">
        <v>562</v>
      </c>
      <c r="C1565" s="879">
        <f>VLOOKUP(B1560,'CNKT '!$C$97:$Z$162,8,0)</f>
        <v>1071.5591314262861</v>
      </c>
      <c r="D1565" s="825">
        <f>IF(C1561="A",6.1,IF(C1561="B",5.8,IF(C1561="C",5.5,IF(C1561="C.",5.5,IF(C1561="D",5.2)))))*$B$2</f>
        <v>3875.7339999999999</v>
      </c>
      <c r="E1565" s="823">
        <f t="shared" si="181"/>
        <v>4153078.1586793251</v>
      </c>
      <c r="F1565" s="882"/>
      <c r="G1565" s="821" t="s">
        <v>80</v>
      </c>
      <c r="H1565" s="980" t="s">
        <v>562</v>
      </c>
      <c r="I1565" s="879">
        <f>VLOOKUP(H1560,'CNKT '!$C$97:$Z$162,8,0)</f>
        <v>697.78305525105065</v>
      </c>
      <c r="J1565" s="825">
        <f>IF(I1561="A",6.1,IF(I1561="B",5.8,IF(I1561="C",5.5,IF(I1561="C.",5.5,IF(I1561="D",5.2)))))*$B$2</f>
        <v>4076.203</v>
      </c>
      <c r="K1565" s="823">
        <f t="shared" si="182"/>
        <v>2844305.3831634982</v>
      </c>
      <c r="L1565" s="818"/>
    </row>
    <row r="1566" spans="1:12" s="31" customFormat="1" ht="17.25" customHeight="1">
      <c r="A1566" s="821" t="s">
        <v>497</v>
      </c>
      <c r="B1566" s="980" t="s">
        <v>563</v>
      </c>
      <c r="C1566" s="879">
        <f>VLOOKUP(B1560,'CNKT '!$C$97:$Z$162,13,0)</f>
        <v>0</v>
      </c>
      <c r="D1566" s="826">
        <f>92.2*$B$2</f>
        <v>61610.806000000004</v>
      </c>
      <c r="E1566" s="823">
        <f t="shared" si="181"/>
        <v>0</v>
      </c>
      <c r="F1566" s="882"/>
      <c r="G1566" s="821" t="s">
        <v>497</v>
      </c>
      <c r="H1566" s="980" t="s">
        <v>563</v>
      </c>
      <c r="I1566" s="879">
        <f>VLOOKUP(H1560,'CNKT '!$C$97:$Z$162,13,0)</f>
        <v>0</v>
      </c>
      <c r="J1566" s="826">
        <f>92.2*$B$2</f>
        <v>61610.806000000004</v>
      </c>
      <c r="K1566" s="823">
        <f t="shared" si="182"/>
        <v>0</v>
      </c>
      <c r="L1566" s="818"/>
    </row>
    <row r="1567" spans="1:12" s="31" customFormat="1" ht="17.25" customHeight="1">
      <c r="A1567" s="821" t="s">
        <v>448</v>
      </c>
      <c r="B1567" s="980" t="s">
        <v>500</v>
      </c>
      <c r="C1567" s="879">
        <f>VLOOKUP(B1560,'CNKT '!$C$97:$Z$162,14,0)</f>
        <v>0</v>
      </c>
      <c r="D1567" s="825">
        <f>153.6*$B$2</f>
        <v>102640.128</v>
      </c>
      <c r="E1567" s="823">
        <f t="shared" si="181"/>
        <v>0</v>
      </c>
      <c r="F1567" s="882"/>
      <c r="G1567" s="821" t="s">
        <v>448</v>
      </c>
      <c r="H1567" s="980" t="s">
        <v>500</v>
      </c>
      <c r="I1567" s="879">
        <f>VLOOKUP(H1560,'CNKT '!$C$97:$Z$162,14,0)</f>
        <v>0</v>
      </c>
      <c r="J1567" s="825">
        <f>153.6*$B$2</f>
        <v>102640.128</v>
      </c>
      <c r="K1567" s="823">
        <f t="shared" si="182"/>
        <v>0</v>
      </c>
      <c r="L1567" s="818"/>
    </row>
    <row r="1568" spans="1:12" s="31" customFormat="1" ht="17.25" customHeight="1">
      <c r="A1568" s="821" t="s">
        <v>455</v>
      </c>
      <c r="B1568" s="980" t="s">
        <v>501</v>
      </c>
      <c r="C1568" s="879">
        <f>VLOOKUP(B1560,'CNKT '!$C$98:$Z$162,18,0)</f>
        <v>0</v>
      </c>
      <c r="D1568" s="825">
        <v>10000</v>
      </c>
      <c r="E1568" s="823">
        <f>C1568*D1568</f>
        <v>0</v>
      </c>
      <c r="F1568" s="882"/>
      <c r="G1568" s="821" t="s">
        <v>455</v>
      </c>
      <c r="H1568" s="980" t="s">
        <v>501</v>
      </c>
      <c r="I1568" s="879">
        <f>VLOOKUP(H1560,'CNKT '!$C$98:$Z$162,18,0)</f>
        <v>0</v>
      </c>
      <c r="J1568" s="825">
        <v>10000</v>
      </c>
      <c r="K1568" s="823">
        <f>I1568*J1568</f>
        <v>0</v>
      </c>
      <c r="L1568" s="818"/>
    </row>
    <row r="1569" spans="1:12" s="31" customFormat="1" ht="17.25" customHeight="1">
      <c r="A1569" s="821" t="s">
        <v>455</v>
      </c>
      <c r="B1569" s="980" t="s">
        <v>501</v>
      </c>
      <c r="C1569" s="879">
        <f>VLOOKUP(B1560,'CNKT '!$C$98:$Z$162,19,0)</f>
        <v>0</v>
      </c>
      <c r="D1569" s="825">
        <v>20000</v>
      </c>
      <c r="E1569" s="823">
        <f>C1569*D1569</f>
        <v>0</v>
      </c>
      <c r="F1569" s="882"/>
      <c r="G1569" s="821" t="s">
        <v>455</v>
      </c>
      <c r="H1569" s="980" t="s">
        <v>501</v>
      </c>
      <c r="I1569" s="879">
        <f>VLOOKUP(H1560,'CNKT '!$C$98:$Z$162,19,0)</f>
        <v>0</v>
      </c>
      <c r="J1569" s="825">
        <v>20000</v>
      </c>
      <c r="K1569" s="823">
        <f>I1569*J1569</f>
        <v>0</v>
      </c>
      <c r="L1569" s="818"/>
    </row>
    <row r="1570" spans="1:12" s="31" customFormat="1" ht="17.25" customHeight="1">
      <c r="A1570" s="821" t="s">
        <v>517</v>
      </c>
      <c r="B1570" s="980" t="s">
        <v>519</v>
      </c>
      <c r="C1570" s="879"/>
      <c r="D1570" s="825"/>
      <c r="E1570" s="823"/>
      <c r="F1570" s="882"/>
      <c r="G1570" s="821" t="s">
        <v>517</v>
      </c>
      <c r="H1570" s="980" t="s">
        <v>519</v>
      </c>
      <c r="I1570" s="879"/>
      <c r="J1570" s="825"/>
      <c r="K1570" s="823"/>
      <c r="L1570" s="818"/>
    </row>
    <row r="1571" spans="1:12" s="31" customFormat="1" ht="17.25" customHeight="1">
      <c r="A1571" s="827" t="s">
        <v>81</v>
      </c>
      <c r="B1571" s="981" t="s">
        <v>564</v>
      </c>
      <c r="C1571" s="828"/>
      <c r="D1571" s="829"/>
      <c r="E1571" s="828"/>
      <c r="F1571" s="882"/>
      <c r="G1571" s="827" t="s">
        <v>81</v>
      </c>
      <c r="H1571" s="981" t="s">
        <v>564</v>
      </c>
      <c r="I1571" s="828"/>
      <c r="J1571" s="829"/>
      <c r="K1571" s="828"/>
      <c r="L1571" s="818"/>
    </row>
    <row r="1572" spans="1:12" s="31" customFormat="1" ht="17.25" customHeight="1">
      <c r="A1572" s="830" t="s">
        <v>82</v>
      </c>
      <c r="B1572" s="982" t="s">
        <v>565</v>
      </c>
      <c r="C1572" s="828"/>
      <c r="D1572" s="828"/>
      <c r="E1572" s="828"/>
      <c r="F1572" s="882"/>
      <c r="G1572" s="830" t="s">
        <v>82</v>
      </c>
      <c r="H1572" s="982" t="s">
        <v>565</v>
      </c>
      <c r="I1572" s="828"/>
      <c r="J1572" s="828"/>
      <c r="K1572" s="828"/>
      <c r="L1572" s="818"/>
    </row>
    <row r="1573" spans="1:12" s="31" customFormat="1" ht="17.25" customHeight="1">
      <c r="A1573" s="830" t="s">
        <v>83</v>
      </c>
      <c r="B1573" s="983" t="s">
        <v>566</v>
      </c>
      <c r="C1573" s="828"/>
      <c r="D1573" s="828"/>
      <c r="E1573" s="823">
        <f>SUM(E1572)</f>
        <v>0</v>
      </c>
      <c r="F1573" s="882"/>
      <c r="G1573" s="830" t="s">
        <v>83</v>
      </c>
      <c r="H1573" s="983" t="s">
        <v>566</v>
      </c>
      <c r="I1573" s="828"/>
      <c r="J1573" s="828"/>
      <c r="K1573" s="823">
        <f>SUM(K1572)</f>
        <v>0</v>
      </c>
      <c r="L1573" s="818"/>
    </row>
    <row r="1574" spans="1:12" s="31" customFormat="1" ht="17.25" customHeight="1">
      <c r="A1574" s="832" t="s">
        <v>84</v>
      </c>
      <c r="B1574" s="984" t="s">
        <v>438</v>
      </c>
      <c r="C1574" s="833"/>
      <c r="D1574" s="833"/>
      <c r="E1574" s="833">
        <f>(E1562+E1563+E1564+E1565+E1566+E1567+E1568+E1569+E1570)-E1573</f>
        <v>5190371.5876793247</v>
      </c>
      <c r="F1574" s="882"/>
      <c r="G1574" s="832" t="s">
        <v>84</v>
      </c>
      <c r="H1574" s="984" t="s">
        <v>438</v>
      </c>
      <c r="I1574" s="833"/>
      <c r="J1574" s="833"/>
      <c r="K1574" s="833">
        <f>(K1562+K1563+K1564+K1565+K1566+K1567+K1568+K1569+K1570)-K1573</f>
        <v>3850793.4091634983</v>
      </c>
      <c r="L1574" s="835">
        <f>E1574+K1574</f>
        <v>9041164.9968428239</v>
      </c>
    </row>
    <row r="1575" spans="1:12" s="31" customFormat="1" ht="17.25" customHeight="1">
      <c r="A1575" s="895"/>
      <c r="B1575" s="895"/>
      <c r="C1575" s="895"/>
      <c r="D1575" s="895"/>
      <c r="E1575" s="895"/>
      <c r="F1575" s="895"/>
      <c r="G1575" s="895"/>
      <c r="H1575" s="895"/>
      <c r="I1575" s="895"/>
      <c r="J1575" s="895"/>
      <c r="K1575" s="895"/>
      <c r="L1575" s="818"/>
    </row>
    <row r="1576" spans="1:12" s="31" customFormat="1" ht="17.25" customHeight="1">
      <c r="A1576" s="891" t="str">
        <f>A1559</f>
        <v>LƯƠNG THÁNG 01/2025</v>
      </c>
      <c r="B1576" s="895"/>
      <c r="C1576" s="895"/>
      <c r="D1576" s="895"/>
      <c r="E1576" s="904">
        <f>VLOOKUP(B1577,'CNKT '!$C$98:$AC$162,26,0)</f>
        <v>0</v>
      </c>
      <c r="F1576" s="882"/>
      <c r="G1576" s="891" t="str">
        <f>A1576</f>
        <v>LƯƠNG THÁNG 01/2025</v>
      </c>
      <c r="H1576" s="895"/>
      <c r="I1576" s="895"/>
      <c r="J1576" s="898"/>
      <c r="K1576" s="904">
        <f>VLOOKUP(H1577,'CNKT '!$C$98:$AC$162,26,0)</f>
        <v>0</v>
      </c>
      <c r="L1576" s="818"/>
    </row>
    <row r="1577" spans="1:12" s="31" customFormat="1" ht="17.25" customHeight="1">
      <c r="A1577" s="837" t="s">
        <v>17</v>
      </c>
      <c r="B1577" s="976" t="str">
        <f>'CNKT '!C108</f>
        <v>N . Thích</v>
      </c>
      <c r="C1577" s="822"/>
      <c r="D1577" s="976" t="s">
        <v>398</v>
      </c>
      <c r="E1577" s="976" t="s">
        <v>20</v>
      </c>
      <c r="F1577" s="882"/>
      <c r="G1577" s="837" t="s">
        <v>17</v>
      </c>
      <c r="H1577" s="976" t="str">
        <f>'CNKT '!C109</f>
        <v>N. Cong Mi</v>
      </c>
      <c r="I1577" s="822"/>
      <c r="J1577" s="976" t="s">
        <v>398</v>
      </c>
      <c r="K1577" s="976" t="s">
        <v>20</v>
      </c>
      <c r="L1577" s="818"/>
    </row>
    <row r="1578" spans="1:12" s="31" customFormat="1" ht="17.25" customHeight="1">
      <c r="A1578" s="821" t="s">
        <v>399</v>
      </c>
      <c r="B1578" s="978" t="s">
        <v>559</v>
      </c>
      <c r="C1578" s="822" t="str">
        <f>VLOOKUP(B1577,'BTH mủ tạp'!$C$98:$AL$160,36,0)</f>
        <v>A</v>
      </c>
      <c r="D1578" s="823"/>
      <c r="E1578" s="823"/>
      <c r="F1578" s="882"/>
      <c r="G1578" s="821" t="s">
        <v>399</v>
      </c>
      <c r="H1578" s="978" t="s">
        <v>559</v>
      </c>
      <c r="I1578" s="822" t="str">
        <f>VLOOKUP(H1577,'BTH mủ tạp'!$C$98:$AL$160,36,0)</f>
        <v>A</v>
      </c>
      <c r="J1578" s="823"/>
      <c r="K1578" s="823"/>
      <c r="L1578" s="818"/>
    </row>
    <row r="1579" spans="1:12" s="31" customFormat="1" ht="17.25" customHeight="1">
      <c r="A1579" s="821" t="s">
        <v>79</v>
      </c>
      <c r="B1579" s="979" t="s">
        <v>432</v>
      </c>
      <c r="C1579" s="824">
        <f>VLOOKUP(B1577,'CNKT '!$C$97:$Z$162,3,0)</f>
        <v>0</v>
      </c>
      <c r="D1579" s="825">
        <v>25000</v>
      </c>
      <c r="E1579" s="823">
        <f t="shared" ref="E1579:E1584" si="183">C1579*D1579</f>
        <v>0</v>
      </c>
      <c r="F1579" s="882"/>
      <c r="G1579" s="821" t="s">
        <v>79</v>
      </c>
      <c r="H1579" s="979" t="s">
        <v>432</v>
      </c>
      <c r="I1579" s="824">
        <f>VLOOKUP(H1577,'CNKT '!$C$97:$Z$162,3,0)</f>
        <v>0</v>
      </c>
      <c r="J1579" s="825">
        <v>25000</v>
      </c>
      <c r="K1579" s="823">
        <f t="shared" ref="K1579:K1584" si="184">I1579*J1579</f>
        <v>0</v>
      </c>
      <c r="L1579" s="818"/>
    </row>
    <row r="1580" spans="1:12" s="31" customFormat="1" ht="17.25" customHeight="1">
      <c r="A1580" s="821" t="s">
        <v>310</v>
      </c>
      <c r="B1580" s="980" t="s">
        <v>560</v>
      </c>
      <c r="C1580" s="879">
        <f>VLOOKUP(B1577,'CNKT '!$C$97:$Z$162,11,0)</f>
        <v>26</v>
      </c>
      <c r="D1580" s="826">
        <f>46.1*$B$2</f>
        <v>30805.403000000002</v>
      </c>
      <c r="E1580" s="823">
        <f t="shared" si="183"/>
        <v>800940.478</v>
      </c>
      <c r="F1580" s="882"/>
      <c r="G1580" s="821" t="s">
        <v>310</v>
      </c>
      <c r="H1580" s="980" t="s">
        <v>560</v>
      </c>
      <c r="I1580" s="879">
        <f>VLOOKUP(H1577,'CNKT '!$C$97:$Z$162,11,0)</f>
        <v>27</v>
      </c>
      <c r="J1580" s="826">
        <f>46.1*$B$2</f>
        <v>30805.403000000002</v>
      </c>
      <c r="K1580" s="823">
        <f t="shared" si="184"/>
        <v>831745.88100000005</v>
      </c>
      <c r="L1580" s="818"/>
    </row>
    <row r="1581" spans="1:12" s="31" customFormat="1" ht="17.25" customHeight="1">
      <c r="A1581" s="821" t="s">
        <v>401</v>
      </c>
      <c r="B1581" s="980" t="s">
        <v>561</v>
      </c>
      <c r="C1581" s="879">
        <f>VLOOKUP(B1577,'CNKT '!$C$97:$Z$162,12,0)</f>
        <v>4</v>
      </c>
      <c r="D1581" s="825">
        <f>76.9*$B$2</f>
        <v>51386.887000000002</v>
      </c>
      <c r="E1581" s="823">
        <f t="shared" si="183"/>
        <v>205547.54800000001</v>
      </c>
      <c r="F1581" s="882"/>
      <c r="G1581" s="821" t="s">
        <v>401</v>
      </c>
      <c r="H1581" s="980" t="s">
        <v>561</v>
      </c>
      <c r="I1581" s="879">
        <f>VLOOKUP(H1577,'CNKT '!$C$97:$Z$162,12,0)</f>
        <v>4</v>
      </c>
      <c r="J1581" s="825">
        <f>76.9*$B$2</f>
        <v>51386.887000000002</v>
      </c>
      <c r="K1581" s="823">
        <f t="shared" si="184"/>
        <v>205547.54800000001</v>
      </c>
      <c r="L1581" s="818"/>
    </row>
    <row r="1582" spans="1:12" s="31" customFormat="1" ht="17.25" customHeight="1">
      <c r="A1582" s="821" t="s">
        <v>80</v>
      </c>
      <c r="B1582" s="980" t="s">
        <v>562</v>
      </c>
      <c r="C1582" s="879">
        <f>VLOOKUP(B1577,'CNKT '!$C$97:$Z$162,8,0)</f>
        <v>880.60830990198099</v>
      </c>
      <c r="D1582" s="825">
        <f>IF(C1578="A",6.1,IF(C1578="B",5.8,IF(C1578="C",5.5,IF(C1578="C.",5.5,IF(C1578="D",5.2)))))*$B$2</f>
        <v>4076.203</v>
      </c>
      <c r="E1582" s="823">
        <f t="shared" si="183"/>
        <v>3589538.2346473844</v>
      </c>
      <c r="F1582" s="882"/>
      <c r="G1582" s="821" t="s">
        <v>80</v>
      </c>
      <c r="H1582" s="980" t="s">
        <v>562</v>
      </c>
      <c r="I1582" s="879">
        <f>VLOOKUP(H1577,'CNKT '!$C$97:$Z$162,8,0)</f>
        <v>1016.7115550310068</v>
      </c>
      <c r="J1582" s="825">
        <f>IF(I1578="A",6.1,IF(I1578="B",5.8,IF(I1578="C",5.5,IF(I1578="C.",5.5,IF(I1578="D",5.2)))))*$B$2</f>
        <v>4076.203</v>
      </c>
      <c r="K1582" s="823">
        <f t="shared" si="184"/>
        <v>4144322.690752055</v>
      </c>
      <c r="L1582" s="818"/>
    </row>
    <row r="1583" spans="1:12" s="31" customFormat="1" ht="17.25" customHeight="1">
      <c r="A1583" s="821" t="s">
        <v>497</v>
      </c>
      <c r="B1583" s="980" t="s">
        <v>563</v>
      </c>
      <c r="C1583" s="879">
        <f>VLOOKUP(B1577,'CNKT '!$C$97:$Z$162,13,0)</f>
        <v>0</v>
      </c>
      <c r="D1583" s="826">
        <f>92.2*$B$2</f>
        <v>61610.806000000004</v>
      </c>
      <c r="E1583" s="823">
        <f t="shared" si="183"/>
        <v>0</v>
      </c>
      <c r="F1583" s="882"/>
      <c r="G1583" s="821" t="s">
        <v>497</v>
      </c>
      <c r="H1583" s="980" t="s">
        <v>563</v>
      </c>
      <c r="I1583" s="879">
        <f>VLOOKUP(H1577,'CNKT '!$C$97:$Z$162,13,0)</f>
        <v>0</v>
      </c>
      <c r="J1583" s="826">
        <f>92.2*$B$2</f>
        <v>61610.806000000004</v>
      </c>
      <c r="K1583" s="823">
        <f t="shared" si="184"/>
        <v>0</v>
      </c>
      <c r="L1583" s="818"/>
    </row>
    <row r="1584" spans="1:12" s="31" customFormat="1" ht="17.25" customHeight="1">
      <c r="A1584" s="821" t="s">
        <v>448</v>
      </c>
      <c r="B1584" s="980" t="s">
        <v>500</v>
      </c>
      <c r="C1584" s="879">
        <f>VLOOKUP(B1577,'CNKT '!$C$97:$Z$162,14,0)</f>
        <v>0</v>
      </c>
      <c r="D1584" s="825">
        <f>153.6*$B$2</f>
        <v>102640.128</v>
      </c>
      <c r="E1584" s="823">
        <f t="shared" si="183"/>
        <v>0</v>
      </c>
      <c r="F1584" s="882"/>
      <c r="G1584" s="821" t="s">
        <v>448</v>
      </c>
      <c r="H1584" s="980" t="s">
        <v>500</v>
      </c>
      <c r="I1584" s="879">
        <f>VLOOKUP(H1577,'CNKT '!$C$97:$Z$162,14,0)</f>
        <v>0</v>
      </c>
      <c r="J1584" s="825">
        <f>153.6*$B$2</f>
        <v>102640.128</v>
      </c>
      <c r="K1584" s="823">
        <f t="shared" si="184"/>
        <v>0</v>
      </c>
      <c r="L1584" s="818"/>
    </row>
    <row r="1585" spans="1:12" s="31" customFormat="1" ht="17.25" customHeight="1">
      <c r="A1585" s="821" t="s">
        <v>455</v>
      </c>
      <c r="B1585" s="980" t="s">
        <v>501</v>
      </c>
      <c r="C1585" s="879">
        <f>VLOOKUP(B1577,'CNKT '!$C$98:$Z$162,18,0)</f>
        <v>0</v>
      </c>
      <c r="D1585" s="825">
        <v>10000</v>
      </c>
      <c r="E1585" s="823">
        <f>C1585*D1585</f>
        <v>0</v>
      </c>
      <c r="F1585" s="882"/>
      <c r="G1585" s="821" t="s">
        <v>455</v>
      </c>
      <c r="H1585" s="980" t="s">
        <v>501</v>
      </c>
      <c r="I1585" s="879">
        <f>VLOOKUP(H1577,'CNKT '!$C$98:$Z$162,18,0)</f>
        <v>0</v>
      </c>
      <c r="J1585" s="825">
        <v>10000</v>
      </c>
      <c r="K1585" s="823">
        <f>I1585*J1585</f>
        <v>0</v>
      </c>
      <c r="L1585" s="818"/>
    </row>
    <row r="1586" spans="1:12" s="31" customFormat="1" ht="17.25" customHeight="1">
      <c r="A1586" s="821" t="s">
        <v>455</v>
      </c>
      <c r="B1586" s="980" t="s">
        <v>501</v>
      </c>
      <c r="C1586" s="879">
        <f>VLOOKUP(B1577,'CNKT '!$C$98:$Z$162,19,0)</f>
        <v>0</v>
      </c>
      <c r="D1586" s="825">
        <v>20000</v>
      </c>
      <c r="E1586" s="823">
        <f>C1586*D1586</f>
        <v>0</v>
      </c>
      <c r="F1586" s="882"/>
      <c r="G1586" s="821" t="s">
        <v>455</v>
      </c>
      <c r="H1586" s="980" t="s">
        <v>501</v>
      </c>
      <c r="I1586" s="879">
        <f>VLOOKUP(H1577,'CNKT '!$C$98:$Z$162,19,0)</f>
        <v>0</v>
      </c>
      <c r="J1586" s="825">
        <v>20000</v>
      </c>
      <c r="K1586" s="823">
        <f>I1586*J1586</f>
        <v>0</v>
      </c>
      <c r="L1586" s="818"/>
    </row>
    <row r="1587" spans="1:12" s="31" customFormat="1" ht="17.25" customHeight="1">
      <c r="A1587" s="821" t="s">
        <v>517</v>
      </c>
      <c r="B1587" s="980" t="s">
        <v>519</v>
      </c>
      <c r="C1587" s="879"/>
      <c r="D1587" s="825"/>
      <c r="E1587" s="823"/>
      <c r="F1587" s="882"/>
      <c r="G1587" s="821" t="s">
        <v>517</v>
      </c>
      <c r="H1587" s="980" t="s">
        <v>519</v>
      </c>
      <c r="I1587" s="879"/>
      <c r="J1587" s="825"/>
      <c r="K1587" s="823"/>
      <c r="L1587" s="818"/>
    </row>
    <row r="1588" spans="1:12" s="31" customFormat="1" ht="17.25" customHeight="1">
      <c r="A1588" s="827" t="s">
        <v>81</v>
      </c>
      <c r="B1588" s="981" t="s">
        <v>564</v>
      </c>
      <c r="C1588" s="828"/>
      <c r="D1588" s="829"/>
      <c r="E1588" s="828"/>
      <c r="F1588" s="882"/>
      <c r="G1588" s="827" t="s">
        <v>81</v>
      </c>
      <c r="H1588" s="981" t="s">
        <v>564</v>
      </c>
      <c r="I1588" s="828"/>
      <c r="J1588" s="829"/>
      <c r="K1588" s="828"/>
      <c r="L1588" s="818"/>
    </row>
    <row r="1589" spans="1:12" s="31" customFormat="1" ht="17.25" customHeight="1">
      <c r="A1589" s="830" t="s">
        <v>82</v>
      </c>
      <c r="B1589" s="982" t="s">
        <v>565</v>
      </c>
      <c r="C1589" s="828"/>
      <c r="D1589" s="828"/>
      <c r="E1589" s="828"/>
      <c r="F1589" s="882"/>
      <c r="G1589" s="830" t="s">
        <v>82</v>
      </c>
      <c r="H1589" s="982" t="s">
        <v>565</v>
      </c>
      <c r="I1589" s="828"/>
      <c r="J1589" s="828"/>
      <c r="K1589" s="828"/>
      <c r="L1589" s="818"/>
    </row>
    <row r="1590" spans="1:12" s="31" customFormat="1" ht="17.25" customHeight="1">
      <c r="A1590" s="830" t="s">
        <v>83</v>
      </c>
      <c r="B1590" s="983" t="s">
        <v>566</v>
      </c>
      <c r="C1590" s="828"/>
      <c r="D1590" s="828"/>
      <c r="E1590" s="823">
        <f>SUM(E1589)</f>
        <v>0</v>
      </c>
      <c r="F1590" s="882"/>
      <c r="G1590" s="830" t="s">
        <v>83</v>
      </c>
      <c r="H1590" s="983" t="s">
        <v>566</v>
      </c>
      <c r="I1590" s="828"/>
      <c r="J1590" s="828"/>
      <c r="K1590" s="823">
        <f>SUM(K1589)</f>
        <v>0</v>
      </c>
      <c r="L1590" s="818"/>
    </row>
    <row r="1591" spans="1:12" s="31" customFormat="1" ht="17.25" customHeight="1">
      <c r="A1591" s="832" t="s">
        <v>84</v>
      </c>
      <c r="B1591" s="984" t="s">
        <v>438</v>
      </c>
      <c r="C1591" s="833"/>
      <c r="D1591" s="833"/>
      <c r="E1591" s="833">
        <f>(E1579+E1580+E1581+E1582+E1583+E1584+E1585+E1586+E1587)-E1590</f>
        <v>4596026.2606473844</v>
      </c>
      <c r="F1591" s="882"/>
      <c r="G1591" s="832" t="s">
        <v>84</v>
      </c>
      <c r="H1591" s="984" t="s">
        <v>438</v>
      </c>
      <c r="I1591" s="833"/>
      <c r="J1591" s="833"/>
      <c r="K1591" s="833">
        <f>(K1579+K1580+K1581+K1582+K1583+K1584+K1585+K1586+K1587)-K1590</f>
        <v>5181616.119752055</v>
      </c>
      <c r="L1591" s="835">
        <f>E1591+K1591</f>
        <v>9777642.3803994395</v>
      </c>
    </row>
    <row r="1592" spans="1:12" s="31" customFormat="1" ht="17.25" customHeight="1">
      <c r="A1592" s="895"/>
      <c r="B1592" s="895"/>
      <c r="C1592" s="895"/>
      <c r="D1592" s="895"/>
      <c r="E1592" s="895"/>
      <c r="F1592" s="895"/>
      <c r="G1592" s="895"/>
      <c r="H1592" s="895"/>
      <c r="I1592" s="895"/>
      <c r="J1592" s="895"/>
      <c r="K1592" s="895"/>
      <c r="L1592" s="818"/>
    </row>
    <row r="1593" spans="1:12" s="31" customFormat="1" ht="17.25" customHeight="1">
      <c r="A1593" s="891" t="str">
        <f>A1576</f>
        <v>LƯƠNG THÁNG 01/2025</v>
      </c>
      <c r="B1593" s="895"/>
      <c r="C1593" s="895"/>
      <c r="D1593" s="895"/>
      <c r="E1593" s="904">
        <f>VLOOKUP(B1594,'CNKT '!$C$98:$AC$162,26,0)</f>
        <v>0</v>
      </c>
      <c r="F1593" s="882"/>
      <c r="G1593" s="891" t="str">
        <f>A1593</f>
        <v>LƯƠNG THÁNG 01/2025</v>
      </c>
      <c r="H1593" s="895"/>
      <c r="I1593" s="895"/>
      <c r="J1593" s="898"/>
      <c r="K1593" s="904">
        <f>VLOOKUP(H1594,'CNKT '!$C$98:$AC$162,26,0)</f>
        <v>0</v>
      </c>
      <c r="L1593" s="818"/>
    </row>
    <row r="1594" spans="1:12" s="31" customFormat="1" ht="17.25" customHeight="1">
      <c r="A1594" s="837" t="s">
        <v>17</v>
      </c>
      <c r="B1594" s="976" t="str">
        <f>'CNKT '!C110</f>
        <v>T. Na</v>
      </c>
      <c r="C1594" s="822"/>
      <c r="D1594" s="976" t="s">
        <v>398</v>
      </c>
      <c r="E1594" s="976" t="s">
        <v>20</v>
      </c>
      <c r="F1594" s="882"/>
      <c r="G1594" s="837" t="s">
        <v>17</v>
      </c>
      <c r="H1594" s="976" t="str">
        <f>'CNKT '!C111</f>
        <v>T. Khăm Mặn</v>
      </c>
      <c r="I1594" s="822"/>
      <c r="J1594" s="976" t="s">
        <v>398</v>
      </c>
      <c r="K1594" s="976" t="s">
        <v>20</v>
      </c>
      <c r="L1594" s="818"/>
    </row>
    <row r="1595" spans="1:12" s="31" customFormat="1" ht="17.25" customHeight="1">
      <c r="A1595" s="821" t="s">
        <v>399</v>
      </c>
      <c r="B1595" s="978" t="s">
        <v>559</v>
      </c>
      <c r="C1595" s="822" t="str">
        <f>VLOOKUP(B1594,'BTH mủ tạp'!$C$98:$AL$160,36,0)</f>
        <v>B</v>
      </c>
      <c r="D1595" s="823"/>
      <c r="E1595" s="823"/>
      <c r="F1595" s="882"/>
      <c r="G1595" s="821" t="s">
        <v>399</v>
      </c>
      <c r="H1595" s="978" t="s">
        <v>559</v>
      </c>
      <c r="I1595" s="822" t="str">
        <f>VLOOKUP(H1594,'BTH mủ tạp'!$C$98:$AL$160,36,0)</f>
        <v>A</v>
      </c>
      <c r="J1595" s="823"/>
      <c r="K1595" s="823"/>
      <c r="L1595" s="818"/>
    </row>
    <row r="1596" spans="1:12" s="31" customFormat="1" ht="17.25" customHeight="1">
      <c r="A1596" s="821" t="s">
        <v>79</v>
      </c>
      <c r="B1596" s="979" t="s">
        <v>432</v>
      </c>
      <c r="C1596" s="824">
        <f>VLOOKUP(B1594,'CNKT '!$C$97:$Z$162,3,0)</f>
        <v>0</v>
      </c>
      <c r="D1596" s="825">
        <v>25000</v>
      </c>
      <c r="E1596" s="823">
        <f t="shared" ref="E1596:E1601" si="185">C1596*D1596</f>
        <v>0</v>
      </c>
      <c r="F1596" s="882"/>
      <c r="G1596" s="821" t="s">
        <v>79</v>
      </c>
      <c r="H1596" s="979" t="s">
        <v>432</v>
      </c>
      <c r="I1596" s="824">
        <f>VLOOKUP(H1594,'CNKT '!$C$97:$Z$162,3,0)</f>
        <v>0</v>
      </c>
      <c r="J1596" s="825">
        <v>25000</v>
      </c>
      <c r="K1596" s="823">
        <f t="shared" ref="K1596:K1601" si="186">I1596*J1596</f>
        <v>0</v>
      </c>
      <c r="L1596" s="818"/>
    </row>
    <row r="1597" spans="1:12" s="31" customFormat="1" ht="17.25" customHeight="1">
      <c r="A1597" s="821" t="s">
        <v>310</v>
      </c>
      <c r="B1597" s="980" t="s">
        <v>560</v>
      </c>
      <c r="C1597" s="879">
        <f>VLOOKUP(B1594,'CNKT '!$C$97:$Z$162,11,0)</f>
        <v>26</v>
      </c>
      <c r="D1597" s="826">
        <f>46.1*$B$2</f>
        <v>30805.403000000002</v>
      </c>
      <c r="E1597" s="823">
        <f t="shared" si="185"/>
        <v>800940.478</v>
      </c>
      <c r="F1597" s="882"/>
      <c r="G1597" s="821" t="s">
        <v>310</v>
      </c>
      <c r="H1597" s="980" t="s">
        <v>560</v>
      </c>
      <c r="I1597" s="879">
        <f>VLOOKUP(H1594,'CNKT '!$C$97:$Z$162,11,0)</f>
        <v>27</v>
      </c>
      <c r="J1597" s="826">
        <f>46.1*$B$2</f>
        <v>30805.403000000002</v>
      </c>
      <c r="K1597" s="823">
        <f t="shared" si="186"/>
        <v>831745.88100000005</v>
      </c>
      <c r="L1597" s="818"/>
    </row>
    <row r="1598" spans="1:12" s="31" customFormat="1" ht="17.25" customHeight="1">
      <c r="A1598" s="821" t="s">
        <v>401</v>
      </c>
      <c r="B1598" s="980" t="s">
        <v>561</v>
      </c>
      <c r="C1598" s="879">
        <f>VLOOKUP(B1594,'CNKT '!$C$97:$Z$162,12,0)</f>
        <v>4</v>
      </c>
      <c r="D1598" s="825">
        <f>76.9*$B$2</f>
        <v>51386.887000000002</v>
      </c>
      <c r="E1598" s="823">
        <f t="shared" si="185"/>
        <v>205547.54800000001</v>
      </c>
      <c r="F1598" s="882"/>
      <c r="G1598" s="821" t="s">
        <v>401</v>
      </c>
      <c r="H1598" s="980" t="s">
        <v>561</v>
      </c>
      <c r="I1598" s="879">
        <f>VLOOKUP(H1594,'CNKT '!$C$97:$Z$162,12,0)</f>
        <v>4</v>
      </c>
      <c r="J1598" s="825">
        <f>76.9*$B$2</f>
        <v>51386.887000000002</v>
      </c>
      <c r="K1598" s="823">
        <f t="shared" si="186"/>
        <v>205547.54800000001</v>
      </c>
      <c r="L1598" s="818"/>
    </row>
    <row r="1599" spans="1:12" s="31" customFormat="1" ht="17.25" customHeight="1">
      <c r="A1599" s="821" t="s">
        <v>80</v>
      </c>
      <c r="B1599" s="980" t="s">
        <v>562</v>
      </c>
      <c r="C1599" s="879">
        <f>VLOOKUP(B1594,'CNKT '!$C$97:$Z$162,8,0)</f>
        <v>760.75619851970441</v>
      </c>
      <c r="D1599" s="825">
        <f>IF(C1595="A",6.1,IF(C1595="B",5.8,IF(C1595="C",5.5,IF(C1595="C.",5.5,IF(C1595="D",5.2)))))*$B$2</f>
        <v>3875.7339999999999</v>
      </c>
      <c r="E1599" s="823">
        <f t="shared" si="185"/>
        <v>2948488.6643135678</v>
      </c>
      <c r="F1599" s="882"/>
      <c r="G1599" s="821" t="s">
        <v>80</v>
      </c>
      <c r="H1599" s="980" t="s">
        <v>562</v>
      </c>
      <c r="I1599" s="879">
        <f>VLOOKUP(H1594,'CNKT '!$C$97:$Z$162,8,0)</f>
        <v>1141.1342977795566</v>
      </c>
      <c r="J1599" s="825">
        <f>IF(I1595="A",6.1,IF(I1595="B",5.8,IF(I1595="C",5.5,IF(I1595="C.",5.5,IF(I1595="D",5.2)))))*$B$2</f>
        <v>4076.203</v>
      </c>
      <c r="K1599" s="823">
        <f t="shared" si="186"/>
        <v>4651495.0480119223</v>
      </c>
      <c r="L1599" s="818"/>
    </row>
    <row r="1600" spans="1:12" s="31" customFormat="1" ht="17.25" customHeight="1">
      <c r="A1600" s="821" t="s">
        <v>497</v>
      </c>
      <c r="B1600" s="980" t="s">
        <v>563</v>
      </c>
      <c r="C1600" s="879">
        <f>VLOOKUP(B1594,'CNKT '!$C$97:$Z$162,13,0)</f>
        <v>0</v>
      </c>
      <c r="D1600" s="826">
        <f>92.2*$B$2</f>
        <v>61610.806000000004</v>
      </c>
      <c r="E1600" s="823">
        <f t="shared" si="185"/>
        <v>0</v>
      </c>
      <c r="F1600" s="882"/>
      <c r="G1600" s="821" t="s">
        <v>497</v>
      </c>
      <c r="H1600" s="980" t="s">
        <v>563</v>
      </c>
      <c r="I1600" s="879">
        <f>VLOOKUP(H1594,'CNKT '!$C$97:$Z$162,13,0)</f>
        <v>0</v>
      </c>
      <c r="J1600" s="826">
        <f>92.2*$B$2</f>
        <v>61610.806000000004</v>
      </c>
      <c r="K1600" s="823">
        <f t="shared" si="186"/>
        <v>0</v>
      </c>
      <c r="L1600" s="818"/>
    </row>
    <row r="1601" spans="1:12" s="31" customFormat="1" ht="17.25" customHeight="1">
      <c r="A1601" s="821" t="s">
        <v>448</v>
      </c>
      <c r="B1601" s="980" t="s">
        <v>500</v>
      </c>
      <c r="C1601" s="879">
        <f>VLOOKUP(B1594,'CNKT '!$C$97:$Z$162,14,0)</f>
        <v>0</v>
      </c>
      <c r="D1601" s="825">
        <f>153.6*$B$2</f>
        <v>102640.128</v>
      </c>
      <c r="E1601" s="823">
        <f t="shared" si="185"/>
        <v>0</v>
      </c>
      <c r="F1601" s="882"/>
      <c r="G1601" s="821" t="s">
        <v>448</v>
      </c>
      <c r="H1601" s="980" t="s">
        <v>500</v>
      </c>
      <c r="I1601" s="879">
        <f>VLOOKUP(H1594,'CNKT '!$C$97:$Z$162,14,0)</f>
        <v>0</v>
      </c>
      <c r="J1601" s="825">
        <f>153.6*$B$2</f>
        <v>102640.128</v>
      </c>
      <c r="K1601" s="823">
        <f t="shared" si="186"/>
        <v>0</v>
      </c>
      <c r="L1601" s="818"/>
    </row>
    <row r="1602" spans="1:12" s="31" customFormat="1" ht="17.25" customHeight="1">
      <c r="A1602" s="821" t="s">
        <v>455</v>
      </c>
      <c r="B1602" s="980" t="s">
        <v>501</v>
      </c>
      <c r="C1602" s="879">
        <f>VLOOKUP(B1594,'CNKT '!$C$98:$Z$162,18,0)</f>
        <v>0</v>
      </c>
      <c r="D1602" s="825">
        <v>10000</v>
      </c>
      <c r="E1602" s="823">
        <f>C1602*D1602</f>
        <v>0</v>
      </c>
      <c r="F1602" s="882"/>
      <c r="G1602" s="821" t="s">
        <v>455</v>
      </c>
      <c r="H1602" s="980" t="s">
        <v>501</v>
      </c>
      <c r="I1602" s="879">
        <f>VLOOKUP(H1594,'CNKT '!$C$98:$Z$162,18,0)</f>
        <v>0</v>
      </c>
      <c r="J1602" s="825">
        <v>10000</v>
      </c>
      <c r="K1602" s="823">
        <f>I1602*J1602</f>
        <v>0</v>
      </c>
      <c r="L1602" s="818"/>
    </row>
    <row r="1603" spans="1:12" s="31" customFormat="1" ht="17.25" customHeight="1">
      <c r="A1603" s="821" t="s">
        <v>455</v>
      </c>
      <c r="B1603" s="980" t="s">
        <v>501</v>
      </c>
      <c r="C1603" s="879">
        <f>VLOOKUP(B1594,'CNKT '!$C$98:$Z$162,19,0)</f>
        <v>0</v>
      </c>
      <c r="D1603" s="825">
        <v>20000</v>
      </c>
      <c r="E1603" s="823">
        <f>C1603*D1603</f>
        <v>0</v>
      </c>
      <c r="F1603" s="882"/>
      <c r="G1603" s="821" t="s">
        <v>455</v>
      </c>
      <c r="H1603" s="980" t="s">
        <v>501</v>
      </c>
      <c r="I1603" s="879">
        <f>VLOOKUP(H1594,'CNKT '!$C$98:$Z$162,19,0)</f>
        <v>0</v>
      </c>
      <c r="J1603" s="825">
        <v>20000</v>
      </c>
      <c r="K1603" s="823">
        <f>I1603*J1603</f>
        <v>0</v>
      </c>
      <c r="L1603" s="818"/>
    </row>
    <row r="1604" spans="1:12" s="31" customFormat="1" ht="17.25" customHeight="1">
      <c r="A1604" s="821" t="s">
        <v>517</v>
      </c>
      <c r="B1604" s="980" t="s">
        <v>519</v>
      </c>
      <c r="C1604" s="879"/>
      <c r="D1604" s="825"/>
      <c r="E1604" s="823"/>
      <c r="F1604" s="882"/>
      <c r="G1604" s="821" t="s">
        <v>517</v>
      </c>
      <c r="H1604" s="980" t="s">
        <v>519</v>
      </c>
      <c r="I1604" s="879"/>
      <c r="J1604" s="825"/>
      <c r="K1604" s="823"/>
      <c r="L1604" s="818"/>
    </row>
    <row r="1605" spans="1:12" s="31" customFormat="1" ht="17.25" customHeight="1">
      <c r="A1605" s="827" t="s">
        <v>81</v>
      </c>
      <c r="B1605" s="981" t="s">
        <v>564</v>
      </c>
      <c r="C1605" s="828"/>
      <c r="D1605" s="829"/>
      <c r="E1605" s="828"/>
      <c r="F1605" s="882"/>
      <c r="G1605" s="827" t="s">
        <v>81</v>
      </c>
      <c r="H1605" s="981" t="s">
        <v>564</v>
      </c>
      <c r="I1605" s="828"/>
      <c r="J1605" s="829"/>
      <c r="K1605" s="828"/>
      <c r="L1605" s="818"/>
    </row>
    <row r="1606" spans="1:12" s="31" customFormat="1" ht="17.25" customHeight="1">
      <c r="A1606" s="830" t="s">
        <v>82</v>
      </c>
      <c r="B1606" s="982" t="s">
        <v>565</v>
      </c>
      <c r="C1606" s="828"/>
      <c r="D1606" s="828"/>
      <c r="E1606" s="828"/>
      <c r="F1606" s="882"/>
      <c r="G1606" s="830" t="s">
        <v>82</v>
      </c>
      <c r="H1606" s="982" t="s">
        <v>565</v>
      </c>
      <c r="I1606" s="828"/>
      <c r="J1606" s="828"/>
      <c r="K1606" s="828"/>
      <c r="L1606" s="818"/>
    </row>
    <row r="1607" spans="1:12" s="31" customFormat="1" ht="17.25" customHeight="1">
      <c r="A1607" s="830" t="s">
        <v>83</v>
      </c>
      <c r="B1607" s="983" t="s">
        <v>566</v>
      </c>
      <c r="C1607" s="828"/>
      <c r="D1607" s="828"/>
      <c r="E1607" s="823">
        <f>SUM(E1606)</f>
        <v>0</v>
      </c>
      <c r="F1607" s="869"/>
      <c r="G1607" s="830" t="s">
        <v>83</v>
      </c>
      <c r="H1607" s="983" t="s">
        <v>566</v>
      </c>
      <c r="I1607" s="828"/>
      <c r="J1607" s="828"/>
      <c r="K1607" s="823">
        <f>SUM(K1606)</f>
        <v>0</v>
      </c>
      <c r="L1607" s="818"/>
    </row>
    <row r="1608" spans="1:12" s="31" customFormat="1" ht="17.25" customHeight="1">
      <c r="A1608" s="832" t="s">
        <v>84</v>
      </c>
      <c r="B1608" s="984" t="s">
        <v>438</v>
      </c>
      <c r="C1608" s="833"/>
      <c r="D1608" s="833"/>
      <c r="E1608" s="833">
        <f>(E1596+E1597+E1598+E1599+E1600+E1601+E1602+E1603+E1604)-E1607</f>
        <v>3954976.6903135679</v>
      </c>
      <c r="F1608" s="869"/>
      <c r="G1608" s="832" t="s">
        <v>84</v>
      </c>
      <c r="H1608" s="984" t="s">
        <v>438</v>
      </c>
      <c r="I1608" s="833"/>
      <c r="J1608" s="833"/>
      <c r="K1608" s="833">
        <f>(K1596+K1597+K1598+K1599+K1600+K1601+K1602+K1603+K1604)-K1607</f>
        <v>5688788.4770119227</v>
      </c>
      <c r="L1608" s="835">
        <f>E1608+K1608</f>
        <v>9643765.1673254911</v>
      </c>
    </row>
    <row r="1609" spans="1:12" s="31" customFormat="1" ht="9.75" customHeight="1">
      <c r="A1609" s="895"/>
      <c r="B1609" s="895"/>
      <c r="C1609" s="895"/>
      <c r="D1609" s="895"/>
      <c r="E1609" s="895"/>
      <c r="F1609" s="895"/>
      <c r="G1609" s="895"/>
      <c r="H1609" s="895"/>
      <c r="I1609" s="895"/>
      <c r="J1609" s="895"/>
      <c r="K1609" s="895"/>
      <c r="L1609" s="818"/>
    </row>
    <row r="1610" spans="1:12" s="31" customFormat="1" ht="17.25" customHeight="1">
      <c r="A1610" s="891" t="str">
        <f>A1593</f>
        <v>LƯƠNG THÁNG 01/2025</v>
      </c>
      <c r="B1610" s="895"/>
      <c r="C1610" s="895"/>
      <c r="D1610" s="895"/>
      <c r="E1610" s="904">
        <f>VLOOKUP(B1611,'CNKT '!$C$98:$AC$162,26,0)</f>
        <v>0</v>
      </c>
      <c r="F1610" s="882"/>
      <c r="G1610" s="891" t="str">
        <f>A1610</f>
        <v>LƯƠNG THÁNG 01/2025</v>
      </c>
      <c r="H1610" s="895"/>
      <c r="I1610" s="895"/>
      <c r="J1610" s="898"/>
      <c r="K1610" s="904">
        <f>VLOOKUP(H1611,'CNKT '!$C$98:$AC$162,26,0)</f>
        <v>0</v>
      </c>
      <c r="L1610" s="818"/>
    </row>
    <row r="1611" spans="1:12" s="31" customFormat="1" ht="17.25" customHeight="1">
      <c r="A1611" s="837" t="s">
        <v>17</v>
      </c>
      <c r="B1611" s="976" t="str">
        <f>'CNKT '!C112</f>
        <v>T . In Tong</v>
      </c>
      <c r="C1611" s="822"/>
      <c r="D1611" s="976" t="s">
        <v>398</v>
      </c>
      <c r="E1611" s="976" t="s">
        <v>20</v>
      </c>
      <c r="F1611" s="882"/>
      <c r="G1611" s="837" t="s">
        <v>17</v>
      </c>
      <c r="H1611" s="976" t="str">
        <f>'CNKT '!C113</f>
        <v>T. Lốp</v>
      </c>
      <c r="I1611" s="822"/>
      <c r="J1611" s="976" t="s">
        <v>398</v>
      </c>
      <c r="K1611" s="976" t="s">
        <v>20</v>
      </c>
      <c r="L1611" s="818"/>
    </row>
    <row r="1612" spans="1:12" s="31" customFormat="1" ht="17.25" customHeight="1">
      <c r="A1612" s="821" t="s">
        <v>399</v>
      </c>
      <c r="B1612" s="978" t="s">
        <v>559</v>
      </c>
      <c r="C1612" s="822" t="str">
        <f>VLOOKUP(B1611,'BTH mủ tạp'!$C$98:$AL$160,36,0)</f>
        <v>A</v>
      </c>
      <c r="D1612" s="823"/>
      <c r="E1612" s="823"/>
      <c r="F1612" s="882"/>
      <c r="G1612" s="821" t="s">
        <v>399</v>
      </c>
      <c r="H1612" s="978" t="s">
        <v>559</v>
      </c>
      <c r="I1612" s="822" t="str">
        <f>VLOOKUP(H1611,'BTH mủ tạp'!$C$98:$AL$160,36,0)</f>
        <v>B</v>
      </c>
      <c r="J1612" s="823"/>
      <c r="K1612" s="823"/>
      <c r="L1612" s="818"/>
    </row>
    <row r="1613" spans="1:12" s="31" customFormat="1" ht="17.25" customHeight="1">
      <c r="A1613" s="821" t="s">
        <v>79</v>
      </c>
      <c r="B1613" s="979" t="s">
        <v>432</v>
      </c>
      <c r="C1613" s="824">
        <f>VLOOKUP(B1611,'CNKT '!$C$97:$Z$162,3,0)</f>
        <v>0</v>
      </c>
      <c r="D1613" s="825">
        <v>25000</v>
      </c>
      <c r="E1613" s="823">
        <f t="shared" ref="E1613:E1618" si="187">C1613*D1613</f>
        <v>0</v>
      </c>
      <c r="F1613" s="882"/>
      <c r="G1613" s="821" t="s">
        <v>79</v>
      </c>
      <c r="H1613" s="979" t="s">
        <v>432</v>
      </c>
      <c r="I1613" s="824">
        <f>VLOOKUP(H1611,'CNKT '!$C$97:$Z$162,3,0)</f>
        <v>0</v>
      </c>
      <c r="J1613" s="825">
        <v>25000</v>
      </c>
      <c r="K1613" s="823">
        <f t="shared" ref="K1613:K1618" si="188">I1613*J1613</f>
        <v>0</v>
      </c>
      <c r="L1613" s="818"/>
    </row>
    <row r="1614" spans="1:12" s="31" customFormat="1" ht="17.25" customHeight="1">
      <c r="A1614" s="821" t="s">
        <v>310</v>
      </c>
      <c r="B1614" s="980" t="s">
        <v>560</v>
      </c>
      <c r="C1614" s="879">
        <f>VLOOKUP(B1611,'CNKT '!$C$97:$Z$162,11,0)</f>
        <v>26</v>
      </c>
      <c r="D1614" s="826">
        <f>46.1*$B$2</f>
        <v>30805.403000000002</v>
      </c>
      <c r="E1614" s="823">
        <f t="shared" si="187"/>
        <v>800940.478</v>
      </c>
      <c r="F1614" s="882"/>
      <c r="G1614" s="821" t="s">
        <v>310</v>
      </c>
      <c r="H1614" s="980" t="s">
        <v>560</v>
      </c>
      <c r="I1614" s="879">
        <f>VLOOKUP(H1611,'CNKT '!$C$97:$Z$162,11,0)</f>
        <v>21</v>
      </c>
      <c r="J1614" s="826">
        <f>46.1*$B$2</f>
        <v>30805.403000000002</v>
      </c>
      <c r="K1614" s="823">
        <f t="shared" si="188"/>
        <v>646913.46299999999</v>
      </c>
      <c r="L1614" s="818"/>
    </row>
    <row r="1615" spans="1:12" s="31" customFormat="1" ht="17.25" customHeight="1">
      <c r="A1615" s="821" t="s">
        <v>401</v>
      </c>
      <c r="B1615" s="980" t="s">
        <v>561</v>
      </c>
      <c r="C1615" s="879">
        <f>VLOOKUP(B1611,'CNKT '!$C$97:$Z$162,12,0)</f>
        <v>4</v>
      </c>
      <c r="D1615" s="825">
        <f>76.9*$B$2</f>
        <v>51386.887000000002</v>
      </c>
      <c r="E1615" s="823">
        <f t="shared" si="187"/>
        <v>205547.54800000001</v>
      </c>
      <c r="F1615" s="882"/>
      <c r="G1615" s="821" t="s">
        <v>401</v>
      </c>
      <c r="H1615" s="980" t="s">
        <v>561</v>
      </c>
      <c r="I1615" s="879">
        <f>VLOOKUP(H1611,'CNKT '!$C$97:$Z$162,12,0)</f>
        <v>4</v>
      </c>
      <c r="J1615" s="825">
        <f>76.9*$B$2</f>
        <v>51386.887000000002</v>
      </c>
      <c r="K1615" s="823">
        <f t="shared" si="188"/>
        <v>205547.54800000001</v>
      </c>
      <c r="L1615" s="818"/>
    </row>
    <row r="1616" spans="1:12" s="31" customFormat="1" ht="17.25" customHeight="1">
      <c r="A1616" s="821" t="s">
        <v>80</v>
      </c>
      <c r="B1616" s="980" t="s">
        <v>562</v>
      </c>
      <c r="C1616" s="879">
        <f>VLOOKUP(B1611,'CNKT '!$C$97:$Z$162,8,0)</f>
        <v>843.53541104220903</v>
      </c>
      <c r="D1616" s="825">
        <f>IF(C1612="A",6.1,IF(C1612="B",5.8,IF(C1612="C",5.5,IF(C1612="C.",5.5,IF(C1612="D",5.2)))))*$B$2</f>
        <v>4076.203</v>
      </c>
      <c r="E1616" s="823">
        <f t="shared" si="187"/>
        <v>3438421.5730964853</v>
      </c>
      <c r="F1616" s="882"/>
      <c r="G1616" s="821" t="s">
        <v>80</v>
      </c>
      <c r="H1616" s="980" t="s">
        <v>562</v>
      </c>
      <c r="I1616" s="879">
        <f>VLOOKUP(H1611,'CNKT '!$C$97:$Z$162,8,0)</f>
        <v>645.98256643328705</v>
      </c>
      <c r="J1616" s="825">
        <f>IF(I1612="A",6.1,IF(I1612="B",5.8,IF(I1612="C",5.5,IF(I1612="C.",5.5,IF(I1612="D",5.2)))))*$B$2</f>
        <v>3875.7339999999999</v>
      </c>
      <c r="K1616" s="823">
        <f t="shared" si="188"/>
        <v>2503656.5961327492</v>
      </c>
      <c r="L1616" s="818"/>
    </row>
    <row r="1617" spans="1:12" s="31" customFormat="1" ht="17.25" customHeight="1">
      <c r="A1617" s="821" t="s">
        <v>497</v>
      </c>
      <c r="B1617" s="980" t="s">
        <v>563</v>
      </c>
      <c r="C1617" s="879">
        <f>VLOOKUP(B1611,'CNKT '!$C$97:$Z$162,13,0)</f>
        <v>0</v>
      </c>
      <c r="D1617" s="826">
        <f>92.2*$B$2</f>
        <v>61610.806000000004</v>
      </c>
      <c r="E1617" s="823">
        <f t="shared" si="187"/>
        <v>0</v>
      </c>
      <c r="F1617" s="882"/>
      <c r="G1617" s="821" t="s">
        <v>497</v>
      </c>
      <c r="H1617" s="980" t="s">
        <v>563</v>
      </c>
      <c r="I1617" s="879">
        <f>VLOOKUP(H1611,'CNKT '!$C$97:$Z$162,13,0)</f>
        <v>0</v>
      </c>
      <c r="J1617" s="826">
        <f>92.2*$B$2</f>
        <v>61610.806000000004</v>
      </c>
      <c r="K1617" s="823">
        <f t="shared" si="188"/>
        <v>0</v>
      </c>
      <c r="L1617" s="818"/>
    </row>
    <row r="1618" spans="1:12" s="31" customFormat="1" ht="17.25" customHeight="1">
      <c r="A1618" s="821" t="s">
        <v>448</v>
      </c>
      <c r="B1618" s="980" t="s">
        <v>500</v>
      </c>
      <c r="C1618" s="879">
        <f>VLOOKUP(B1611,'CNKT '!$C$97:$Z$162,14,0)</f>
        <v>0</v>
      </c>
      <c r="D1618" s="825">
        <f>153.6*$B$2</f>
        <v>102640.128</v>
      </c>
      <c r="E1618" s="823">
        <f t="shared" si="187"/>
        <v>0</v>
      </c>
      <c r="F1618" s="882"/>
      <c r="G1618" s="821" t="s">
        <v>448</v>
      </c>
      <c r="H1618" s="980" t="s">
        <v>500</v>
      </c>
      <c r="I1618" s="879">
        <f>VLOOKUP(H1611,'CNKT '!$C$97:$Z$162,14,0)</f>
        <v>0</v>
      </c>
      <c r="J1618" s="825">
        <f>153.6*$B$2</f>
        <v>102640.128</v>
      </c>
      <c r="K1618" s="823">
        <f t="shared" si="188"/>
        <v>0</v>
      </c>
      <c r="L1618" s="818"/>
    </row>
    <row r="1619" spans="1:12" s="31" customFormat="1" ht="17.25" customHeight="1">
      <c r="A1619" s="821" t="s">
        <v>455</v>
      </c>
      <c r="B1619" s="980" t="s">
        <v>501</v>
      </c>
      <c r="C1619" s="879">
        <f>VLOOKUP(B1611,'CNKT '!$C$98:$Z$162,18,0)</f>
        <v>0</v>
      </c>
      <c r="D1619" s="825">
        <v>10000</v>
      </c>
      <c r="E1619" s="823">
        <f>C1619*D1619</f>
        <v>0</v>
      </c>
      <c r="F1619" s="882"/>
      <c r="G1619" s="821" t="s">
        <v>455</v>
      </c>
      <c r="H1619" s="980" t="s">
        <v>501</v>
      </c>
      <c r="I1619" s="879">
        <f>VLOOKUP(H1611,'CNKT '!$C$98:$Z$162,18,0)</f>
        <v>0</v>
      </c>
      <c r="J1619" s="825">
        <v>10000</v>
      </c>
      <c r="K1619" s="823">
        <f>I1619*J1619</f>
        <v>0</v>
      </c>
      <c r="L1619" s="818"/>
    </row>
    <row r="1620" spans="1:12" s="31" customFormat="1" ht="17.25" customHeight="1">
      <c r="A1620" s="821" t="s">
        <v>455</v>
      </c>
      <c r="B1620" s="980" t="s">
        <v>501</v>
      </c>
      <c r="C1620" s="879">
        <f>VLOOKUP(B1611,'CNKT '!$C$98:$Z$162,19,0)</f>
        <v>0</v>
      </c>
      <c r="D1620" s="825">
        <v>20000</v>
      </c>
      <c r="E1620" s="823">
        <f>C1620*D1620</f>
        <v>0</v>
      </c>
      <c r="F1620" s="882"/>
      <c r="G1620" s="821" t="s">
        <v>455</v>
      </c>
      <c r="H1620" s="980" t="s">
        <v>501</v>
      </c>
      <c r="I1620" s="879">
        <f>VLOOKUP(H1611,'CNKT '!$C$98:$Z$162,19,0)</f>
        <v>0</v>
      </c>
      <c r="J1620" s="825">
        <v>20000</v>
      </c>
      <c r="K1620" s="823">
        <f>I1620*J1620</f>
        <v>0</v>
      </c>
      <c r="L1620" s="818"/>
    </row>
    <row r="1621" spans="1:12" s="31" customFormat="1" ht="17.25" customHeight="1">
      <c r="A1621" s="821" t="s">
        <v>517</v>
      </c>
      <c r="B1621" s="980" t="s">
        <v>519</v>
      </c>
      <c r="C1621" s="879"/>
      <c r="D1621" s="825"/>
      <c r="E1621" s="823"/>
      <c r="F1621" s="882"/>
      <c r="G1621" s="821" t="s">
        <v>517</v>
      </c>
      <c r="H1621" s="980" t="s">
        <v>519</v>
      </c>
      <c r="I1621" s="879"/>
      <c r="J1621" s="825"/>
      <c r="K1621" s="823"/>
      <c r="L1621" s="818"/>
    </row>
    <row r="1622" spans="1:12" s="31" customFormat="1" ht="17.25" customHeight="1">
      <c r="A1622" s="827" t="s">
        <v>81</v>
      </c>
      <c r="B1622" s="981" t="s">
        <v>564</v>
      </c>
      <c r="C1622" s="828"/>
      <c r="D1622" s="829"/>
      <c r="E1622" s="828"/>
      <c r="F1622" s="882"/>
      <c r="G1622" s="827" t="s">
        <v>81</v>
      </c>
      <c r="H1622" s="981" t="s">
        <v>564</v>
      </c>
      <c r="I1622" s="828"/>
      <c r="J1622" s="829"/>
      <c r="K1622" s="828"/>
      <c r="L1622" s="818"/>
    </row>
    <row r="1623" spans="1:12" s="31" customFormat="1" ht="17.25" customHeight="1">
      <c r="A1623" s="830" t="s">
        <v>82</v>
      </c>
      <c r="B1623" s="982" t="s">
        <v>565</v>
      </c>
      <c r="C1623" s="828"/>
      <c r="D1623" s="828"/>
      <c r="E1623" s="828"/>
      <c r="F1623" s="882"/>
      <c r="G1623" s="830" t="s">
        <v>82</v>
      </c>
      <c r="H1623" s="982" t="s">
        <v>565</v>
      </c>
      <c r="I1623" s="828"/>
      <c r="J1623" s="828"/>
      <c r="K1623" s="828"/>
      <c r="L1623" s="818"/>
    </row>
    <row r="1624" spans="1:12" s="31" customFormat="1" ht="17.25" customHeight="1">
      <c r="A1624" s="830" t="s">
        <v>83</v>
      </c>
      <c r="B1624" s="983" t="s">
        <v>566</v>
      </c>
      <c r="C1624" s="828"/>
      <c r="D1624" s="828"/>
      <c r="E1624" s="823">
        <f>SUM(E1623)</f>
        <v>0</v>
      </c>
      <c r="F1624" s="869"/>
      <c r="G1624" s="830" t="s">
        <v>83</v>
      </c>
      <c r="H1624" s="983" t="s">
        <v>566</v>
      </c>
      <c r="I1624" s="828"/>
      <c r="J1624" s="828"/>
      <c r="K1624" s="823">
        <f>SUM(K1623)</f>
        <v>0</v>
      </c>
      <c r="L1624" s="818"/>
    </row>
    <row r="1625" spans="1:12" s="31" customFormat="1" ht="17.25" customHeight="1">
      <c r="A1625" s="832" t="s">
        <v>84</v>
      </c>
      <c r="B1625" s="984" t="s">
        <v>438</v>
      </c>
      <c r="C1625" s="833"/>
      <c r="D1625" s="833"/>
      <c r="E1625" s="833">
        <f>(E1613+E1614+E1615+E1616+E1617+E1618+E1619+E1620+E1621)-E1624</f>
        <v>4444909.5990964854</v>
      </c>
      <c r="F1625" s="869"/>
      <c r="G1625" s="832" t="s">
        <v>84</v>
      </c>
      <c r="H1625" s="984" t="s">
        <v>438</v>
      </c>
      <c r="I1625" s="833"/>
      <c r="J1625" s="833"/>
      <c r="K1625" s="833">
        <f>(K1613+K1614+K1615+K1616+K1617+K1618+K1619+K1620+K1621)-K1624</f>
        <v>3356117.6071327492</v>
      </c>
      <c r="L1625" s="835">
        <f>E1625+K1625</f>
        <v>7801027.2062292341</v>
      </c>
    </row>
    <row r="1626" spans="1:12" s="31" customFormat="1" ht="17.25" customHeight="1">
      <c r="A1626" s="895"/>
      <c r="B1626" s="895"/>
      <c r="C1626" s="895"/>
      <c r="D1626" s="895"/>
      <c r="E1626" s="895"/>
      <c r="F1626" s="895"/>
      <c r="G1626" s="895"/>
      <c r="H1626" s="895"/>
      <c r="I1626" s="895"/>
      <c r="J1626" s="895"/>
      <c r="K1626" s="895"/>
      <c r="L1626" s="818"/>
    </row>
    <row r="1627" spans="1:12" s="31" customFormat="1" ht="17.25" customHeight="1">
      <c r="A1627" s="891" t="str">
        <f>A1610</f>
        <v>LƯƠNG THÁNG 01/2025</v>
      </c>
      <c r="B1627" s="895"/>
      <c r="C1627" s="895"/>
      <c r="D1627" s="895"/>
      <c r="E1627" s="904">
        <f>VLOOKUP(B1628,'CNKT '!$C$98:$AC$162,26,0)</f>
        <v>0</v>
      </c>
      <c r="F1627" s="882"/>
      <c r="G1627" s="891" t="str">
        <f>A1627</f>
        <v>LƯƠNG THÁNG 01/2025</v>
      </c>
      <c r="H1627" s="895"/>
      <c r="I1627" s="895"/>
      <c r="J1627" s="898"/>
      <c r="K1627" s="904">
        <f>VLOOKUP(H1628,'CNKT '!$C$98:$AC$162,26,0)</f>
        <v>0</v>
      </c>
      <c r="L1627" s="818"/>
    </row>
    <row r="1628" spans="1:12" s="31" customFormat="1" ht="17.25" customHeight="1">
      <c r="A1628" s="837" t="s">
        <v>17</v>
      </c>
      <c r="B1628" s="976" t="str">
        <f>'CNKT '!C114</f>
        <v>T. Lăm Phêng</v>
      </c>
      <c r="C1628" s="822"/>
      <c r="D1628" s="976" t="s">
        <v>398</v>
      </c>
      <c r="E1628" s="976" t="s">
        <v>20</v>
      </c>
      <c r="F1628" s="882"/>
      <c r="G1628" s="837" t="s">
        <v>17</v>
      </c>
      <c r="H1628" s="976" t="str">
        <f>'CNKT '!C115</f>
        <v>T Xèng</v>
      </c>
      <c r="I1628" s="822"/>
      <c r="J1628" s="976" t="s">
        <v>398</v>
      </c>
      <c r="K1628" s="976" t="s">
        <v>20</v>
      </c>
      <c r="L1628" s="818"/>
    </row>
    <row r="1629" spans="1:12" s="31" customFormat="1" ht="17.25" customHeight="1">
      <c r="A1629" s="821" t="s">
        <v>399</v>
      </c>
      <c r="B1629" s="978" t="s">
        <v>559</v>
      </c>
      <c r="C1629" s="822" t="str">
        <f>VLOOKUP(B1628,'BTH mủ tạp'!$C$98:$AL$160,36,0)</f>
        <v>A</v>
      </c>
      <c r="D1629" s="823"/>
      <c r="E1629" s="823"/>
      <c r="F1629" s="882"/>
      <c r="G1629" s="821" t="s">
        <v>399</v>
      </c>
      <c r="H1629" s="978" t="s">
        <v>559</v>
      </c>
      <c r="I1629" s="822" t="str">
        <f>VLOOKUP(H1628,'BTH mủ tạp'!$C$98:$AL$160,36,0)</f>
        <v>A</v>
      </c>
      <c r="J1629" s="823"/>
      <c r="K1629" s="823"/>
      <c r="L1629" s="818"/>
    </row>
    <row r="1630" spans="1:12" s="31" customFormat="1" ht="17.25" customHeight="1">
      <c r="A1630" s="821" t="s">
        <v>79</v>
      </c>
      <c r="B1630" s="979" t="s">
        <v>432</v>
      </c>
      <c r="C1630" s="824">
        <f>VLOOKUP(B1628,'CNKT '!$C$97:$Z$162,3,0)</f>
        <v>0</v>
      </c>
      <c r="D1630" s="825">
        <v>25000</v>
      </c>
      <c r="E1630" s="823">
        <f t="shared" ref="E1630:E1635" si="189">C1630*D1630</f>
        <v>0</v>
      </c>
      <c r="F1630" s="882"/>
      <c r="G1630" s="821" t="s">
        <v>79</v>
      </c>
      <c r="H1630" s="979" t="s">
        <v>432</v>
      </c>
      <c r="I1630" s="824">
        <f>VLOOKUP(H1628,'CNKT '!$C$97:$Z$162,3,0)</f>
        <v>0</v>
      </c>
      <c r="J1630" s="825">
        <v>25000</v>
      </c>
      <c r="K1630" s="823">
        <f t="shared" ref="K1630:K1635" si="190">I1630*J1630</f>
        <v>0</v>
      </c>
      <c r="L1630" s="818"/>
    </row>
    <row r="1631" spans="1:12" s="31" customFormat="1" ht="17.25" customHeight="1">
      <c r="A1631" s="821" t="s">
        <v>310</v>
      </c>
      <c r="B1631" s="980" t="s">
        <v>560</v>
      </c>
      <c r="C1631" s="879">
        <f>VLOOKUP(B1628,'CNKT '!$C$97:$Z$162,11,0)</f>
        <v>27</v>
      </c>
      <c r="D1631" s="826">
        <f>46.1*$B$2</f>
        <v>30805.403000000002</v>
      </c>
      <c r="E1631" s="823">
        <f t="shared" si="189"/>
        <v>831745.88100000005</v>
      </c>
      <c r="F1631" s="882"/>
      <c r="G1631" s="821" t="s">
        <v>310</v>
      </c>
      <c r="H1631" s="980" t="s">
        <v>560</v>
      </c>
      <c r="I1631" s="879">
        <f>VLOOKUP(H1628,'CNKT '!$C$97:$Z$162,11,0)</f>
        <v>27</v>
      </c>
      <c r="J1631" s="826">
        <f>46.1*$B$2</f>
        <v>30805.403000000002</v>
      </c>
      <c r="K1631" s="823">
        <f t="shared" si="190"/>
        <v>831745.88100000005</v>
      </c>
      <c r="L1631" s="818"/>
    </row>
    <row r="1632" spans="1:12" s="31" customFormat="1" ht="17.25" customHeight="1">
      <c r="A1632" s="821" t="s">
        <v>401</v>
      </c>
      <c r="B1632" s="980" t="s">
        <v>561</v>
      </c>
      <c r="C1632" s="879">
        <f>VLOOKUP(B1628,'CNKT '!$C$97:$Z$162,12,0)</f>
        <v>4</v>
      </c>
      <c r="D1632" s="825">
        <f>76.9*$B$2</f>
        <v>51386.887000000002</v>
      </c>
      <c r="E1632" s="823">
        <f t="shared" si="189"/>
        <v>205547.54800000001</v>
      </c>
      <c r="F1632" s="882"/>
      <c r="G1632" s="821" t="s">
        <v>401</v>
      </c>
      <c r="H1632" s="980" t="s">
        <v>561</v>
      </c>
      <c r="I1632" s="879">
        <f>VLOOKUP(H1628,'CNKT '!$C$97:$Z$162,12,0)</f>
        <v>4</v>
      </c>
      <c r="J1632" s="825">
        <f>76.9*$B$2</f>
        <v>51386.887000000002</v>
      </c>
      <c r="K1632" s="823">
        <f t="shared" si="190"/>
        <v>205547.54800000001</v>
      </c>
      <c r="L1632" s="818"/>
    </row>
    <row r="1633" spans="1:12" s="31" customFormat="1" ht="17.25" customHeight="1">
      <c r="A1633" s="821" t="s">
        <v>80</v>
      </c>
      <c r="B1633" s="980" t="s">
        <v>562</v>
      </c>
      <c r="C1633" s="879">
        <f>VLOOKUP(B1628,'CNKT '!$C$97:$Z$162,8,0)</f>
        <v>1175.160109061813</v>
      </c>
      <c r="D1633" s="825">
        <f>IF(C1629="A",6.1,IF(C1629="B",5.8,IF(C1629="C",5.5,IF(C1629="C.",5.5,IF(C1629="D",5.2)))))*$B$2</f>
        <v>4076.203</v>
      </c>
      <c r="E1633" s="823">
        <f t="shared" si="189"/>
        <v>4790191.1620380897</v>
      </c>
      <c r="F1633" s="882"/>
      <c r="G1633" s="821" t="s">
        <v>80</v>
      </c>
      <c r="H1633" s="980" t="s">
        <v>562</v>
      </c>
      <c r="I1633" s="879">
        <f>VLOOKUP(H1628,'CNKT '!$C$97:$Z$162,8,0)</f>
        <v>1133.5165788357679</v>
      </c>
      <c r="J1633" s="825">
        <f>IF(I1629="A",6.1,IF(I1629="B",5.8,IF(I1629="C",5.5,IF(I1629="C.",5.5,IF(I1629="D",5.2)))))*$B$2</f>
        <v>4076.203</v>
      </c>
      <c r="K1633" s="823">
        <f t="shared" si="190"/>
        <v>4620443.6792000933</v>
      </c>
      <c r="L1633" s="818"/>
    </row>
    <row r="1634" spans="1:12" s="31" customFormat="1" ht="17.25" customHeight="1">
      <c r="A1634" s="821" t="s">
        <v>497</v>
      </c>
      <c r="B1634" s="980" t="s">
        <v>563</v>
      </c>
      <c r="C1634" s="879">
        <f>VLOOKUP(B1628,'CNKT '!$C$97:$Z$162,13,0)</f>
        <v>0</v>
      </c>
      <c r="D1634" s="826">
        <f>92.2*$B$2</f>
        <v>61610.806000000004</v>
      </c>
      <c r="E1634" s="823">
        <f t="shared" si="189"/>
        <v>0</v>
      </c>
      <c r="F1634" s="882"/>
      <c r="G1634" s="821" t="s">
        <v>497</v>
      </c>
      <c r="H1634" s="980" t="s">
        <v>563</v>
      </c>
      <c r="I1634" s="879">
        <f>VLOOKUP(H1628,'CNKT '!$C$97:$Z$162,13,0)</f>
        <v>0</v>
      </c>
      <c r="J1634" s="826">
        <f>92.2*$B$2</f>
        <v>61610.806000000004</v>
      </c>
      <c r="K1634" s="823">
        <f t="shared" si="190"/>
        <v>0</v>
      </c>
      <c r="L1634" s="818"/>
    </row>
    <row r="1635" spans="1:12" s="31" customFormat="1" ht="17.25" customHeight="1">
      <c r="A1635" s="821" t="s">
        <v>448</v>
      </c>
      <c r="B1635" s="980" t="s">
        <v>500</v>
      </c>
      <c r="C1635" s="879">
        <f>VLOOKUP(B1628,'CNKT '!$C$97:$Z$162,14,0)</f>
        <v>0</v>
      </c>
      <c r="D1635" s="825">
        <f>153.6*$B$2</f>
        <v>102640.128</v>
      </c>
      <c r="E1635" s="823">
        <f t="shared" si="189"/>
        <v>0</v>
      </c>
      <c r="F1635" s="882"/>
      <c r="G1635" s="821" t="s">
        <v>448</v>
      </c>
      <c r="H1635" s="980" t="s">
        <v>500</v>
      </c>
      <c r="I1635" s="879">
        <f>VLOOKUP(H1628,'CNKT '!$C$97:$Z$162,14,0)</f>
        <v>0</v>
      </c>
      <c r="J1635" s="825">
        <f>153.6*$B$2</f>
        <v>102640.128</v>
      </c>
      <c r="K1635" s="823">
        <f t="shared" si="190"/>
        <v>0</v>
      </c>
      <c r="L1635" s="818"/>
    </row>
    <row r="1636" spans="1:12" s="31" customFormat="1" ht="17.25" customHeight="1">
      <c r="A1636" s="821" t="s">
        <v>455</v>
      </c>
      <c r="B1636" s="980" t="s">
        <v>501</v>
      </c>
      <c r="C1636" s="879">
        <f>VLOOKUP(B1628,'CNKT '!$C$98:$Z$162,18,0)</f>
        <v>0</v>
      </c>
      <c r="D1636" s="825">
        <v>10000</v>
      </c>
      <c r="E1636" s="823">
        <f>C1636*D1636</f>
        <v>0</v>
      </c>
      <c r="F1636" s="882"/>
      <c r="G1636" s="821" t="s">
        <v>455</v>
      </c>
      <c r="H1636" s="980" t="s">
        <v>501</v>
      </c>
      <c r="I1636" s="879">
        <f>VLOOKUP(H1628,'CNKT '!$C$98:$Z$162,18,0)</f>
        <v>0</v>
      </c>
      <c r="J1636" s="825">
        <v>10000</v>
      </c>
      <c r="K1636" s="823">
        <f>I1636*J1636</f>
        <v>0</v>
      </c>
      <c r="L1636" s="818"/>
    </row>
    <row r="1637" spans="1:12" s="31" customFormat="1" ht="17.25" customHeight="1">
      <c r="A1637" s="821" t="s">
        <v>455</v>
      </c>
      <c r="B1637" s="980" t="s">
        <v>501</v>
      </c>
      <c r="C1637" s="879">
        <f>VLOOKUP(B1628,'CNKT '!$C$98:$Z$162,19,0)</f>
        <v>0</v>
      </c>
      <c r="D1637" s="825">
        <v>20000</v>
      </c>
      <c r="E1637" s="823">
        <f>C1637*D1637</f>
        <v>0</v>
      </c>
      <c r="F1637" s="882"/>
      <c r="G1637" s="821" t="s">
        <v>455</v>
      </c>
      <c r="H1637" s="980" t="s">
        <v>501</v>
      </c>
      <c r="I1637" s="879">
        <f>VLOOKUP(H1628,'CNKT '!$C$98:$Z$162,19,0)</f>
        <v>0</v>
      </c>
      <c r="J1637" s="825">
        <v>20000</v>
      </c>
      <c r="K1637" s="823">
        <f>I1637*J1637</f>
        <v>0</v>
      </c>
      <c r="L1637" s="818"/>
    </row>
    <row r="1638" spans="1:12" s="31" customFormat="1" ht="17.25" customHeight="1">
      <c r="A1638" s="821" t="s">
        <v>517</v>
      </c>
      <c r="B1638" s="980" t="s">
        <v>519</v>
      </c>
      <c r="C1638" s="879"/>
      <c r="D1638" s="825"/>
      <c r="E1638" s="823"/>
      <c r="F1638" s="882"/>
      <c r="G1638" s="821" t="s">
        <v>517</v>
      </c>
      <c r="H1638" s="980" t="s">
        <v>519</v>
      </c>
      <c r="I1638" s="879"/>
      <c r="J1638" s="825"/>
      <c r="K1638" s="823"/>
      <c r="L1638" s="818"/>
    </row>
    <row r="1639" spans="1:12" s="31" customFormat="1" ht="17.25" customHeight="1">
      <c r="A1639" s="827" t="s">
        <v>81</v>
      </c>
      <c r="B1639" s="981" t="s">
        <v>564</v>
      </c>
      <c r="C1639" s="828"/>
      <c r="D1639" s="829"/>
      <c r="E1639" s="828"/>
      <c r="F1639" s="882"/>
      <c r="G1639" s="827" t="s">
        <v>81</v>
      </c>
      <c r="H1639" s="981" t="s">
        <v>564</v>
      </c>
      <c r="I1639" s="828"/>
      <c r="J1639" s="829"/>
      <c r="K1639" s="828"/>
      <c r="L1639" s="818"/>
    </row>
    <row r="1640" spans="1:12" s="31" customFormat="1" ht="17.25" customHeight="1">
      <c r="A1640" s="830" t="s">
        <v>82</v>
      </c>
      <c r="B1640" s="982" t="s">
        <v>565</v>
      </c>
      <c r="C1640" s="828"/>
      <c r="D1640" s="828"/>
      <c r="E1640" s="828"/>
      <c r="F1640" s="882"/>
      <c r="G1640" s="830" t="s">
        <v>82</v>
      </c>
      <c r="H1640" s="982" t="s">
        <v>565</v>
      </c>
      <c r="I1640" s="828"/>
      <c r="J1640" s="828"/>
      <c r="K1640" s="828"/>
      <c r="L1640" s="818"/>
    </row>
    <row r="1641" spans="1:12" s="31" customFormat="1" ht="17.25" customHeight="1">
      <c r="A1641" s="830" t="s">
        <v>83</v>
      </c>
      <c r="B1641" s="983" t="s">
        <v>566</v>
      </c>
      <c r="C1641" s="828"/>
      <c r="D1641" s="828"/>
      <c r="E1641" s="823">
        <f>SUM(E1640)</f>
        <v>0</v>
      </c>
      <c r="F1641" s="878"/>
      <c r="G1641" s="830" t="s">
        <v>83</v>
      </c>
      <c r="H1641" s="983" t="s">
        <v>566</v>
      </c>
      <c r="I1641" s="828"/>
      <c r="J1641" s="828"/>
      <c r="K1641" s="823">
        <f>SUM(K1640)</f>
        <v>0</v>
      </c>
      <c r="L1641" s="818"/>
    </row>
    <row r="1642" spans="1:12" s="31" customFormat="1" ht="17.25" customHeight="1">
      <c r="A1642" s="832" t="s">
        <v>84</v>
      </c>
      <c r="B1642" s="984" t="s">
        <v>438</v>
      </c>
      <c r="C1642" s="833"/>
      <c r="D1642" s="833"/>
      <c r="E1642" s="833">
        <f>(E1630+E1631+E1632+E1633+E1634+E1635+E1636+E1637+E1638)-E1641</f>
        <v>5827484.5910380892</v>
      </c>
      <c r="F1642" s="878"/>
      <c r="G1642" s="832" t="s">
        <v>84</v>
      </c>
      <c r="H1642" s="984" t="s">
        <v>438</v>
      </c>
      <c r="I1642" s="833"/>
      <c r="J1642" s="833"/>
      <c r="K1642" s="833">
        <f>(K1630+K1631+K1632+K1633+K1634+K1635+K1636+K1637+K1638)-K1641</f>
        <v>5657737.1082000937</v>
      </c>
      <c r="L1642" s="835">
        <f>E1642+K1642</f>
        <v>11485221.699238183</v>
      </c>
    </row>
    <row r="1643" spans="1:12" s="31" customFormat="1" ht="69.75" customHeight="1">
      <c r="A1643" s="895"/>
      <c r="B1643" s="895"/>
      <c r="C1643" s="895"/>
      <c r="D1643" s="895"/>
      <c r="E1643" s="895"/>
      <c r="F1643" s="895"/>
      <c r="G1643" s="895"/>
      <c r="H1643" s="895"/>
      <c r="I1643" s="895"/>
      <c r="J1643" s="895"/>
      <c r="K1643" s="895"/>
      <c r="L1643" s="818"/>
    </row>
    <row r="1644" spans="1:12" s="31" customFormat="1" ht="17.25" customHeight="1">
      <c r="A1644" s="891" t="str">
        <f>A1627</f>
        <v>LƯƠNG THÁNG 01/2025</v>
      </c>
      <c r="B1644" s="895"/>
      <c r="C1644" s="895"/>
      <c r="D1644" s="895"/>
      <c r="E1644" s="904">
        <f>VLOOKUP(B1645,'CNKT '!$C$98:$AC$162,26,0)</f>
        <v>0</v>
      </c>
      <c r="F1644" s="882"/>
      <c r="G1644" s="891" t="str">
        <f>A1644</f>
        <v>LƯƠNG THÁNG 01/2025</v>
      </c>
      <c r="H1644" s="895"/>
      <c r="I1644" s="895"/>
      <c r="J1644" s="898"/>
      <c r="K1644" s="904">
        <f>VLOOKUP(H1645,'CNKT '!$C$98:$AC$162,26,0)</f>
        <v>0</v>
      </c>
      <c r="L1644" s="818"/>
    </row>
    <row r="1645" spans="1:12" s="31" customFormat="1" ht="17.25" customHeight="1">
      <c r="A1645" s="837" t="s">
        <v>17</v>
      </c>
      <c r="B1645" s="976" t="str">
        <f>'CNKT '!C116</f>
        <v>T. May</v>
      </c>
      <c r="C1645" s="822"/>
      <c r="D1645" s="976" t="s">
        <v>398</v>
      </c>
      <c r="E1645" s="976" t="s">
        <v>20</v>
      </c>
      <c r="F1645" s="882"/>
      <c r="G1645" s="837" t="s">
        <v>17</v>
      </c>
      <c r="H1645" s="976" t="str">
        <f>'CNKT '!C117</f>
        <v>T. Huôn</v>
      </c>
      <c r="I1645" s="822"/>
      <c r="J1645" s="976" t="s">
        <v>398</v>
      </c>
      <c r="K1645" s="976" t="s">
        <v>20</v>
      </c>
      <c r="L1645" s="818"/>
    </row>
    <row r="1646" spans="1:12" s="31" customFormat="1" ht="17.25" customHeight="1">
      <c r="A1646" s="821" t="s">
        <v>399</v>
      </c>
      <c r="B1646" s="978" t="s">
        <v>559</v>
      </c>
      <c r="C1646" s="822" t="str">
        <f>VLOOKUP(B1645,'BTH mủ tạp'!$C$98:$AL$160,36,0)</f>
        <v>A</v>
      </c>
      <c r="D1646" s="823"/>
      <c r="E1646" s="823"/>
      <c r="F1646" s="882"/>
      <c r="G1646" s="821" t="s">
        <v>399</v>
      </c>
      <c r="H1646" s="978" t="s">
        <v>559</v>
      </c>
      <c r="I1646" s="822" t="str">
        <f>VLOOKUP(H1645,'BTH mủ tạp'!$C$98:$AL$160,36,0)</f>
        <v>A</v>
      </c>
      <c r="J1646" s="823"/>
      <c r="K1646" s="823"/>
      <c r="L1646" s="818"/>
    </row>
    <row r="1647" spans="1:12" s="31" customFormat="1" ht="17.25" customHeight="1">
      <c r="A1647" s="821" t="s">
        <v>79</v>
      </c>
      <c r="B1647" s="979" t="s">
        <v>432</v>
      </c>
      <c r="C1647" s="824">
        <f>VLOOKUP(B1645,'CNKT '!$C$97:$Z$162,3,0)</f>
        <v>0</v>
      </c>
      <c r="D1647" s="825">
        <v>25000</v>
      </c>
      <c r="E1647" s="823">
        <f t="shared" ref="E1647:E1652" si="191">C1647*D1647</f>
        <v>0</v>
      </c>
      <c r="F1647" s="882"/>
      <c r="G1647" s="821" t="s">
        <v>79</v>
      </c>
      <c r="H1647" s="979" t="s">
        <v>432</v>
      </c>
      <c r="I1647" s="824">
        <f>VLOOKUP(H1645,'CNKT '!$C$97:$Z$162,3,0)</f>
        <v>0</v>
      </c>
      <c r="J1647" s="825">
        <v>25000</v>
      </c>
      <c r="K1647" s="823">
        <f t="shared" ref="K1647:K1652" si="192">I1647*J1647</f>
        <v>0</v>
      </c>
      <c r="L1647" s="818"/>
    </row>
    <row r="1648" spans="1:12" s="31" customFormat="1" ht="17.25" customHeight="1">
      <c r="A1648" s="821" t="s">
        <v>310</v>
      </c>
      <c r="B1648" s="980" t="s">
        <v>560</v>
      </c>
      <c r="C1648" s="879">
        <f>VLOOKUP(B1645,'CNKT '!$C$97:$Z$162,11,0)</f>
        <v>27</v>
      </c>
      <c r="D1648" s="826">
        <f>46.1*$B$2</f>
        <v>30805.403000000002</v>
      </c>
      <c r="E1648" s="823">
        <f t="shared" si="191"/>
        <v>831745.88100000005</v>
      </c>
      <c r="F1648" s="882"/>
      <c r="G1648" s="821" t="s">
        <v>310</v>
      </c>
      <c r="H1648" s="980" t="s">
        <v>560</v>
      </c>
      <c r="I1648" s="879">
        <f>VLOOKUP(H1645,'CNKT '!$C$97:$Z$162,11,0)</f>
        <v>27</v>
      </c>
      <c r="J1648" s="826">
        <f>46.1*$B$2</f>
        <v>30805.403000000002</v>
      </c>
      <c r="K1648" s="823">
        <f t="shared" si="192"/>
        <v>831745.88100000005</v>
      </c>
      <c r="L1648" s="818"/>
    </row>
    <row r="1649" spans="1:12" s="31" customFormat="1" ht="17.25" customHeight="1">
      <c r="A1649" s="821" t="s">
        <v>401</v>
      </c>
      <c r="B1649" s="980" t="s">
        <v>561</v>
      </c>
      <c r="C1649" s="879">
        <f>VLOOKUP(B1645,'CNKT '!$C$97:$Z$162,12,0)</f>
        <v>3</v>
      </c>
      <c r="D1649" s="825">
        <f>76.9*$B$2</f>
        <v>51386.887000000002</v>
      </c>
      <c r="E1649" s="823">
        <f t="shared" si="191"/>
        <v>154160.66100000002</v>
      </c>
      <c r="F1649" s="882"/>
      <c r="G1649" s="821" t="s">
        <v>401</v>
      </c>
      <c r="H1649" s="980" t="s">
        <v>561</v>
      </c>
      <c r="I1649" s="879">
        <f>VLOOKUP(H1645,'CNKT '!$C$97:$Z$162,12,0)</f>
        <v>3</v>
      </c>
      <c r="J1649" s="825">
        <f>76.9*$B$2</f>
        <v>51386.887000000002</v>
      </c>
      <c r="K1649" s="823">
        <f t="shared" si="192"/>
        <v>154160.66100000002</v>
      </c>
      <c r="L1649" s="818"/>
    </row>
    <row r="1650" spans="1:12" s="31" customFormat="1" ht="17.25" customHeight="1">
      <c r="A1650" s="821" t="s">
        <v>80</v>
      </c>
      <c r="B1650" s="980" t="s">
        <v>562</v>
      </c>
      <c r="C1650" s="879">
        <f>VLOOKUP(B1645,'CNKT '!$C$97:$Z$162,8,0)</f>
        <v>909.55564188837832</v>
      </c>
      <c r="D1650" s="825">
        <f>IF(C1646="A",6.1,IF(C1646="B",5.8,IF(C1646="C",5.5,IF(C1646="C.",5.5,IF(C1646="D",5.2)))))*$B$2</f>
        <v>4076.203</v>
      </c>
      <c r="E1650" s="823">
        <f t="shared" si="191"/>
        <v>3707533.4361323332</v>
      </c>
      <c r="F1650" s="882"/>
      <c r="G1650" s="821" t="s">
        <v>80</v>
      </c>
      <c r="H1650" s="980" t="s">
        <v>562</v>
      </c>
      <c r="I1650" s="879">
        <f>VLOOKUP(H1645,'CNKT '!$C$97:$Z$162,8,0)</f>
        <v>752.63063164632979</v>
      </c>
      <c r="J1650" s="825">
        <f>IF(I1646="A",6.1,IF(I1646="B",5.8,IF(I1646="C",5.5,IF(I1646="C.",5.5,IF(I1646="D",5.2)))))*$B$2</f>
        <v>4076.203</v>
      </c>
      <c r="K1650" s="823">
        <f t="shared" si="192"/>
        <v>3067875.2386086644</v>
      </c>
      <c r="L1650" s="818"/>
    </row>
    <row r="1651" spans="1:12" s="31" customFormat="1" ht="17.25" customHeight="1">
      <c r="A1651" s="821" t="s">
        <v>497</v>
      </c>
      <c r="B1651" s="980" t="s">
        <v>563</v>
      </c>
      <c r="C1651" s="879">
        <f>VLOOKUP(B1645,'CNKT '!$C$97:$Z$162,13,0)</f>
        <v>0</v>
      </c>
      <c r="D1651" s="826">
        <f>92.2*$B$2</f>
        <v>61610.806000000004</v>
      </c>
      <c r="E1651" s="823">
        <f t="shared" si="191"/>
        <v>0</v>
      </c>
      <c r="F1651" s="882"/>
      <c r="G1651" s="821" t="s">
        <v>497</v>
      </c>
      <c r="H1651" s="980" t="s">
        <v>563</v>
      </c>
      <c r="I1651" s="879">
        <f>VLOOKUP(H1645,'CNKT '!$C$97:$Z$162,13,0)</f>
        <v>0</v>
      </c>
      <c r="J1651" s="826">
        <f>92.2*$B$2</f>
        <v>61610.806000000004</v>
      </c>
      <c r="K1651" s="823">
        <f t="shared" si="192"/>
        <v>0</v>
      </c>
      <c r="L1651" s="818"/>
    </row>
    <row r="1652" spans="1:12" s="31" customFormat="1" ht="17.25" customHeight="1">
      <c r="A1652" s="821" t="s">
        <v>448</v>
      </c>
      <c r="B1652" s="980" t="s">
        <v>500</v>
      </c>
      <c r="C1652" s="879">
        <f>VLOOKUP(B1645,'CNKT '!$C$97:$Z$162,14,0)</f>
        <v>0</v>
      </c>
      <c r="D1652" s="825">
        <f>153.6*$B$2</f>
        <v>102640.128</v>
      </c>
      <c r="E1652" s="823">
        <f t="shared" si="191"/>
        <v>0</v>
      </c>
      <c r="F1652" s="882"/>
      <c r="G1652" s="821" t="s">
        <v>448</v>
      </c>
      <c r="H1652" s="980" t="s">
        <v>500</v>
      </c>
      <c r="I1652" s="879">
        <f>VLOOKUP(H1645,'CNKT '!$C$97:$Z$162,14,0)</f>
        <v>0</v>
      </c>
      <c r="J1652" s="825">
        <f>153.6*$B$2</f>
        <v>102640.128</v>
      </c>
      <c r="K1652" s="823">
        <f t="shared" si="192"/>
        <v>0</v>
      </c>
      <c r="L1652" s="818"/>
    </row>
    <row r="1653" spans="1:12" s="31" customFormat="1" ht="17.25" customHeight="1">
      <c r="A1653" s="821" t="s">
        <v>455</v>
      </c>
      <c r="B1653" s="980" t="s">
        <v>501</v>
      </c>
      <c r="C1653" s="879">
        <f>VLOOKUP(B1645,'CNKT '!$C$98:$Z$162,18,0)</f>
        <v>0</v>
      </c>
      <c r="D1653" s="825">
        <v>10000</v>
      </c>
      <c r="E1653" s="823">
        <f>C1653*D1653</f>
        <v>0</v>
      </c>
      <c r="F1653" s="882"/>
      <c r="G1653" s="821" t="s">
        <v>455</v>
      </c>
      <c r="H1653" s="980" t="s">
        <v>501</v>
      </c>
      <c r="I1653" s="879">
        <f>VLOOKUP(H1645,'CNKT '!$C$98:$Z$162,18,0)</f>
        <v>0</v>
      </c>
      <c r="J1653" s="825">
        <v>10000</v>
      </c>
      <c r="K1653" s="823">
        <f>I1653*J1653</f>
        <v>0</v>
      </c>
      <c r="L1653" s="818"/>
    </row>
    <row r="1654" spans="1:12" s="31" customFormat="1" ht="17.25" customHeight="1">
      <c r="A1654" s="821" t="s">
        <v>455</v>
      </c>
      <c r="B1654" s="980" t="s">
        <v>501</v>
      </c>
      <c r="C1654" s="879">
        <f>VLOOKUP(B1645,'CNKT '!$C$98:$Z$162,19,0)</f>
        <v>0</v>
      </c>
      <c r="D1654" s="825">
        <v>20000</v>
      </c>
      <c r="E1654" s="823">
        <f>C1654*D1654</f>
        <v>0</v>
      </c>
      <c r="F1654" s="882"/>
      <c r="G1654" s="821" t="s">
        <v>455</v>
      </c>
      <c r="H1654" s="980" t="s">
        <v>501</v>
      </c>
      <c r="I1654" s="879">
        <f>VLOOKUP(H1645,'CNKT '!$C$98:$Z$162,19,0)</f>
        <v>0</v>
      </c>
      <c r="J1654" s="825">
        <v>20000</v>
      </c>
      <c r="K1654" s="823">
        <f>I1654*J1654</f>
        <v>0</v>
      </c>
      <c r="L1654" s="818"/>
    </row>
    <row r="1655" spans="1:12" s="31" customFormat="1" ht="17.25" customHeight="1">
      <c r="A1655" s="821" t="s">
        <v>517</v>
      </c>
      <c r="B1655" s="980" t="s">
        <v>519</v>
      </c>
      <c r="C1655" s="879"/>
      <c r="D1655" s="825"/>
      <c r="E1655" s="823"/>
      <c r="F1655" s="882"/>
      <c r="G1655" s="821" t="s">
        <v>517</v>
      </c>
      <c r="H1655" s="980" t="s">
        <v>519</v>
      </c>
      <c r="I1655" s="879"/>
      <c r="J1655" s="825"/>
      <c r="K1655" s="823"/>
      <c r="L1655" s="818"/>
    </row>
    <row r="1656" spans="1:12" s="31" customFormat="1" ht="17.25" customHeight="1">
      <c r="A1656" s="827" t="s">
        <v>81</v>
      </c>
      <c r="B1656" s="981" t="s">
        <v>564</v>
      </c>
      <c r="C1656" s="828"/>
      <c r="D1656" s="829"/>
      <c r="E1656" s="828"/>
      <c r="F1656" s="882"/>
      <c r="G1656" s="827" t="s">
        <v>81</v>
      </c>
      <c r="H1656" s="981" t="s">
        <v>564</v>
      </c>
      <c r="I1656" s="828"/>
      <c r="J1656" s="829"/>
      <c r="K1656" s="828"/>
      <c r="L1656" s="818"/>
    </row>
    <row r="1657" spans="1:12" s="31" customFormat="1" ht="17.25" customHeight="1">
      <c r="A1657" s="830" t="s">
        <v>82</v>
      </c>
      <c r="B1657" s="982" t="s">
        <v>565</v>
      </c>
      <c r="C1657" s="828"/>
      <c r="D1657" s="828"/>
      <c r="E1657" s="828"/>
      <c r="F1657" s="882"/>
      <c r="G1657" s="830" t="s">
        <v>82</v>
      </c>
      <c r="H1657" s="982" t="s">
        <v>565</v>
      </c>
      <c r="I1657" s="828"/>
      <c r="J1657" s="828"/>
      <c r="K1657" s="828"/>
      <c r="L1657" s="818"/>
    </row>
    <row r="1658" spans="1:12" s="31" customFormat="1" ht="17.25" customHeight="1">
      <c r="A1658" s="830" t="s">
        <v>83</v>
      </c>
      <c r="B1658" s="983" t="s">
        <v>566</v>
      </c>
      <c r="C1658" s="828"/>
      <c r="D1658" s="828"/>
      <c r="E1658" s="823">
        <f>SUM(E1657)</f>
        <v>0</v>
      </c>
      <c r="F1658" s="869"/>
      <c r="G1658" s="830" t="s">
        <v>83</v>
      </c>
      <c r="H1658" s="983" t="s">
        <v>566</v>
      </c>
      <c r="I1658" s="828"/>
      <c r="J1658" s="828"/>
      <c r="K1658" s="823">
        <f>SUM(K1657)</f>
        <v>0</v>
      </c>
      <c r="L1658" s="818"/>
    </row>
    <row r="1659" spans="1:12" s="31" customFormat="1" ht="17.25" customHeight="1">
      <c r="A1659" s="832" t="s">
        <v>84</v>
      </c>
      <c r="B1659" s="984" t="s">
        <v>438</v>
      </c>
      <c r="C1659" s="833"/>
      <c r="D1659" s="833"/>
      <c r="E1659" s="833">
        <f>(E1647+E1648+E1649+E1650+E1651+E1652+E1653+E1654+E1655)-E1658</f>
        <v>4693439.9781323336</v>
      </c>
      <c r="F1659" s="869"/>
      <c r="G1659" s="832" t="s">
        <v>84</v>
      </c>
      <c r="H1659" s="984" t="s">
        <v>438</v>
      </c>
      <c r="I1659" s="833"/>
      <c r="J1659" s="833"/>
      <c r="K1659" s="833">
        <f>(K1647+K1648+K1649+K1650+K1651+K1652+K1653+K1654+K1655)-K1658</f>
        <v>4053781.7806086643</v>
      </c>
      <c r="L1659" s="835">
        <f>E1659+K1659</f>
        <v>8747221.7587409988</v>
      </c>
    </row>
    <row r="1660" spans="1:12" s="31" customFormat="1" ht="17.25" customHeight="1">
      <c r="A1660" s="895"/>
      <c r="B1660" s="895"/>
      <c r="C1660" s="895"/>
      <c r="D1660" s="895"/>
      <c r="E1660" s="895"/>
      <c r="F1660" s="895"/>
      <c r="G1660" s="895"/>
      <c r="H1660" s="895"/>
      <c r="I1660" s="895"/>
      <c r="J1660" s="895"/>
      <c r="K1660" s="895"/>
      <c r="L1660" s="818"/>
    </row>
    <row r="1661" spans="1:12" s="31" customFormat="1" ht="17.25" customHeight="1">
      <c r="A1661" s="891" t="str">
        <f>A1644</f>
        <v>LƯƠNG THÁNG 01/2025</v>
      </c>
      <c r="B1661" s="895"/>
      <c r="C1661" s="895"/>
      <c r="D1661" s="895"/>
      <c r="E1661" s="904">
        <f>VLOOKUP(B1662,'CNKT '!$C$98:$AC$162,26,0)</f>
        <v>0</v>
      </c>
      <c r="F1661" s="882"/>
      <c r="G1661" s="891" t="str">
        <f>A1661</f>
        <v>LƯƠNG THÁNG 01/2025</v>
      </c>
      <c r="H1661" s="895"/>
      <c r="I1661" s="895"/>
      <c r="J1661" s="898"/>
      <c r="K1661" s="904">
        <f>VLOOKUP(H1662,'CNKT '!$C$98:$AC$162,26,0)</f>
        <v>0</v>
      </c>
      <c r="L1661" s="818"/>
    </row>
    <row r="1662" spans="1:12" s="31" customFormat="1" ht="17.25" customHeight="1">
      <c r="A1662" s="837" t="s">
        <v>17</v>
      </c>
      <c r="B1662" s="976" t="str">
        <f>'CNKT '!C118</f>
        <v>N. Lay</v>
      </c>
      <c r="C1662" s="822"/>
      <c r="D1662" s="976" t="s">
        <v>398</v>
      </c>
      <c r="E1662" s="976" t="s">
        <v>20</v>
      </c>
      <c r="F1662" s="882"/>
      <c r="G1662" s="837" t="s">
        <v>17</v>
      </c>
      <c r="H1662" s="976" t="str">
        <f>'CNKT '!C119</f>
        <v>N. Pon</v>
      </c>
      <c r="I1662" s="822"/>
      <c r="J1662" s="976" t="s">
        <v>398</v>
      </c>
      <c r="K1662" s="976" t="s">
        <v>20</v>
      </c>
      <c r="L1662" s="818"/>
    </row>
    <row r="1663" spans="1:12" s="31" customFormat="1" ht="17.25" customHeight="1">
      <c r="A1663" s="821" t="s">
        <v>399</v>
      </c>
      <c r="B1663" s="978" t="s">
        <v>559</v>
      </c>
      <c r="C1663" s="822" t="str">
        <f>VLOOKUP(B1662,'BTH mủ tạp'!$C$98:$AL$160,36,0)</f>
        <v>A</v>
      </c>
      <c r="D1663" s="823"/>
      <c r="E1663" s="823"/>
      <c r="F1663" s="882"/>
      <c r="G1663" s="821" t="s">
        <v>399</v>
      </c>
      <c r="H1663" s="978" t="s">
        <v>559</v>
      </c>
      <c r="I1663" s="822" t="str">
        <f>VLOOKUP(H1662,'BTH mủ tạp'!$C$98:$AL$160,36,0)</f>
        <v>A</v>
      </c>
      <c r="J1663" s="823"/>
      <c r="K1663" s="823"/>
      <c r="L1663" s="818"/>
    </row>
    <row r="1664" spans="1:12" s="31" customFormat="1" ht="17.25" customHeight="1">
      <c r="A1664" s="821" t="s">
        <v>79</v>
      </c>
      <c r="B1664" s="979" t="s">
        <v>432</v>
      </c>
      <c r="C1664" s="824">
        <f>VLOOKUP(B1662,'CNKT '!$C$97:$Z$162,3,0)</f>
        <v>0</v>
      </c>
      <c r="D1664" s="825">
        <v>25000</v>
      </c>
      <c r="E1664" s="823">
        <f t="shared" ref="E1664:E1669" si="193">C1664*D1664</f>
        <v>0</v>
      </c>
      <c r="F1664" s="882"/>
      <c r="G1664" s="821" t="s">
        <v>79</v>
      </c>
      <c r="H1664" s="979" t="s">
        <v>432</v>
      </c>
      <c r="I1664" s="824">
        <f>VLOOKUP(H1662,'CNKT '!$C$97:$Z$162,3,0)</f>
        <v>0</v>
      </c>
      <c r="J1664" s="825">
        <v>25000</v>
      </c>
      <c r="K1664" s="823">
        <f t="shared" ref="K1664:K1669" si="194">I1664*J1664</f>
        <v>0</v>
      </c>
      <c r="L1664" s="818"/>
    </row>
    <row r="1665" spans="1:12" s="31" customFormat="1" ht="17.25" customHeight="1">
      <c r="A1665" s="821" t="s">
        <v>310</v>
      </c>
      <c r="B1665" s="980" t="s">
        <v>560</v>
      </c>
      <c r="C1665" s="879">
        <f>VLOOKUP(B1662,'CNKT '!$C$97:$Z$162,11,0)</f>
        <v>27</v>
      </c>
      <c r="D1665" s="826">
        <f>46.1*$B$2</f>
        <v>30805.403000000002</v>
      </c>
      <c r="E1665" s="823">
        <f t="shared" si="193"/>
        <v>831745.88100000005</v>
      </c>
      <c r="F1665" s="882"/>
      <c r="G1665" s="821" t="s">
        <v>310</v>
      </c>
      <c r="H1665" s="980" t="s">
        <v>560</v>
      </c>
      <c r="I1665" s="879">
        <f>VLOOKUP(H1662,'CNKT '!$C$97:$Z$162,11,0)</f>
        <v>27</v>
      </c>
      <c r="J1665" s="826">
        <f>46.1*$B$2</f>
        <v>30805.403000000002</v>
      </c>
      <c r="K1665" s="823">
        <f t="shared" si="194"/>
        <v>831745.88100000005</v>
      </c>
      <c r="L1665" s="818"/>
    </row>
    <row r="1666" spans="1:12" s="31" customFormat="1" ht="17.25" customHeight="1">
      <c r="A1666" s="821" t="s">
        <v>401</v>
      </c>
      <c r="B1666" s="980" t="s">
        <v>561</v>
      </c>
      <c r="C1666" s="879">
        <f>VLOOKUP(B1662,'CNKT '!$C$97:$Z$162,12,0)</f>
        <v>3</v>
      </c>
      <c r="D1666" s="825">
        <f>76.9*$B$2</f>
        <v>51386.887000000002</v>
      </c>
      <c r="E1666" s="823">
        <f t="shared" si="193"/>
        <v>154160.66100000002</v>
      </c>
      <c r="F1666" s="882"/>
      <c r="G1666" s="821" t="s">
        <v>401</v>
      </c>
      <c r="H1666" s="980" t="s">
        <v>561</v>
      </c>
      <c r="I1666" s="879">
        <f>VLOOKUP(H1662,'CNKT '!$C$97:$Z$162,12,0)</f>
        <v>4</v>
      </c>
      <c r="J1666" s="825">
        <f>76.9*$B$2</f>
        <v>51386.887000000002</v>
      </c>
      <c r="K1666" s="823">
        <f t="shared" si="194"/>
        <v>205547.54800000001</v>
      </c>
      <c r="L1666" s="818"/>
    </row>
    <row r="1667" spans="1:12" s="31" customFormat="1" ht="17.25" customHeight="1">
      <c r="A1667" s="821" t="s">
        <v>80</v>
      </c>
      <c r="B1667" s="980" t="s">
        <v>562</v>
      </c>
      <c r="C1667" s="879">
        <f>VLOOKUP(B1662,'CNKT '!$C$97:$Z$162,8,0)</f>
        <v>723.68329965993246</v>
      </c>
      <c r="D1667" s="825">
        <f>IF(C1663="A",6.1,IF(C1663="B",5.8,IF(C1663="C",5.5,IF(C1663="C.",5.5,IF(C1663="D",5.2)))))*$B$2</f>
        <v>4076.203</v>
      </c>
      <c r="E1667" s="823">
        <f t="shared" si="193"/>
        <v>2949880.0371237155</v>
      </c>
      <c r="F1667" s="882"/>
      <c r="G1667" s="821" t="s">
        <v>80</v>
      </c>
      <c r="H1667" s="980" t="s">
        <v>562</v>
      </c>
      <c r="I1667" s="879">
        <f>VLOOKUP(H1662,'CNKT '!$C$97:$Z$162,8,0)</f>
        <v>1123.3596202440494</v>
      </c>
      <c r="J1667" s="825">
        <f>IF(I1663="A",6.1,IF(I1663="B",5.8,IF(I1663="C",5.5,IF(I1663="C.",5.5,IF(I1663="D",5.2)))))*$B$2</f>
        <v>4076.203</v>
      </c>
      <c r="K1667" s="823">
        <f t="shared" si="194"/>
        <v>4579041.8541176552</v>
      </c>
      <c r="L1667" s="818"/>
    </row>
    <row r="1668" spans="1:12" s="31" customFormat="1" ht="17.25" customHeight="1">
      <c r="A1668" s="821" t="s">
        <v>497</v>
      </c>
      <c r="B1668" s="980" t="s">
        <v>563</v>
      </c>
      <c r="C1668" s="879">
        <f>VLOOKUP(B1662,'CNKT '!$C$97:$Z$162,13,0)</f>
        <v>0</v>
      </c>
      <c r="D1668" s="826">
        <f>92.2*$B$2</f>
        <v>61610.806000000004</v>
      </c>
      <c r="E1668" s="823">
        <f t="shared" si="193"/>
        <v>0</v>
      </c>
      <c r="F1668" s="882"/>
      <c r="G1668" s="821" t="s">
        <v>497</v>
      </c>
      <c r="H1668" s="980" t="s">
        <v>563</v>
      </c>
      <c r="I1668" s="879">
        <f>VLOOKUP(H1662,'CNKT '!$C$97:$Z$162,13,0)</f>
        <v>0</v>
      </c>
      <c r="J1668" s="826">
        <f>92.2*$B$2</f>
        <v>61610.806000000004</v>
      </c>
      <c r="K1668" s="823">
        <f t="shared" si="194"/>
        <v>0</v>
      </c>
      <c r="L1668" s="818"/>
    </row>
    <row r="1669" spans="1:12" s="31" customFormat="1" ht="17.25" customHeight="1">
      <c r="A1669" s="821" t="s">
        <v>448</v>
      </c>
      <c r="B1669" s="980" t="s">
        <v>500</v>
      </c>
      <c r="C1669" s="879">
        <f>VLOOKUP(B1662,'CNKT '!$C$97:$Z$162,14,0)</f>
        <v>0</v>
      </c>
      <c r="D1669" s="825">
        <f>153.6*$B$2</f>
        <v>102640.128</v>
      </c>
      <c r="E1669" s="823">
        <f t="shared" si="193"/>
        <v>0</v>
      </c>
      <c r="F1669" s="882"/>
      <c r="G1669" s="821" t="s">
        <v>448</v>
      </c>
      <c r="H1669" s="980" t="s">
        <v>500</v>
      </c>
      <c r="I1669" s="879">
        <f>VLOOKUP(H1662,'CNKT '!$C$97:$Z$162,14,0)</f>
        <v>0</v>
      </c>
      <c r="J1669" s="825">
        <f>153.6*$B$2</f>
        <v>102640.128</v>
      </c>
      <c r="K1669" s="823">
        <f t="shared" si="194"/>
        <v>0</v>
      </c>
      <c r="L1669" s="818"/>
    </row>
    <row r="1670" spans="1:12" s="31" customFormat="1" ht="17.25" customHeight="1">
      <c r="A1670" s="821" t="s">
        <v>455</v>
      </c>
      <c r="B1670" s="980" t="s">
        <v>501</v>
      </c>
      <c r="C1670" s="879">
        <f>VLOOKUP(B1662,'CNKT '!$C$98:$Z$162,18,0)</f>
        <v>0</v>
      </c>
      <c r="D1670" s="825">
        <v>10000</v>
      </c>
      <c r="E1670" s="823">
        <f>C1670*D1670</f>
        <v>0</v>
      </c>
      <c r="F1670" s="882"/>
      <c r="G1670" s="821" t="s">
        <v>455</v>
      </c>
      <c r="H1670" s="980" t="s">
        <v>501</v>
      </c>
      <c r="I1670" s="879">
        <f>VLOOKUP(H1662,'CNKT '!$C$98:$Z$162,18,0)</f>
        <v>0</v>
      </c>
      <c r="J1670" s="825">
        <v>10000</v>
      </c>
      <c r="K1670" s="823">
        <f>I1670*J1670</f>
        <v>0</v>
      </c>
      <c r="L1670" s="818"/>
    </row>
    <row r="1671" spans="1:12" s="31" customFormat="1" ht="17.25" customHeight="1">
      <c r="A1671" s="821" t="s">
        <v>455</v>
      </c>
      <c r="B1671" s="980" t="s">
        <v>501</v>
      </c>
      <c r="C1671" s="879">
        <f>VLOOKUP(B1662,'CNKT '!$C$98:$Z$162,19,0)</f>
        <v>0</v>
      </c>
      <c r="D1671" s="825">
        <v>20000</v>
      </c>
      <c r="E1671" s="823">
        <f>C1671*D1671</f>
        <v>0</v>
      </c>
      <c r="F1671" s="882"/>
      <c r="G1671" s="821" t="s">
        <v>455</v>
      </c>
      <c r="H1671" s="980" t="s">
        <v>501</v>
      </c>
      <c r="I1671" s="879">
        <f>VLOOKUP(H1662,'CNKT '!$C$98:$Z$162,19,0)</f>
        <v>0</v>
      </c>
      <c r="J1671" s="825">
        <v>20000</v>
      </c>
      <c r="K1671" s="823">
        <f>I1671*J1671</f>
        <v>0</v>
      </c>
      <c r="L1671" s="818"/>
    </row>
    <row r="1672" spans="1:12" s="31" customFormat="1" ht="17.25" customHeight="1">
      <c r="A1672" s="821" t="s">
        <v>517</v>
      </c>
      <c r="B1672" s="980" t="s">
        <v>519</v>
      </c>
      <c r="C1672" s="879"/>
      <c r="D1672" s="825"/>
      <c r="E1672" s="823"/>
      <c r="F1672" s="882"/>
      <c r="G1672" s="821" t="s">
        <v>517</v>
      </c>
      <c r="H1672" s="980" t="s">
        <v>519</v>
      </c>
      <c r="I1672" s="879"/>
      <c r="J1672" s="825"/>
      <c r="K1672" s="823"/>
      <c r="L1672" s="818"/>
    </row>
    <row r="1673" spans="1:12" s="31" customFormat="1" ht="17.25" customHeight="1">
      <c r="A1673" s="827" t="s">
        <v>81</v>
      </c>
      <c r="B1673" s="981" t="s">
        <v>564</v>
      </c>
      <c r="C1673" s="828"/>
      <c r="D1673" s="829"/>
      <c r="E1673" s="828"/>
      <c r="F1673" s="882"/>
      <c r="G1673" s="827" t="s">
        <v>81</v>
      </c>
      <c r="H1673" s="981" t="s">
        <v>564</v>
      </c>
      <c r="I1673" s="828"/>
      <c r="J1673" s="829"/>
      <c r="K1673" s="828"/>
      <c r="L1673" s="818"/>
    </row>
    <row r="1674" spans="1:12" s="31" customFormat="1" ht="17.25" customHeight="1">
      <c r="A1674" s="830" t="s">
        <v>82</v>
      </c>
      <c r="B1674" s="982" t="s">
        <v>565</v>
      </c>
      <c r="C1674" s="828"/>
      <c r="D1674" s="828"/>
      <c r="E1674" s="828"/>
      <c r="F1674" s="882"/>
      <c r="G1674" s="830" t="s">
        <v>82</v>
      </c>
      <c r="H1674" s="982" t="s">
        <v>565</v>
      </c>
      <c r="I1674" s="828"/>
      <c r="J1674" s="828"/>
      <c r="K1674" s="828"/>
      <c r="L1674" s="818"/>
    </row>
    <row r="1675" spans="1:12" s="31" customFormat="1" ht="17.25" customHeight="1">
      <c r="A1675" s="830" t="s">
        <v>83</v>
      </c>
      <c r="B1675" s="983" t="s">
        <v>566</v>
      </c>
      <c r="C1675" s="828"/>
      <c r="D1675" s="828"/>
      <c r="E1675" s="823">
        <f>SUM(E1674)</f>
        <v>0</v>
      </c>
      <c r="F1675" s="869"/>
      <c r="G1675" s="830" t="s">
        <v>83</v>
      </c>
      <c r="H1675" s="983" t="s">
        <v>566</v>
      </c>
      <c r="I1675" s="828"/>
      <c r="J1675" s="828"/>
      <c r="K1675" s="823">
        <f>SUM(K1674)</f>
        <v>0</v>
      </c>
      <c r="L1675" s="818"/>
    </row>
    <row r="1676" spans="1:12" s="31" customFormat="1" ht="17.25" customHeight="1">
      <c r="A1676" s="832" t="s">
        <v>84</v>
      </c>
      <c r="B1676" s="984" t="s">
        <v>438</v>
      </c>
      <c r="C1676" s="833"/>
      <c r="D1676" s="833"/>
      <c r="E1676" s="833">
        <f>(E1664+E1665+E1666+E1667+E1668+E1669+E1670+E1671+E1672)-E1675</f>
        <v>3935786.5791237159</v>
      </c>
      <c r="F1676" s="869"/>
      <c r="G1676" s="832" t="s">
        <v>84</v>
      </c>
      <c r="H1676" s="984" t="s">
        <v>438</v>
      </c>
      <c r="I1676" s="833"/>
      <c r="J1676" s="833"/>
      <c r="K1676" s="833">
        <f>(K1664+K1665+K1666+K1667+K1668+K1669+K1670+K1671+K1672)-K1675</f>
        <v>5616335.2831176557</v>
      </c>
      <c r="L1676" s="835">
        <f>E1676+K1676</f>
        <v>9552121.8622413725</v>
      </c>
    </row>
    <row r="1677" spans="1:12" s="31" customFormat="1" ht="17.25" customHeight="1">
      <c r="A1677" s="895"/>
      <c r="B1677" s="895"/>
      <c r="C1677" s="895"/>
      <c r="D1677" s="895"/>
      <c r="E1677" s="895"/>
      <c r="F1677" s="895"/>
      <c r="G1677" s="895"/>
      <c r="H1677" s="895"/>
      <c r="I1677" s="895"/>
      <c r="J1677" s="895"/>
      <c r="K1677" s="895"/>
      <c r="L1677" s="818"/>
    </row>
    <row r="1678" spans="1:12" s="31" customFormat="1" ht="17.25" customHeight="1">
      <c r="A1678" s="891" t="str">
        <f>A1661</f>
        <v>LƯƠNG THÁNG 01/2025</v>
      </c>
      <c r="B1678" s="895"/>
      <c r="C1678" s="895"/>
      <c r="D1678" s="895"/>
      <c r="E1678" s="904">
        <f>VLOOKUP(B1679,'CNKT '!$C$98:$AC$162,26,0)</f>
        <v>0</v>
      </c>
      <c r="F1678" s="882"/>
      <c r="G1678" s="891" t="str">
        <f>A1678</f>
        <v>LƯƠNG THÁNG 01/2025</v>
      </c>
      <c r="H1678" s="895"/>
      <c r="I1678" s="895"/>
      <c r="J1678" s="898"/>
      <c r="K1678" s="904">
        <f>VLOOKUP(H1679,'CNKT '!$C$98:$AC$162,26,0)</f>
        <v>0</v>
      </c>
      <c r="L1678" s="818"/>
    </row>
    <row r="1679" spans="1:12" s="31" customFormat="1" ht="17.25" customHeight="1">
      <c r="A1679" s="837" t="s">
        <v>17</v>
      </c>
      <c r="B1679" s="976" t="str">
        <f>'CNKT '!C120</f>
        <v>N. Bun Đi</v>
      </c>
      <c r="C1679" s="822"/>
      <c r="D1679" s="976" t="s">
        <v>398</v>
      </c>
      <c r="E1679" s="976" t="s">
        <v>20</v>
      </c>
      <c r="F1679" s="882"/>
      <c r="G1679" s="837" t="s">
        <v>17</v>
      </c>
      <c r="H1679" s="976" t="str">
        <f>'CNKT '!C121</f>
        <v>N. Phon</v>
      </c>
      <c r="I1679" s="822"/>
      <c r="J1679" s="976" t="s">
        <v>398</v>
      </c>
      <c r="K1679" s="976" t="s">
        <v>20</v>
      </c>
      <c r="L1679" s="818"/>
    </row>
    <row r="1680" spans="1:12" s="31" customFormat="1" ht="17.25" customHeight="1">
      <c r="A1680" s="821" t="s">
        <v>399</v>
      </c>
      <c r="B1680" s="978" t="s">
        <v>559</v>
      </c>
      <c r="C1680" s="822" t="str">
        <f>VLOOKUP(B1679,'BTH mủ tạp'!$C$98:$AL$160,36,0)</f>
        <v>A</v>
      </c>
      <c r="D1680" s="823"/>
      <c r="E1680" s="823"/>
      <c r="F1680" s="882"/>
      <c r="G1680" s="821" t="s">
        <v>399</v>
      </c>
      <c r="H1680" s="978" t="s">
        <v>559</v>
      </c>
      <c r="I1680" s="822" t="str">
        <f>VLOOKUP(H1679,'BTH mủ tạp'!$C$98:$AL$160,36,0)</f>
        <v>A</v>
      </c>
      <c r="J1680" s="823"/>
      <c r="K1680" s="823"/>
      <c r="L1680" s="818"/>
    </row>
    <row r="1681" spans="1:12" s="31" customFormat="1" ht="17.25" customHeight="1">
      <c r="A1681" s="821" t="s">
        <v>79</v>
      </c>
      <c r="B1681" s="979" t="s">
        <v>432</v>
      </c>
      <c r="C1681" s="824">
        <f>VLOOKUP(B1679,'CNKT '!$C$97:$Z$162,3,0)</f>
        <v>0</v>
      </c>
      <c r="D1681" s="825">
        <v>25000</v>
      </c>
      <c r="E1681" s="823">
        <f t="shared" ref="E1681:E1686" si="195">C1681*D1681</f>
        <v>0</v>
      </c>
      <c r="F1681" s="882"/>
      <c r="G1681" s="821" t="s">
        <v>79</v>
      </c>
      <c r="H1681" s="979" t="s">
        <v>432</v>
      </c>
      <c r="I1681" s="824">
        <f>VLOOKUP(H1679,'CNKT '!$C$97:$Z$162,3,0)</f>
        <v>0</v>
      </c>
      <c r="J1681" s="825">
        <v>25000</v>
      </c>
      <c r="K1681" s="823">
        <f t="shared" ref="K1681:K1686" si="196">I1681*J1681</f>
        <v>0</v>
      </c>
      <c r="L1681" s="818"/>
    </row>
    <row r="1682" spans="1:12" s="31" customFormat="1" ht="17.25" customHeight="1">
      <c r="A1682" s="821" t="s">
        <v>310</v>
      </c>
      <c r="B1682" s="980" t="s">
        <v>560</v>
      </c>
      <c r="C1682" s="879">
        <f>VLOOKUP(B1679,'CNKT '!$C$97:$Z$162,11,0)</f>
        <v>27</v>
      </c>
      <c r="D1682" s="826">
        <f>46.1*$B$2</f>
        <v>30805.403000000002</v>
      </c>
      <c r="E1682" s="823">
        <f t="shared" si="195"/>
        <v>831745.88100000005</v>
      </c>
      <c r="F1682" s="882"/>
      <c r="G1682" s="821" t="s">
        <v>310</v>
      </c>
      <c r="H1682" s="980" t="s">
        <v>560</v>
      </c>
      <c r="I1682" s="879">
        <f>VLOOKUP(H1679,'CNKT '!$C$97:$Z$162,11,0)</f>
        <v>27</v>
      </c>
      <c r="J1682" s="826">
        <f>46.1*$B$2</f>
        <v>30805.403000000002</v>
      </c>
      <c r="K1682" s="823">
        <f t="shared" si="196"/>
        <v>831745.88100000005</v>
      </c>
      <c r="L1682" s="818"/>
    </row>
    <row r="1683" spans="1:12" s="31" customFormat="1" ht="17.25" customHeight="1">
      <c r="A1683" s="821" t="s">
        <v>401</v>
      </c>
      <c r="B1683" s="980" t="s">
        <v>561</v>
      </c>
      <c r="C1683" s="879">
        <f>VLOOKUP(B1679,'CNKT '!$C$97:$Z$162,12,0)</f>
        <v>4</v>
      </c>
      <c r="D1683" s="825">
        <f>76.9*$B$2</f>
        <v>51386.887000000002</v>
      </c>
      <c r="E1683" s="823">
        <f t="shared" si="195"/>
        <v>205547.54800000001</v>
      </c>
      <c r="F1683" s="882"/>
      <c r="G1683" s="821" t="s">
        <v>401</v>
      </c>
      <c r="H1683" s="980" t="s">
        <v>561</v>
      </c>
      <c r="I1683" s="879">
        <f>VLOOKUP(H1679,'CNKT '!$C$97:$Z$162,12,0)</f>
        <v>4</v>
      </c>
      <c r="J1683" s="825">
        <f>76.9*$B$2</f>
        <v>51386.887000000002</v>
      </c>
      <c r="K1683" s="823">
        <f t="shared" si="196"/>
        <v>205547.54800000001</v>
      </c>
      <c r="L1683" s="818"/>
    </row>
    <row r="1684" spans="1:12" s="31" customFormat="1" ht="17.25" customHeight="1">
      <c r="A1684" s="821" t="s">
        <v>80</v>
      </c>
      <c r="B1684" s="980" t="s">
        <v>562</v>
      </c>
      <c r="C1684" s="879">
        <f>VLOOKUP(B1679,'CNKT '!$C$97:$Z$162,8,0)</f>
        <v>777.00733226645377</v>
      </c>
      <c r="D1684" s="825">
        <f>IF(C1680="A",6.1,IF(C1680="B",5.8,IF(C1680="C",5.5,IF(C1680="C.",5.5,IF(C1680="D",5.2)))))*$B$2</f>
        <v>4076.203</v>
      </c>
      <c r="E1684" s="823">
        <f t="shared" si="195"/>
        <v>3167239.6188065158</v>
      </c>
      <c r="F1684" s="882"/>
      <c r="G1684" s="821" t="s">
        <v>80</v>
      </c>
      <c r="H1684" s="980" t="s">
        <v>562</v>
      </c>
      <c r="I1684" s="879">
        <f>VLOOKUP(H1679,'CNKT '!$C$97:$Z$162,8,0)</f>
        <v>790.21137843568761</v>
      </c>
      <c r="J1684" s="825">
        <f>IF(I1680="A",6.1,IF(I1680="B",5.8,IF(I1680="C",5.5,IF(I1680="C.",5.5,IF(I1680="D",5.2)))))*$B$2</f>
        <v>4076.203</v>
      </c>
      <c r="K1684" s="823">
        <f t="shared" si="196"/>
        <v>3221061.991413685</v>
      </c>
      <c r="L1684" s="818"/>
    </row>
    <row r="1685" spans="1:12" s="31" customFormat="1" ht="17.25" customHeight="1">
      <c r="A1685" s="821" t="s">
        <v>497</v>
      </c>
      <c r="B1685" s="980" t="s">
        <v>563</v>
      </c>
      <c r="C1685" s="879">
        <f>VLOOKUP(B1679,'CNKT '!$C$97:$Z$162,13,0)</f>
        <v>0</v>
      </c>
      <c r="D1685" s="826">
        <f>92.2*$B$2</f>
        <v>61610.806000000004</v>
      </c>
      <c r="E1685" s="823">
        <f t="shared" si="195"/>
        <v>0</v>
      </c>
      <c r="F1685" s="882"/>
      <c r="G1685" s="821" t="s">
        <v>497</v>
      </c>
      <c r="H1685" s="980" t="s">
        <v>563</v>
      </c>
      <c r="I1685" s="879">
        <f>VLOOKUP(H1679,'CNKT '!$C$97:$Z$162,13,0)</f>
        <v>0</v>
      </c>
      <c r="J1685" s="826">
        <f>92.2*$B$2</f>
        <v>61610.806000000004</v>
      </c>
      <c r="K1685" s="823">
        <f t="shared" si="196"/>
        <v>0</v>
      </c>
      <c r="L1685" s="818"/>
    </row>
    <row r="1686" spans="1:12" s="31" customFormat="1" ht="17.25" customHeight="1">
      <c r="A1686" s="821" t="s">
        <v>448</v>
      </c>
      <c r="B1686" s="980" t="s">
        <v>500</v>
      </c>
      <c r="C1686" s="879">
        <f>VLOOKUP(B1679,'CNKT '!$C$97:$Z$162,14,0)</f>
        <v>0</v>
      </c>
      <c r="D1686" s="825">
        <f>153.6*$B$2</f>
        <v>102640.128</v>
      </c>
      <c r="E1686" s="823">
        <f t="shared" si="195"/>
        <v>0</v>
      </c>
      <c r="F1686" s="882"/>
      <c r="G1686" s="821" t="s">
        <v>448</v>
      </c>
      <c r="H1686" s="980" t="s">
        <v>500</v>
      </c>
      <c r="I1686" s="879">
        <f>VLOOKUP(H1679,'CNKT '!$C$97:$Z$162,14,0)</f>
        <v>0</v>
      </c>
      <c r="J1686" s="825">
        <f>153.6*$B$2</f>
        <v>102640.128</v>
      </c>
      <c r="K1686" s="823">
        <f t="shared" si="196"/>
        <v>0</v>
      </c>
      <c r="L1686" s="818"/>
    </row>
    <row r="1687" spans="1:12" s="31" customFormat="1" ht="17.25" customHeight="1">
      <c r="A1687" s="821" t="s">
        <v>455</v>
      </c>
      <c r="B1687" s="980" t="s">
        <v>501</v>
      </c>
      <c r="C1687" s="879">
        <f>VLOOKUP(B1679,'CNKT '!$C$98:$Z$162,18,0)</f>
        <v>0</v>
      </c>
      <c r="D1687" s="825">
        <v>10000</v>
      </c>
      <c r="E1687" s="823">
        <f>C1687*D1687</f>
        <v>0</v>
      </c>
      <c r="F1687" s="882"/>
      <c r="G1687" s="821" t="s">
        <v>455</v>
      </c>
      <c r="H1687" s="980" t="s">
        <v>501</v>
      </c>
      <c r="I1687" s="879">
        <f>VLOOKUP(H1679,'CNKT '!$C$98:$Z$162,18,0)</f>
        <v>0</v>
      </c>
      <c r="J1687" s="825">
        <v>10000</v>
      </c>
      <c r="K1687" s="823">
        <f>I1687*J1687</f>
        <v>0</v>
      </c>
      <c r="L1687" s="818"/>
    </row>
    <row r="1688" spans="1:12" s="31" customFormat="1" ht="17.25" customHeight="1">
      <c r="A1688" s="821" t="s">
        <v>455</v>
      </c>
      <c r="B1688" s="980" t="s">
        <v>501</v>
      </c>
      <c r="C1688" s="879">
        <f>VLOOKUP(B1679,'CNKT '!$C$98:$Z$162,19,0)</f>
        <v>0</v>
      </c>
      <c r="D1688" s="825">
        <v>20000</v>
      </c>
      <c r="E1688" s="823">
        <f>C1688*D1688</f>
        <v>0</v>
      </c>
      <c r="F1688" s="882"/>
      <c r="G1688" s="821" t="s">
        <v>455</v>
      </c>
      <c r="H1688" s="980" t="s">
        <v>501</v>
      </c>
      <c r="I1688" s="879">
        <f>VLOOKUP(H1679,'CNKT '!$C$98:$Z$162,19,0)</f>
        <v>0</v>
      </c>
      <c r="J1688" s="825">
        <v>20000</v>
      </c>
      <c r="K1688" s="823">
        <f>I1688*J1688</f>
        <v>0</v>
      </c>
      <c r="L1688" s="818"/>
    </row>
    <row r="1689" spans="1:12" s="31" customFormat="1" ht="17.25" customHeight="1">
      <c r="A1689" s="821" t="s">
        <v>517</v>
      </c>
      <c r="B1689" s="980" t="s">
        <v>519</v>
      </c>
      <c r="C1689" s="879"/>
      <c r="D1689" s="825"/>
      <c r="E1689" s="823"/>
      <c r="F1689" s="882"/>
      <c r="G1689" s="821" t="s">
        <v>517</v>
      </c>
      <c r="H1689" s="980" t="s">
        <v>519</v>
      </c>
      <c r="I1689" s="879"/>
      <c r="J1689" s="825"/>
      <c r="K1689" s="823"/>
      <c r="L1689" s="818"/>
    </row>
    <row r="1690" spans="1:12" s="31" customFormat="1" ht="17.25" customHeight="1">
      <c r="A1690" s="827" t="s">
        <v>81</v>
      </c>
      <c r="B1690" s="981" t="s">
        <v>564</v>
      </c>
      <c r="C1690" s="828"/>
      <c r="D1690" s="829"/>
      <c r="E1690" s="828"/>
      <c r="F1690" s="882"/>
      <c r="G1690" s="827" t="s">
        <v>81</v>
      </c>
      <c r="H1690" s="981" t="s">
        <v>564</v>
      </c>
      <c r="I1690" s="828"/>
      <c r="J1690" s="829"/>
      <c r="K1690" s="828"/>
      <c r="L1690" s="818"/>
    </row>
    <row r="1691" spans="1:12" s="31" customFormat="1" ht="17.25" customHeight="1">
      <c r="A1691" s="830" t="s">
        <v>82</v>
      </c>
      <c r="B1691" s="982" t="s">
        <v>565</v>
      </c>
      <c r="C1691" s="828"/>
      <c r="D1691" s="828"/>
      <c r="E1691" s="828"/>
      <c r="F1691" s="882"/>
      <c r="G1691" s="830" t="s">
        <v>82</v>
      </c>
      <c r="H1691" s="982" t="s">
        <v>565</v>
      </c>
      <c r="I1691" s="828"/>
      <c r="J1691" s="828"/>
      <c r="K1691" s="828"/>
      <c r="L1691" s="818"/>
    </row>
    <row r="1692" spans="1:12" s="31" customFormat="1" ht="17.25" customHeight="1">
      <c r="A1692" s="830" t="s">
        <v>83</v>
      </c>
      <c r="B1692" s="983" t="s">
        <v>566</v>
      </c>
      <c r="C1692" s="828"/>
      <c r="D1692" s="828"/>
      <c r="E1692" s="823">
        <f>SUM(E1691)</f>
        <v>0</v>
      </c>
      <c r="F1692" s="878"/>
      <c r="G1692" s="830" t="s">
        <v>83</v>
      </c>
      <c r="H1692" s="983" t="s">
        <v>566</v>
      </c>
      <c r="I1692" s="828"/>
      <c r="J1692" s="828"/>
      <c r="K1692" s="823">
        <f>SUM(K1691)</f>
        <v>0</v>
      </c>
      <c r="L1692" s="818"/>
    </row>
    <row r="1693" spans="1:12" s="31" customFormat="1" ht="17.25" customHeight="1">
      <c r="A1693" s="832" t="s">
        <v>84</v>
      </c>
      <c r="B1693" s="984" t="s">
        <v>438</v>
      </c>
      <c r="C1693" s="833"/>
      <c r="D1693" s="833"/>
      <c r="E1693" s="833">
        <f>(E1681+E1682+E1683+E1684+E1685+E1686+E1687+E1688+E1689)-E1692</f>
        <v>4204533.0478065163</v>
      </c>
      <c r="F1693" s="878"/>
      <c r="G1693" s="832" t="s">
        <v>84</v>
      </c>
      <c r="H1693" s="984" t="s">
        <v>438</v>
      </c>
      <c r="I1693" s="833"/>
      <c r="J1693" s="833"/>
      <c r="K1693" s="833">
        <f>(K1681+K1682+K1683+K1684+K1685+K1686+K1687+K1688+K1689)-K1692</f>
        <v>4258355.420413685</v>
      </c>
      <c r="L1693" s="835">
        <f>E1693+K1693</f>
        <v>8462888.4682202004</v>
      </c>
    </row>
    <row r="1694" spans="1:12" s="31" customFormat="1" ht="207" customHeight="1">
      <c r="A1694" s="895"/>
      <c r="B1694" s="895"/>
      <c r="C1694" s="895"/>
      <c r="D1694" s="895"/>
      <c r="E1694" s="895"/>
      <c r="F1694" s="895"/>
      <c r="G1694" s="895"/>
      <c r="H1694" s="895"/>
      <c r="I1694" s="895"/>
      <c r="J1694" s="895"/>
      <c r="K1694" s="895"/>
      <c r="L1694" s="818"/>
    </row>
    <row r="1695" spans="1:12" s="31" customFormat="1" ht="17.25" customHeight="1">
      <c r="A1695" s="891" t="str">
        <f>A1678</f>
        <v>LƯƠNG THÁNG 01/2025</v>
      </c>
      <c r="B1695" s="895"/>
      <c r="C1695" s="895"/>
      <c r="D1695" s="895"/>
      <c r="E1695" s="904">
        <f>VLOOKUP(B1696,'CNKT '!$C$98:$AC$162,26,0)</f>
        <v>0</v>
      </c>
      <c r="F1695" s="882"/>
      <c r="G1695" s="891" t="str">
        <f>A1695</f>
        <v>LƯƠNG THÁNG 01/2025</v>
      </c>
      <c r="H1695" s="895"/>
      <c r="I1695" s="895"/>
      <c r="J1695" s="898"/>
      <c r="K1695" s="904">
        <f>VLOOKUP(H1696,'CNKT '!$C$98:$AC$162,26,0)</f>
        <v>0</v>
      </c>
      <c r="L1695" s="818"/>
    </row>
    <row r="1696" spans="1:12" s="31" customFormat="1" ht="17.25" customHeight="1">
      <c r="A1696" s="837" t="s">
        <v>17</v>
      </c>
      <c r="B1696" s="976" t="str">
        <f>'CNKT '!C122</f>
        <v xml:space="preserve">N. Bun </v>
      </c>
      <c r="C1696" s="822"/>
      <c r="D1696" s="976" t="s">
        <v>398</v>
      </c>
      <c r="E1696" s="976" t="s">
        <v>20</v>
      </c>
      <c r="F1696" s="882"/>
      <c r="G1696" s="837" t="s">
        <v>17</v>
      </c>
      <c r="H1696" s="976" t="str">
        <f>'CNKT '!C123</f>
        <v>N. Phu Văn</v>
      </c>
      <c r="I1696" s="822"/>
      <c r="J1696" s="976" t="s">
        <v>398</v>
      </c>
      <c r="K1696" s="976" t="s">
        <v>20</v>
      </c>
      <c r="L1696" s="818"/>
    </row>
    <row r="1697" spans="1:12" s="31" customFormat="1" ht="17.25" customHeight="1">
      <c r="A1697" s="821" t="s">
        <v>399</v>
      </c>
      <c r="B1697" s="978" t="s">
        <v>559</v>
      </c>
      <c r="C1697" s="822" t="str">
        <f>VLOOKUP(B1696,'BTH mủ tạp'!$C$98:$AL$160,36,0)</f>
        <v>A</v>
      </c>
      <c r="D1697" s="823"/>
      <c r="E1697" s="823"/>
      <c r="F1697" s="882"/>
      <c r="G1697" s="821" t="s">
        <v>399</v>
      </c>
      <c r="H1697" s="978" t="s">
        <v>559</v>
      </c>
      <c r="I1697" s="822" t="str">
        <f>VLOOKUP(H1696,'BTH mủ tạp'!$C$98:$AL$160,36,0)</f>
        <v>A</v>
      </c>
      <c r="J1697" s="823"/>
      <c r="K1697" s="823"/>
      <c r="L1697" s="818"/>
    </row>
    <row r="1698" spans="1:12" s="31" customFormat="1" ht="17.25" customHeight="1">
      <c r="A1698" s="821" t="s">
        <v>79</v>
      </c>
      <c r="B1698" s="979" t="s">
        <v>432</v>
      </c>
      <c r="C1698" s="824">
        <f>VLOOKUP(B1696,'CNKT '!$C$97:$Z$162,3,0)</f>
        <v>0</v>
      </c>
      <c r="D1698" s="825">
        <v>25000</v>
      </c>
      <c r="E1698" s="823">
        <f t="shared" ref="E1698:E1703" si="197">C1698*D1698</f>
        <v>0</v>
      </c>
      <c r="F1698" s="882"/>
      <c r="G1698" s="821" t="s">
        <v>79</v>
      </c>
      <c r="H1698" s="979" t="s">
        <v>432</v>
      </c>
      <c r="I1698" s="824">
        <f>VLOOKUP(H1696,'CNKT '!$C$97:$Z$162,3,0)</f>
        <v>0</v>
      </c>
      <c r="J1698" s="825">
        <v>25000</v>
      </c>
      <c r="K1698" s="823">
        <f t="shared" ref="K1698:K1703" si="198">I1698*J1698</f>
        <v>0</v>
      </c>
      <c r="L1698" s="818"/>
    </row>
    <row r="1699" spans="1:12" s="31" customFormat="1" ht="17.25" customHeight="1">
      <c r="A1699" s="821" t="s">
        <v>310</v>
      </c>
      <c r="B1699" s="980" t="s">
        <v>560</v>
      </c>
      <c r="C1699" s="879">
        <f>VLOOKUP(B1696,'CNKT '!$C$97:$Z$162,11,0)</f>
        <v>27</v>
      </c>
      <c r="D1699" s="826">
        <f>46.1*$B$2</f>
        <v>30805.403000000002</v>
      </c>
      <c r="E1699" s="823">
        <f t="shared" si="197"/>
        <v>831745.88100000005</v>
      </c>
      <c r="F1699" s="882"/>
      <c r="G1699" s="821" t="s">
        <v>310</v>
      </c>
      <c r="H1699" s="980" t="s">
        <v>560</v>
      </c>
      <c r="I1699" s="879">
        <f>VLOOKUP(H1696,'CNKT '!$C$97:$Z$162,11,0)</f>
        <v>27</v>
      </c>
      <c r="J1699" s="826">
        <f>46.1*$B$2</f>
        <v>30805.403000000002</v>
      </c>
      <c r="K1699" s="823">
        <f t="shared" si="198"/>
        <v>831745.88100000005</v>
      </c>
      <c r="L1699" s="818"/>
    </row>
    <row r="1700" spans="1:12" s="31" customFormat="1" ht="17.25" customHeight="1">
      <c r="A1700" s="821" t="s">
        <v>401</v>
      </c>
      <c r="B1700" s="980" t="s">
        <v>561</v>
      </c>
      <c r="C1700" s="879">
        <f>VLOOKUP(B1696,'CNKT '!$C$97:$Z$162,12,0)</f>
        <v>4</v>
      </c>
      <c r="D1700" s="825">
        <f>76.9*$B$2</f>
        <v>51386.887000000002</v>
      </c>
      <c r="E1700" s="823">
        <f t="shared" si="197"/>
        <v>205547.54800000001</v>
      </c>
      <c r="F1700" s="882"/>
      <c r="G1700" s="821" t="s">
        <v>401</v>
      </c>
      <c r="H1700" s="980" t="s">
        <v>561</v>
      </c>
      <c r="I1700" s="879">
        <f>VLOOKUP(H1696,'CNKT '!$C$97:$Z$162,12,0)</f>
        <v>4</v>
      </c>
      <c r="J1700" s="825">
        <f>76.9*$B$2</f>
        <v>51386.887000000002</v>
      </c>
      <c r="K1700" s="823">
        <f t="shared" si="198"/>
        <v>205547.54800000001</v>
      </c>
      <c r="L1700" s="818"/>
    </row>
    <row r="1701" spans="1:12" s="31" customFormat="1" ht="17.25" customHeight="1">
      <c r="A1701" s="821" t="s">
        <v>80</v>
      </c>
      <c r="B1701" s="980" t="s">
        <v>562</v>
      </c>
      <c r="C1701" s="879">
        <f>VLOOKUP(B1696,'CNKT '!$C$97:$Z$162,8,0)</f>
        <v>1069.5277397079424</v>
      </c>
      <c r="D1701" s="825">
        <f>IF(C1697="A",6.1,IF(C1697="B",5.8,IF(C1697="C",5.5,IF(C1697="C.",5.5,IF(C1697="D",5.2)))))*$B$2</f>
        <v>4076.203</v>
      </c>
      <c r="E1701" s="823">
        <f t="shared" si="197"/>
        <v>4359612.1811807342</v>
      </c>
      <c r="F1701" s="882"/>
      <c r="G1701" s="821" t="s">
        <v>80</v>
      </c>
      <c r="H1701" s="980" t="s">
        <v>562</v>
      </c>
      <c r="I1701" s="879">
        <f>VLOOKUP(H1696,'CNKT '!$C$97:$Z$162,8,0)</f>
        <v>1144.689233286658</v>
      </c>
      <c r="J1701" s="825">
        <f>IF(I1697="A",6.1,IF(I1697="B",5.8,IF(I1697="C",5.5,IF(I1697="C.",5.5,IF(I1697="D",5.2)))))*$B$2</f>
        <v>4076.203</v>
      </c>
      <c r="K1701" s="823">
        <f t="shared" si="198"/>
        <v>4665985.6867907755</v>
      </c>
      <c r="L1701" s="818"/>
    </row>
    <row r="1702" spans="1:12" s="31" customFormat="1" ht="17.25" customHeight="1">
      <c r="A1702" s="821" t="s">
        <v>497</v>
      </c>
      <c r="B1702" s="980" t="s">
        <v>563</v>
      </c>
      <c r="C1702" s="879">
        <f>VLOOKUP(B1696,'CNKT '!$C$97:$Z$162,13,0)</f>
        <v>0</v>
      </c>
      <c r="D1702" s="826">
        <f>92.2*$B$2</f>
        <v>61610.806000000004</v>
      </c>
      <c r="E1702" s="823">
        <f t="shared" si="197"/>
        <v>0</v>
      </c>
      <c r="F1702" s="882"/>
      <c r="G1702" s="821" t="s">
        <v>497</v>
      </c>
      <c r="H1702" s="980" t="s">
        <v>563</v>
      </c>
      <c r="I1702" s="879">
        <f>VLOOKUP(H1696,'CNKT '!$C$97:$Z$162,13,0)</f>
        <v>0</v>
      </c>
      <c r="J1702" s="826">
        <f>92.2*$B$2</f>
        <v>61610.806000000004</v>
      </c>
      <c r="K1702" s="823">
        <f t="shared" si="198"/>
        <v>0</v>
      </c>
      <c r="L1702" s="818"/>
    </row>
    <row r="1703" spans="1:12" s="31" customFormat="1" ht="17.25" customHeight="1">
      <c r="A1703" s="821" t="s">
        <v>448</v>
      </c>
      <c r="B1703" s="980" t="s">
        <v>500</v>
      </c>
      <c r="C1703" s="879">
        <f>VLOOKUP(B1696,'CNKT '!$C$97:$Z$162,14,0)</f>
        <v>0</v>
      </c>
      <c r="D1703" s="825">
        <f>153.6*$B$2</f>
        <v>102640.128</v>
      </c>
      <c r="E1703" s="823">
        <f t="shared" si="197"/>
        <v>0</v>
      </c>
      <c r="F1703" s="882"/>
      <c r="G1703" s="821" t="s">
        <v>448</v>
      </c>
      <c r="H1703" s="980" t="s">
        <v>500</v>
      </c>
      <c r="I1703" s="879">
        <f>VLOOKUP(H1696,'CNKT '!$C$97:$Z$162,14,0)</f>
        <v>0</v>
      </c>
      <c r="J1703" s="825">
        <f>153.6*$B$2</f>
        <v>102640.128</v>
      </c>
      <c r="K1703" s="823">
        <f t="shared" si="198"/>
        <v>0</v>
      </c>
      <c r="L1703" s="818"/>
    </row>
    <row r="1704" spans="1:12" s="31" customFormat="1" ht="17.25" customHeight="1">
      <c r="A1704" s="821" t="s">
        <v>455</v>
      </c>
      <c r="B1704" s="980" t="s">
        <v>501</v>
      </c>
      <c r="C1704" s="879">
        <f>VLOOKUP(B1696,'CNKT '!$C$98:$Z$162,18,0)</f>
        <v>0</v>
      </c>
      <c r="D1704" s="825">
        <v>10000</v>
      </c>
      <c r="E1704" s="823">
        <f>C1704*D1704</f>
        <v>0</v>
      </c>
      <c r="F1704" s="882"/>
      <c r="G1704" s="821" t="s">
        <v>455</v>
      </c>
      <c r="H1704" s="980" t="s">
        <v>501</v>
      </c>
      <c r="I1704" s="879">
        <f>VLOOKUP(H1696,'CNKT '!$C$98:$Z$162,18,0)</f>
        <v>0</v>
      </c>
      <c r="J1704" s="825">
        <v>10000</v>
      </c>
      <c r="K1704" s="823">
        <f>I1704*J1704</f>
        <v>0</v>
      </c>
      <c r="L1704" s="818"/>
    </row>
    <row r="1705" spans="1:12" s="31" customFormat="1" ht="17.25" customHeight="1">
      <c r="A1705" s="821" t="s">
        <v>455</v>
      </c>
      <c r="B1705" s="980" t="s">
        <v>501</v>
      </c>
      <c r="C1705" s="879">
        <f>VLOOKUP(B1696,'CNKT '!$C$98:$Z$162,19,0)</f>
        <v>0</v>
      </c>
      <c r="D1705" s="825">
        <v>20000</v>
      </c>
      <c r="E1705" s="823">
        <f>C1705*D1705</f>
        <v>0</v>
      </c>
      <c r="F1705" s="882"/>
      <c r="G1705" s="821" t="s">
        <v>455</v>
      </c>
      <c r="H1705" s="980" t="s">
        <v>501</v>
      </c>
      <c r="I1705" s="879">
        <f>VLOOKUP(H1696,'CNKT '!$C$98:$Z$162,19,0)</f>
        <v>0</v>
      </c>
      <c r="J1705" s="825">
        <v>20000</v>
      </c>
      <c r="K1705" s="823">
        <f>I1705*J1705</f>
        <v>0</v>
      </c>
      <c r="L1705" s="818"/>
    </row>
    <row r="1706" spans="1:12" s="31" customFormat="1" ht="17.25" customHeight="1">
      <c r="A1706" s="821" t="s">
        <v>517</v>
      </c>
      <c r="B1706" s="980" t="s">
        <v>519</v>
      </c>
      <c r="C1706" s="879"/>
      <c r="D1706" s="825"/>
      <c r="E1706" s="823"/>
      <c r="F1706" s="882"/>
      <c r="G1706" s="821" t="s">
        <v>517</v>
      </c>
      <c r="H1706" s="980" t="s">
        <v>519</v>
      </c>
      <c r="I1706" s="879"/>
      <c r="J1706" s="825"/>
      <c r="K1706" s="823"/>
      <c r="L1706" s="818"/>
    </row>
    <row r="1707" spans="1:12" s="31" customFormat="1" ht="17.25" customHeight="1">
      <c r="A1707" s="827" t="s">
        <v>81</v>
      </c>
      <c r="B1707" s="981" t="s">
        <v>564</v>
      </c>
      <c r="C1707" s="828"/>
      <c r="D1707" s="829"/>
      <c r="E1707" s="828"/>
      <c r="F1707" s="882"/>
      <c r="G1707" s="827" t="s">
        <v>81</v>
      </c>
      <c r="H1707" s="981" t="s">
        <v>564</v>
      </c>
      <c r="I1707" s="828"/>
      <c r="J1707" s="829"/>
      <c r="K1707" s="828"/>
      <c r="L1707" s="818"/>
    </row>
    <row r="1708" spans="1:12" s="31" customFormat="1" ht="17.25" customHeight="1">
      <c r="A1708" s="830" t="s">
        <v>82</v>
      </c>
      <c r="B1708" s="982" t="s">
        <v>565</v>
      </c>
      <c r="C1708" s="828"/>
      <c r="D1708" s="828"/>
      <c r="E1708" s="828"/>
      <c r="F1708" s="882"/>
      <c r="G1708" s="830" t="s">
        <v>82</v>
      </c>
      <c r="H1708" s="982" t="s">
        <v>565</v>
      </c>
      <c r="I1708" s="828"/>
      <c r="J1708" s="828"/>
      <c r="K1708" s="828"/>
      <c r="L1708" s="818"/>
    </row>
    <row r="1709" spans="1:12" s="31" customFormat="1" ht="17.25" customHeight="1">
      <c r="A1709" s="830" t="s">
        <v>83</v>
      </c>
      <c r="B1709" s="983" t="s">
        <v>566</v>
      </c>
      <c r="C1709" s="828"/>
      <c r="D1709" s="828"/>
      <c r="E1709" s="823">
        <f>SUM(E1708)</f>
        <v>0</v>
      </c>
      <c r="F1709" s="869"/>
      <c r="G1709" s="830" t="s">
        <v>83</v>
      </c>
      <c r="H1709" s="983" t="s">
        <v>566</v>
      </c>
      <c r="I1709" s="828"/>
      <c r="J1709" s="828"/>
      <c r="K1709" s="823">
        <f>SUM(K1708)</f>
        <v>0</v>
      </c>
      <c r="L1709" s="818"/>
    </row>
    <row r="1710" spans="1:12" s="31" customFormat="1" ht="17.25" customHeight="1">
      <c r="A1710" s="832" t="s">
        <v>84</v>
      </c>
      <c r="B1710" s="984" t="s">
        <v>438</v>
      </c>
      <c r="C1710" s="833"/>
      <c r="D1710" s="833"/>
      <c r="E1710" s="833">
        <f>(E1698+E1699+E1700+E1701+E1702+E1703+E1704+E1705+E1706)-E1709</f>
        <v>5396905.6101807337</v>
      </c>
      <c r="F1710" s="869"/>
      <c r="G1710" s="832" t="s">
        <v>84</v>
      </c>
      <c r="H1710" s="984" t="s">
        <v>438</v>
      </c>
      <c r="I1710" s="833"/>
      <c r="J1710" s="833"/>
      <c r="K1710" s="833">
        <f>(K1698+K1699+K1700+K1701+K1702+K1703+K1704+K1705+K1706)-K1709</f>
        <v>5703279.115790775</v>
      </c>
      <c r="L1710" s="835">
        <f>E1710+K1710</f>
        <v>11100184.725971509</v>
      </c>
    </row>
    <row r="1711" spans="1:12" s="31" customFormat="1" ht="17.25" customHeight="1">
      <c r="A1711" s="895"/>
      <c r="B1711" s="895"/>
      <c r="C1711" s="895"/>
      <c r="D1711" s="895"/>
      <c r="E1711" s="895"/>
      <c r="F1711" s="895"/>
      <c r="G1711" s="895"/>
      <c r="H1711" s="895"/>
      <c r="I1711" s="895"/>
      <c r="J1711" s="895"/>
      <c r="K1711" s="895"/>
      <c r="L1711" s="818"/>
    </row>
    <row r="1712" spans="1:12" s="31" customFormat="1" ht="17.25" customHeight="1">
      <c r="A1712" s="891" t="str">
        <f>A1695</f>
        <v>LƯƠNG THÁNG 01/2025</v>
      </c>
      <c r="B1712" s="895"/>
      <c r="C1712" s="895"/>
      <c r="D1712" s="895"/>
      <c r="E1712" s="904">
        <f>VLOOKUP(B1713,'CNKT '!$C$98:$AC$162,26,0)</f>
        <v>0</v>
      </c>
      <c r="F1712" s="882"/>
      <c r="G1712" s="891" t="str">
        <f>A1712</f>
        <v>LƯƠNG THÁNG 01/2025</v>
      </c>
      <c r="H1712" s="895"/>
      <c r="I1712" s="895"/>
      <c r="J1712" s="898"/>
      <c r="K1712" s="904">
        <f>VLOOKUP(H1713,'CNKT '!$C$98:$AC$162,26,0)</f>
        <v>0</v>
      </c>
      <c r="L1712" s="818"/>
    </row>
    <row r="1713" spans="1:12" s="31" customFormat="1" ht="17.25" customHeight="1">
      <c r="A1713" s="837" t="s">
        <v>17</v>
      </c>
      <c r="B1713" s="976" t="str">
        <f>'CNKT '!C124</f>
        <v>N. Lỷ</v>
      </c>
      <c r="C1713" s="822"/>
      <c r="D1713" s="976" t="s">
        <v>398</v>
      </c>
      <c r="E1713" s="976" t="s">
        <v>20</v>
      </c>
      <c r="F1713" s="882"/>
      <c r="G1713" s="837" t="s">
        <v>17</v>
      </c>
      <c r="H1713" s="976" t="str">
        <f>'CNKT '!C125</f>
        <v>N. Quen</v>
      </c>
      <c r="I1713" s="822"/>
      <c r="J1713" s="976" t="s">
        <v>398</v>
      </c>
      <c r="K1713" s="976" t="s">
        <v>20</v>
      </c>
      <c r="L1713" s="818"/>
    </row>
    <row r="1714" spans="1:12" s="31" customFormat="1" ht="17.25" customHeight="1">
      <c r="A1714" s="821" t="s">
        <v>399</v>
      </c>
      <c r="B1714" s="978" t="s">
        <v>559</v>
      </c>
      <c r="C1714" s="822" t="str">
        <f>VLOOKUP(B1713,'BTH mủ tạp'!$C$98:$AL$160,36,0)</f>
        <v>A</v>
      </c>
      <c r="D1714" s="823"/>
      <c r="E1714" s="823"/>
      <c r="F1714" s="882"/>
      <c r="G1714" s="821" t="s">
        <v>399</v>
      </c>
      <c r="H1714" s="978" t="s">
        <v>559</v>
      </c>
      <c r="I1714" s="822" t="str">
        <f>VLOOKUP(H1713,'BTH mủ tạp'!$C$98:$AL$160,36,0)</f>
        <v>A</v>
      </c>
      <c r="J1714" s="823"/>
      <c r="K1714" s="823"/>
      <c r="L1714" s="818"/>
    </row>
    <row r="1715" spans="1:12" s="31" customFormat="1" ht="17.25" customHeight="1">
      <c r="A1715" s="821" t="s">
        <v>79</v>
      </c>
      <c r="B1715" s="979" t="s">
        <v>432</v>
      </c>
      <c r="C1715" s="824">
        <f>VLOOKUP(B1713,'CNKT '!$C$97:$Z$162,3,0)</f>
        <v>0</v>
      </c>
      <c r="D1715" s="825">
        <v>25000</v>
      </c>
      <c r="E1715" s="823">
        <f t="shared" ref="E1715:E1720" si="199">C1715*D1715</f>
        <v>0</v>
      </c>
      <c r="F1715" s="882"/>
      <c r="G1715" s="821" t="s">
        <v>79</v>
      </c>
      <c r="H1715" s="979" t="s">
        <v>432</v>
      </c>
      <c r="I1715" s="824">
        <f>VLOOKUP(H1713,'CNKT '!$C$97:$Z$162,3,0)</f>
        <v>0</v>
      </c>
      <c r="J1715" s="825">
        <v>25000</v>
      </c>
      <c r="K1715" s="823">
        <f t="shared" ref="K1715:K1720" si="200">I1715*J1715</f>
        <v>0</v>
      </c>
      <c r="L1715" s="818"/>
    </row>
    <row r="1716" spans="1:12" s="31" customFormat="1" ht="17.25" customHeight="1">
      <c r="A1716" s="821" t="s">
        <v>310</v>
      </c>
      <c r="B1716" s="980" t="s">
        <v>560</v>
      </c>
      <c r="C1716" s="879">
        <f>VLOOKUP(B1713,'CNKT '!$C$97:$Z$162,11,0)</f>
        <v>17</v>
      </c>
      <c r="D1716" s="826">
        <f>46.1*$B$2</f>
        <v>30805.403000000002</v>
      </c>
      <c r="E1716" s="823">
        <f t="shared" si="199"/>
        <v>523691.85100000002</v>
      </c>
      <c r="F1716" s="882"/>
      <c r="G1716" s="821" t="s">
        <v>310</v>
      </c>
      <c r="H1716" s="980" t="s">
        <v>560</v>
      </c>
      <c r="I1716" s="879">
        <f>VLOOKUP(H1713,'CNKT '!$C$97:$Z$162,11,0)</f>
        <v>27</v>
      </c>
      <c r="J1716" s="826">
        <f>46.1*$B$2</f>
        <v>30805.403000000002</v>
      </c>
      <c r="K1716" s="823">
        <f t="shared" si="200"/>
        <v>831745.88100000005</v>
      </c>
      <c r="L1716" s="818"/>
    </row>
    <row r="1717" spans="1:12" s="31" customFormat="1" ht="17.25" customHeight="1">
      <c r="A1717" s="821" t="s">
        <v>401</v>
      </c>
      <c r="B1717" s="980" t="s">
        <v>561</v>
      </c>
      <c r="C1717" s="879">
        <f>VLOOKUP(B1713,'CNKT '!$C$97:$Z$162,12,0)</f>
        <v>3</v>
      </c>
      <c r="D1717" s="825">
        <f>76.9*$B$2</f>
        <v>51386.887000000002</v>
      </c>
      <c r="E1717" s="823">
        <f t="shared" si="199"/>
        <v>154160.66100000002</v>
      </c>
      <c r="F1717" s="882"/>
      <c r="G1717" s="821" t="s">
        <v>401</v>
      </c>
      <c r="H1717" s="980" t="s">
        <v>561</v>
      </c>
      <c r="I1717" s="879">
        <f>VLOOKUP(H1713,'CNKT '!$C$97:$Z$162,12,0)</f>
        <v>4</v>
      </c>
      <c r="J1717" s="825">
        <f>76.9*$B$2</f>
        <v>51386.887000000002</v>
      </c>
      <c r="K1717" s="823">
        <f t="shared" si="200"/>
        <v>205547.54800000001</v>
      </c>
      <c r="L1717" s="818"/>
    </row>
    <row r="1718" spans="1:12" s="31" customFormat="1" ht="17.25" customHeight="1">
      <c r="A1718" s="821" t="s">
        <v>80</v>
      </c>
      <c r="B1718" s="980" t="s">
        <v>562</v>
      </c>
      <c r="C1718" s="879">
        <f>VLOOKUP(B1713,'CNKT '!$C$97:$Z$162,8,0)</f>
        <v>102.07743384676942</v>
      </c>
      <c r="D1718" s="825">
        <f>IF(C1714="A",6.1,IF(C1714="B",5.8,IF(C1714="C",5.5,IF(C1714="C.",5.5,IF(C1714="D",5.2)))))*$B$2</f>
        <v>4076.203</v>
      </c>
      <c r="E1718" s="823">
        <f t="shared" si="199"/>
        <v>416088.34207850305</v>
      </c>
      <c r="F1718" s="882"/>
      <c r="G1718" s="821" t="s">
        <v>80</v>
      </c>
      <c r="H1718" s="980" t="s">
        <v>562</v>
      </c>
      <c r="I1718" s="879">
        <f>VLOOKUP(H1713,'CNKT '!$C$97:$Z$162,8,0)</f>
        <v>911.58703360672189</v>
      </c>
      <c r="J1718" s="825">
        <f>IF(I1714="A",6.1,IF(I1714="B",5.8,IF(I1714="C",5.5,IF(I1714="C.",5.5,IF(I1714="D",5.2)))))*$B$2</f>
        <v>4076.203</v>
      </c>
      <c r="K1718" s="823">
        <f t="shared" si="200"/>
        <v>3715813.8011488207</v>
      </c>
      <c r="L1718" s="818"/>
    </row>
    <row r="1719" spans="1:12" s="31" customFormat="1" ht="17.25" customHeight="1">
      <c r="A1719" s="821" t="s">
        <v>497</v>
      </c>
      <c r="B1719" s="980" t="s">
        <v>563</v>
      </c>
      <c r="C1719" s="879">
        <f>VLOOKUP(B1713,'CNKT '!$C$97:$Z$162,13,0)</f>
        <v>0</v>
      </c>
      <c r="D1719" s="826">
        <f>92.2*$B$2</f>
        <v>61610.806000000004</v>
      </c>
      <c r="E1719" s="823">
        <f t="shared" si="199"/>
        <v>0</v>
      </c>
      <c r="F1719" s="882"/>
      <c r="G1719" s="821" t="s">
        <v>497</v>
      </c>
      <c r="H1719" s="980" t="s">
        <v>563</v>
      </c>
      <c r="I1719" s="879">
        <f>VLOOKUP(H1713,'CNKT '!$C$97:$Z$162,13,0)</f>
        <v>0</v>
      </c>
      <c r="J1719" s="826">
        <f>92.2*$B$2</f>
        <v>61610.806000000004</v>
      </c>
      <c r="K1719" s="823">
        <f t="shared" si="200"/>
        <v>0</v>
      </c>
      <c r="L1719" s="818"/>
    </row>
    <row r="1720" spans="1:12" s="31" customFormat="1" ht="17.25" customHeight="1">
      <c r="A1720" s="821" t="s">
        <v>448</v>
      </c>
      <c r="B1720" s="980" t="s">
        <v>500</v>
      </c>
      <c r="C1720" s="879">
        <f>VLOOKUP(B1713,'CNKT '!$C$97:$Z$162,14,0)</f>
        <v>0</v>
      </c>
      <c r="D1720" s="825">
        <f>153.6*$B$2</f>
        <v>102640.128</v>
      </c>
      <c r="E1720" s="823">
        <f t="shared" si="199"/>
        <v>0</v>
      </c>
      <c r="F1720" s="882"/>
      <c r="G1720" s="821" t="s">
        <v>448</v>
      </c>
      <c r="H1720" s="980" t="s">
        <v>500</v>
      </c>
      <c r="I1720" s="879">
        <f>VLOOKUP(H1713,'CNKT '!$C$97:$Z$162,14,0)</f>
        <v>0</v>
      </c>
      <c r="J1720" s="825">
        <f>153.6*$B$2</f>
        <v>102640.128</v>
      </c>
      <c r="K1720" s="823">
        <f t="shared" si="200"/>
        <v>0</v>
      </c>
      <c r="L1720" s="818"/>
    </row>
    <row r="1721" spans="1:12" s="31" customFormat="1" ht="17.25" customHeight="1">
      <c r="A1721" s="821" t="s">
        <v>455</v>
      </c>
      <c r="B1721" s="980" t="s">
        <v>501</v>
      </c>
      <c r="C1721" s="879">
        <f>VLOOKUP(B1713,'CNKT '!$C$98:$Z$162,18,0)</f>
        <v>0</v>
      </c>
      <c r="D1721" s="825">
        <v>10000</v>
      </c>
      <c r="E1721" s="823">
        <f>C1721*D1721</f>
        <v>0</v>
      </c>
      <c r="F1721" s="882"/>
      <c r="G1721" s="821" t="s">
        <v>455</v>
      </c>
      <c r="H1721" s="980" t="s">
        <v>501</v>
      </c>
      <c r="I1721" s="879">
        <f>VLOOKUP(H1713,'CNKT '!$C$98:$Z$162,18,0)</f>
        <v>0</v>
      </c>
      <c r="J1721" s="825">
        <v>10000</v>
      </c>
      <c r="K1721" s="823">
        <f>I1721*J1721</f>
        <v>0</v>
      </c>
      <c r="L1721" s="818"/>
    </row>
    <row r="1722" spans="1:12" s="31" customFormat="1" ht="17.25" customHeight="1">
      <c r="A1722" s="821" t="s">
        <v>455</v>
      </c>
      <c r="B1722" s="980" t="s">
        <v>501</v>
      </c>
      <c r="C1722" s="879">
        <f>VLOOKUP(B1713,'CNKT '!$C$98:$Z$162,19,0)</f>
        <v>0</v>
      </c>
      <c r="D1722" s="825">
        <v>20000</v>
      </c>
      <c r="E1722" s="823">
        <f>C1722*D1722</f>
        <v>0</v>
      </c>
      <c r="F1722" s="882"/>
      <c r="G1722" s="821" t="s">
        <v>455</v>
      </c>
      <c r="H1722" s="980" t="s">
        <v>501</v>
      </c>
      <c r="I1722" s="879">
        <f>VLOOKUP(H1713,'CNKT '!$C$98:$Z$162,19,0)</f>
        <v>0</v>
      </c>
      <c r="J1722" s="825">
        <v>20000</v>
      </c>
      <c r="K1722" s="823">
        <f>I1722*J1722</f>
        <v>0</v>
      </c>
      <c r="L1722" s="818"/>
    </row>
    <row r="1723" spans="1:12" s="31" customFormat="1" ht="17.25" customHeight="1">
      <c r="A1723" s="821" t="s">
        <v>517</v>
      </c>
      <c r="B1723" s="980" t="s">
        <v>519</v>
      </c>
      <c r="C1723" s="879"/>
      <c r="D1723" s="825"/>
      <c r="E1723" s="823"/>
      <c r="F1723" s="882"/>
      <c r="G1723" s="821" t="s">
        <v>517</v>
      </c>
      <c r="H1723" s="980" t="s">
        <v>519</v>
      </c>
      <c r="I1723" s="879"/>
      <c r="J1723" s="825"/>
      <c r="K1723" s="823"/>
      <c r="L1723" s="818"/>
    </row>
    <row r="1724" spans="1:12" s="31" customFormat="1" ht="17.25" customHeight="1">
      <c r="A1724" s="827" t="s">
        <v>81</v>
      </c>
      <c r="B1724" s="981" t="s">
        <v>564</v>
      </c>
      <c r="C1724" s="828"/>
      <c r="D1724" s="829"/>
      <c r="E1724" s="828"/>
      <c r="F1724" s="882"/>
      <c r="G1724" s="827" t="s">
        <v>81</v>
      </c>
      <c r="H1724" s="981" t="s">
        <v>564</v>
      </c>
      <c r="I1724" s="828"/>
      <c r="J1724" s="829"/>
      <c r="K1724" s="828"/>
      <c r="L1724" s="818"/>
    </row>
    <row r="1725" spans="1:12" s="31" customFormat="1" ht="17.25" customHeight="1">
      <c r="A1725" s="830" t="s">
        <v>82</v>
      </c>
      <c r="B1725" s="982" t="s">
        <v>565</v>
      </c>
      <c r="C1725" s="828"/>
      <c r="D1725" s="828"/>
      <c r="E1725" s="828"/>
      <c r="F1725" s="882"/>
      <c r="G1725" s="830" t="s">
        <v>82</v>
      </c>
      <c r="H1725" s="982" t="s">
        <v>565</v>
      </c>
      <c r="I1725" s="828"/>
      <c r="J1725" s="828"/>
      <c r="K1725" s="828"/>
      <c r="L1725" s="818"/>
    </row>
    <row r="1726" spans="1:12" s="31" customFormat="1" ht="17.25" customHeight="1">
      <c r="A1726" s="830" t="s">
        <v>83</v>
      </c>
      <c r="B1726" s="983" t="s">
        <v>566</v>
      </c>
      <c r="C1726" s="828"/>
      <c r="D1726" s="828"/>
      <c r="E1726" s="823">
        <f>SUM(E1725)</f>
        <v>0</v>
      </c>
      <c r="F1726" s="869"/>
      <c r="G1726" s="830" t="s">
        <v>83</v>
      </c>
      <c r="H1726" s="983" t="s">
        <v>566</v>
      </c>
      <c r="I1726" s="828"/>
      <c r="J1726" s="828"/>
      <c r="K1726" s="823">
        <f>SUM(K1725)</f>
        <v>0</v>
      </c>
      <c r="L1726" s="818"/>
    </row>
    <row r="1727" spans="1:12" s="31" customFormat="1" ht="17.25" customHeight="1">
      <c r="A1727" s="832" t="s">
        <v>84</v>
      </c>
      <c r="B1727" s="984" t="s">
        <v>438</v>
      </c>
      <c r="C1727" s="833"/>
      <c r="D1727" s="833"/>
      <c r="E1727" s="833">
        <f>(E1715+E1716+E1717+E1718+E1719+E1720+E1721+E1722+E1723)-E1726</f>
        <v>1093940.8540785031</v>
      </c>
      <c r="F1727" s="869"/>
      <c r="G1727" s="832" t="s">
        <v>84</v>
      </c>
      <c r="H1727" s="984" t="s">
        <v>438</v>
      </c>
      <c r="I1727" s="833"/>
      <c r="J1727" s="833"/>
      <c r="K1727" s="833">
        <f>(K1715+K1716+K1717+K1718+K1719+K1720+K1721+K1722+K1723)-K1726</f>
        <v>4753107.2301488202</v>
      </c>
      <c r="L1727" s="835">
        <f>E1727+K1727</f>
        <v>5847048.0842273235</v>
      </c>
    </row>
    <row r="1728" spans="1:12" s="31" customFormat="1" ht="66.75" customHeight="1">
      <c r="A1728" s="895"/>
      <c r="B1728" s="895"/>
      <c r="C1728" s="895"/>
      <c r="D1728" s="895"/>
      <c r="E1728" s="895"/>
      <c r="F1728" s="895"/>
      <c r="G1728" s="895"/>
      <c r="H1728" s="895"/>
      <c r="I1728" s="895"/>
      <c r="J1728" s="895"/>
      <c r="K1728" s="895"/>
      <c r="L1728" s="818"/>
    </row>
    <row r="1729" spans="1:12" s="31" customFormat="1" ht="17.25" customHeight="1">
      <c r="A1729" s="891" t="str">
        <f>A1712</f>
        <v>LƯƠNG THÁNG 01/2025</v>
      </c>
      <c r="B1729" s="895"/>
      <c r="C1729" s="895"/>
      <c r="D1729" s="895"/>
      <c r="E1729" s="904">
        <f>VLOOKUP(B1730,'CNKT '!$C$98:$AC$162,26,0)</f>
        <v>0</v>
      </c>
      <c r="F1729" s="882"/>
      <c r="G1729" s="891" t="str">
        <f>A1729</f>
        <v>LƯƠNG THÁNG 01/2025</v>
      </c>
      <c r="H1729" s="895"/>
      <c r="I1729" s="895"/>
      <c r="J1729" s="898"/>
      <c r="K1729" s="904">
        <f>VLOOKUP(H1730,'CNKT '!$C$98:$AC$162,26,0)</f>
        <v>0</v>
      </c>
      <c r="L1729" s="818"/>
    </row>
    <row r="1730" spans="1:12" s="31" customFormat="1" ht="17.25" customHeight="1">
      <c r="A1730" s="837" t="s">
        <v>17</v>
      </c>
      <c r="B1730" s="976" t="str">
        <f>'CNKT '!C126</f>
        <v>T. Xi Nuôn</v>
      </c>
      <c r="C1730" s="822"/>
      <c r="D1730" s="976" t="s">
        <v>398</v>
      </c>
      <c r="E1730" s="976" t="s">
        <v>20</v>
      </c>
      <c r="F1730" s="882"/>
      <c r="G1730" s="837" t="s">
        <v>17</v>
      </c>
      <c r="H1730" s="976" t="str">
        <f>'CNKT '!C127</f>
        <v>N. Ốc</v>
      </c>
      <c r="I1730" s="822"/>
      <c r="J1730" s="976" t="s">
        <v>398</v>
      </c>
      <c r="K1730" s="976" t="s">
        <v>20</v>
      </c>
      <c r="L1730" s="818"/>
    </row>
    <row r="1731" spans="1:12" s="31" customFormat="1" ht="17.25" customHeight="1">
      <c r="A1731" s="821" t="s">
        <v>399</v>
      </c>
      <c r="B1731" s="978" t="s">
        <v>559</v>
      </c>
      <c r="C1731" s="822" t="str">
        <f>VLOOKUP(B1730,'BTH mủ tạp'!$C$98:$AL$160,36,0)</f>
        <v>B</v>
      </c>
      <c r="D1731" s="823"/>
      <c r="E1731" s="823"/>
      <c r="F1731" s="882"/>
      <c r="G1731" s="821" t="s">
        <v>399</v>
      </c>
      <c r="H1731" s="978" t="s">
        <v>559</v>
      </c>
      <c r="I1731" s="822" t="str">
        <f>VLOOKUP(H1730,'BTH mủ tạp'!$C$98:$AL$160,36,0)</f>
        <v>A</v>
      </c>
      <c r="J1731" s="823"/>
      <c r="K1731" s="823"/>
      <c r="L1731" s="818"/>
    </row>
    <row r="1732" spans="1:12" s="31" customFormat="1" ht="17.25" customHeight="1">
      <c r="A1732" s="821" t="s">
        <v>79</v>
      </c>
      <c r="B1732" s="979" t="s">
        <v>432</v>
      </c>
      <c r="C1732" s="824">
        <f>VLOOKUP(B1730,'CNKT '!$C$97:$Z$162,3,0)</f>
        <v>0</v>
      </c>
      <c r="D1732" s="825">
        <v>25000</v>
      </c>
      <c r="E1732" s="823">
        <f t="shared" ref="E1732:E1737" si="201">C1732*D1732</f>
        <v>0</v>
      </c>
      <c r="F1732" s="882"/>
      <c r="G1732" s="821" t="s">
        <v>79</v>
      </c>
      <c r="H1732" s="979" t="s">
        <v>432</v>
      </c>
      <c r="I1732" s="824">
        <f>VLOOKUP(H1730,'CNKT '!$C$97:$Z$162,3,0)</f>
        <v>0</v>
      </c>
      <c r="J1732" s="825">
        <v>25000</v>
      </c>
      <c r="K1732" s="823">
        <f t="shared" ref="K1732:K1737" si="202">I1732*J1732</f>
        <v>0</v>
      </c>
      <c r="L1732" s="818"/>
    </row>
    <row r="1733" spans="1:12" s="31" customFormat="1" ht="17.25" customHeight="1">
      <c r="A1733" s="821" t="s">
        <v>310</v>
      </c>
      <c r="B1733" s="980" t="s">
        <v>560</v>
      </c>
      <c r="C1733" s="879">
        <f>VLOOKUP(B1730,'CNKT '!$C$97:$Z$162,11,0)</f>
        <v>20</v>
      </c>
      <c r="D1733" s="826">
        <f>46.1*$B$2</f>
        <v>30805.403000000002</v>
      </c>
      <c r="E1733" s="823">
        <f t="shared" si="201"/>
        <v>616108.06000000006</v>
      </c>
      <c r="F1733" s="882"/>
      <c r="G1733" s="821" t="s">
        <v>310</v>
      </c>
      <c r="H1733" s="980" t="s">
        <v>560</v>
      </c>
      <c r="I1733" s="879">
        <f>VLOOKUP(H1730,'CNKT '!$C$97:$Z$162,11,0)</f>
        <v>17</v>
      </c>
      <c r="J1733" s="826">
        <f>46.1*$B$2</f>
        <v>30805.403000000002</v>
      </c>
      <c r="K1733" s="823">
        <f t="shared" si="202"/>
        <v>523691.85100000002</v>
      </c>
      <c r="L1733" s="818"/>
    </row>
    <row r="1734" spans="1:12" s="31" customFormat="1" ht="17.25" customHeight="1">
      <c r="A1734" s="821" t="s">
        <v>401</v>
      </c>
      <c r="B1734" s="980" t="s">
        <v>561</v>
      </c>
      <c r="C1734" s="879">
        <f>VLOOKUP(B1730,'CNKT '!$C$97:$Z$162,12,0)</f>
        <v>1</v>
      </c>
      <c r="D1734" s="825">
        <f>76.9*$B$2</f>
        <v>51386.887000000002</v>
      </c>
      <c r="E1734" s="823">
        <f t="shared" si="201"/>
        <v>51386.887000000002</v>
      </c>
      <c r="F1734" s="882"/>
      <c r="G1734" s="821" t="s">
        <v>401</v>
      </c>
      <c r="H1734" s="980" t="s">
        <v>561</v>
      </c>
      <c r="I1734" s="879">
        <f>VLOOKUP(H1730,'CNKT '!$C$97:$Z$162,12,0)</f>
        <v>3</v>
      </c>
      <c r="J1734" s="825">
        <f>76.9*$B$2</f>
        <v>51386.887000000002</v>
      </c>
      <c r="K1734" s="823">
        <f t="shared" si="202"/>
        <v>154160.66100000002</v>
      </c>
      <c r="L1734" s="818"/>
    </row>
    <row r="1735" spans="1:12" s="31" customFormat="1" ht="17.25" customHeight="1">
      <c r="A1735" s="821" t="s">
        <v>80</v>
      </c>
      <c r="B1735" s="980" t="s">
        <v>562</v>
      </c>
      <c r="C1735" s="879">
        <f>VLOOKUP(B1730,'CNKT '!$C$97:$Z$162,8,0)</f>
        <v>612.46460308061648</v>
      </c>
      <c r="D1735" s="825">
        <f>IF(C1731="A",6.1,IF(C1731="B",5.8,IF(C1731="C",5.5,IF(C1731="C.",5.5,IF(C1731="D",5.2)))))*$B$2</f>
        <v>3875.7339999999999</v>
      </c>
      <c r="E1735" s="823">
        <f t="shared" si="201"/>
        <v>2373749.8859560499</v>
      </c>
      <c r="F1735" s="882"/>
      <c r="G1735" s="821" t="s">
        <v>80</v>
      </c>
      <c r="H1735" s="980" t="s">
        <v>562</v>
      </c>
      <c r="I1735" s="879">
        <f>VLOOKUP(H1730,'CNKT '!$C$97:$Z$162,8,0)</f>
        <v>110.2030007201441</v>
      </c>
      <c r="J1735" s="825">
        <f>IF(I1731="A",6.1,IF(I1731="B",5.8,IF(I1731="C",5.5,IF(I1731="C.",5.5,IF(I1731="D",5.2)))))*$B$2</f>
        <v>4076.203</v>
      </c>
      <c r="K1735" s="823">
        <f t="shared" si="202"/>
        <v>449209.80214445357</v>
      </c>
      <c r="L1735" s="818"/>
    </row>
    <row r="1736" spans="1:12" s="31" customFormat="1" ht="17.25" customHeight="1">
      <c r="A1736" s="821" t="s">
        <v>497</v>
      </c>
      <c r="B1736" s="980" t="s">
        <v>563</v>
      </c>
      <c r="C1736" s="879">
        <f>VLOOKUP(B1730,'CNKT '!$C$97:$Z$162,13,0)</f>
        <v>0</v>
      </c>
      <c r="D1736" s="826">
        <f>92.2*$B$2</f>
        <v>61610.806000000004</v>
      </c>
      <c r="E1736" s="823">
        <f t="shared" si="201"/>
        <v>0</v>
      </c>
      <c r="F1736" s="882"/>
      <c r="G1736" s="821" t="s">
        <v>497</v>
      </c>
      <c r="H1736" s="980" t="s">
        <v>563</v>
      </c>
      <c r="I1736" s="879">
        <f>VLOOKUP(H1730,'CNKT '!$C$97:$Z$162,13,0)</f>
        <v>0</v>
      </c>
      <c r="J1736" s="826">
        <f>92.2*$B$2</f>
        <v>61610.806000000004</v>
      </c>
      <c r="K1736" s="823">
        <f t="shared" si="202"/>
        <v>0</v>
      </c>
      <c r="L1736" s="818"/>
    </row>
    <row r="1737" spans="1:12" s="31" customFormat="1" ht="17.25" customHeight="1">
      <c r="A1737" s="821" t="s">
        <v>448</v>
      </c>
      <c r="B1737" s="980" t="s">
        <v>500</v>
      </c>
      <c r="C1737" s="879">
        <f>VLOOKUP(B1730,'CNKT '!$C$97:$Z$162,14,0)</f>
        <v>0</v>
      </c>
      <c r="D1737" s="825">
        <f>153.6*$B$2</f>
        <v>102640.128</v>
      </c>
      <c r="E1737" s="823">
        <f t="shared" si="201"/>
        <v>0</v>
      </c>
      <c r="F1737" s="882"/>
      <c r="G1737" s="821" t="s">
        <v>448</v>
      </c>
      <c r="H1737" s="980" t="s">
        <v>500</v>
      </c>
      <c r="I1737" s="879">
        <f>VLOOKUP(H1730,'CNKT '!$C$97:$Z$162,14,0)</f>
        <v>0</v>
      </c>
      <c r="J1737" s="825">
        <f>153.6*$B$2</f>
        <v>102640.128</v>
      </c>
      <c r="K1737" s="823">
        <f t="shared" si="202"/>
        <v>0</v>
      </c>
      <c r="L1737" s="818"/>
    </row>
    <row r="1738" spans="1:12" s="31" customFormat="1" ht="17.25" customHeight="1">
      <c r="A1738" s="821" t="s">
        <v>455</v>
      </c>
      <c r="B1738" s="980" t="s">
        <v>501</v>
      </c>
      <c r="C1738" s="879">
        <f>VLOOKUP(B1730,'CNKT '!$C$98:$Z$162,18,0)</f>
        <v>0</v>
      </c>
      <c r="D1738" s="825">
        <v>10000</v>
      </c>
      <c r="E1738" s="823">
        <f>C1738*D1738</f>
        <v>0</v>
      </c>
      <c r="F1738" s="882"/>
      <c r="G1738" s="821" t="s">
        <v>455</v>
      </c>
      <c r="H1738" s="980" t="s">
        <v>501</v>
      </c>
      <c r="I1738" s="879">
        <f>VLOOKUP(H1730,'CNKT '!$C$98:$Z$162,18,0)</f>
        <v>0</v>
      </c>
      <c r="J1738" s="825">
        <v>10000</v>
      </c>
      <c r="K1738" s="823">
        <f>I1738*J1738</f>
        <v>0</v>
      </c>
      <c r="L1738" s="818"/>
    </row>
    <row r="1739" spans="1:12" s="31" customFormat="1" ht="17.25" customHeight="1">
      <c r="A1739" s="821" t="s">
        <v>455</v>
      </c>
      <c r="B1739" s="980" t="s">
        <v>501</v>
      </c>
      <c r="C1739" s="879">
        <f>VLOOKUP(B1730,'CNKT '!$C$98:$Z$162,19,0)</f>
        <v>0</v>
      </c>
      <c r="D1739" s="825">
        <v>20000</v>
      </c>
      <c r="E1739" s="823">
        <f>C1739*D1739</f>
        <v>0</v>
      </c>
      <c r="F1739" s="882"/>
      <c r="G1739" s="821" t="s">
        <v>455</v>
      </c>
      <c r="H1739" s="980" t="s">
        <v>501</v>
      </c>
      <c r="I1739" s="879">
        <f>VLOOKUP(H1730,'CNKT '!$C$98:$Z$162,19,0)</f>
        <v>0</v>
      </c>
      <c r="J1739" s="825">
        <v>20000</v>
      </c>
      <c r="K1739" s="823">
        <f>I1739*J1739</f>
        <v>0</v>
      </c>
      <c r="L1739" s="818"/>
    </row>
    <row r="1740" spans="1:12" s="31" customFormat="1" ht="17.25" customHeight="1">
      <c r="A1740" s="821" t="s">
        <v>517</v>
      </c>
      <c r="B1740" s="980" t="s">
        <v>519</v>
      </c>
      <c r="C1740" s="879"/>
      <c r="D1740" s="825"/>
      <c r="E1740" s="823"/>
      <c r="F1740" s="882"/>
      <c r="G1740" s="821" t="s">
        <v>517</v>
      </c>
      <c r="H1740" s="980" t="s">
        <v>519</v>
      </c>
      <c r="I1740" s="879"/>
      <c r="J1740" s="825"/>
      <c r="K1740" s="823"/>
      <c r="L1740" s="818"/>
    </row>
    <row r="1741" spans="1:12" s="31" customFormat="1" ht="17.25" customHeight="1">
      <c r="A1741" s="827" t="s">
        <v>81</v>
      </c>
      <c r="B1741" s="981" t="s">
        <v>564</v>
      </c>
      <c r="C1741" s="828"/>
      <c r="D1741" s="829"/>
      <c r="E1741" s="828"/>
      <c r="F1741" s="882"/>
      <c r="G1741" s="827" t="s">
        <v>81</v>
      </c>
      <c r="H1741" s="981" t="s">
        <v>564</v>
      </c>
      <c r="I1741" s="828"/>
      <c r="J1741" s="829"/>
      <c r="K1741" s="828"/>
      <c r="L1741" s="818"/>
    </row>
    <row r="1742" spans="1:12" s="31" customFormat="1" ht="17.25" customHeight="1">
      <c r="A1742" s="830" t="s">
        <v>82</v>
      </c>
      <c r="B1742" s="982" t="s">
        <v>565</v>
      </c>
      <c r="C1742" s="828"/>
      <c r="D1742" s="828"/>
      <c r="E1742" s="828"/>
      <c r="F1742" s="882"/>
      <c r="G1742" s="830" t="s">
        <v>82</v>
      </c>
      <c r="H1742" s="982" t="s">
        <v>565</v>
      </c>
      <c r="I1742" s="828"/>
      <c r="J1742" s="828"/>
      <c r="K1742" s="828"/>
      <c r="L1742" s="818"/>
    </row>
    <row r="1743" spans="1:12" s="31" customFormat="1" ht="17.25" customHeight="1">
      <c r="A1743" s="830" t="s">
        <v>83</v>
      </c>
      <c r="B1743" s="983" t="s">
        <v>566</v>
      </c>
      <c r="C1743" s="828"/>
      <c r="D1743" s="828"/>
      <c r="E1743" s="823">
        <f>SUM(E1742)</f>
        <v>0</v>
      </c>
      <c r="F1743" s="878"/>
      <c r="G1743" s="830" t="s">
        <v>83</v>
      </c>
      <c r="H1743" s="983" t="s">
        <v>566</v>
      </c>
      <c r="I1743" s="828"/>
      <c r="J1743" s="828"/>
      <c r="K1743" s="823">
        <f>SUM(K1742)</f>
        <v>0</v>
      </c>
      <c r="L1743" s="818"/>
    </row>
    <row r="1744" spans="1:12" s="31" customFormat="1" ht="17.25" customHeight="1">
      <c r="A1744" s="832" t="s">
        <v>84</v>
      </c>
      <c r="B1744" s="984" t="s">
        <v>438</v>
      </c>
      <c r="C1744" s="833"/>
      <c r="D1744" s="833"/>
      <c r="E1744" s="833">
        <f>(E1732+E1733+E1734+E1735+E1736+E1737+E1738+E1739+E1740)-E1743</f>
        <v>3041244.8329560501</v>
      </c>
      <c r="F1744" s="878"/>
      <c r="G1744" s="832" t="s">
        <v>84</v>
      </c>
      <c r="H1744" s="984" t="s">
        <v>438</v>
      </c>
      <c r="I1744" s="833"/>
      <c r="J1744" s="833"/>
      <c r="K1744" s="833">
        <f>(K1732+K1733+K1734+K1735+K1736+K1737+K1738+K1739+K1740)-K1743</f>
        <v>1127062.3141444537</v>
      </c>
      <c r="L1744" s="835">
        <f>E1744+K1744</f>
        <v>4168307.1471005036</v>
      </c>
    </row>
    <row r="1745" spans="1:12" s="31" customFormat="1" ht="17.25" customHeight="1">
      <c r="A1745" s="895"/>
      <c r="B1745" s="895"/>
      <c r="C1745" s="895"/>
      <c r="D1745" s="895"/>
      <c r="E1745" s="895"/>
      <c r="F1745" s="895"/>
      <c r="G1745" s="895"/>
      <c r="H1745" s="895"/>
      <c r="I1745" s="895"/>
      <c r="J1745" s="895"/>
      <c r="K1745" s="895"/>
      <c r="L1745" s="818"/>
    </row>
    <row r="1746" spans="1:12" s="31" customFormat="1" ht="17.25" customHeight="1">
      <c r="A1746" s="891" t="str">
        <f>A1729</f>
        <v>LƯƠNG THÁNG 01/2025</v>
      </c>
      <c r="B1746" s="895"/>
      <c r="C1746" s="895"/>
      <c r="D1746" s="895"/>
      <c r="E1746" s="904">
        <f>VLOOKUP(B1747,'CNKT '!$C$98:$AC$162,26,0)</f>
        <v>0</v>
      </c>
      <c r="F1746" s="882"/>
      <c r="G1746" s="891" t="str">
        <f>A1746</f>
        <v>LƯƠNG THÁNG 01/2025</v>
      </c>
      <c r="H1746" s="895"/>
      <c r="I1746" s="895"/>
      <c r="J1746" s="898"/>
      <c r="K1746" s="904">
        <f>VLOOKUP(H1747,'CNKT '!$C$98:$AC$162,26,0)</f>
        <v>0</v>
      </c>
      <c r="L1746" s="818"/>
    </row>
    <row r="1747" spans="1:12" s="31" customFormat="1" ht="17.25" customHeight="1">
      <c r="A1747" s="837" t="s">
        <v>17</v>
      </c>
      <c r="B1747" s="976" t="str">
        <f>'CNKT '!C128</f>
        <v>T. Văn Nô</v>
      </c>
      <c r="C1747" s="822"/>
      <c r="D1747" s="976" t="s">
        <v>398</v>
      </c>
      <c r="E1747" s="976" t="s">
        <v>20</v>
      </c>
      <c r="F1747" s="882"/>
      <c r="G1747" s="837" t="s">
        <v>17</v>
      </c>
      <c r="H1747" s="976" t="str">
        <f>'CNKT '!C129</f>
        <v>N. Văn Ta</v>
      </c>
      <c r="I1747" s="822"/>
      <c r="J1747" s="976" t="s">
        <v>398</v>
      </c>
      <c r="K1747" s="976" t="s">
        <v>20</v>
      </c>
      <c r="L1747" s="818"/>
    </row>
    <row r="1748" spans="1:12" s="31" customFormat="1" ht="17.25" customHeight="1">
      <c r="A1748" s="821" t="s">
        <v>399</v>
      </c>
      <c r="B1748" s="978" t="s">
        <v>559</v>
      </c>
      <c r="C1748" s="822" t="str">
        <f>VLOOKUP(B1747,'BTH mủ tạp'!$C$98:$AL$160,36,0)</f>
        <v>A</v>
      </c>
      <c r="D1748" s="823"/>
      <c r="E1748" s="823"/>
      <c r="F1748" s="882"/>
      <c r="G1748" s="821" t="s">
        <v>399</v>
      </c>
      <c r="H1748" s="978" t="s">
        <v>559</v>
      </c>
      <c r="I1748" s="822" t="str">
        <f>VLOOKUP(H1747,'BTH mủ tạp'!$C$98:$AL$160,36,0)</f>
        <v>A</v>
      </c>
      <c r="J1748" s="823"/>
      <c r="K1748" s="823"/>
      <c r="L1748" s="818"/>
    </row>
    <row r="1749" spans="1:12" s="31" customFormat="1" ht="17.25" customHeight="1">
      <c r="A1749" s="821" t="s">
        <v>79</v>
      </c>
      <c r="B1749" s="979" t="s">
        <v>432</v>
      </c>
      <c r="C1749" s="824">
        <f>VLOOKUP(B1747,'CNKT '!$C$97:$Z$162,3,0)</f>
        <v>0</v>
      </c>
      <c r="D1749" s="825">
        <v>25000</v>
      </c>
      <c r="E1749" s="823">
        <f t="shared" ref="E1749:E1754" si="203">C1749*D1749</f>
        <v>0</v>
      </c>
      <c r="F1749" s="882"/>
      <c r="G1749" s="821" t="s">
        <v>79</v>
      </c>
      <c r="H1749" s="979" t="s">
        <v>432</v>
      </c>
      <c r="I1749" s="824">
        <f>VLOOKUP(H1747,'CNKT '!$C$97:$Z$162,3,0)</f>
        <v>0</v>
      </c>
      <c r="J1749" s="825">
        <v>25000</v>
      </c>
      <c r="K1749" s="823">
        <f t="shared" ref="K1749:K1754" si="204">I1749*J1749</f>
        <v>0</v>
      </c>
      <c r="L1749" s="818"/>
    </row>
    <row r="1750" spans="1:12" s="31" customFormat="1" ht="17.25" customHeight="1">
      <c r="A1750" s="821" t="s">
        <v>310</v>
      </c>
      <c r="B1750" s="980" t="s">
        <v>560</v>
      </c>
      <c r="C1750" s="879">
        <f>VLOOKUP(B1747,'CNKT '!$C$97:$Z$162,11,0)</f>
        <v>27</v>
      </c>
      <c r="D1750" s="826">
        <f>46.1*$B$2</f>
        <v>30805.403000000002</v>
      </c>
      <c r="E1750" s="823">
        <f t="shared" si="203"/>
        <v>831745.88100000005</v>
      </c>
      <c r="F1750" s="882"/>
      <c r="G1750" s="821" t="s">
        <v>310</v>
      </c>
      <c r="H1750" s="980" t="s">
        <v>560</v>
      </c>
      <c r="I1750" s="879">
        <f>VLOOKUP(H1747,'CNKT '!$C$97:$Z$162,11,0)</f>
        <v>25</v>
      </c>
      <c r="J1750" s="826">
        <f>46.1*$B$2</f>
        <v>30805.403000000002</v>
      </c>
      <c r="K1750" s="823">
        <f t="shared" si="204"/>
        <v>770135.07500000007</v>
      </c>
      <c r="L1750" s="818"/>
    </row>
    <row r="1751" spans="1:12" s="31" customFormat="1" ht="17.25" customHeight="1">
      <c r="A1751" s="821" t="s">
        <v>401</v>
      </c>
      <c r="B1751" s="980" t="s">
        <v>561</v>
      </c>
      <c r="C1751" s="879">
        <f>VLOOKUP(B1747,'CNKT '!$C$97:$Z$162,12,0)</f>
        <v>4</v>
      </c>
      <c r="D1751" s="825">
        <f>76.9*$B$2</f>
        <v>51386.887000000002</v>
      </c>
      <c r="E1751" s="823">
        <f t="shared" si="203"/>
        <v>205547.54800000001</v>
      </c>
      <c r="F1751" s="882"/>
      <c r="G1751" s="821" t="s">
        <v>401</v>
      </c>
      <c r="H1751" s="980" t="s">
        <v>561</v>
      </c>
      <c r="I1751" s="879">
        <f>VLOOKUP(H1747,'CNKT '!$C$97:$Z$162,12,0)</f>
        <v>4</v>
      </c>
      <c r="J1751" s="825">
        <f>76.9*$B$2</f>
        <v>51386.887000000002</v>
      </c>
      <c r="K1751" s="823">
        <f t="shared" si="204"/>
        <v>205547.54800000001</v>
      </c>
      <c r="L1751" s="818"/>
    </row>
    <row r="1752" spans="1:12" s="31" customFormat="1" ht="17.25" customHeight="1">
      <c r="A1752" s="821" t="s">
        <v>80</v>
      </c>
      <c r="B1752" s="980" t="s">
        <v>562</v>
      </c>
      <c r="C1752" s="879">
        <f>VLOOKUP(B1747,'CNKT '!$C$97:$Z$162,8,0)</f>
        <v>1160.9403670334075</v>
      </c>
      <c r="D1752" s="825">
        <f>IF(C1748="A",6.1,IF(C1748="B",5.8,IF(C1748="C",5.5,IF(C1748="C.",5.5,IF(C1748="D",5.2)))))*$B$2</f>
        <v>4076.203</v>
      </c>
      <c r="E1752" s="823">
        <f t="shared" si="203"/>
        <v>4732228.6069226768</v>
      </c>
      <c r="F1752" s="882"/>
      <c r="G1752" s="821" t="s">
        <v>80</v>
      </c>
      <c r="H1752" s="980" t="s">
        <v>562</v>
      </c>
      <c r="I1752" s="879">
        <f>VLOOKUP(H1747,'CNKT '!$C$97:$Z$162,8,0)</f>
        <v>818.65086249249907</v>
      </c>
      <c r="J1752" s="825">
        <f>IF(I1748="A",6.1,IF(I1748="B",5.8,IF(I1748="C",5.5,IF(I1748="C.",5.5,IF(I1748="D",5.2)))))*$B$2</f>
        <v>4076.203</v>
      </c>
      <c r="K1752" s="823">
        <f t="shared" si="204"/>
        <v>3336987.1016445123</v>
      </c>
      <c r="L1752" s="818"/>
    </row>
    <row r="1753" spans="1:12" s="31" customFormat="1" ht="17.25" customHeight="1">
      <c r="A1753" s="821" t="s">
        <v>497</v>
      </c>
      <c r="B1753" s="980" t="s">
        <v>563</v>
      </c>
      <c r="C1753" s="879">
        <f>VLOOKUP(B1747,'CNKT '!$C$97:$Z$162,13,0)</f>
        <v>0</v>
      </c>
      <c r="D1753" s="826">
        <f>92.2*$B$2</f>
        <v>61610.806000000004</v>
      </c>
      <c r="E1753" s="823">
        <f t="shared" si="203"/>
        <v>0</v>
      </c>
      <c r="F1753" s="882"/>
      <c r="G1753" s="821" t="s">
        <v>497</v>
      </c>
      <c r="H1753" s="980" t="s">
        <v>563</v>
      </c>
      <c r="I1753" s="879">
        <f>VLOOKUP(H1747,'CNKT '!$C$97:$Z$162,13,0)</f>
        <v>0</v>
      </c>
      <c r="J1753" s="826">
        <f>92.2*$B$2</f>
        <v>61610.806000000004</v>
      </c>
      <c r="K1753" s="823">
        <f t="shared" si="204"/>
        <v>0</v>
      </c>
      <c r="L1753" s="818"/>
    </row>
    <row r="1754" spans="1:12" s="31" customFormat="1" ht="17.25" customHeight="1">
      <c r="A1754" s="821" t="s">
        <v>448</v>
      </c>
      <c r="B1754" s="980" t="s">
        <v>500</v>
      </c>
      <c r="C1754" s="879">
        <f>VLOOKUP(B1747,'CNKT '!$C$97:$Z$162,14,0)</f>
        <v>0</v>
      </c>
      <c r="D1754" s="825">
        <f>153.6*$B$2</f>
        <v>102640.128</v>
      </c>
      <c r="E1754" s="823">
        <f t="shared" si="203"/>
        <v>0</v>
      </c>
      <c r="F1754" s="882"/>
      <c r="G1754" s="821" t="s">
        <v>448</v>
      </c>
      <c r="H1754" s="980" t="s">
        <v>500</v>
      </c>
      <c r="I1754" s="879">
        <f>VLOOKUP(H1747,'CNKT '!$C$97:$Z$162,14,0)</f>
        <v>0</v>
      </c>
      <c r="J1754" s="825">
        <f>153.6*$B$2</f>
        <v>102640.128</v>
      </c>
      <c r="K1754" s="823">
        <f t="shared" si="204"/>
        <v>0</v>
      </c>
      <c r="L1754" s="818"/>
    </row>
    <row r="1755" spans="1:12" s="31" customFormat="1" ht="17.25" customHeight="1">
      <c r="A1755" s="821" t="s">
        <v>455</v>
      </c>
      <c r="B1755" s="980" t="s">
        <v>501</v>
      </c>
      <c r="C1755" s="879">
        <f>VLOOKUP(B1747,'CNKT '!$C$98:$Z$162,18,0)</f>
        <v>0</v>
      </c>
      <c r="D1755" s="825">
        <v>10000</v>
      </c>
      <c r="E1755" s="823">
        <f>C1755*D1755</f>
        <v>0</v>
      </c>
      <c r="F1755" s="882"/>
      <c r="G1755" s="821" t="s">
        <v>455</v>
      </c>
      <c r="H1755" s="980" t="s">
        <v>501</v>
      </c>
      <c r="I1755" s="879">
        <f>VLOOKUP(H1747,'CNKT '!$C$98:$Z$162,18,0)</f>
        <v>0</v>
      </c>
      <c r="J1755" s="825">
        <v>10000</v>
      </c>
      <c r="K1755" s="823">
        <f>I1755*J1755</f>
        <v>0</v>
      </c>
      <c r="L1755" s="818"/>
    </row>
    <row r="1756" spans="1:12" s="31" customFormat="1" ht="17.25" customHeight="1">
      <c r="A1756" s="821" t="s">
        <v>455</v>
      </c>
      <c r="B1756" s="980" t="s">
        <v>501</v>
      </c>
      <c r="C1756" s="879">
        <f>VLOOKUP(B1747,'CNKT '!$C$98:$Z$162,19,0)</f>
        <v>0</v>
      </c>
      <c r="D1756" s="825">
        <v>20000</v>
      </c>
      <c r="E1756" s="823">
        <f>C1756*D1756</f>
        <v>0</v>
      </c>
      <c r="F1756" s="882"/>
      <c r="G1756" s="821" t="s">
        <v>455</v>
      </c>
      <c r="H1756" s="980" t="s">
        <v>501</v>
      </c>
      <c r="I1756" s="879">
        <f>VLOOKUP(H1747,'CNKT '!$C$98:$Z$162,19,0)</f>
        <v>0</v>
      </c>
      <c r="J1756" s="825">
        <v>20000</v>
      </c>
      <c r="K1756" s="823">
        <f>I1756*J1756</f>
        <v>0</v>
      </c>
      <c r="L1756" s="818"/>
    </row>
    <row r="1757" spans="1:12" s="31" customFormat="1" ht="17.25" customHeight="1">
      <c r="A1757" s="821" t="s">
        <v>517</v>
      </c>
      <c r="B1757" s="980" t="s">
        <v>519</v>
      </c>
      <c r="C1757" s="879"/>
      <c r="D1757" s="825"/>
      <c r="E1757" s="823"/>
      <c r="F1757" s="882"/>
      <c r="G1757" s="821" t="s">
        <v>517</v>
      </c>
      <c r="H1757" s="980" t="s">
        <v>519</v>
      </c>
      <c r="I1757" s="879"/>
      <c r="J1757" s="825"/>
      <c r="K1757" s="823"/>
      <c r="L1757" s="818"/>
    </row>
    <row r="1758" spans="1:12" s="31" customFormat="1" ht="17.25" customHeight="1">
      <c r="A1758" s="827" t="s">
        <v>81</v>
      </c>
      <c r="B1758" s="981" t="s">
        <v>564</v>
      </c>
      <c r="C1758" s="828"/>
      <c r="D1758" s="829"/>
      <c r="E1758" s="828"/>
      <c r="F1758" s="882"/>
      <c r="G1758" s="827" t="s">
        <v>81</v>
      </c>
      <c r="H1758" s="981" t="s">
        <v>564</v>
      </c>
      <c r="I1758" s="828"/>
      <c r="J1758" s="829"/>
      <c r="K1758" s="828"/>
      <c r="L1758" s="818"/>
    </row>
    <row r="1759" spans="1:12" s="31" customFormat="1" ht="17.25" customHeight="1">
      <c r="A1759" s="830" t="s">
        <v>82</v>
      </c>
      <c r="B1759" s="982" t="s">
        <v>565</v>
      </c>
      <c r="C1759" s="828"/>
      <c r="D1759" s="828"/>
      <c r="E1759" s="828"/>
      <c r="F1759" s="882"/>
      <c r="G1759" s="830" t="s">
        <v>82</v>
      </c>
      <c r="H1759" s="982" t="s">
        <v>565</v>
      </c>
      <c r="I1759" s="828"/>
      <c r="J1759" s="828"/>
      <c r="K1759" s="828"/>
      <c r="L1759" s="818"/>
    </row>
    <row r="1760" spans="1:12" s="31" customFormat="1" ht="17.25" customHeight="1">
      <c r="A1760" s="830" t="s">
        <v>83</v>
      </c>
      <c r="B1760" s="983" t="s">
        <v>566</v>
      </c>
      <c r="C1760" s="828"/>
      <c r="D1760" s="828"/>
      <c r="E1760" s="823">
        <f>SUM(E1759)</f>
        <v>0</v>
      </c>
      <c r="F1760" s="869"/>
      <c r="G1760" s="830" t="s">
        <v>83</v>
      </c>
      <c r="H1760" s="983" t="s">
        <v>566</v>
      </c>
      <c r="I1760" s="828"/>
      <c r="J1760" s="828"/>
      <c r="K1760" s="823">
        <f>SUM(K1759)</f>
        <v>0</v>
      </c>
      <c r="L1760" s="818"/>
    </row>
    <row r="1761" spans="1:12" s="31" customFormat="1" ht="17.25" customHeight="1">
      <c r="A1761" s="832" t="s">
        <v>84</v>
      </c>
      <c r="B1761" s="984" t="s">
        <v>438</v>
      </c>
      <c r="C1761" s="833"/>
      <c r="D1761" s="833"/>
      <c r="E1761" s="833">
        <f>(E1749+E1750+E1751+E1752+E1753+E1754+E1755+E1756+E1757)-E1760</f>
        <v>5769522.0359226763</v>
      </c>
      <c r="F1761" s="869"/>
      <c r="G1761" s="832" t="s">
        <v>84</v>
      </c>
      <c r="H1761" s="984" t="s">
        <v>438</v>
      </c>
      <c r="I1761" s="833"/>
      <c r="J1761" s="833"/>
      <c r="K1761" s="833">
        <f>(K1749+K1750+K1751+K1752+K1753+K1754+K1755+K1756+K1757)-K1760</f>
        <v>4312669.7246445119</v>
      </c>
      <c r="L1761" s="835">
        <f>E1761+K1761</f>
        <v>10082191.760567188</v>
      </c>
    </row>
    <row r="1762" spans="1:12" s="31" customFormat="1" ht="222" customHeight="1">
      <c r="A1762" s="895"/>
      <c r="B1762" s="895"/>
      <c r="C1762" s="895"/>
      <c r="D1762" s="895"/>
      <c r="E1762" s="895"/>
      <c r="F1762" s="895"/>
      <c r="G1762" s="895"/>
      <c r="H1762" s="895"/>
      <c r="I1762" s="895"/>
      <c r="J1762" s="895"/>
      <c r="K1762" s="895"/>
      <c r="L1762" s="818"/>
    </row>
    <row r="1763" spans="1:12" s="31" customFormat="1" ht="17.25" customHeight="1">
      <c r="A1763" s="891" t="str">
        <f>A1746</f>
        <v>LƯƠNG THÁNG 01/2025</v>
      </c>
      <c r="B1763" s="895"/>
      <c r="C1763" s="895"/>
      <c r="D1763" s="895"/>
      <c r="E1763" s="904">
        <f>VLOOKUP(B1764,'CNKT '!$C$98:$AC$162,26,0)</f>
        <v>0</v>
      </c>
      <c r="F1763" s="882"/>
      <c r="G1763" s="891" t="str">
        <f>A1763</f>
        <v>LƯƠNG THÁNG 01/2025</v>
      </c>
      <c r="H1763" s="895"/>
      <c r="I1763" s="895"/>
      <c r="J1763" s="898"/>
      <c r="K1763" s="904">
        <f>VLOOKUP(H1764,'CNKT '!$C$98:$AC$162,26,0)</f>
        <v>0</v>
      </c>
      <c r="L1763" s="818"/>
    </row>
    <row r="1764" spans="1:12" s="31" customFormat="1" ht="17.25" customHeight="1">
      <c r="A1764" s="837" t="s">
        <v>17</v>
      </c>
      <c r="B1764" s="976" t="str">
        <f>'CNKT '!C130</f>
        <v>T. Thon</v>
      </c>
      <c r="C1764" s="822"/>
      <c r="D1764" s="976" t="s">
        <v>398</v>
      </c>
      <c r="E1764" s="976" t="s">
        <v>20</v>
      </c>
      <c r="F1764" s="882"/>
      <c r="G1764" s="837" t="s">
        <v>17</v>
      </c>
      <c r="H1764" s="976" t="str">
        <f>'CNKT '!C131</f>
        <v>Bun Thon</v>
      </c>
      <c r="I1764" s="822"/>
      <c r="J1764" s="976" t="s">
        <v>398</v>
      </c>
      <c r="K1764" s="976" t="s">
        <v>20</v>
      </c>
      <c r="L1764" s="818"/>
    </row>
    <row r="1765" spans="1:12" s="31" customFormat="1" ht="17.25" customHeight="1">
      <c r="A1765" s="821" t="s">
        <v>399</v>
      </c>
      <c r="B1765" s="978" t="s">
        <v>559</v>
      </c>
      <c r="C1765" s="822" t="str">
        <f>VLOOKUP(B1764,'BTH mủ tạp'!$C$98:$AL$160,36,0)</f>
        <v>A</v>
      </c>
      <c r="D1765" s="823"/>
      <c r="E1765" s="823"/>
      <c r="F1765" s="882"/>
      <c r="G1765" s="821" t="s">
        <v>399</v>
      </c>
      <c r="H1765" s="978" t="s">
        <v>559</v>
      </c>
      <c r="I1765" s="822" t="str">
        <f>VLOOKUP(H1764,'BTH mủ tạp'!$C$98:$AL$160,36,0)</f>
        <v>A</v>
      </c>
      <c r="J1765" s="823"/>
      <c r="K1765" s="823"/>
      <c r="L1765" s="818"/>
    </row>
    <row r="1766" spans="1:12" s="31" customFormat="1" ht="17.25" customHeight="1">
      <c r="A1766" s="821" t="s">
        <v>79</v>
      </c>
      <c r="B1766" s="979" t="s">
        <v>432</v>
      </c>
      <c r="C1766" s="824">
        <f>VLOOKUP(B1764,'CNKT '!$C$97:$Z$162,3,0)</f>
        <v>0</v>
      </c>
      <c r="D1766" s="825">
        <v>25000</v>
      </c>
      <c r="E1766" s="823">
        <f t="shared" ref="E1766:E1771" si="205">C1766*D1766</f>
        <v>0</v>
      </c>
      <c r="F1766" s="882"/>
      <c r="G1766" s="821" t="s">
        <v>79</v>
      </c>
      <c r="H1766" s="979" t="s">
        <v>432</v>
      </c>
      <c r="I1766" s="824">
        <f>VLOOKUP(H1764,'CNKT '!$C$97:$Z$162,3,0)</f>
        <v>0</v>
      </c>
      <c r="J1766" s="825">
        <v>25000</v>
      </c>
      <c r="K1766" s="823">
        <f t="shared" ref="K1766:K1771" si="206">I1766*J1766</f>
        <v>0</v>
      </c>
      <c r="L1766" s="818"/>
    </row>
    <row r="1767" spans="1:12" s="31" customFormat="1" ht="17.25" customHeight="1">
      <c r="A1767" s="821" t="s">
        <v>310</v>
      </c>
      <c r="B1767" s="980" t="s">
        <v>560</v>
      </c>
      <c r="C1767" s="879">
        <f>VLOOKUP(B1764,'CNKT '!$C$97:$Z$162,11,0)</f>
        <v>25</v>
      </c>
      <c r="D1767" s="826">
        <f>46.1*$B$2</f>
        <v>30805.403000000002</v>
      </c>
      <c r="E1767" s="823">
        <f t="shared" si="205"/>
        <v>770135.07500000007</v>
      </c>
      <c r="F1767" s="882"/>
      <c r="G1767" s="821" t="s">
        <v>310</v>
      </c>
      <c r="H1767" s="980" t="s">
        <v>560</v>
      </c>
      <c r="I1767" s="879">
        <f>VLOOKUP(H1764,'CNKT '!$C$97:$Z$162,11,0)</f>
        <v>27</v>
      </c>
      <c r="J1767" s="826">
        <f>46.1*$B$2</f>
        <v>30805.403000000002</v>
      </c>
      <c r="K1767" s="823">
        <f t="shared" si="206"/>
        <v>831745.88100000005</v>
      </c>
      <c r="L1767" s="818"/>
    </row>
    <row r="1768" spans="1:12" s="31" customFormat="1" ht="17.25" customHeight="1">
      <c r="A1768" s="821" t="s">
        <v>401</v>
      </c>
      <c r="B1768" s="980" t="s">
        <v>561</v>
      </c>
      <c r="C1768" s="879">
        <f>VLOOKUP(B1764,'CNKT '!$C$97:$Z$162,12,0)</f>
        <v>3</v>
      </c>
      <c r="D1768" s="825">
        <f>76.9*$B$2</f>
        <v>51386.887000000002</v>
      </c>
      <c r="E1768" s="823">
        <f t="shared" si="205"/>
        <v>154160.66100000002</v>
      </c>
      <c r="F1768" s="882"/>
      <c r="G1768" s="821" t="s">
        <v>401</v>
      </c>
      <c r="H1768" s="980" t="s">
        <v>561</v>
      </c>
      <c r="I1768" s="879">
        <f>VLOOKUP(H1764,'CNKT '!$C$97:$Z$162,12,0)</f>
        <v>4</v>
      </c>
      <c r="J1768" s="825">
        <f>76.9*$B$2</f>
        <v>51386.887000000002</v>
      </c>
      <c r="K1768" s="823">
        <f t="shared" si="206"/>
        <v>205547.54800000001</v>
      </c>
      <c r="L1768" s="818"/>
    </row>
    <row r="1769" spans="1:12" s="31" customFormat="1" ht="17.25" customHeight="1">
      <c r="A1769" s="821" t="s">
        <v>80</v>
      </c>
      <c r="B1769" s="980" t="s">
        <v>562</v>
      </c>
      <c r="C1769" s="879">
        <f>VLOOKUP(B1764,'CNKT '!$C$97:$Z$162,8,0)</f>
        <v>912.60272946589373</v>
      </c>
      <c r="D1769" s="825">
        <f>IF(C1765="A",6.1,IF(C1765="B",5.8,IF(C1765="C",5.5,IF(C1765="C.",5.5,IF(C1765="D",5.2)))))*$B$2</f>
        <v>4076.203</v>
      </c>
      <c r="E1769" s="823">
        <f t="shared" si="205"/>
        <v>3719953.9836570644</v>
      </c>
      <c r="F1769" s="882"/>
      <c r="G1769" s="821" t="s">
        <v>80</v>
      </c>
      <c r="H1769" s="980" t="s">
        <v>562</v>
      </c>
      <c r="I1769" s="879">
        <f>VLOOKUP(H1764,'CNKT '!$C$97:$Z$162,8,0)</f>
        <v>875.02198267653591</v>
      </c>
      <c r="J1769" s="825">
        <f>IF(I1765="A",6.1,IF(I1765="B",5.8,IF(I1765="C",5.5,IF(I1765="C.",5.5,IF(I1765="D",5.2)))))*$B$2</f>
        <v>4076.203</v>
      </c>
      <c r="K1769" s="823">
        <f t="shared" si="206"/>
        <v>3566767.2308520437</v>
      </c>
      <c r="L1769" s="818"/>
    </row>
    <row r="1770" spans="1:12" s="31" customFormat="1" ht="17.25" customHeight="1">
      <c r="A1770" s="821" t="s">
        <v>497</v>
      </c>
      <c r="B1770" s="980" t="s">
        <v>563</v>
      </c>
      <c r="C1770" s="879">
        <f>VLOOKUP(B1764,'CNKT '!$C$97:$Z$162,13,0)</f>
        <v>0</v>
      </c>
      <c r="D1770" s="826">
        <f>92.2*$B$2</f>
        <v>61610.806000000004</v>
      </c>
      <c r="E1770" s="823">
        <f t="shared" si="205"/>
        <v>0</v>
      </c>
      <c r="F1770" s="882"/>
      <c r="G1770" s="821" t="s">
        <v>497</v>
      </c>
      <c r="H1770" s="980" t="s">
        <v>563</v>
      </c>
      <c r="I1770" s="879">
        <f>VLOOKUP(H1764,'CNKT '!$C$97:$Z$162,13,0)</f>
        <v>0</v>
      </c>
      <c r="J1770" s="826">
        <f>92.2*$B$2</f>
        <v>61610.806000000004</v>
      </c>
      <c r="K1770" s="823">
        <f t="shared" si="206"/>
        <v>0</v>
      </c>
      <c r="L1770" s="818"/>
    </row>
    <row r="1771" spans="1:12" s="31" customFormat="1" ht="17.25" customHeight="1">
      <c r="A1771" s="821" t="s">
        <v>448</v>
      </c>
      <c r="B1771" s="980" t="s">
        <v>500</v>
      </c>
      <c r="C1771" s="879">
        <f>VLOOKUP(B1764,'CNKT '!$C$97:$Z$162,14,0)</f>
        <v>0</v>
      </c>
      <c r="D1771" s="825">
        <f>153.6*$B$2</f>
        <v>102640.128</v>
      </c>
      <c r="E1771" s="823">
        <f t="shared" si="205"/>
        <v>0</v>
      </c>
      <c r="F1771" s="882"/>
      <c r="G1771" s="821" t="s">
        <v>448</v>
      </c>
      <c r="H1771" s="980" t="s">
        <v>500</v>
      </c>
      <c r="I1771" s="879">
        <f>VLOOKUP(H1764,'CNKT '!$C$97:$Z$162,14,0)</f>
        <v>0</v>
      </c>
      <c r="J1771" s="825">
        <f>153.6*$B$2</f>
        <v>102640.128</v>
      </c>
      <c r="K1771" s="823">
        <f t="shared" si="206"/>
        <v>0</v>
      </c>
      <c r="L1771" s="818"/>
    </row>
    <row r="1772" spans="1:12" s="31" customFormat="1" ht="17.25" customHeight="1">
      <c r="A1772" s="821" t="s">
        <v>455</v>
      </c>
      <c r="B1772" s="980" t="s">
        <v>501</v>
      </c>
      <c r="C1772" s="879">
        <f>VLOOKUP(B1764,'CNKT '!$C$98:$Z$162,18,0)</f>
        <v>0</v>
      </c>
      <c r="D1772" s="825">
        <v>10000</v>
      </c>
      <c r="E1772" s="823">
        <f>C1772*D1772</f>
        <v>0</v>
      </c>
      <c r="F1772" s="882"/>
      <c r="G1772" s="821" t="s">
        <v>455</v>
      </c>
      <c r="H1772" s="980" t="s">
        <v>501</v>
      </c>
      <c r="I1772" s="879">
        <f>VLOOKUP(H1764,'CNKT '!$C$98:$Z$162,18,0)</f>
        <v>0</v>
      </c>
      <c r="J1772" s="825">
        <v>10000</v>
      </c>
      <c r="K1772" s="823">
        <f>I1772*J1772</f>
        <v>0</v>
      </c>
      <c r="L1772" s="818"/>
    </row>
    <row r="1773" spans="1:12" s="31" customFormat="1" ht="17.25" customHeight="1">
      <c r="A1773" s="821" t="s">
        <v>455</v>
      </c>
      <c r="B1773" s="980" t="s">
        <v>501</v>
      </c>
      <c r="C1773" s="879">
        <f>VLOOKUP(B1764,'CNKT '!$C$98:$Z$162,19,0)</f>
        <v>0</v>
      </c>
      <c r="D1773" s="825">
        <v>20000</v>
      </c>
      <c r="E1773" s="823">
        <f>C1773*D1773</f>
        <v>0</v>
      </c>
      <c r="F1773" s="882"/>
      <c r="G1773" s="821" t="s">
        <v>455</v>
      </c>
      <c r="H1773" s="980" t="s">
        <v>501</v>
      </c>
      <c r="I1773" s="879">
        <f>VLOOKUP(H1764,'CNKT '!$C$98:$Z$162,19,0)</f>
        <v>0</v>
      </c>
      <c r="J1773" s="825">
        <v>20000</v>
      </c>
      <c r="K1773" s="823">
        <f>I1773*J1773</f>
        <v>0</v>
      </c>
      <c r="L1773" s="818"/>
    </row>
    <row r="1774" spans="1:12" s="31" customFormat="1" ht="17.25" customHeight="1">
      <c r="A1774" s="821" t="s">
        <v>517</v>
      </c>
      <c r="B1774" s="980" t="s">
        <v>519</v>
      </c>
      <c r="C1774" s="879"/>
      <c r="D1774" s="825"/>
      <c r="E1774" s="823"/>
      <c r="F1774" s="882"/>
      <c r="G1774" s="821" t="s">
        <v>517</v>
      </c>
      <c r="H1774" s="980" t="s">
        <v>519</v>
      </c>
      <c r="I1774" s="879"/>
      <c r="J1774" s="825"/>
      <c r="K1774" s="823"/>
      <c r="L1774" s="818"/>
    </row>
    <row r="1775" spans="1:12" s="31" customFormat="1" ht="17.25" customHeight="1">
      <c r="A1775" s="827" t="s">
        <v>81</v>
      </c>
      <c r="B1775" s="981" t="s">
        <v>564</v>
      </c>
      <c r="C1775" s="828"/>
      <c r="D1775" s="829"/>
      <c r="E1775" s="828"/>
      <c r="F1775" s="882"/>
      <c r="G1775" s="827" t="s">
        <v>81</v>
      </c>
      <c r="H1775" s="981" t="s">
        <v>564</v>
      </c>
      <c r="I1775" s="828"/>
      <c r="J1775" s="829"/>
      <c r="K1775" s="828"/>
      <c r="L1775" s="818"/>
    </row>
    <row r="1776" spans="1:12" s="31" customFormat="1" ht="17.25" customHeight="1">
      <c r="A1776" s="830" t="s">
        <v>82</v>
      </c>
      <c r="B1776" s="982" t="s">
        <v>565</v>
      </c>
      <c r="C1776" s="828"/>
      <c r="D1776" s="828"/>
      <c r="E1776" s="828"/>
      <c r="F1776" s="882"/>
      <c r="G1776" s="830" t="s">
        <v>82</v>
      </c>
      <c r="H1776" s="982" t="s">
        <v>565</v>
      </c>
      <c r="I1776" s="828"/>
      <c r="J1776" s="828"/>
      <c r="K1776" s="828"/>
      <c r="L1776" s="818"/>
    </row>
    <row r="1777" spans="1:12" s="31" customFormat="1" ht="17.25" customHeight="1">
      <c r="A1777" s="830" t="s">
        <v>83</v>
      </c>
      <c r="B1777" s="983" t="s">
        <v>566</v>
      </c>
      <c r="C1777" s="828"/>
      <c r="D1777" s="828"/>
      <c r="E1777" s="823">
        <f>SUM(E1776)</f>
        <v>0</v>
      </c>
      <c r="F1777" s="869"/>
      <c r="G1777" s="830" t="s">
        <v>83</v>
      </c>
      <c r="H1777" s="983" t="s">
        <v>566</v>
      </c>
      <c r="I1777" s="828"/>
      <c r="J1777" s="828"/>
      <c r="K1777" s="823">
        <f>SUM(K1776)</f>
        <v>0</v>
      </c>
      <c r="L1777" s="818"/>
    </row>
    <row r="1778" spans="1:12" s="31" customFormat="1" ht="17.25" customHeight="1">
      <c r="A1778" s="832" t="s">
        <v>84</v>
      </c>
      <c r="B1778" s="984" t="s">
        <v>438</v>
      </c>
      <c r="C1778" s="833"/>
      <c r="D1778" s="833"/>
      <c r="E1778" s="833">
        <f>(E1766+E1767+E1768+E1769+E1770+E1771+E1772+E1773+E1774)-E1777</f>
        <v>4644249.7196570644</v>
      </c>
      <c r="F1778" s="869"/>
      <c r="G1778" s="832" t="s">
        <v>84</v>
      </c>
      <c r="H1778" s="984" t="s">
        <v>438</v>
      </c>
      <c r="I1778" s="833"/>
      <c r="J1778" s="833"/>
      <c r="K1778" s="833">
        <f>(K1766+K1767+K1768+K1769+K1770+K1771+K1772+K1773+K1774)-K1777</f>
        <v>4604060.6598520437</v>
      </c>
      <c r="L1778" s="835">
        <f>E1778+K1778</f>
        <v>9248310.3795091081</v>
      </c>
    </row>
    <row r="1779" spans="1:12" s="31" customFormat="1" ht="17.25" customHeight="1">
      <c r="A1779" s="895"/>
      <c r="B1779" s="895"/>
      <c r="C1779" s="895"/>
      <c r="D1779" s="895"/>
      <c r="E1779" s="895"/>
      <c r="F1779" s="895"/>
      <c r="G1779" s="895"/>
      <c r="H1779" s="895"/>
      <c r="I1779" s="895"/>
      <c r="J1779" s="895"/>
      <c r="K1779" s="895"/>
      <c r="L1779" s="818"/>
    </row>
    <row r="1780" spans="1:12" s="31" customFormat="1" ht="17.25" customHeight="1">
      <c r="A1780" s="891" t="str">
        <f>A1763</f>
        <v>LƯƠNG THÁNG 01/2025</v>
      </c>
      <c r="B1780" s="895"/>
      <c r="C1780" s="895"/>
      <c r="D1780" s="895"/>
      <c r="E1780" s="904">
        <f>VLOOKUP(B1781,'CNKT '!$C$98:$AC$162,26,0)</f>
        <v>0</v>
      </c>
      <c r="F1780" s="882"/>
      <c r="G1780" s="891" t="str">
        <f>A1780</f>
        <v>LƯƠNG THÁNG 01/2025</v>
      </c>
      <c r="H1780" s="895"/>
      <c r="I1780" s="895"/>
      <c r="J1780" s="898"/>
      <c r="K1780" s="904">
        <f>VLOOKUP(H1781,'CNKT '!$C$98:$AC$162,26,0)</f>
        <v>0</v>
      </c>
      <c r="L1780" s="818"/>
    </row>
    <row r="1781" spans="1:12" s="31" customFormat="1" ht="17.25" customHeight="1">
      <c r="A1781" s="837" t="s">
        <v>17</v>
      </c>
      <c r="B1781" s="976" t="str">
        <f>'CNKT '!C132</f>
        <v>Lăm Thong</v>
      </c>
      <c r="C1781" s="822"/>
      <c r="D1781" s="976" t="s">
        <v>398</v>
      </c>
      <c r="E1781" s="976" t="s">
        <v>20</v>
      </c>
      <c r="F1781" s="882"/>
      <c r="G1781" s="837" t="s">
        <v>17</v>
      </c>
      <c r="H1781" s="976" t="str">
        <f>'CNKT '!C133</f>
        <v>N. Xeo Khăm</v>
      </c>
      <c r="I1781" s="822"/>
      <c r="J1781" s="976" t="s">
        <v>398</v>
      </c>
      <c r="K1781" s="976" t="s">
        <v>20</v>
      </c>
      <c r="L1781" s="818"/>
    </row>
    <row r="1782" spans="1:12" s="31" customFormat="1" ht="17.25" customHeight="1">
      <c r="A1782" s="821" t="s">
        <v>399</v>
      </c>
      <c r="B1782" s="978" t="s">
        <v>559</v>
      </c>
      <c r="C1782" s="822" t="str">
        <f>VLOOKUP(B1781,'BTH mủ tạp'!$C$98:$AL$160,36,0)</f>
        <v>A</v>
      </c>
      <c r="D1782" s="823"/>
      <c r="E1782" s="823"/>
      <c r="F1782" s="882"/>
      <c r="G1782" s="821" t="s">
        <v>399</v>
      </c>
      <c r="H1782" s="978" t="s">
        <v>559</v>
      </c>
      <c r="I1782" s="822" t="str">
        <f>VLOOKUP(H1781,'BTH mủ tạp'!$C$98:$AL$160,36,0)</f>
        <v>A</v>
      </c>
      <c r="J1782" s="823"/>
      <c r="K1782" s="823"/>
      <c r="L1782" s="818"/>
    </row>
    <row r="1783" spans="1:12" s="31" customFormat="1" ht="17.25" customHeight="1">
      <c r="A1783" s="821" t="s">
        <v>79</v>
      </c>
      <c r="B1783" s="979" t="s">
        <v>432</v>
      </c>
      <c r="C1783" s="824">
        <f>VLOOKUP(B1781,'CNKT '!$C$97:$Z$162,3,0)</f>
        <v>0</v>
      </c>
      <c r="D1783" s="825">
        <v>25000</v>
      </c>
      <c r="E1783" s="823">
        <f t="shared" ref="E1783:E1788" si="207">C1783*D1783</f>
        <v>0</v>
      </c>
      <c r="F1783" s="882"/>
      <c r="G1783" s="821" t="s">
        <v>79</v>
      </c>
      <c r="H1783" s="979" t="s">
        <v>432</v>
      </c>
      <c r="I1783" s="824">
        <f>VLOOKUP(H1781,'CNKT '!$C$97:$Z$162,3,0)</f>
        <v>0</v>
      </c>
      <c r="J1783" s="825">
        <v>25000</v>
      </c>
      <c r="K1783" s="823">
        <f t="shared" ref="K1783:K1788" si="208">I1783*J1783</f>
        <v>0</v>
      </c>
      <c r="L1783" s="818"/>
    </row>
    <row r="1784" spans="1:12" s="31" customFormat="1" ht="17.25" customHeight="1">
      <c r="A1784" s="821" t="s">
        <v>310</v>
      </c>
      <c r="B1784" s="980" t="s">
        <v>560</v>
      </c>
      <c r="C1784" s="879">
        <f>VLOOKUP(B1781,'CNKT '!$C$97:$Z$162,11,0)</f>
        <v>27</v>
      </c>
      <c r="D1784" s="826">
        <f>46.1*$B$2</f>
        <v>30805.403000000002</v>
      </c>
      <c r="E1784" s="823">
        <f t="shared" si="207"/>
        <v>831745.88100000005</v>
      </c>
      <c r="F1784" s="882"/>
      <c r="G1784" s="821" t="s">
        <v>310</v>
      </c>
      <c r="H1784" s="980" t="s">
        <v>560</v>
      </c>
      <c r="I1784" s="879">
        <f>VLOOKUP(H1781,'CNKT '!$C$97:$Z$162,11,0)</f>
        <v>20</v>
      </c>
      <c r="J1784" s="826">
        <f>46.1*$B$2</f>
        <v>30805.403000000002</v>
      </c>
      <c r="K1784" s="823">
        <f t="shared" si="208"/>
        <v>616108.06000000006</v>
      </c>
      <c r="L1784" s="818"/>
    </row>
    <row r="1785" spans="1:12" s="31" customFormat="1" ht="17.25" customHeight="1">
      <c r="A1785" s="821" t="s">
        <v>401</v>
      </c>
      <c r="B1785" s="980" t="s">
        <v>561</v>
      </c>
      <c r="C1785" s="879">
        <f>VLOOKUP(B1781,'CNKT '!$C$97:$Z$162,12,0)</f>
        <v>4</v>
      </c>
      <c r="D1785" s="825">
        <f>76.9*$B$2</f>
        <v>51386.887000000002</v>
      </c>
      <c r="E1785" s="823">
        <f t="shared" si="207"/>
        <v>205547.54800000001</v>
      </c>
      <c r="F1785" s="882"/>
      <c r="G1785" s="821" t="s">
        <v>401</v>
      </c>
      <c r="H1785" s="980" t="s">
        <v>561</v>
      </c>
      <c r="I1785" s="879">
        <f>VLOOKUP(H1781,'CNKT '!$C$97:$Z$162,12,0)</f>
        <v>2</v>
      </c>
      <c r="J1785" s="825">
        <f>76.9*$B$2</f>
        <v>51386.887000000002</v>
      </c>
      <c r="K1785" s="823">
        <f t="shared" si="208"/>
        <v>102773.774</v>
      </c>
      <c r="L1785" s="818"/>
    </row>
    <row r="1786" spans="1:12" s="31" customFormat="1" ht="17.25" customHeight="1">
      <c r="A1786" s="821" t="s">
        <v>80</v>
      </c>
      <c r="B1786" s="980" t="s">
        <v>562</v>
      </c>
      <c r="C1786" s="879">
        <f>VLOOKUP(B1781,'CNKT '!$C$97:$Z$162,8,0)</f>
        <v>921.23614426885433</v>
      </c>
      <c r="D1786" s="825">
        <f>IF(C1782="A",6.1,IF(C1782="B",5.8,IF(C1782="C",5.5,IF(C1782="C.",5.5,IF(C1782="D",5.2)))))*$B$2</f>
        <v>4076.203</v>
      </c>
      <c r="E1786" s="823">
        <f t="shared" si="207"/>
        <v>3755145.5349771366</v>
      </c>
      <c r="F1786" s="882"/>
      <c r="G1786" s="821" t="s">
        <v>80</v>
      </c>
      <c r="H1786" s="980" t="s">
        <v>562</v>
      </c>
      <c r="I1786" s="879">
        <f>VLOOKUP(H1781,'CNKT '!$C$97:$Z$162,8,0)</f>
        <v>734.34810618123674</v>
      </c>
      <c r="J1786" s="825">
        <f>IF(I1782="A",6.1,IF(I1782="B",5.8,IF(I1782="C",5.5,IF(I1782="C.",5.5,IF(I1782="D",5.2)))))*$B$2</f>
        <v>4076.203</v>
      </c>
      <c r="K1786" s="823">
        <f t="shared" si="208"/>
        <v>2993351.9534602757</v>
      </c>
      <c r="L1786" s="818"/>
    </row>
    <row r="1787" spans="1:12" s="31" customFormat="1" ht="17.25" customHeight="1">
      <c r="A1787" s="821" t="s">
        <v>497</v>
      </c>
      <c r="B1787" s="980" t="s">
        <v>563</v>
      </c>
      <c r="C1787" s="879">
        <f>VLOOKUP(B1781,'CNKT '!$C$97:$Z$162,13,0)</f>
        <v>0</v>
      </c>
      <c r="D1787" s="826">
        <f>92.2*$B$2</f>
        <v>61610.806000000004</v>
      </c>
      <c r="E1787" s="823">
        <f t="shared" si="207"/>
        <v>0</v>
      </c>
      <c r="F1787" s="882"/>
      <c r="G1787" s="821" t="s">
        <v>497</v>
      </c>
      <c r="H1787" s="980" t="s">
        <v>563</v>
      </c>
      <c r="I1787" s="879">
        <f>VLOOKUP(H1781,'CNKT '!$C$97:$Z$162,13,0)</f>
        <v>0</v>
      </c>
      <c r="J1787" s="826">
        <f>92.2*$B$2</f>
        <v>61610.806000000004</v>
      </c>
      <c r="K1787" s="823">
        <f t="shared" si="208"/>
        <v>0</v>
      </c>
      <c r="L1787" s="818"/>
    </row>
    <row r="1788" spans="1:12" s="31" customFormat="1" ht="17.25" customHeight="1">
      <c r="A1788" s="821" t="s">
        <v>448</v>
      </c>
      <c r="B1788" s="980" t="s">
        <v>500</v>
      </c>
      <c r="C1788" s="879">
        <f>VLOOKUP(B1781,'CNKT '!$C$97:$Z$162,14,0)</f>
        <v>0</v>
      </c>
      <c r="D1788" s="825">
        <f>153.6*$B$2</f>
        <v>102640.128</v>
      </c>
      <c r="E1788" s="823">
        <f t="shared" si="207"/>
        <v>0</v>
      </c>
      <c r="F1788" s="882"/>
      <c r="G1788" s="821" t="s">
        <v>448</v>
      </c>
      <c r="H1788" s="980" t="s">
        <v>500</v>
      </c>
      <c r="I1788" s="879">
        <f>VLOOKUP(H1781,'CNKT '!$C$97:$Z$162,14,0)</f>
        <v>0</v>
      </c>
      <c r="J1788" s="825">
        <f>153.6*$B$2</f>
        <v>102640.128</v>
      </c>
      <c r="K1788" s="823">
        <f t="shared" si="208"/>
        <v>0</v>
      </c>
      <c r="L1788" s="818"/>
    </row>
    <row r="1789" spans="1:12" s="31" customFormat="1" ht="17.25" customHeight="1">
      <c r="A1789" s="821" t="s">
        <v>455</v>
      </c>
      <c r="B1789" s="980" t="s">
        <v>501</v>
      </c>
      <c r="C1789" s="879">
        <f>VLOOKUP(B1781,'CNKT '!$C$98:$Z$162,18,0)</f>
        <v>0</v>
      </c>
      <c r="D1789" s="825">
        <v>10000</v>
      </c>
      <c r="E1789" s="823">
        <f>C1789*D1789</f>
        <v>0</v>
      </c>
      <c r="F1789" s="882"/>
      <c r="G1789" s="821" t="s">
        <v>455</v>
      </c>
      <c r="H1789" s="980" t="s">
        <v>501</v>
      </c>
      <c r="I1789" s="879">
        <f>VLOOKUP(H1781,'CNKT '!$C$98:$Z$162,18,0)</f>
        <v>0</v>
      </c>
      <c r="J1789" s="825">
        <v>10000</v>
      </c>
      <c r="K1789" s="823">
        <f>I1789*J1789</f>
        <v>0</v>
      </c>
      <c r="L1789" s="818"/>
    </row>
    <row r="1790" spans="1:12" s="31" customFormat="1" ht="17.25" customHeight="1">
      <c r="A1790" s="821" t="s">
        <v>455</v>
      </c>
      <c r="B1790" s="980" t="s">
        <v>501</v>
      </c>
      <c r="C1790" s="879">
        <f>VLOOKUP(B1781,'CNKT '!$C$98:$Z$162,19,0)</f>
        <v>0</v>
      </c>
      <c r="D1790" s="825">
        <v>20000</v>
      </c>
      <c r="E1790" s="823">
        <f>C1790*D1790</f>
        <v>0</v>
      </c>
      <c r="F1790" s="882"/>
      <c r="G1790" s="821" t="s">
        <v>455</v>
      </c>
      <c r="H1790" s="980" t="s">
        <v>501</v>
      </c>
      <c r="I1790" s="879">
        <f>VLOOKUP(H1781,'CNKT '!$C$98:$Z$162,19,0)</f>
        <v>0</v>
      </c>
      <c r="J1790" s="825">
        <v>20000</v>
      </c>
      <c r="K1790" s="823">
        <f>I1790*J1790</f>
        <v>0</v>
      </c>
      <c r="L1790" s="818"/>
    </row>
    <row r="1791" spans="1:12" s="31" customFormat="1" ht="17.25" customHeight="1">
      <c r="A1791" s="821" t="s">
        <v>517</v>
      </c>
      <c r="B1791" s="980" t="s">
        <v>519</v>
      </c>
      <c r="C1791" s="879"/>
      <c r="D1791" s="825"/>
      <c r="E1791" s="823"/>
      <c r="F1791" s="882"/>
      <c r="G1791" s="821" t="s">
        <v>517</v>
      </c>
      <c r="H1791" s="980" t="s">
        <v>519</v>
      </c>
      <c r="I1791" s="879"/>
      <c r="J1791" s="825"/>
      <c r="K1791" s="823"/>
      <c r="L1791" s="818"/>
    </row>
    <row r="1792" spans="1:12" s="31" customFormat="1" ht="17.25" customHeight="1">
      <c r="A1792" s="827" t="s">
        <v>81</v>
      </c>
      <c r="B1792" s="981" t="s">
        <v>564</v>
      </c>
      <c r="C1792" s="828"/>
      <c r="D1792" s="829"/>
      <c r="E1792" s="828"/>
      <c r="F1792" s="882"/>
      <c r="G1792" s="827" t="s">
        <v>81</v>
      </c>
      <c r="H1792" s="981" t="s">
        <v>564</v>
      </c>
      <c r="I1792" s="828"/>
      <c r="J1792" s="829"/>
      <c r="K1792" s="828"/>
      <c r="L1792" s="818"/>
    </row>
    <row r="1793" spans="1:12" s="31" customFormat="1" ht="17.25" customHeight="1">
      <c r="A1793" s="830" t="s">
        <v>82</v>
      </c>
      <c r="B1793" s="982" t="s">
        <v>565</v>
      </c>
      <c r="C1793" s="828"/>
      <c r="D1793" s="828"/>
      <c r="E1793" s="828"/>
      <c r="F1793" s="882"/>
      <c r="G1793" s="830" t="s">
        <v>82</v>
      </c>
      <c r="H1793" s="982" t="s">
        <v>565</v>
      </c>
      <c r="I1793" s="828"/>
      <c r="J1793" s="828"/>
      <c r="K1793" s="828"/>
      <c r="L1793" s="818"/>
    </row>
    <row r="1794" spans="1:12" s="31" customFormat="1" ht="17.25" customHeight="1">
      <c r="A1794" s="830" t="s">
        <v>83</v>
      </c>
      <c r="B1794" s="983" t="s">
        <v>566</v>
      </c>
      <c r="C1794" s="828"/>
      <c r="D1794" s="828"/>
      <c r="E1794" s="823">
        <f>SUM(E1793)</f>
        <v>0</v>
      </c>
      <c r="F1794" s="879"/>
      <c r="G1794" s="830" t="s">
        <v>83</v>
      </c>
      <c r="H1794" s="983" t="s">
        <v>566</v>
      </c>
      <c r="I1794" s="828"/>
      <c r="J1794" s="828"/>
      <c r="K1794" s="823">
        <f>SUM(K1793)</f>
        <v>0</v>
      </c>
      <c r="L1794" s="818"/>
    </row>
    <row r="1795" spans="1:12" s="31" customFormat="1" ht="17.25" customHeight="1">
      <c r="A1795" s="832" t="s">
        <v>84</v>
      </c>
      <c r="B1795" s="984" t="s">
        <v>438</v>
      </c>
      <c r="C1795" s="833"/>
      <c r="D1795" s="833"/>
      <c r="E1795" s="833">
        <f>(E1783+E1784+E1785+E1786+E1787+E1788+E1789+E1790+E1791)-E1794</f>
        <v>4792438.9639771366</v>
      </c>
      <c r="F1795" s="879"/>
      <c r="G1795" s="832" t="s">
        <v>84</v>
      </c>
      <c r="H1795" s="984" t="s">
        <v>438</v>
      </c>
      <c r="I1795" s="833"/>
      <c r="J1795" s="833"/>
      <c r="K1795" s="833">
        <f>(K1783+K1784+K1785+K1786+K1787+K1788+K1789+K1790+K1791)-K1794</f>
        <v>3712233.7874602759</v>
      </c>
      <c r="L1795" s="835">
        <f>E1795+K1795</f>
        <v>8504672.7514374126</v>
      </c>
    </row>
    <row r="1796" spans="1:12" s="31" customFormat="1" ht="17.25" customHeight="1">
      <c r="A1796" s="895"/>
      <c r="B1796" s="895"/>
      <c r="C1796" s="895"/>
      <c r="D1796" s="895"/>
      <c r="E1796" s="895"/>
      <c r="F1796" s="895"/>
      <c r="G1796" s="895"/>
      <c r="H1796" s="895"/>
      <c r="I1796" s="895"/>
      <c r="J1796" s="895"/>
      <c r="K1796" s="895"/>
      <c r="L1796" s="818"/>
    </row>
    <row r="1797" spans="1:12" s="31" customFormat="1" ht="17.25" customHeight="1">
      <c r="A1797" s="891" t="str">
        <f>A1780</f>
        <v>LƯƠNG THÁNG 01/2025</v>
      </c>
      <c r="B1797" s="895"/>
      <c r="C1797" s="895"/>
      <c r="D1797" s="895"/>
      <c r="E1797" s="904">
        <f>VLOOKUP(B1798,'CNKT '!$C$98:$AC$162,26,0)</f>
        <v>0</v>
      </c>
      <c r="F1797" s="882"/>
      <c r="G1797" s="891" t="str">
        <f>A1797</f>
        <v>LƯƠNG THÁNG 01/2025</v>
      </c>
      <c r="H1797" s="895"/>
      <c r="I1797" s="895"/>
      <c r="J1797" s="898"/>
      <c r="K1797" s="904">
        <f>VLOOKUP(H1798,'CNKT '!$C$98:$AC$162,26,0)</f>
        <v>0</v>
      </c>
      <c r="L1797" s="818"/>
    </row>
    <row r="1798" spans="1:12" s="31" customFormat="1" ht="17.25" customHeight="1">
      <c r="A1798" s="837" t="s">
        <v>17</v>
      </c>
      <c r="B1798" s="976" t="str">
        <f>'CNKT '!C134</f>
        <v>T. Khăm...</v>
      </c>
      <c r="C1798" s="822"/>
      <c r="D1798" s="976" t="s">
        <v>398</v>
      </c>
      <c r="E1798" s="976" t="s">
        <v>20</v>
      </c>
      <c r="F1798" s="882"/>
      <c r="G1798" s="837" t="s">
        <v>17</v>
      </c>
      <c r="H1798" s="976" t="str">
        <f>'CNKT '!C135</f>
        <v>N. Túc</v>
      </c>
      <c r="I1798" s="822"/>
      <c r="J1798" s="976" t="s">
        <v>398</v>
      </c>
      <c r="K1798" s="976" t="s">
        <v>20</v>
      </c>
      <c r="L1798" s="818"/>
    </row>
    <row r="1799" spans="1:12" s="31" customFormat="1" ht="17.25" customHeight="1">
      <c r="A1799" s="821" t="s">
        <v>399</v>
      </c>
      <c r="B1799" s="978" t="s">
        <v>559</v>
      </c>
      <c r="C1799" s="822" t="str">
        <f>VLOOKUP(B1798,'BTH mủ tạp'!$C$98:$AL$160,36,0)</f>
        <v>A</v>
      </c>
      <c r="D1799" s="823"/>
      <c r="E1799" s="823"/>
      <c r="F1799" s="882"/>
      <c r="G1799" s="821" t="s">
        <v>399</v>
      </c>
      <c r="H1799" s="978" t="s">
        <v>559</v>
      </c>
      <c r="I1799" s="822" t="str">
        <f>VLOOKUP(H1798,'BTH mủ tạp'!$C$98:$AL$160,36,0)</f>
        <v>A</v>
      </c>
      <c r="J1799" s="823"/>
      <c r="K1799" s="823"/>
      <c r="L1799" s="818"/>
    </row>
    <row r="1800" spans="1:12" s="31" customFormat="1" ht="17.25" customHeight="1">
      <c r="A1800" s="821" t="s">
        <v>79</v>
      </c>
      <c r="B1800" s="979" t="s">
        <v>432</v>
      </c>
      <c r="C1800" s="824">
        <f>VLOOKUP(B1798,'CNKT '!$C$97:$Z$162,3,0)</f>
        <v>0</v>
      </c>
      <c r="D1800" s="825">
        <v>25000</v>
      </c>
      <c r="E1800" s="823">
        <f t="shared" ref="E1800:E1805" si="209">C1800*D1800</f>
        <v>0</v>
      </c>
      <c r="F1800" s="882"/>
      <c r="G1800" s="821" t="s">
        <v>79</v>
      </c>
      <c r="H1800" s="979" t="s">
        <v>432</v>
      </c>
      <c r="I1800" s="824">
        <f>VLOOKUP(H1798,'CNKT '!$C$97:$Z$162,3,0)</f>
        <v>0</v>
      </c>
      <c r="J1800" s="825">
        <v>25000</v>
      </c>
      <c r="K1800" s="823">
        <f t="shared" ref="K1800:K1805" si="210">I1800*J1800</f>
        <v>0</v>
      </c>
      <c r="L1800" s="818"/>
    </row>
    <row r="1801" spans="1:12" s="31" customFormat="1" ht="17.25" customHeight="1">
      <c r="A1801" s="821" t="s">
        <v>310</v>
      </c>
      <c r="B1801" s="980" t="s">
        <v>560</v>
      </c>
      <c r="C1801" s="879">
        <f>VLOOKUP(B1798,'CNKT '!$C$97:$Z$162,11,0)</f>
        <v>27</v>
      </c>
      <c r="D1801" s="826">
        <f>46.1*$B$2</f>
        <v>30805.403000000002</v>
      </c>
      <c r="E1801" s="823">
        <f t="shared" si="209"/>
        <v>831745.88100000005</v>
      </c>
      <c r="F1801" s="882"/>
      <c r="G1801" s="821" t="s">
        <v>310</v>
      </c>
      <c r="H1801" s="980" t="s">
        <v>560</v>
      </c>
      <c r="I1801" s="879">
        <f>VLOOKUP(H1798,'CNKT '!$C$97:$Z$162,11,0)</f>
        <v>27</v>
      </c>
      <c r="J1801" s="826">
        <f>46.1*$B$2</f>
        <v>30805.403000000002</v>
      </c>
      <c r="K1801" s="823">
        <f t="shared" si="210"/>
        <v>831745.88100000005</v>
      </c>
      <c r="L1801" s="818"/>
    </row>
    <row r="1802" spans="1:12" s="31" customFormat="1" ht="17.25" customHeight="1">
      <c r="A1802" s="821" t="s">
        <v>401</v>
      </c>
      <c r="B1802" s="980" t="s">
        <v>561</v>
      </c>
      <c r="C1802" s="879">
        <f>VLOOKUP(B1798,'CNKT '!$C$97:$Z$162,12,0)</f>
        <v>4</v>
      </c>
      <c r="D1802" s="825">
        <f>76.9*$B$2</f>
        <v>51386.887000000002</v>
      </c>
      <c r="E1802" s="823">
        <f t="shared" si="209"/>
        <v>205547.54800000001</v>
      </c>
      <c r="F1802" s="882"/>
      <c r="G1802" s="821" t="s">
        <v>401</v>
      </c>
      <c r="H1802" s="980" t="s">
        <v>561</v>
      </c>
      <c r="I1802" s="879">
        <f>VLOOKUP(H1798,'CNKT '!$C$97:$Z$162,12,0)</f>
        <v>4</v>
      </c>
      <c r="J1802" s="825">
        <f>76.9*$B$2</f>
        <v>51386.887000000002</v>
      </c>
      <c r="K1802" s="823">
        <f t="shared" si="210"/>
        <v>205547.54800000001</v>
      </c>
      <c r="L1802" s="818"/>
    </row>
    <row r="1803" spans="1:12" s="31" customFormat="1" ht="17.25" customHeight="1">
      <c r="A1803" s="821" t="s">
        <v>80</v>
      </c>
      <c r="B1803" s="980" t="s">
        <v>562</v>
      </c>
      <c r="C1803" s="879">
        <f>VLOOKUP(B1798,'CNKT '!$C$97:$Z$162,8,0)</f>
        <v>1162.4639108221652</v>
      </c>
      <c r="D1803" s="825">
        <f>IF(C1799="A",6.1,IF(C1799="B",5.8,IF(C1799="C",5.5,IF(C1799="C.",5.5,IF(C1799="D",5.2)))))*$B$2</f>
        <v>4076.203</v>
      </c>
      <c r="E1803" s="823">
        <f t="shared" si="209"/>
        <v>4738438.8806850426</v>
      </c>
      <c r="F1803" s="882"/>
      <c r="G1803" s="821" t="s">
        <v>80</v>
      </c>
      <c r="H1803" s="980" t="s">
        <v>562</v>
      </c>
      <c r="I1803" s="879">
        <f>VLOOKUP(H1798,'CNKT '!$C$97:$Z$162,8,0)</f>
        <v>1187.8563073014611</v>
      </c>
      <c r="J1803" s="825">
        <f>IF(I1799="A",6.1,IF(I1799="B",5.8,IF(I1799="C",5.5,IF(I1799="C.",5.5,IF(I1799="D",5.2)))))*$B$2</f>
        <v>4076.203</v>
      </c>
      <c r="K1803" s="823">
        <f t="shared" si="210"/>
        <v>4841943.4433911378</v>
      </c>
      <c r="L1803" s="818"/>
    </row>
    <row r="1804" spans="1:12" s="31" customFormat="1" ht="17.25" customHeight="1">
      <c r="A1804" s="821" t="s">
        <v>497</v>
      </c>
      <c r="B1804" s="980" t="s">
        <v>563</v>
      </c>
      <c r="C1804" s="879">
        <f>VLOOKUP(B1798,'CNKT '!$C$97:$Z$162,13,0)</f>
        <v>0</v>
      </c>
      <c r="D1804" s="826">
        <f>92.2*$B$2</f>
        <v>61610.806000000004</v>
      </c>
      <c r="E1804" s="823">
        <f t="shared" si="209"/>
        <v>0</v>
      </c>
      <c r="F1804" s="882"/>
      <c r="G1804" s="821" t="s">
        <v>497</v>
      </c>
      <c r="H1804" s="980" t="s">
        <v>563</v>
      </c>
      <c r="I1804" s="879">
        <f>VLOOKUP(H1798,'CNKT '!$C$97:$Z$162,13,0)</f>
        <v>0</v>
      </c>
      <c r="J1804" s="826">
        <f>92.2*$B$2</f>
        <v>61610.806000000004</v>
      </c>
      <c r="K1804" s="823">
        <f t="shared" si="210"/>
        <v>0</v>
      </c>
      <c r="L1804" s="818"/>
    </row>
    <row r="1805" spans="1:12" s="31" customFormat="1" ht="17.25" customHeight="1">
      <c r="A1805" s="821" t="s">
        <v>448</v>
      </c>
      <c r="B1805" s="980" t="s">
        <v>500</v>
      </c>
      <c r="C1805" s="879">
        <f>VLOOKUP(B1798,'CNKT '!$C$97:$Z$162,14,0)</f>
        <v>0</v>
      </c>
      <c r="D1805" s="825">
        <f>153.6*$B$2</f>
        <v>102640.128</v>
      </c>
      <c r="E1805" s="823">
        <f t="shared" si="209"/>
        <v>0</v>
      </c>
      <c r="F1805" s="882"/>
      <c r="G1805" s="821" t="s">
        <v>448</v>
      </c>
      <c r="H1805" s="980" t="s">
        <v>500</v>
      </c>
      <c r="I1805" s="879">
        <f>VLOOKUP(H1798,'CNKT '!$C$97:$Z$162,14,0)</f>
        <v>0</v>
      </c>
      <c r="J1805" s="825">
        <f>153.6*$B$2</f>
        <v>102640.128</v>
      </c>
      <c r="K1805" s="823">
        <f t="shared" si="210"/>
        <v>0</v>
      </c>
      <c r="L1805" s="818"/>
    </row>
    <row r="1806" spans="1:12" s="31" customFormat="1" ht="17.25" customHeight="1">
      <c r="A1806" s="821" t="s">
        <v>455</v>
      </c>
      <c r="B1806" s="980" t="s">
        <v>501</v>
      </c>
      <c r="C1806" s="879">
        <f>VLOOKUP(B1798,'CNKT '!$C$98:$Z$162,18,0)</f>
        <v>0</v>
      </c>
      <c r="D1806" s="825">
        <v>10000</v>
      </c>
      <c r="E1806" s="823">
        <f>C1806*D1806</f>
        <v>0</v>
      </c>
      <c r="F1806" s="882"/>
      <c r="G1806" s="821" t="s">
        <v>455</v>
      </c>
      <c r="H1806" s="980" t="s">
        <v>501</v>
      </c>
      <c r="I1806" s="879">
        <f>VLOOKUP(H1798,'CNKT '!$C$98:$Z$162,18,0)</f>
        <v>0</v>
      </c>
      <c r="J1806" s="825">
        <v>10000</v>
      </c>
      <c r="K1806" s="823">
        <f>I1806*J1806</f>
        <v>0</v>
      </c>
      <c r="L1806" s="818"/>
    </row>
    <row r="1807" spans="1:12" s="31" customFormat="1" ht="17.25" customHeight="1">
      <c r="A1807" s="821" t="s">
        <v>455</v>
      </c>
      <c r="B1807" s="980" t="s">
        <v>501</v>
      </c>
      <c r="C1807" s="879">
        <f>VLOOKUP(B1798,'CNKT '!$C$98:$Z$162,19,0)</f>
        <v>0</v>
      </c>
      <c r="D1807" s="825">
        <v>20000</v>
      </c>
      <c r="E1807" s="823">
        <f>C1807*D1807</f>
        <v>0</v>
      </c>
      <c r="F1807" s="882"/>
      <c r="G1807" s="821" t="s">
        <v>455</v>
      </c>
      <c r="H1807" s="980" t="s">
        <v>501</v>
      </c>
      <c r="I1807" s="879">
        <f>VLOOKUP(H1798,'CNKT '!$C$98:$Z$162,19,0)</f>
        <v>0</v>
      </c>
      <c r="J1807" s="825">
        <v>20000</v>
      </c>
      <c r="K1807" s="823">
        <f>I1807*J1807</f>
        <v>0</v>
      </c>
      <c r="L1807" s="818"/>
    </row>
    <row r="1808" spans="1:12" s="31" customFormat="1" ht="17.25" customHeight="1">
      <c r="A1808" s="821" t="s">
        <v>517</v>
      </c>
      <c r="B1808" s="980" t="s">
        <v>519</v>
      </c>
      <c r="C1808" s="879"/>
      <c r="D1808" s="825"/>
      <c r="E1808" s="823"/>
      <c r="F1808" s="882"/>
      <c r="G1808" s="821" t="s">
        <v>517</v>
      </c>
      <c r="H1808" s="980" t="s">
        <v>519</v>
      </c>
      <c r="I1808" s="879"/>
      <c r="J1808" s="825"/>
      <c r="K1808" s="823"/>
      <c r="L1808" s="818"/>
    </row>
    <row r="1809" spans="1:13" s="31" customFormat="1" ht="17.25" customHeight="1">
      <c r="A1809" s="827" t="s">
        <v>81</v>
      </c>
      <c r="B1809" s="981" t="s">
        <v>564</v>
      </c>
      <c r="C1809" s="828"/>
      <c r="D1809" s="829"/>
      <c r="E1809" s="828"/>
      <c r="F1809" s="882"/>
      <c r="G1809" s="827" t="s">
        <v>81</v>
      </c>
      <c r="H1809" s="981" t="s">
        <v>564</v>
      </c>
      <c r="I1809" s="828"/>
      <c r="J1809" s="829"/>
      <c r="K1809" s="828"/>
      <c r="L1809" s="818"/>
    </row>
    <row r="1810" spans="1:13" s="31" customFormat="1" ht="17.25" customHeight="1">
      <c r="A1810" s="830" t="s">
        <v>82</v>
      </c>
      <c r="B1810" s="982" t="s">
        <v>565</v>
      </c>
      <c r="C1810" s="828"/>
      <c r="D1810" s="828"/>
      <c r="E1810" s="828"/>
      <c r="F1810" s="882"/>
      <c r="G1810" s="830" t="s">
        <v>82</v>
      </c>
      <c r="H1810" s="982" t="s">
        <v>565</v>
      </c>
      <c r="I1810" s="828"/>
      <c r="J1810" s="828"/>
      <c r="K1810" s="828"/>
      <c r="L1810" s="818"/>
    </row>
    <row r="1811" spans="1:13" s="31" customFormat="1" ht="17.25" customHeight="1">
      <c r="A1811" s="830" t="s">
        <v>83</v>
      </c>
      <c r="B1811" s="983" t="s">
        <v>566</v>
      </c>
      <c r="C1811" s="828"/>
      <c r="D1811" s="828"/>
      <c r="E1811" s="823">
        <f>SUM(E1810)</f>
        <v>0</v>
      </c>
      <c r="F1811" s="878"/>
      <c r="G1811" s="830" t="s">
        <v>83</v>
      </c>
      <c r="H1811" s="983" t="s">
        <v>566</v>
      </c>
      <c r="I1811" s="828"/>
      <c r="J1811" s="828"/>
      <c r="K1811" s="823">
        <f>SUM(K1810)</f>
        <v>0</v>
      </c>
      <c r="L1811" s="835"/>
      <c r="M1811" s="831"/>
    </row>
    <row r="1812" spans="1:13" s="31" customFormat="1" ht="17.25" customHeight="1">
      <c r="A1812" s="832" t="s">
        <v>84</v>
      </c>
      <c r="B1812" s="984" t="s">
        <v>438</v>
      </c>
      <c r="C1812" s="833"/>
      <c r="D1812" s="833"/>
      <c r="E1812" s="833">
        <f>(E1800+E1801+E1802+E1803+E1804+E1805+E1806+E1807+E1808)-E1811</f>
        <v>5775732.3096850421</v>
      </c>
      <c r="F1812" s="878"/>
      <c r="G1812" s="832" t="s">
        <v>84</v>
      </c>
      <c r="H1812" s="984" t="s">
        <v>438</v>
      </c>
      <c r="I1812" s="833"/>
      <c r="J1812" s="833"/>
      <c r="K1812" s="833">
        <f>(K1800+K1801+K1802+K1803+K1804+K1805+K1806+K1807+K1808)-K1811</f>
        <v>5879236.8723911382</v>
      </c>
      <c r="L1812" s="835">
        <f>E1812+K1812</f>
        <v>11654969.18207618</v>
      </c>
      <c r="M1812" s="831"/>
    </row>
    <row r="1813" spans="1:13" s="31" customFormat="1" ht="66.75" customHeight="1">
      <c r="A1813" s="895"/>
      <c r="B1813" s="895"/>
      <c r="C1813" s="895"/>
      <c r="D1813" s="895"/>
      <c r="E1813" s="895"/>
      <c r="F1813" s="895"/>
      <c r="G1813" s="895"/>
      <c r="H1813" s="895"/>
      <c r="I1813" s="895"/>
      <c r="J1813" s="895"/>
      <c r="K1813" s="895"/>
      <c r="L1813" s="835"/>
      <c r="M1813" s="831"/>
    </row>
    <row r="1814" spans="1:13" s="31" customFormat="1" ht="17.25" customHeight="1">
      <c r="A1814" s="891" t="str">
        <f>A1797</f>
        <v>LƯƠNG THÁNG 01/2025</v>
      </c>
      <c r="B1814" s="895"/>
      <c r="C1814" s="895"/>
      <c r="D1814" s="895"/>
      <c r="E1814" s="904">
        <f>VLOOKUP(B1815,'CNKT '!$C$98:$AC$162,26,0)</f>
        <v>0</v>
      </c>
      <c r="F1814" s="882"/>
      <c r="G1814" s="891" t="str">
        <f>A1814</f>
        <v>LƯƠNG THÁNG 01/2025</v>
      </c>
      <c r="H1814" s="895"/>
      <c r="I1814" s="895"/>
      <c r="J1814" s="898"/>
      <c r="K1814" s="904">
        <f>VLOOKUP(H1815,'CNKT '!$C$98:$AC$162,26,0)</f>
        <v>0</v>
      </c>
      <c r="L1814" s="835"/>
      <c r="M1814" s="831"/>
    </row>
    <row r="1815" spans="1:13" s="31" customFormat="1" ht="17.25" customHeight="1">
      <c r="A1815" s="837" t="s">
        <v>17</v>
      </c>
      <c r="B1815" s="976" t="str">
        <f>'CNKT '!C136</f>
        <v>N. Pheng</v>
      </c>
      <c r="C1815" s="822"/>
      <c r="D1815" s="976" t="s">
        <v>398</v>
      </c>
      <c r="E1815" s="976" t="s">
        <v>20</v>
      </c>
      <c r="F1815" s="882"/>
      <c r="G1815" s="837" t="s">
        <v>17</v>
      </c>
      <c r="H1815" s="976" t="str">
        <f>'CNKT '!C137</f>
        <v>N. Mom</v>
      </c>
      <c r="I1815" s="822"/>
      <c r="J1815" s="976" t="s">
        <v>398</v>
      </c>
      <c r="K1815" s="976" t="s">
        <v>20</v>
      </c>
      <c r="L1815" s="835"/>
      <c r="M1815" s="831"/>
    </row>
    <row r="1816" spans="1:13" s="31" customFormat="1" ht="17.25" customHeight="1">
      <c r="A1816" s="821" t="s">
        <v>399</v>
      </c>
      <c r="B1816" s="978" t="s">
        <v>559</v>
      </c>
      <c r="C1816" s="822" t="str">
        <f>VLOOKUP(B1815,'BTH mủ tạp'!$C$98:$AL$160,36,0)</f>
        <v>A</v>
      </c>
      <c r="D1816" s="823"/>
      <c r="E1816" s="823"/>
      <c r="F1816" s="882"/>
      <c r="G1816" s="821" t="s">
        <v>399</v>
      </c>
      <c r="H1816" s="978" t="s">
        <v>559</v>
      </c>
      <c r="I1816" s="822" t="str">
        <f>VLOOKUP(H1815,'BTH mủ tạp'!$C$98:$AL$160,36,0)</f>
        <v>A</v>
      </c>
      <c r="J1816" s="823"/>
      <c r="K1816" s="823"/>
      <c r="L1816" s="835"/>
      <c r="M1816" s="831"/>
    </row>
    <row r="1817" spans="1:13" s="31" customFormat="1" ht="17.25" customHeight="1">
      <c r="A1817" s="821" t="s">
        <v>79</v>
      </c>
      <c r="B1817" s="979" t="s">
        <v>432</v>
      </c>
      <c r="C1817" s="824">
        <f>VLOOKUP(B1815,'CNKT '!$C$97:$Z$162,3,0)</f>
        <v>0</v>
      </c>
      <c r="D1817" s="825">
        <v>25000</v>
      </c>
      <c r="E1817" s="823">
        <f t="shared" ref="E1817:E1822" si="211">C1817*D1817</f>
        <v>0</v>
      </c>
      <c r="F1817" s="882"/>
      <c r="G1817" s="821" t="s">
        <v>79</v>
      </c>
      <c r="H1817" s="979" t="s">
        <v>432</v>
      </c>
      <c r="I1817" s="824">
        <f>VLOOKUP(H1815,'CNKT '!$C$97:$Z$162,3,0)</f>
        <v>0</v>
      </c>
      <c r="J1817" s="825">
        <v>25000</v>
      </c>
      <c r="K1817" s="823">
        <f t="shared" ref="K1817:K1822" si="212">I1817*J1817</f>
        <v>0</v>
      </c>
      <c r="L1817" s="835"/>
      <c r="M1817" s="831"/>
    </row>
    <row r="1818" spans="1:13" s="31" customFormat="1" ht="17.25" customHeight="1">
      <c r="A1818" s="821" t="s">
        <v>310</v>
      </c>
      <c r="B1818" s="980" t="s">
        <v>560</v>
      </c>
      <c r="C1818" s="879">
        <f>VLOOKUP(B1815,'CNKT '!$C$97:$Z$162,11,0)</f>
        <v>27</v>
      </c>
      <c r="D1818" s="826">
        <f>46.1*$B$2</f>
        <v>30805.403000000002</v>
      </c>
      <c r="E1818" s="823">
        <f t="shared" si="211"/>
        <v>831745.88100000005</v>
      </c>
      <c r="F1818" s="882"/>
      <c r="G1818" s="821" t="s">
        <v>310</v>
      </c>
      <c r="H1818" s="980" t="s">
        <v>560</v>
      </c>
      <c r="I1818" s="879">
        <f>VLOOKUP(H1815,'CNKT '!$C$97:$Z$162,11,0)</f>
        <v>27</v>
      </c>
      <c r="J1818" s="826">
        <f>46.1*$B$2</f>
        <v>30805.403000000002</v>
      </c>
      <c r="K1818" s="823">
        <f t="shared" si="212"/>
        <v>831745.88100000005</v>
      </c>
      <c r="L1818" s="835"/>
      <c r="M1818" s="831"/>
    </row>
    <row r="1819" spans="1:13" s="31" customFormat="1" ht="17.25" customHeight="1">
      <c r="A1819" s="821" t="s">
        <v>401</v>
      </c>
      <c r="B1819" s="980" t="s">
        <v>561</v>
      </c>
      <c r="C1819" s="879">
        <f>VLOOKUP(B1815,'CNKT '!$C$97:$Z$162,12,0)</f>
        <v>4</v>
      </c>
      <c r="D1819" s="825">
        <f>76.9*$B$2</f>
        <v>51386.887000000002</v>
      </c>
      <c r="E1819" s="823">
        <f t="shared" si="211"/>
        <v>205547.54800000001</v>
      </c>
      <c r="F1819" s="882"/>
      <c r="G1819" s="821" t="s">
        <v>401</v>
      </c>
      <c r="H1819" s="980" t="s">
        <v>561</v>
      </c>
      <c r="I1819" s="879">
        <f>VLOOKUP(H1815,'CNKT '!$C$97:$Z$162,12,0)</f>
        <v>4</v>
      </c>
      <c r="J1819" s="825">
        <f>76.9*$B$2</f>
        <v>51386.887000000002</v>
      </c>
      <c r="K1819" s="823">
        <f t="shared" si="212"/>
        <v>205547.54800000001</v>
      </c>
      <c r="L1819" s="835"/>
      <c r="M1819" s="831"/>
    </row>
    <row r="1820" spans="1:13" s="31" customFormat="1" ht="17.25" customHeight="1">
      <c r="A1820" s="821" t="s">
        <v>80</v>
      </c>
      <c r="B1820" s="980" t="s">
        <v>562</v>
      </c>
      <c r="C1820" s="879">
        <f>VLOOKUP(B1815,'CNKT '!$C$97:$Z$162,8,0)</f>
        <v>1116.2497492298467</v>
      </c>
      <c r="D1820" s="825">
        <f>IF(C1816="A",6.1,IF(C1816="B",5.8,IF(C1816="C",5.5,IF(C1816="C.",5.5,IF(C1816="D",5.2)))))*$B$2</f>
        <v>4076.203</v>
      </c>
      <c r="E1820" s="823">
        <f t="shared" si="211"/>
        <v>4550060.5765599487</v>
      </c>
      <c r="F1820" s="882"/>
      <c r="G1820" s="821" t="s">
        <v>80</v>
      </c>
      <c r="H1820" s="980" t="s">
        <v>562</v>
      </c>
      <c r="I1820" s="879">
        <f>VLOOKUP(H1815,'CNKT '!$C$97:$Z$162,8,0)</f>
        <v>1192.4269386677342</v>
      </c>
      <c r="J1820" s="825">
        <f>IF(I1816="A",6.1,IF(I1816="B",5.8,IF(I1816="C",5.5,IF(I1816="C.",5.5,IF(I1816="D",5.2)))))*$B$2</f>
        <v>4076.203</v>
      </c>
      <c r="K1820" s="823">
        <f t="shared" si="212"/>
        <v>4860574.2646782342</v>
      </c>
      <c r="L1820" s="835"/>
      <c r="M1820" s="831"/>
    </row>
    <row r="1821" spans="1:13" s="31" customFormat="1" ht="17.25" customHeight="1">
      <c r="A1821" s="821" t="s">
        <v>497</v>
      </c>
      <c r="B1821" s="980" t="s">
        <v>563</v>
      </c>
      <c r="C1821" s="879">
        <f>VLOOKUP(B1815,'CNKT '!$C$97:$Z$162,13,0)</f>
        <v>0</v>
      </c>
      <c r="D1821" s="826">
        <f>92.2*$B$2</f>
        <v>61610.806000000004</v>
      </c>
      <c r="E1821" s="823">
        <f t="shared" si="211"/>
        <v>0</v>
      </c>
      <c r="F1821" s="882"/>
      <c r="G1821" s="821" t="s">
        <v>497</v>
      </c>
      <c r="H1821" s="980" t="s">
        <v>563</v>
      </c>
      <c r="I1821" s="879">
        <f>VLOOKUP(H1815,'CNKT '!$C$97:$Z$162,13,0)</f>
        <v>0</v>
      </c>
      <c r="J1821" s="826">
        <f>92.2*$B$2</f>
        <v>61610.806000000004</v>
      </c>
      <c r="K1821" s="823">
        <f t="shared" si="212"/>
        <v>0</v>
      </c>
      <c r="L1821" s="835"/>
      <c r="M1821" s="831"/>
    </row>
    <row r="1822" spans="1:13" s="31" customFormat="1" ht="17.25" customHeight="1">
      <c r="A1822" s="821" t="s">
        <v>448</v>
      </c>
      <c r="B1822" s="980" t="s">
        <v>500</v>
      </c>
      <c r="C1822" s="879">
        <f>VLOOKUP(B1815,'CNKT '!$C$97:$Z$162,14,0)</f>
        <v>0</v>
      </c>
      <c r="D1822" s="825">
        <f>153.6*$B$2</f>
        <v>102640.128</v>
      </c>
      <c r="E1822" s="823">
        <f t="shared" si="211"/>
        <v>0</v>
      </c>
      <c r="F1822" s="882"/>
      <c r="G1822" s="821" t="s">
        <v>448</v>
      </c>
      <c r="H1822" s="980" t="s">
        <v>500</v>
      </c>
      <c r="I1822" s="879">
        <f>VLOOKUP(H1815,'CNKT '!$C$97:$Z$162,14,0)</f>
        <v>0</v>
      </c>
      <c r="J1822" s="825">
        <f>153.6*$B$2</f>
        <v>102640.128</v>
      </c>
      <c r="K1822" s="823">
        <f t="shared" si="212"/>
        <v>0</v>
      </c>
      <c r="L1822" s="835"/>
      <c r="M1822" s="831"/>
    </row>
    <row r="1823" spans="1:13" s="31" customFormat="1" ht="17.25" customHeight="1">
      <c r="A1823" s="821" t="s">
        <v>455</v>
      </c>
      <c r="B1823" s="980" t="s">
        <v>501</v>
      </c>
      <c r="C1823" s="879">
        <f>VLOOKUP(B1815,'CNKT '!$C$98:$Z$162,18,0)</f>
        <v>0</v>
      </c>
      <c r="D1823" s="825">
        <v>10000</v>
      </c>
      <c r="E1823" s="823">
        <f>C1823*D1823</f>
        <v>0</v>
      </c>
      <c r="F1823" s="882"/>
      <c r="G1823" s="821" t="s">
        <v>455</v>
      </c>
      <c r="H1823" s="980" t="s">
        <v>501</v>
      </c>
      <c r="I1823" s="879">
        <f>VLOOKUP(H1815,'CNKT '!$C$98:$Z$162,18,0)</f>
        <v>0</v>
      </c>
      <c r="J1823" s="825">
        <v>10000</v>
      </c>
      <c r="K1823" s="823">
        <f>I1823*J1823</f>
        <v>0</v>
      </c>
      <c r="L1823" s="835"/>
      <c r="M1823" s="831"/>
    </row>
    <row r="1824" spans="1:13" s="31" customFormat="1" ht="17.25" customHeight="1">
      <c r="A1824" s="821" t="s">
        <v>455</v>
      </c>
      <c r="B1824" s="980" t="s">
        <v>501</v>
      </c>
      <c r="C1824" s="879">
        <f>VLOOKUP(B1815,'CNKT '!$C$98:$Z$162,19,0)</f>
        <v>0</v>
      </c>
      <c r="D1824" s="825">
        <v>20000</v>
      </c>
      <c r="E1824" s="823">
        <f>C1824*D1824</f>
        <v>0</v>
      </c>
      <c r="F1824" s="882"/>
      <c r="G1824" s="821" t="s">
        <v>455</v>
      </c>
      <c r="H1824" s="980" t="s">
        <v>501</v>
      </c>
      <c r="I1824" s="879">
        <f>VLOOKUP(H1815,'CNKT '!$C$98:$Z$162,19,0)</f>
        <v>0</v>
      </c>
      <c r="J1824" s="825">
        <v>20000</v>
      </c>
      <c r="K1824" s="823">
        <f>I1824*J1824</f>
        <v>0</v>
      </c>
      <c r="L1824" s="835"/>
      <c r="M1824" s="831"/>
    </row>
    <row r="1825" spans="1:13" s="31" customFormat="1" ht="17.25" customHeight="1">
      <c r="A1825" s="821" t="s">
        <v>517</v>
      </c>
      <c r="B1825" s="980" t="s">
        <v>519</v>
      </c>
      <c r="C1825" s="879"/>
      <c r="D1825" s="825"/>
      <c r="E1825" s="823"/>
      <c r="F1825" s="882"/>
      <c r="G1825" s="821" t="s">
        <v>517</v>
      </c>
      <c r="H1825" s="980" t="s">
        <v>519</v>
      </c>
      <c r="I1825" s="879"/>
      <c r="J1825" s="825"/>
      <c r="K1825" s="823"/>
      <c r="L1825" s="835"/>
      <c r="M1825" s="831"/>
    </row>
    <row r="1826" spans="1:13" s="31" customFormat="1" ht="17.25" customHeight="1">
      <c r="A1826" s="827" t="s">
        <v>81</v>
      </c>
      <c r="B1826" s="981" t="s">
        <v>564</v>
      </c>
      <c r="C1826" s="828"/>
      <c r="D1826" s="829"/>
      <c r="E1826" s="828"/>
      <c r="F1826" s="882"/>
      <c r="G1826" s="827" t="s">
        <v>81</v>
      </c>
      <c r="H1826" s="981" t="s">
        <v>564</v>
      </c>
      <c r="I1826" s="828"/>
      <c r="J1826" s="829"/>
      <c r="K1826" s="828"/>
      <c r="L1826" s="835"/>
      <c r="M1826" s="831"/>
    </row>
    <row r="1827" spans="1:13" s="31" customFormat="1" ht="17.25" customHeight="1">
      <c r="A1827" s="830" t="s">
        <v>82</v>
      </c>
      <c r="B1827" s="982" t="s">
        <v>565</v>
      </c>
      <c r="C1827" s="828"/>
      <c r="D1827" s="828"/>
      <c r="E1827" s="828"/>
      <c r="F1827" s="882"/>
      <c r="G1827" s="830" t="s">
        <v>82</v>
      </c>
      <c r="H1827" s="982" t="s">
        <v>565</v>
      </c>
      <c r="I1827" s="828"/>
      <c r="J1827" s="828"/>
      <c r="K1827" s="828"/>
      <c r="L1827" s="835"/>
      <c r="M1827" s="831"/>
    </row>
    <row r="1828" spans="1:13" s="31" customFormat="1" ht="17.25" customHeight="1">
      <c r="A1828" s="830" t="s">
        <v>83</v>
      </c>
      <c r="B1828" s="983" t="s">
        <v>566</v>
      </c>
      <c r="C1828" s="828"/>
      <c r="D1828" s="828"/>
      <c r="E1828" s="823">
        <f>SUM(E1827)</f>
        <v>0</v>
      </c>
      <c r="F1828" s="878"/>
      <c r="G1828" s="830" t="s">
        <v>83</v>
      </c>
      <c r="H1828" s="983" t="s">
        <v>566</v>
      </c>
      <c r="I1828" s="828"/>
      <c r="J1828" s="828"/>
      <c r="K1828" s="823">
        <f>SUM(K1827)</f>
        <v>0</v>
      </c>
      <c r="L1828" s="835"/>
      <c r="M1828" s="831"/>
    </row>
    <row r="1829" spans="1:13" s="31" customFormat="1" ht="17.25" customHeight="1">
      <c r="A1829" s="832" t="s">
        <v>84</v>
      </c>
      <c r="B1829" s="984" t="s">
        <v>438</v>
      </c>
      <c r="C1829" s="833"/>
      <c r="D1829" s="833"/>
      <c r="E1829" s="833">
        <f>(E1817+E1818+E1819+E1820+E1821+E1822+E1823+E1824+E1825)-E1828</f>
        <v>5587354.0055599492</v>
      </c>
      <c r="F1829" s="878"/>
      <c r="G1829" s="832" t="s">
        <v>84</v>
      </c>
      <c r="H1829" s="984" t="s">
        <v>438</v>
      </c>
      <c r="I1829" s="833"/>
      <c r="J1829" s="833"/>
      <c r="K1829" s="833">
        <f>(K1817+K1818+K1819+K1820+K1821+K1822+K1823+K1824+K1825)-K1828</f>
        <v>5897867.6936782338</v>
      </c>
      <c r="L1829" s="835">
        <f>E1829+K1829</f>
        <v>11485221.699238183</v>
      </c>
      <c r="M1829" s="831"/>
    </row>
    <row r="1830" spans="1:13" s="31" customFormat="1" ht="238.5" customHeight="1">
      <c r="A1830" s="895"/>
      <c r="B1830" s="895"/>
      <c r="C1830" s="895"/>
      <c r="D1830" s="895"/>
      <c r="E1830" s="895"/>
      <c r="F1830" s="895"/>
      <c r="G1830" s="895"/>
      <c r="H1830" s="895"/>
      <c r="I1830" s="895"/>
      <c r="J1830" s="895"/>
      <c r="K1830" s="895"/>
      <c r="L1830" s="835"/>
      <c r="M1830" s="831"/>
    </row>
    <row r="1831" spans="1:13" s="31" customFormat="1" ht="17.25" customHeight="1">
      <c r="A1831" s="891" t="str">
        <f>A1814</f>
        <v>LƯƠNG THÁNG 01/2025</v>
      </c>
      <c r="B1831" s="895"/>
      <c r="C1831" s="895"/>
      <c r="D1831" s="895"/>
      <c r="E1831" s="904">
        <f>VLOOKUP(B1832,'CNKT '!$C$98:$AC$162,26,0)</f>
        <v>0</v>
      </c>
      <c r="F1831" s="882"/>
      <c r="G1831" s="891" t="str">
        <f>A1831</f>
        <v>LƯƠNG THÁNG 01/2025</v>
      </c>
      <c r="H1831" s="895"/>
      <c r="I1831" s="895"/>
      <c r="J1831" s="898"/>
      <c r="K1831" s="904">
        <f>VLOOKUP(H1832,'CNKT '!$C$98:$AC$162,26,0)</f>
        <v>0</v>
      </c>
      <c r="L1831" s="835"/>
      <c r="M1831" s="831"/>
    </row>
    <row r="1832" spans="1:13" s="31" customFormat="1" ht="17.25" customHeight="1">
      <c r="A1832" s="837" t="s">
        <v>17</v>
      </c>
      <c r="B1832" s="976" t="str">
        <f>'CNKT '!C138</f>
        <v>T. Môn</v>
      </c>
      <c r="C1832" s="822"/>
      <c r="D1832" s="976" t="s">
        <v>398</v>
      </c>
      <c r="E1832" s="976" t="s">
        <v>20</v>
      </c>
      <c r="F1832" s="882"/>
      <c r="G1832" s="837" t="s">
        <v>17</v>
      </c>
      <c r="H1832" s="976" t="str">
        <f>'CNKT '!C139</f>
        <v>Khăn Hạ</v>
      </c>
      <c r="I1832" s="822"/>
      <c r="J1832" s="976" t="s">
        <v>398</v>
      </c>
      <c r="K1832" s="976" t="s">
        <v>20</v>
      </c>
      <c r="L1832" s="835"/>
      <c r="M1832" s="831"/>
    </row>
    <row r="1833" spans="1:13" s="31" customFormat="1" ht="17.25" customHeight="1">
      <c r="A1833" s="821" t="s">
        <v>399</v>
      </c>
      <c r="B1833" s="978" t="s">
        <v>559</v>
      </c>
      <c r="C1833" s="822" t="str">
        <f>VLOOKUP(B1832,'BTH mủ tạp'!$C$98:$AL$160,36,0)</f>
        <v>B</v>
      </c>
      <c r="D1833" s="823"/>
      <c r="E1833" s="823"/>
      <c r="F1833" s="882"/>
      <c r="G1833" s="821" t="s">
        <v>399</v>
      </c>
      <c r="H1833" s="978" t="s">
        <v>559</v>
      </c>
      <c r="I1833" s="822" t="str">
        <f>VLOOKUP(H1832,'BTH mủ tạp'!$C$98:$AL$160,36,0)</f>
        <v>B</v>
      </c>
      <c r="J1833" s="823"/>
      <c r="K1833" s="823"/>
      <c r="L1833" s="835"/>
      <c r="M1833" s="831"/>
    </row>
    <row r="1834" spans="1:13" s="31" customFormat="1" ht="17.25" customHeight="1">
      <c r="A1834" s="821" t="s">
        <v>79</v>
      </c>
      <c r="B1834" s="979" t="s">
        <v>432</v>
      </c>
      <c r="C1834" s="824">
        <f>VLOOKUP(B1832,'CNKT '!$C$97:$Z$162,3,0)</f>
        <v>0</v>
      </c>
      <c r="D1834" s="825">
        <v>25000</v>
      </c>
      <c r="E1834" s="823">
        <f t="shared" ref="E1834:E1839" si="213">C1834*D1834</f>
        <v>0</v>
      </c>
      <c r="F1834" s="882"/>
      <c r="G1834" s="821" t="s">
        <v>79</v>
      </c>
      <c r="H1834" s="979" t="s">
        <v>432</v>
      </c>
      <c r="I1834" s="824">
        <f>VLOOKUP(H1832,'CNKT '!$C$97:$Z$162,3,0)</f>
        <v>0</v>
      </c>
      <c r="J1834" s="825">
        <v>25000</v>
      </c>
      <c r="K1834" s="823">
        <f t="shared" ref="K1834:K1839" si="214">I1834*J1834</f>
        <v>0</v>
      </c>
      <c r="L1834" s="835"/>
      <c r="M1834" s="831"/>
    </row>
    <row r="1835" spans="1:13" s="31" customFormat="1" ht="17.25" customHeight="1">
      <c r="A1835" s="821" t="s">
        <v>310</v>
      </c>
      <c r="B1835" s="980" t="s">
        <v>560</v>
      </c>
      <c r="C1835" s="879">
        <f>VLOOKUP(B1832,'CNKT '!$C$97:$Z$162,11,0)</f>
        <v>27</v>
      </c>
      <c r="D1835" s="826">
        <f>46.1*$B$2</f>
        <v>30805.403000000002</v>
      </c>
      <c r="E1835" s="823">
        <f t="shared" si="213"/>
        <v>831745.88100000005</v>
      </c>
      <c r="F1835" s="882"/>
      <c r="G1835" s="821" t="s">
        <v>310</v>
      </c>
      <c r="H1835" s="980" t="s">
        <v>560</v>
      </c>
      <c r="I1835" s="879">
        <f>VLOOKUP(H1832,'CNKT '!$C$97:$Z$162,11,0)</f>
        <v>27</v>
      </c>
      <c r="J1835" s="826">
        <f>46.1*$B$2</f>
        <v>30805.403000000002</v>
      </c>
      <c r="K1835" s="823">
        <f t="shared" si="214"/>
        <v>831745.88100000005</v>
      </c>
      <c r="L1835" s="835"/>
      <c r="M1835" s="831"/>
    </row>
    <row r="1836" spans="1:13" s="31" customFormat="1" ht="17.25" customHeight="1">
      <c r="A1836" s="821" t="s">
        <v>401</v>
      </c>
      <c r="B1836" s="980" t="s">
        <v>561</v>
      </c>
      <c r="C1836" s="879">
        <f>VLOOKUP(B1832,'CNKT '!$C$97:$Z$162,12,0)</f>
        <v>4</v>
      </c>
      <c r="D1836" s="825">
        <f>76.9*$B$2</f>
        <v>51386.887000000002</v>
      </c>
      <c r="E1836" s="823">
        <f t="shared" si="213"/>
        <v>205547.54800000001</v>
      </c>
      <c r="F1836" s="882"/>
      <c r="G1836" s="821" t="s">
        <v>401</v>
      </c>
      <c r="H1836" s="980" t="s">
        <v>561</v>
      </c>
      <c r="I1836" s="879">
        <f>VLOOKUP(H1832,'CNKT '!$C$97:$Z$162,12,0)</f>
        <v>4</v>
      </c>
      <c r="J1836" s="825">
        <f>76.9*$B$2</f>
        <v>51386.887000000002</v>
      </c>
      <c r="K1836" s="823">
        <f t="shared" si="214"/>
        <v>205547.54800000001</v>
      </c>
      <c r="L1836" s="835"/>
      <c r="M1836" s="831"/>
    </row>
    <row r="1837" spans="1:13" s="31" customFormat="1" ht="17.25" customHeight="1">
      <c r="A1837" s="821" t="s">
        <v>80</v>
      </c>
      <c r="B1837" s="980" t="s">
        <v>562</v>
      </c>
      <c r="C1837" s="879">
        <f>VLOOKUP(B1832,'CNKT '!$C$97:$Z$162,8,0)</f>
        <v>695.75166353270697</v>
      </c>
      <c r="D1837" s="825">
        <f>IF(C1833="A",6.1,IF(C1833="B",5.8,IF(C1833="C",5.5,IF(C1833="C.",5.5,IF(C1833="D",5.2)))))*$B$2</f>
        <v>3875.7339999999999</v>
      </c>
      <c r="E1837" s="823">
        <f t="shared" si="213"/>
        <v>2696548.3779102727</v>
      </c>
      <c r="F1837" s="882"/>
      <c r="G1837" s="821" t="s">
        <v>80</v>
      </c>
      <c r="H1837" s="980" t="s">
        <v>562</v>
      </c>
      <c r="I1837" s="879">
        <f>VLOOKUP(H1832,'CNKT '!$C$97:$Z$162,8,0)</f>
        <v>569.80537699539946</v>
      </c>
      <c r="J1837" s="825">
        <f>IF(I1833="A",6.1,IF(I1833="B",5.8,IF(I1833="C",5.5,IF(I1833="C.",5.5,IF(I1833="D",5.2)))))*$B$2</f>
        <v>3875.7339999999999</v>
      </c>
      <c r="K1837" s="823">
        <f t="shared" si="214"/>
        <v>2208414.0730038877</v>
      </c>
      <c r="L1837" s="835"/>
      <c r="M1837" s="831"/>
    </row>
    <row r="1838" spans="1:13" s="31" customFormat="1" ht="17.25" customHeight="1">
      <c r="A1838" s="821" t="s">
        <v>497</v>
      </c>
      <c r="B1838" s="980" t="s">
        <v>563</v>
      </c>
      <c r="C1838" s="879">
        <f>VLOOKUP(B1832,'CNKT '!$C$97:$Z$162,13,0)</f>
        <v>0</v>
      </c>
      <c r="D1838" s="826">
        <f>92.2*$B$2</f>
        <v>61610.806000000004</v>
      </c>
      <c r="E1838" s="823">
        <f t="shared" si="213"/>
        <v>0</v>
      </c>
      <c r="F1838" s="882"/>
      <c r="G1838" s="821" t="s">
        <v>497</v>
      </c>
      <c r="H1838" s="980" t="s">
        <v>563</v>
      </c>
      <c r="I1838" s="879">
        <f>VLOOKUP(H1832,'CNKT '!$C$97:$Z$162,13,0)</f>
        <v>0</v>
      </c>
      <c r="J1838" s="826">
        <f>92.2*$B$2</f>
        <v>61610.806000000004</v>
      </c>
      <c r="K1838" s="823">
        <f t="shared" si="214"/>
        <v>0</v>
      </c>
      <c r="L1838" s="835"/>
      <c r="M1838" s="831"/>
    </row>
    <row r="1839" spans="1:13" s="31" customFormat="1" ht="17.25" customHeight="1">
      <c r="A1839" s="821" t="s">
        <v>448</v>
      </c>
      <c r="B1839" s="980" t="s">
        <v>500</v>
      </c>
      <c r="C1839" s="879">
        <f>VLOOKUP(B1832,'CNKT '!$C$97:$Z$162,14,0)</f>
        <v>0</v>
      </c>
      <c r="D1839" s="825">
        <f>153.6*$B$2</f>
        <v>102640.128</v>
      </c>
      <c r="E1839" s="823">
        <f t="shared" si="213"/>
        <v>0</v>
      </c>
      <c r="F1839" s="882"/>
      <c r="G1839" s="821" t="s">
        <v>448</v>
      </c>
      <c r="H1839" s="980" t="s">
        <v>500</v>
      </c>
      <c r="I1839" s="879">
        <f>VLOOKUP(H1832,'CNKT '!$C$97:$Z$162,14,0)</f>
        <v>0</v>
      </c>
      <c r="J1839" s="825">
        <f>153.6*$B$2</f>
        <v>102640.128</v>
      </c>
      <c r="K1839" s="823">
        <f t="shared" si="214"/>
        <v>0</v>
      </c>
      <c r="L1839" s="835"/>
      <c r="M1839" s="831"/>
    </row>
    <row r="1840" spans="1:13" s="31" customFormat="1" ht="17.25" customHeight="1">
      <c r="A1840" s="821" t="s">
        <v>455</v>
      </c>
      <c r="B1840" s="980" t="s">
        <v>501</v>
      </c>
      <c r="C1840" s="879">
        <f>VLOOKUP(B1832,'CNKT '!$C$98:$Z$162,18,0)</f>
        <v>0</v>
      </c>
      <c r="D1840" s="825">
        <v>10000</v>
      </c>
      <c r="E1840" s="823">
        <f>C1840*D1840</f>
        <v>0</v>
      </c>
      <c r="F1840" s="882"/>
      <c r="G1840" s="821" t="s">
        <v>455</v>
      </c>
      <c r="H1840" s="980" t="s">
        <v>501</v>
      </c>
      <c r="I1840" s="879">
        <f>VLOOKUP(H1832,'CNKT '!$C$98:$Z$162,18,0)</f>
        <v>0</v>
      </c>
      <c r="J1840" s="825">
        <v>10000</v>
      </c>
      <c r="K1840" s="823">
        <f>I1840*J1840</f>
        <v>0</v>
      </c>
      <c r="L1840" s="835"/>
      <c r="M1840" s="831"/>
    </row>
    <row r="1841" spans="1:13" s="31" customFormat="1" ht="17.25" customHeight="1">
      <c r="A1841" s="821" t="s">
        <v>455</v>
      </c>
      <c r="B1841" s="980" t="s">
        <v>501</v>
      </c>
      <c r="C1841" s="879">
        <f>VLOOKUP(B1832,'CNKT '!$C$98:$Z$162,19,0)</f>
        <v>0</v>
      </c>
      <c r="D1841" s="825">
        <v>20000</v>
      </c>
      <c r="E1841" s="823">
        <f>C1841*D1841</f>
        <v>0</v>
      </c>
      <c r="F1841" s="882"/>
      <c r="G1841" s="821" t="s">
        <v>455</v>
      </c>
      <c r="H1841" s="980" t="s">
        <v>501</v>
      </c>
      <c r="I1841" s="879">
        <f>VLOOKUP(H1832,'CNKT '!$C$98:$Z$162,19,0)</f>
        <v>0</v>
      </c>
      <c r="J1841" s="825">
        <v>20000</v>
      </c>
      <c r="K1841" s="823">
        <f>I1841*J1841</f>
        <v>0</v>
      </c>
      <c r="L1841" s="835"/>
      <c r="M1841" s="831"/>
    </row>
    <row r="1842" spans="1:13" s="31" customFormat="1" ht="17.25" customHeight="1">
      <c r="A1842" s="821" t="s">
        <v>517</v>
      </c>
      <c r="B1842" s="980" t="s">
        <v>519</v>
      </c>
      <c r="C1842" s="879"/>
      <c r="D1842" s="825"/>
      <c r="E1842" s="823"/>
      <c r="F1842" s="882"/>
      <c r="G1842" s="821" t="s">
        <v>517</v>
      </c>
      <c r="H1842" s="980" t="s">
        <v>519</v>
      </c>
      <c r="I1842" s="879"/>
      <c r="J1842" s="825"/>
      <c r="K1842" s="823"/>
      <c r="L1842" s="835"/>
      <c r="M1842" s="831"/>
    </row>
    <row r="1843" spans="1:13" s="31" customFormat="1" ht="17.25" customHeight="1">
      <c r="A1843" s="827" t="s">
        <v>81</v>
      </c>
      <c r="B1843" s="981" t="s">
        <v>564</v>
      </c>
      <c r="C1843" s="828"/>
      <c r="D1843" s="829"/>
      <c r="E1843" s="828"/>
      <c r="F1843" s="882"/>
      <c r="G1843" s="827" t="s">
        <v>81</v>
      </c>
      <c r="H1843" s="981" t="s">
        <v>564</v>
      </c>
      <c r="I1843" s="828"/>
      <c r="J1843" s="829"/>
      <c r="K1843" s="828"/>
      <c r="L1843" s="835"/>
      <c r="M1843" s="831"/>
    </row>
    <row r="1844" spans="1:13" s="31" customFormat="1" ht="17.25" customHeight="1">
      <c r="A1844" s="830" t="s">
        <v>82</v>
      </c>
      <c r="B1844" s="982" t="s">
        <v>565</v>
      </c>
      <c r="C1844" s="828"/>
      <c r="D1844" s="828"/>
      <c r="E1844" s="828"/>
      <c r="F1844" s="882"/>
      <c r="G1844" s="830" t="s">
        <v>82</v>
      </c>
      <c r="H1844" s="982" t="s">
        <v>565</v>
      </c>
      <c r="I1844" s="828"/>
      <c r="J1844" s="828"/>
      <c r="K1844" s="828"/>
      <c r="L1844" s="835"/>
      <c r="M1844" s="831"/>
    </row>
    <row r="1845" spans="1:13" s="31" customFormat="1" ht="17.25" customHeight="1">
      <c r="A1845" s="830" t="s">
        <v>83</v>
      </c>
      <c r="B1845" s="983" t="s">
        <v>566</v>
      </c>
      <c r="C1845" s="828"/>
      <c r="D1845" s="828"/>
      <c r="E1845" s="823">
        <f>SUM(E1844)</f>
        <v>0</v>
      </c>
      <c r="F1845" s="878"/>
      <c r="G1845" s="830" t="s">
        <v>83</v>
      </c>
      <c r="H1845" s="983" t="s">
        <v>566</v>
      </c>
      <c r="I1845" s="828"/>
      <c r="J1845" s="828"/>
      <c r="K1845" s="823">
        <f>SUM(K1844)</f>
        <v>0</v>
      </c>
      <c r="L1845" s="835"/>
      <c r="M1845" s="831"/>
    </row>
    <row r="1846" spans="1:13" s="31" customFormat="1" ht="17.25" customHeight="1">
      <c r="A1846" s="832" t="s">
        <v>84</v>
      </c>
      <c r="B1846" s="984" t="s">
        <v>438</v>
      </c>
      <c r="C1846" s="833"/>
      <c r="D1846" s="833"/>
      <c r="E1846" s="833">
        <f>(E1834+E1835+E1836+E1837+E1838+E1839+E1840+E1841+E1842)-E1845</f>
        <v>3733841.8069102727</v>
      </c>
      <c r="F1846" s="878"/>
      <c r="G1846" s="832" t="s">
        <v>84</v>
      </c>
      <c r="H1846" s="984" t="s">
        <v>438</v>
      </c>
      <c r="I1846" s="833"/>
      <c r="J1846" s="833"/>
      <c r="K1846" s="833">
        <f>(K1834+K1835+K1836+K1837+K1838+K1839+K1840+K1841+K1842)-K1845</f>
        <v>3245707.5020038877</v>
      </c>
      <c r="L1846" s="835">
        <f>E1846+K1846</f>
        <v>6979549.3089141604</v>
      </c>
      <c r="M1846" s="831"/>
    </row>
    <row r="1847" spans="1:13" s="31" customFormat="1" ht="17.25" customHeight="1">
      <c r="A1847" s="895"/>
      <c r="B1847" s="895"/>
      <c r="C1847" s="895"/>
      <c r="D1847" s="895"/>
      <c r="E1847" s="895"/>
      <c r="F1847" s="895"/>
      <c r="G1847" s="895"/>
      <c r="H1847" s="895"/>
      <c r="I1847" s="895"/>
      <c r="J1847" s="895"/>
      <c r="K1847" s="895"/>
      <c r="L1847" s="835"/>
      <c r="M1847" s="831"/>
    </row>
    <row r="1848" spans="1:13" s="31" customFormat="1" ht="17.25" customHeight="1">
      <c r="A1848" s="891" t="str">
        <f>A1831</f>
        <v>LƯƠNG THÁNG 01/2025</v>
      </c>
      <c r="B1848" s="895"/>
      <c r="C1848" s="895"/>
      <c r="D1848" s="895"/>
      <c r="E1848" s="904">
        <f>VLOOKUP(B1849,'CNKT '!$C$98:$AC$162,26,0)</f>
        <v>0</v>
      </c>
      <c r="F1848" s="882"/>
      <c r="G1848" s="891" t="str">
        <f>A1848</f>
        <v>LƯƠNG THÁNG 01/2025</v>
      </c>
      <c r="H1848" s="895"/>
      <c r="I1848" s="895"/>
      <c r="J1848" s="898"/>
      <c r="K1848" s="904">
        <f>VLOOKUP(H1849,'CNKT '!$C$98:$AC$162,26,0)</f>
        <v>0</v>
      </c>
      <c r="L1848" s="835"/>
      <c r="M1848" s="831"/>
    </row>
    <row r="1849" spans="1:13" s="31" customFormat="1" ht="17.25" customHeight="1">
      <c r="A1849" s="837" t="s">
        <v>17</v>
      </c>
      <c r="B1849" s="976" t="str">
        <f>'CNKT '!C140</f>
        <v>T. Chăn La .</v>
      </c>
      <c r="C1849" s="822"/>
      <c r="D1849" s="976" t="s">
        <v>398</v>
      </c>
      <c r="E1849" s="976" t="s">
        <v>20</v>
      </c>
      <c r="F1849" s="882"/>
      <c r="G1849" s="837" t="s">
        <v>17</v>
      </c>
      <c r="H1849" s="976" t="str">
        <f>'CNKT '!C141</f>
        <v>T. Nú</v>
      </c>
      <c r="I1849" s="822"/>
      <c r="J1849" s="976" t="s">
        <v>398</v>
      </c>
      <c r="K1849" s="976" t="s">
        <v>20</v>
      </c>
      <c r="L1849" s="835"/>
      <c r="M1849" s="831"/>
    </row>
    <row r="1850" spans="1:13" s="31" customFormat="1" ht="17.25" customHeight="1">
      <c r="A1850" s="821" t="s">
        <v>399</v>
      </c>
      <c r="B1850" s="978" t="s">
        <v>559</v>
      </c>
      <c r="C1850" s="822" t="str">
        <f>VLOOKUP(B1849,'BTH mủ tạp'!$C$98:$AL$160,36,0)</f>
        <v>B</v>
      </c>
      <c r="D1850" s="823"/>
      <c r="E1850" s="823"/>
      <c r="F1850" s="882"/>
      <c r="G1850" s="821" t="s">
        <v>399</v>
      </c>
      <c r="H1850" s="978" t="s">
        <v>559</v>
      </c>
      <c r="I1850" s="822" t="str">
        <f>VLOOKUP(H1849,'BTH mủ tạp'!$C$98:$AL$160,36,0)</f>
        <v>B</v>
      </c>
      <c r="J1850" s="823"/>
      <c r="K1850" s="823"/>
      <c r="L1850" s="835"/>
      <c r="M1850" s="831"/>
    </row>
    <row r="1851" spans="1:13" s="31" customFormat="1" ht="17.25" customHeight="1">
      <c r="A1851" s="821" t="s">
        <v>79</v>
      </c>
      <c r="B1851" s="979" t="s">
        <v>432</v>
      </c>
      <c r="C1851" s="824">
        <f>VLOOKUP(B1849,'CNKT '!$C$97:$Z$162,3,0)</f>
        <v>0</v>
      </c>
      <c r="D1851" s="825">
        <v>25000</v>
      </c>
      <c r="E1851" s="823">
        <f t="shared" ref="E1851:E1856" si="215">C1851*D1851</f>
        <v>0</v>
      </c>
      <c r="F1851" s="882"/>
      <c r="G1851" s="821" t="s">
        <v>79</v>
      </c>
      <c r="H1851" s="979" t="s">
        <v>432</v>
      </c>
      <c r="I1851" s="824">
        <f>VLOOKUP(H1849,'CNKT '!$C$97:$Z$162,3,0)</f>
        <v>0</v>
      </c>
      <c r="J1851" s="825">
        <v>25000</v>
      </c>
      <c r="K1851" s="823">
        <f t="shared" ref="K1851:K1856" si="216">I1851*J1851</f>
        <v>0</v>
      </c>
      <c r="L1851" s="835"/>
      <c r="M1851" s="831"/>
    </row>
    <row r="1852" spans="1:13" s="31" customFormat="1" ht="17.25" customHeight="1">
      <c r="A1852" s="821" t="s">
        <v>310</v>
      </c>
      <c r="B1852" s="980" t="s">
        <v>560</v>
      </c>
      <c r="C1852" s="879">
        <f>VLOOKUP(B1849,'CNKT '!$C$97:$Z$162,11,0)</f>
        <v>27</v>
      </c>
      <c r="D1852" s="826">
        <f>46.1*$B$2</f>
        <v>30805.403000000002</v>
      </c>
      <c r="E1852" s="823">
        <f t="shared" si="215"/>
        <v>831745.88100000005</v>
      </c>
      <c r="F1852" s="882"/>
      <c r="G1852" s="821" t="s">
        <v>310</v>
      </c>
      <c r="H1852" s="980" t="s">
        <v>560</v>
      </c>
      <c r="I1852" s="879">
        <f>VLOOKUP(H1849,'CNKT '!$C$97:$Z$162,11,0)</f>
        <v>27</v>
      </c>
      <c r="J1852" s="826">
        <f>46.1*$B$2</f>
        <v>30805.403000000002</v>
      </c>
      <c r="K1852" s="823">
        <f t="shared" si="216"/>
        <v>831745.88100000005</v>
      </c>
      <c r="L1852" s="835"/>
      <c r="M1852" s="831"/>
    </row>
    <row r="1853" spans="1:13" s="31" customFormat="1" ht="17.25" customHeight="1">
      <c r="A1853" s="821" t="s">
        <v>401</v>
      </c>
      <c r="B1853" s="980" t="s">
        <v>561</v>
      </c>
      <c r="C1853" s="879">
        <f>VLOOKUP(B1849,'CNKT '!$C$97:$Z$162,12,0)</f>
        <v>4</v>
      </c>
      <c r="D1853" s="825">
        <f>76.9*$B$2</f>
        <v>51386.887000000002</v>
      </c>
      <c r="E1853" s="823">
        <f t="shared" si="215"/>
        <v>205547.54800000001</v>
      </c>
      <c r="F1853" s="882"/>
      <c r="G1853" s="821" t="s">
        <v>401</v>
      </c>
      <c r="H1853" s="980" t="s">
        <v>561</v>
      </c>
      <c r="I1853" s="879">
        <f>VLOOKUP(H1849,'CNKT '!$C$97:$Z$162,12,0)</f>
        <v>4</v>
      </c>
      <c r="J1853" s="825">
        <f>76.9*$B$2</f>
        <v>51386.887000000002</v>
      </c>
      <c r="K1853" s="823">
        <f t="shared" si="216"/>
        <v>205547.54800000001</v>
      </c>
      <c r="L1853" s="835"/>
      <c r="M1853" s="831"/>
    </row>
    <row r="1854" spans="1:13" s="31" customFormat="1" ht="17.25" customHeight="1">
      <c r="A1854" s="821" t="s">
        <v>80</v>
      </c>
      <c r="B1854" s="980" t="s">
        <v>562</v>
      </c>
      <c r="C1854" s="879">
        <f>VLOOKUP(B1849,'CNKT '!$C$97:$Z$162,8,0)</f>
        <v>721.65190794158877</v>
      </c>
      <c r="D1854" s="825">
        <f>IF(C1850="A",6.1,IF(C1850="B",5.8,IF(C1850="C",5.5,IF(C1850="C.",5.5,IF(C1850="D",5.2)))))*$B$2</f>
        <v>3875.7339999999999</v>
      </c>
      <c r="E1854" s="823">
        <f t="shared" si="215"/>
        <v>2796930.8357740855</v>
      </c>
      <c r="F1854" s="882"/>
      <c r="G1854" s="821" t="s">
        <v>80</v>
      </c>
      <c r="H1854" s="980" t="s">
        <v>562</v>
      </c>
      <c r="I1854" s="879">
        <f>VLOOKUP(H1849,'CNKT '!$C$97:$Z$162,8,0)</f>
        <v>554.06209117823596</v>
      </c>
      <c r="J1854" s="825">
        <f>IF(I1850="A",6.1,IF(I1850="B",5.8,IF(I1850="C",5.5,IF(I1850="C.",5.5,IF(I1850="D",5.2)))))*$B$2</f>
        <v>3875.7339999999999</v>
      </c>
      <c r="K1854" s="823">
        <f t="shared" si="216"/>
        <v>2147397.2848905893</v>
      </c>
      <c r="L1854" s="835"/>
      <c r="M1854" s="831"/>
    </row>
    <row r="1855" spans="1:13" s="31" customFormat="1" ht="17.25" customHeight="1">
      <c r="A1855" s="821" t="s">
        <v>497</v>
      </c>
      <c r="B1855" s="980" t="s">
        <v>563</v>
      </c>
      <c r="C1855" s="879">
        <f>VLOOKUP(B1849,'CNKT '!$C$97:$Z$162,13,0)</f>
        <v>0</v>
      </c>
      <c r="D1855" s="826">
        <f>92.2*$B$2</f>
        <v>61610.806000000004</v>
      </c>
      <c r="E1855" s="823">
        <f t="shared" si="215"/>
        <v>0</v>
      </c>
      <c r="F1855" s="882"/>
      <c r="G1855" s="821" t="s">
        <v>497</v>
      </c>
      <c r="H1855" s="980" t="s">
        <v>563</v>
      </c>
      <c r="I1855" s="879">
        <f>VLOOKUP(H1849,'CNKT '!$C$97:$Z$162,13,0)</f>
        <v>0</v>
      </c>
      <c r="J1855" s="826">
        <f>92.2*$B$2</f>
        <v>61610.806000000004</v>
      </c>
      <c r="K1855" s="823">
        <f t="shared" si="216"/>
        <v>0</v>
      </c>
      <c r="L1855" s="835"/>
      <c r="M1855" s="831"/>
    </row>
    <row r="1856" spans="1:13" s="31" customFormat="1" ht="17.25" customHeight="1">
      <c r="A1856" s="821" t="s">
        <v>448</v>
      </c>
      <c r="B1856" s="980" t="s">
        <v>500</v>
      </c>
      <c r="C1856" s="879">
        <f>VLOOKUP(B1849,'CNKT '!$C$97:$Z$162,14,0)</f>
        <v>0</v>
      </c>
      <c r="D1856" s="825">
        <f>153.6*$B$2</f>
        <v>102640.128</v>
      </c>
      <c r="E1856" s="823">
        <f t="shared" si="215"/>
        <v>0</v>
      </c>
      <c r="F1856" s="882"/>
      <c r="G1856" s="821" t="s">
        <v>448</v>
      </c>
      <c r="H1856" s="980" t="s">
        <v>500</v>
      </c>
      <c r="I1856" s="879">
        <f>VLOOKUP(H1849,'CNKT '!$C$97:$Z$162,14,0)</f>
        <v>0</v>
      </c>
      <c r="J1856" s="825">
        <f>153.6*$B$2</f>
        <v>102640.128</v>
      </c>
      <c r="K1856" s="823">
        <f t="shared" si="216"/>
        <v>0</v>
      </c>
      <c r="L1856" s="835"/>
      <c r="M1856" s="831"/>
    </row>
    <row r="1857" spans="1:13" s="31" customFormat="1" ht="17.25" customHeight="1">
      <c r="A1857" s="821" t="s">
        <v>455</v>
      </c>
      <c r="B1857" s="980" t="s">
        <v>501</v>
      </c>
      <c r="C1857" s="879">
        <f>VLOOKUP(B1849,'CNKT '!$C$98:$Z$162,18,0)</f>
        <v>0</v>
      </c>
      <c r="D1857" s="825">
        <v>10000</v>
      </c>
      <c r="E1857" s="823">
        <f>C1857*D1857</f>
        <v>0</v>
      </c>
      <c r="F1857" s="882"/>
      <c r="G1857" s="821" t="s">
        <v>455</v>
      </c>
      <c r="H1857" s="980" t="s">
        <v>501</v>
      </c>
      <c r="I1857" s="879">
        <f>VLOOKUP(H1849,'CNKT '!$C$98:$Z$162,18,0)</f>
        <v>0</v>
      </c>
      <c r="J1857" s="825">
        <v>10000</v>
      </c>
      <c r="K1857" s="823">
        <f>I1857*J1857</f>
        <v>0</v>
      </c>
      <c r="L1857" s="835"/>
      <c r="M1857" s="831"/>
    </row>
    <row r="1858" spans="1:13" s="31" customFormat="1" ht="17.25" customHeight="1">
      <c r="A1858" s="821" t="s">
        <v>455</v>
      </c>
      <c r="B1858" s="980" t="s">
        <v>501</v>
      </c>
      <c r="C1858" s="879">
        <f>VLOOKUP(B1849,'CNKT '!$C$98:$Z$162,19,0)</f>
        <v>0</v>
      </c>
      <c r="D1858" s="825">
        <v>20000</v>
      </c>
      <c r="E1858" s="823">
        <f>C1858*D1858</f>
        <v>0</v>
      </c>
      <c r="F1858" s="882"/>
      <c r="G1858" s="821" t="s">
        <v>455</v>
      </c>
      <c r="H1858" s="980" t="s">
        <v>501</v>
      </c>
      <c r="I1858" s="879">
        <f>VLOOKUP(H1849,'CNKT '!$C$98:$Z$162,19,0)</f>
        <v>0</v>
      </c>
      <c r="J1858" s="825">
        <v>20000</v>
      </c>
      <c r="K1858" s="823">
        <f>I1858*J1858</f>
        <v>0</v>
      </c>
      <c r="L1858" s="835"/>
      <c r="M1858" s="831"/>
    </row>
    <row r="1859" spans="1:13" s="31" customFormat="1" ht="17.25" customHeight="1">
      <c r="A1859" s="821" t="s">
        <v>517</v>
      </c>
      <c r="B1859" s="980" t="s">
        <v>519</v>
      </c>
      <c r="C1859" s="879"/>
      <c r="D1859" s="825"/>
      <c r="E1859" s="823"/>
      <c r="F1859" s="882"/>
      <c r="G1859" s="821" t="s">
        <v>517</v>
      </c>
      <c r="H1859" s="980" t="s">
        <v>519</v>
      </c>
      <c r="I1859" s="879"/>
      <c r="J1859" s="825"/>
      <c r="K1859" s="823"/>
      <c r="L1859" s="835"/>
      <c r="M1859" s="831"/>
    </row>
    <row r="1860" spans="1:13" s="31" customFormat="1" ht="17.25" customHeight="1">
      <c r="A1860" s="827" t="s">
        <v>81</v>
      </c>
      <c r="B1860" s="981" t="s">
        <v>564</v>
      </c>
      <c r="C1860" s="828"/>
      <c r="D1860" s="829"/>
      <c r="E1860" s="828"/>
      <c r="F1860" s="882"/>
      <c r="G1860" s="827" t="s">
        <v>81</v>
      </c>
      <c r="H1860" s="981" t="s">
        <v>564</v>
      </c>
      <c r="I1860" s="828"/>
      <c r="J1860" s="829"/>
      <c r="K1860" s="828"/>
      <c r="L1860" s="835"/>
      <c r="M1860" s="831"/>
    </row>
    <row r="1861" spans="1:13" s="31" customFormat="1" ht="17.25" customHeight="1">
      <c r="A1861" s="830" t="s">
        <v>82</v>
      </c>
      <c r="B1861" s="982" t="s">
        <v>565</v>
      </c>
      <c r="C1861" s="828"/>
      <c r="D1861" s="828"/>
      <c r="E1861" s="828"/>
      <c r="F1861" s="882"/>
      <c r="G1861" s="830" t="s">
        <v>82</v>
      </c>
      <c r="H1861" s="982" t="s">
        <v>565</v>
      </c>
      <c r="I1861" s="828"/>
      <c r="J1861" s="828"/>
      <c r="K1861" s="828"/>
      <c r="L1861" s="835"/>
      <c r="M1861" s="831"/>
    </row>
    <row r="1862" spans="1:13" s="31" customFormat="1" ht="17.25" customHeight="1">
      <c r="A1862" s="830" t="s">
        <v>83</v>
      </c>
      <c r="B1862" s="983" t="s">
        <v>566</v>
      </c>
      <c r="C1862" s="828"/>
      <c r="D1862" s="828"/>
      <c r="E1862" s="823">
        <f>SUM(E1861)</f>
        <v>0</v>
      </c>
      <c r="F1862" s="878"/>
      <c r="G1862" s="830" t="s">
        <v>83</v>
      </c>
      <c r="H1862" s="983" t="s">
        <v>566</v>
      </c>
      <c r="I1862" s="828"/>
      <c r="J1862" s="828"/>
      <c r="K1862" s="823">
        <f>SUM(K1861)</f>
        <v>0</v>
      </c>
      <c r="L1862" s="835"/>
      <c r="M1862" s="831"/>
    </row>
    <row r="1863" spans="1:13" s="31" customFormat="1" ht="17.25" customHeight="1">
      <c r="A1863" s="832" t="s">
        <v>84</v>
      </c>
      <c r="B1863" s="984" t="s">
        <v>438</v>
      </c>
      <c r="C1863" s="833"/>
      <c r="D1863" s="833"/>
      <c r="E1863" s="833">
        <f>(E1851+E1852+E1853+E1854+E1855+E1856+E1857+E1858+E1859)-E1862</f>
        <v>3834224.2647740855</v>
      </c>
      <c r="F1863" s="878"/>
      <c r="G1863" s="832" t="s">
        <v>84</v>
      </c>
      <c r="H1863" s="984" t="s">
        <v>438</v>
      </c>
      <c r="I1863" s="833"/>
      <c r="J1863" s="833"/>
      <c r="K1863" s="833">
        <f>(K1851+K1852+K1853+K1854+K1855+K1856+K1857+K1858+K1859)-K1862</f>
        <v>3184690.7138905893</v>
      </c>
      <c r="L1863" s="835">
        <f>E1863+K1863</f>
        <v>7018914.9786646748</v>
      </c>
      <c r="M1863" s="831"/>
    </row>
    <row r="1864" spans="1:13" s="31" customFormat="1" ht="17.25" customHeight="1">
      <c r="A1864" s="895"/>
      <c r="B1864" s="895"/>
      <c r="C1864" s="895"/>
      <c r="D1864" s="895"/>
      <c r="E1864" s="895"/>
      <c r="F1864" s="895"/>
      <c r="G1864" s="895"/>
      <c r="H1864" s="895"/>
      <c r="I1864" s="895"/>
      <c r="J1864" s="895"/>
      <c r="K1864" s="895"/>
      <c r="L1864" s="835"/>
      <c r="M1864" s="831"/>
    </row>
    <row r="1865" spans="1:13" s="31" customFormat="1" ht="17.25" customHeight="1">
      <c r="A1865" s="891" t="str">
        <f>A1848</f>
        <v>LƯƠNG THÁNG 01/2025</v>
      </c>
      <c r="B1865" s="895"/>
      <c r="C1865" s="895"/>
      <c r="D1865" s="895"/>
      <c r="E1865" s="904">
        <f>VLOOKUP(B1866,'CNKT '!$C$98:$AC$162,26,0)</f>
        <v>0</v>
      </c>
      <c r="F1865" s="882"/>
      <c r="G1865" s="891" t="str">
        <f>A1865</f>
        <v>LƯƠNG THÁNG 01/2025</v>
      </c>
      <c r="H1865" s="895"/>
      <c r="I1865" s="895"/>
      <c r="J1865" s="898"/>
      <c r="K1865" s="904">
        <f>VLOOKUP(H1866,'CNKT '!$C$98:$AC$162,26,0)</f>
        <v>0</v>
      </c>
      <c r="L1865" s="835"/>
      <c r="M1865" s="831"/>
    </row>
    <row r="1866" spans="1:13" s="31" customFormat="1" ht="17.25" customHeight="1">
      <c r="A1866" s="837" t="s">
        <v>17</v>
      </c>
      <c r="B1866" s="976" t="str">
        <f>'CNKT '!C142</f>
        <v>T. Xan Nha</v>
      </c>
      <c r="C1866" s="822"/>
      <c r="D1866" s="976" t="s">
        <v>398</v>
      </c>
      <c r="E1866" s="976" t="s">
        <v>20</v>
      </c>
      <c r="F1866" s="882"/>
      <c r="G1866" s="837" t="s">
        <v>17</v>
      </c>
      <c r="H1866" s="976" t="str">
        <f>'CNKT '!C143</f>
        <v>T. A lem</v>
      </c>
      <c r="I1866" s="822"/>
      <c r="J1866" s="976" t="s">
        <v>398</v>
      </c>
      <c r="K1866" s="976" t="s">
        <v>20</v>
      </c>
      <c r="L1866" s="835"/>
      <c r="M1866" s="831"/>
    </row>
    <row r="1867" spans="1:13" s="31" customFormat="1" ht="17.25" customHeight="1">
      <c r="A1867" s="821" t="s">
        <v>399</v>
      </c>
      <c r="B1867" s="978" t="s">
        <v>559</v>
      </c>
      <c r="C1867" s="822" t="str">
        <f>VLOOKUP(B1866,'BTH mủ tạp'!$C$98:$AL$160,36,0)</f>
        <v>A</v>
      </c>
      <c r="D1867" s="823"/>
      <c r="E1867" s="823"/>
      <c r="F1867" s="882"/>
      <c r="G1867" s="821" t="s">
        <v>399</v>
      </c>
      <c r="H1867" s="978" t="s">
        <v>559</v>
      </c>
      <c r="I1867" s="822" t="str">
        <f>VLOOKUP(H1866,'BTH mủ tạp'!$C$98:$AL$160,36,0)</f>
        <v>B</v>
      </c>
      <c r="J1867" s="823"/>
      <c r="K1867" s="823"/>
      <c r="L1867" s="835"/>
      <c r="M1867" s="831"/>
    </row>
    <row r="1868" spans="1:13" s="31" customFormat="1" ht="17.25" customHeight="1">
      <c r="A1868" s="821" t="s">
        <v>79</v>
      </c>
      <c r="B1868" s="979" t="s">
        <v>432</v>
      </c>
      <c r="C1868" s="824">
        <f>VLOOKUP(B1866,'CNKT '!$C$97:$Z$162,3,0)</f>
        <v>0</v>
      </c>
      <c r="D1868" s="825">
        <v>25000</v>
      </c>
      <c r="E1868" s="823">
        <f t="shared" ref="E1868:E1873" si="217">C1868*D1868</f>
        <v>0</v>
      </c>
      <c r="F1868" s="882"/>
      <c r="G1868" s="821" t="s">
        <v>79</v>
      </c>
      <c r="H1868" s="979" t="s">
        <v>432</v>
      </c>
      <c r="I1868" s="824">
        <f>VLOOKUP(H1866,'CNKT '!$C$97:$Z$162,3,0)</f>
        <v>0</v>
      </c>
      <c r="J1868" s="825">
        <v>25000</v>
      </c>
      <c r="K1868" s="823">
        <f t="shared" ref="K1868:K1873" si="218">I1868*J1868</f>
        <v>0</v>
      </c>
      <c r="L1868" s="835"/>
      <c r="M1868" s="831"/>
    </row>
    <row r="1869" spans="1:13" s="31" customFormat="1" ht="17.25" customHeight="1">
      <c r="A1869" s="821" t="s">
        <v>310</v>
      </c>
      <c r="B1869" s="980" t="s">
        <v>560</v>
      </c>
      <c r="C1869" s="879">
        <f>VLOOKUP(B1866,'CNKT '!$C$97:$Z$162,11,0)</f>
        <v>27</v>
      </c>
      <c r="D1869" s="826">
        <f>46.1*$B$2</f>
        <v>30805.403000000002</v>
      </c>
      <c r="E1869" s="823">
        <f t="shared" si="217"/>
        <v>831745.88100000005</v>
      </c>
      <c r="F1869" s="882"/>
      <c r="G1869" s="821" t="s">
        <v>310</v>
      </c>
      <c r="H1869" s="980" t="s">
        <v>560</v>
      </c>
      <c r="I1869" s="879">
        <f>VLOOKUP(H1866,'CNKT '!$C$97:$Z$162,11,0)</f>
        <v>26</v>
      </c>
      <c r="J1869" s="826">
        <f>46.1*$B$2</f>
        <v>30805.403000000002</v>
      </c>
      <c r="K1869" s="823">
        <f t="shared" si="218"/>
        <v>800940.478</v>
      </c>
      <c r="L1869" s="835"/>
      <c r="M1869" s="831"/>
    </row>
    <row r="1870" spans="1:13" s="31" customFormat="1" ht="17.25" customHeight="1">
      <c r="A1870" s="821" t="s">
        <v>401</v>
      </c>
      <c r="B1870" s="980" t="s">
        <v>561</v>
      </c>
      <c r="C1870" s="879">
        <f>VLOOKUP(B1866,'CNKT '!$C$97:$Z$162,12,0)</f>
        <v>4</v>
      </c>
      <c r="D1870" s="825">
        <f>76.9*$B$2</f>
        <v>51386.887000000002</v>
      </c>
      <c r="E1870" s="823">
        <f t="shared" si="217"/>
        <v>205547.54800000001</v>
      </c>
      <c r="F1870" s="882"/>
      <c r="G1870" s="821" t="s">
        <v>401</v>
      </c>
      <c r="H1870" s="980" t="s">
        <v>561</v>
      </c>
      <c r="I1870" s="879">
        <f>VLOOKUP(H1866,'CNKT '!$C$97:$Z$162,12,0)</f>
        <v>4</v>
      </c>
      <c r="J1870" s="825">
        <f>76.9*$B$2</f>
        <v>51386.887000000002</v>
      </c>
      <c r="K1870" s="823">
        <f t="shared" si="218"/>
        <v>205547.54800000001</v>
      </c>
      <c r="L1870" s="835"/>
      <c r="M1870" s="831"/>
    </row>
    <row r="1871" spans="1:13" s="31" customFormat="1" ht="17.25" customHeight="1">
      <c r="A1871" s="821" t="s">
        <v>80</v>
      </c>
      <c r="B1871" s="980" t="s">
        <v>562</v>
      </c>
      <c r="C1871" s="879">
        <f>VLOOKUP(B1866,'CNKT '!$C$97:$Z$162,8,0)</f>
        <v>730.28532274454938</v>
      </c>
      <c r="D1871" s="825">
        <f>IF(C1867="A",6.1,IF(C1867="B",5.8,IF(C1867="C",5.5,IF(C1867="C.",5.5,IF(C1867="D",5.2)))))*$B$2</f>
        <v>4076.203</v>
      </c>
      <c r="E1871" s="823">
        <f t="shared" si="217"/>
        <v>2976791.2234273003</v>
      </c>
      <c r="F1871" s="882"/>
      <c r="G1871" s="821" t="s">
        <v>80</v>
      </c>
      <c r="H1871" s="980" t="s">
        <v>562</v>
      </c>
      <c r="I1871" s="879">
        <f>VLOOKUP(H1866,'CNKT '!$C$97:$Z$162,8,0)</f>
        <v>860.80224064813024</v>
      </c>
      <c r="J1871" s="825">
        <f>IF(I1867="A",6.1,IF(I1867="B",5.8,IF(I1867="C",5.5,IF(I1867="C.",5.5,IF(I1867="D",5.2)))))*$B$2</f>
        <v>3875.7339999999999</v>
      </c>
      <c r="K1871" s="823">
        <f t="shared" si="218"/>
        <v>3336240.5113561405</v>
      </c>
      <c r="L1871" s="835"/>
      <c r="M1871" s="831"/>
    </row>
    <row r="1872" spans="1:13" s="31" customFormat="1" ht="17.25" customHeight="1">
      <c r="A1872" s="821" t="s">
        <v>497</v>
      </c>
      <c r="B1872" s="980" t="s">
        <v>563</v>
      </c>
      <c r="C1872" s="879">
        <f>VLOOKUP(B1866,'CNKT '!$C$97:$Z$162,13,0)</f>
        <v>0</v>
      </c>
      <c r="D1872" s="826">
        <f>92.2*$B$2</f>
        <v>61610.806000000004</v>
      </c>
      <c r="E1872" s="823">
        <f t="shared" si="217"/>
        <v>0</v>
      </c>
      <c r="F1872" s="882"/>
      <c r="G1872" s="821" t="s">
        <v>497</v>
      </c>
      <c r="H1872" s="980" t="s">
        <v>563</v>
      </c>
      <c r="I1872" s="879">
        <f>VLOOKUP(H1866,'CNKT '!$C$97:$Z$162,13,0)</f>
        <v>0</v>
      </c>
      <c r="J1872" s="826">
        <f>92.2*$B$2</f>
        <v>61610.806000000004</v>
      </c>
      <c r="K1872" s="823">
        <f t="shared" si="218"/>
        <v>0</v>
      </c>
      <c r="L1872" s="835"/>
      <c r="M1872" s="831"/>
    </row>
    <row r="1873" spans="1:13" s="31" customFormat="1" ht="17.25" customHeight="1">
      <c r="A1873" s="821" t="s">
        <v>448</v>
      </c>
      <c r="B1873" s="980" t="s">
        <v>500</v>
      </c>
      <c r="C1873" s="879">
        <f>VLOOKUP(B1866,'CNKT '!$C$97:$Z$162,14,0)</f>
        <v>0</v>
      </c>
      <c r="D1873" s="825">
        <f>153.6*$B$2</f>
        <v>102640.128</v>
      </c>
      <c r="E1873" s="823">
        <f t="shared" si="217"/>
        <v>0</v>
      </c>
      <c r="F1873" s="882"/>
      <c r="G1873" s="821" t="s">
        <v>448</v>
      </c>
      <c r="H1873" s="980" t="s">
        <v>500</v>
      </c>
      <c r="I1873" s="879">
        <f>VLOOKUP(H1866,'CNKT '!$C$97:$Z$162,14,0)</f>
        <v>0</v>
      </c>
      <c r="J1873" s="825">
        <f>153.6*$B$2</f>
        <v>102640.128</v>
      </c>
      <c r="K1873" s="823">
        <f t="shared" si="218"/>
        <v>0</v>
      </c>
      <c r="L1873" s="835"/>
      <c r="M1873" s="831"/>
    </row>
    <row r="1874" spans="1:13" s="31" customFormat="1" ht="17.25" customHeight="1">
      <c r="A1874" s="821" t="s">
        <v>455</v>
      </c>
      <c r="B1874" s="980" t="s">
        <v>501</v>
      </c>
      <c r="C1874" s="879">
        <f>VLOOKUP(B1866,'CNKT '!$C$98:$Z$162,18,0)</f>
        <v>0</v>
      </c>
      <c r="D1874" s="825">
        <v>10000</v>
      </c>
      <c r="E1874" s="823">
        <f>C1874*D1874</f>
        <v>0</v>
      </c>
      <c r="F1874" s="882"/>
      <c r="G1874" s="821" t="s">
        <v>455</v>
      </c>
      <c r="H1874" s="980" t="s">
        <v>501</v>
      </c>
      <c r="I1874" s="879">
        <f>VLOOKUP(H1866,'CNKT '!$C$98:$Z$162,18,0)</f>
        <v>0</v>
      </c>
      <c r="J1874" s="825">
        <v>10000</v>
      </c>
      <c r="K1874" s="823">
        <f>I1874*J1874</f>
        <v>0</v>
      </c>
      <c r="L1874" s="835"/>
      <c r="M1874" s="831"/>
    </row>
    <row r="1875" spans="1:13" s="31" customFormat="1" ht="17.25" customHeight="1">
      <c r="A1875" s="821" t="s">
        <v>455</v>
      </c>
      <c r="B1875" s="980" t="s">
        <v>501</v>
      </c>
      <c r="C1875" s="879">
        <f>VLOOKUP(B1866,'CNKT '!$C$98:$Z$162,19,0)</f>
        <v>0</v>
      </c>
      <c r="D1875" s="825">
        <v>20000</v>
      </c>
      <c r="E1875" s="823">
        <f>C1875*D1875</f>
        <v>0</v>
      </c>
      <c r="F1875" s="882"/>
      <c r="G1875" s="821" t="s">
        <v>455</v>
      </c>
      <c r="H1875" s="980" t="s">
        <v>501</v>
      </c>
      <c r="I1875" s="879">
        <f>VLOOKUP(H1866,'CNKT '!$C$98:$Z$162,19,0)</f>
        <v>0</v>
      </c>
      <c r="J1875" s="825">
        <v>20000</v>
      </c>
      <c r="K1875" s="823">
        <f>I1875*J1875</f>
        <v>0</v>
      </c>
      <c r="L1875" s="835"/>
      <c r="M1875" s="831"/>
    </row>
    <row r="1876" spans="1:13" s="31" customFormat="1" ht="17.25" customHeight="1">
      <c r="A1876" s="821" t="s">
        <v>517</v>
      </c>
      <c r="B1876" s="980" t="s">
        <v>519</v>
      </c>
      <c r="C1876" s="879"/>
      <c r="D1876" s="825"/>
      <c r="E1876" s="823"/>
      <c r="F1876" s="882"/>
      <c r="G1876" s="821" t="s">
        <v>517</v>
      </c>
      <c r="H1876" s="980" t="s">
        <v>519</v>
      </c>
      <c r="I1876" s="879"/>
      <c r="J1876" s="825"/>
      <c r="K1876" s="823"/>
      <c r="L1876" s="835"/>
      <c r="M1876" s="831"/>
    </row>
    <row r="1877" spans="1:13" s="31" customFormat="1" ht="17.25" customHeight="1">
      <c r="A1877" s="827" t="s">
        <v>81</v>
      </c>
      <c r="B1877" s="981" t="s">
        <v>564</v>
      </c>
      <c r="C1877" s="828"/>
      <c r="D1877" s="829"/>
      <c r="E1877" s="828"/>
      <c r="F1877" s="882"/>
      <c r="G1877" s="827" t="s">
        <v>81</v>
      </c>
      <c r="H1877" s="981" t="s">
        <v>564</v>
      </c>
      <c r="I1877" s="828"/>
      <c r="J1877" s="829"/>
      <c r="K1877" s="828"/>
      <c r="L1877" s="835"/>
      <c r="M1877" s="831"/>
    </row>
    <row r="1878" spans="1:13" s="31" customFormat="1" ht="17.25" customHeight="1">
      <c r="A1878" s="830" t="s">
        <v>82</v>
      </c>
      <c r="B1878" s="982" t="s">
        <v>565</v>
      </c>
      <c r="C1878" s="828"/>
      <c r="D1878" s="828"/>
      <c r="E1878" s="828"/>
      <c r="F1878" s="882"/>
      <c r="G1878" s="830" t="s">
        <v>82</v>
      </c>
      <c r="H1878" s="982" t="s">
        <v>565</v>
      </c>
      <c r="I1878" s="828"/>
      <c r="J1878" s="828"/>
      <c r="K1878" s="828"/>
      <c r="L1878" s="835"/>
      <c r="M1878" s="831"/>
    </row>
    <row r="1879" spans="1:13" s="31" customFormat="1" ht="17.25" customHeight="1">
      <c r="A1879" s="830" t="s">
        <v>83</v>
      </c>
      <c r="B1879" s="983" t="s">
        <v>566</v>
      </c>
      <c r="C1879" s="828"/>
      <c r="D1879" s="828"/>
      <c r="E1879" s="823">
        <f>SUM(E1878)</f>
        <v>0</v>
      </c>
      <c r="F1879" s="878"/>
      <c r="G1879" s="830" t="s">
        <v>83</v>
      </c>
      <c r="H1879" s="983" t="s">
        <v>566</v>
      </c>
      <c r="I1879" s="828"/>
      <c r="J1879" s="828"/>
      <c r="K1879" s="823">
        <f>SUM(K1878)</f>
        <v>0</v>
      </c>
      <c r="L1879" s="835"/>
      <c r="M1879" s="831"/>
    </row>
    <row r="1880" spans="1:13" s="31" customFormat="1" ht="17.25" customHeight="1">
      <c r="A1880" s="832" t="s">
        <v>84</v>
      </c>
      <c r="B1880" s="984" t="s">
        <v>438</v>
      </c>
      <c r="C1880" s="833"/>
      <c r="D1880" s="833"/>
      <c r="E1880" s="833">
        <f>(E1868+E1869+E1870+E1871+E1872+E1873+E1874+E1875+E1876)-E1879</f>
        <v>4014084.6524273003</v>
      </c>
      <c r="F1880" s="878"/>
      <c r="G1880" s="832" t="s">
        <v>84</v>
      </c>
      <c r="H1880" s="984" t="s">
        <v>438</v>
      </c>
      <c r="I1880" s="833"/>
      <c r="J1880" s="833"/>
      <c r="K1880" s="833">
        <f>(K1868+K1869+K1870+K1871+K1872+K1873+K1874+K1875+K1876)-K1879</f>
        <v>4342728.5373561401</v>
      </c>
      <c r="L1880" s="835">
        <f>E1880+K1880</f>
        <v>8356813.1897834409</v>
      </c>
      <c r="M1880" s="831"/>
    </row>
    <row r="1881" spans="1:13" s="31" customFormat="1" ht="17.25" customHeight="1">
      <c r="A1881" s="895"/>
      <c r="B1881" s="895"/>
      <c r="C1881" s="895"/>
      <c r="D1881" s="895"/>
      <c r="E1881" s="895"/>
      <c r="F1881" s="895"/>
      <c r="G1881" s="895"/>
      <c r="H1881" s="895"/>
      <c r="I1881" s="895"/>
      <c r="J1881" s="895"/>
      <c r="K1881" s="895"/>
      <c r="L1881" s="835"/>
      <c r="M1881" s="831"/>
    </row>
    <row r="1882" spans="1:13" s="31" customFormat="1" ht="17.25" customHeight="1">
      <c r="A1882" s="891" t="str">
        <f>A1865</f>
        <v>LƯƠNG THÁNG 01/2025</v>
      </c>
      <c r="B1882" s="895"/>
      <c r="C1882" s="895"/>
      <c r="D1882" s="895"/>
      <c r="E1882" s="904">
        <f>VLOOKUP(B1883,'CNKT '!$C$98:$AC$162,26,0)</f>
        <v>0</v>
      </c>
      <c r="F1882" s="882"/>
      <c r="G1882" s="891" t="str">
        <f>A1882</f>
        <v>LƯƠNG THÁNG 01/2025</v>
      </c>
      <c r="H1882" s="895"/>
      <c r="I1882" s="895"/>
      <c r="J1882" s="898"/>
      <c r="K1882" s="904">
        <f>VLOOKUP(H1883,'CNKT '!$C$98:$AC$162,26,0)</f>
        <v>0</v>
      </c>
      <c r="L1882" s="835"/>
      <c r="M1882" s="831"/>
    </row>
    <row r="1883" spans="1:13" s="31" customFormat="1" ht="17.25" customHeight="1">
      <c r="A1883" s="837" t="s">
        <v>17</v>
      </c>
      <c r="B1883" s="976" t="str">
        <f>'CNKT '!C144</f>
        <v>T. Phan</v>
      </c>
      <c r="C1883" s="822"/>
      <c r="D1883" s="976" t="s">
        <v>398</v>
      </c>
      <c r="E1883" s="976" t="s">
        <v>20</v>
      </c>
      <c r="F1883" s="882"/>
      <c r="G1883" s="837" t="s">
        <v>17</v>
      </c>
      <c r="H1883" s="976" t="str">
        <f>'CNKT '!C145</f>
        <v>T . Cổ</v>
      </c>
      <c r="I1883" s="822"/>
      <c r="J1883" s="976" t="s">
        <v>398</v>
      </c>
      <c r="K1883" s="976" t="s">
        <v>20</v>
      </c>
      <c r="L1883" s="835"/>
      <c r="M1883" s="831"/>
    </row>
    <row r="1884" spans="1:13" s="31" customFormat="1" ht="17.25" customHeight="1">
      <c r="A1884" s="821" t="s">
        <v>399</v>
      </c>
      <c r="B1884" s="978" t="s">
        <v>559</v>
      </c>
      <c r="C1884" s="822" t="str">
        <f>VLOOKUP(B1883,'BTH mủ tạp'!$C$98:$AL$160,36,0)</f>
        <v>B</v>
      </c>
      <c r="D1884" s="823"/>
      <c r="E1884" s="823"/>
      <c r="F1884" s="882"/>
      <c r="G1884" s="821" t="s">
        <v>399</v>
      </c>
      <c r="H1884" s="978" t="s">
        <v>559</v>
      </c>
      <c r="I1884" s="822" t="str">
        <f>VLOOKUP(H1883,'BTH mủ tạp'!$C$98:$AL$160,36,0)</f>
        <v>A</v>
      </c>
      <c r="J1884" s="823"/>
      <c r="K1884" s="823"/>
      <c r="L1884" s="835"/>
      <c r="M1884" s="831"/>
    </row>
    <row r="1885" spans="1:13" s="31" customFormat="1" ht="17.25" customHeight="1">
      <c r="A1885" s="821" t="s">
        <v>79</v>
      </c>
      <c r="B1885" s="979" t="s">
        <v>432</v>
      </c>
      <c r="C1885" s="824">
        <f>VLOOKUP(B1883,'CNKT '!$C$97:$Z$162,3,0)</f>
        <v>0</v>
      </c>
      <c r="D1885" s="825">
        <v>25000</v>
      </c>
      <c r="E1885" s="823">
        <f t="shared" ref="E1885:E1890" si="219">C1885*D1885</f>
        <v>0</v>
      </c>
      <c r="F1885" s="882"/>
      <c r="G1885" s="821" t="s">
        <v>79</v>
      </c>
      <c r="H1885" s="979" t="s">
        <v>432</v>
      </c>
      <c r="I1885" s="824">
        <f>VLOOKUP(H1883,'CNKT '!$C$97:$Z$162,3,0)</f>
        <v>0</v>
      </c>
      <c r="J1885" s="825">
        <v>25000</v>
      </c>
      <c r="K1885" s="823">
        <f t="shared" ref="K1885:K1890" si="220">I1885*J1885</f>
        <v>0</v>
      </c>
      <c r="L1885" s="835"/>
      <c r="M1885" s="831"/>
    </row>
    <row r="1886" spans="1:13" s="31" customFormat="1" ht="17.25" customHeight="1">
      <c r="A1886" s="821" t="s">
        <v>310</v>
      </c>
      <c r="B1886" s="980" t="s">
        <v>560</v>
      </c>
      <c r="C1886" s="879">
        <f>VLOOKUP(B1883,'CNKT '!$C$97:$Z$162,11,0)</f>
        <v>27</v>
      </c>
      <c r="D1886" s="826">
        <f>46.1*$B$2</f>
        <v>30805.403000000002</v>
      </c>
      <c r="E1886" s="823">
        <f t="shared" si="219"/>
        <v>831745.88100000005</v>
      </c>
      <c r="F1886" s="882"/>
      <c r="G1886" s="821" t="s">
        <v>310</v>
      </c>
      <c r="H1886" s="980" t="s">
        <v>560</v>
      </c>
      <c r="I1886" s="879">
        <f>VLOOKUP(H1883,'CNKT '!$C$97:$Z$162,11,0)</f>
        <v>22</v>
      </c>
      <c r="J1886" s="826">
        <f>46.1*$B$2</f>
        <v>30805.403000000002</v>
      </c>
      <c r="K1886" s="823">
        <f t="shared" si="220"/>
        <v>677718.86600000004</v>
      </c>
      <c r="L1886" s="835"/>
      <c r="M1886" s="831"/>
    </row>
    <row r="1887" spans="1:13" s="31" customFormat="1" ht="17.25" customHeight="1">
      <c r="A1887" s="821" t="s">
        <v>401</v>
      </c>
      <c r="B1887" s="980" t="s">
        <v>561</v>
      </c>
      <c r="C1887" s="879">
        <f>VLOOKUP(B1883,'CNKT '!$C$97:$Z$162,12,0)</f>
        <v>4</v>
      </c>
      <c r="D1887" s="825">
        <f>76.9*$B$2</f>
        <v>51386.887000000002</v>
      </c>
      <c r="E1887" s="823">
        <f t="shared" si="219"/>
        <v>205547.54800000001</v>
      </c>
      <c r="F1887" s="882"/>
      <c r="G1887" s="821" t="s">
        <v>401</v>
      </c>
      <c r="H1887" s="980" t="s">
        <v>561</v>
      </c>
      <c r="I1887" s="879">
        <f>VLOOKUP(H1883,'CNKT '!$C$97:$Z$162,12,0)</f>
        <v>2</v>
      </c>
      <c r="J1887" s="825">
        <f>76.9*$B$2</f>
        <v>51386.887000000002</v>
      </c>
      <c r="K1887" s="823">
        <f t="shared" si="220"/>
        <v>102773.774</v>
      </c>
      <c r="L1887" s="835"/>
      <c r="M1887" s="831"/>
    </row>
    <row r="1888" spans="1:13" s="31" customFormat="1" ht="17.25" customHeight="1">
      <c r="A1888" s="821" t="s">
        <v>80</v>
      </c>
      <c r="B1888" s="980" t="s">
        <v>562</v>
      </c>
      <c r="C1888" s="879">
        <f>VLOOKUP(B1883,'CNKT '!$C$97:$Z$162,8,0)</f>
        <v>824.23718971794415</v>
      </c>
      <c r="D1888" s="825">
        <f>IF(C1884="A",6.1,IF(C1884="B",5.8,IF(C1884="C",5.5,IF(C1884="C.",5.5,IF(C1884="D",5.2)))))*$B$2</f>
        <v>3875.7339999999999</v>
      </c>
      <c r="E1888" s="823">
        <f t="shared" si="219"/>
        <v>3194524.1002542865</v>
      </c>
      <c r="F1888" s="882"/>
      <c r="G1888" s="821" t="s">
        <v>80</v>
      </c>
      <c r="H1888" s="980" t="s">
        <v>562</v>
      </c>
      <c r="I1888" s="879">
        <f>VLOOKUP(H1883,'CNKT '!$C$97:$Z$162,8,0)</f>
        <v>931.90095079015862</v>
      </c>
      <c r="J1888" s="825">
        <f>IF(I1884="A",6.1,IF(I1884="B",5.8,IF(I1884="C",5.5,IF(I1884="C.",5.5,IF(I1884="D",5.2)))))*$B$2</f>
        <v>4076.203</v>
      </c>
      <c r="K1888" s="823">
        <f t="shared" si="220"/>
        <v>3798617.4513136968</v>
      </c>
      <c r="L1888" s="835"/>
      <c r="M1888" s="831"/>
    </row>
    <row r="1889" spans="1:13" s="31" customFormat="1" ht="17.25" customHeight="1">
      <c r="A1889" s="821" t="s">
        <v>497</v>
      </c>
      <c r="B1889" s="980" t="s">
        <v>563</v>
      </c>
      <c r="C1889" s="879">
        <f>VLOOKUP(B1883,'CNKT '!$C$97:$Z$162,13,0)</f>
        <v>0</v>
      </c>
      <c r="D1889" s="826">
        <f>92.2*$B$2</f>
        <v>61610.806000000004</v>
      </c>
      <c r="E1889" s="823">
        <f t="shared" si="219"/>
        <v>0</v>
      </c>
      <c r="F1889" s="882"/>
      <c r="G1889" s="821" t="s">
        <v>497</v>
      </c>
      <c r="H1889" s="980" t="s">
        <v>563</v>
      </c>
      <c r="I1889" s="879">
        <f>VLOOKUP(H1883,'CNKT '!$C$97:$Z$162,13,0)</f>
        <v>0</v>
      </c>
      <c r="J1889" s="826">
        <f>92.2*$B$2</f>
        <v>61610.806000000004</v>
      </c>
      <c r="K1889" s="823">
        <f t="shared" si="220"/>
        <v>0</v>
      </c>
      <c r="L1889" s="835"/>
      <c r="M1889" s="831"/>
    </row>
    <row r="1890" spans="1:13" s="31" customFormat="1" ht="17.25" customHeight="1">
      <c r="A1890" s="821" t="s">
        <v>448</v>
      </c>
      <c r="B1890" s="980" t="s">
        <v>500</v>
      </c>
      <c r="C1890" s="879">
        <f>VLOOKUP(B1883,'CNKT '!$C$97:$Z$162,14,0)</f>
        <v>0</v>
      </c>
      <c r="D1890" s="825">
        <f>153.6*$B$2</f>
        <v>102640.128</v>
      </c>
      <c r="E1890" s="823">
        <f t="shared" si="219"/>
        <v>0</v>
      </c>
      <c r="F1890" s="882"/>
      <c r="G1890" s="821" t="s">
        <v>448</v>
      </c>
      <c r="H1890" s="980" t="s">
        <v>500</v>
      </c>
      <c r="I1890" s="879">
        <f>VLOOKUP(H1883,'CNKT '!$C$97:$Z$162,14,0)</f>
        <v>0</v>
      </c>
      <c r="J1890" s="825">
        <f>153.6*$B$2</f>
        <v>102640.128</v>
      </c>
      <c r="K1890" s="823">
        <f t="shared" si="220"/>
        <v>0</v>
      </c>
      <c r="L1890" s="835"/>
      <c r="M1890" s="831"/>
    </row>
    <row r="1891" spans="1:13" s="31" customFormat="1" ht="17.25" customHeight="1">
      <c r="A1891" s="821" t="s">
        <v>455</v>
      </c>
      <c r="B1891" s="980" t="s">
        <v>501</v>
      </c>
      <c r="C1891" s="879">
        <f>VLOOKUP(B1883,'CNKT '!$C$98:$Z$162,18,0)</f>
        <v>0</v>
      </c>
      <c r="D1891" s="825">
        <v>10000</v>
      </c>
      <c r="E1891" s="823">
        <f>C1891*D1891</f>
        <v>0</v>
      </c>
      <c r="F1891" s="882"/>
      <c r="G1891" s="821" t="s">
        <v>455</v>
      </c>
      <c r="H1891" s="980" t="s">
        <v>501</v>
      </c>
      <c r="I1891" s="879">
        <f>VLOOKUP(H1883,'CNKT '!$C$98:$Z$162,18,0)</f>
        <v>0</v>
      </c>
      <c r="J1891" s="825">
        <v>10000</v>
      </c>
      <c r="K1891" s="823">
        <f>I1891*J1891</f>
        <v>0</v>
      </c>
      <c r="L1891" s="835"/>
      <c r="M1891" s="831"/>
    </row>
    <row r="1892" spans="1:13" s="31" customFormat="1" ht="17.25" customHeight="1">
      <c r="A1892" s="821" t="s">
        <v>455</v>
      </c>
      <c r="B1892" s="980" t="s">
        <v>501</v>
      </c>
      <c r="C1892" s="879">
        <f>VLOOKUP(B1883,'CNKT '!$C$98:$Z$162,19,0)</f>
        <v>0</v>
      </c>
      <c r="D1892" s="825">
        <v>20000</v>
      </c>
      <c r="E1892" s="823">
        <f>C1892*D1892</f>
        <v>0</v>
      </c>
      <c r="F1892" s="882"/>
      <c r="G1892" s="821" t="s">
        <v>455</v>
      </c>
      <c r="H1892" s="980" t="s">
        <v>501</v>
      </c>
      <c r="I1892" s="879">
        <f>VLOOKUP(H1883,'CNKT '!$C$98:$Z$162,19,0)</f>
        <v>0</v>
      </c>
      <c r="J1892" s="825">
        <v>20000</v>
      </c>
      <c r="K1892" s="823">
        <f>I1892*J1892</f>
        <v>0</v>
      </c>
      <c r="L1892" s="835"/>
      <c r="M1892" s="831"/>
    </row>
    <row r="1893" spans="1:13" s="31" customFormat="1" ht="17.25" customHeight="1">
      <c r="A1893" s="821" t="s">
        <v>517</v>
      </c>
      <c r="B1893" s="980" t="s">
        <v>519</v>
      </c>
      <c r="C1893" s="879"/>
      <c r="D1893" s="825"/>
      <c r="E1893" s="823"/>
      <c r="F1893" s="882"/>
      <c r="G1893" s="821" t="s">
        <v>517</v>
      </c>
      <c r="H1893" s="980" t="s">
        <v>519</v>
      </c>
      <c r="I1893" s="879"/>
      <c r="J1893" s="825"/>
      <c r="K1893" s="823"/>
      <c r="L1893" s="835"/>
      <c r="M1893" s="831"/>
    </row>
    <row r="1894" spans="1:13" s="31" customFormat="1" ht="17.25" customHeight="1">
      <c r="A1894" s="827" t="s">
        <v>81</v>
      </c>
      <c r="B1894" s="981" t="s">
        <v>564</v>
      </c>
      <c r="C1894" s="828"/>
      <c r="D1894" s="829"/>
      <c r="E1894" s="828"/>
      <c r="F1894" s="882"/>
      <c r="G1894" s="827" t="s">
        <v>81</v>
      </c>
      <c r="H1894" s="981" t="s">
        <v>564</v>
      </c>
      <c r="I1894" s="828"/>
      <c r="J1894" s="829"/>
      <c r="K1894" s="828"/>
      <c r="L1894" s="835"/>
      <c r="M1894" s="831"/>
    </row>
    <row r="1895" spans="1:13" s="31" customFormat="1" ht="17.25" customHeight="1">
      <c r="A1895" s="830" t="s">
        <v>82</v>
      </c>
      <c r="B1895" s="982" t="s">
        <v>565</v>
      </c>
      <c r="C1895" s="828"/>
      <c r="D1895" s="828"/>
      <c r="E1895" s="828"/>
      <c r="F1895" s="882"/>
      <c r="G1895" s="830" t="s">
        <v>82</v>
      </c>
      <c r="H1895" s="982" t="s">
        <v>565</v>
      </c>
      <c r="I1895" s="828"/>
      <c r="J1895" s="828"/>
      <c r="K1895" s="828"/>
      <c r="L1895" s="835"/>
      <c r="M1895" s="831"/>
    </row>
    <row r="1896" spans="1:13" s="31" customFormat="1" ht="17.25" customHeight="1">
      <c r="A1896" s="830" t="s">
        <v>83</v>
      </c>
      <c r="B1896" s="983" t="s">
        <v>566</v>
      </c>
      <c r="C1896" s="828"/>
      <c r="D1896" s="828"/>
      <c r="E1896" s="823">
        <f>SUM(E1895)</f>
        <v>0</v>
      </c>
      <c r="F1896" s="878"/>
      <c r="G1896" s="830" t="s">
        <v>83</v>
      </c>
      <c r="H1896" s="983" t="s">
        <v>566</v>
      </c>
      <c r="I1896" s="828"/>
      <c r="J1896" s="828"/>
      <c r="K1896" s="823">
        <f>SUM(K1895)</f>
        <v>0</v>
      </c>
      <c r="L1896" s="835"/>
      <c r="M1896" s="831"/>
    </row>
    <row r="1897" spans="1:13" s="31" customFormat="1" ht="17.25" customHeight="1">
      <c r="A1897" s="832" t="s">
        <v>84</v>
      </c>
      <c r="B1897" s="984" t="s">
        <v>438</v>
      </c>
      <c r="C1897" s="833"/>
      <c r="D1897" s="833"/>
      <c r="E1897" s="833">
        <f>(E1885+E1886+E1887+E1888+E1889+E1890+E1891+E1892+E1893)-E1896</f>
        <v>4231817.5292542865</v>
      </c>
      <c r="F1897" s="878"/>
      <c r="G1897" s="832" t="s">
        <v>84</v>
      </c>
      <c r="H1897" s="984" t="s">
        <v>438</v>
      </c>
      <c r="I1897" s="833"/>
      <c r="J1897" s="833"/>
      <c r="K1897" s="833">
        <f>(K1885+K1886+K1887+K1888+K1889+K1890+K1891+K1892+K1893)-K1896</f>
        <v>4579110.0913136965</v>
      </c>
      <c r="L1897" s="835">
        <f>E1897+K1897</f>
        <v>8810927.620567983</v>
      </c>
      <c r="M1897" s="831"/>
    </row>
    <row r="1898" spans="1:13" s="31" customFormat="1" ht="69" customHeight="1">
      <c r="A1898" s="895"/>
      <c r="B1898" s="895"/>
      <c r="C1898" s="895"/>
      <c r="D1898" s="895"/>
      <c r="E1898" s="895"/>
      <c r="F1898" s="895"/>
      <c r="G1898" s="895"/>
      <c r="H1898" s="895"/>
      <c r="I1898" s="895"/>
      <c r="J1898" s="895"/>
      <c r="K1898" s="895"/>
      <c r="L1898" s="835"/>
      <c r="M1898" s="831"/>
    </row>
    <row r="1899" spans="1:13" s="31" customFormat="1" ht="17.25" customHeight="1">
      <c r="A1899" s="891" t="str">
        <f>A1882</f>
        <v>LƯƠNG THÁNG 01/2025</v>
      </c>
      <c r="B1899" s="895"/>
      <c r="C1899" s="895"/>
      <c r="D1899" s="895"/>
      <c r="E1899" s="904">
        <f>VLOOKUP(B1900,'CNKT '!$C$98:$AC$162,26,0)</f>
        <v>0</v>
      </c>
      <c r="F1899" s="882"/>
      <c r="G1899" s="891" t="str">
        <f>A1899</f>
        <v>LƯƠNG THÁNG 01/2025</v>
      </c>
      <c r="H1899" s="895"/>
      <c r="I1899" s="895"/>
      <c r="J1899" s="898"/>
      <c r="K1899" s="904">
        <f>VLOOKUP(H1900,'CNKT '!$C$98:$AC$162,26,0)</f>
        <v>0</v>
      </c>
      <c r="L1899" s="835"/>
      <c r="M1899" s="831"/>
    </row>
    <row r="1900" spans="1:13" s="31" customFormat="1" ht="17.25" customHeight="1">
      <c r="A1900" s="837" t="s">
        <v>17</v>
      </c>
      <c r="B1900" s="976" t="str">
        <f>'CNKT '!C146</f>
        <v>N. Phim Pha</v>
      </c>
      <c r="C1900" s="822"/>
      <c r="D1900" s="976" t="s">
        <v>398</v>
      </c>
      <c r="E1900" s="976" t="s">
        <v>20</v>
      </c>
      <c r="F1900" s="882"/>
      <c r="G1900" s="837" t="s">
        <v>17</v>
      </c>
      <c r="H1900" s="976" t="str">
        <f>'CNKT '!C147</f>
        <v xml:space="preserve">T. Xeng </v>
      </c>
      <c r="I1900" s="822"/>
      <c r="J1900" s="976" t="s">
        <v>398</v>
      </c>
      <c r="K1900" s="976" t="s">
        <v>20</v>
      </c>
      <c r="L1900" s="835"/>
      <c r="M1900" s="831"/>
    </row>
    <row r="1901" spans="1:13" s="31" customFormat="1" ht="17.25" customHeight="1">
      <c r="A1901" s="821" t="s">
        <v>399</v>
      </c>
      <c r="B1901" s="978" t="s">
        <v>559</v>
      </c>
      <c r="C1901" s="822" t="str">
        <f>VLOOKUP(B1900,'BTH mủ tạp'!$C$98:$AL$160,36,0)</f>
        <v>C</v>
      </c>
      <c r="D1901" s="823"/>
      <c r="E1901" s="823"/>
      <c r="F1901" s="882"/>
      <c r="G1901" s="821" t="s">
        <v>399</v>
      </c>
      <c r="H1901" s="978" t="s">
        <v>559</v>
      </c>
      <c r="I1901" s="822" t="str">
        <f>VLOOKUP(H1900,'BTH mủ tạp'!$C$98:$AL$160,36,0)</f>
        <v>A</v>
      </c>
      <c r="J1901" s="823"/>
      <c r="K1901" s="823"/>
      <c r="L1901" s="835"/>
      <c r="M1901" s="831"/>
    </row>
    <row r="1902" spans="1:13" s="31" customFormat="1" ht="17.25" customHeight="1">
      <c r="A1902" s="821" t="s">
        <v>79</v>
      </c>
      <c r="B1902" s="979" t="s">
        <v>432</v>
      </c>
      <c r="C1902" s="824">
        <f>VLOOKUP(B1900,'CNKT '!$C$97:$Z$162,3,0)</f>
        <v>0</v>
      </c>
      <c r="D1902" s="825">
        <v>25000</v>
      </c>
      <c r="E1902" s="823">
        <f t="shared" ref="E1902:E1907" si="221">C1902*D1902</f>
        <v>0</v>
      </c>
      <c r="F1902" s="882"/>
      <c r="G1902" s="821" t="s">
        <v>79</v>
      </c>
      <c r="H1902" s="979" t="s">
        <v>432</v>
      </c>
      <c r="I1902" s="824">
        <f>VLOOKUP(H1900,'CNKT '!$C$97:$Z$162,3,0)</f>
        <v>0</v>
      </c>
      <c r="J1902" s="825">
        <v>25000</v>
      </c>
      <c r="K1902" s="823">
        <f t="shared" ref="K1902:K1907" si="222">I1902*J1902</f>
        <v>0</v>
      </c>
      <c r="L1902" s="835"/>
      <c r="M1902" s="831"/>
    </row>
    <row r="1903" spans="1:13" s="31" customFormat="1" ht="17.25" customHeight="1">
      <c r="A1903" s="821" t="s">
        <v>310</v>
      </c>
      <c r="B1903" s="980" t="s">
        <v>560</v>
      </c>
      <c r="C1903" s="879">
        <f>VLOOKUP(B1900,'CNKT '!$C$97:$Z$162,11,0)</f>
        <v>26</v>
      </c>
      <c r="D1903" s="826">
        <f>46.1*$B$2</f>
        <v>30805.403000000002</v>
      </c>
      <c r="E1903" s="823">
        <f t="shared" si="221"/>
        <v>800940.478</v>
      </c>
      <c r="F1903" s="882"/>
      <c r="G1903" s="821" t="s">
        <v>310</v>
      </c>
      <c r="H1903" s="980" t="s">
        <v>560</v>
      </c>
      <c r="I1903" s="879">
        <f>VLOOKUP(H1900,'CNKT '!$C$97:$Z$162,11,0)</f>
        <v>27</v>
      </c>
      <c r="J1903" s="826">
        <f>46.1*$B$2</f>
        <v>30805.403000000002</v>
      </c>
      <c r="K1903" s="823">
        <f t="shared" si="222"/>
        <v>831745.88100000005</v>
      </c>
      <c r="L1903" s="835"/>
      <c r="M1903" s="831"/>
    </row>
    <row r="1904" spans="1:13" s="31" customFormat="1" ht="17.25" customHeight="1">
      <c r="A1904" s="821" t="s">
        <v>401</v>
      </c>
      <c r="B1904" s="980" t="s">
        <v>561</v>
      </c>
      <c r="C1904" s="879">
        <f>VLOOKUP(B1900,'CNKT '!$C$97:$Z$162,12,0)</f>
        <v>4</v>
      </c>
      <c r="D1904" s="825">
        <f>76.9*$B$2</f>
        <v>51386.887000000002</v>
      </c>
      <c r="E1904" s="823">
        <f t="shared" si="221"/>
        <v>205547.54800000001</v>
      </c>
      <c r="F1904" s="882"/>
      <c r="G1904" s="821" t="s">
        <v>401</v>
      </c>
      <c r="H1904" s="980" t="s">
        <v>561</v>
      </c>
      <c r="I1904" s="879">
        <f>VLOOKUP(H1900,'CNKT '!$C$97:$Z$162,12,0)</f>
        <v>4</v>
      </c>
      <c r="J1904" s="825">
        <f>76.9*$B$2</f>
        <v>51386.887000000002</v>
      </c>
      <c r="K1904" s="823">
        <f t="shared" si="222"/>
        <v>205547.54800000001</v>
      </c>
      <c r="L1904" s="835"/>
      <c r="M1904" s="831"/>
    </row>
    <row r="1905" spans="1:13" s="31" customFormat="1" ht="17.25" customHeight="1">
      <c r="A1905" s="821" t="s">
        <v>80</v>
      </c>
      <c r="B1905" s="980" t="s">
        <v>562</v>
      </c>
      <c r="C1905" s="879">
        <f>VLOOKUP(B1900,'CNKT '!$C$97:$Z$162,8,0)</f>
        <v>666.80433154630964</v>
      </c>
      <c r="D1905" s="825">
        <f>IF(C1901="A",6.1,IF(C1901="B",5.8,IF(C1901="C",5.5,IF(C1901="C.",5.5,IF(C1901="D",5.2)))))*$B$2</f>
        <v>3675.2650000000003</v>
      </c>
      <c r="E1905" s="823">
        <f t="shared" si="221"/>
        <v>2450682.6215805481</v>
      </c>
      <c r="F1905" s="882"/>
      <c r="G1905" s="821" t="s">
        <v>80</v>
      </c>
      <c r="H1905" s="980" t="s">
        <v>562</v>
      </c>
      <c r="I1905" s="879">
        <f>VLOOKUP(H1900,'CNKT '!$C$97:$Z$162,8,0)</f>
        <v>971.51308929786023</v>
      </c>
      <c r="J1905" s="825">
        <f>IF(I1901="A",6.1,IF(I1901="B",5.8,IF(I1901="C",5.5,IF(I1901="C.",5.5,IF(I1901="D",5.2)))))*$B$2</f>
        <v>4076.203</v>
      </c>
      <c r="K1905" s="823">
        <f t="shared" si="222"/>
        <v>3960084.5691352058</v>
      </c>
      <c r="L1905" s="835"/>
      <c r="M1905" s="831"/>
    </row>
    <row r="1906" spans="1:13" s="31" customFormat="1" ht="17.25" customHeight="1">
      <c r="A1906" s="821" t="s">
        <v>497</v>
      </c>
      <c r="B1906" s="980" t="s">
        <v>563</v>
      </c>
      <c r="C1906" s="879">
        <f>VLOOKUP(B1900,'CNKT '!$C$97:$Z$162,13,0)</f>
        <v>0</v>
      </c>
      <c r="D1906" s="826">
        <f>92.2*$B$2</f>
        <v>61610.806000000004</v>
      </c>
      <c r="E1906" s="823">
        <f t="shared" si="221"/>
        <v>0</v>
      </c>
      <c r="F1906" s="882"/>
      <c r="G1906" s="821" t="s">
        <v>497</v>
      </c>
      <c r="H1906" s="980" t="s">
        <v>563</v>
      </c>
      <c r="I1906" s="879">
        <f>VLOOKUP(H1900,'CNKT '!$C$97:$Z$162,13,0)</f>
        <v>0</v>
      </c>
      <c r="J1906" s="826">
        <f>92.2*$B$2</f>
        <v>61610.806000000004</v>
      </c>
      <c r="K1906" s="823">
        <f t="shared" si="222"/>
        <v>0</v>
      </c>
      <c r="L1906" s="835"/>
      <c r="M1906" s="831"/>
    </row>
    <row r="1907" spans="1:13" s="31" customFormat="1" ht="17.25" customHeight="1">
      <c r="A1907" s="821" t="s">
        <v>448</v>
      </c>
      <c r="B1907" s="980" t="s">
        <v>500</v>
      </c>
      <c r="C1907" s="879">
        <f>VLOOKUP(B1900,'CNKT '!$C$97:$Z$162,14,0)</f>
        <v>0</v>
      </c>
      <c r="D1907" s="825">
        <f>153.6*$B$2</f>
        <v>102640.128</v>
      </c>
      <c r="E1907" s="823">
        <f t="shared" si="221"/>
        <v>0</v>
      </c>
      <c r="F1907" s="882"/>
      <c r="G1907" s="821" t="s">
        <v>448</v>
      </c>
      <c r="H1907" s="980" t="s">
        <v>500</v>
      </c>
      <c r="I1907" s="879">
        <f>VLOOKUP(H1900,'CNKT '!$C$97:$Z$162,14,0)</f>
        <v>0</v>
      </c>
      <c r="J1907" s="825">
        <f>153.6*$B$2</f>
        <v>102640.128</v>
      </c>
      <c r="K1907" s="823">
        <f t="shared" si="222"/>
        <v>0</v>
      </c>
      <c r="L1907" s="835"/>
      <c r="M1907" s="831"/>
    </row>
    <row r="1908" spans="1:13" s="31" customFormat="1" ht="17.25" customHeight="1">
      <c r="A1908" s="821" t="s">
        <v>455</v>
      </c>
      <c r="B1908" s="980" t="s">
        <v>501</v>
      </c>
      <c r="C1908" s="879">
        <f>VLOOKUP(B1900,'CNKT '!$C$98:$Z$162,18,0)</f>
        <v>0</v>
      </c>
      <c r="D1908" s="825">
        <v>10000</v>
      </c>
      <c r="E1908" s="823">
        <f>C1908*D1908</f>
        <v>0</v>
      </c>
      <c r="F1908" s="882"/>
      <c r="G1908" s="821" t="s">
        <v>455</v>
      </c>
      <c r="H1908" s="980" t="s">
        <v>501</v>
      </c>
      <c r="I1908" s="879">
        <f>VLOOKUP(H1900,'CNKT '!$C$98:$Z$162,18,0)</f>
        <v>0</v>
      </c>
      <c r="J1908" s="825">
        <v>10000</v>
      </c>
      <c r="K1908" s="823">
        <f>I1908*J1908</f>
        <v>0</v>
      </c>
      <c r="L1908" s="835"/>
      <c r="M1908" s="831"/>
    </row>
    <row r="1909" spans="1:13" s="31" customFormat="1" ht="17.25" customHeight="1">
      <c r="A1909" s="821" t="s">
        <v>455</v>
      </c>
      <c r="B1909" s="980" t="s">
        <v>501</v>
      </c>
      <c r="C1909" s="879">
        <f>VLOOKUP(B1900,'CNKT '!$C$98:$Z$162,19,0)</f>
        <v>0</v>
      </c>
      <c r="D1909" s="825">
        <v>20000</v>
      </c>
      <c r="E1909" s="823">
        <f>C1909*D1909</f>
        <v>0</v>
      </c>
      <c r="F1909" s="882"/>
      <c r="G1909" s="821" t="s">
        <v>455</v>
      </c>
      <c r="H1909" s="980" t="s">
        <v>501</v>
      </c>
      <c r="I1909" s="879">
        <f>VLOOKUP(H1900,'CNKT '!$C$98:$Z$162,19,0)</f>
        <v>0</v>
      </c>
      <c r="J1909" s="825">
        <v>20000</v>
      </c>
      <c r="K1909" s="823">
        <f>I1909*J1909</f>
        <v>0</v>
      </c>
      <c r="L1909" s="835"/>
      <c r="M1909" s="831"/>
    </row>
    <row r="1910" spans="1:13" s="31" customFormat="1" ht="17.25" customHeight="1">
      <c r="A1910" s="821" t="s">
        <v>517</v>
      </c>
      <c r="B1910" s="980" t="s">
        <v>519</v>
      </c>
      <c r="C1910" s="879"/>
      <c r="D1910" s="825"/>
      <c r="E1910" s="823"/>
      <c r="F1910" s="882"/>
      <c r="G1910" s="821" t="s">
        <v>517</v>
      </c>
      <c r="H1910" s="980" t="s">
        <v>519</v>
      </c>
      <c r="I1910" s="879"/>
      <c r="J1910" s="825"/>
      <c r="K1910" s="823"/>
      <c r="L1910" s="835"/>
      <c r="M1910" s="831"/>
    </row>
    <row r="1911" spans="1:13" s="31" customFormat="1" ht="17.25" customHeight="1">
      <c r="A1911" s="827" t="s">
        <v>81</v>
      </c>
      <c r="B1911" s="981" t="s">
        <v>564</v>
      </c>
      <c r="C1911" s="828"/>
      <c r="D1911" s="829"/>
      <c r="E1911" s="828"/>
      <c r="F1911" s="882"/>
      <c r="G1911" s="827" t="s">
        <v>81</v>
      </c>
      <c r="H1911" s="981" t="s">
        <v>564</v>
      </c>
      <c r="I1911" s="828"/>
      <c r="J1911" s="829"/>
      <c r="K1911" s="828"/>
      <c r="L1911" s="835"/>
      <c r="M1911" s="831"/>
    </row>
    <row r="1912" spans="1:13" s="31" customFormat="1" ht="17.25" customHeight="1">
      <c r="A1912" s="830" t="s">
        <v>82</v>
      </c>
      <c r="B1912" s="982" t="s">
        <v>565</v>
      </c>
      <c r="C1912" s="828"/>
      <c r="D1912" s="828"/>
      <c r="E1912" s="828"/>
      <c r="F1912" s="882"/>
      <c r="G1912" s="830" t="s">
        <v>82</v>
      </c>
      <c r="H1912" s="982" t="s">
        <v>565</v>
      </c>
      <c r="I1912" s="828"/>
      <c r="J1912" s="828"/>
      <c r="K1912" s="828"/>
      <c r="L1912" s="835"/>
      <c r="M1912" s="831"/>
    </row>
    <row r="1913" spans="1:13" s="31" customFormat="1" ht="17.25" customHeight="1">
      <c r="A1913" s="830" t="s">
        <v>83</v>
      </c>
      <c r="B1913" s="983" t="s">
        <v>566</v>
      </c>
      <c r="C1913" s="828"/>
      <c r="D1913" s="828"/>
      <c r="E1913" s="823">
        <f>SUM(E1912)</f>
        <v>0</v>
      </c>
      <c r="F1913" s="878"/>
      <c r="G1913" s="830" t="s">
        <v>83</v>
      </c>
      <c r="H1913" s="983" t="s">
        <v>566</v>
      </c>
      <c r="I1913" s="828"/>
      <c r="J1913" s="828"/>
      <c r="K1913" s="823">
        <f>SUM(K1912)</f>
        <v>0</v>
      </c>
      <c r="L1913" s="835"/>
      <c r="M1913" s="831"/>
    </row>
    <row r="1914" spans="1:13" s="31" customFormat="1" ht="17.25" customHeight="1">
      <c r="A1914" s="832" t="s">
        <v>84</v>
      </c>
      <c r="B1914" s="984" t="s">
        <v>438</v>
      </c>
      <c r="C1914" s="833"/>
      <c r="D1914" s="833"/>
      <c r="E1914" s="833">
        <f>(E1902+E1903+E1904+E1905+E1906+E1907+E1908+E1909+E1910)-E1913</f>
        <v>3457170.6475805482</v>
      </c>
      <c r="F1914" s="878"/>
      <c r="G1914" s="832" t="s">
        <v>84</v>
      </c>
      <c r="H1914" s="984" t="s">
        <v>438</v>
      </c>
      <c r="I1914" s="833"/>
      <c r="J1914" s="833"/>
      <c r="K1914" s="833">
        <f>(K1902+K1903+K1904+K1905+K1906+K1907+K1908+K1909+K1910)-K1913</f>
        <v>4997377.9981352054</v>
      </c>
      <c r="L1914" s="835">
        <f>E1914+K1914</f>
        <v>8454548.6457157545</v>
      </c>
      <c r="M1914" s="831"/>
    </row>
    <row r="1915" spans="1:13" s="31" customFormat="1" ht="17.25" customHeight="1">
      <c r="A1915" s="895"/>
      <c r="B1915" s="895"/>
      <c r="C1915" s="895"/>
      <c r="D1915" s="895"/>
      <c r="E1915" s="895"/>
      <c r="F1915" s="895"/>
      <c r="G1915" s="895"/>
      <c r="H1915" s="895"/>
      <c r="I1915" s="895"/>
      <c r="J1915" s="895"/>
      <c r="K1915" s="895"/>
      <c r="L1915" s="835"/>
      <c r="M1915" s="831"/>
    </row>
    <row r="1916" spans="1:13" s="31" customFormat="1" ht="17.25" customHeight="1">
      <c r="A1916" s="891" t="str">
        <f>A1899</f>
        <v>LƯƠNG THÁNG 01/2025</v>
      </c>
      <c r="B1916" s="895"/>
      <c r="C1916" s="895"/>
      <c r="D1916" s="895"/>
      <c r="E1916" s="904">
        <f>VLOOKUP(B1917,'CNKT '!$C$98:$AC$162,26,0)</f>
        <v>0</v>
      </c>
      <c r="F1916" s="882"/>
      <c r="G1916" s="891" t="str">
        <f>A1916</f>
        <v>LƯƠNG THÁNG 01/2025</v>
      </c>
      <c r="H1916" s="895"/>
      <c r="I1916" s="895"/>
      <c r="J1916" s="898"/>
      <c r="K1916" s="904">
        <f>VLOOKUP(H1917,'CNKT '!$C$98:$AC$162,26,0)</f>
        <v>0</v>
      </c>
      <c r="L1916" s="835"/>
      <c r="M1916" s="831"/>
    </row>
    <row r="1917" spans="1:13" s="31" customFormat="1" ht="17.25" customHeight="1">
      <c r="A1917" s="837" t="s">
        <v>17</v>
      </c>
      <c r="B1917" s="976" t="str">
        <f>'CNKT '!C148</f>
        <v>T. Vạt</v>
      </c>
      <c r="C1917" s="822"/>
      <c r="D1917" s="976" t="s">
        <v>398</v>
      </c>
      <c r="E1917" s="976" t="s">
        <v>20</v>
      </c>
      <c r="F1917" s="882"/>
      <c r="G1917" s="837" t="s">
        <v>17</v>
      </c>
      <c r="H1917" s="976" t="str">
        <f>'CNKT '!C149</f>
        <v>T. Lay</v>
      </c>
      <c r="I1917" s="822"/>
      <c r="J1917" s="976" t="s">
        <v>398</v>
      </c>
      <c r="K1917" s="976" t="s">
        <v>20</v>
      </c>
      <c r="L1917" s="835"/>
      <c r="M1917" s="831"/>
    </row>
    <row r="1918" spans="1:13" s="31" customFormat="1" ht="17.25" customHeight="1">
      <c r="A1918" s="821" t="s">
        <v>399</v>
      </c>
      <c r="B1918" s="978" t="s">
        <v>559</v>
      </c>
      <c r="C1918" s="822" t="str">
        <f>VLOOKUP(B1917,'BTH mủ tạp'!$C$98:$AL$160,36,0)</f>
        <v>A</v>
      </c>
      <c r="D1918" s="823"/>
      <c r="E1918" s="823"/>
      <c r="F1918" s="882"/>
      <c r="G1918" s="821" t="s">
        <v>399</v>
      </c>
      <c r="H1918" s="978" t="s">
        <v>559</v>
      </c>
      <c r="I1918" s="822" t="str">
        <f>VLOOKUP(H1917,'BTH mủ tạp'!$C$98:$AL$160,36,0)</f>
        <v>A</v>
      </c>
      <c r="J1918" s="823"/>
      <c r="K1918" s="823"/>
      <c r="L1918" s="835"/>
      <c r="M1918" s="831"/>
    </row>
    <row r="1919" spans="1:13" s="31" customFormat="1" ht="17.25" customHeight="1">
      <c r="A1919" s="821" t="s">
        <v>79</v>
      </c>
      <c r="B1919" s="979" t="s">
        <v>432</v>
      </c>
      <c r="C1919" s="824">
        <f>VLOOKUP(B1917,'CNKT '!$C$97:$Z$162,3,0)</f>
        <v>0</v>
      </c>
      <c r="D1919" s="825">
        <v>25000</v>
      </c>
      <c r="E1919" s="823">
        <f t="shared" ref="E1919:E1924" si="223">C1919*D1919</f>
        <v>0</v>
      </c>
      <c r="F1919" s="882"/>
      <c r="G1919" s="821" t="s">
        <v>79</v>
      </c>
      <c r="H1919" s="979" t="s">
        <v>432</v>
      </c>
      <c r="I1919" s="824">
        <f>VLOOKUP(H1917,'CNKT '!$C$97:$Z$162,3,0)</f>
        <v>0</v>
      </c>
      <c r="J1919" s="825">
        <v>25000</v>
      </c>
      <c r="K1919" s="823">
        <f t="shared" ref="K1919:K1924" si="224">I1919*J1919</f>
        <v>0</v>
      </c>
      <c r="L1919" s="835"/>
      <c r="M1919" s="831"/>
    </row>
    <row r="1920" spans="1:13" s="31" customFormat="1" ht="17.25" customHeight="1">
      <c r="A1920" s="821" t="s">
        <v>310</v>
      </c>
      <c r="B1920" s="980" t="s">
        <v>560</v>
      </c>
      <c r="C1920" s="879">
        <f>VLOOKUP(B1917,'CNKT '!$C$97:$Z$162,11,0)</f>
        <v>24</v>
      </c>
      <c r="D1920" s="826">
        <f>46.1*$B$2</f>
        <v>30805.403000000002</v>
      </c>
      <c r="E1920" s="823">
        <f t="shared" si="223"/>
        <v>739329.67200000002</v>
      </c>
      <c r="F1920" s="882"/>
      <c r="G1920" s="821" t="s">
        <v>310</v>
      </c>
      <c r="H1920" s="980" t="s">
        <v>560</v>
      </c>
      <c r="I1920" s="879">
        <f>VLOOKUP(H1917,'CNKT '!$C$97:$Z$162,11,0)</f>
        <v>27</v>
      </c>
      <c r="J1920" s="826">
        <f>46.1*$B$2</f>
        <v>30805.403000000002</v>
      </c>
      <c r="K1920" s="823">
        <f t="shared" si="224"/>
        <v>831745.88100000005</v>
      </c>
      <c r="L1920" s="835"/>
      <c r="M1920" s="831"/>
    </row>
    <row r="1921" spans="1:13" s="31" customFormat="1" ht="17.25" customHeight="1">
      <c r="A1921" s="821" t="s">
        <v>401</v>
      </c>
      <c r="B1921" s="980" t="s">
        <v>561</v>
      </c>
      <c r="C1921" s="879">
        <f>VLOOKUP(B1917,'CNKT '!$C$97:$Z$162,12,0)</f>
        <v>4</v>
      </c>
      <c r="D1921" s="825">
        <f>76.9*$B$2</f>
        <v>51386.887000000002</v>
      </c>
      <c r="E1921" s="823">
        <f t="shared" si="223"/>
        <v>205547.54800000001</v>
      </c>
      <c r="F1921" s="882"/>
      <c r="G1921" s="821" t="s">
        <v>401</v>
      </c>
      <c r="H1921" s="980" t="s">
        <v>561</v>
      </c>
      <c r="I1921" s="879">
        <f>VLOOKUP(H1917,'CNKT '!$C$97:$Z$162,12,0)</f>
        <v>4</v>
      </c>
      <c r="J1921" s="825">
        <f>76.9*$B$2</f>
        <v>51386.887000000002</v>
      </c>
      <c r="K1921" s="823">
        <f t="shared" si="224"/>
        <v>205547.54800000001</v>
      </c>
      <c r="L1921" s="835"/>
      <c r="M1921" s="831"/>
    </row>
    <row r="1922" spans="1:13" s="31" customFormat="1" ht="17.25" customHeight="1">
      <c r="A1922" s="821" t="s">
        <v>80</v>
      </c>
      <c r="B1922" s="980" t="s">
        <v>562</v>
      </c>
      <c r="C1922" s="879">
        <f>VLOOKUP(B1917,'CNKT '!$C$97:$Z$162,8,0)</f>
        <v>1029.9156012002406</v>
      </c>
      <c r="D1922" s="825">
        <f>IF(C1918="A",6.1,IF(C1918="B",5.8,IF(C1918="C",5.5,IF(C1918="C.",5.5,IF(C1918="D",5.2)))))*$B$2</f>
        <v>4076.203</v>
      </c>
      <c r="E1922" s="823">
        <f t="shared" si="223"/>
        <v>4198145.0633592242</v>
      </c>
      <c r="F1922" s="882"/>
      <c r="G1922" s="821" t="s">
        <v>80</v>
      </c>
      <c r="H1922" s="980" t="s">
        <v>562</v>
      </c>
      <c r="I1922" s="879">
        <f>VLOOKUP(H1917,'CNKT '!$C$97:$Z$162,8,0)</f>
        <v>1246.2588192038415</v>
      </c>
      <c r="J1922" s="825">
        <f>IF(I1918="A",6.1,IF(I1918="B",5.8,IF(I1918="C",5.5,IF(I1918="C.",5.5,IF(I1918="D",5.2)))))*$B$2</f>
        <v>4076.203</v>
      </c>
      <c r="K1922" s="823">
        <f t="shared" si="224"/>
        <v>5080003.9376151562</v>
      </c>
      <c r="L1922" s="835"/>
      <c r="M1922" s="831"/>
    </row>
    <row r="1923" spans="1:13" s="31" customFormat="1" ht="17.25" customHeight="1">
      <c r="A1923" s="821" t="s">
        <v>497</v>
      </c>
      <c r="B1923" s="980" t="s">
        <v>563</v>
      </c>
      <c r="C1923" s="879">
        <f>VLOOKUP(B1917,'CNKT '!$C$97:$Z$162,13,0)</f>
        <v>0</v>
      </c>
      <c r="D1923" s="826">
        <f>92.2*$B$2</f>
        <v>61610.806000000004</v>
      </c>
      <c r="E1923" s="823">
        <f t="shared" si="223"/>
        <v>0</v>
      </c>
      <c r="F1923" s="882"/>
      <c r="G1923" s="821" t="s">
        <v>497</v>
      </c>
      <c r="H1923" s="980" t="s">
        <v>563</v>
      </c>
      <c r="I1923" s="879">
        <f>VLOOKUP(H1917,'CNKT '!$C$97:$Z$162,13,0)</f>
        <v>0</v>
      </c>
      <c r="J1923" s="826">
        <f>92.2*$B$2</f>
        <v>61610.806000000004</v>
      </c>
      <c r="K1923" s="823">
        <f t="shared" si="224"/>
        <v>0</v>
      </c>
      <c r="L1923" s="835"/>
      <c r="M1923" s="831"/>
    </row>
    <row r="1924" spans="1:13" s="31" customFormat="1" ht="17.25" customHeight="1">
      <c r="A1924" s="821" t="s">
        <v>448</v>
      </c>
      <c r="B1924" s="980" t="s">
        <v>500</v>
      </c>
      <c r="C1924" s="879">
        <f>VLOOKUP(B1917,'CNKT '!$C$97:$Z$162,14,0)</f>
        <v>0</v>
      </c>
      <c r="D1924" s="825">
        <f>153.6*$B$2</f>
        <v>102640.128</v>
      </c>
      <c r="E1924" s="823">
        <f t="shared" si="223"/>
        <v>0</v>
      </c>
      <c r="F1924" s="882"/>
      <c r="G1924" s="821" t="s">
        <v>448</v>
      </c>
      <c r="H1924" s="980" t="s">
        <v>500</v>
      </c>
      <c r="I1924" s="879">
        <f>VLOOKUP(H1917,'CNKT '!$C$97:$Z$162,14,0)</f>
        <v>0</v>
      </c>
      <c r="J1924" s="825">
        <f>153.6*$B$2</f>
        <v>102640.128</v>
      </c>
      <c r="K1924" s="823">
        <f t="shared" si="224"/>
        <v>0</v>
      </c>
      <c r="L1924" s="835"/>
      <c r="M1924" s="831"/>
    </row>
    <row r="1925" spans="1:13" s="31" customFormat="1" ht="17.25" customHeight="1">
      <c r="A1925" s="821" t="s">
        <v>455</v>
      </c>
      <c r="B1925" s="980" t="s">
        <v>501</v>
      </c>
      <c r="C1925" s="879">
        <f>VLOOKUP(B1917,'CNKT '!$C$98:$Z$162,18,0)</f>
        <v>0</v>
      </c>
      <c r="D1925" s="825">
        <v>10000</v>
      </c>
      <c r="E1925" s="823">
        <f>C1925*D1925</f>
        <v>0</v>
      </c>
      <c r="F1925" s="882"/>
      <c r="G1925" s="821" t="s">
        <v>455</v>
      </c>
      <c r="H1925" s="980" t="s">
        <v>501</v>
      </c>
      <c r="I1925" s="879">
        <f>VLOOKUP(H1917,'CNKT '!$C$98:$Z$162,18,0)</f>
        <v>0</v>
      </c>
      <c r="J1925" s="825">
        <v>10000</v>
      </c>
      <c r="K1925" s="823">
        <f>I1925*J1925</f>
        <v>0</v>
      </c>
      <c r="L1925" s="835"/>
      <c r="M1925" s="831"/>
    </row>
    <row r="1926" spans="1:13" s="31" customFormat="1" ht="17.25" customHeight="1">
      <c r="A1926" s="821" t="s">
        <v>455</v>
      </c>
      <c r="B1926" s="980" t="s">
        <v>501</v>
      </c>
      <c r="C1926" s="879">
        <f>VLOOKUP(B1917,'CNKT '!$C$98:$Z$162,19,0)</f>
        <v>0</v>
      </c>
      <c r="D1926" s="825">
        <v>20000</v>
      </c>
      <c r="E1926" s="823">
        <f>C1926*D1926</f>
        <v>0</v>
      </c>
      <c r="F1926" s="882"/>
      <c r="G1926" s="821" t="s">
        <v>455</v>
      </c>
      <c r="H1926" s="980" t="s">
        <v>501</v>
      </c>
      <c r="I1926" s="879">
        <f>VLOOKUP(H1917,'CNKT '!$C$98:$Z$162,19,0)</f>
        <v>0</v>
      </c>
      <c r="J1926" s="825">
        <v>20000</v>
      </c>
      <c r="K1926" s="823">
        <f>I1926*J1926</f>
        <v>0</v>
      </c>
      <c r="L1926" s="835"/>
      <c r="M1926" s="831"/>
    </row>
    <row r="1927" spans="1:13" s="31" customFormat="1" ht="17.25" customHeight="1">
      <c r="A1927" s="821" t="s">
        <v>517</v>
      </c>
      <c r="B1927" s="980" t="s">
        <v>519</v>
      </c>
      <c r="C1927" s="879"/>
      <c r="D1927" s="825"/>
      <c r="E1927" s="823"/>
      <c r="F1927" s="882"/>
      <c r="G1927" s="821" t="s">
        <v>517</v>
      </c>
      <c r="H1927" s="980" t="s">
        <v>519</v>
      </c>
      <c r="I1927" s="879"/>
      <c r="J1927" s="825"/>
      <c r="K1927" s="823"/>
      <c r="L1927" s="835"/>
      <c r="M1927" s="831"/>
    </row>
    <row r="1928" spans="1:13" s="31" customFormat="1" ht="17.25" customHeight="1">
      <c r="A1928" s="827" t="s">
        <v>81</v>
      </c>
      <c r="B1928" s="981" t="s">
        <v>564</v>
      </c>
      <c r="C1928" s="828"/>
      <c r="D1928" s="829"/>
      <c r="E1928" s="828"/>
      <c r="F1928" s="882"/>
      <c r="G1928" s="827" t="s">
        <v>81</v>
      </c>
      <c r="H1928" s="981" t="s">
        <v>564</v>
      </c>
      <c r="I1928" s="828"/>
      <c r="J1928" s="829"/>
      <c r="K1928" s="828"/>
      <c r="L1928" s="835"/>
      <c r="M1928" s="831"/>
    </row>
    <row r="1929" spans="1:13" s="31" customFormat="1" ht="17.25" customHeight="1">
      <c r="A1929" s="830" t="s">
        <v>82</v>
      </c>
      <c r="B1929" s="982" t="s">
        <v>565</v>
      </c>
      <c r="C1929" s="828"/>
      <c r="D1929" s="828"/>
      <c r="E1929" s="828"/>
      <c r="F1929" s="882"/>
      <c r="G1929" s="830" t="s">
        <v>82</v>
      </c>
      <c r="H1929" s="982" t="s">
        <v>565</v>
      </c>
      <c r="I1929" s="828"/>
      <c r="J1929" s="828"/>
      <c r="K1929" s="828"/>
      <c r="L1929" s="835"/>
      <c r="M1929" s="831"/>
    </row>
    <row r="1930" spans="1:13" s="31" customFormat="1" ht="17.25" customHeight="1">
      <c r="A1930" s="830" t="s">
        <v>83</v>
      </c>
      <c r="B1930" s="983" t="s">
        <v>566</v>
      </c>
      <c r="C1930" s="828"/>
      <c r="D1930" s="828"/>
      <c r="E1930" s="823">
        <f>SUM(E1929)</f>
        <v>0</v>
      </c>
      <c r="F1930" s="878"/>
      <c r="G1930" s="830" t="s">
        <v>83</v>
      </c>
      <c r="H1930" s="983" t="s">
        <v>566</v>
      </c>
      <c r="I1930" s="828"/>
      <c r="J1930" s="828"/>
      <c r="K1930" s="823">
        <f>SUM(K1929)</f>
        <v>0</v>
      </c>
      <c r="L1930" s="835"/>
      <c r="M1930" s="831"/>
    </row>
    <row r="1931" spans="1:13" s="31" customFormat="1" ht="17.25" customHeight="1">
      <c r="A1931" s="832" t="s">
        <v>84</v>
      </c>
      <c r="B1931" s="984" t="s">
        <v>438</v>
      </c>
      <c r="C1931" s="833"/>
      <c r="D1931" s="833"/>
      <c r="E1931" s="833">
        <f>(E1919+E1920+E1921+E1922+E1923+E1924+E1925+E1926+E1927)-E1930</f>
        <v>5143022.283359224</v>
      </c>
      <c r="F1931" s="878"/>
      <c r="G1931" s="832" t="s">
        <v>84</v>
      </c>
      <c r="H1931" s="984" t="s">
        <v>438</v>
      </c>
      <c r="I1931" s="833"/>
      <c r="J1931" s="833"/>
      <c r="K1931" s="833">
        <f>(K1919+K1920+K1921+K1922+K1923+K1924+K1925+K1926+K1927)-K1930</f>
        <v>6117297.3666151557</v>
      </c>
      <c r="L1931" s="835">
        <f>E1931+K1931</f>
        <v>11260319.64997438</v>
      </c>
      <c r="M1931" s="831"/>
    </row>
    <row r="1932" spans="1:13" s="31" customFormat="1" ht="17.25" customHeight="1">
      <c r="A1932" s="895"/>
      <c r="B1932" s="895"/>
      <c r="C1932" s="895"/>
      <c r="D1932" s="895"/>
      <c r="E1932" s="895"/>
      <c r="F1932" s="895"/>
      <c r="G1932" s="895"/>
      <c r="H1932" s="895"/>
      <c r="I1932" s="895"/>
      <c r="J1932" s="895"/>
      <c r="K1932" s="895"/>
      <c r="L1932" s="835"/>
      <c r="M1932" s="831"/>
    </row>
    <row r="1933" spans="1:13" s="31" customFormat="1" ht="17.25" customHeight="1">
      <c r="A1933" s="891" t="str">
        <f>A1916</f>
        <v>LƯƠNG THÁNG 01/2025</v>
      </c>
      <c r="B1933" s="895"/>
      <c r="C1933" s="895"/>
      <c r="D1933" s="895"/>
      <c r="E1933" s="904">
        <f>VLOOKUP(B1934,'CNKT '!$C$98:$AC$162,26,0)</f>
        <v>0</v>
      </c>
      <c r="F1933" s="882"/>
      <c r="G1933" s="891" t="str">
        <f>A1933</f>
        <v>LƯƠNG THÁNG 01/2025</v>
      </c>
      <c r="H1933" s="895"/>
      <c r="I1933" s="895"/>
      <c r="J1933" s="898"/>
      <c r="K1933" s="904">
        <f>VLOOKUP(H1934,'CNKT '!$C$98:$AC$162,26,0)</f>
        <v>0</v>
      </c>
      <c r="L1933" s="835"/>
      <c r="M1933" s="831"/>
    </row>
    <row r="1934" spans="1:13" s="31" customFormat="1" ht="17.25" customHeight="1">
      <c r="A1934" s="837" t="s">
        <v>17</v>
      </c>
      <c r="B1934" s="976" t="str">
        <f>'CNKT '!C150</f>
        <v>N. Nọi</v>
      </c>
      <c r="C1934" s="822"/>
      <c r="D1934" s="976" t="s">
        <v>398</v>
      </c>
      <c r="E1934" s="976" t="s">
        <v>20</v>
      </c>
      <c r="F1934" s="882"/>
      <c r="G1934" s="837" t="s">
        <v>17</v>
      </c>
      <c r="H1934" s="976" t="str">
        <f>'CNKT '!C151</f>
        <v>T Bun Xi</v>
      </c>
      <c r="I1934" s="822"/>
      <c r="J1934" s="976" t="s">
        <v>398</v>
      </c>
      <c r="K1934" s="976" t="s">
        <v>20</v>
      </c>
      <c r="L1934" s="835"/>
      <c r="M1934" s="831"/>
    </row>
    <row r="1935" spans="1:13" s="31" customFormat="1" ht="17.25" customHeight="1">
      <c r="A1935" s="821" t="s">
        <v>399</v>
      </c>
      <c r="B1935" s="978" t="s">
        <v>559</v>
      </c>
      <c r="C1935" s="822" t="str">
        <f>VLOOKUP(B1934,'BTH mủ tạp'!$C$98:$AL$160,36,0)</f>
        <v>A</v>
      </c>
      <c r="D1935" s="823"/>
      <c r="E1935" s="823"/>
      <c r="F1935" s="882"/>
      <c r="G1935" s="821" t="s">
        <v>399</v>
      </c>
      <c r="H1935" s="978" t="s">
        <v>559</v>
      </c>
      <c r="I1935" s="822" t="str">
        <f>VLOOKUP(H1934,'BTH mủ tạp'!$C$98:$AL$160,36,0)</f>
        <v>B</v>
      </c>
      <c r="J1935" s="823"/>
      <c r="K1935" s="823"/>
      <c r="L1935" s="835"/>
      <c r="M1935" s="831"/>
    </row>
    <row r="1936" spans="1:13" s="31" customFormat="1" ht="17.25" customHeight="1">
      <c r="A1936" s="821" t="s">
        <v>79</v>
      </c>
      <c r="B1936" s="979" t="s">
        <v>432</v>
      </c>
      <c r="C1936" s="824">
        <f>VLOOKUP(B1934,'CNKT '!$C$97:$Z$162,3,0)</f>
        <v>0</v>
      </c>
      <c r="D1936" s="825">
        <v>25000</v>
      </c>
      <c r="E1936" s="823">
        <f t="shared" ref="E1936:E1941" si="225">C1936*D1936</f>
        <v>0</v>
      </c>
      <c r="F1936" s="882"/>
      <c r="G1936" s="821" t="s">
        <v>79</v>
      </c>
      <c r="H1936" s="979" t="s">
        <v>432</v>
      </c>
      <c r="I1936" s="824">
        <f>VLOOKUP(H1934,'CNKT '!$C$97:$Z$162,3,0)</f>
        <v>0</v>
      </c>
      <c r="J1936" s="825">
        <v>25000</v>
      </c>
      <c r="K1936" s="823">
        <f t="shared" ref="K1936:K1941" si="226">I1936*J1936</f>
        <v>0</v>
      </c>
      <c r="L1936" s="835"/>
      <c r="M1936" s="831"/>
    </row>
    <row r="1937" spans="1:13" s="31" customFormat="1" ht="17.25" customHeight="1">
      <c r="A1937" s="821" t="s">
        <v>310</v>
      </c>
      <c r="B1937" s="980" t="s">
        <v>560</v>
      </c>
      <c r="C1937" s="879">
        <f>VLOOKUP(B1934,'CNKT '!$C$97:$Z$162,11,0)</f>
        <v>27</v>
      </c>
      <c r="D1937" s="826">
        <f>46.1*$B$2</f>
        <v>30805.403000000002</v>
      </c>
      <c r="E1937" s="823">
        <f t="shared" si="225"/>
        <v>831745.88100000005</v>
      </c>
      <c r="F1937" s="882"/>
      <c r="G1937" s="821" t="s">
        <v>310</v>
      </c>
      <c r="H1937" s="980" t="s">
        <v>560</v>
      </c>
      <c r="I1937" s="879">
        <f>VLOOKUP(H1934,'CNKT '!$C$97:$Z$162,11,0)</f>
        <v>21</v>
      </c>
      <c r="J1937" s="826">
        <f>46.1*$B$2</f>
        <v>30805.403000000002</v>
      </c>
      <c r="K1937" s="823">
        <f t="shared" si="226"/>
        <v>646913.46299999999</v>
      </c>
      <c r="L1937" s="835"/>
      <c r="M1937" s="831"/>
    </row>
    <row r="1938" spans="1:13" s="31" customFormat="1" ht="17.25" customHeight="1">
      <c r="A1938" s="821" t="s">
        <v>401</v>
      </c>
      <c r="B1938" s="980" t="s">
        <v>561</v>
      </c>
      <c r="C1938" s="879">
        <f>VLOOKUP(B1934,'CNKT '!$C$97:$Z$162,12,0)</f>
        <v>4</v>
      </c>
      <c r="D1938" s="825">
        <f>76.9*$B$2</f>
        <v>51386.887000000002</v>
      </c>
      <c r="E1938" s="823">
        <f t="shared" si="225"/>
        <v>205547.54800000001</v>
      </c>
      <c r="F1938" s="882"/>
      <c r="G1938" s="821" t="s">
        <v>401</v>
      </c>
      <c r="H1938" s="980" t="s">
        <v>561</v>
      </c>
      <c r="I1938" s="879">
        <f>VLOOKUP(H1934,'CNKT '!$C$97:$Z$162,12,0)</f>
        <v>4</v>
      </c>
      <c r="J1938" s="825">
        <f>76.9*$B$2</f>
        <v>51386.887000000002</v>
      </c>
      <c r="K1938" s="823">
        <f t="shared" si="226"/>
        <v>205547.54800000001</v>
      </c>
      <c r="L1938" s="835"/>
      <c r="M1938" s="831"/>
    </row>
    <row r="1939" spans="1:13" s="31" customFormat="1" ht="17.25" customHeight="1">
      <c r="A1939" s="821" t="s">
        <v>80</v>
      </c>
      <c r="B1939" s="980" t="s">
        <v>562</v>
      </c>
      <c r="C1939" s="879">
        <f>VLOOKUP(B1934,'CNKT '!$C$97:$Z$162,8,0)</f>
        <v>1163.4796066813369</v>
      </c>
      <c r="D1939" s="825">
        <f>IF(C1935="A",6.1,IF(C1935="B",5.8,IF(C1935="C",5.5,IF(C1935="C.",5.5,IF(C1935="D",5.2)))))*$B$2</f>
        <v>4076.203</v>
      </c>
      <c r="E1939" s="823">
        <f t="shared" si="225"/>
        <v>4742579.0631932858</v>
      </c>
      <c r="F1939" s="882"/>
      <c r="G1939" s="821" t="s">
        <v>80</v>
      </c>
      <c r="H1939" s="980" t="s">
        <v>562</v>
      </c>
      <c r="I1939" s="879">
        <f>VLOOKUP(H1934,'CNKT '!$C$97:$Z$162,8,0)</f>
        <v>696.76735939187881</v>
      </c>
      <c r="J1939" s="825">
        <f>IF(I1935="A",6.1,IF(I1935="B",5.8,IF(I1935="C",5.5,IF(I1935="C.",5.5,IF(I1935="D",5.2)))))*$B$2</f>
        <v>3875.7339999999999</v>
      </c>
      <c r="K1939" s="823">
        <f t="shared" si="226"/>
        <v>2700484.9448853238</v>
      </c>
      <c r="L1939" s="835"/>
      <c r="M1939" s="831"/>
    </row>
    <row r="1940" spans="1:13" s="31" customFormat="1" ht="17.25" customHeight="1">
      <c r="A1940" s="821" t="s">
        <v>497</v>
      </c>
      <c r="B1940" s="980" t="s">
        <v>563</v>
      </c>
      <c r="C1940" s="879">
        <f>VLOOKUP(B1934,'CNKT '!$C$97:$Z$162,13,0)</f>
        <v>0</v>
      </c>
      <c r="D1940" s="826">
        <f>92.2*$B$2</f>
        <v>61610.806000000004</v>
      </c>
      <c r="E1940" s="823">
        <f t="shared" si="225"/>
        <v>0</v>
      </c>
      <c r="F1940" s="882"/>
      <c r="G1940" s="821" t="s">
        <v>497</v>
      </c>
      <c r="H1940" s="980" t="s">
        <v>563</v>
      </c>
      <c r="I1940" s="879">
        <f>VLOOKUP(H1934,'CNKT '!$C$97:$Z$162,13,0)</f>
        <v>0</v>
      </c>
      <c r="J1940" s="826">
        <f>92.2*$B$2</f>
        <v>61610.806000000004</v>
      </c>
      <c r="K1940" s="823">
        <f t="shared" si="226"/>
        <v>0</v>
      </c>
      <c r="L1940" s="835"/>
      <c r="M1940" s="831"/>
    </row>
    <row r="1941" spans="1:13" s="31" customFormat="1" ht="17.25" customHeight="1">
      <c r="A1941" s="821" t="s">
        <v>448</v>
      </c>
      <c r="B1941" s="980" t="s">
        <v>500</v>
      </c>
      <c r="C1941" s="879">
        <f>VLOOKUP(B1934,'CNKT '!$C$97:$Z$162,14,0)</f>
        <v>0</v>
      </c>
      <c r="D1941" s="825">
        <f>153.6*$B$2</f>
        <v>102640.128</v>
      </c>
      <c r="E1941" s="823">
        <f t="shared" si="225"/>
        <v>0</v>
      </c>
      <c r="F1941" s="882"/>
      <c r="G1941" s="821" t="s">
        <v>448</v>
      </c>
      <c r="H1941" s="980" t="s">
        <v>500</v>
      </c>
      <c r="I1941" s="879">
        <f>VLOOKUP(H1934,'CNKT '!$C$97:$Z$162,14,0)</f>
        <v>0</v>
      </c>
      <c r="J1941" s="825">
        <f>153.6*$B$2</f>
        <v>102640.128</v>
      </c>
      <c r="K1941" s="823">
        <f t="shared" si="226"/>
        <v>0</v>
      </c>
      <c r="L1941" s="835"/>
      <c r="M1941" s="831"/>
    </row>
    <row r="1942" spans="1:13" s="31" customFormat="1" ht="17.25" customHeight="1">
      <c r="A1942" s="821" t="s">
        <v>455</v>
      </c>
      <c r="B1942" s="980" t="s">
        <v>501</v>
      </c>
      <c r="C1942" s="879">
        <f>VLOOKUP(B1934,'CNKT '!$C$98:$Z$162,18,0)</f>
        <v>0</v>
      </c>
      <c r="D1942" s="825">
        <v>10000</v>
      </c>
      <c r="E1942" s="823">
        <f>C1942*D1942</f>
        <v>0</v>
      </c>
      <c r="F1942" s="882"/>
      <c r="G1942" s="821" t="s">
        <v>455</v>
      </c>
      <c r="H1942" s="980" t="s">
        <v>501</v>
      </c>
      <c r="I1942" s="879">
        <f>VLOOKUP(H1934,'CNKT '!$C$98:$Z$162,18,0)</f>
        <v>0</v>
      </c>
      <c r="J1942" s="825">
        <v>10000</v>
      </c>
      <c r="K1942" s="823">
        <f>I1942*J1942</f>
        <v>0</v>
      </c>
      <c r="L1942" s="835"/>
      <c r="M1942" s="831"/>
    </row>
    <row r="1943" spans="1:13" s="31" customFormat="1" ht="17.25" customHeight="1">
      <c r="A1943" s="821" t="s">
        <v>455</v>
      </c>
      <c r="B1943" s="980" t="s">
        <v>501</v>
      </c>
      <c r="C1943" s="879">
        <f>VLOOKUP(B1934,'CNKT '!$C$98:$Z$162,19,0)</f>
        <v>0</v>
      </c>
      <c r="D1943" s="825">
        <v>20000</v>
      </c>
      <c r="E1943" s="823">
        <f>C1943*D1943</f>
        <v>0</v>
      </c>
      <c r="F1943" s="882"/>
      <c r="G1943" s="821" t="s">
        <v>455</v>
      </c>
      <c r="H1943" s="980" t="s">
        <v>501</v>
      </c>
      <c r="I1943" s="879">
        <f>VLOOKUP(H1934,'CNKT '!$C$98:$Z$162,19,0)</f>
        <v>0</v>
      </c>
      <c r="J1943" s="825">
        <v>20000</v>
      </c>
      <c r="K1943" s="823">
        <f>I1943*J1943</f>
        <v>0</v>
      </c>
      <c r="L1943" s="835"/>
      <c r="M1943" s="831"/>
    </row>
    <row r="1944" spans="1:13" s="31" customFormat="1" ht="17.25" customHeight="1">
      <c r="A1944" s="821" t="s">
        <v>517</v>
      </c>
      <c r="B1944" s="980" t="s">
        <v>519</v>
      </c>
      <c r="C1944" s="879"/>
      <c r="D1944" s="825"/>
      <c r="E1944" s="823"/>
      <c r="F1944" s="882"/>
      <c r="G1944" s="821" t="s">
        <v>517</v>
      </c>
      <c r="H1944" s="980" t="s">
        <v>519</v>
      </c>
      <c r="I1944" s="879"/>
      <c r="J1944" s="825"/>
      <c r="K1944" s="823"/>
      <c r="L1944" s="835"/>
      <c r="M1944" s="831"/>
    </row>
    <row r="1945" spans="1:13" s="31" customFormat="1" ht="17.25" customHeight="1">
      <c r="A1945" s="827" t="s">
        <v>81</v>
      </c>
      <c r="B1945" s="981" t="s">
        <v>564</v>
      </c>
      <c r="C1945" s="828"/>
      <c r="D1945" s="829"/>
      <c r="E1945" s="828"/>
      <c r="F1945" s="882"/>
      <c r="G1945" s="827" t="s">
        <v>81</v>
      </c>
      <c r="H1945" s="981" t="s">
        <v>564</v>
      </c>
      <c r="I1945" s="828"/>
      <c r="J1945" s="829"/>
      <c r="K1945" s="828"/>
      <c r="L1945" s="835"/>
      <c r="M1945" s="831"/>
    </row>
    <row r="1946" spans="1:13" s="31" customFormat="1" ht="17.25" customHeight="1">
      <c r="A1946" s="830" t="s">
        <v>82</v>
      </c>
      <c r="B1946" s="982" t="s">
        <v>565</v>
      </c>
      <c r="C1946" s="828"/>
      <c r="D1946" s="828"/>
      <c r="E1946" s="828"/>
      <c r="F1946" s="882"/>
      <c r="G1946" s="830" t="s">
        <v>82</v>
      </c>
      <c r="H1946" s="982" t="s">
        <v>565</v>
      </c>
      <c r="I1946" s="828"/>
      <c r="J1946" s="828"/>
      <c r="K1946" s="828"/>
      <c r="L1946" s="835"/>
      <c r="M1946" s="831"/>
    </row>
    <row r="1947" spans="1:13" s="31" customFormat="1" ht="17.25" customHeight="1">
      <c r="A1947" s="830" t="s">
        <v>83</v>
      </c>
      <c r="B1947" s="983" t="s">
        <v>566</v>
      </c>
      <c r="C1947" s="828"/>
      <c r="D1947" s="828"/>
      <c r="E1947" s="823">
        <f>SUM(E1946)</f>
        <v>0</v>
      </c>
      <c r="F1947" s="882"/>
      <c r="G1947" s="830" t="s">
        <v>83</v>
      </c>
      <c r="H1947" s="983" t="s">
        <v>566</v>
      </c>
      <c r="I1947" s="828"/>
      <c r="J1947" s="828"/>
      <c r="K1947" s="823">
        <f>SUM(K1946)</f>
        <v>0</v>
      </c>
      <c r="L1947" s="835"/>
      <c r="M1947" s="831"/>
    </row>
    <row r="1948" spans="1:13" s="31" customFormat="1" ht="17.25" customHeight="1">
      <c r="A1948" s="832" t="s">
        <v>84</v>
      </c>
      <c r="B1948" s="984" t="s">
        <v>438</v>
      </c>
      <c r="C1948" s="833"/>
      <c r="D1948" s="833"/>
      <c r="E1948" s="833">
        <f>(E1936+E1937+E1938+E1939+E1940+E1941+E1942+E1943+E1944)-E1947</f>
        <v>5779872.4921932854</v>
      </c>
      <c r="F1948" s="882"/>
      <c r="G1948" s="832" t="s">
        <v>84</v>
      </c>
      <c r="H1948" s="984" t="s">
        <v>438</v>
      </c>
      <c r="I1948" s="833"/>
      <c r="J1948" s="833"/>
      <c r="K1948" s="833">
        <f>(K1936+K1937+K1938+K1939+K1940+K1941+K1942+K1943+K1944)-K1947</f>
        <v>3552945.9558853237</v>
      </c>
      <c r="L1948" s="835">
        <f>E1948+K1948</f>
        <v>9332818.44807861</v>
      </c>
      <c r="M1948" s="831"/>
    </row>
    <row r="1949" spans="1:13" s="31" customFormat="1" ht="17.25" customHeight="1">
      <c r="A1949" s="895"/>
      <c r="B1949" s="895"/>
      <c r="C1949" s="895"/>
      <c r="D1949" s="895"/>
      <c r="E1949" s="895"/>
      <c r="F1949" s="895"/>
      <c r="G1949" s="895"/>
      <c r="H1949" s="895"/>
      <c r="I1949" s="895"/>
      <c r="J1949" s="895"/>
      <c r="K1949" s="895"/>
      <c r="L1949" s="835"/>
      <c r="M1949" s="831"/>
    </row>
    <row r="1950" spans="1:13" s="31" customFormat="1" ht="17.25" customHeight="1">
      <c r="A1950" s="891" t="str">
        <f>A1933</f>
        <v>LƯƠNG THÁNG 01/2025</v>
      </c>
      <c r="B1950" s="895"/>
      <c r="C1950" s="895"/>
      <c r="D1950" s="895"/>
      <c r="E1950" s="904">
        <f>VLOOKUP(B1951,'CNKT '!$C$98:$AC$162,26,0)</f>
        <v>0</v>
      </c>
      <c r="F1950" s="882"/>
      <c r="G1950" s="891" t="str">
        <f>A1950</f>
        <v>LƯƠNG THÁNG 01/2025</v>
      </c>
      <c r="H1950" s="895"/>
      <c r="I1950" s="895"/>
      <c r="J1950" s="898"/>
      <c r="K1950" s="904">
        <f>VLOOKUP(H1951,'CNKT '!$C$98:$AC$162,26,0)</f>
        <v>0</v>
      </c>
      <c r="L1950" s="835"/>
      <c r="M1950" s="831"/>
    </row>
    <row r="1951" spans="1:13" s="31" customFormat="1" ht="17.25" customHeight="1">
      <c r="A1951" s="837" t="s">
        <v>17</v>
      </c>
      <c r="B1951" s="976" t="str">
        <f>'CNKT '!C152</f>
        <v>N. Bù</v>
      </c>
      <c r="C1951" s="822"/>
      <c r="D1951" s="976" t="s">
        <v>398</v>
      </c>
      <c r="E1951" s="976" t="s">
        <v>20</v>
      </c>
      <c r="F1951" s="882"/>
      <c r="G1951" s="837" t="s">
        <v>17</v>
      </c>
      <c r="H1951" s="976" t="str">
        <f>'CNKT '!C153</f>
        <v>T. Xơn</v>
      </c>
      <c r="I1951" s="822"/>
      <c r="J1951" s="976" t="s">
        <v>398</v>
      </c>
      <c r="K1951" s="976" t="s">
        <v>20</v>
      </c>
      <c r="L1951" s="835"/>
      <c r="M1951" s="831"/>
    </row>
    <row r="1952" spans="1:13" s="31" customFormat="1" ht="17.25" customHeight="1">
      <c r="A1952" s="821" t="s">
        <v>399</v>
      </c>
      <c r="B1952" s="978" t="s">
        <v>559</v>
      </c>
      <c r="C1952" s="822" t="str">
        <f>VLOOKUP(B1951,'BTH mủ tạp'!$C$98:$AL$160,36,0)</f>
        <v>B</v>
      </c>
      <c r="D1952" s="823"/>
      <c r="E1952" s="823"/>
      <c r="F1952" s="882"/>
      <c r="G1952" s="821" t="s">
        <v>399</v>
      </c>
      <c r="H1952" s="978" t="s">
        <v>559</v>
      </c>
      <c r="I1952" s="822" t="str">
        <f>VLOOKUP(H1951,'BTH mủ tạp'!$C$98:$AL$160,36,0)</f>
        <v>B</v>
      </c>
      <c r="J1952" s="823"/>
      <c r="K1952" s="823"/>
      <c r="L1952" s="835"/>
      <c r="M1952" s="831"/>
    </row>
    <row r="1953" spans="1:13" s="31" customFormat="1" ht="17.25" customHeight="1">
      <c r="A1953" s="821" t="s">
        <v>79</v>
      </c>
      <c r="B1953" s="979" t="s">
        <v>432</v>
      </c>
      <c r="C1953" s="824">
        <f>VLOOKUP(B1951,'CNKT '!$C$97:$Z$162,3,0)</f>
        <v>0</v>
      </c>
      <c r="D1953" s="825">
        <v>25000</v>
      </c>
      <c r="E1953" s="823">
        <f t="shared" ref="E1953:E1958" si="227">C1953*D1953</f>
        <v>0</v>
      </c>
      <c r="F1953" s="882"/>
      <c r="G1953" s="821" t="s">
        <v>79</v>
      </c>
      <c r="H1953" s="979" t="s">
        <v>432</v>
      </c>
      <c r="I1953" s="824">
        <f>VLOOKUP(H1951,'CNKT '!$C$97:$Z$162,3,0)</f>
        <v>0</v>
      </c>
      <c r="J1953" s="825">
        <v>25000</v>
      </c>
      <c r="K1953" s="823">
        <f t="shared" ref="K1953:K1958" si="228">I1953*J1953</f>
        <v>0</v>
      </c>
      <c r="L1953" s="835"/>
      <c r="M1953" s="831"/>
    </row>
    <row r="1954" spans="1:13" s="31" customFormat="1" ht="17.25" customHeight="1">
      <c r="A1954" s="821" t="s">
        <v>310</v>
      </c>
      <c r="B1954" s="980" t="s">
        <v>560</v>
      </c>
      <c r="C1954" s="879">
        <f>VLOOKUP(B1951,'CNKT '!$C$97:$Z$162,11,0)</f>
        <v>27</v>
      </c>
      <c r="D1954" s="826">
        <f>46.1*$B$2</f>
        <v>30805.403000000002</v>
      </c>
      <c r="E1954" s="823">
        <f t="shared" si="227"/>
        <v>831745.88100000005</v>
      </c>
      <c r="F1954" s="882"/>
      <c r="G1954" s="821" t="s">
        <v>310</v>
      </c>
      <c r="H1954" s="980" t="s">
        <v>560</v>
      </c>
      <c r="I1954" s="879">
        <f>VLOOKUP(H1951,'CNKT '!$C$97:$Z$162,11,0)</f>
        <v>21</v>
      </c>
      <c r="J1954" s="826">
        <f>46.1*$B$2</f>
        <v>30805.403000000002</v>
      </c>
      <c r="K1954" s="823">
        <f t="shared" si="228"/>
        <v>646913.46299999999</v>
      </c>
      <c r="L1954" s="835"/>
      <c r="M1954" s="831"/>
    </row>
    <row r="1955" spans="1:13" s="31" customFormat="1" ht="17.25" customHeight="1">
      <c r="A1955" s="821" t="s">
        <v>401</v>
      </c>
      <c r="B1955" s="980" t="s">
        <v>561</v>
      </c>
      <c r="C1955" s="879">
        <f>VLOOKUP(B1951,'CNKT '!$C$97:$Z$162,12,0)</f>
        <v>4</v>
      </c>
      <c r="D1955" s="825">
        <f>76.9*$B$2</f>
        <v>51386.887000000002</v>
      </c>
      <c r="E1955" s="823">
        <f t="shared" si="227"/>
        <v>205547.54800000001</v>
      </c>
      <c r="F1955" s="882"/>
      <c r="G1955" s="821" t="s">
        <v>401</v>
      </c>
      <c r="H1955" s="980" t="s">
        <v>561</v>
      </c>
      <c r="I1955" s="879">
        <f>VLOOKUP(H1951,'CNKT '!$C$97:$Z$162,12,0)</f>
        <v>4</v>
      </c>
      <c r="J1955" s="825">
        <f>76.9*$B$2</f>
        <v>51386.887000000002</v>
      </c>
      <c r="K1955" s="823">
        <f t="shared" si="228"/>
        <v>205547.54800000001</v>
      </c>
      <c r="L1955" s="835"/>
      <c r="M1955" s="831"/>
    </row>
    <row r="1956" spans="1:13" s="31" customFormat="1" ht="17.25" customHeight="1">
      <c r="A1956" s="821" t="s">
        <v>80</v>
      </c>
      <c r="B1956" s="980" t="s">
        <v>562</v>
      </c>
      <c r="C1956" s="879">
        <f>VLOOKUP(B1951,'CNKT '!$C$97:$Z$162,8,0)</f>
        <v>921.74399219844031</v>
      </c>
      <c r="D1956" s="825">
        <f>IF(C1952="A",6.1,IF(C1952="B",5.8,IF(C1952="C",5.5,IF(C1952="C.",5.5,IF(C1952="D",5.2)))))*$B$2</f>
        <v>3875.7339999999999</v>
      </c>
      <c r="E1956" s="823">
        <f t="shared" si="227"/>
        <v>3572434.5298592299</v>
      </c>
      <c r="F1956" s="882"/>
      <c r="G1956" s="821" t="s">
        <v>80</v>
      </c>
      <c r="H1956" s="980" t="s">
        <v>562</v>
      </c>
      <c r="I1956" s="879">
        <f>VLOOKUP(H1951,'CNKT '!$C$97:$Z$162,8,0)</f>
        <v>700.3222948989802</v>
      </c>
      <c r="J1956" s="825">
        <f>IF(I1952="A",6.1,IF(I1952="B",5.8,IF(I1952="C",5.5,IF(I1952="C.",5.5,IF(I1952="D",5.2)))))*$B$2</f>
        <v>3875.7339999999999</v>
      </c>
      <c r="K1956" s="823">
        <f t="shared" si="228"/>
        <v>2714262.9292980041</v>
      </c>
      <c r="L1956" s="835"/>
      <c r="M1956" s="831"/>
    </row>
    <row r="1957" spans="1:13" s="31" customFormat="1" ht="17.25" customHeight="1">
      <c r="A1957" s="821" t="s">
        <v>497</v>
      </c>
      <c r="B1957" s="980" t="s">
        <v>563</v>
      </c>
      <c r="C1957" s="879">
        <f>VLOOKUP(B1951,'CNKT '!$C$97:$Z$162,13,0)</f>
        <v>0</v>
      </c>
      <c r="D1957" s="826">
        <f>92.2*$B$2</f>
        <v>61610.806000000004</v>
      </c>
      <c r="E1957" s="823">
        <f t="shared" si="227"/>
        <v>0</v>
      </c>
      <c r="F1957" s="882"/>
      <c r="G1957" s="821" t="s">
        <v>497</v>
      </c>
      <c r="H1957" s="980" t="s">
        <v>563</v>
      </c>
      <c r="I1957" s="879">
        <f>VLOOKUP(H1951,'CNKT '!$C$97:$Z$162,13,0)</f>
        <v>0</v>
      </c>
      <c r="J1957" s="826">
        <f>92.2*$B$2</f>
        <v>61610.806000000004</v>
      </c>
      <c r="K1957" s="823">
        <f t="shared" si="228"/>
        <v>0</v>
      </c>
      <c r="L1957" s="835"/>
      <c r="M1957" s="831"/>
    </row>
    <row r="1958" spans="1:13" s="31" customFormat="1" ht="17.25" customHeight="1">
      <c r="A1958" s="821" t="s">
        <v>448</v>
      </c>
      <c r="B1958" s="980" t="s">
        <v>500</v>
      </c>
      <c r="C1958" s="879">
        <f>VLOOKUP(B1951,'CNKT '!$C$97:$Z$162,14,0)</f>
        <v>0</v>
      </c>
      <c r="D1958" s="825">
        <f>153.6*$B$2</f>
        <v>102640.128</v>
      </c>
      <c r="E1958" s="823">
        <f t="shared" si="227"/>
        <v>0</v>
      </c>
      <c r="F1958" s="882"/>
      <c r="G1958" s="821" t="s">
        <v>448</v>
      </c>
      <c r="H1958" s="980" t="s">
        <v>500</v>
      </c>
      <c r="I1958" s="879">
        <f>VLOOKUP(H1951,'CNKT '!$C$97:$Z$162,14,0)</f>
        <v>0</v>
      </c>
      <c r="J1958" s="825">
        <f>153.6*$B$2</f>
        <v>102640.128</v>
      </c>
      <c r="K1958" s="823">
        <f t="shared" si="228"/>
        <v>0</v>
      </c>
      <c r="L1958" s="835"/>
      <c r="M1958" s="831"/>
    </row>
    <row r="1959" spans="1:13" s="31" customFormat="1" ht="17.25" customHeight="1">
      <c r="A1959" s="821" t="s">
        <v>455</v>
      </c>
      <c r="B1959" s="980" t="s">
        <v>501</v>
      </c>
      <c r="C1959" s="879">
        <f>VLOOKUP(B1951,'CNKT '!$C$98:$Z$162,18,0)</f>
        <v>0</v>
      </c>
      <c r="D1959" s="825">
        <v>10000</v>
      </c>
      <c r="E1959" s="823">
        <f>C1959*D1959</f>
        <v>0</v>
      </c>
      <c r="F1959" s="882"/>
      <c r="G1959" s="821" t="s">
        <v>455</v>
      </c>
      <c r="H1959" s="980" t="s">
        <v>501</v>
      </c>
      <c r="I1959" s="879">
        <f>VLOOKUP(H1951,'CNKT '!$C$98:$Z$162,18,0)</f>
        <v>0</v>
      </c>
      <c r="J1959" s="825">
        <v>10000</v>
      </c>
      <c r="K1959" s="823">
        <f>I1959*J1959</f>
        <v>0</v>
      </c>
      <c r="L1959" s="835"/>
      <c r="M1959" s="831"/>
    </row>
    <row r="1960" spans="1:13" s="31" customFormat="1" ht="17.25" customHeight="1">
      <c r="A1960" s="821" t="s">
        <v>455</v>
      </c>
      <c r="B1960" s="980" t="s">
        <v>501</v>
      </c>
      <c r="C1960" s="879">
        <f>VLOOKUP(B1951,'CNKT '!$C$98:$Z$162,19,0)</f>
        <v>0</v>
      </c>
      <c r="D1960" s="825">
        <v>20000</v>
      </c>
      <c r="E1960" s="823">
        <f>C1960*D1960</f>
        <v>0</v>
      </c>
      <c r="F1960" s="882"/>
      <c r="G1960" s="821" t="s">
        <v>455</v>
      </c>
      <c r="H1960" s="980" t="s">
        <v>501</v>
      </c>
      <c r="I1960" s="879">
        <f>VLOOKUP(H1951,'CNKT '!$C$98:$Z$162,19,0)</f>
        <v>0</v>
      </c>
      <c r="J1960" s="825">
        <v>20000</v>
      </c>
      <c r="K1960" s="823">
        <f>I1960*J1960</f>
        <v>0</v>
      </c>
      <c r="L1960" s="835"/>
      <c r="M1960" s="831"/>
    </row>
    <row r="1961" spans="1:13" s="31" customFormat="1" ht="17.25" customHeight="1">
      <c r="A1961" s="821" t="s">
        <v>517</v>
      </c>
      <c r="B1961" s="980" t="s">
        <v>519</v>
      </c>
      <c r="C1961" s="879"/>
      <c r="D1961" s="825"/>
      <c r="E1961" s="823"/>
      <c r="F1961" s="882"/>
      <c r="G1961" s="821" t="s">
        <v>517</v>
      </c>
      <c r="H1961" s="980" t="s">
        <v>519</v>
      </c>
      <c r="I1961" s="879"/>
      <c r="J1961" s="825"/>
      <c r="K1961" s="823"/>
      <c r="L1961" s="835"/>
      <c r="M1961" s="831"/>
    </row>
    <row r="1962" spans="1:13" s="31" customFormat="1" ht="17.25" customHeight="1">
      <c r="A1962" s="827" t="s">
        <v>81</v>
      </c>
      <c r="B1962" s="981" t="s">
        <v>564</v>
      </c>
      <c r="C1962" s="828"/>
      <c r="D1962" s="829"/>
      <c r="E1962" s="828"/>
      <c r="F1962" s="882"/>
      <c r="G1962" s="827" t="s">
        <v>81</v>
      </c>
      <c r="H1962" s="981" t="s">
        <v>564</v>
      </c>
      <c r="I1962" s="828"/>
      <c r="J1962" s="829"/>
      <c r="K1962" s="828"/>
      <c r="L1962" s="835"/>
      <c r="M1962" s="831"/>
    </row>
    <row r="1963" spans="1:13" s="31" customFormat="1" ht="17.25" customHeight="1">
      <c r="A1963" s="830" t="s">
        <v>82</v>
      </c>
      <c r="B1963" s="982" t="s">
        <v>565</v>
      </c>
      <c r="C1963" s="828"/>
      <c r="D1963" s="828"/>
      <c r="E1963" s="828"/>
      <c r="F1963" s="882"/>
      <c r="G1963" s="830" t="s">
        <v>82</v>
      </c>
      <c r="H1963" s="982" t="s">
        <v>565</v>
      </c>
      <c r="I1963" s="828"/>
      <c r="J1963" s="828"/>
      <c r="K1963" s="828"/>
      <c r="L1963" s="835"/>
      <c r="M1963" s="831"/>
    </row>
    <row r="1964" spans="1:13" s="31" customFormat="1" ht="17.25" customHeight="1">
      <c r="A1964" s="830" t="s">
        <v>83</v>
      </c>
      <c r="B1964" s="983" t="s">
        <v>566</v>
      </c>
      <c r="C1964" s="828"/>
      <c r="D1964" s="828"/>
      <c r="E1964" s="823">
        <f>SUM(E1963)</f>
        <v>0</v>
      </c>
      <c r="F1964" s="882"/>
      <c r="G1964" s="830" t="s">
        <v>83</v>
      </c>
      <c r="H1964" s="983" t="s">
        <v>566</v>
      </c>
      <c r="I1964" s="828"/>
      <c r="J1964" s="828"/>
      <c r="K1964" s="823">
        <f>SUM(K1963)</f>
        <v>0</v>
      </c>
      <c r="L1964" s="835"/>
      <c r="M1964" s="831"/>
    </row>
    <row r="1965" spans="1:13" s="31" customFormat="1" ht="17.25" customHeight="1">
      <c r="A1965" s="832" t="s">
        <v>84</v>
      </c>
      <c r="B1965" s="984" t="s">
        <v>438</v>
      </c>
      <c r="C1965" s="833"/>
      <c r="D1965" s="833"/>
      <c r="E1965" s="833">
        <f>(E1953+E1954+E1955+E1956+E1957+E1958+E1959+E1960+E1961)-E1964</f>
        <v>4609727.9588592295</v>
      </c>
      <c r="F1965" s="882"/>
      <c r="G1965" s="832" t="s">
        <v>84</v>
      </c>
      <c r="H1965" s="984" t="s">
        <v>438</v>
      </c>
      <c r="I1965" s="833"/>
      <c r="J1965" s="833"/>
      <c r="K1965" s="833">
        <f>(K1953+K1954+K1955+K1956+K1957+K1958+K1959+K1960+K1961)-K1964</f>
        <v>3566723.9402980041</v>
      </c>
      <c r="L1965" s="835">
        <f>E1965+K1965</f>
        <v>8176451.8991572335</v>
      </c>
      <c r="M1965" s="831"/>
    </row>
    <row r="1966" spans="1:13" s="31" customFormat="1" ht="204" customHeight="1">
      <c r="A1966" s="895"/>
      <c r="B1966" s="895"/>
      <c r="C1966" s="895"/>
      <c r="D1966" s="895"/>
      <c r="E1966" s="895"/>
      <c r="F1966" s="895"/>
      <c r="G1966" s="895"/>
      <c r="H1966" s="895"/>
      <c r="I1966" s="895"/>
      <c r="J1966" s="895"/>
      <c r="K1966" s="895"/>
      <c r="L1966" s="835"/>
      <c r="M1966" s="831"/>
    </row>
    <row r="1967" spans="1:13" s="31" customFormat="1" ht="17.25" customHeight="1">
      <c r="A1967" s="891" t="str">
        <f>A1950</f>
        <v>LƯƠNG THÁNG 01/2025</v>
      </c>
      <c r="B1967" s="895"/>
      <c r="C1967" s="895"/>
      <c r="D1967" s="895"/>
      <c r="E1967" s="904">
        <f>VLOOKUP(B1968,'CNKT '!$C$98:$AC$162,26,0)</f>
        <v>0</v>
      </c>
      <c r="F1967" s="882"/>
      <c r="G1967" s="891" t="str">
        <f>A1967</f>
        <v>LƯƠNG THÁNG 01/2025</v>
      </c>
      <c r="H1967" s="895"/>
      <c r="I1967" s="895"/>
      <c r="J1967" s="898"/>
      <c r="K1967" s="904">
        <f>VLOOKUP(H1968,'CNKT '!$C$98:$AC$162,26,0)</f>
        <v>0</v>
      </c>
      <c r="L1967" s="835"/>
      <c r="M1967" s="831"/>
    </row>
    <row r="1968" spans="1:13" s="31" customFormat="1" ht="17.25" customHeight="1">
      <c r="A1968" s="837" t="s">
        <v>17</v>
      </c>
      <c r="B1968" s="976" t="str">
        <f>'CNKT '!C154</f>
        <v>T. Thi</v>
      </c>
      <c r="C1968" s="822"/>
      <c r="D1968" s="976" t="s">
        <v>398</v>
      </c>
      <c r="E1968" s="976" t="s">
        <v>20</v>
      </c>
      <c r="F1968" s="882"/>
      <c r="G1968" s="837" t="s">
        <v>17</v>
      </c>
      <c r="H1968" s="976" t="str">
        <f>'CNKT '!C155</f>
        <v>On chay</v>
      </c>
      <c r="I1968" s="822"/>
      <c r="J1968" s="976" t="s">
        <v>398</v>
      </c>
      <c r="K1968" s="976" t="s">
        <v>20</v>
      </c>
      <c r="L1968" s="835"/>
      <c r="M1968" s="831"/>
    </row>
    <row r="1969" spans="1:13" s="31" customFormat="1" ht="17.25" customHeight="1">
      <c r="A1969" s="821" t="s">
        <v>399</v>
      </c>
      <c r="B1969" s="978" t="s">
        <v>559</v>
      </c>
      <c r="C1969" s="822" t="str">
        <f>VLOOKUP(B1968,'BTH mủ tạp'!$C$98:$AL$160,36,0)</f>
        <v>B</v>
      </c>
      <c r="D1969" s="823"/>
      <c r="E1969" s="823"/>
      <c r="F1969" s="882"/>
      <c r="G1969" s="821" t="s">
        <v>399</v>
      </c>
      <c r="H1969" s="978" t="s">
        <v>559</v>
      </c>
      <c r="I1969" s="822" t="str">
        <f>VLOOKUP(H1968,'BTH mủ tạp'!$C$98:$AL$160,36,0)</f>
        <v>A</v>
      </c>
      <c r="J1969" s="823"/>
      <c r="K1969" s="823"/>
      <c r="L1969" s="835"/>
      <c r="M1969" s="831"/>
    </row>
    <row r="1970" spans="1:13" s="31" customFormat="1" ht="17.25" customHeight="1">
      <c r="A1970" s="821" t="s">
        <v>79</v>
      </c>
      <c r="B1970" s="979" t="s">
        <v>432</v>
      </c>
      <c r="C1970" s="824">
        <f>VLOOKUP(B1968,'CNKT '!$C$97:$Z$162,3,0)</f>
        <v>0</v>
      </c>
      <c r="D1970" s="825">
        <v>25000</v>
      </c>
      <c r="E1970" s="823">
        <f t="shared" ref="E1970:E1975" si="229">C1970*D1970</f>
        <v>0</v>
      </c>
      <c r="F1970" s="882"/>
      <c r="G1970" s="821" t="s">
        <v>79</v>
      </c>
      <c r="H1970" s="979" t="s">
        <v>432</v>
      </c>
      <c r="I1970" s="824">
        <f>VLOOKUP(H1968,'CNKT '!$C$97:$Z$162,3,0)</f>
        <v>0</v>
      </c>
      <c r="J1970" s="825">
        <v>25000</v>
      </c>
      <c r="K1970" s="823">
        <f t="shared" ref="K1970:K1975" si="230">I1970*J1970</f>
        <v>0</v>
      </c>
      <c r="L1970" s="835"/>
      <c r="M1970" s="831"/>
    </row>
    <row r="1971" spans="1:13" s="31" customFormat="1" ht="17.25" customHeight="1">
      <c r="A1971" s="821" t="s">
        <v>310</v>
      </c>
      <c r="B1971" s="980" t="s">
        <v>560</v>
      </c>
      <c r="C1971" s="879">
        <f>VLOOKUP(B1968,'CNKT '!$C$97:$Z$162,11,0)</f>
        <v>27</v>
      </c>
      <c r="D1971" s="826">
        <f>46.1*$B$2</f>
        <v>30805.403000000002</v>
      </c>
      <c r="E1971" s="823">
        <f t="shared" si="229"/>
        <v>831745.88100000005</v>
      </c>
      <c r="F1971" s="882"/>
      <c r="G1971" s="821" t="s">
        <v>310</v>
      </c>
      <c r="H1971" s="980" t="s">
        <v>560</v>
      </c>
      <c r="I1971" s="879">
        <f>VLOOKUP(H1968,'CNKT '!$C$97:$Z$162,11,0)</f>
        <v>27</v>
      </c>
      <c r="J1971" s="826">
        <f>46.1*$B$2</f>
        <v>30805.403000000002</v>
      </c>
      <c r="K1971" s="823">
        <f t="shared" si="230"/>
        <v>831745.88100000005</v>
      </c>
      <c r="L1971" s="835"/>
      <c r="M1971" s="831"/>
    </row>
    <row r="1972" spans="1:13" s="31" customFormat="1" ht="17.25" customHeight="1">
      <c r="A1972" s="821" t="s">
        <v>401</v>
      </c>
      <c r="B1972" s="980" t="s">
        <v>561</v>
      </c>
      <c r="C1972" s="879">
        <f>VLOOKUP(B1968,'CNKT '!$C$97:$Z$162,12,0)</f>
        <v>4</v>
      </c>
      <c r="D1972" s="825">
        <f>76.9*$B$2</f>
        <v>51386.887000000002</v>
      </c>
      <c r="E1972" s="823">
        <f t="shared" si="229"/>
        <v>205547.54800000001</v>
      </c>
      <c r="F1972" s="882"/>
      <c r="G1972" s="821" t="s">
        <v>401</v>
      </c>
      <c r="H1972" s="980" t="s">
        <v>561</v>
      </c>
      <c r="I1972" s="879">
        <f>VLOOKUP(H1968,'CNKT '!$C$97:$Z$162,12,0)</f>
        <v>4</v>
      </c>
      <c r="J1972" s="825">
        <f>76.9*$B$2</f>
        <v>51386.887000000002</v>
      </c>
      <c r="K1972" s="823">
        <f t="shared" si="230"/>
        <v>205547.54800000001</v>
      </c>
      <c r="L1972" s="835"/>
      <c r="M1972" s="831"/>
    </row>
    <row r="1973" spans="1:13" s="31" customFormat="1" ht="17.25" customHeight="1">
      <c r="A1973" s="821" t="s">
        <v>80</v>
      </c>
      <c r="B1973" s="980" t="s">
        <v>562</v>
      </c>
      <c r="C1973" s="879">
        <f>VLOOKUP(B1968,'CNKT '!$C$97:$Z$162,8,0)</f>
        <v>922.25184012802617</v>
      </c>
      <c r="D1973" s="825">
        <f>IF(C1969="A",6.1,IF(C1969="B",5.8,IF(C1969="C",5.5,IF(C1969="C.",5.5,IF(C1969="D",5.2)))))*$B$2</f>
        <v>3875.7339999999999</v>
      </c>
      <c r="E1973" s="823">
        <f t="shared" si="229"/>
        <v>3574402.8133467552</v>
      </c>
      <c r="F1973" s="882"/>
      <c r="G1973" s="821" t="s">
        <v>80</v>
      </c>
      <c r="H1973" s="980" t="s">
        <v>562</v>
      </c>
      <c r="I1973" s="879">
        <f>VLOOKUP(H1968,'CNKT '!$C$97:$Z$162,8,0)</f>
        <v>691.6888800960196</v>
      </c>
      <c r="J1973" s="825">
        <f>IF(I1969="A",6.1,IF(I1969="B",5.8,IF(I1969="C",5.5,IF(I1969="C.",5.5,IF(I1969="D",5.2)))))*$B$2</f>
        <v>4076.203</v>
      </c>
      <c r="K1973" s="823">
        <f t="shared" si="230"/>
        <v>2819464.2881140355</v>
      </c>
      <c r="L1973" s="835"/>
      <c r="M1973" s="831"/>
    </row>
    <row r="1974" spans="1:13" s="31" customFormat="1" ht="17.25" customHeight="1">
      <c r="A1974" s="821" t="s">
        <v>497</v>
      </c>
      <c r="B1974" s="980" t="s">
        <v>563</v>
      </c>
      <c r="C1974" s="879">
        <f>VLOOKUP(B1968,'CNKT '!$C$97:$Z$162,13,0)</f>
        <v>0</v>
      </c>
      <c r="D1974" s="826">
        <f>92.2*$B$2</f>
        <v>61610.806000000004</v>
      </c>
      <c r="E1974" s="823">
        <f t="shared" si="229"/>
        <v>0</v>
      </c>
      <c r="F1974" s="882"/>
      <c r="G1974" s="821" t="s">
        <v>497</v>
      </c>
      <c r="H1974" s="980" t="s">
        <v>563</v>
      </c>
      <c r="I1974" s="879">
        <f>VLOOKUP(H1968,'CNKT '!$C$97:$Z$162,13,0)</f>
        <v>0</v>
      </c>
      <c r="J1974" s="826">
        <f>92.2*$B$2</f>
        <v>61610.806000000004</v>
      </c>
      <c r="K1974" s="823">
        <f t="shared" si="230"/>
        <v>0</v>
      </c>
      <c r="L1974" s="835"/>
      <c r="M1974" s="831"/>
    </row>
    <row r="1975" spans="1:13" s="31" customFormat="1" ht="17.25" customHeight="1">
      <c r="A1975" s="821" t="s">
        <v>448</v>
      </c>
      <c r="B1975" s="980" t="s">
        <v>500</v>
      </c>
      <c r="C1975" s="879">
        <f>VLOOKUP(B1968,'CNKT '!$C$97:$Z$162,14,0)</f>
        <v>0</v>
      </c>
      <c r="D1975" s="825">
        <f>153.6*$B$2</f>
        <v>102640.128</v>
      </c>
      <c r="E1975" s="823">
        <f t="shared" si="229"/>
        <v>0</v>
      </c>
      <c r="F1975" s="882"/>
      <c r="G1975" s="821" t="s">
        <v>448</v>
      </c>
      <c r="H1975" s="980" t="s">
        <v>500</v>
      </c>
      <c r="I1975" s="879">
        <f>VLOOKUP(H1968,'CNKT '!$C$97:$Z$162,14,0)</f>
        <v>0</v>
      </c>
      <c r="J1975" s="825">
        <f>153.6*$B$2</f>
        <v>102640.128</v>
      </c>
      <c r="K1975" s="823">
        <f t="shared" si="230"/>
        <v>0</v>
      </c>
      <c r="L1975" s="835"/>
      <c r="M1975" s="831"/>
    </row>
    <row r="1976" spans="1:13" s="31" customFormat="1" ht="17.25" customHeight="1">
      <c r="A1976" s="821" t="s">
        <v>455</v>
      </c>
      <c r="B1976" s="980" t="s">
        <v>501</v>
      </c>
      <c r="C1976" s="879">
        <f>VLOOKUP(B1968,'CNKT '!$C$98:$Z$162,18,0)</f>
        <v>0</v>
      </c>
      <c r="D1976" s="825">
        <v>10000</v>
      </c>
      <c r="E1976" s="823">
        <f>C1976*D1976</f>
        <v>0</v>
      </c>
      <c r="F1976" s="882"/>
      <c r="G1976" s="821" t="s">
        <v>455</v>
      </c>
      <c r="H1976" s="980" t="s">
        <v>501</v>
      </c>
      <c r="I1976" s="879">
        <f>VLOOKUP(H1968,'CNKT '!$C$98:$Z$162,18,0)</f>
        <v>0</v>
      </c>
      <c r="J1976" s="825">
        <v>10000</v>
      </c>
      <c r="K1976" s="823">
        <f>I1976*J1976</f>
        <v>0</v>
      </c>
      <c r="L1976" s="835"/>
      <c r="M1976" s="831"/>
    </row>
    <row r="1977" spans="1:13" s="31" customFormat="1" ht="17.25" customHeight="1">
      <c r="A1977" s="821" t="s">
        <v>455</v>
      </c>
      <c r="B1977" s="980" t="s">
        <v>501</v>
      </c>
      <c r="C1977" s="879">
        <f>VLOOKUP(B1968,'CNKT '!$C$98:$Z$162,19,0)</f>
        <v>0</v>
      </c>
      <c r="D1977" s="825">
        <v>20000</v>
      </c>
      <c r="E1977" s="823">
        <f>C1977*D1977</f>
        <v>0</v>
      </c>
      <c r="F1977" s="882"/>
      <c r="G1977" s="821" t="s">
        <v>455</v>
      </c>
      <c r="H1977" s="980" t="s">
        <v>501</v>
      </c>
      <c r="I1977" s="879">
        <f>VLOOKUP(H1968,'CNKT '!$C$98:$Z$162,19,0)</f>
        <v>0</v>
      </c>
      <c r="J1977" s="825">
        <v>20000</v>
      </c>
      <c r="K1977" s="823">
        <f>I1977*J1977</f>
        <v>0</v>
      </c>
      <c r="L1977" s="835"/>
      <c r="M1977" s="831"/>
    </row>
    <row r="1978" spans="1:13" s="31" customFormat="1" ht="17.25" customHeight="1">
      <c r="A1978" s="821" t="s">
        <v>517</v>
      </c>
      <c r="B1978" s="980" t="s">
        <v>519</v>
      </c>
      <c r="C1978" s="879"/>
      <c r="D1978" s="825"/>
      <c r="E1978" s="823"/>
      <c r="F1978" s="882"/>
      <c r="G1978" s="821" t="s">
        <v>517</v>
      </c>
      <c r="H1978" s="980" t="s">
        <v>519</v>
      </c>
      <c r="I1978" s="879"/>
      <c r="J1978" s="825"/>
      <c r="K1978" s="823"/>
      <c r="L1978" s="835"/>
      <c r="M1978" s="831"/>
    </row>
    <row r="1979" spans="1:13" s="31" customFormat="1" ht="17.25" customHeight="1">
      <c r="A1979" s="827" t="s">
        <v>81</v>
      </c>
      <c r="B1979" s="981" t="s">
        <v>564</v>
      </c>
      <c r="C1979" s="828"/>
      <c r="D1979" s="829"/>
      <c r="E1979" s="828"/>
      <c r="F1979" s="882"/>
      <c r="G1979" s="827" t="s">
        <v>81</v>
      </c>
      <c r="H1979" s="981" t="s">
        <v>564</v>
      </c>
      <c r="I1979" s="828"/>
      <c r="J1979" s="829"/>
      <c r="K1979" s="828"/>
      <c r="L1979" s="835"/>
      <c r="M1979" s="831"/>
    </row>
    <row r="1980" spans="1:13" s="31" customFormat="1" ht="17.25" customHeight="1">
      <c r="A1980" s="830" t="s">
        <v>82</v>
      </c>
      <c r="B1980" s="982" t="s">
        <v>565</v>
      </c>
      <c r="C1980" s="828"/>
      <c r="D1980" s="828"/>
      <c r="E1980" s="828"/>
      <c r="F1980" s="882"/>
      <c r="G1980" s="830" t="s">
        <v>82</v>
      </c>
      <c r="H1980" s="982" t="s">
        <v>565</v>
      </c>
      <c r="I1980" s="828"/>
      <c r="J1980" s="828"/>
      <c r="K1980" s="828"/>
      <c r="L1980" s="835"/>
      <c r="M1980" s="831"/>
    </row>
    <row r="1981" spans="1:13" s="31" customFormat="1" ht="17.25" customHeight="1">
      <c r="A1981" s="830" t="s">
        <v>83</v>
      </c>
      <c r="B1981" s="983" t="s">
        <v>566</v>
      </c>
      <c r="C1981" s="828"/>
      <c r="D1981" s="828"/>
      <c r="E1981" s="823">
        <f>SUM(E1980)</f>
        <v>0</v>
      </c>
      <c r="F1981" s="882"/>
      <c r="G1981" s="830" t="s">
        <v>83</v>
      </c>
      <c r="H1981" s="983" t="s">
        <v>566</v>
      </c>
      <c r="I1981" s="828"/>
      <c r="J1981" s="828"/>
      <c r="K1981" s="823">
        <f>SUM(K1980)</f>
        <v>0</v>
      </c>
      <c r="L1981" s="835"/>
      <c r="M1981" s="831"/>
    </row>
    <row r="1982" spans="1:13" s="31" customFormat="1" ht="17.25" customHeight="1">
      <c r="A1982" s="832" t="s">
        <v>84</v>
      </c>
      <c r="B1982" s="984" t="s">
        <v>438</v>
      </c>
      <c r="C1982" s="833"/>
      <c r="D1982" s="833"/>
      <c r="E1982" s="833">
        <f>(E1970+E1971+E1972+E1973+E1974+E1975+E1976+E1977+E1978)-E1981</f>
        <v>4611696.2423467552</v>
      </c>
      <c r="F1982" s="882"/>
      <c r="G1982" s="832" t="s">
        <v>84</v>
      </c>
      <c r="H1982" s="984" t="s">
        <v>438</v>
      </c>
      <c r="I1982" s="833"/>
      <c r="J1982" s="833"/>
      <c r="K1982" s="833">
        <f>(K1970+K1971+K1972+K1973+K1974+K1975+K1976+K1977+K1978)-K1981</f>
        <v>3856757.7171140355</v>
      </c>
      <c r="L1982" s="835">
        <f>E1982+K1982</f>
        <v>8468453.9594607912</v>
      </c>
      <c r="M1982" s="831"/>
    </row>
    <row r="1983" spans="1:13" s="31" customFormat="1" ht="66.75" customHeight="1">
      <c r="A1983" s="895"/>
      <c r="B1983" s="895"/>
      <c r="C1983" s="895"/>
      <c r="D1983" s="895"/>
      <c r="E1983" s="895"/>
      <c r="F1983" s="895"/>
      <c r="G1983" s="895"/>
      <c r="H1983" s="895"/>
      <c r="I1983" s="895"/>
      <c r="J1983" s="895"/>
      <c r="K1983" s="895"/>
      <c r="L1983" s="835"/>
      <c r="M1983" s="831"/>
    </row>
    <row r="1984" spans="1:13" s="31" customFormat="1" ht="17.25" customHeight="1">
      <c r="A1984" s="891" t="str">
        <f>A1967</f>
        <v>LƯƠNG THÁNG 01/2025</v>
      </c>
      <c r="B1984" s="895"/>
      <c r="C1984" s="895"/>
      <c r="D1984" s="895"/>
      <c r="E1984" s="904">
        <f>VLOOKUP(B1985,'CNKT '!$C$98:$AC$162,26,0)</f>
        <v>0</v>
      </c>
      <c r="F1984" s="882"/>
      <c r="G1984" s="891" t="str">
        <f>A1984</f>
        <v>LƯƠNG THÁNG 01/2025</v>
      </c>
      <c r="H1984" s="895"/>
      <c r="I1984" s="895"/>
      <c r="J1984" s="898"/>
      <c r="K1984" s="904">
        <f>VLOOKUP(H1985,'CNKT '!$C$98:$AC$162,26,0)</f>
        <v>0</v>
      </c>
      <c r="L1984" s="835"/>
      <c r="M1984" s="831"/>
    </row>
    <row r="1985" spans="1:13" s="31" customFormat="1" ht="17.25" customHeight="1">
      <c r="A1985" s="837" t="s">
        <v>17</v>
      </c>
      <c r="B1985" s="976" t="str">
        <f>'CNKT '!C156</f>
        <v>T. Thong</v>
      </c>
      <c r="C1985" s="822"/>
      <c r="D1985" s="976" t="s">
        <v>398</v>
      </c>
      <c r="E1985" s="976" t="s">
        <v>20</v>
      </c>
      <c r="F1985" s="882"/>
      <c r="G1985" s="837" t="s">
        <v>17</v>
      </c>
      <c r="H1985" s="976" t="str">
        <f>'CNKT '!C157</f>
        <v>T. Khách</v>
      </c>
      <c r="I1985" s="822"/>
      <c r="J1985" s="976" t="s">
        <v>398</v>
      </c>
      <c r="K1985" s="976" t="s">
        <v>20</v>
      </c>
      <c r="L1985" s="835"/>
      <c r="M1985" s="831"/>
    </row>
    <row r="1986" spans="1:13" s="31" customFormat="1" ht="17.25" customHeight="1">
      <c r="A1986" s="821" t="s">
        <v>399</v>
      </c>
      <c r="B1986" s="978" t="s">
        <v>559</v>
      </c>
      <c r="C1986" s="822" t="str">
        <f>VLOOKUP(B1985,'BTH mủ tạp'!$C$98:$AL$160,36,0)</f>
        <v>C</v>
      </c>
      <c r="D1986" s="823"/>
      <c r="E1986" s="823"/>
      <c r="F1986" s="882"/>
      <c r="G1986" s="821" t="s">
        <v>399</v>
      </c>
      <c r="H1986" s="978" t="s">
        <v>559</v>
      </c>
      <c r="I1986" s="822" t="str">
        <f>VLOOKUP(H1985,'BTH mủ tạp'!$C$98:$AL$160,36,0)</f>
        <v>C.</v>
      </c>
      <c r="J1986" s="823"/>
      <c r="K1986" s="823"/>
      <c r="L1986" s="835"/>
      <c r="M1986" s="831"/>
    </row>
    <row r="1987" spans="1:13" s="31" customFormat="1" ht="17.25" customHeight="1">
      <c r="A1987" s="821" t="s">
        <v>79</v>
      </c>
      <c r="B1987" s="979" t="s">
        <v>432</v>
      </c>
      <c r="C1987" s="824">
        <f>VLOOKUP(B1985,'CNKT '!$C$97:$Z$162,3,0)</f>
        <v>0</v>
      </c>
      <c r="D1987" s="825">
        <v>25000</v>
      </c>
      <c r="E1987" s="823">
        <f t="shared" ref="E1987:E1992" si="231">C1987*D1987</f>
        <v>0</v>
      </c>
      <c r="F1987" s="882"/>
      <c r="G1987" s="821" t="s">
        <v>79</v>
      </c>
      <c r="H1987" s="979" t="s">
        <v>432</v>
      </c>
      <c r="I1987" s="824">
        <f>VLOOKUP(H1985,'CNKT '!$C$97:$Z$162,3,0)</f>
        <v>0</v>
      </c>
      <c r="J1987" s="825">
        <v>25000</v>
      </c>
      <c r="K1987" s="823">
        <f t="shared" ref="K1987:K1992" si="232">I1987*J1987</f>
        <v>0</v>
      </c>
      <c r="L1987" s="835"/>
      <c r="M1987" s="831"/>
    </row>
    <row r="1988" spans="1:13" s="31" customFormat="1" ht="17.25" customHeight="1">
      <c r="A1988" s="821" t="s">
        <v>310</v>
      </c>
      <c r="B1988" s="980" t="s">
        <v>560</v>
      </c>
      <c r="C1988" s="879">
        <f>VLOOKUP(B1985,'CNKT '!$C$97:$Z$162,11,0)</f>
        <v>15</v>
      </c>
      <c r="D1988" s="826">
        <f>46.1*$B$2</f>
        <v>30805.403000000002</v>
      </c>
      <c r="E1988" s="823">
        <f t="shared" si="231"/>
        <v>462081.04500000004</v>
      </c>
      <c r="F1988" s="882"/>
      <c r="G1988" s="821" t="s">
        <v>310</v>
      </c>
      <c r="H1988" s="980" t="s">
        <v>560</v>
      </c>
      <c r="I1988" s="879">
        <f>VLOOKUP(H1985,'CNKT '!$C$97:$Z$162,11,0)</f>
        <v>11</v>
      </c>
      <c r="J1988" s="826">
        <f>46.1*$B$2</f>
        <v>30805.403000000002</v>
      </c>
      <c r="K1988" s="823">
        <f t="shared" si="232"/>
        <v>338859.43300000002</v>
      </c>
      <c r="L1988" s="835"/>
      <c r="M1988" s="831"/>
    </row>
    <row r="1989" spans="1:13" s="31" customFormat="1" ht="17.25" customHeight="1">
      <c r="A1989" s="821" t="s">
        <v>401</v>
      </c>
      <c r="B1989" s="980" t="s">
        <v>561</v>
      </c>
      <c r="C1989" s="879">
        <f>VLOOKUP(B1985,'CNKT '!$C$97:$Z$162,12,0)</f>
        <v>3</v>
      </c>
      <c r="D1989" s="825">
        <f>76.9*$B$2</f>
        <v>51386.887000000002</v>
      </c>
      <c r="E1989" s="823">
        <f t="shared" si="231"/>
        <v>154160.66100000002</v>
      </c>
      <c r="F1989" s="882"/>
      <c r="G1989" s="821" t="s">
        <v>401</v>
      </c>
      <c r="H1989" s="980" t="s">
        <v>561</v>
      </c>
      <c r="I1989" s="879">
        <f>VLOOKUP(H1985,'CNKT '!$C$97:$Z$162,12,0)</f>
        <v>2</v>
      </c>
      <c r="J1989" s="825">
        <f>76.9*$B$2</f>
        <v>51386.887000000002</v>
      </c>
      <c r="K1989" s="823">
        <f t="shared" si="232"/>
        <v>102773.774</v>
      </c>
      <c r="L1989" s="835"/>
      <c r="M1989" s="831"/>
    </row>
    <row r="1990" spans="1:13" s="31" customFormat="1" ht="17.25" customHeight="1">
      <c r="A1990" s="821" t="s">
        <v>80</v>
      </c>
      <c r="B1990" s="980" t="s">
        <v>562</v>
      </c>
      <c r="C1990" s="879">
        <f>VLOOKUP(B1985,'CNKT '!$C$97:$Z$162,8,0)</f>
        <v>451.47680940188064</v>
      </c>
      <c r="D1990" s="825">
        <f>IF(C1986="A",6.1,IF(C1986="B",5.8,IF(C1986="C",5.5,IF(C1986="C.",5.5,IF(C1986="D",5.2)))))*$B$2</f>
        <v>3675.2650000000003</v>
      </c>
      <c r="E1990" s="823">
        <f t="shared" si="231"/>
        <v>1659296.915906403</v>
      </c>
      <c r="F1990" s="882"/>
      <c r="G1990" s="821" t="s">
        <v>80</v>
      </c>
      <c r="H1990" s="980" t="s">
        <v>562</v>
      </c>
      <c r="I1990" s="879">
        <f>VLOOKUP(H1985,'CNKT '!$C$97:$Z$162,8,0)</f>
        <v>129.50122204440896</v>
      </c>
      <c r="J1990" s="825">
        <f>IF(I1986="A",6.1,IF(I1986="B",5.8,IF(I1986="C",5.5,IF(I1986="C.",5.5,IF(I1986="D",5.2)))))*$B$2</f>
        <v>3675.2650000000003</v>
      </c>
      <c r="K1990" s="823">
        <f t="shared" si="232"/>
        <v>475951.30883704475</v>
      </c>
      <c r="L1990" s="835"/>
      <c r="M1990" s="831"/>
    </row>
    <row r="1991" spans="1:13" s="31" customFormat="1" ht="17.25" customHeight="1">
      <c r="A1991" s="821" t="s">
        <v>497</v>
      </c>
      <c r="B1991" s="980" t="s">
        <v>563</v>
      </c>
      <c r="C1991" s="879">
        <f>VLOOKUP(B1985,'CNKT '!$C$97:$Z$162,13,0)</f>
        <v>0</v>
      </c>
      <c r="D1991" s="826">
        <f>92.2*$B$2</f>
        <v>61610.806000000004</v>
      </c>
      <c r="E1991" s="823">
        <f t="shared" si="231"/>
        <v>0</v>
      </c>
      <c r="F1991" s="882"/>
      <c r="G1991" s="821" t="s">
        <v>497</v>
      </c>
      <c r="H1991" s="980" t="s">
        <v>563</v>
      </c>
      <c r="I1991" s="879">
        <f>VLOOKUP(H1985,'CNKT '!$C$97:$Z$162,13,0)</f>
        <v>0</v>
      </c>
      <c r="J1991" s="826">
        <f>92.2*$B$2</f>
        <v>61610.806000000004</v>
      </c>
      <c r="K1991" s="823">
        <f t="shared" si="232"/>
        <v>0</v>
      </c>
      <c r="L1991" s="835"/>
      <c r="M1991" s="831"/>
    </row>
    <row r="1992" spans="1:13" s="31" customFormat="1" ht="17.25" customHeight="1">
      <c r="A1992" s="821" t="s">
        <v>448</v>
      </c>
      <c r="B1992" s="980" t="s">
        <v>500</v>
      </c>
      <c r="C1992" s="879">
        <f>VLOOKUP(B1985,'CNKT '!$C$97:$Z$162,14,0)</f>
        <v>0</v>
      </c>
      <c r="D1992" s="825">
        <f>153.6*$B$2</f>
        <v>102640.128</v>
      </c>
      <c r="E1992" s="823">
        <f t="shared" si="231"/>
        <v>0</v>
      </c>
      <c r="F1992" s="882"/>
      <c r="G1992" s="821" t="s">
        <v>448</v>
      </c>
      <c r="H1992" s="980" t="s">
        <v>500</v>
      </c>
      <c r="I1992" s="879">
        <f>VLOOKUP(H1985,'CNKT '!$C$97:$Z$162,14,0)</f>
        <v>0</v>
      </c>
      <c r="J1992" s="825">
        <f>153.6*$B$2</f>
        <v>102640.128</v>
      </c>
      <c r="K1992" s="823">
        <f t="shared" si="232"/>
        <v>0</v>
      </c>
      <c r="L1992" s="835"/>
      <c r="M1992" s="831"/>
    </row>
    <row r="1993" spans="1:13" s="31" customFormat="1" ht="17.25" customHeight="1">
      <c r="A1993" s="821" t="s">
        <v>455</v>
      </c>
      <c r="B1993" s="980" t="s">
        <v>501</v>
      </c>
      <c r="C1993" s="879">
        <f>VLOOKUP(B1985,'CNKT '!$C$98:$Z$162,18,0)</f>
        <v>0</v>
      </c>
      <c r="D1993" s="825">
        <v>10000</v>
      </c>
      <c r="E1993" s="823">
        <f>C1993*D1993</f>
        <v>0</v>
      </c>
      <c r="F1993" s="882"/>
      <c r="G1993" s="821" t="s">
        <v>455</v>
      </c>
      <c r="H1993" s="980" t="s">
        <v>501</v>
      </c>
      <c r="I1993" s="879">
        <f>VLOOKUP(H1985,'CNKT '!$C$98:$Z$162,18,0)</f>
        <v>0</v>
      </c>
      <c r="J1993" s="825">
        <v>10000</v>
      </c>
      <c r="K1993" s="823">
        <f>I1993*J1993</f>
        <v>0</v>
      </c>
      <c r="L1993" s="835"/>
      <c r="M1993" s="831"/>
    </row>
    <row r="1994" spans="1:13" s="31" customFormat="1" ht="17.25" customHeight="1">
      <c r="A1994" s="821" t="s">
        <v>455</v>
      </c>
      <c r="B1994" s="980" t="s">
        <v>501</v>
      </c>
      <c r="C1994" s="879">
        <f>VLOOKUP(B1985,'CNKT '!$C$98:$Z$162,19,0)</f>
        <v>0</v>
      </c>
      <c r="D1994" s="825">
        <v>20000</v>
      </c>
      <c r="E1994" s="823">
        <f>C1994*D1994</f>
        <v>0</v>
      </c>
      <c r="F1994" s="882"/>
      <c r="G1994" s="821" t="s">
        <v>455</v>
      </c>
      <c r="H1994" s="980" t="s">
        <v>501</v>
      </c>
      <c r="I1994" s="879">
        <f>VLOOKUP(H1985,'CNKT '!$C$98:$Z$162,19,0)</f>
        <v>0</v>
      </c>
      <c r="J1994" s="825">
        <v>20000</v>
      </c>
      <c r="K1994" s="823">
        <f>I1994*J1994</f>
        <v>0</v>
      </c>
      <c r="L1994" s="835"/>
      <c r="M1994" s="831"/>
    </row>
    <row r="1995" spans="1:13" s="31" customFormat="1" ht="17.25" customHeight="1">
      <c r="A1995" s="821" t="s">
        <v>517</v>
      </c>
      <c r="B1995" s="980" t="s">
        <v>519</v>
      </c>
      <c r="C1995" s="879"/>
      <c r="D1995" s="825"/>
      <c r="E1995" s="823"/>
      <c r="F1995" s="882"/>
      <c r="G1995" s="821" t="s">
        <v>517</v>
      </c>
      <c r="H1995" s="980" t="s">
        <v>519</v>
      </c>
      <c r="I1995" s="879"/>
      <c r="J1995" s="825"/>
      <c r="K1995" s="823"/>
      <c r="L1995" s="835"/>
      <c r="M1995" s="831"/>
    </row>
    <row r="1996" spans="1:13" s="31" customFormat="1" ht="17.25" customHeight="1">
      <c r="A1996" s="827" t="s">
        <v>81</v>
      </c>
      <c r="B1996" s="981" t="s">
        <v>564</v>
      </c>
      <c r="C1996" s="828"/>
      <c r="D1996" s="829"/>
      <c r="E1996" s="828"/>
      <c r="F1996" s="882"/>
      <c r="G1996" s="827" t="s">
        <v>81</v>
      </c>
      <c r="H1996" s="981" t="s">
        <v>564</v>
      </c>
      <c r="I1996" s="828"/>
      <c r="J1996" s="829"/>
      <c r="K1996" s="828"/>
      <c r="L1996" s="835"/>
      <c r="M1996" s="831"/>
    </row>
    <row r="1997" spans="1:13" s="31" customFormat="1" ht="17.25" customHeight="1">
      <c r="A1997" s="830" t="s">
        <v>82</v>
      </c>
      <c r="B1997" s="982" t="s">
        <v>565</v>
      </c>
      <c r="C1997" s="828"/>
      <c r="D1997" s="828"/>
      <c r="E1997" s="828"/>
      <c r="F1997" s="882"/>
      <c r="G1997" s="830" t="s">
        <v>82</v>
      </c>
      <c r="H1997" s="982" t="s">
        <v>565</v>
      </c>
      <c r="I1997" s="828"/>
      <c r="J1997" s="828"/>
      <c r="K1997" s="828"/>
      <c r="L1997" s="835"/>
      <c r="M1997" s="831"/>
    </row>
    <row r="1998" spans="1:13" s="31" customFormat="1" ht="17.25" customHeight="1">
      <c r="A1998" s="830" t="s">
        <v>83</v>
      </c>
      <c r="B1998" s="983" t="s">
        <v>566</v>
      </c>
      <c r="C1998" s="828"/>
      <c r="D1998" s="828"/>
      <c r="E1998" s="823">
        <f>SUM(E1997)</f>
        <v>0</v>
      </c>
      <c r="F1998" s="882"/>
      <c r="G1998" s="830" t="s">
        <v>83</v>
      </c>
      <c r="H1998" s="983" t="s">
        <v>566</v>
      </c>
      <c r="I1998" s="828"/>
      <c r="J1998" s="828"/>
      <c r="K1998" s="823">
        <f>SUM(K1997)</f>
        <v>0</v>
      </c>
      <c r="L1998" s="835"/>
      <c r="M1998" s="831"/>
    </row>
    <row r="1999" spans="1:13" s="31" customFormat="1" ht="17.25" customHeight="1">
      <c r="A1999" s="832" t="s">
        <v>84</v>
      </c>
      <c r="B1999" s="984" t="s">
        <v>438</v>
      </c>
      <c r="C1999" s="833"/>
      <c r="D1999" s="833"/>
      <c r="E1999" s="833">
        <f>(E1987+E1988+E1989+E1990+E1991+E1992+E1993+E1994+E1995)-E1998</f>
        <v>2275538.621906403</v>
      </c>
      <c r="F1999" s="882"/>
      <c r="G1999" s="832" t="s">
        <v>84</v>
      </c>
      <c r="H1999" s="984" t="s">
        <v>438</v>
      </c>
      <c r="I1999" s="833"/>
      <c r="J1999" s="833"/>
      <c r="K1999" s="833">
        <f>(K1987+K1988+K1989+K1990+K1991+K1992+K1993+K1994+K1995)-K1998</f>
        <v>917584.5158370448</v>
      </c>
      <c r="L1999" s="835">
        <f>E1999+K1999</f>
        <v>3193123.1377434479</v>
      </c>
      <c r="M1999" s="831"/>
    </row>
    <row r="2000" spans="1:13" s="31" customFormat="1" ht="17.25" customHeight="1">
      <c r="A2000" s="895"/>
      <c r="B2000" s="895"/>
      <c r="C2000" s="895"/>
      <c r="D2000" s="895"/>
      <c r="E2000" s="895"/>
      <c r="F2000" s="895"/>
      <c r="G2000" s="895"/>
      <c r="H2000" s="895"/>
      <c r="I2000" s="895"/>
      <c r="J2000" s="895"/>
      <c r="K2000" s="895"/>
      <c r="L2000" s="835"/>
      <c r="M2000" s="831"/>
    </row>
    <row r="2001" spans="1:13" s="31" customFormat="1" ht="17.25" customHeight="1">
      <c r="A2001" s="891" t="str">
        <f>A1984</f>
        <v>LƯƠNG THÁNG 01/2025</v>
      </c>
      <c r="B2001" s="895"/>
      <c r="C2001" s="895"/>
      <c r="D2001" s="895"/>
      <c r="E2001" s="904">
        <f>VLOOKUP(B2002,'CNKT '!$C$98:$AC$162,26,0)</f>
        <v>0</v>
      </c>
      <c r="F2001" s="882"/>
      <c r="G2001" s="891" t="str">
        <f>A2001</f>
        <v>LƯƠNG THÁNG 01/2025</v>
      </c>
      <c r="H2001" s="895"/>
      <c r="I2001" s="895"/>
      <c r="J2001" s="898"/>
      <c r="K2001" s="904">
        <f>VLOOKUP(H2002,'CNKT '!$C$98:$AC$162,26,0)</f>
        <v>0</v>
      </c>
      <c r="L2001" s="835"/>
      <c r="M2001" s="831"/>
    </row>
    <row r="2002" spans="1:13" s="31" customFormat="1" ht="17.25" customHeight="1">
      <c r="A2002" s="837" t="s">
        <v>17</v>
      </c>
      <c r="B2002" s="976" t="str">
        <f>'CNKT '!C158</f>
        <v>Nang On Xi</v>
      </c>
      <c r="C2002" s="822"/>
      <c r="D2002" s="976" t="s">
        <v>398</v>
      </c>
      <c r="E2002" s="976" t="s">
        <v>20</v>
      </c>
      <c r="F2002" s="882"/>
      <c r="G2002" s="837" t="s">
        <v>17</v>
      </c>
      <c r="H2002" s="976" t="str">
        <f>'CNKT '!C159</f>
        <v>Thảo Túc</v>
      </c>
      <c r="I2002" s="822"/>
      <c r="J2002" s="976" t="s">
        <v>398</v>
      </c>
      <c r="K2002" s="976" t="s">
        <v>20</v>
      </c>
      <c r="L2002" s="835"/>
      <c r="M2002" s="831"/>
    </row>
    <row r="2003" spans="1:13" s="31" customFormat="1" ht="17.25" customHeight="1">
      <c r="A2003" s="821" t="s">
        <v>399</v>
      </c>
      <c r="B2003" s="978" t="s">
        <v>559</v>
      </c>
      <c r="C2003" s="822">
        <f>VLOOKUP(B2002,'BTH mủ tạp'!$C$98:$AL$160,36,0)</f>
        <v>0</v>
      </c>
      <c r="D2003" s="823"/>
      <c r="E2003" s="823"/>
      <c r="F2003" s="882"/>
      <c r="G2003" s="821" t="s">
        <v>399</v>
      </c>
      <c r="H2003" s="978" t="s">
        <v>559</v>
      </c>
      <c r="I2003" s="822">
        <f>VLOOKUP(H2002,'BTH mủ tạp'!$C$98:$AL$160,36,0)</f>
        <v>0</v>
      </c>
      <c r="J2003" s="823"/>
      <c r="K2003" s="823"/>
      <c r="L2003" s="835"/>
      <c r="M2003" s="831"/>
    </row>
    <row r="2004" spans="1:13" s="31" customFormat="1" ht="17.25" customHeight="1">
      <c r="A2004" s="821" t="s">
        <v>79</v>
      </c>
      <c r="B2004" s="979" t="s">
        <v>432</v>
      </c>
      <c r="C2004" s="824">
        <f>VLOOKUP(B2002,'CNKT '!$C$97:$Z$162,3,0)</f>
        <v>0</v>
      </c>
      <c r="D2004" s="825">
        <v>25000</v>
      </c>
      <c r="E2004" s="823">
        <f t="shared" ref="E2004:E2009" si="233">C2004*D2004</f>
        <v>0</v>
      </c>
      <c r="F2004" s="882"/>
      <c r="G2004" s="821" t="s">
        <v>79</v>
      </c>
      <c r="H2004" s="979" t="s">
        <v>432</v>
      </c>
      <c r="I2004" s="824">
        <f>VLOOKUP(H2002,'CNKT '!$C$97:$Z$162,3,0)</f>
        <v>0</v>
      </c>
      <c r="J2004" s="825">
        <v>25000</v>
      </c>
      <c r="K2004" s="823">
        <f t="shared" ref="K2004:K2009" si="234">I2004*J2004</f>
        <v>0</v>
      </c>
      <c r="L2004" s="835"/>
      <c r="M2004" s="831"/>
    </row>
    <row r="2005" spans="1:13" s="31" customFormat="1" ht="17.25" customHeight="1">
      <c r="A2005" s="821" t="s">
        <v>310</v>
      </c>
      <c r="B2005" s="980" t="s">
        <v>560</v>
      </c>
      <c r="C2005" s="879">
        <f>VLOOKUP(B2002,'CNKT '!$C$97:$Z$162,11,0)</f>
        <v>0</v>
      </c>
      <c r="D2005" s="826">
        <f>46.1*$B$2</f>
        <v>30805.403000000002</v>
      </c>
      <c r="E2005" s="823">
        <f t="shared" si="233"/>
        <v>0</v>
      </c>
      <c r="F2005" s="882"/>
      <c r="G2005" s="821" t="s">
        <v>310</v>
      </c>
      <c r="H2005" s="980" t="s">
        <v>560</v>
      </c>
      <c r="I2005" s="879">
        <f>VLOOKUP(H2002,'CNKT '!$C$97:$Z$162,11,0)</f>
        <v>0</v>
      </c>
      <c r="J2005" s="826">
        <f>46.1*$B$2</f>
        <v>30805.403000000002</v>
      </c>
      <c r="K2005" s="823">
        <f t="shared" si="234"/>
        <v>0</v>
      </c>
      <c r="L2005" s="835"/>
      <c r="M2005" s="831"/>
    </row>
    <row r="2006" spans="1:13" s="31" customFormat="1" ht="17.25" customHeight="1">
      <c r="A2006" s="821" t="s">
        <v>401</v>
      </c>
      <c r="B2006" s="980" t="s">
        <v>561</v>
      </c>
      <c r="C2006" s="879">
        <f>VLOOKUP(B2002,'CNKT '!$C$97:$Z$162,12,0)</f>
        <v>0</v>
      </c>
      <c r="D2006" s="825">
        <f>76.9*$B$2</f>
        <v>51386.887000000002</v>
      </c>
      <c r="E2006" s="823">
        <f t="shared" si="233"/>
        <v>0</v>
      </c>
      <c r="F2006" s="882"/>
      <c r="G2006" s="821" t="s">
        <v>401</v>
      </c>
      <c r="H2006" s="980" t="s">
        <v>561</v>
      </c>
      <c r="I2006" s="879">
        <f>VLOOKUP(H2002,'CNKT '!$C$97:$Z$162,12,0)</f>
        <v>0</v>
      </c>
      <c r="J2006" s="825">
        <f>76.9*$B$2</f>
        <v>51386.887000000002</v>
      </c>
      <c r="K2006" s="823">
        <f t="shared" si="234"/>
        <v>0</v>
      </c>
      <c r="L2006" s="835"/>
      <c r="M2006" s="831"/>
    </row>
    <row r="2007" spans="1:13" s="31" customFormat="1" ht="17.25" customHeight="1">
      <c r="A2007" s="821" t="s">
        <v>80</v>
      </c>
      <c r="B2007" s="980" t="s">
        <v>562</v>
      </c>
      <c r="C2007" s="879">
        <f>VLOOKUP(B2002,'CNKT '!$C$97:$Z$162,8,0)</f>
        <v>0</v>
      </c>
      <c r="D2007" s="825">
        <f>IF(C2003="A",6.1,IF(C2003="B",5.8,IF(C2003="C",5.5,IF(C2003="C.",5.5,IF(C2003="D",5.2)))))*$B$2</f>
        <v>0</v>
      </c>
      <c r="E2007" s="823">
        <f t="shared" si="233"/>
        <v>0</v>
      </c>
      <c r="F2007" s="882"/>
      <c r="G2007" s="821" t="s">
        <v>80</v>
      </c>
      <c r="H2007" s="980" t="s">
        <v>562</v>
      </c>
      <c r="I2007" s="879">
        <f>VLOOKUP(H2002,'CNKT '!$C$97:$Z$162,8,0)</f>
        <v>0</v>
      </c>
      <c r="J2007" s="825">
        <f>IF(I2003="A",6.1,IF(I2003="B",5.8,IF(I2003="C",5.5,IF(I2003="C.",5.5,IF(I2003="D",5.2)))))*$B$2</f>
        <v>0</v>
      </c>
      <c r="K2007" s="823">
        <f t="shared" si="234"/>
        <v>0</v>
      </c>
      <c r="L2007" s="835"/>
      <c r="M2007" s="831"/>
    </row>
    <row r="2008" spans="1:13" s="31" customFormat="1" ht="17.25" customHeight="1">
      <c r="A2008" s="821" t="s">
        <v>497</v>
      </c>
      <c r="B2008" s="980" t="s">
        <v>563</v>
      </c>
      <c r="C2008" s="879">
        <f>VLOOKUP(B2002,'CNKT '!$C$97:$Z$162,13,0)</f>
        <v>0</v>
      </c>
      <c r="D2008" s="826">
        <f>92.2*$B$2</f>
        <v>61610.806000000004</v>
      </c>
      <c r="E2008" s="823">
        <f t="shared" si="233"/>
        <v>0</v>
      </c>
      <c r="F2008" s="882"/>
      <c r="G2008" s="821" t="s">
        <v>497</v>
      </c>
      <c r="H2008" s="980" t="s">
        <v>563</v>
      </c>
      <c r="I2008" s="879">
        <f>VLOOKUP(H2002,'CNKT '!$C$97:$Z$162,13,0)</f>
        <v>0</v>
      </c>
      <c r="J2008" s="826">
        <f>92.2*$B$2</f>
        <v>61610.806000000004</v>
      </c>
      <c r="K2008" s="823">
        <f t="shared" si="234"/>
        <v>0</v>
      </c>
      <c r="L2008" s="835"/>
      <c r="M2008" s="831"/>
    </row>
    <row r="2009" spans="1:13" s="31" customFormat="1" ht="17.25" customHeight="1">
      <c r="A2009" s="821" t="s">
        <v>448</v>
      </c>
      <c r="B2009" s="980" t="s">
        <v>500</v>
      </c>
      <c r="C2009" s="879">
        <f>VLOOKUP(B2002,'CNKT '!$C$97:$Z$162,14,0)</f>
        <v>0</v>
      </c>
      <c r="D2009" s="825">
        <f>153.6*$B$2</f>
        <v>102640.128</v>
      </c>
      <c r="E2009" s="823">
        <f t="shared" si="233"/>
        <v>0</v>
      </c>
      <c r="F2009" s="882"/>
      <c r="G2009" s="821" t="s">
        <v>448</v>
      </c>
      <c r="H2009" s="980" t="s">
        <v>500</v>
      </c>
      <c r="I2009" s="879">
        <f>VLOOKUP(H2002,'CNKT '!$C$97:$Z$162,14,0)</f>
        <v>0</v>
      </c>
      <c r="J2009" s="825">
        <f>153.6*$B$2</f>
        <v>102640.128</v>
      </c>
      <c r="K2009" s="823">
        <f t="shared" si="234"/>
        <v>0</v>
      </c>
      <c r="L2009" s="835"/>
      <c r="M2009" s="831"/>
    </row>
    <row r="2010" spans="1:13" s="31" customFormat="1" ht="17.25" customHeight="1">
      <c r="A2010" s="821" t="s">
        <v>455</v>
      </c>
      <c r="B2010" s="980" t="s">
        <v>501</v>
      </c>
      <c r="C2010" s="879">
        <f>VLOOKUP(B2002,'CNKT '!$C$98:$Z$162,18,0)</f>
        <v>0</v>
      </c>
      <c r="D2010" s="825">
        <v>10000</v>
      </c>
      <c r="E2010" s="823">
        <f>C2010*D2010</f>
        <v>0</v>
      </c>
      <c r="F2010" s="882"/>
      <c r="G2010" s="821" t="s">
        <v>455</v>
      </c>
      <c r="H2010" s="980" t="s">
        <v>501</v>
      </c>
      <c r="I2010" s="879">
        <f>VLOOKUP(H2002,'CNKT '!$C$98:$Z$162,18,0)</f>
        <v>0</v>
      </c>
      <c r="J2010" s="825">
        <v>10000</v>
      </c>
      <c r="K2010" s="823">
        <f>I2010*J2010</f>
        <v>0</v>
      </c>
      <c r="L2010" s="835"/>
      <c r="M2010" s="831"/>
    </row>
    <row r="2011" spans="1:13" s="31" customFormat="1" ht="17.25" customHeight="1">
      <c r="A2011" s="821" t="s">
        <v>455</v>
      </c>
      <c r="B2011" s="980" t="s">
        <v>501</v>
      </c>
      <c r="C2011" s="879">
        <f>VLOOKUP(B2002,'CNKT '!$C$98:$Z$162,19,0)</f>
        <v>0</v>
      </c>
      <c r="D2011" s="825">
        <v>20000</v>
      </c>
      <c r="E2011" s="823">
        <f>C2011*D2011</f>
        <v>0</v>
      </c>
      <c r="F2011" s="882"/>
      <c r="G2011" s="821" t="s">
        <v>455</v>
      </c>
      <c r="H2011" s="980" t="s">
        <v>501</v>
      </c>
      <c r="I2011" s="879">
        <f>VLOOKUP(H2002,'CNKT '!$C$98:$Z$162,19,0)</f>
        <v>0</v>
      </c>
      <c r="J2011" s="825">
        <v>20000</v>
      </c>
      <c r="K2011" s="823">
        <f>I2011*J2011</f>
        <v>0</v>
      </c>
      <c r="L2011" s="835"/>
      <c r="M2011" s="831"/>
    </row>
    <row r="2012" spans="1:13" s="31" customFormat="1" ht="17.25" customHeight="1">
      <c r="A2012" s="821" t="s">
        <v>517</v>
      </c>
      <c r="B2012" s="980" t="s">
        <v>519</v>
      </c>
      <c r="C2012" s="879"/>
      <c r="D2012" s="825"/>
      <c r="E2012" s="823"/>
      <c r="F2012" s="882"/>
      <c r="G2012" s="821" t="s">
        <v>517</v>
      </c>
      <c r="H2012" s="980" t="s">
        <v>519</v>
      </c>
      <c r="I2012" s="879"/>
      <c r="J2012" s="825"/>
      <c r="K2012" s="823"/>
      <c r="L2012" s="835"/>
      <c r="M2012" s="831"/>
    </row>
    <row r="2013" spans="1:13" s="31" customFormat="1" ht="17.25" customHeight="1">
      <c r="A2013" s="827" t="s">
        <v>81</v>
      </c>
      <c r="B2013" s="981" t="s">
        <v>564</v>
      </c>
      <c r="C2013" s="828"/>
      <c r="D2013" s="829"/>
      <c r="E2013" s="828"/>
      <c r="F2013" s="882"/>
      <c r="G2013" s="827" t="s">
        <v>81</v>
      </c>
      <c r="H2013" s="981" t="s">
        <v>564</v>
      </c>
      <c r="I2013" s="828"/>
      <c r="J2013" s="829"/>
      <c r="K2013" s="828"/>
      <c r="L2013" s="835"/>
      <c r="M2013" s="831"/>
    </row>
    <row r="2014" spans="1:13" s="31" customFormat="1" ht="17.25" customHeight="1">
      <c r="A2014" s="830" t="s">
        <v>82</v>
      </c>
      <c r="B2014" s="982" t="s">
        <v>565</v>
      </c>
      <c r="C2014" s="828"/>
      <c r="D2014" s="828"/>
      <c r="E2014" s="828"/>
      <c r="F2014" s="882"/>
      <c r="G2014" s="830" t="s">
        <v>82</v>
      </c>
      <c r="H2014" s="982" t="s">
        <v>565</v>
      </c>
      <c r="I2014" s="828"/>
      <c r="J2014" s="828"/>
      <c r="K2014" s="828"/>
      <c r="L2014" s="835"/>
      <c r="M2014" s="831"/>
    </row>
    <row r="2015" spans="1:13" s="31" customFormat="1" ht="17.25" customHeight="1">
      <c r="A2015" s="830" t="s">
        <v>83</v>
      </c>
      <c r="B2015" s="983" t="s">
        <v>566</v>
      </c>
      <c r="C2015" s="828"/>
      <c r="D2015" s="828"/>
      <c r="E2015" s="823">
        <f>SUM(E2014)</f>
        <v>0</v>
      </c>
      <c r="F2015" s="882"/>
      <c r="G2015" s="830" t="s">
        <v>83</v>
      </c>
      <c r="H2015" s="983" t="s">
        <v>566</v>
      </c>
      <c r="I2015" s="828"/>
      <c r="J2015" s="828"/>
      <c r="K2015" s="823">
        <f>SUM(K2014)</f>
        <v>0</v>
      </c>
      <c r="L2015" s="835"/>
      <c r="M2015" s="831"/>
    </row>
    <row r="2016" spans="1:13" s="31" customFormat="1" ht="17.25" customHeight="1">
      <c r="A2016" s="832" t="s">
        <v>84</v>
      </c>
      <c r="B2016" s="984" t="s">
        <v>438</v>
      </c>
      <c r="C2016" s="833"/>
      <c r="D2016" s="833"/>
      <c r="E2016" s="833">
        <f>(E2004+E2005+E2006+E2007+E2008+E2009+E2010+E2011+E2012)-E2015</f>
        <v>0</v>
      </c>
      <c r="F2016" s="882"/>
      <c r="G2016" s="832" t="s">
        <v>84</v>
      </c>
      <c r="H2016" s="984" t="s">
        <v>438</v>
      </c>
      <c r="I2016" s="833"/>
      <c r="J2016" s="833"/>
      <c r="K2016" s="833">
        <f>(K2004+K2005+K2006+K2007+K2008+K2009+K2010+K2011+K2012)-K2015</f>
        <v>0</v>
      </c>
      <c r="L2016" s="835">
        <f>E2016+K2016</f>
        <v>0</v>
      </c>
      <c r="M2016" s="831"/>
    </row>
    <row r="2017" spans="1:13" s="31" customFormat="1" ht="17.25" customHeight="1">
      <c r="A2017" s="895"/>
      <c r="B2017" s="895"/>
      <c r="C2017" s="895"/>
      <c r="D2017" s="895"/>
      <c r="E2017" s="895"/>
      <c r="F2017" s="895"/>
      <c r="G2017" s="895"/>
      <c r="H2017" s="895"/>
      <c r="I2017" s="895"/>
      <c r="J2017" s="895"/>
      <c r="K2017" s="895"/>
      <c r="L2017" s="835"/>
      <c r="M2017" s="831"/>
    </row>
    <row r="2018" spans="1:13" s="31" customFormat="1" ht="17.25" customHeight="1">
      <c r="A2018" s="891" t="str">
        <f>A2001</f>
        <v>LƯƠNG THÁNG 01/2025</v>
      </c>
      <c r="B2018" s="895"/>
      <c r="C2018" s="895"/>
      <c r="D2018" s="895"/>
      <c r="E2018" s="904">
        <f>VLOOKUP(B2019,'CNKT '!$C$98:$AC$162,26,0)</f>
        <v>0</v>
      </c>
      <c r="F2018" s="882"/>
      <c r="G2018" s="891" t="str">
        <f>A2018</f>
        <v>LƯƠNG THÁNG 01/2025</v>
      </c>
      <c r="H2018" s="895"/>
      <c r="I2018" s="895"/>
      <c r="J2018" s="898"/>
      <c r="K2018" s="904">
        <f>VLOOKUP(H2019,'CNKT '!$C$98:$AC$162,26,0)</f>
        <v>0</v>
      </c>
      <c r="L2018" s="835"/>
      <c r="M2018" s="831"/>
    </row>
    <row r="2019" spans="1:13" s="31" customFormat="1" ht="17.25" customHeight="1">
      <c r="A2019" s="837" t="s">
        <v>17</v>
      </c>
      <c r="B2019" s="976" t="str">
        <f>'CNKT '!C161</f>
        <v>Lun</v>
      </c>
      <c r="C2019" s="822"/>
      <c r="D2019" s="976" t="s">
        <v>398</v>
      </c>
      <c r="E2019" s="976" t="s">
        <v>20</v>
      </c>
      <c r="F2019" s="882"/>
      <c r="G2019" s="837" t="s">
        <v>17</v>
      </c>
      <c r="H2019" s="976" t="str">
        <f>'CNKT '!C162</f>
        <v>T. Tý</v>
      </c>
      <c r="I2019" s="822"/>
      <c r="J2019" s="976" t="s">
        <v>398</v>
      </c>
      <c r="K2019" s="976" t="s">
        <v>20</v>
      </c>
      <c r="L2019" s="835"/>
      <c r="M2019" s="831"/>
    </row>
    <row r="2020" spans="1:13" s="31" customFormat="1" ht="17.25" customHeight="1">
      <c r="A2020" s="821" t="s">
        <v>399</v>
      </c>
      <c r="B2020" s="978" t="s">
        <v>559</v>
      </c>
      <c r="C2020" s="822"/>
      <c r="D2020" s="823"/>
      <c r="E2020" s="823"/>
      <c r="F2020" s="882"/>
      <c r="G2020" s="821" t="s">
        <v>399</v>
      </c>
      <c r="H2020" s="978" t="s">
        <v>559</v>
      </c>
      <c r="I2020" s="822"/>
      <c r="J2020" s="823"/>
      <c r="K2020" s="823"/>
      <c r="L2020" s="835"/>
      <c r="M2020" s="831"/>
    </row>
    <row r="2021" spans="1:13" s="31" customFormat="1" ht="17.25" customHeight="1">
      <c r="A2021" s="821" t="s">
        <v>79</v>
      </c>
      <c r="B2021" s="979" t="s">
        <v>432</v>
      </c>
      <c r="C2021" s="824">
        <f>VLOOKUP(B2019,'CNKT '!$C$97:$Z$162,3,0)</f>
        <v>0</v>
      </c>
      <c r="D2021" s="825">
        <v>25000</v>
      </c>
      <c r="E2021" s="823">
        <f t="shared" ref="E2021:E2026" si="235">C2021*D2021</f>
        <v>0</v>
      </c>
      <c r="F2021" s="882"/>
      <c r="G2021" s="821" t="s">
        <v>79</v>
      </c>
      <c r="H2021" s="979" t="s">
        <v>432</v>
      </c>
      <c r="I2021" s="824">
        <f>VLOOKUP(H2019,'CNKT '!$C$97:$Z$162,3,0)</f>
        <v>0</v>
      </c>
      <c r="J2021" s="825">
        <v>25000</v>
      </c>
      <c r="K2021" s="823">
        <f t="shared" ref="K2021:K2026" si="236">I2021*J2021</f>
        <v>0</v>
      </c>
      <c r="L2021" s="835"/>
      <c r="M2021" s="831"/>
    </row>
    <row r="2022" spans="1:13" s="31" customFormat="1" ht="17.25" customHeight="1">
      <c r="A2022" s="821" t="s">
        <v>310</v>
      </c>
      <c r="B2022" s="980" t="s">
        <v>560</v>
      </c>
      <c r="C2022" s="879">
        <f>VLOOKUP(B2019,'CNKT '!$C$97:$Z$162,11,0)</f>
        <v>0</v>
      </c>
      <c r="D2022" s="826">
        <f>46.1*$B$2</f>
        <v>30805.403000000002</v>
      </c>
      <c r="E2022" s="823">
        <f t="shared" si="235"/>
        <v>0</v>
      </c>
      <c r="F2022" s="882"/>
      <c r="G2022" s="821" t="s">
        <v>310</v>
      </c>
      <c r="H2022" s="980" t="s">
        <v>560</v>
      </c>
      <c r="I2022" s="879">
        <f>VLOOKUP(H2019,'CNKT '!$C$97:$Z$162,11,0)</f>
        <v>0</v>
      </c>
      <c r="J2022" s="826">
        <f>46.1*$B$2</f>
        <v>30805.403000000002</v>
      </c>
      <c r="K2022" s="823">
        <f t="shared" si="236"/>
        <v>0</v>
      </c>
      <c r="L2022" s="835"/>
      <c r="M2022" s="831"/>
    </row>
    <row r="2023" spans="1:13" s="31" customFormat="1" ht="17.25" customHeight="1">
      <c r="A2023" s="821" t="s">
        <v>401</v>
      </c>
      <c r="B2023" s="980" t="s">
        <v>561</v>
      </c>
      <c r="C2023" s="879">
        <f>VLOOKUP(B2019,'CNKT '!$C$97:$Z$162,12,0)</f>
        <v>0</v>
      </c>
      <c r="D2023" s="825">
        <f>76.9*$B$2</f>
        <v>51386.887000000002</v>
      </c>
      <c r="E2023" s="823">
        <f t="shared" si="235"/>
        <v>0</v>
      </c>
      <c r="F2023" s="882"/>
      <c r="G2023" s="821" t="s">
        <v>401</v>
      </c>
      <c r="H2023" s="980" t="s">
        <v>561</v>
      </c>
      <c r="I2023" s="879">
        <f>VLOOKUP(H2019,'CNKT '!$C$97:$Z$162,12,0)</f>
        <v>0</v>
      </c>
      <c r="J2023" s="825">
        <f>76.9*$B$2</f>
        <v>51386.887000000002</v>
      </c>
      <c r="K2023" s="823">
        <f t="shared" si="236"/>
        <v>0</v>
      </c>
      <c r="L2023" s="835"/>
      <c r="M2023" s="831"/>
    </row>
    <row r="2024" spans="1:13" s="31" customFormat="1" ht="17.25" customHeight="1">
      <c r="A2024" s="821" t="s">
        <v>80</v>
      </c>
      <c r="B2024" s="980" t="s">
        <v>562</v>
      </c>
      <c r="C2024" s="879">
        <f>VLOOKUP(B2019,'CNKT '!$C$97:$Z$162,8,0)</f>
        <v>0</v>
      </c>
      <c r="D2024" s="825">
        <f>IF(C2020="A",6.1,IF(C2020="B",5.8,IF(C2020="C",5.5,IF(C2020="C.",5.5,IF(C2020="D",5.2)))))*$B$2</f>
        <v>0</v>
      </c>
      <c r="E2024" s="823">
        <f t="shared" si="235"/>
        <v>0</v>
      </c>
      <c r="F2024" s="882"/>
      <c r="G2024" s="821" t="s">
        <v>80</v>
      </c>
      <c r="H2024" s="980" t="s">
        <v>562</v>
      </c>
      <c r="I2024" s="879">
        <f>VLOOKUP(H2019,'CNKT '!$C$97:$Z$162,8,0)</f>
        <v>0</v>
      </c>
      <c r="J2024" s="825"/>
      <c r="K2024" s="823">
        <f t="shared" si="236"/>
        <v>0</v>
      </c>
      <c r="L2024" s="835"/>
      <c r="M2024" s="831"/>
    </row>
    <row r="2025" spans="1:13" s="31" customFormat="1" ht="17.25" customHeight="1">
      <c r="A2025" s="821" t="s">
        <v>497</v>
      </c>
      <c r="B2025" s="980" t="s">
        <v>563</v>
      </c>
      <c r="C2025" s="879">
        <f>VLOOKUP(B2019,'CNKT '!$C$97:$Z$162,13,0)</f>
        <v>0</v>
      </c>
      <c r="D2025" s="826">
        <f>92.2*$B$2</f>
        <v>61610.806000000004</v>
      </c>
      <c r="E2025" s="823">
        <f t="shared" si="235"/>
        <v>0</v>
      </c>
      <c r="F2025" s="882"/>
      <c r="G2025" s="821" t="s">
        <v>497</v>
      </c>
      <c r="H2025" s="980" t="s">
        <v>563</v>
      </c>
      <c r="I2025" s="879">
        <f>VLOOKUP(H2019,'CNKT '!$C$97:$Z$162,13,0)</f>
        <v>0</v>
      </c>
      <c r="J2025" s="826">
        <f>92.2*$B$2</f>
        <v>61610.806000000004</v>
      </c>
      <c r="K2025" s="823">
        <f t="shared" si="236"/>
        <v>0</v>
      </c>
      <c r="L2025" s="835"/>
      <c r="M2025" s="831"/>
    </row>
    <row r="2026" spans="1:13" s="31" customFormat="1" ht="17.25" customHeight="1">
      <c r="A2026" s="821" t="s">
        <v>448</v>
      </c>
      <c r="B2026" s="980" t="s">
        <v>500</v>
      </c>
      <c r="C2026" s="879">
        <f>VLOOKUP(B2019,'CNKT '!$C$97:$Z$162,14,0)</f>
        <v>0</v>
      </c>
      <c r="D2026" s="825">
        <f>153.6*$B$2</f>
        <v>102640.128</v>
      </c>
      <c r="E2026" s="823">
        <f t="shared" si="235"/>
        <v>0</v>
      </c>
      <c r="F2026" s="882"/>
      <c r="G2026" s="821" t="s">
        <v>448</v>
      </c>
      <c r="H2026" s="980" t="s">
        <v>500</v>
      </c>
      <c r="I2026" s="879">
        <f>VLOOKUP(H2019,'CNKT '!$C$97:$Z$162,14,0)</f>
        <v>0</v>
      </c>
      <c r="J2026" s="825">
        <f>153.6*$B$2</f>
        <v>102640.128</v>
      </c>
      <c r="K2026" s="823">
        <f t="shared" si="236"/>
        <v>0</v>
      </c>
      <c r="L2026" s="835"/>
      <c r="M2026" s="831"/>
    </row>
    <row r="2027" spans="1:13" s="31" customFormat="1" ht="17.25" customHeight="1">
      <c r="A2027" s="821" t="s">
        <v>455</v>
      </c>
      <c r="B2027" s="980" t="s">
        <v>501</v>
      </c>
      <c r="C2027" s="879">
        <f>VLOOKUP(B2019,'CNKT '!$C$98:$Z$162,18,0)</f>
        <v>0</v>
      </c>
      <c r="D2027" s="825">
        <v>10000</v>
      </c>
      <c r="E2027" s="823">
        <f>C2027*D2027</f>
        <v>0</v>
      </c>
      <c r="F2027" s="882"/>
      <c r="G2027" s="821" t="s">
        <v>455</v>
      </c>
      <c r="H2027" s="980" t="s">
        <v>501</v>
      </c>
      <c r="I2027" s="879">
        <f>VLOOKUP(H2019,'CNKT '!$C$98:$Z$162,18,0)</f>
        <v>0</v>
      </c>
      <c r="J2027" s="825">
        <v>10000</v>
      </c>
      <c r="K2027" s="823">
        <f>I2027*J2027</f>
        <v>0</v>
      </c>
      <c r="L2027" s="835"/>
      <c r="M2027" s="831"/>
    </row>
    <row r="2028" spans="1:13" s="31" customFormat="1" ht="17.25" customHeight="1">
      <c r="A2028" s="821" t="s">
        <v>455</v>
      </c>
      <c r="B2028" s="980" t="s">
        <v>501</v>
      </c>
      <c r="C2028" s="879">
        <f>VLOOKUP(B2019,'CNKT '!$C$98:$Z$162,19,0)</f>
        <v>0</v>
      </c>
      <c r="D2028" s="825">
        <v>20000</v>
      </c>
      <c r="E2028" s="823">
        <f>C2028*D2028</f>
        <v>0</v>
      </c>
      <c r="F2028" s="882"/>
      <c r="G2028" s="821" t="s">
        <v>455</v>
      </c>
      <c r="H2028" s="980" t="s">
        <v>501</v>
      </c>
      <c r="I2028" s="879">
        <f>VLOOKUP(H2019,'CNKT '!$C$98:$Z$162,19,0)</f>
        <v>0</v>
      </c>
      <c r="J2028" s="825">
        <v>20000</v>
      </c>
      <c r="K2028" s="823">
        <f>I2028*J2028</f>
        <v>0</v>
      </c>
      <c r="L2028" s="835"/>
      <c r="M2028" s="831"/>
    </row>
    <row r="2029" spans="1:13" s="31" customFormat="1" ht="17.25" customHeight="1">
      <c r="A2029" s="821" t="s">
        <v>517</v>
      </c>
      <c r="B2029" s="980" t="s">
        <v>519</v>
      </c>
      <c r="C2029" s="879"/>
      <c r="D2029" s="825"/>
      <c r="E2029" s="823"/>
      <c r="F2029" s="882"/>
      <c r="G2029" s="821" t="s">
        <v>517</v>
      </c>
      <c r="H2029" s="980" t="s">
        <v>519</v>
      </c>
      <c r="I2029" s="879"/>
      <c r="J2029" s="825"/>
      <c r="K2029" s="823"/>
      <c r="L2029" s="835"/>
      <c r="M2029" s="831"/>
    </row>
    <row r="2030" spans="1:13" s="31" customFormat="1" ht="17.25" customHeight="1">
      <c r="A2030" s="827" t="s">
        <v>81</v>
      </c>
      <c r="B2030" s="981" t="s">
        <v>564</v>
      </c>
      <c r="C2030" s="828"/>
      <c r="D2030" s="829"/>
      <c r="E2030" s="828"/>
      <c r="F2030" s="882"/>
      <c r="G2030" s="827" t="s">
        <v>81</v>
      </c>
      <c r="H2030" s="981" t="s">
        <v>564</v>
      </c>
      <c r="I2030" s="828"/>
      <c r="J2030" s="829"/>
      <c r="K2030" s="828"/>
      <c r="L2030" s="835"/>
      <c r="M2030" s="831"/>
    </row>
    <row r="2031" spans="1:13" s="31" customFormat="1" ht="17.25" customHeight="1">
      <c r="A2031" s="830" t="s">
        <v>82</v>
      </c>
      <c r="B2031" s="982" t="s">
        <v>565</v>
      </c>
      <c r="C2031" s="828"/>
      <c r="D2031" s="828"/>
      <c r="E2031" s="828"/>
      <c r="F2031" s="882"/>
      <c r="G2031" s="830" t="s">
        <v>82</v>
      </c>
      <c r="H2031" s="982" t="s">
        <v>565</v>
      </c>
      <c r="I2031" s="828"/>
      <c r="J2031" s="828"/>
      <c r="K2031" s="828"/>
      <c r="L2031" s="835"/>
      <c r="M2031" s="831"/>
    </row>
    <row r="2032" spans="1:13" s="31" customFormat="1" ht="17.25" customHeight="1">
      <c r="A2032" s="830" t="s">
        <v>83</v>
      </c>
      <c r="B2032" s="983" t="s">
        <v>566</v>
      </c>
      <c r="C2032" s="828"/>
      <c r="D2032" s="828"/>
      <c r="E2032" s="823">
        <f>SUM(E2031)</f>
        <v>0</v>
      </c>
      <c r="F2032" s="882"/>
      <c r="G2032" s="830" t="s">
        <v>83</v>
      </c>
      <c r="H2032" s="983" t="s">
        <v>566</v>
      </c>
      <c r="I2032" s="828"/>
      <c r="J2032" s="828"/>
      <c r="K2032" s="823">
        <f>SUM(K2031)</f>
        <v>0</v>
      </c>
      <c r="L2032" s="835"/>
      <c r="M2032" s="831"/>
    </row>
    <row r="2033" spans="1:14" s="31" customFormat="1" ht="17.25" customHeight="1">
      <c r="A2033" s="832" t="s">
        <v>84</v>
      </c>
      <c r="B2033" s="984" t="s">
        <v>438</v>
      </c>
      <c r="C2033" s="833"/>
      <c r="D2033" s="833"/>
      <c r="E2033" s="833">
        <f>(E2021+E2022+E2023+E2024+E2025+E2026+E2027+E2028+E2029)-E2032</f>
        <v>0</v>
      </c>
      <c r="F2033" s="882"/>
      <c r="G2033" s="832" t="s">
        <v>84</v>
      </c>
      <c r="H2033" s="984" t="s">
        <v>438</v>
      </c>
      <c r="I2033" s="833"/>
      <c r="J2033" s="833"/>
      <c r="K2033" s="833">
        <f>(K2021+K2022+K2023+K2024+K2025+K2026+K2027+K2028+K2029)-K2032</f>
        <v>0</v>
      </c>
      <c r="L2033" s="835">
        <f>E2033+K2033</f>
        <v>0</v>
      </c>
      <c r="M2033" s="831"/>
    </row>
    <row r="2034" spans="1:14" s="31" customFormat="1" ht="222" customHeight="1">
      <c r="A2034" s="895"/>
      <c r="B2034" s="895"/>
      <c r="C2034" s="895"/>
      <c r="D2034" s="895"/>
      <c r="E2034" s="895"/>
      <c r="F2034" s="895"/>
      <c r="G2034" s="895"/>
      <c r="H2034" s="895"/>
      <c r="I2034" s="895"/>
      <c r="J2034" s="895"/>
      <c r="K2034" s="895"/>
      <c r="L2034" s="835"/>
      <c r="M2034" s="831"/>
    </row>
    <row r="2035" spans="1:14" s="31" customFormat="1" ht="17.25" customHeight="1">
      <c r="A2035" s="891" t="str">
        <f>A2018</f>
        <v>LƯƠNG THÁNG 01/2025</v>
      </c>
      <c r="B2035" s="895"/>
      <c r="C2035" s="895"/>
      <c r="D2035" s="895"/>
      <c r="E2035" s="904">
        <f>VLOOKUP(B2036,'CNKT '!$C$98:$AC$162,26,0)</f>
        <v>0</v>
      </c>
      <c r="F2035" s="882"/>
      <c r="G2035" s="891" t="str">
        <f>A2035</f>
        <v>LƯƠNG THÁNG 01/2025</v>
      </c>
      <c r="H2035" s="895"/>
      <c r="I2035" s="895"/>
      <c r="J2035" s="898"/>
      <c r="K2035" s="882"/>
      <c r="L2035" s="835"/>
      <c r="M2035" s="831"/>
    </row>
    <row r="2036" spans="1:14" s="31" customFormat="1" ht="17.25" customHeight="1">
      <c r="A2036" s="837" t="s">
        <v>17</v>
      </c>
      <c r="B2036" s="976" t="str">
        <f>'CNKT '!C160</f>
        <v>Mủ Xi Rum</v>
      </c>
      <c r="C2036" s="822"/>
      <c r="D2036" s="976" t="s">
        <v>398</v>
      </c>
      <c r="E2036" s="976" t="s">
        <v>20</v>
      </c>
      <c r="F2036" s="882"/>
      <c r="G2036" s="837" t="s">
        <v>17</v>
      </c>
      <c r="H2036" s="976" t="e">
        <f>'CNKT '!#REF!</f>
        <v>#REF!</v>
      </c>
      <c r="I2036" s="822"/>
      <c r="J2036" s="976" t="s">
        <v>398</v>
      </c>
      <c r="K2036" s="976" t="s">
        <v>20</v>
      </c>
      <c r="L2036" s="835"/>
      <c r="M2036" s="831"/>
    </row>
    <row r="2037" spans="1:14" s="31" customFormat="1" ht="17.25" customHeight="1">
      <c r="A2037" s="821" t="s">
        <v>399</v>
      </c>
      <c r="B2037" s="978" t="s">
        <v>559</v>
      </c>
      <c r="C2037" s="822" t="s">
        <v>40</v>
      </c>
      <c r="D2037" s="823"/>
      <c r="E2037" s="823"/>
      <c r="F2037" s="882"/>
      <c r="G2037" s="821" t="s">
        <v>399</v>
      </c>
      <c r="H2037" s="978" t="s">
        <v>559</v>
      </c>
      <c r="I2037" s="822"/>
      <c r="J2037" s="823"/>
      <c r="K2037" s="823"/>
      <c r="L2037" s="835"/>
      <c r="M2037" s="831"/>
    </row>
    <row r="2038" spans="1:14" s="31" customFormat="1" ht="17.25" customHeight="1">
      <c r="A2038" s="821" t="s">
        <v>79</v>
      </c>
      <c r="B2038" s="979" t="s">
        <v>432</v>
      </c>
      <c r="C2038" s="824">
        <f>VLOOKUP(B2036,'CNKT '!$C$97:$Z$162,3,0)</f>
        <v>0</v>
      </c>
      <c r="D2038" s="825">
        <v>25000</v>
      </c>
      <c r="E2038" s="823">
        <f t="shared" ref="E2038:E2043" si="237">C2038*D2038</f>
        <v>0</v>
      </c>
      <c r="F2038" s="882"/>
      <c r="G2038" s="821" t="s">
        <v>79</v>
      </c>
      <c r="H2038" s="979" t="s">
        <v>432</v>
      </c>
      <c r="I2038" s="824" t="e">
        <f>VLOOKUP(H2036,'CNKT '!$C$97:$Z$162,3,0)</f>
        <v>#REF!</v>
      </c>
      <c r="J2038" s="825">
        <v>25000</v>
      </c>
      <c r="K2038" s="823" t="e">
        <f t="shared" ref="K2038:K2043" si="238">I2038*J2038</f>
        <v>#REF!</v>
      </c>
      <c r="L2038" s="835"/>
      <c r="M2038" s="831"/>
    </row>
    <row r="2039" spans="1:14" s="31" customFormat="1" ht="17.25" customHeight="1">
      <c r="A2039" s="821" t="s">
        <v>310</v>
      </c>
      <c r="B2039" s="980" t="s">
        <v>560</v>
      </c>
      <c r="C2039" s="879">
        <f>VLOOKUP(B2036,'CNKT '!$C$97:$Z$162,11,0)</f>
        <v>0</v>
      </c>
      <c r="D2039" s="826">
        <f>46.1*$B$2</f>
        <v>30805.403000000002</v>
      </c>
      <c r="E2039" s="823">
        <f t="shared" si="237"/>
        <v>0</v>
      </c>
      <c r="F2039" s="882"/>
      <c r="G2039" s="821" t="s">
        <v>310</v>
      </c>
      <c r="H2039" s="980" t="s">
        <v>560</v>
      </c>
      <c r="I2039" s="879" t="e">
        <f>VLOOKUP(H2036,'CNKT '!$C$97:$Z$162,11,0)</f>
        <v>#REF!</v>
      </c>
      <c r="J2039" s="826">
        <f>46.1*$B$2</f>
        <v>30805.403000000002</v>
      </c>
      <c r="K2039" s="823" t="e">
        <f t="shared" si="238"/>
        <v>#REF!</v>
      </c>
      <c r="L2039" s="835"/>
      <c r="M2039" s="831"/>
    </row>
    <row r="2040" spans="1:14" s="31" customFormat="1" ht="17.25" customHeight="1">
      <c r="A2040" s="821" t="s">
        <v>401</v>
      </c>
      <c r="B2040" s="980" t="s">
        <v>561</v>
      </c>
      <c r="C2040" s="879">
        <f>VLOOKUP(B2036,'CNKT '!$C$97:$Z$162,12,0)</f>
        <v>0</v>
      </c>
      <c r="D2040" s="825">
        <f>76.9*$B$2</f>
        <v>51386.887000000002</v>
      </c>
      <c r="E2040" s="823">
        <f t="shared" si="237"/>
        <v>0</v>
      </c>
      <c r="F2040" s="882"/>
      <c r="G2040" s="821" t="s">
        <v>401</v>
      </c>
      <c r="H2040" s="980" t="s">
        <v>561</v>
      </c>
      <c r="I2040" s="879" t="e">
        <f>VLOOKUP(H2036,'CNKT '!$C$97:$Z$162,13,0)</f>
        <v>#REF!</v>
      </c>
      <c r="J2040" s="825">
        <f>76.9*$B$2</f>
        <v>51386.887000000002</v>
      </c>
      <c r="K2040" s="823" t="e">
        <f t="shared" si="238"/>
        <v>#REF!</v>
      </c>
      <c r="L2040" s="835"/>
      <c r="M2040" s="831"/>
    </row>
    <row r="2041" spans="1:14" s="31" customFormat="1" ht="17.25" customHeight="1">
      <c r="A2041" s="821" t="s">
        <v>80</v>
      </c>
      <c r="B2041" s="980" t="s">
        <v>562</v>
      </c>
      <c r="C2041" s="879">
        <f>VLOOKUP(B2036,'CNKT '!$C$97:$Z$162,8,0)</f>
        <v>0</v>
      </c>
      <c r="D2041" s="825">
        <f>IF(C2037="A",6.1,IF(C2037="B",5.8,IF(C2037="C",5.5,IF(C2037="C.",5.5,IF(C2037="D",5.2)))))*$B$2</f>
        <v>4076.203</v>
      </c>
      <c r="E2041" s="823">
        <f t="shared" si="237"/>
        <v>0</v>
      </c>
      <c r="F2041" s="882"/>
      <c r="G2041" s="821" t="s">
        <v>80</v>
      </c>
      <c r="H2041" s="980" t="s">
        <v>562</v>
      </c>
      <c r="I2041" s="879" t="e">
        <f>VLOOKUP(H2036,'CNKT '!$C$97:$Z$162,8,0)</f>
        <v>#REF!</v>
      </c>
      <c r="J2041" s="825">
        <f>IF(I2037="A",6.1,IF(I2037="B",5.8,IF(I2037="C",5.5,IF(I2037="C.",5.5,IF(I2037="D",5.2)))))*$B$2</f>
        <v>0</v>
      </c>
      <c r="K2041" s="823" t="e">
        <f t="shared" si="238"/>
        <v>#REF!</v>
      </c>
      <c r="L2041" s="835"/>
      <c r="M2041" s="831"/>
    </row>
    <row r="2042" spans="1:14" s="31" customFormat="1" ht="17.25" customHeight="1">
      <c r="A2042" s="821" t="s">
        <v>497</v>
      </c>
      <c r="B2042" s="980" t="s">
        <v>563</v>
      </c>
      <c r="C2042" s="879">
        <f>VLOOKUP(B2036,'CNKT '!$C$97:$Z$162,13,0)</f>
        <v>0</v>
      </c>
      <c r="D2042" s="826">
        <f>92.2*$B$2</f>
        <v>61610.806000000004</v>
      </c>
      <c r="E2042" s="823">
        <f t="shared" si="237"/>
        <v>0</v>
      </c>
      <c r="F2042" s="882"/>
      <c r="G2042" s="821" t="s">
        <v>497</v>
      </c>
      <c r="H2042" s="980" t="s">
        <v>563</v>
      </c>
      <c r="I2042" s="879" t="e">
        <f>VLOOKUP(H2036,'CNKT '!$C$97:$Z$162,12,0)</f>
        <v>#REF!</v>
      </c>
      <c r="J2042" s="826">
        <f>92.2*$B$2</f>
        <v>61610.806000000004</v>
      </c>
      <c r="K2042" s="823" t="e">
        <f t="shared" si="238"/>
        <v>#REF!</v>
      </c>
      <c r="L2042" s="835"/>
      <c r="M2042" s="831"/>
    </row>
    <row r="2043" spans="1:14" s="31" customFormat="1" ht="17.25" customHeight="1">
      <c r="A2043" s="821" t="s">
        <v>448</v>
      </c>
      <c r="B2043" s="980" t="s">
        <v>500</v>
      </c>
      <c r="C2043" s="879">
        <f>VLOOKUP(B2036,'CNKT '!$C$97:$Z$162,14,0)</f>
        <v>0</v>
      </c>
      <c r="D2043" s="825">
        <f>153.6*$B$2</f>
        <v>102640.128</v>
      </c>
      <c r="E2043" s="823">
        <f t="shared" si="237"/>
        <v>0</v>
      </c>
      <c r="F2043" s="882"/>
      <c r="G2043" s="821" t="s">
        <v>448</v>
      </c>
      <c r="H2043" s="980" t="s">
        <v>500</v>
      </c>
      <c r="I2043" s="879" t="e">
        <f>VLOOKUP(H2036,'CNKT '!$C$97:$Z$162,14,0)</f>
        <v>#REF!</v>
      </c>
      <c r="J2043" s="825">
        <f>153.6*$B$2</f>
        <v>102640.128</v>
      </c>
      <c r="K2043" s="823" t="e">
        <f t="shared" si="238"/>
        <v>#REF!</v>
      </c>
      <c r="L2043" s="835"/>
      <c r="M2043" s="831"/>
    </row>
    <row r="2044" spans="1:14" s="31" customFormat="1" ht="17.25" customHeight="1">
      <c r="A2044" s="821" t="s">
        <v>455</v>
      </c>
      <c r="B2044" s="980" t="s">
        <v>501</v>
      </c>
      <c r="C2044" s="879">
        <f>VLOOKUP(B2036,'CNKT '!$C$98:$Z$162,18,0)</f>
        <v>0</v>
      </c>
      <c r="D2044" s="825">
        <v>10000</v>
      </c>
      <c r="E2044" s="823">
        <f>C2044*D2044</f>
        <v>0</v>
      </c>
      <c r="F2044" s="882"/>
      <c r="G2044" s="821" t="s">
        <v>455</v>
      </c>
      <c r="H2044" s="980" t="s">
        <v>501</v>
      </c>
      <c r="I2044" s="879"/>
      <c r="J2044" s="825"/>
      <c r="K2044" s="823"/>
      <c r="L2044" s="835"/>
      <c r="M2044" s="831"/>
    </row>
    <row r="2045" spans="1:14" s="31" customFormat="1" ht="17.25" customHeight="1">
      <c r="A2045" s="821" t="s">
        <v>455</v>
      </c>
      <c r="B2045" s="980" t="s">
        <v>501</v>
      </c>
      <c r="C2045" s="879">
        <f>VLOOKUP(B2036,'CNKT '!$C$98:$Z$162,19,0)</f>
        <v>0</v>
      </c>
      <c r="D2045" s="825">
        <v>20000</v>
      </c>
      <c r="E2045" s="823">
        <f>C2045*D2045</f>
        <v>0</v>
      </c>
      <c r="F2045" s="882"/>
      <c r="G2045" s="821" t="s">
        <v>455</v>
      </c>
      <c r="H2045" s="980" t="s">
        <v>501</v>
      </c>
      <c r="I2045" s="879" t="e">
        <f>VLOOKUP(H2036,'CNKT '!$C$97:$Z$162,16,0)</f>
        <v>#REF!</v>
      </c>
      <c r="J2045" s="825">
        <v>25000</v>
      </c>
      <c r="K2045" s="823" t="e">
        <f>I2045*J2045</f>
        <v>#REF!</v>
      </c>
      <c r="L2045" s="835"/>
      <c r="M2045" s="831"/>
    </row>
    <row r="2046" spans="1:14" s="31" customFormat="1" ht="17.25" customHeight="1">
      <c r="A2046" s="821" t="s">
        <v>517</v>
      </c>
      <c r="B2046" s="980" t="s">
        <v>519</v>
      </c>
      <c r="C2046" s="879"/>
      <c r="D2046" s="825"/>
      <c r="E2046" s="823"/>
      <c r="F2046" s="882"/>
      <c r="G2046" s="821" t="s">
        <v>517</v>
      </c>
      <c r="H2046" s="980" t="s">
        <v>519</v>
      </c>
      <c r="I2046" s="879"/>
      <c r="J2046" s="825"/>
      <c r="K2046" s="823"/>
      <c r="L2046" s="835"/>
      <c r="M2046" s="831"/>
    </row>
    <row r="2047" spans="1:14" s="31" customFormat="1" ht="17.25" customHeight="1">
      <c r="A2047" s="827" t="s">
        <v>81</v>
      </c>
      <c r="B2047" s="981" t="s">
        <v>564</v>
      </c>
      <c r="C2047" s="828"/>
      <c r="D2047" s="829"/>
      <c r="E2047" s="828"/>
      <c r="F2047" s="882"/>
      <c r="G2047" s="827" t="s">
        <v>81</v>
      </c>
      <c r="H2047" s="981" t="s">
        <v>564</v>
      </c>
      <c r="I2047" s="828"/>
      <c r="J2047" s="829"/>
      <c r="K2047" s="828"/>
      <c r="L2047" s="835"/>
      <c r="M2047" s="857"/>
      <c r="N2047" s="857">
        <v>553761875</v>
      </c>
    </row>
    <row r="2048" spans="1:14" s="31" customFormat="1" ht="17.25" customHeight="1">
      <c r="A2048" s="830" t="s">
        <v>82</v>
      </c>
      <c r="B2048" s="982" t="s">
        <v>565</v>
      </c>
      <c r="C2048" s="828"/>
      <c r="D2048" s="828"/>
      <c r="E2048" s="828"/>
      <c r="F2048" s="882"/>
      <c r="G2048" s="830" t="s">
        <v>82</v>
      </c>
      <c r="H2048" s="982" t="s">
        <v>565</v>
      </c>
      <c r="I2048" s="828"/>
      <c r="J2048" s="828"/>
      <c r="K2048" s="828"/>
      <c r="L2048" s="835"/>
      <c r="M2048" s="857"/>
      <c r="N2048" s="857">
        <v>5600000</v>
      </c>
    </row>
    <row r="2049" spans="1:15" s="31" customFormat="1" ht="17.25" customHeight="1">
      <c r="A2049" s="830" t="s">
        <v>83</v>
      </c>
      <c r="B2049" s="983" t="s">
        <v>566</v>
      </c>
      <c r="C2049" s="828"/>
      <c r="D2049" s="828"/>
      <c r="E2049" s="823">
        <f>SUM(E2048)</f>
        <v>0</v>
      </c>
      <c r="F2049" s="882"/>
      <c r="G2049" s="830" t="s">
        <v>83</v>
      </c>
      <c r="H2049" s="983" t="s">
        <v>566</v>
      </c>
      <c r="I2049" s="828"/>
      <c r="J2049" s="828"/>
      <c r="K2049" s="823">
        <f>SUM(K2048)</f>
        <v>0</v>
      </c>
      <c r="L2049" s="835"/>
      <c r="M2049" s="857"/>
      <c r="N2049" s="857"/>
    </row>
    <row r="2050" spans="1:15" s="31" customFormat="1" ht="17.25" customHeight="1">
      <c r="A2050" s="832" t="s">
        <v>84</v>
      </c>
      <c r="B2050" s="984" t="s">
        <v>438</v>
      </c>
      <c r="C2050" s="833"/>
      <c r="D2050" s="833"/>
      <c r="E2050" s="833">
        <f>(E2038+E2039+E2040+E2041+E2042+E2043+E2044+E2045+E2046)-E2049</f>
        <v>0</v>
      </c>
      <c r="F2050" s="882"/>
      <c r="G2050" s="832" t="s">
        <v>84</v>
      </c>
      <c r="H2050" s="984" t="s">
        <v>438</v>
      </c>
      <c r="I2050" s="878"/>
      <c r="J2050" s="878"/>
      <c r="K2050" s="878" t="e">
        <f>(K2038+K2039+K2040+K2041)-K2049</f>
        <v>#REF!</v>
      </c>
      <c r="L2050" s="835">
        <f>E2050</f>
        <v>0</v>
      </c>
      <c r="M2050" s="857">
        <f>SUM(L1491:L2050)</f>
        <v>262082132.35884944</v>
      </c>
      <c r="N2050" s="857">
        <v>418349018</v>
      </c>
      <c r="O2050" s="867">
        <f>N2050-M2050</f>
        <v>156266885.64115056</v>
      </c>
    </row>
    <row r="2051" spans="1:15" s="31" customFormat="1" ht="17.25" customHeight="1">
      <c r="A2051" s="895"/>
      <c r="B2051" s="895"/>
      <c r="C2051" s="895"/>
      <c r="D2051" s="895"/>
      <c r="E2051" s="895"/>
      <c r="F2051" s="895"/>
      <c r="G2051" s="895"/>
      <c r="H2051" s="895"/>
      <c r="I2051" s="895"/>
      <c r="J2051" s="895"/>
      <c r="K2051" s="895"/>
      <c r="L2051" s="835"/>
      <c r="M2051" s="857"/>
      <c r="N2051" s="857"/>
    </row>
    <row r="2052" spans="1:15" s="31" customFormat="1" ht="17.25" customHeight="1">
      <c r="A2052" s="899" t="s">
        <v>123</v>
      </c>
      <c r="B2052" s="874"/>
      <c r="C2052" s="874"/>
      <c r="D2052" s="874"/>
      <c r="E2052" s="874"/>
      <c r="F2052" s="874"/>
      <c r="G2052" s="874"/>
      <c r="H2052" s="874"/>
      <c r="I2052" s="874"/>
      <c r="J2052" s="900"/>
      <c r="K2052" s="868"/>
      <c r="L2052" s="835"/>
      <c r="M2052" s="857">
        <f>M2047+M2048</f>
        <v>0</v>
      </c>
      <c r="N2052" s="857"/>
      <c r="O2052" s="831"/>
    </row>
    <row r="2053" spans="1:15" s="31" customFormat="1" ht="17.25" customHeight="1">
      <c r="A2053" s="891" t="str">
        <f>A2001</f>
        <v>LƯƠNG THÁNG 01/2025</v>
      </c>
      <c r="B2053" s="895"/>
      <c r="C2053" s="895"/>
      <c r="D2053" s="895"/>
      <c r="E2053" s="898" t="e">
        <f>VLOOKUP(B2054,'CNKT '!#REF!,26,0)</f>
        <v>#REF!</v>
      </c>
      <c r="F2053" s="882"/>
      <c r="G2053" s="891" t="str">
        <f>A2053</f>
        <v>LƯƠNG THÁNG 01/2025</v>
      </c>
      <c r="H2053" s="895"/>
      <c r="I2053" s="895"/>
      <c r="J2053" s="895"/>
      <c r="K2053" s="898" t="e">
        <f>VLOOKUP(H2054,'CNKT '!#REF!,26,0)</f>
        <v>#REF!</v>
      </c>
      <c r="L2053" s="818"/>
    </row>
    <row r="2054" spans="1:15" s="31" customFormat="1" ht="17.25" customHeight="1">
      <c r="A2054" s="837" t="s">
        <v>17</v>
      </c>
      <c r="B2054" s="976" t="e">
        <f>'CNKT '!#REF!</f>
        <v>#REF!</v>
      </c>
      <c r="C2054" s="822"/>
      <c r="D2054" s="976" t="s">
        <v>398</v>
      </c>
      <c r="E2054" s="976" t="s">
        <v>20</v>
      </c>
      <c r="F2054" s="882"/>
      <c r="G2054" s="837" t="s">
        <v>17</v>
      </c>
      <c r="H2054" s="976" t="e">
        <f>'CNKT '!#REF!</f>
        <v>#REF!</v>
      </c>
      <c r="I2054" s="822"/>
      <c r="J2054" s="976" t="s">
        <v>398</v>
      </c>
      <c r="K2054" s="976" t="s">
        <v>20</v>
      </c>
      <c r="L2054" s="818"/>
    </row>
    <row r="2055" spans="1:15" s="31" customFormat="1" ht="17.25" customHeight="1">
      <c r="A2055" s="821" t="s">
        <v>399</v>
      </c>
      <c r="B2055" s="978" t="s">
        <v>559</v>
      </c>
      <c r="C2055" s="822" t="e">
        <f>VLOOKUP(B2054,'BTH mủ tạp'!$C$161:$AL$161,36,0)</f>
        <v>#REF!</v>
      </c>
      <c r="D2055" s="823"/>
      <c r="E2055" s="823"/>
      <c r="F2055" s="882"/>
      <c r="G2055" s="821" t="s">
        <v>399</v>
      </c>
      <c r="H2055" s="978" t="s">
        <v>559</v>
      </c>
      <c r="I2055" s="822" t="e">
        <f>VLOOKUP(H2054,'BTH mủ tạp'!$C$161:$AL$161,36,0)</f>
        <v>#REF!</v>
      </c>
      <c r="J2055" s="823"/>
      <c r="K2055" s="823"/>
      <c r="L2055" s="818"/>
      <c r="M2055" s="831"/>
    </row>
    <row r="2056" spans="1:15" s="31" customFormat="1" ht="17.25" customHeight="1">
      <c r="A2056" s="821" t="s">
        <v>79</v>
      </c>
      <c r="B2056" s="979" t="s">
        <v>432</v>
      </c>
      <c r="C2056" s="824" t="e">
        <f>VLOOKUP(B2054,'CNKT '!#REF!,3,0)</f>
        <v>#REF!</v>
      </c>
      <c r="D2056" s="825">
        <v>25000</v>
      </c>
      <c r="E2056" s="823" t="e">
        <f t="shared" ref="E2056:E2061" si="239">C2056*D2056</f>
        <v>#REF!</v>
      </c>
      <c r="F2056" s="882"/>
      <c r="G2056" s="821" t="s">
        <v>79</v>
      </c>
      <c r="H2056" s="979" t="s">
        <v>432</v>
      </c>
      <c r="I2056" s="824" t="e">
        <f>VLOOKUP(H2054,'CNKT '!#REF!,3,0)</f>
        <v>#REF!</v>
      </c>
      <c r="J2056" s="825">
        <v>25000</v>
      </c>
      <c r="K2056" s="823" t="e">
        <f t="shared" ref="K2056:K2061" si="240">I2056*J2056</f>
        <v>#REF!</v>
      </c>
      <c r="L2056" s="818"/>
    </row>
    <row r="2057" spans="1:15" s="31" customFormat="1" ht="17.25" customHeight="1">
      <c r="A2057" s="821" t="s">
        <v>310</v>
      </c>
      <c r="B2057" s="980" t="s">
        <v>560</v>
      </c>
      <c r="C2057" s="879" t="e">
        <f>VLOOKUP(B2054,'CNKT '!#REF!,11,0)</f>
        <v>#REF!</v>
      </c>
      <c r="D2057" s="826">
        <f>46.1*$B$2</f>
        <v>30805.403000000002</v>
      </c>
      <c r="E2057" s="823" t="e">
        <f t="shared" si="239"/>
        <v>#REF!</v>
      </c>
      <c r="F2057" s="882"/>
      <c r="G2057" s="821" t="s">
        <v>310</v>
      </c>
      <c r="H2057" s="980" t="s">
        <v>560</v>
      </c>
      <c r="I2057" s="879" t="e">
        <f>VLOOKUP(H2054,'CNKT '!#REF!,11,0)</f>
        <v>#REF!</v>
      </c>
      <c r="J2057" s="826">
        <f>46.1*$B$2</f>
        <v>30805.403000000002</v>
      </c>
      <c r="K2057" s="823" t="e">
        <f t="shared" si="240"/>
        <v>#REF!</v>
      </c>
      <c r="L2057" s="818"/>
    </row>
    <row r="2058" spans="1:15" s="31" customFormat="1" ht="17.25" customHeight="1">
      <c r="A2058" s="821" t="s">
        <v>401</v>
      </c>
      <c r="B2058" s="980" t="s">
        <v>561</v>
      </c>
      <c r="C2058" s="879" t="e">
        <f>VLOOKUP(B2054,'CNKT '!#REF!,12,0)</f>
        <v>#REF!</v>
      </c>
      <c r="D2058" s="825">
        <f>76.9*$B$2</f>
        <v>51386.887000000002</v>
      </c>
      <c r="E2058" s="823" t="e">
        <f t="shared" si="239"/>
        <v>#REF!</v>
      </c>
      <c r="F2058" s="882"/>
      <c r="G2058" s="821" t="s">
        <v>401</v>
      </c>
      <c r="H2058" s="980" t="s">
        <v>561</v>
      </c>
      <c r="I2058" s="879" t="e">
        <f>VLOOKUP(H2054,'CNKT '!#REF!,12,0)</f>
        <v>#REF!</v>
      </c>
      <c r="J2058" s="825">
        <f>76.9*$B$2</f>
        <v>51386.887000000002</v>
      </c>
      <c r="K2058" s="823" t="e">
        <f t="shared" si="240"/>
        <v>#REF!</v>
      </c>
      <c r="L2058" s="818"/>
    </row>
    <row r="2059" spans="1:15" s="31" customFormat="1" ht="17.25" customHeight="1">
      <c r="A2059" s="821" t="s">
        <v>80</v>
      </c>
      <c r="B2059" s="980" t="s">
        <v>562</v>
      </c>
      <c r="C2059" s="879" t="e">
        <f>VLOOKUP(B2054,'CNKT '!#REF!,8,0)</f>
        <v>#REF!</v>
      </c>
      <c r="D2059" s="825" t="e">
        <f>IF(C2055="A",6.1,IF(C2055="B",5.8,IF(C2055="C",5.5,IF(C2055="C.",5.5,IF(C2055="D",5.2)))))*$B$2</f>
        <v>#REF!</v>
      </c>
      <c r="E2059" s="823" t="e">
        <f t="shared" si="239"/>
        <v>#REF!</v>
      </c>
      <c r="F2059" s="882"/>
      <c r="G2059" s="821" t="s">
        <v>80</v>
      </c>
      <c r="H2059" s="980" t="s">
        <v>562</v>
      </c>
      <c r="I2059" s="879" t="e">
        <f>VLOOKUP(H2054,'CNKT '!#REF!,8,0)</f>
        <v>#REF!</v>
      </c>
      <c r="J2059" s="825" t="e">
        <f>IF(I2055="A",6.1,IF(I2055="B",5.8,IF(I2055="C",5.5,IF(I2055="C.",5.5,IF(I2055="D",5.2)))))*$B$2</f>
        <v>#REF!</v>
      </c>
      <c r="K2059" s="823" t="e">
        <f t="shared" si="240"/>
        <v>#REF!</v>
      </c>
      <c r="L2059" s="818"/>
    </row>
    <row r="2060" spans="1:15" s="31" customFormat="1" ht="17.25" customHeight="1">
      <c r="A2060" s="821" t="s">
        <v>447</v>
      </c>
      <c r="B2060" s="980" t="s">
        <v>563</v>
      </c>
      <c r="C2060" s="879" t="e">
        <f>VLOOKUP(B2054,'CNKT '!#REF!,15,0)</f>
        <v>#REF!</v>
      </c>
      <c r="D2060" s="826">
        <f>92.2*$B$2</f>
        <v>61610.806000000004</v>
      </c>
      <c r="E2060" s="823" t="e">
        <f t="shared" si="239"/>
        <v>#REF!</v>
      </c>
      <c r="F2060" s="882"/>
      <c r="G2060" s="821" t="s">
        <v>447</v>
      </c>
      <c r="H2060" s="980" t="s">
        <v>563</v>
      </c>
      <c r="I2060" s="879" t="e">
        <f>VLOOKUP(H2054,'CNKT '!#REF!,15,0)</f>
        <v>#REF!</v>
      </c>
      <c r="J2060" s="826">
        <f>92.2*$B$2</f>
        <v>61610.806000000004</v>
      </c>
      <c r="K2060" s="823" t="e">
        <f t="shared" si="240"/>
        <v>#REF!</v>
      </c>
      <c r="L2060" s="818"/>
    </row>
    <row r="2061" spans="1:15" s="31" customFormat="1" ht="17.25" customHeight="1">
      <c r="A2061" s="821" t="s">
        <v>448</v>
      </c>
      <c r="B2061" s="980" t="s">
        <v>500</v>
      </c>
      <c r="C2061" s="879" t="e">
        <f>VLOOKUP(B2054,'CNKT '!#REF!,14,0)</f>
        <v>#REF!</v>
      </c>
      <c r="D2061" s="825">
        <f>153.6*$B$2</f>
        <v>102640.128</v>
      </c>
      <c r="E2061" s="823" t="e">
        <f t="shared" si="239"/>
        <v>#REF!</v>
      </c>
      <c r="F2061" s="882"/>
      <c r="G2061" s="821" t="s">
        <v>448</v>
      </c>
      <c r="H2061" s="980" t="s">
        <v>500</v>
      </c>
      <c r="I2061" s="879" t="e">
        <f>VLOOKUP(H2054,'CNKT '!#REF!,14,0)</f>
        <v>#REF!</v>
      </c>
      <c r="J2061" s="825">
        <f>153.6*$B$2</f>
        <v>102640.128</v>
      </c>
      <c r="K2061" s="823" t="e">
        <f t="shared" si="240"/>
        <v>#REF!</v>
      </c>
      <c r="L2061" s="818"/>
    </row>
    <row r="2062" spans="1:15" s="31" customFormat="1" ht="17.25" customHeight="1">
      <c r="A2062" s="821" t="s">
        <v>455</v>
      </c>
      <c r="B2062" s="980" t="s">
        <v>501</v>
      </c>
      <c r="C2062" s="879" t="e">
        <f>VLOOKUP(B2054,'CNKT '!#REF!,18,0)</f>
        <v>#REF!</v>
      </c>
      <c r="D2062" s="825">
        <v>10000</v>
      </c>
      <c r="E2062" s="823" t="e">
        <f>C2062*D2062</f>
        <v>#REF!</v>
      </c>
      <c r="F2062" s="882"/>
      <c r="G2062" s="821" t="s">
        <v>455</v>
      </c>
      <c r="H2062" s="980" t="s">
        <v>501</v>
      </c>
      <c r="I2062" s="879" t="e">
        <f>VLOOKUP(H2054,'CNKT '!#REF!,18,0)</f>
        <v>#REF!</v>
      </c>
      <c r="J2062" s="825">
        <v>10000</v>
      </c>
      <c r="K2062" s="823" t="e">
        <f>I2062*J2062</f>
        <v>#REF!</v>
      </c>
      <c r="L2062" s="818"/>
    </row>
    <row r="2063" spans="1:15" s="31" customFormat="1" ht="17.25" customHeight="1">
      <c r="A2063" s="821" t="s">
        <v>455</v>
      </c>
      <c r="B2063" s="980" t="s">
        <v>501</v>
      </c>
      <c r="C2063" s="879" t="e">
        <f>VLOOKUP(B2054,'CNKT '!#REF!,19,0)</f>
        <v>#REF!</v>
      </c>
      <c r="D2063" s="825">
        <v>20000</v>
      </c>
      <c r="E2063" s="823" t="e">
        <f>C2063*D2063</f>
        <v>#REF!</v>
      </c>
      <c r="F2063" s="882"/>
      <c r="G2063" s="821" t="s">
        <v>455</v>
      </c>
      <c r="H2063" s="980" t="s">
        <v>501</v>
      </c>
      <c r="I2063" s="879" t="e">
        <f>VLOOKUP(H2054,'CNKT '!#REF!,19,0)</f>
        <v>#REF!</v>
      </c>
      <c r="J2063" s="825">
        <v>20000</v>
      </c>
      <c r="K2063" s="823" t="e">
        <f>I2063*J2063</f>
        <v>#REF!</v>
      </c>
      <c r="L2063" s="818"/>
    </row>
    <row r="2064" spans="1:15" s="31" customFormat="1" ht="17.25" customHeight="1">
      <c r="A2064" s="827" t="s">
        <v>81</v>
      </c>
      <c r="B2064" s="981" t="s">
        <v>564</v>
      </c>
      <c r="C2064" s="828"/>
      <c r="D2064" s="829"/>
      <c r="E2064" s="828"/>
      <c r="F2064" s="882"/>
      <c r="G2064" s="827" t="s">
        <v>81</v>
      </c>
      <c r="H2064" s="981" t="s">
        <v>564</v>
      </c>
      <c r="I2064" s="828"/>
      <c r="J2064" s="829"/>
      <c r="K2064" s="828"/>
      <c r="L2064" s="818"/>
    </row>
    <row r="2065" spans="1:12" s="31" customFormat="1" ht="17.25" customHeight="1">
      <c r="A2065" s="830" t="s">
        <v>82</v>
      </c>
      <c r="B2065" s="982" t="s">
        <v>565</v>
      </c>
      <c r="C2065" s="828"/>
      <c r="D2065" s="828"/>
      <c r="E2065" s="828"/>
      <c r="F2065" s="882"/>
      <c r="G2065" s="830" t="s">
        <v>82</v>
      </c>
      <c r="H2065" s="982" t="s">
        <v>565</v>
      </c>
      <c r="I2065" s="828"/>
      <c r="J2065" s="828"/>
      <c r="K2065" s="828"/>
      <c r="L2065" s="818"/>
    </row>
    <row r="2066" spans="1:12" s="31" customFormat="1" ht="17.25" customHeight="1">
      <c r="A2066" s="830" t="s">
        <v>83</v>
      </c>
      <c r="B2066" s="983" t="s">
        <v>566</v>
      </c>
      <c r="C2066" s="828"/>
      <c r="D2066" s="828"/>
      <c r="E2066" s="823">
        <f>SUM(E2065)</f>
        <v>0</v>
      </c>
      <c r="F2066" s="882"/>
      <c r="G2066" s="830" t="s">
        <v>83</v>
      </c>
      <c r="H2066" s="983" t="s">
        <v>566</v>
      </c>
      <c r="I2066" s="828"/>
      <c r="J2066" s="828"/>
      <c r="K2066" s="823">
        <f>SUM(K2065)</f>
        <v>0</v>
      </c>
      <c r="L2066" s="818"/>
    </row>
    <row r="2067" spans="1:12" s="31" customFormat="1" ht="17.25" customHeight="1">
      <c r="A2067" s="832" t="s">
        <v>84</v>
      </c>
      <c r="B2067" s="984" t="s">
        <v>438</v>
      </c>
      <c r="C2067" s="833"/>
      <c r="D2067" s="833"/>
      <c r="E2067" s="833" t="e">
        <f>(E2056+E2057+E2058+E2059+E2060+E2061+E2062+E2063)-E2066</f>
        <v>#REF!</v>
      </c>
      <c r="F2067" s="882"/>
      <c r="G2067" s="832" t="s">
        <v>84</v>
      </c>
      <c r="H2067" s="984" t="s">
        <v>438</v>
      </c>
      <c r="I2067" s="833"/>
      <c r="J2067" s="833"/>
      <c r="K2067" s="833" t="e">
        <f>(K2056+K2057+K2058+K2059+K2060+K2061+K2062+K2063)-K2066</f>
        <v>#REF!</v>
      </c>
      <c r="L2067" s="835" t="e">
        <f>E2067+K2067</f>
        <v>#REF!</v>
      </c>
    </row>
    <row r="2068" spans="1:12" s="31" customFormat="1" ht="51.75" customHeight="1">
      <c r="A2068" s="895"/>
      <c r="B2068" s="895"/>
      <c r="C2068" s="895"/>
      <c r="D2068" s="895"/>
      <c r="E2068" s="895"/>
      <c r="F2068" s="895"/>
      <c r="G2068" s="895"/>
      <c r="H2068" s="895"/>
      <c r="I2068" s="895"/>
      <c r="J2068" s="895"/>
      <c r="K2068" s="895"/>
      <c r="L2068" s="818"/>
    </row>
    <row r="2069" spans="1:12" s="31" customFormat="1" ht="17.25" customHeight="1">
      <c r="A2069" s="891" t="str">
        <f>A2053</f>
        <v>LƯƠNG THÁNG 01/2025</v>
      </c>
      <c r="B2069" s="895"/>
      <c r="C2069" s="895"/>
      <c r="D2069" s="895"/>
      <c r="E2069" s="898" t="e">
        <f>VLOOKUP(B2070,'CNKT '!#REF!,26,0)</f>
        <v>#REF!</v>
      </c>
      <c r="F2069" s="882"/>
      <c r="G2069" s="891" t="s">
        <v>430</v>
      </c>
      <c r="H2069" s="895"/>
      <c r="I2069" s="895"/>
      <c r="J2069" s="895"/>
      <c r="K2069" s="898" t="e">
        <f>VLOOKUP(H2070,'CNKT '!#REF!,26,0)</f>
        <v>#REF!</v>
      </c>
      <c r="L2069" s="818"/>
    </row>
    <row r="2070" spans="1:12" s="31" customFormat="1" ht="17.25" customHeight="1">
      <c r="A2070" s="837" t="s">
        <v>17</v>
      </c>
      <c r="B2070" s="976" t="e">
        <f>'CNKT '!#REF!</f>
        <v>#REF!</v>
      </c>
      <c r="C2070" s="822"/>
      <c r="D2070" s="976" t="s">
        <v>398</v>
      </c>
      <c r="E2070" s="976" t="s">
        <v>20</v>
      </c>
      <c r="F2070" s="882"/>
      <c r="G2070" s="837" t="s">
        <v>17</v>
      </c>
      <c r="H2070" s="976" t="e">
        <f>'CNKT '!#REF!</f>
        <v>#REF!</v>
      </c>
      <c r="I2070" s="822"/>
      <c r="J2070" s="976" t="s">
        <v>398</v>
      </c>
      <c r="K2070" s="976" t="s">
        <v>20</v>
      </c>
      <c r="L2070" s="818"/>
    </row>
    <row r="2071" spans="1:12" s="31" customFormat="1" ht="17.25" customHeight="1">
      <c r="A2071" s="821" t="s">
        <v>399</v>
      </c>
      <c r="B2071" s="978" t="s">
        <v>559</v>
      </c>
      <c r="C2071" s="822" t="e">
        <f>VLOOKUP(B2070,'BTH mủ tạp'!$C$161:$AL$161,36,0)</f>
        <v>#REF!</v>
      </c>
      <c r="D2071" s="823"/>
      <c r="E2071" s="823"/>
      <c r="F2071" s="882"/>
      <c r="G2071" s="821" t="s">
        <v>399</v>
      </c>
      <c r="H2071" s="978" t="s">
        <v>559</v>
      </c>
      <c r="I2071" s="822" t="e">
        <f>VLOOKUP(H2070,'BTH mủ tạp'!$C$161:$AL$161,36,0)</f>
        <v>#REF!</v>
      </c>
      <c r="J2071" s="823"/>
      <c r="K2071" s="823"/>
      <c r="L2071" s="818"/>
    </row>
    <row r="2072" spans="1:12" s="31" customFormat="1" ht="17.25" customHeight="1">
      <c r="A2072" s="821" t="s">
        <v>79</v>
      </c>
      <c r="B2072" s="979" t="s">
        <v>432</v>
      </c>
      <c r="C2072" s="824" t="e">
        <f>VLOOKUP(B2070,'CNKT '!#REF!,3,0)</f>
        <v>#REF!</v>
      </c>
      <c r="D2072" s="825">
        <v>25000</v>
      </c>
      <c r="E2072" s="823" t="e">
        <f t="shared" ref="E2072:E2077" si="241">C2072*D2072</f>
        <v>#REF!</v>
      </c>
      <c r="F2072" s="882"/>
      <c r="G2072" s="821" t="s">
        <v>79</v>
      </c>
      <c r="H2072" s="979" t="s">
        <v>432</v>
      </c>
      <c r="I2072" s="824" t="e">
        <f>VLOOKUP(H2070,'CNKT '!#REF!,3,0)</f>
        <v>#REF!</v>
      </c>
      <c r="J2072" s="825">
        <v>25000</v>
      </c>
      <c r="K2072" s="823" t="e">
        <f t="shared" ref="K2072:K2077" si="242">I2072*J2072</f>
        <v>#REF!</v>
      </c>
      <c r="L2072" s="818"/>
    </row>
    <row r="2073" spans="1:12" s="31" customFormat="1" ht="17.25" customHeight="1">
      <c r="A2073" s="821" t="s">
        <v>310</v>
      </c>
      <c r="B2073" s="980" t="s">
        <v>560</v>
      </c>
      <c r="C2073" s="879" t="e">
        <f>VLOOKUP(B2070,'CNKT '!#REF!,11,0)</f>
        <v>#REF!</v>
      </c>
      <c r="D2073" s="826">
        <f>46.1*$B$2</f>
        <v>30805.403000000002</v>
      </c>
      <c r="E2073" s="823" t="e">
        <f t="shared" si="241"/>
        <v>#REF!</v>
      </c>
      <c r="F2073" s="882"/>
      <c r="G2073" s="821" t="s">
        <v>310</v>
      </c>
      <c r="H2073" s="980" t="s">
        <v>560</v>
      </c>
      <c r="I2073" s="879" t="e">
        <f>VLOOKUP(H2070,'CNKT '!#REF!,11,0)</f>
        <v>#REF!</v>
      </c>
      <c r="J2073" s="826">
        <f>46.1*$B$2</f>
        <v>30805.403000000002</v>
      </c>
      <c r="K2073" s="823" t="e">
        <f t="shared" si="242"/>
        <v>#REF!</v>
      </c>
      <c r="L2073" s="818"/>
    </row>
    <row r="2074" spans="1:12" s="31" customFormat="1" ht="17.25" customHeight="1">
      <c r="A2074" s="821" t="s">
        <v>401</v>
      </c>
      <c r="B2074" s="980" t="s">
        <v>561</v>
      </c>
      <c r="C2074" s="879" t="e">
        <f>VLOOKUP(B2070,'CNKT '!#REF!,12,0)</f>
        <v>#REF!</v>
      </c>
      <c r="D2074" s="825">
        <f>76.9*$B$2</f>
        <v>51386.887000000002</v>
      </c>
      <c r="E2074" s="823" t="e">
        <f t="shared" si="241"/>
        <v>#REF!</v>
      </c>
      <c r="F2074" s="882"/>
      <c r="G2074" s="821" t="s">
        <v>401</v>
      </c>
      <c r="H2074" s="980" t="s">
        <v>561</v>
      </c>
      <c r="I2074" s="879" t="e">
        <f>VLOOKUP(H2070,'CNKT '!#REF!,12,0)</f>
        <v>#REF!</v>
      </c>
      <c r="J2074" s="825">
        <f>76.9*$B$2</f>
        <v>51386.887000000002</v>
      </c>
      <c r="K2074" s="823" t="e">
        <f t="shared" si="242"/>
        <v>#REF!</v>
      </c>
      <c r="L2074" s="818"/>
    </row>
    <row r="2075" spans="1:12" s="31" customFormat="1" ht="17.25" customHeight="1">
      <c r="A2075" s="821" t="s">
        <v>80</v>
      </c>
      <c r="B2075" s="980" t="s">
        <v>562</v>
      </c>
      <c r="C2075" s="879" t="e">
        <f>VLOOKUP(B2070,'CNKT '!#REF!,8,0)</f>
        <v>#REF!</v>
      </c>
      <c r="D2075" s="825" t="e">
        <f>IF(C2071="A",6.1,IF(C2071="B",5.8,IF(C2071="C",5.5,IF(C2071="C.",5.5,IF(C2071="D",5.2)))))*$B$2</f>
        <v>#REF!</v>
      </c>
      <c r="E2075" s="823" t="e">
        <f t="shared" si="241"/>
        <v>#REF!</v>
      </c>
      <c r="F2075" s="882"/>
      <c r="G2075" s="821" t="s">
        <v>80</v>
      </c>
      <c r="H2075" s="980" t="s">
        <v>562</v>
      </c>
      <c r="I2075" s="879" t="e">
        <f>VLOOKUP(H2070,'CNKT '!#REF!,8,0)</f>
        <v>#REF!</v>
      </c>
      <c r="J2075" s="825" t="e">
        <f>IF(I2071="A",6.1,IF(I2071="B",5.8,IF(I2071="C",5.5,IF(I2071="C.",5.5,IF(I2071="D",5.2)))))*$B$2</f>
        <v>#REF!</v>
      </c>
      <c r="K2075" s="823" t="e">
        <f t="shared" si="242"/>
        <v>#REF!</v>
      </c>
      <c r="L2075" s="818"/>
    </row>
    <row r="2076" spans="1:12" s="31" customFormat="1" ht="17.25" customHeight="1">
      <c r="A2076" s="821" t="s">
        <v>447</v>
      </c>
      <c r="B2076" s="980" t="s">
        <v>563</v>
      </c>
      <c r="C2076" s="879" t="e">
        <f>VLOOKUP(B2070,'CNKT '!#REF!,15,0)</f>
        <v>#REF!</v>
      </c>
      <c r="D2076" s="826">
        <f>92.2*$B$2</f>
        <v>61610.806000000004</v>
      </c>
      <c r="E2076" s="823" t="e">
        <f t="shared" si="241"/>
        <v>#REF!</v>
      </c>
      <c r="F2076" s="882"/>
      <c r="G2076" s="821" t="s">
        <v>447</v>
      </c>
      <c r="H2076" s="980" t="s">
        <v>563</v>
      </c>
      <c r="I2076" s="879" t="e">
        <f>VLOOKUP(H2070,'CNKT '!#REF!,15,0)</f>
        <v>#REF!</v>
      </c>
      <c r="J2076" s="826">
        <f>92.2*$B$2</f>
        <v>61610.806000000004</v>
      </c>
      <c r="K2076" s="823" t="e">
        <f t="shared" si="242"/>
        <v>#REF!</v>
      </c>
      <c r="L2076" s="818"/>
    </row>
    <row r="2077" spans="1:12" s="31" customFormat="1" ht="17.25" customHeight="1">
      <c r="A2077" s="821" t="s">
        <v>448</v>
      </c>
      <c r="B2077" s="980" t="s">
        <v>500</v>
      </c>
      <c r="C2077" s="879" t="e">
        <f>VLOOKUP(B2070,'CNKT '!#REF!,14,0)</f>
        <v>#REF!</v>
      </c>
      <c r="D2077" s="825">
        <f>153.6*$B$2</f>
        <v>102640.128</v>
      </c>
      <c r="E2077" s="823" t="e">
        <f t="shared" si="241"/>
        <v>#REF!</v>
      </c>
      <c r="F2077" s="882"/>
      <c r="G2077" s="821" t="s">
        <v>448</v>
      </c>
      <c r="H2077" s="980" t="s">
        <v>500</v>
      </c>
      <c r="I2077" s="879" t="e">
        <f>VLOOKUP(H2070,'CNKT '!#REF!,14,0)</f>
        <v>#REF!</v>
      </c>
      <c r="J2077" s="825">
        <f>153.6*$B$2</f>
        <v>102640.128</v>
      </c>
      <c r="K2077" s="823" t="e">
        <f t="shared" si="242"/>
        <v>#REF!</v>
      </c>
      <c r="L2077" s="818"/>
    </row>
    <row r="2078" spans="1:12" s="31" customFormat="1" ht="17.25" customHeight="1">
      <c r="A2078" s="821" t="s">
        <v>455</v>
      </c>
      <c r="B2078" s="980" t="s">
        <v>501</v>
      </c>
      <c r="C2078" s="879" t="e">
        <f>VLOOKUP(B2070,'CNKT '!#REF!,18,0)</f>
        <v>#REF!</v>
      </c>
      <c r="D2078" s="825">
        <v>10000</v>
      </c>
      <c r="E2078" s="823" t="e">
        <f>C2078*D2078</f>
        <v>#REF!</v>
      </c>
      <c r="F2078" s="882"/>
      <c r="G2078" s="821" t="s">
        <v>455</v>
      </c>
      <c r="H2078" s="980" t="s">
        <v>501</v>
      </c>
      <c r="I2078" s="879" t="e">
        <f>VLOOKUP(H2070,'CNKT '!#REF!,18,0)</f>
        <v>#REF!</v>
      </c>
      <c r="J2078" s="825">
        <v>10000</v>
      </c>
      <c r="K2078" s="823" t="e">
        <f>I2078*J2078</f>
        <v>#REF!</v>
      </c>
      <c r="L2078" s="818"/>
    </row>
    <row r="2079" spans="1:12" s="31" customFormat="1" ht="17.25" customHeight="1">
      <c r="A2079" s="821" t="s">
        <v>455</v>
      </c>
      <c r="B2079" s="980" t="s">
        <v>501</v>
      </c>
      <c r="C2079" s="879" t="e">
        <f>VLOOKUP(B2070,'CNKT '!#REF!,19,0)</f>
        <v>#REF!</v>
      </c>
      <c r="D2079" s="825">
        <v>20000</v>
      </c>
      <c r="E2079" s="823" t="e">
        <f>C2079*D2079</f>
        <v>#REF!</v>
      </c>
      <c r="F2079" s="882"/>
      <c r="G2079" s="821" t="s">
        <v>455</v>
      </c>
      <c r="H2079" s="980" t="s">
        <v>501</v>
      </c>
      <c r="I2079" s="879" t="e">
        <f>VLOOKUP(H2070,'CNKT '!#REF!,19,0)</f>
        <v>#REF!</v>
      </c>
      <c r="J2079" s="825">
        <v>20000</v>
      </c>
      <c r="K2079" s="823" t="e">
        <f>I2079*J2079</f>
        <v>#REF!</v>
      </c>
      <c r="L2079" s="818"/>
    </row>
    <row r="2080" spans="1:12" s="31" customFormat="1" ht="17.25" customHeight="1">
      <c r="A2080" s="827" t="s">
        <v>81</v>
      </c>
      <c r="B2080" s="981" t="s">
        <v>564</v>
      </c>
      <c r="C2080" s="828"/>
      <c r="D2080" s="829"/>
      <c r="E2080" s="828"/>
      <c r="F2080" s="882"/>
      <c r="G2080" s="827" t="s">
        <v>81</v>
      </c>
      <c r="H2080" s="981" t="s">
        <v>564</v>
      </c>
      <c r="I2080" s="828"/>
      <c r="J2080" s="829"/>
      <c r="K2080" s="828"/>
      <c r="L2080" s="818"/>
    </row>
    <row r="2081" spans="1:12" s="31" customFormat="1" ht="17.25" customHeight="1">
      <c r="A2081" s="830" t="s">
        <v>82</v>
      </c>
      <c r="B2081" s="982" t="s">
        <v>565</v>
      </c>
      <c r="C2081" s="828"/>
      <c r="D2081" s="828"/>
      <c r="E2081" s="828"/>
      <c r="F2081" s="882"/>
      <c r="G2081" s="830" t="s">
        <v>82</v>
      </c>
      <c r="H2081" s="982" t="s">
        <v>565</v>
      </c>
      <c r="I2081" s="828"/>
      <c r="J2081" s="828"/>
      <c r="K2081" s="828"/>
      <c r="L2081" s="818"/>
    </row>
    <row r="2082" spans="1:12" s="31" customFormat="1" ht="17.25" customHeight="1">
      <c r="A2082" s="830" t="s">
        <v>83</v>
      </c>
      <c r="B2082" s="983" t="s">
        <v>566</v>
      </c>
      <c r="C2082" s="828"/>
      <c r="D2082" s="828"/>
      <c r="E2082" s="823">
        <f>SUM(E2081)</f>
        <v>0</v>
      </c>
      <c r="F2082" s="882"/>
      <c r="G2082" s="830" t="s">
        <v>83</v>
      </c>
      <c r="H2082" s="983" t="s">
        <v>566</v>
      </c>
      <c r="I2082" s="828"/>
      <c r="J2082" s="828"/>
      <c r="K2082" s="823">
        <f>SUM(K2081)</f>
        <v>0</v>
      </c>
      <c r="L2082" s="818"/>
    </row>
    <row r="2083" spans="1:12" s="31" customFormat="1" ht="17.25" customHeight="1">
      <c r="A2083" s="832" t="s">
        <v>84</v>
      </c>
      <c r="B2083" s="984" t="s">
        <v>438</v>
      </c>
      <c r="C2083" s="833"/>
      <c r="D2083" s="833"/>
      <c r="E2083" s="833" t="e">
        <f>(E2072+E2073+E2074+E2075+E2076+E2077+E2078+E2079)-E2082</f>
        <v>#REF!</v>
      </c>
      <c r="F2083" s="882"/>
      <c r="G2083" s="832" t="s">
        <v>84</v>
      </c>
      <c r="H2083" s="984" t="s">
        <v>438</v>
      </c>
      <c r="I2083" s="833"/>
      <c r="J2083" s="833"/>
      <c r="K2083" s="833" t="e">
        <f>(K2072+K2073+K2074+K2075+K2076+K2077+K2078+K2079)-K2082</f>
        <v>#REF!</v>
      </c>
      <c r="L2083" s="835" t="e">
        <f>E2083+K2083</f>
        <v>#REF!</v>
      </c>
    </row>
    <row r="2084" spans="1:12" s="31" customFormat="1" ht="17.25" customHeight="1">
      <c r="A2084" s="895"/>
      <c r="B2084" s="895"/>
      <c r="C2084" s="895"/>
      <c r="D2084" s="895"/>
      <c r="E2084" s="895"/>
      <c r="F2084" s="895"/>
      <c r="G2084" s="895"/>
      <c r="H2084" s="895"/>
      <c r="I2084" s="895"/>
      <c r="J2084" s="895"/>
      <c r="K2084" s="895"/>
      <c r="L2084" s="818"/>
    </row>
    <row r="2085" spans="1:12" s="31" customFormat="1" ht="17.25" customHeight="1">
      <c r="A2085" s="891" t="str">
        <f>A2069</f>
        <v>LƯƠNG THÁNG 01/2025</v>
      </c>
      <c r="B2085" s="895"/>
      <c r="C2085" s="895"/>
      <c r="D2085" s="895"/>
      <c r="E2085" s="898" t="e">
        <f>VLOOKUP(B2086,'CNKT '!#REF!,26,0)</f>
        <v>#REF!</v>
      </c>
      <c r="F2085" s="882"/>
      <c r="G2085" s="891" t="s">
        <v>430</v>
      </c>
      <c r="H2085" s="895"/>
      <c r="I2085" s="895"/>
      <c r="J2085" s="898"/>
      <c r="K2085" s="898" t="e">
        <f>VLOOKUP(H2086,'CNKT '!#REF!,26,0)</f>
        <v>#REF!</v>
      </c>
      <c r="L2085" s="818"/>
    </row>
    <row r="2086" spans="1:12" s="31" customFormat="1" ht="17.25" customHeight="1">
      <c r="A2086" s="837" t="s">
        <v>17</v>
      </c>
      <c r="B2086" s="976" t="e">
        <f>'CNKT '!#REF!</f>
        <v>#REF!</v>
      </c>
      <c r="C2086" s="822"/>
      <c r="D2086" s="976" t="s">
        <v>398</v>
      </c>
      <c r="E2086" s="976" t="s">
        <v>20</v>
      </c>
      <c r="F2086" s="882"/>
      <c r="G2086" s="837" t="s">
        <v>17</v>
      </c>
      <c r="H2086" s="976" t="e">
        <f>'CNKT '!#REF!</f>
        <v>#REF!</v>
      </c>
      <c r="I2086" s="822"/>
      <c r="J2086" s="976" t="s">
        <v>398</v>
      </c>
      <c r="K2086" s="976" t="s">
        <v>20</v>
      </c>
      <c r="L2086" s="818"/>
    </row>
    <row r="2087" spans="1:12" s="31" customFormat="1" ht="17.25" customHeight="1">
      <c r="A2087" s="821" t="s">
        <v>399</v>
      </c>
      <c r="B2087" s="978" t="s">
        <v>559</v>
      </c>
      <c r="C2087" s="822" t="e">
        <f>VLOOKUP(B2086,'BTH mủ tạp'!$C$161:$AL$161,36,0)</f>
        <v>#REF!</v>
      </c>
      <c r="D2087" s="823"/>
      <c r="E2087" s="823"/>
      <c r="F2087" s="882"/>
      <c r="G2087" s="821" t="s">
        <v>399</v>
      </c>
      <c r="H2087" s="978" t="s">
        <v>559</v>
      </c>
      <c r="I2087" s="822" t="e">
        <f>VLOOKUP(H2086,'BTH mủ tạp'!$C$161:$AL$161,36,0)</f>
        <v>#REF!</v>
      </c>
      <c r="J2087" s="823"/>
      <c r="K2087" s="823"/>
      <c r="L2087" s="818"/>
    </row>
    <row r="2088" spans="1:12" s="31" customFormat="1" ht="17.25" customHeight="1">
      <c r="A2088" s="821" t="s">
        <v>79</v>
      </c>
      <c r="B2088" s="979" t="s">
        <v>432</v>
      </c>
      <c r="C2088" s="824" t="e">
        <f>VLOOKUP(B2086,'CNKT '!#REF!,3,0)</f>
        <v>#REF!</v>
      </c>
      <c r="D2088" s="825">
        <v>25000</v>
      </c>
      <c r="E2088" s="823" t="e">
        <f t="shared" ref="E2088:E2093" si="243">C2088*D2088</f>
        <v>#REF!</v>
      </c>
      <c r="F2088" s="882"/>
      <c r="G2088" s="821" t="s">
        <v>79</v>
      </c>
      <c r="H2088" s="979" t="s">
        <v>432</v>
      </c>
      <c r="I2088" s="824" t="e">
        <f>VLOOKUP(H2086,'CNKT '!#REF!,3,0)</f>
        <v>#REF!</v>
      </c>
      <c r="J2088" s="825">
        <v>25000</v>
      </c>
      <c r="K2088" s="823" t="e">
        <f t="shared" ref="K2088:K2093" si="244">I2088*J2088</f>
        <v>#REF!</v>
      </c>
      <c r="L2088" s="818"/>
    </row>
    <row r="2089" spans="1:12" s="31" customFormat="1" ht="17.25" customHeight="1">
      <c r="A2089" s="821" t="s">
        <v>310</v>
      </c>
      <c r="B2089" s="980" t="s">
        <v>560</v>
      </c>
      <c r="C2089" s="879" t="e">
        <f>VLOOKUP(B2086,'CNKT '!#REF!,11,0)</f>
        <v>#REF!</v>
      </c>
      <c r="D2089" s="826">
        <f>46.1*$B$2</f>
        <v>30805.403000000002</v>
      </c>
      <c r="E2089" s="823" t="e">
        <f t="shared" si="243"/>
        <v>#REF!</v>
      </c>
      <c r="F2089" s="882"/>
      <c r="G2089" s="821" t="s">
        <v>310</v>
      </c>
      <c r="H2089" s="980" t="s">
        <v>560</v>
      </c>
      <c r="I2089" s="879" t="e">
        <f>VLOOKUP(H2086,'CNKT '!#REF!,11,0)</f>
        <v>#REF!</v>
      </c>
      <c r="J2089" s="826">
        <f>46.1*$B$2</f>
        <v>30805.403000000002</v>
      </c>
      <c r="K2089" s="823" t="e">
        <f t="shared" si="244"/>
        <v>#REF!</v>
      </c>
      <c r="L2089" s="818"/>
    </row>
    <row r="2090" spans="1:12" s="31" customFormat="1" ht="17.25" customHeight="1">
      <c r="A2090" s="821" t="s">
        <v>401</v>
      </c>
      <c r="B2090" s="980" t="s">
        <v>561</v>
      </c>
      <c r="C2090" s="879" t="e">
        <f>VLOOKUP(B2086,'CNKT '!#REF!,12,0)</f>
        <v>#REF!</v>
      </c>
      <c r="D2090" s="825">
        <f>76.9*$B$2</f>
        <v>51386.887000000002</v>
      </c>
      <c r="E2090" s="823" t="e">
        <f t="shared" si="243"/>
        <v>#REF!</v>
      </c>
      <c r="F2090" s="882"/>
      <c r="G2090" s="821" t="s">
        <v>401</v>
      </c>
      <c r="H2090" s="980" t="s">
        <v>561</v>
      </c>
      <c r="I2090" s="879" t="e">
        <f>VLOOKUP(H2086,'CNKT '!#REF!,12,0)</f>
        <v>#REF!</v>
      </c>
      <c r="J2090" s="825">
        <f>76.9*$B$2</f>
        <v>51386.887000000002</v>
      </c>
      <c r="K2090" s="823" t="e">
        <f t="shared" si="244"/>
        <v>#REF!</v>
      </c>
      <c r="L2090" s="818"/>
    </row>
    <row r="2091" spans="1:12" s="31" customFormat="1" ht="17.25" customHeight="1">
      <c r="A2091" s="821" t="s">
        <v>80</v>
      </c>
      <c r="B2091" s="980" t="s">
        <v>562</v>
      </c>
      <c r="C2091" s="879" t="e">
        <f>VLOOKUP(B2086,'CNKT '!#REF!,8,0)</f>
        <v>#REF!</v>
      </c>
      <c r="D2091" s="825" t="e">
        <f>IF(C2087="A",6.1,IF(C2087="B",5.8,IF(C2087="C",5.5,IF(C2087="C.",5.5,IF(C2087="D",5.2)))))*$B$2</f>
        <v>#REF!</v>
      </c>
      <c r="E2091" s="823" t="e">
        <f t="shared" si="243"/>
        <v>#REF!</v>
      </c>
      <c r="F2091" s="882"/>
      <c r="G2091" s="821" t="s">
        <v>80</v>
      </c>
      <c r="H2091" s="980" t="s">
        <v>562</v>
      </c>
      <c r="I2091" s="879" t="e">
        <f>VLOOKUP(H2086,'CNKT '!#REF!,8,0)</f>
        <v>#REF!</v>
      </c>
      <c r="J2091" s="825" t="e">
        <f>IF(I2087="A",6.1,IF(I2087="B",5.8,IF(I2087="C",5.5,IF(I2087="C.",5.5,IF(I2087="D",5.2)))))*$B$2</f>
        <v>#REF!</v>
      </c>
      <c r="K2091" s="823" t="e">
        <f t="shared" si="244"/>
        <v>#REF!</v>
      </c>
      <c r="L2091" s="818"/>
    </row>
    <row r="2092" spans="1:12" s="31" customFormat="1" ht="17.25" customHeight="1">
      <c r="A2092" s="821" t="s">
        <v>447</v>
      </c>
      <c r="B2092" s="980" t="s">
        <v>563</v>
      </c>
      <c r="C2092" s="879" t="e">
        <f>VLOOKUP(B2086,'CNKT '!#REF!,15,0)</f>
        <v>#REF!</v>
      </c>
      <c r="D2092" s="826">
        <f>92.2*$B$2</f>
        <v>61610.806000000004</v>
      </c>
      <c r="E2092" s="823" t="e">
        <f t="shared" si="243"/>
        <v>#REF!</v>
      </c>
      <c r="F2092" s="882"/>
      <c r="G2092" s="821" t="s">
        <v>447</v>
      </c>
      <c r="H2092" s="980" t="s">
        <v>563</v>
      </c>
      <c r="I2092" s="879" t="e">
        <f>VLOOKUP(H2086,'CNKT '!#REF!,15,0)</f>
        <v>#REF!</v>
      </c>
      <c r="J2092" s="826">
        <f>92.2*$B$2</f>
        <v>61610.806000000004</v>
      </c>
      <c r="K2092" s="823" t="e">
        <f t="shared" si="244"/>
        <v>#REF!</v>
      </c>
      <c r="L2092" s="818"/>
    </row>
    <row r="2093" spans="1:12" s="31" customFormat="1" ht="17.25" customHeight="1">
      <c r="A2093" s="821" t="s">
        <v>448</v>
      </c>
      <c r="B2093" s="980" t="s">
        <v>500</v>
      </c>
      <c r="C2093" s="879" t="e">
        <f>VLOOKUP(B2086,'CNKT '!#REF!,14,0)</f>
        <v>#REF!</v>
      </c>
      <c r="D2093" s="825">
        <f>153.6*$B$2</f>
        <v>102640.128</v>
      </c>
      <c r="E2093" s="823" t="e">
        <f t="shared" si="243"/>
        <v>#REF!</v>
      </c>
      <c r="F2093" s="882"/>
      <c r="G2093" s="821" t="s">
        <v>448</v>
      </c>
      <c r="H2093" s="980" t="s">
        <v>500</v>
      </c>
      <c r="I2093" s="879" t="e">
        <f>VLOOKUP(H2086,'CNKT '!#REF!,14,0)</f>
        <v>#REF!</v>
      </c>
      <c r="J2093" s="825">
        <f>153.6*$B$2</f>
        <v>102640.128</v>
      </c>
      <c r="K2093" s="823" t="e">
        <f t="shared" si="244"/>
        <v>#REF!</v>
      </c>
      <c r="L2093" s="818"/>
    </row>
    <row r="2094" spans="1:12" s="31" customFormat="1" ht="17.25" customHeight="1">
      <c r="A2094" s="821" t="s">
        <v>455</v>
      </c>
      <c r="B2094" s="980" t="s">
        <v>501</v>
      </c>
      <c r="C2094" s="879" t="e">
        <f>VLOOKUP(B2086,'CNKT '!#REF!,18,0)</f>
        <v>#REF!</v>
      </c>
      <c r="D2094" s="825">
        <v>10000</v>
      </c>
      <c r="E2094" s="823" t="e">
        <f>C2094*D2094</f>
        <v>#REF!</v>
      </c>
      <c r="F2094" s="882"/>
      <c r="G2094" s="821" t="s">
        <v>455</v>
      </c>
      <c r="H2094" s="980" t="s">
        <v>501</v>
      </c>
      <c r="I2094" s="879" t="e">
        <f>VLOOKUP(H2086,'CNKT '!#REF!,18,0)</f>
        <v>#REF!</v>
      </c>
      <c r="J2094" s="825">
        <v>10000</v>
      </c>
      <c r="K2094" s="823" t="e">
        <f>I2094*J2094</f>
        <v>#REF!</v>
      </c>
      <c r="L2094" s="818"/>
    </row>
    <row r="2095" spans="1:12" s="31" customFormat="1" ht="17.25" customHeight="1">
      <c r="A2095" s="821" t="s">
        <v>455</v>
      </c>
      <c r="B2095" s="980" t="s">
        <v>501</v>
      </c>
      <c r="C2095" s="879" t="e">
        <f>VLOOKUP(B2086,'CNKT '!#REF!,19,0)</f>
        <v>#REF!</v>
      </c>
      <c r="D2095" s="825">
        <v>20000</v>
      </c>
      <c r="E2095" s="823" t="e">
        <f>C2095*D2095</f>
        <v>#REF!</v>
      </c>
      <c r="F2095" s="882"/>
      <c r="G2095" s="821" t="s">
        <v>455</v>
      </c>
      <c r="H2095" s="980" t="s">
        <v>501</v>
      </c>
      <c r="I2095" s="879" t="e">
        <f>VLOOKUP(H2086,'CNKT '!#REF!,19,0)</f>
        <v>#REF!</v>
      </c>
      <c r="J2095" s="825">
        <v>20000</v>
      </c>
      <c r="K2095" s="823" t="e">
        <f>I2095*J2095</f>
        <v>#REF!</v>
      </c>
      <c r="L2095" s="818"/>
    </row>
    <row r="2096" spans="1:12" s="31" customFormat="1" ht="17.25" customHeight="1">
      <c r="A2096" s="827" t="s">
        <v>81</v>
      </c>
      <c r="B2096" s="981" t="s">
        <v>564</v>
      </c>
      <c r="C2096" s="828"/>
      <c r="D2096" s="829"/>
      <c r="E2096" s="828"/>
      <c r="F2096" s="882"/>
      <c r="G2096" s="827" t="s">
        <v>81</v>
      </c>
      <c r="H2096" s="981" t="s">
        <v>564</v>
      </c>
      <c r="I2096" s="828"/>
      <c r="J2096" s="829"/>
      <c r="K2096" s="828"/>
      <c r="L2096" s="818"/>
    </row>
    <row r="2097" spans="1:12" s="31" customFormat="1" ht="17.25" customHeight="1">
      <c r="A2097" s="830" t="s">
        <v>82</v>
      </c>
      <c r="B2097" s="982" t="s">
        <v>565</v>
      </c>
      <c r="C2097" s="828"/>
      <c r="D2097" s="828"/>
      <c r="E2097" s="828"/>
      <c r="F2097" s="882"/>
      <c r="G2097" s="830" t="s">
        <v>82</v>
      </c>
      <c r="H2097" s="982" t="s">
        <v>565</v>
      </c>
      <c r="I2097" s="828"/>
      <c r="J2097" s="828"/>
      <c r="K2097" s="828"/>
      <c r="L2097" s="818"/>
    </row>
    <row r="2098" spans="1:12" s="31" customFormat="1" ht="17.25" customHeight="1">
      <c r="A2098" s="830" t="s">
        <v>83</v>
      </c>
      <c r="B2098" s="983" t="s">
        <v>566</v>
      </c>
      <c r="C2098" s="828"/>
      <c r="D2098" s="828"/>
      <c r="E2098" s="823">
        <f>SUM(E2097)</f>
        <v>0</v>
      </c>
      <c r="F2098" s="882"/>
      <c r="G2098" s="830" t="s">
        <v>83</v>
      </c>
      <c r="H2098" s="983" t="s">
        <v>566</v>
      </c>
      <c r="I2098" s="828"/>
      <c r="J2098" s="828"/>
      <c r="K2098" s="823">
        <f>SUM(K2097)</f>
        <v>0</v>
      </c>
      <c r="L2098" s="818"/>
    </row>
    <row r="2099" spans="1:12" s="31" customFormat="1" ht="17.25" customHeight="1">
      <c r="A2099" s="832" t="s">
        <v>84</v>
      </c>
      <c r="B2099" s="984" t="s">
        <v>438</v>
      </c>
      <c r="C2099" s="833"/>
      <c r="D2099" s="833"/>
      <c r="E2099" s="833" t="e">
        <f>(E2088+E2089+E2090+E2091+E2092+E2093+E2094+E2095)-E2098</f>
        <v>#REF!</v>
      </c>
      <c r="F2099" s="882"/>
      <c r="G2099" s="832" t="s">
        <v>84</v>
      </c>
      <c r="H2099" s="984" t="s">
        <v>438</v>
      </c>
      <c r="I2099" s="833"/>
      <c r="J2099" s="833"/>
      <c r="K2099" s="833" t="e">
        <f>(K2088+K2089+K2090+K2091+K2092+K2093+K2094+K2095)-K2098</f>
        <v>#REF!</v>
      </c>
      <c r="L2099" s="835" t="e">
        <f>E2099+K2099</f>
        <v>#REF!</v>
      </c>
    </row>
    <row r="2100" spans="1:12" s="31" customFormat="1" ht="17.25" customHeight="1">
      <c r="A2100" s="895"/>
      <c r="B2100" s="895"/>
      <c r="C2100" s="895"/>
      <c r="D2100" s="895"/>
      <c r="E2100" s="895"/>
      <c r="F2100" s="895"/>
      <c r="G2100" s="895"/>
      <c r="H2100" s="895"/>
      <c r="I2100" s="895"/>
      <c r="J2100" s="895"/>
      <c r="K2100" s="895"/>
      <c r="L2100" s="818"/>
    </row>
    <row r="2101" spans="1:12" s="31" customFormat="1" ht="17.25" customHeight="1">
      <c r="A2101" s="891" t="str">
        <f>A2085</f>
        <v>LƯƠNG THÁNG 01/2025</v>
      </c>
      <c r="B2101" s="895"/>
      <c r="C2101" s="895"/>
      <c r="D2101" s="895"/>
      <c r="E2101" s="898" t="e">
        <f>VLOOKUP(B2102,'CNKT '!#REF!,26,0)</f>
        <v>#REF!</v>
      </c>
      <c r="F2101" s="882"/>
      <c r="G2101" s="891" t="str">
        <f>A2101</f>
        <v>LƯƠNG THÁNG 01/2025</v>
      </c>
      <c r="H2101" s="895"/>
      <c r="I2101" s="895"/>
      <c r="J2101" s="898"/>
      <c r="K2101" s="898" t="e">
        <f>VLOOKUP(H2102,'CNKT '!#REF!,26,0)</f>
        <v>#REF!</v>
      </c>
      <c r="L2101" s="818"/>
    </row>
    <row r="2102" spans="1:12" s="31" customFormat="1" ht="17.25" customHeight="1">
      <c r="A2102" s="837" t="s">
        <v>17</v>
      </c>
      <c r="B2102" s="976" t="e">
        <f>'CNKT '!#REF!</f>
        <v>#REF!</v>
      </c>
      <c r="C2102" s="822"/>
      <c r="D2102" s="976" t="s">
        <v>398</v>
      </c>
      <c r="E2102" s="976" t="s">
        <v>20</v>
      </c>
      <c r="F2102" s="882"/>
      <c r="G2102" s="837" t="s">
        <v>17</v>
      </c>
      <c r="H2102" s="976" t="e">
        <f>'CNKT '!#REF!</f>
        <v>#REF!</v>
      </c>
      <c r="I2102" s="822"/>
      <c r="J2102" s="976" t="s">
        <v>398</v>
      </c>
      <c r="K2102" s="976" t="s">
        <v>20</v>
      </c>
      <c r="L2102" s="818"/>
    </row>
    <row r="2103" spans="1:12" s="31" customFormat="1" ht="17.25" customHeight="1">
      <c r="A2103" s="821" t="s">
        <v>399</v>
      </c>
      <c r="B2103" s="978" t="s">
        <v>559</v>
      </c>
      <c r="C2103" s="822" t="e">
        <f>VLOOKUP(B2102,'BTH mủ tạp'!$C$161:$AL$161,36,0)</f>
        <v>#REF!</v>
      </c>
      <c r="D2103" s="823"/>
      <c r="E2103" s="823"/>
      <c r="F2103" s="882"/>
      <c r="G2103" s="821" t="s">
        <v>399</v>
      </c>
      <c r="H2103" s="978" t="s">
        <v>559</v>
      </c>
      <c r="I2103" s="822" t="e">
        <f>VLOOKUP(H2102,'BTH mủ tạp'!$C$161:$AL$161,36,0)</f>
        <v>#REF!</v>
      </c>
      <c r="J2103" s="823"/>
      <c r="K2103" s="823"/>
      <c r="L2103" s="818"/>
    </row>
    <row r="2104" spans="1:12" s="31" customFormat="1" ht="17.25" customHeight="1">
      <c r="A2104" s="821" t="s">
        <v>79</v>
      </c>
      <c r="B2104" s="979" t="s">
        <v>432</v>
      </c>
      <c r="C2104" s="824" t="e">
        <f>VLOOKUP(B2102,'CNKT '!#REF!,3,0)</f>
        <v>#REF!</v>
      </c>
      <c r="D2104" s="825">
        <v>25000</v>
      </c>
      <c r="E2104" s="823" t="e">
        <f t="shared" ref="E2104:E2109" si="245">C2104*D2104</f>
        <v>#REF!</v>
      </c>
      <c r="F2104" s="882"/>
      <c r="G2104" s="821" t="s">
        <v>79</v>
      </c>
      <c r="H2104" s="979" t="s">
        <v>432</v>
      </c>
      <c r="I2104" s="824" t="e">
        <f>VLOOKUP(H2102,'CNKT '!#REF!,3,0)</f>
        <v>#REF!</v>
      </c>
      <c r="J2104" s="825">
        <v>25000</v>
      </c>
      <c r="K2104" s="823" t="e">
        <f t="shared" ref="K2104:K2109" si="246">I2104*J2104</f>
        <v>#REF!</v>
      </c>
      <c r="L2104" s="818"/>
    </row>
    <row r="2105" spans="1:12" s="31" customFormat="1" ht="17.25" customHeight="1">
      <c r="A2105" s="821" t="s">
        <v>310</v>
      </c>
      <c r="B2105" s="980" t="s">
        <v>560</v>
      </c>
      <c r="C2105" s="879" t="e">
        <f>VLOOKUP(B2102,'CNKT '!#REF!,11,0)</f>
        <v>#REF!</v>
      </c>
      <c r="D2105" s="826">
        <f>46.1*$B$2</f>
        <v>30805.403000000002</v>
      </c>
      <c r="E2105" s="823" t="e">
        <f t="shared" si="245"/>
        <v>#REF!</v>
      </c>
      <c r="F2105" s="882"/>
      <c r="G2105" s="821" t="s">
        <v>310</v>
      </c>
      <c r="H2105" s="980" t="s">
        <v>560</v>
      </c>
      <c r="I2105" s="879" t="e">
        <f>VLOOKUP(H2102,'CNKT '!#REF!,11,0)</f>
        <v>#REF!</v>
      </c>
      <c r="J2105" s="826">
        <f>46.1*$B$2</f>
        <v>30805.403000000002</v>
      </c>
      <c r="K2105" s="823" t="e">
        <f t="shared" si="246"/>
        <v>#REF!</v>
      </c>
      <c r="L2105" s="818"/>
    </row>
    <row r="2106" spans="1:12" s="31" customFormat="1" ht="17.25" customHeight="1">
      <c r="A2106" s="821" t="s">
        <v>401</v>
      </c>
      <c r="B2106" s="980" t="s">
        <v>561</v>
      </c>
      <c r="C2106" s="879" t="e">
        <f>VLOOKUP(B2102,'CNKT '!#REF!,12,0)</f>
        <v>#REF!</v>
      </c>
      <c r="D2106" s="825">
        <f>76.9*$B$2</f>
        <v>51386.887000000002</v>
      </c>
      <c r="E2106" s="823" t="e">
        <f t="shared" si="245"/>
        <v>#REF!</v>
      </c>
      <c r="F2106" s="882"/>
      <c r="G2106" s="821" t="s">
        <v>401</v>
      </c>
      <c r="H2106" s="980" t="s">
        <v>561</v>
      </c>
      <c r="I2106" s="879" t="e">
        <f>VLOOKUP(H2102,'CNKT '!#REF!,12,0)</f>
        <v>#REF!</v>
      </c>
      <c r="J2106" s="825">
        <f>76.9*$B$2</f>
        <v>51386.887000000002</v>
      </c>
      <c r="K2106" s="823" t="e">
        <f t="shared" si="246"/>
        <v>#REF!</v>
      </c>
      <c r="L2106" s="818"/>
    </row>
    <row r="2107" spans="1:12" s="31" customFormat="1" ht="17.25" customHeight="1">
      <c r="A2107" s="821" t="s">
        <v>80</v>
      </c>
      <c r="B2107" s="980" t="s">
        <v>562</v>
      </c>
      <c r="C2107" s="879" t="e">
        <f>VLOOKUP(B2102,'CNKT '!#REF!,8,0)</f>
        <v>#REF!</v>
      </c>
      <c r="D2107" s="825" t="e">
        <f>IF(C2103="A",6.1,IF(C2103="B",5.8,IF(C2103="C",5.5,IF(C2103="C.",5.5,IF(C2103="D",5.2)))))*$B$2</f>
        <v>#REF!</v>
      </c>
      <c r="E2107" s="823" t="e">
        <f t="shared" si="245"/>
        <v>#REF!</v>
      </c>
      <c r="F2107" s="882"/>
      <c r="G2107" s="821" t="s">
        <v>80</v>
      </c>
      <c r="H2107" s="980" t="s">
        <v>562</v>
      </c>
      <c r="I2107" s="879" t="e">
        <f>VLOOKUP(H2102,'CNKT '!#REF!,8,0)</f>
        <v>#REF!</v>
      </c>
      <c r="J2107" s="825" t="e">
        <f>IF(I2103="A",6.1,IF(I2103="B",5.8,IF(I2103="C",5.5,IF(I2103="C.",5.5,IF(I2103="D",5.2)))))*$B$2</f>
        <v>#REF!</v>
      </c>
      <c r="K2107" s="823" t="e">
        <f t="shared" si="246"/>
        <v>#REF!</v>
      </c>
      <c r="L2107" s="818"/>
    </row>
    <row r="2108" spans="1:12" s="31" customFormat="1" ht="17.25" customHeight="1">
      <c r="A2108" s="821" t="s">
        <v>447</v>
      </c>
      <c r="B2108" s="980" t="s">
        <v>563</v>
      </c>
      <c r="C2108" s="879" t="e">
        <f>VLOOKUP(B2102,'CNKT '!#REF!,15,0)</f>
        <v>#REF!</v>
      </c>
      <c r="D2108" s="826">
        <f>92.2*$B$2</f>
        <v>61610.806000000004</v>
      </c>
      <c r="E2108" s="823" t="e">
        <f t="shared" si="245"/>
        <v>#REF!</v>
      </c>
      <c r="F2108" s="882"/>
      <c r="G2108" s="821" t="s">
        <v>447</v>
      </c>
      <c r="H2108" s="980" t="s">
        <v>563</v>
      </c>
      <c r="I2108" s="879" t="e">
        <f>VLOOKUP(H2102,'CNKT '!#REF!,15,0)</f>
        <v>#REF!</v>
      </c>
      <c r="J2108" s="826">
        <f>92.2*$B$2</f>
        <v>61610.806000000004</v>
      </c>
      <c r="K2108" s="823" t="e">
        <f t="shared" si="246"/>
        <v>#REF!</v>
      </c>
      <c r="L2108" s="818"/>
    </row>
    <row r="2109" spans="1:12" s="31" customFormat="1" ht="17.25" customHeight="1">
      <c r="A2109" s="821" t="s">
        <v>448</v>
      </c>
      <c r="B2109" s="980" t="s">
        <v>500</v>
      </c>
      <c r="C2109" s="879" t="e">
        <f>VLOOKUP(B2102,'CNKT '!#REF!,14,0)</f>
        <v>#REF!</v>
      </c>
      <c r="D2109" s="825">
        <f>153.6*$B$2</f>
        <v>102640.128</v>
      </c>
      <c r="E2109" s="823" t="e">
        <f t="shared" si="245"/>
        <v>#REF!</v>
      </c>
      <c r="F2109" s="882"/>
      <c r="G2109" s="821" t="s">
        <v>448</v>
      </c>
      <c r="H2109" s="980" t="s">
        <v>500</v>
      </c>
      <c r="I2109" s="879" t="e">
        <f>VLOOKUP(H2102,'CNKT '!#REF!,14,0)</f>
        <v>#REF!</v>
      </c>
      <c r="J2109" s="825">
        <f>153.6*$B$2</f>
        <v>102640.128</v>
      </c>
      <c r="K2109" s="823" t="e">
        <f t="shared" si="246"/>
        <v>#REF!</v>
      </c>
      <c r="L2109" s="818"/>
    </row>
    <row r="2110" spans="1:12" s="31" customFormat="1" ht="17.25" customHeight="1">
      <c r="A2110" s="821" t="s">
        <v>455</v>
      </c>
      <c r="B2110" s="980" t="s">
        <v>501</v>
      </c>
      <c r="C2110" s="879" t="e">
        <f>VLOOKUP(B2102,'CNKT '!#REF!,18,0)</f>
        <v>#REF!</v>
      </c>
      <c r="D2110" s="825">
        <v>10000</v>
      </c>
      <c r="E2110" s="823" t="e">
        <f>C2110*D2110</f>
        <v>#REF!</v>
      </c>
      <c r="F2110" s="882"/>
      <c r="G2110" s="821" t="s">
        <v>455</v>
      </c>
      <c r="H2110" s="980" t="s">
        <v>501</v>
      </c>
      <c r="I2110" s="879" t="e">
        <f>VLOOKUP(H2102,'CNKT '!#REF!,18,0)</f>
        <v>#REF!</v>
      </c>
      <c r="J2110" s="825">
        <v>10000</v>
      </c>
      <c r="K2110" s="823" t="e">
        <f>I2110*J2110</f>
        <v>#REF!</v>
      </c>
      <c r="L2110" s="818"/>
    </row>
    <row r="2111" spans="1:12" s="31" customFormat="1" ht="17.25" customHeight="1">
      <c r="A2111" s="821" t="s">
        <v>455</v>
      </c>
      <c r="B2111" s="980" t="s">
        <v>501</v>
      </c>
      <c r="C2111" s="879" t="e">
        <f>VLOOKUP(B2102,'CNKT '!#REF!,19,0)</f>
        <v>#REF!</v>
      </c>
      <c r="D2111" s="825">
        <v>20000</v>
      </c>
      <c r="E2111" s="823" t="e">
        <f>C2111*D2111</f>
        <v>#REF!</v>
      </c>
      <c r="F2111" s="882"/>
      <c r="G2111" s="821" t="s">
        <v>455</v>
      </c>
      <c r="H2111" s="980" t="s">
        <v>501</v>
      </c>
      <c r="I2111" s="879" t="e">
        <f>VLOOKUP(H2102,'CNKT '!#REF!,19,0)</f>
        <v>#REF!</v>
      </c>
      <c r="J2111" s="825">
        <v>20000</v>
      </c>
      <c r="K2111" s="823" t="e">
        <f>I2111*J2111</f>
        <v>#REF!</v>
      </c>
      <c r="L2111" s="818"/>
    </row>
    <row r="2112" spans="1:12" s="31" customFormat="1" ht="17.25" customHeight="1">
      <c r="A2112" s="827" t="s">
        <v>81</v>
      </c>
      <c r="B2112" s="981" t="s">
        <v>564</v>
      </c>
      <c r="C2112" s="828"/>
      <c r="D2112" s="829"/>
      <c r="E2112" s="828"/>
      <c r="F2112" s="882"/>
      <c r="G2112" s="827" t="s">
        <v>81</v>
      </c>
      <c r="H2112" s="981" t="s">
        <v>564</v>
      </c>
      <c r="I2112" s="828"/>
      <c r="J2112" s="829"/>
      <c r="K2112" s="828"/>
      <c r="L2112" s="818"/>
    </row>
    <row r="2113" spans="1:12" s="31" customFormat="1" ht="17.25" customHeight="1">
      <c r="A2113" s="830" t="s">
        <v>82</v>
      </c>
      <c r="B2113" s="982" t="s">
        <v>565</v>
      </c>
      <c r="C2113" s="828"/>
      <c r="D2113" s="828"/>
      <c r="E2113" s="828"/>
      <c r="F2113" s="882"/>
      <c r="G2113" s="830" t="s">
        <v>82</v>
      </c>
      <c r="H2113" s="982" t="s">
        <v>565</v>
      </c>
      <c r="I2113" s="828"/>
      <c r="J2113" s="828"/>
      <c r="K2113" s="828"/>
      <c r="L2113" s="818"/>
    </row>
    <row r="2114" spans="1:12" s="31" customFormat="1" ht="17.25" customHeight="1">
      <c r="A2114" s="830" t="s">
        <v>83</v>
      </c>
      <c r="B2114" s="983" t="s">
        <v>566</v>
      </c>
      <c r="C2114" s="828"/>
      <c r="D2114" s="828"/>
      <c r="E2114" s="823">
        <f>SUM(E2113)</f>
        <v>0</v>
      </c>
      <c r="F2114" s="882"/>
      <c r="G2114" s="830" t="s">
        <v>83</v>
      </c>
      <c r="H2114" s="983" t="s">
        <v>566</v>
      </c>
      <c r="I2114" s="828"/>
      <c r="J2114" s="828"/>
      <c r="K2114" s="823">
        <f>SUM(K2113)</f>
        <v>0</v>
      </c>
      <c r="L2114" s="818"/>
    </row>
    <row r="2115" spans="1:12" s="31" customFormat="1" ht="17.25" customHeight="1">
      <c r="A2115" s="832" t="s">
        <v>84</v>
      </c>
      <c r="B2115" s="984" t="s">
        <v>438</v>
      </c>
      <c r="C2115" s="833"/>
      <c r="D2115" s="833"/>
      <c r="E2115" s="833" t="e">
        <f>(E2104+E2105+E2106+E2107+E2108+E2109+E2110+E2111)-E2114</f>
        <v>#REF!</v>
      </c>
      <c r="F2115" s="882"/>
      <c r="G2115" s="832" t="s">
        <v>84</v>
      </c>
      <c r="H2115" s="984" t="s">
        <v>438</v>
      </c>
      <c r="I2115" s="833"/>
      <c r="J2115" s="833"/>
      <c r="K2115" s="833" t="e">
        <f>(K2104+K2105+K2106+K2107+K2108+K2109+K2110+K2111)-K2114</f>
        <v>#REF!</v>
      </c>
      <c r="L2115" s="835" t="e">
        <f>E2115+K2115</f>
        <v>#REF!</v>
      </c>
    </row>
    <row r="2116" spans="1:12" s="31" customFormat="1" ht="17.25" customHeight="1">
      <c r="A2116" s="895"/>
      <c r="B2116" s="895"/>
      <c r="C2116" s="895"/>
      <c r="D2116" s="895"/>
      <c r="E2116" s="895"/>
      <c r="F2116" s="895"/>
      <c r="G2116" s="895"/>
      <c r="H2116" s="895"/>
      <c r="I2116" s="895"/>
      <c r="J2116" s="895"/>
      <c r="K2116" s="895"/>
      <c r="L2116" s="818"/>
    </row>
    <row r="2117" spans="1:12" s="31" customFormat="1" ht="17.25" customHeight="1">
      <c r="A2117" s="891" t="str">
        <f>A2101</f>
        <v>LƯƠNG THÁNG 01/2025</v>
      </c>
      <c r="B2117" s="895"/>
      <c r="C2117" s="895"/>
      <c r="D2117" s="895"/>
      <c r="E2117" s="898" t="e">
        <f>VLOOKUP(B2118,'CNKT '!#REF!,26,0)</f>
        <v>#REF!</v>
      </c>
      <c r="F2117" s="882"/>
      <c r="G2117" s="891" t="str">
        <f>A2117</f>
        <v>LƯƠNG THÁNG 01/2025</v>
      </c>
      <c r="H2117" s="895"/>
      <c r="I2117" s="895"/>
      <c r="J2117" s="898"/>
      <c r="K2117" s="898" t="e">
        <f>VLOOKUP(H2118,'CNKT '!#REF!,26,0)</f>
        <v>#REF!</v>
      </c>
      <c r="L2117" s="818"/>
    </row>
    <row r="2118" spans="1:12" s="31" customFormat="1" ht="17.25" customHeight="1">
      <c r="A2118" s="837" t="s">
        <v>17</v>
      </c>
      <c r="B2118" s="976" t="e">
        <f>'CNKT '!#REF!</f>
        <v>#REF!</v>
      </c>
      <c r="C2118" s="822"/>
      <c r="D2118" s="976" t="s">
        <v>398</v>
      </c>
      <c r="E2118" s="976" t="s">
        <v>20</v>
      </c>
      <c r="F2118" s="882"/>
      <c r="G2118" s="837" t="s">
        <v>17</v>
      </c>
      <c r="H2118" s="976" t="e">
        <f>'CNKT '!#REF!</f>
        <v>#REF!</v>
      </c>
      <c r="I2118" s="822"/>
      <c r="J2118" s="976" t="s">
        <v>398</v>
      </c>
      <c r="K2118" s="976" t="s">
        <v>20</v>
      </c>
      <c r="L2118" s="818"/>
    </row>
    <row r="2119" spans="1:12" s="31" customFormat="1" ht="17.25" customHeight="1">
      <c r="A2119" s="821" t="s">
        <v>399</v>
      </c>
      <c r="B2119" s="978" t="s">
        <v>559</v>
      </c>
      <c r="C2119" s="822" t="e">
        <f>VLOOKUP(B2118,'BTH mủ tạp'!$C$161:$AL$161,36,0)</f>
        <v>#REF!</v>
      </c>
      <c r="D2119" s="823"/>
      <c r="E2119" s="823"/>
      <c r="F2119" s="882"/>
      <c r="G2119" s="821" t="s">
        <v>399</v>
      </c>
      <c r="H2119" s="978" t="s">
        <v>559</v>
      </c>
      <c r="I2119" s="822" t="e">
        <f>VLOOKUP(H2118,'BTH mủ tạp'!$C$161:$AL$161,36,0)</f>
        <v>#REF!</v>
      </c>
      <c r="J2119" s="823"/>
      <c r="K2119" s="823"/>
      <c r="L2119" s="818"/>
    </row>
    <row r="2120" spans="1:12" s="31" customFormat="1" ht="17.25" customHeight="1">
      <c r="A2120" s="821" t="s">
        <v>79</v>
      </c>
      <c r="B2120" s="979" t="s">
        <v>432</v>
      </c>
      <c r="C2120" s="824" t="e">
        <f>VLOOKUP(B2118,'CNKT '!#REF!,3,0)</f>
        <v>#REF!</v>
      </c>
      <c r="D2120" s="825">
        <v>25000</v>
      </c>
      <c r="E2120" s="823" t="e">
        <f t="shared" ref="E2120:E2125" si="247">C2120*D2120</f>
        <v>#REF!</v>
      </c>
      <c r="F2120" s="882"/>
      <c r="G2120" s="821" t="s">
        <v>79</v>
      </c>
      <c r="H2120" s="979" t="s">
        <v>432</v>
      </c>
      <c r="I2120" s="824" t="e">
        <f>VLOOKUP(H2118,'CNKT '!#REF!,3,0)</f>
        <v>#REF!</v>
      </c>
      <c r="J2120" s="825">
        <v>25000</v>
      </c>
      <c r="K2120" s="823" t="e">
        <f t="shared" ref="K2120:K2125" si="248">I2120*J2120</f>
        <v>#REF!</v>
      </c>
      <c r="L2120" s="818"/>
    </row>
    <row r="2121" spans="1:12" s="31" customFormat="1" ht="17.25" customHeight="1">
      <c r="A2121" s="821" t="s">
        <v>310</v>
      </c>
      <c r="B2121" s="980" t="s">
        <v>560</v>
      </c>
      <c r="C2121" s="879" t="e">
        <f>VLOOKUP(B2118,'CNKT '!#REF!,11,0)</f>
        <v>#REF!</v>
      </c>
      <c r="D2121" s="826">
        <f>46.1*$B$2</f>
        <v>30805.403000000002</v>
      </c>
      <c r="E2121" s="823" t="e">
        <f t="shared" si="247"/>
        <v>#REF!</v>
      </c>
      <c r="F2121" s="882"/>
      <c r="G2121" s="821" t="s">
        <v>310</v>
      </c>
      <c r="H2121" s="980" t="s">
        <v>560</v>
      </c>
      <c r="I2121" s="879" t="e">
        <f>VLOOKUP(H2118,'CNKT '!#REF!,11,0)</f>
        <v>#REF!</v>
      </c>
      <c r="J2121" s="826">
        <f>46.1*$B$2</f>
        <v>30805.403000000002</v>
      </c>
      <c r="K2121" s="823" t="e">
        <f t="shared" si="248"/>
        <v>#REF!</v>
      </c>
      <c r="L2121" s="818"/>
    </row>
    <row r="2122" spans="1:12" s="31" customFormat="1" ht="17.25" customHeight="1">
      <c r="A2122" s="821" t="s">
        <v>401</v>
      </c>
      <c r="B2122" s="980" t="s">
        <v>561</v>
      </c>
      <c r="C2122" s="879" t="e">
        <f>VLOOKUP(B2118,'CNKT '!#REF!,12,0)</f>
        <v>#REF!</v>
      </c>
      <c r="D2122" s="825">
        <f>76.9*$B$2</f>
        <v>51386.887000000002</v>
      </c>
      <c r="E2122" s="823" t="e">
        <f t="shared" si="247"/>
        <v>#REF!</v>
      </c>
      <c r="F2122" s="882"/>
      <c r="G2122" s="821" t="s">
        <v>401</v>
      </c>
      <c r="H2122" s="980" t="s">
        <v>561</v>
      </c>
      <c r="I2122" s="879" t="e">
        <f>VLOOKUP(H2118,'CNKT '!#REF!,12,0)</f>
        <v>#REF!</v>
      </c>
      <c r="J2122" s="825">
        <f>76.9*$B$2</f>
        <v>51386.887000000002</v>
      </c>
      <c r="K2122" s="823" t="e">
        <f t="shared" si="248"/>
        <v>#REF!</v>
      </c>
      <c r="L2122" s="818"/>
    </row>
    <row r="2123" spans="1:12" s="31" customFormat="1" ht="17.25" customHeight="1">
      <c r="A2123" s="821" t="s">
        <v>80</v>
      </c>
      <c r="B2123" s="980" t="s">
        <v>562</v>
      </c>
      <c r="C2123" s="879" t="e">
        <f>VLOOKUP(B2118,'CNKT '!#REF!,8,0)</f>
        <v>#REF!</v>
      </c>
      <c r="D2123" s="825" t="e">
        <f>IF(C2119="A",6.1,IF(C2119="B",5.8,IF(C2119="C",5.5,IF(C2119="C.",5.5,IF(C2119="D",5.2)))))*$B$2</f>
        <v>#REF!</v>
      </c>
      <c r="E2123" s="823" t="e">
        <f t="shared" si="247"/>
        <v>#REF!</v>
      </c>
      <c r="F2123" s="882"/>
      <c r="G2123" s="821" t="s">
        <v>80</v>
      </c>
      <c r="H2123" s="980" t="s">
        <v>562</v>
      </c>
      <c r="I2123" s="879" t="e">
        <f>VLOOKUP(H2118,'CNKT '!#REF!,8,0)</f>
        <v>#REF!</v>
      </c>
      <c r="J2123" s="825" t="e">
        <f>IF(I2119="A",6.1,IF(I2119="B",5.8,IF(I2119="C",5.5,IF(I2119="C.",5.5,IF(I2119="D",5.2)))))*$B$2</f>
        <v>#REF!</v>
      </c>
      <c r="K2123" s="823" t="e">
        <f t="shared" si="248"/>
        <v>#REF!</v>
      </c>
      <c r="L2123" s="818"/>
    </row>
    <row r="2124" spans="1:12" s="31" customFormat="1" ht="17.25" customHeight="1">
      <c r="A2124" s="821" t="s">
        <v>447</v>
      </c>
      <c r="B2124" s="980" t="s">
        <v>563</v>
      </c>
      <c r="C2124" s="879" t="e">
        <f>VLOOKUP(B2118,'CNKT '!#REF!,15,0)</f>
        <v>#REF!</v>
      </c>
      <c r="D2124" s="826">
        <f>92.2*$B$2</f>
        <v>61610.806000000004</v>
      </c>
      <c r="E2124" s="823" t="e">
        <f t="shared" si="247"/>
        <v>#REF!</v>
      </c>
      <c r="F2124" s="882"/>
      <c r="G2124" s="821" t="s">
        <v>447</v>
      </c>
      <c r="H2124" s="980" t="s">
        <v>563</v>
      </c>
      <c r="I2124" s="879" t="e">
        <f>VLOOKUP(H2118,'CNKT '!#REF!,15,0)</f>
        <v>#REF!</v>
      </c>
      <c r="J2124" s="826">
        <f>92.2*$B$2</f>
        <v>61610.806000000004</v>
      </c>
      <c r="K2124" s="823" t="e">
        <f t="shared" si="248"/>
        <v>#REF!</v>
      </c>
      <c r="L2124" s="818"/>
    </row>
    <row r="2125" spans="1:12" s="31" customFormat="1" ht="17.25" customHeight="1">
      <c r="A2125" s="821" t="s">
        <v>448</v>
      </c>
      <c r="B2125" s="980" t="s">
        <v>500</v>
      </c>
      <c r="C2125" s="879" t="e">
        <f>VLOOKUP(B2118,'CNKT '!#REF!,14,0)</f>
        <v>#REF!</v>
      </c>
      <c r="D2125" s="825">
        <f>153.6*$B$2</f>
        <v>102640.128</v>
      </c>
      <c r="E2125" s="823" t="e">
        <f t="shared" si="247"/>
        <v>#REF!</v>
      </c>
      <c r="F2125" s="882"/>
      <c r="G2125" s="821" t="s">
        <v>448</v>
      </c>
      <c r="H2125" s="980" t="s">
        <v>500</v>
      </c>
      <c r="I2125" s="879" t="e">
        <f>VLOOKUP(H2118,'CNKT '!#REF!,14,0)</f>
        <v>#REF!</v>
      </c>
      <c r="J2125" s="825">
        <f>153.6*$B$2</f>
        <v>102640.128</v>
      </c>
      <c r="K2125" s="823" t="e">
        <f t="shared" si="248"/>
        <v>#REF!</v>
      </c>
      <c r="L2125" s="818"/>
    </row>
    <row r="2126" spans="1:12" s="31" customFormat="1" ht="17.25" customHeight="1">
      <c r="A2126" s="821" t="s">
        <v>455</v>
      </c>
      <c r="B2126" s="980" t="s">
        <v>501</v>
      </c>
      <c r="C2126" s="879" t="e">
        <f>VLOOKUP(B2118,'CNKT '!#REF!,18,0)</f>
        <v>#REF!</v>
      </c>
      <c r="D2126" s="825">
        <v>10000</v>
      </c>
      <c r="E2126" s="823" t="e">
        <f>C2126*D2126</f>
        <v>#REF!</v>
      </c>
      <c r="F2126" s="882"/>
      <c r="G2126" s="821" t="s">
        <v>455</v>
      </c>
      <c r="H2126" s="980" t="s">
        <v>501</v>
      </c>
      <c r="I2126" s="879" t="e">
        <f>VLOOKUP(H2118,'CNKT '!#REF!,18,0)</f>
        <v>#REF!</v>
      </c>
      <c r="J2126" s="825">
        <v>10000</v>
      </c>
      <c r="K2126" s="823" t="e">
        <f>I2126*J2126</f>
        <v>#REF!</v>
      </c>
      <c r="L2126" s="818"/>
    </row>
    <row r="2127" spans="1:12" s="31" customFormat="1" ht="17.25" customHeight="1">
      <c r="A2127" s="821" t="s">
        <v>455</v>
      </c>
      <c r="B2127" s="980" t="s">
        <v>501</v>
      </c>
      <c r="C2127" s="879" t="e">
        <f>VLOOKUP(B2118,'CNKT '!#REF!,19,0)</f>
        <v>#REF!</v>
      </c>
      <c r="D2127" s="825">
        <v>20000</v>
      </c>
      <c r="E2127" s="823" t="e">
        <f>C2127*D2127</f>
        <v>#REF!</v>
      </c>
      <c r="F2127" s="882"/>
      <c r="G2127" s="821" t="s">
        <v>455</v>
      </c>
      <c r="H2127" s="980" t="s">
        <v>501</v>
      </c>
      <c r="I2127" s="879" t="e">
        <f>VLOOKUP(H2118,'CNKT '!#REF!,19,0)</f>
        <v>#REF!</v>
      </c>
      <c r="J2127" s="825">
        <v>20000</v>
      </c>
      <c r="K2127" s="823" t="e">
        <f>I2127*J2127</f>
        <v>#REF!</v>
      </c>
      <c r="L2127" s="818"/>
    </row>
    <row r="2128" spans="1:12" s="31" customFormat="1" ht="17.25" customHeight="1">
      <c r="A2128" s="827" t="s">
        <v>81</v>
      </c>
      <c r="B2128" s="981" t="s">
        <v>564</v>
      </c>
      <c r="C2128" s="828"/>
      <c r="D2128" s="829"/>
      <c r="E2128" s="828"/>
      <c r="F2128" s="882"/>
      <c r="G2128" s="827" t="s">
        <v>81</v>
      </c>
      <c r="H2128" s="981" t="s">
        <v>564</v>
      </c>
      <c r="I2128" s="828"/>
      <c r="J2128" s="829"/>
      <c r="K2128" s="828"/>
      <c r="L2128" s="818"/>
    </row>
    <row r="2129" spans="1:12" s="31" customFormat="1" ht="17.25" customHeight="1">
      <c r="A2129" s="830" t="s">
        <v>82</v>
      </c>
      <c r="B2129" s="982" t="s">
        <v>565</v>
      </c>
      <c r="C2129" s="828"/>
      <c r="D2129" s="828"/>
      <c r="E2129" s="828"/>
      <c r="F2129" s="882"/>
      <c r="G2129" s="830" t="s">
        <v>82</v>
      </c>
      <c r="H2129" s="982" t="s">
        <v>565</v>
      </c>
      <c r="I2129" s="828"/>
      <c r="J2129" s="828"/>
      <c r="K2129" s="828"/>
      <c r="L2129" s="818"/>
    </row>
    <row r="2130" spans="1:12" s="31" customFormat="1" ht="17.25" customHeight="1">
      <c r="A2130" s="830" t="s">
        <v>83</v>
      </c>
      <c r="B2130" s="983" t="s">
        <v>566</v>
      </c>
      <c r="C2130" s="828"/>
      <c r="D2130" s="828"/>
      <c r="E2130" s="823">
        <f>SUM(E2129)</f>
        <v>0</v>
      </c>
      <c r="F2130" s="879"/>
      <c r="G2130" s="830" t="s">
        <v>83</v>
      </c>
      <c r="H2130" s="983" t="s">
        <v>566</v>
      </c>
      <c r="I2130" s="828"/>
      <c r="J2130" s="828"/>
      <c r="K2130" s="823">
        <f>SUM(K2129)</f>
        <v>0</v>
      </c>
      <c r="L2130" s="818"/>
    </row>
    <row r="2131" spans="1:12" s="31" customFormat="1" ht="17.25" customHeight="1">
      <c r="A2131" s="832" t="s">
        <v>84</v>
      </c>
      <c r="B2131" s="984" t="s">
        <v>438</v>
      </c>
      <c r="C2131" s="833"/>
      <c r="D2131" s="833"/>
      <c r="E2131" s="833" t="e">
        <f>(E2120+E2121+E2122+E2123+E2124+E2125+E2126+E2127)-E2130</f>
        <v>#REF!</v>
      </c>
      <c r="F2131" s="879"/>
      <c r="G2131" s="832" t="s">
        <v>84</v>
      </c>
      <c r="H2131" s="984" t="s">
        <v>438</v>
      </c>
      <c r="I2131" s="833"/>
      <c r="J2131" s="833"/>
      <c r="K2131" s="833" t="e">
        <f>(K2120+K2121+K2122+K2123+K2124+K2125+K2126+K2127)-K2130</f>
        <v>#REF!</v>
      </c>
      <c r="L2131" s="835" t="e">
        <f>E2131+K2131</f>
        <v>#REF!</v>
      </c>
    </row>
    <row r="2132" spans="1:12" s="31" customFormat="1" ht="17.25" customHeight="1">
      <c r="A2132" s="895"/>
      <c r="B2132" s="895"/>
      <c r="C2132" s="895"/>
      <c r="D2132" s="895"/>
      <c r="E2132" s="895"/>
      <c r="F2132" s="895"/>
      <c r="G2132" s="895"/>
      <c r="H2132" s="895"/>
      <c r="I2132" s="895"/>
      <c r="J2132" s="895"/>
      <c r="K2132" s="895"/>
      <c r="L2132" s="818"/>
    </row>
    <row r="2133" spans="1:12" s="31" customFormat="1" ht="17.25" customHeight="1">
      <c r="A2133" s="891" t="str">
        <f>A2117</f>
        <v>LƯƠNG THÁNG 01/2025</v>
      </c>
      <c r="B2133" s="895"/>
      <c r="C2133" s="895"/>
      <c r="D2133" s="895"/>
      <c r="E2133" s="898" t="e">
        <f>VLOOKUP(B2134,'CNKT '!#REF!,26,0)</f>
        <v>#REF!</v>
      </c>
      <c r="F2133" s="882"/>
      <c r="G2133" s="891" t="str">
        <f>A2133</f>
        <v>LƯƠNG THÁNG 01/2025</v>
      </c>
      <c r="H2133" s="895"/>
      <c r="I2133" s="895"/>
      <c r="J2133" s="898"/>
      <c r="K2133" s="898" t="e">
        <f>VLOOKUP(H2134,'CNKT '!#REF!,26,0)</f>
        <v>#REF!</v>
      </c>
      <c r="L2133" s="818"/>
    </row>
    <row r="2134" spans="1:12" s="31" customFormat="1" ht="17.25" customHeight="1">
      <c r="A2134" s="837" t="s">
        <v>17</v>
      </c>
      <c r="B2134" s="976" t="e">
        <f>'CNKT '!#REF!</f>
        <v>#REF!</v>
      </c>
      <c r="C2134" s="822"/>
      <c r="D2134" s="976" t="s">
        <v>398</v>
      </c>
      <c r="E2134" s="976" t="s">
        <v>20</v>
      </c>
      <c r="F2134" s="882"/>
      <c r="G2134" s="837" t="s">
        <v>17</v>
      </c>
      <c r="H2134" s="976" t="e">
        <f>'CNKT '!#REF!</f>
        <v>#REF!</v>
      </c>
      <c r="I2134" s="822"/>
      <c r="J2134" s="976" t="s">
        <v>398</v>
      </c>
      <c r="K2134" s="976" t="s">
        <v>20</v>
      </c>
      <c r="L2134" s="818"/>
    </row>
    <row r="2135" spans="1:12" s="31" customFormat="1" ht="17.25" customHeight="1">
      <c r="A2135" s="821" t="s">
        <v>399</v>
      </c>
      <c r="B2135" s="978" t="s">
        <v>559</v>
      </c>
      <c r="C2135" s="822" t="e">
        <f>VLOOKUP(B2134,'BTH mủ tạp'!$C$161:$AL$161,36,0)</f>
        <v>#REF!</v>
      </c>
      <c r="D2135" s="823"/>
      <c r="E2135" s="823"/>
      <c r="F2135" s="882"/>
      <c r="G2135" s="821" t="s">
        <v>399</v>
      </c>
      <c r="H2135" s="978" t="s">
        <v>559</v>
      </c>
      <c r="I2135" s="822" t="e">
        <f>VLOOKUP(H2134,'BTH mủ tạp'!$C$161:$AL$161,36,0)</f>
        <v>#REF!</v>
      </c>
      <c r="J2135" s="823"/>
      <c r="K2135" s="823"/>
      <c r="L2135" s="818"/>
    </row>
    <row r="2136" spans="1:12" s="31" customFormat="1" ht="17.25" customHeight="1">
      <c r="A2136" s="821" t="s">
        <v>79</v>
      </c>
      <c r="B2136" s="979" t="s">
        <v>432</v>
      </c>
      <c r="C2136" s="824" t="e">
        <f>VLOOKUP(B2134,'CNKT '!#REF!,3,0)</f>
        <v>#REF!</v>
      </c>
      <c r="D2136" s="825">
        <v>25000</v>
      </c>
      <c r="E2136" s="823" t="e">
        <f t="shared" ref="E2136:E2141" si="249">C2136*D2136</f>
        <v>#REF!</v>
      </c>
      <c r="F2136" s="882"/>
      <c r="G2136" s="821" t="s">
        <v>79</v>
      </c>
      <c r="H2136" s="979" t="s">
        <v>432</v>
      </c>
      <c r="I2136" s="824" t="e">
        <f>VLOOKUP(H2134,'CNKT '!#REF!,3,0)</f>
        <v>#REF!</v>
      </c>
      <c r="J2136" s="825">
        <v>25000</v>
      </c>
      <c r="K2136" s="823" t="e">
        <f t="shared" ref="K2136:K2141" si="250">I2136*J2136</f>
        <v>#REF!</v>
      </c>
      <c r="L2136" s="818"/>
    </row>
    <row r="2137" spans="1:12" s="31" customFormat="1" ht="17.25" customHeight="1">
      <c r="A2137" s="821" t="s">
        <v>310</v>
      </c>
      <c r="B2137" s="980" t="s">
        <v>560</v>
      </c>
      <c r="C2137" s="879" t="e">
        <f>VLOOKUP(B2134,'CNKT '!#REF!,11,0)</f>
        <v>#REF!</v>
      </c>
      <c r="D2137" s="826">
        <f>46.1*$B$2</f>
        <v>30805.403000000002</v>
      </c>
      <c r="E2137" s="823" t="e">
        <f t="shared" si="249"/>
        <v>#REF!</v>
      </c>
      <c r="F2137" s="882"/>
      <c r="G2137" s="821" t="s">
        <v>310</v>
      </c>
      <c r="H2137" s="980" t="s">
        <v>560</v>
      </c>
      <c r="I2137" s="879" t="e">
        <f>VLOOKUP(H2134,'CNKT '!#REF!,11,0)</f>
        <v>#REF!</v>
      </c>
      <c r="J2137" s="826">
        <f>46.1*$B$2</f>
        <v>30805.403000000002</v>
      </c>
      <c r="K2137" s="823" t="e">
        <f t="shared" si="250"/>
        <v>#REF!</v>
      </c>
      <c r="L2137" s="818"/>
    </row>
    <row r="2138" spans="1:12" s="31" customFormat="1" ht="17.25" customHeight="1">
      <c r="A2138" s="821" t="s">
        <v>401</v>
      </c>
      <c r="B2138" s="980" t="s">
        <v>561</v>
      </c>
      <c r="C2138" s="879" t="e">
        <f>VLOOKUP(B2134,'CNKT '!#REF!,12,0)</f>
        <v>#REF!</v>
      </c>
      <c r="D2138" s="825">
        <f>76.9*$B$2</f>
        <v>51386.887000000002</v>
      </c>
      <c r="E2138" s="823" t="e">
        <f t="shared" si="249"/>
        <v>#REF!</v>
      </c>
      <c r="F2138" s="882"/>
      <c r="G2138" s="821" t="s">
        <v>401</v>
      </c>
      <c r="H2138" s="980" t="s">
        <v>561</v>
      </c>
      <c r="I2138" s="879" t="e">
        <f>VLOOKUP(H2134,'CNKT '!#REF!,12,0)</f>
        <v>#REF!</v>
      </c>
      <c r="J2138" s="825">
        <f>76.9*$B$2</f>
        <v>51386.887000000002</v>
      </c>
      <c r="K2138" s="823" t="e">
        <f t="shared" si="250"/>
        <v>#REF!</v>
      </c>
      <c r="L2138" s="818"/>
    </row>
    <row r="2139" spans="1:12" s="31" customFormat="1" ht="17.25" customHeight="1">
      <c r="A2139" s="821" t="s">
        <v>80</v>
      </c>
      <c r="B2139" s="980" t="s">
        <v>562</v>
      </c>
      <c r="C2139" s="879" t="e">
        <f>VLOOKUP(B2134,'CNKT '!#REF!,8,0)</f>
        <v>#REF!</v>
      </c>
      <c r="D2139" s="825" t="e">
        <f>IF(C2135="A",6.1,IF(C2135="B",5.8,IF(C2135="C",5.5,IF(C2135="C.",5.5,IF(C2135="D",5.2)))))*$B$2</f>
        <v>#REF!</v>
      </c>
      <c r="E2139" s="823" t="e">
        <f t="shared" si="249"/>
        <v>#REF!</v>
      </c>
      <c r="F2139" s="882"/>
      <c r="G2139" s="821" t="s">
        <v>80</v>
      </c>
      <c r="H2139" s="980" t="s">
        <v>562</v>
      </c>
      <c r="I2139" s="879" t="e">
        <f>VLOOKUP(H2134,'CNKT '!#REF!,8,0)</f>
        <v>#REF!</v>
      </c>
      <c r="J2139" s="825" t="e">
        <f>IF(I2135="A",6.1,IF(I2135="B",5.8,IF(I2135="C",5.5,IF(I2135="C.",5.5,IF(I2135="D",5.2)))))*$B$2</f>
        <v>#REF!</v>
      </c>
      <c r="K2139" s="823" t="e">
        <f t="shared" si="250"/>
        <v>#REF!</v>
      </c>
      <c r="L2139" s="818"/>
    </row>
    <row r="2140" spans="1:12" s="31" customFormat="1" ht="17.25" customHeight="1">
      <c r="A2140" s="821" t="s">
        <v>447</v>
      </c>
      <c r="B2140" s="980" t="s">
        <v>563</v>
      </c>
      <c r="C2140" s="879" t="e">
        <f>VLOOKUP(B2134,'CNKT '!#REF!,15,0)</f>
        <v>#REF!</v>
      </c>
      <c r="D2140" s="826">
        <f>92.2*$B$2</f>
        <v>61610.806000000004</v>
      </c>
      <c r="E2140" s="823" t="e">
        <f t="shared" si="249"/>
        <v>#REF!</v>
      </c>
      <c r="F2140" s="882"/>
      <c r="G2140" s="821" t="s">
        <v>447</v>
      </c>
      <c r="H2140" s="980" t="s">
        <v>563</v>
      </c>
      <c r="I2140" s="879" t="e">
        <f>VLOOKUP(H2134,'CNKT '!#REF!,15,0)</f>
        <v>#REF!</v>
      </c>
      <c r="J2140" s="826">
        <f>92.2*$B$2</f>
        <v>61610.806000000004</v>
      </c>
      <c r="K2140" s="823" t="e">
        <f t="shared" si="250"/>
        <v>#REF!</v>
      </c>
      <c r="L2140" s="818"/>
    </row>
    <row r="2141" spans="1:12" s="31" customFormat="1" ht="17.25" customHeight="1">
      <c r="A2141" s="821" t="s">
        <v>448</v>
      </c>
      <c r="B2141" s="980" t="s">
        <v>500</v>
      </c>
      <c r="C2141" s="879" t="e">
        <f>VLOOKUP(B2134,'CNKT '!#REF!,14,0)</f>
        <v>#REF!</v>
      </c>
      <c r="D2141" s="825">
        <f>153.6*$B$2</f>
        <v>102640.128</v>
      </c>
      <c r="E2141" s="823" t="e">
        <f t="shared" si="249"/>
        <v>#REF!</v>
      </c>
      <c r="F2141" s="882"/>
      <c r="G2141" s="821" t="s">
        <v>448</v>
      </c>
      <c r="H2141" s="980" t="s">
        <v>500</v>
      </c>
      <c r="I2141" s="879" t="e">
        <f>VLOOKUP(H2134,'CNKT '!#REF!,14,0)</f>
        <v>#REF!</v>
      </c>
      <c r="J2141" s="825">
        <f>153.6*$B$2</f>
        <v>102640.128</v>
      </c>
      <c r="K2141" s="823" t="e">
        <f t="shared" si="250"/>
        <v>#REF!</v>
      </c>
      <c r="L2141" s="818"/>
    </row>
    <row r="2142" spans="1:12" s="31" customFormat="1" ht="17.25" customHeight="1">
      <c r="A2142" s="821" t="s">
        <v>455</v>
      </c>
      <c r="B2142" s="980" t="s">
        <v>501</v>
      </c>
      <c r="C2142" s="879" t="e">
        <f>VLOOKUP(B2134,'CNKT '!#REF!,18,0)</f>
        <v>#REF!</v>
      </c>
      <c r="D2142" s="825">
        <v>10000</v>
      </c>
      <c r="E2142" s="823" t="e">
        <f>C2142*D2142</f>
        <v>#REF!</v>
      </c>
      <c r="F2142" s="882"/>
      <c r="G2142" s="821" t="s">
        <v>455</v>
      </c>
      <c r="H2142" s="980" t="s">
        <v>501</v>
      </c>
      <c r="I2142" s="879" t="e">
        <f>VLOOKUP(H2134,'CNKT '!#REF!,18,0)</f>
        <v>#REF!</v>
      </c>
      <c r="J2142" s="825">
        <v>10000</v>
      </c>
      <c r="K2142" s="823" t="e">
        <f>I2142*J2142</f>
        <v>#REF!</v>
      </c>
      <c r="L2142" s="818"/>
    </row>
    <row r="2143" spans="1:12" s="31" customFormat="1" ht="17.25" customHeight="1">
      <c r="A2143" s="821" t="s">
        <v>455</v>
      </c>
      <c r="B2143" s="980" t="s">
        <v>501</v>
      </c>
      <c r="C2143" s="879" t="e">
        <f>VLOOKUP(B2134,'CNKT '!#REF!,19,0)</f>
        <v>#REF!</v>
      </c>
      <c r="D2143" s="825">
        <v>20000</v>
      </c>
      <c r="E2143" s="823" t="e">
        <f>C2143*D2143</f>
        <v>#REF!</v>
      </c>
      <c r="F2143" s="882"/>
      <c r="G2143" s="821" t="s">
        <v>455</v>
      </c>
      <c r="H2143" s="980" t="s">
        <v>501</v>
      </c>
      <c r="I2143" s="879" t="e">
        <f>VLOOKUP(H2134,'CNKT '!#REF!,19,0)</f>
        <v>#REF!</v>
      </c>
      <c r="J2143" s="825">
        <v>20000</v>
      </c>
      <c r="K2143" s="823" t="e">
        <f>I2143*J2143</f>
        <v>#REF!</v>
      </c>
      <c r="L2143" s="818"/>
    </row>
    <row r="2144" spans="1:12" s="31" customFormat="1" ht="17.25" customHeight="1">
      <c r="A2144" s="827" t="s">
        <v>81</v>
      </c>
      <c r="B2144" s="981" t="s">
        <v>564</v>
      </c>
      <c r="C2144" s="828"/>
      <c r="D2144" s="829"/>
      <c r="E2144" s="828"/>
      <c r="F2144" s="882"/>
      <c r="G2144" s="827" t="s">
        <v>81</v>
      </c>
      <c r="H2144" s="981" t="s">
        <v>564</v>
      </c>
      <c r="I2144" s="828"/>
      <c r="J2144" s="829"/>
      <c r="K2144" s="828"/>
      <c r="L2144" s="818"/>
    </row>
    <row r="2145" spans="1:12" s="31" customFormat="1" ht="17.25" customHeight="1">
      <c r="A2145" s="830" t="s">
        <v>82</v>
      </c>
      <c r="B2145" s="982" t="s">
        <v>565</v>
      </c>
      <c r="C2145" s="828"/>
      <c r="D2145" s="828"/>
      <c r="E2145" s="828"/>
      <c r="F2145" s="882"/>
      <c r="G2145" s="830" t="s">
        <v>82</v>
      </c>
      <c r="H2145" s="982" t="s">
        <v>565</v>
      </c>
      <c r="I2145" s="828"/>
      <c r="J2145" s="828"/>
      <c r="K2145" s="828"/>
      <c r="L2145" s="818"/>
    </row>
    <row r="2146" spans="1:12" s="31" customFormat="1" ht="17.25" customHeight="1">
      <c r="A2146" s="830" t="s">
        <v>83</v>
      </c>
      <c r="B2146" s="983" t="s">
        <v>566</v>
      </c>
      <c r="C2146" s="828"/>
      <c r="D2146" s="828"/>
      <c r="E2146" s="823">
        <f>SUM(E2145)</f>
        <v>0</v>
      </c>
      <c r="F2146" s="881"/>
      <c r="G2146" s="830" t="s">
        <v>83</v>
      </c>
      <c r="H2146" s="983" t="s">
        <v>566</v>
      </c>
      <c r="I2146" s="828"/>
      <c r="J2146" s="828"/>
      <c r="K2146" s="823">
        <f>SUM(K2145)</f>
        <v>0</v>
      </c>
      <c r="L2146" s="818"/>
    </row>
    <row r="2147" spans="1:12" s="31" customFormat="1" ht="17.25" customHeight="1">
      <c r="A2147" s="832" t="s">
        <v>84</v>
      </c>
      <c r="B2147" s="984" t="s">
        <v>438</v>
      </c>
      <c r="C2147" s="833"/>
      <c r="D2147" s="833"/>
      <c r="E2147" s="833" t="e">
        <f>(E2136+E2137+E2138+E2139+E2140+E2141+E2142+E2143)-E2146</f>
        <v>#REF!</v>
      </c>
      <c r="F2147" s="881"/>
      <c r="G2147" s="832" t="s">
        <v>84</v>
      </c>
      <c r="H2147" s="984" t="s">
        <v>438</v>
      </c>
      <c r="I2147" s="833"/>
      <c r="J2147" s="833"/>
      <c r="K2147" s="833" t="e">
        <f>(K2136+K2137+K2138+K2139+K2140+K2141+K2142+K2143)-K2146</f>
        <v>#REF!</v>
      </c>
      <c r="L2147" s="835" t="e">
        <f>E2147+K2147</f>
        <v>#REF!</v>
      </c>
    </row>
    <row r="2148" spans="1:12" s="31" customFormat="1" ht="69" customHeight="1">
      <c r="A2148" s="895"/>
      <c r="B2148" s="895"/>
      <c r="C2148" s="895"/>
      <c r="D2148" s="895"/>
      <c r="E2148" s="895"/>
      <c r="F2148" s="895"/>
      <c r="G2148" s="895"/>
      <c r="H2148" s="895"/>
      <c r="I2148" s="895"/>
      <c r="J2148" s="895"/>
      <c r="K2148" s="895"/>
      <c r="L2148" s="818"/>
    </row>
    <row r="2149" spans="1:12" s="31" customFormat="1" ht="17.25" customHeight="1">
      <c r="A2149" s="891" t="str">
        <f>A2133</f>
        <v>LƯƠNG THÁNG 01/2025</v>
      </c>
      <c r="B2149" s="895"/>
      <c r="C2149" s="895"/>
      <c r="D2149" s="895"/>
      <c r="E2149" s="898" t="e">
        <f>VLOOKUP(B2150,'CNKT '!#REF!,26,0)</f>
        <v>#REF!</v>
      </c>
      <c r="F2149" s="882"/>
      <c r="G2149" s="891" t="str">
        <f>A2149</f>
        <v>LƯƠNG THÁNG 01/2025</v>
      </c>
      <c r="H2149" s="895"/>
      <c r="I2149" s="895"/>
      <c r="J2149" s="898"/>
      <c r="K2149" s="898" t="e">
        <f>VLOOKUP(H2150,'CNKT '!#REF!,26,0)</f>
        <v>#REF!</v>
      </c>
      <c r="L2149" s="818"/>
    </row>
    <row r="2150" spans="1:12" s="31" customFormat="1" ht="17.25" customHeight="1">
      <c r="A2150" s="837" t="s">
        <v>17</v>
      </c>
      <c r="B2150" s="976" t="e">
        <f>'CNKT '!#REF!</f>
        <v>#REF!</v>
      </c>
      <c r="C2150" s="822"/>
      <c r="D2150" s="976" t="s">
        <v>398</v>
      </c>
      <c r="E2150" s="976" t="s">
        <v>20</v>
      </c>
      <c r="F2150" s="882"/>
      <c r="G2150" s="837" t="s">
        <v>17</v>
      </c>
      <c r="H2150" s="976" t="e">
        <f>'CNKT '!#REF!</f>
        <v>#REF!</v>
      </c>
      <c r="I2150" s="822"/>
      <c r="J2150" s="976" t="s">
        <v>398</v>
      </c>
      <c r="K2150" s="976" t="s">
        <v>20</v>
      </c>
      <c r="L2150" s="818"/>
    </row>
    <row r="2151" spans="1:12" s="31" customFormat="1" ht="17.25" customHeight="1">
      <c r="A2151" s="821" t="s">
        <v>399</v>
      </c>
      <c r="B2151" s="978" t="s">
        <v>559</v>
      </c>
      <c r="C2151" s="822" t="e">
        <f>VLOOKUP(B2150,'BTH mủ tạp'!$C$161:$AL$161,36,0)</f>
        <v>#REF!</v>
      </c>
      <c r="D2151" s="823"/>
      <c r="E2151" s="823"/>
      <c r="F2151" s="882"/>
      <c r="G2151" s="821" t="s">
        <v>399</v>
      </c>
      <c r="H2151" s="978" t="s">
        <v>559</v>
      </c>
      <c r="I2151" s="822" t="e">
        <f>VLOOKUP(H2150,'BTH mủ tạp'!$C$161:$AL$161,36,0)</f>
        <v>#REF!</v>
      </c>
      <c r="J2151" s="823"/>
      <c r="K2151" s="823"/>
      <c r="L2151" s="818"/>
    </row>
    <row r="2152" spans="1:12" s="31" customFormat="1" ht="17.25" customHeight="1">
      <c r="A2152" s="821" t="s">
        <v>79</v>
      </c>
      <c r="B2152" s="979" t="s">
        <v>432</v>
      </c>
      <c r="C2152" s="824" t="e">
        <f>VLOOKUP(B2150,'CNKT '!#REF!,3,0)</f>
        <v>#REF!</v>
      </c>
      <c r="D2152" s="825">
        <v>25000</v>
      </c>
      <c r="E2152" s="823" t="e">
        <f t="shared" ref="E2152:E2157" si="251">C2152*D2152</f>
        <v>#REF!</v>
      </c>
      <c r="F2152" s="882"/>
      <c r="G2152" s="821" t="s">
        <v>79</v>
      </c>
      <c r="H2152" s="979" t="s">
        <v>432</v>
      </c>
      <c r="I2152" s="824" t="e">
        <f>VLOOKUP(H2150,'CNKT '!#REF!,3,0)</f>
        <v>#REF!</v>
      </c>
      <c r="J2152" s="825">
        <v>25000</v>
      </c>
      <c r="K2152" s="823" t="e">
        <f t="shared" ref="K2152:K2157" si="252">I2152*J2152</f>
        <v>#REF!</v>
      </c>
      <c r="L2152" s="818"/>
    </row>
    <row r="2153" spans="1:12" s="31" customFormat="1" ht="17.25" customHeight="1">
      <c r="A2153" s="821" t="s">
        <v>310</v>
      </c>
      <c r="B2153" s="980" t="s">
        <v>560</v>
      </c>
      <c r="C2153" s="879" t="e">
        <f>VLOOKUP(B2150,'CNKT '!#REF!,11,0)</f>
        <v>#REF!</v>
      </c>
      <c r="D2153" s="826">
        <f>46.1*$B$2</f>
        <v>30805.403000000002</v>
      </c>
      <c r="E2153" s="823" t="e">
        <f t="shared" si="251"/>
        <v>#REF!</v>
      </c>
      <c r="F2153" s="882"/>
      <c r="G2153" s="821" t="s">
        <v>310</v>
      </c>
      <c r="H2153" s="980" t="s">
        <v>560</v>
      </c>
      <c r="I2153" s="879" t="e">
        <f>VLOOKUP(H2150,'CNKT '!#REF!,11,0)</f>
        <v>#REF!</v>
      </c>
      <c r="J2153" s="826">
        <f>46.1*$B$2</f>
        <v>30805.403000000002</v>
      </c>
      <c r="K2153" s="823" t="e">
        <f t="shared" si="252"/>
        <v>#REF!</v>
      </c>
      <c r="L2153" s="818"/>
    </row>
    <row r="2154" spans="1:12" s="31" customFormat="1" ht="17.25" customHeight="1">
      <c r="A2154" s="821" t="s">
        <v>401</v>
      </c>
      <c r="B2154" s="980" t="s">
        <v>561</v>
      </c>
      <c r="C2154" s="879" t="e">
        <f>VLOOKUP(B2150,'CNKT '!#REF!,12,0)</f>
        <v>#REF!</v>
      </c>
      <c r="D2154" s="825">
        <f>76.9*$B$2</f>
        <v>51386.887000000002</v>
      </c>
      <c r="E2154" s="823" t="e">
        <f t="shared" si="251"/>
        <v>#REF!</v>
      </c>
      <c r="F2154" s="882"/>
      <c r="G2154" s="821" t="s">
        <v>401</v>
      </c>
      <c r="H2154" s="980" t="s">
        <v>561</v>
      </c>
      <c r="I2154" s="879" t="e">
        <f>VLOOKUP(H2150,'CNKT '!#REF!,12,0)</f>
        <v>#REF!</v>
      </c>
      <c r="J2154" s="825">
        <f>76.9*$B$2</f>
        <v>51386.887000000002</v>
      </c>
      <c r="K2154" s="823" t="e">
        <f t="shared" si="252"/>
        <v>#REF!</v>
      </c>
      <c r="L2154" s="818"/>
    </row>
    <row r="2155" spans="1:12" s="31" customFormat="1" ht="17.25" customHeight="1">
      <c r="A2155" s="821" t="s">
        <v>80</v>
      </c>
      <c r="B2155" s="980" t="s">
        <v>562</v>
      </c>
      <c r="C2155" s="879" t="e">
        <f>VLOOKUP(B2150,'CNKT '!#REF!,8,0)</f>
        <v>#REF!</v>
      </c>
      <c r="D2155" s="825" t="e">
        <f>IF(C2151="A",6.1,IF(C2151="B",5.8,IF(C2151="C",5.5,IF(C2151="C.",5.5,IF(C2151="D",5.2)))))*$B$2</f>
        <v>#REF!</v>
      </c>
      <c r="E2155" s="823" t="e">
        <f t="shared" si="251"/>
        <v>#REF!</v>
      </c>
      <c r="F2155" s="882"/>
      <c r="G2155" s="821" t="s">
        <v>80</v>
      </c>
      <c r="H2155" s="980" t="s">
        <v>562</v>
      </c>
      <c r="I2155" s="879" t="e">
        <f>VLOOKUP(H2150,'CNKT '!#REF!,8,0)</f>
        <v>#REF!</v>
      </c>
      <c r="J2155" s="825" t="e">
        <f>IF(I2151="A",6.1,IF(I2151="B",5.8,IF(I2151="C",5.5,IF(I2151="C.",5.5,IF(I2151="D",5.2)))))*$B$2</f>
        <v>#REF!</v>
      </c>
      <c r="K2155" s="823" t="e">
        <f t="shared" si="252"/>
        <v>#REF!</v>
      </c>
      <c r="L2155" s="818"/>
    </row>
    <row r="2156" spans="1:12" s="31" customFormat="1" ht="17.25" customHeight="1">
      <c r="A2156" s="821" t="s">
        <v>447</v>
      </c>
      <c r="B2156" s="980" t="s">
        <v>563</v>
      </c>
      <c r="C2156" s="879" t="e">
        <f>VLOOKUP(B2150,'CNKT '!#REF!,15,0)</f>
        <v>#REF!</v>
      </c>
      <c r="D2156" s="826">
        <f>92.2*$B$2</f>
        <v>61610.806000000004</v>
      </c>
      <c r="E2156" s="823" t="e">
        <f t="shared" si="251"/>
        <v>#REF!</v>
      </c>
      <c r="F2156" s="882"/>
      <c r="G2156" s="821" t="s">
        <v>447</v>
      </c>
      <c r="H2156" s="980" t="s">
        <v>563</v>
      </c>
      <c r="I2156" s="879" t="e">
        <f>VLOOKUP(H2150,'CNKT '!#REF!,15,0)</f>
        <v>#REF!</v>
      </c>
      <c r="J2156" s="826">
        <f>92.2*$B$2</f>
        <v>61610.806000000004</v>
      </c>
      <c r="K2156" s="823" t="e">
        <f t="shared" si="252"/>
        <v>#REF!</v>
      </c>
      <c r="L2156" s="818"/>
    </row>
    <row r="2157" spans="1:12" s="31" customFormat="1" ht="17.25" customHeight="1">
      <c r="A2157" s="821" t="s">
        <v>448</v>
      </c>
      <c r="B2157" s="980" t="s">
        <v>500</v>
      </c>
      <c r="C2157" s="879" t="e">
        <f>VLOOKUP(B2150,'CNKT '!#REF!,14,0)</f>
        <v>#REF!</v>
      </c>
      <c r="D2157" s="825">
        <f>153.6*$B$2</f>
        <v>102640.128</v>
      </c>
      <c r="E2157" s="823" t="e">
        <f t="shared" si="251"/>
        <v>#REF!</v>
      </c>
      <c r="F2157" s="882"/>
      <c r="G2157" s="821" t="s">
        <v>448</v>
      </c>
      <c r="H2157" s="980" t="s">
        <v>500</v>
      </c>
      <c r="I2157" s="879" t="e">
        <f>VLOOKUP(H2150,'CNKT '!#REF!,14,0)</f>
        <v>#REF!</v>
      </c>
      <c r="J2157" s="825">
        <f>153.6*$B$2</f>
        <v>102640.128</v>
      </c>
      <c r="K2157" s="823" t="e">
        <f t="shared" si="252"/>
        <v>#REF!</v>
      </c>
      <c r="L2157" s="818"/>
    </row>
    <row r="2158" spans="1:12" s="31" customFormat="1" ht="17.25" customHeight="1">
      <c r="A2158" s="821" t="s">
        <v>455</v>
      </c>
      <c r="B2158" s="980" t="s">
        <v>501</v>
      </c>
      <c r="C2158" s="879" t="e">
        <f>VLOOKUP(B2150,'CNKT '!#REF!,18,0)</f>
        <v>#REF!</v>
      </c>
      <c r="D2158" s="825">
        <v>10000</v>
      </c>
      <c r="E2158" s="823" t="e">
        <f>C2158*D2158</f>
        <v>#REF!</v>
      </c>
      <c r="F2158" s="882"/>
      <c r="G2158" s="821" t="s">
        <v>455</v>
      </c>
      <c r="H2158" s="980" t="s">
        <v>501</v>
      </c>
      <c r="I2158" s="879" t="e">
        <f>VLOOKUP(H2150,'CNKT '!#REF!,18,0)</f>
        <v>#REF!</v>
      </c>
      <c r="J2158" s="825">
        <v>10000</v>
      </c>
      <c r="K2158" s="823" t="e">
        <f>I2158*J2158</f>
        <v>#REF!</v>
      </c>
      <c r="L2158" s="818"/>
    </row>
    <row r="2159" spans="1:12" s="31" customFormat="1" ht="17.25" customHeight="1">
      <c r="A2159" s="821" t="s">
        <v>455</v>
      </c>
      <c r="B2159" s="980" t="s">
        <v>501</v>
      </c>
      <c r="C2159" s="879" t="e">
        <f>VLOOKUP(B2150,'CNKT '!#REF!,19,0)</f>
        <v>#REF!</v>
      </c>
      <c r="D2159" s="825">
        <v>20000</v>
      </c>
      <c r="E2159" s="823" t="e">
        <f>C2159*D2159</f>
        <v>#REF!</v>
      </c>
      <c r="F2159" s="882"/>
      <c r="G2159" s="821" t="s">
        <v>455</v>
      </c>
      <c r="H2159" s="980" t="s">
        <v>501</v>
      </c>
      <c r="I2159" s="879" t="e">
        <f>VLOOKUP(H2150,'CNKT '!#REF!,19,0)</f>
        <v>#REF!</v>
      </c>
      <c r="J2159" s="825">
        <v>20000</v>
      </c>
      <c r="K2159" s="823" t="e">
        <f>I2159*J2159</f>
        <v>#REF!</v>
      </c>
      <c r="L2159" s="818"/>
    </row>
    <row r="2160" spans="1:12" s="31" customFormat="1" ht="17.25" customHeight="1">
      <c r="A2160" s="827" t="s">
        <v>81</v>
      </c>
      <c r="B2160" s="981" t="s">
        <v>564</v>
      </c>
      <c r="C2160" s="828"/>
      <c r="D2160" s="829"/>
      <c r="E2160" s="828"/>
      <c r="F2160" s="882"/>
      <c r="G2160" s="827" t="s">
        <v>81</v>
      </c>
      <c r="H2160" s="981" t="s">
        <v>564</v>
      </c>
      <c r="I2160" s="828"/>
      <c r="J2160" s="829"/>
      <c r="K2160" s="828"/>
      <c r="L2160" s="818"/>
    </row>
    <row r="2161" spans="1:12" s="31" customFormat="1" ht="17.25" customHeight="1">
      <c r="A2161" s="830" t="s">
        <v>82</v>
      </c>
      <c r="B2161" s="982" t="s">
        <v>565</v>
      </c>
      <c r="C2161" s="828"/>
      <c r="D2161" s="828"/>
      <c r="E2161" s="828"/>
      <c r="F2161" s="882"/>
      <c r="G2161" s="830" t="s">
        <v>82</v>
      </c>
      <c r="H2161" s="982" t="s">
        <v>565</v>
      </c>
      <c r="I2161" s="828"/>
      <c r="J2161" s="828"/>
      <c r="K2161" s="828"/>
      <c r="L2161" s="818"/>
    </row>
    <row r="2162" spans="1:12" s="31" customFormat="1" ht="17.25" customHeight="1">
      <c r="A2162" s="830" t="s">
        <v>83</v>
      </c>
      <c r="B2162" s="983" t="s">
        <v>566</v>
      </c>
      <c r="C2162" s="828"/>
      <c r="D2162" s="828"/>
      <c r="E2162" s="823">
        <f>SUM(E2161)</f>
        <v>0</v>
      </c>
      <c r="F2162" s="869"/>
      <c r="G2162" s="830" t="s">
        <v>83</v>
      </c>
      <c r="H2162" s="983" t="s">
        <v>566</v>
      </c>
      <c r="I2162" s="828"/>
      <c r="J2162" s="828"/>
      <c r="K2162" s="823">
        <f>SUM(K2161)</f>
        <v>0</v>
      </c>
      <c r="L2162" s="818"/>
    </row>
    <row r="2163" spans="1:12" s="31" customFormat="1" ht="17.25" customHeight="1">
      <c r="A2163" s="832" t="s">
        <v>84</v>
      </c>
      <c r="B2163" s="984" t="s">
        <v>438</v>
      </c>
      <c r="C2163" s="833"/>
      <c r="D2163" s="833"/>
      <c r="E2163" s="833" t="e">
        <f>(E2152+E2153+E2154+E2155+E2156+E2157+E2158+E2159)-E2162</f>
        <v>#REF!</v>
      </c>
      <c r="F2163" s="869"/>
      <c r="G2163" s="832" t="s">
        <v>84</v>
      </c>
      <c r="H2163" s="984" t="s">
        <v>438</v>
      </c>
      <c r="I2163" s="833"/>
      <c r="J2163" s="833"/>
      <c r="K2163" s="833" t="e">
        <f>(K2152+K2153+K2154+K2155+K2156+K2157+K2158+K2159)-K2162</f>
        <v>#REF!</v>
      </c>
      <c r="L2163" s="835" t="e">
        <f>E2163+K2163</f>
        <v>#REF!</v>
      </c>
    </row>
    <row r="2164" spans="1:12" s="31" customFormat="1" ht="17.25" customHeight="1">
      <c r="A2164" s="895"/>
      <c r="B2164" s="895"/>
      <c r="C2164" s="895"/>
      <c r="D2164" s="895"/>
      <c r="E2164" s="895"/>
      <c r="F2164" s="895"/>
      <c r="G2164" s="895"/>
      <c r="H2164" s="895"/>
      <c r="I2164" s="895"/>
      <c r="J2164" s="895"/>
      <c r="K2164" s="895"/>
      <c r="L2164" s="818"/>
    </row>
    <row r="2165" spans="1:12" s="31" customFormat="1" ht="17.25" customHeight="1">
      <c r="A2165" s="891" t="str">
        <f>A2149</f>
        <v>LƯƠNG THÁNG 01/2025</v>
      </c>
      <c r="B2165" s="895"/>
      <c r="C2165" s="895"/>
      <c r="D2165" s="895"/>
      <c r="E2165" s="898" t="e">
        <f>VLOOKUP(B2166,'CNKT '!#REF!,26,0)</f>
        <v>#REF!</v>
      </c>
      <c r="F2165" s="882"/>
      <c r="G2165" s="891" t="str">
        <f>A2165</f>
        <v>LƯƠNG THÁNG 01/2025</v>
      </c>
      <c r="H2165" s="895"/>
      <c r="I2165" s="895"/>
      <c r="J2165" s="898"/>
      <c r="K2165" s="898" t="e">
        <f>VLOOKUP(H2166,'CNKT '!#REF!,26,0)</f>
        <v>#REF!</v>
      </c>
      <c r="L2165" s="818"/>
    </row>
    <row r="2166" spans="1:12" s="31" customFormat="1" ht="17.25" customHeight="1">
      <c r="A2166" s="837" t="s">
        <v>17</v>
      </c>
      <c r="B2166" s="976" t="e">
        <f>'CNKT '!#REF!</f>
        <v>#REF!</v>
      </c>
      <c r="C2166" s="822"/>
      <c r="D2166" s="976" t="s">
        <v>398</v>
      </c>
      <c r="E2166" s="976" t="s">
        <v>20</v>
      </c>
      <c r="F2166" s="882"/>
      <c r="G2166" s="837" t="s">
        <v>17</v>
      </c>
      <c r="H2166" s="976" t="e">
        <f>'CNKT '!#REF!</f>
        <v>#REF!</v>
      </c>
      <c r="I2166" s="822"/>
      <c r="J2166" s="976" t="s">
        <v>398</v>
      </c>
      <c r="K2166" s="976" t="s">
        <v>20</v>
      </c>
      <c r="L2166" s="818"/>
    </row>
    <row r="2167" spans="1:12" s="31" customFormat="1" ht="17.25" customHeight="1">
      <c r="A2167" s="821" t="s">
        <v>399</v>
      </c>
      <c r="B2167" s="978" t="s">
        <v>559</v>
      </c>
      <c r="C2167" s="822" t="e">
        <f>VLOOKUP(B2166,'BTH mủ tạp'!$C$161:$AL$161,36,0)</f>
        <v>#REF!</v>
      </c>
      <c r="D2167" s="823"/>
      <c r="E2167" s="823"/>
      <c r="F2167" s="882"/>
      <c r="G2167" s="821" t="s">
        <v>399</v>
      </c>
      <c r="H2167" s="978" t="s">
        <v>559</v>
      </c>
      <c r="I2167" s="822" t="e">
        <f>VLOOKUP(H2166,'BTH mủ tạp'!$C$161:$AL$161,36,0)</f>
        <v>#REF!</v>
      </c>
      <c r="J2167" s="823"/>
      <c r="K2167" s="823"/>
      <c r="L2167" s="818"/>
    </row>
    <row r="2168" spans="1:12" s="31" customFormat="1" ht="17.25" customHeight="1">
      <c r="A2168" s="821" t="s">
        <v>79</v>
      </c>
      <c r="B2168" s="979" t="s">
        <v>432</v>
      </c>
      <c r="C2168" s="824" t="e">
        <f>VLOOKUP(B2166,'CNKT '!#REF!,3,0)</f>
        <v>#REF!</v>
      </c>
      <c r="D2168" s="825">
        <v>25000</v>
      </c>
      <c r="E2168" s="823" t="e">
        <f t="shared" ref="E2168:E2173" si="253">C2168*D2168</f>
        <v>#REF!</v>
      </c>
      <c r="F2168" s="882"/>
      <c r="G2168" s="821" t="s">
        <v>79</v>
      </c>
      <c r="H2168" s="979" t="s">
        <v>432</v>
      </c>
      <c r="I2168" s="824" t="e">
        <f>VLOOKUP(H2166,'CNKT '!#REF!,3,0)</f>
        <v>#REF!</v>
      </c>
      <c r="J2168" s="825">
        <v>25000</v>
      </c>
      <c r="K2168" s="823" t="e">
        <f t="shared" ref="K2168:K2173" si="254">I2168*J2168</f>
        <v>#REF!</v>
      </c>
      <c r="L2168" s="818"/>
    </row>
    <row r="2169" spans="1:12" s="31" customFormat="1" ht="17.25" customHeight="1">
      <c r="A2169" s="821" t="s">
        <v>310</v>
      </c>
      <c r="B2169" s="980" t="s">
        <v>560</v>
      </c>
      <c r="C2169" s="879" t="e">
        <f>VLOOKUP(B2166,'CNKT '!#REF!,11,0)</f>
        <v>#REF!</v>
      </c>
      <c r="D2169" s="826">
        <f>46.1*$B$2</f>
        <v>30805.403000000002</v>
      </c>
      <c r="E2169" s="823" t="e">
        <f t="shared" si="253"/>
        <v>#REF!</v>
      </c>
      <c r="F2169" s="882"/>
      <c r="G2169" s="821" t="s">
        <v>310</v>
      </c>
      <c r="H2169" s="980" t="s">
        <v>560</v>
      </c>
      <c r="I2169" s="879" t="e">
        <f>VLOOKUP(H2166,'CNKT '!#REF!,11,0)</f>
        <v>#REF!</v>
      </c>
      <c r="J2169" s="826">
        <f>46.1*$B$2</f>
        <v>30805.403000000002</v>
      </c>
      <c r="K2169" s="823" t="e">
        <f t="shared" si="254"/>
        <v>#REF!</v>
      </c>
      <c r="L2169" s="818"/>
    </row>
    <row r="2170" spans="1:12" s="31" customFormat="1" ht="17.25" customHeight="1">
      <c r="A2170" s="821" t="s">
        <v>401</v>
      </c>
      <c r="B2170" s="980" t="s">
        <v>561</v>
      </c>
      <c r="C2170" s="879" t="e">
        <f>VLOOKUP(B2166,'CNKT '!#REF!,12,0)</f>
        <v>#REF!</v>
      </c>
      <c r="D2170" s="825">
        <f>76.9*$B$2</f>
        <v>51386.887000000002</v>
      </c>
      <c r="E2170" s="823" t="e">
        <f t="shared" si="253"/>
        <v>#REF!</v>
      </c>
      <c r="F2170" s="882"/>
      <c r="G2170" s="821" t="s">
        <v>401</v>
      </c>
      <c r="H2170" s="980" t="s">
        <v>561</v>
      </c>
      <c r="I2170" s="879" t="e">
        <f>VLOOKUP(H2166,'CNKT '!#REF!,12,0)</f>
        <v>#REF!</v>
      </c>
      <c r="J2170" s="825">
        <f>76.9*$B$2</f>
        <v>51386.887000000002</v>
      </c>
      <c r="K2170" s="823" t="e">
        <f t="shared" si="254"/>
        <v>#REF!</v>
      </c>
      <c r="L2170" s="818"/>
    </row>
    <row r="2171" spans="1:12" s="31" customFormat="1" ht="17.25" customHeight="1">
      <c r="A2171" s="821" t="s">
        <v>80</v>
      </c>
      <c r="B2171" s="980" t="s">
        <v>562</v>
      </c>
      <c r="C2171" s="879" t="e">
        <f>VLOOKUP(B2166,'CNKT '!#REF!,8,0)</f>
        <v>#REF!</v>
      </c>
      <c r="D2171" s="825" t="e">
        <f>IF(C2167="A",6.1,IF(C2167="B",5.8,IF(C2167="C",5.5,IF(C2167="C.",5.5,IF(C2167="D",5.2)))))*$B$2</f>
        <v>#REF!</v>
      </c>
      <c r="E2171" s="823" t="e">
        <f t="shared" si="253"/>
        <v>#REF!</v>
      </c>
      <c r="F2171" s="882"/>
      <c r="G2171" s="821" t="s">
        <v>80</v>
      </c>
      <c r="H2171" s="980" t="s">
        <v>562</v>
      </c>
      <c r="I2171" s="879" t="e">
        <f>VLOOKUP(H2166,'CNKT '!#REF!,8,0)</f>
        <v>#REF!</v>
      </c>
      <c r="J2171" s="825" t="e">
        <f>IF(I2167="A",6.1,IF(I2167="B",5.8,IF(I2167="C",5.5,IF(I2167="C.",5.5,IF(I2167="D",5.2)))))*$B$2</f>
        <v>#REF!</v>
      </c>
      <c r="K2171" s="823" t="e">
        <f t="shared" si="254"/>
        <v>#REF!</v>
      </c>
      <c r="L2171" s="818"/>
    </row>
    <row r="2172" spans="1:12" s="31" customFormat="1" ht="17.25" customHeight="1">
      <c r="A2172" s="821" t="s">
        <v>447</v>
      </c>
      <c r="B2172" s="980" t="s">
        <v>563</v>
      </c>
      <c r="C2172" s="879" t="e">
        <f>VLOOKUP(B2166,'CNKT '!#REF!,15,0)</f>
        <v>#REF!</v>
      </c>
      <c r="D2172" s="826">
        <f>92.2*$B$2</f>
        <v>61610.806000000004</v>
      </c>
      <c r="E2172" s="823" t="e">
        <f t="shared" si="253"/>
        <v>#REF!</v>
      </c>
      <c r="F2172" s="882"/>
      <c r="G2172" s="821" t="s">
        <v>447</v>
      </c>
      <c r="H2172" s="980" t="s">
        <v>563</v>
      </c>
      <c r="I2172" s="879" t="e">
        <f>VLOOKUP(H2166,'CNKT '!#REF!,15,0)</f>
        <v>#REF!</v>
      </c>
      <c r="J2172" s="826">
        <f>92.2*$B$2</f>
        <v>61610.806000000004</v>
      </c>
      <c r="K2172" s="823" t="e">
        <f t="shared" si="254"/>
        <v>#REF!</v>
      </c>
      <c r="L2172" s="818"/>
    </row>
    <row r="2173" spans="1:12" s="31" customFormat="1" ht="17.25" customHeight="1">
      <c r="A2173" s="821" t="s">
        <v>448</v>
      </c>
      <c r="B2173" s="980" t="s">
        <v>500</v>
      </c>
      <c r="C2173" s="879" t="e">
        <f>VLOOKUP(B2166,'CNKT '!#REF!,14,0)</f>
        <v>#REF!</v>
      </c>
      <c r="D2173" s="825">
        <f>153.6*$B$2</f>
        <v>102640.128</v>
      </c>
      <c r="E2173" s="823" t="e">
        <f t="shared" si="253"/>
        <v>#REF!</v>
      </c>
      <c r="F2173" s="882"/>
      <c r="G2173" s="821" t="s">
        <v>448</v>
      </c>
      <c r="H2173" s="980" t="s">
        <v>500</v>
      </c>
      <c r="I2173" s="879" t="e">
        <f>VLOOKUP(H2166,'CNKT '!#REF!,14,0)</f>
        <v>#REF!</v>
      </c>
      <c r="J2173" s="825">
        <f>153.6*$B$2</f>
        <v>102640.128</v>
      </c>
      <c r="K2173" s="823" t="e">
        <f t="shared" si="254"/>
        <v>#REF!</v>
      </c>
      <c r="L2173" s="818"/>
    </row>
    <row r="2174" spans="1:12" s="31" customFormat="1" ht="17.25" customHeight="1">
      <c r="A2174" s="821" t="s">
        <v>455</v>
      </c>
      <c r="B2174" s="980" t="s">
        <v>501</v>
      </c>
      <c r="C2174" s="879" t="e">
        <f>VLOOKUP(B2166,'CNKT '!#REF!,18,0)</f>
        <v>#REF!</v>
      </c>
      <c r="D2174" s="825">
        <v>10000</v>
      </c>
      <c r="E2174" s="823" t="e">
        <f>C2174*D2174</f>
        <v>#REF!</v>
      </c>
      <c r="F2174" s="882"/>
      <c r="G2174" s="821" t="s">
        <v>455</v>
      </c>
      <c r="H2174" s="980" t="s">
        <v>501</v>
      </c>
      <c r="I2174" s="879" t="e">
        <f>VLOOKUP(H2166,'CNKT '!#REF!,18,0)</f>
        <v>#REF!</v>
      </c>
      <c r="J2174" s="825">
        <v>10000</v>
      </c>
      <c r="K2174" s="823" t="e">
        <f>I2174*J2174</f>
        <v>#REF!</v>
      </c>
      <c r="L2174" s="818"/>
    </row>
    <row r="2175" spans="1:12" s="31" customFormat="1" ht="17.25" customHeight="1">
      <c r="A2175" s="821" t="s">
        <v>455</v>
      </c>
      <c r="B2175" s="980" t="s">
        <v>501</v>
      </c>
      <c r="C2175" s="879" t="e">
        <f>VLOOKUP(B2166,'CNKT '!#REF!,19,0)</f>
        <v>#REF!</v>
      </c>
      <c r="D2175" s="825">
        <v>20000</v>
      </c>
      <c r="E2175" s="823" t="e">
        <f>C2175*D2175</f>
        <v>#REF!</v>
      </c>
      <c r="F2175" s="882"/>
      <c r="G2175" s="821" t="s">
        <v>455</v>
      </c>
      <c r="H2175" s="980" t="s">
        <v>501</v>
      </c>
      <c r="I2175" s="879" t="e">
        <f>VLOOKUP(H2166,'CNKT '!#REF!,19,0)</f>
        <v>#REF!</v>
      </c>
      <c r="J2175" s="825">
        <v>20000</v>
      </c>
      <c r="K2175" s="823" t="e">
        <f>I2175*J2175</f>
        <v>#REF!</v>
      </c>
      <c r="L2175" s="818"/>
    </row>
    <row r="2176" spans="1:12" s="31" customFormat="1" ht="17.25" customHeight="1">
      <c r="A2176" s="827" t="s">
        <v>81</v>
      </c>
      <c r="B2176" s="981" t="s">
        <v>564</v>
      </c>
      <c r="C2176" s="828"/>
      <c r="D2176" s="829"/>
      <c r="E2176" s="828"/>
      <c r="F2176" s="882"/>
      <c r="G2176" s="827" t="s">
        <v>81</v>
      </c>
      <c r="H2176" s="981" t="s">
        <v>564</v>
      </c>
      <c r="I2176" s="828"/>
      <c r="J2176" s="829"/>
      <c r="K2176" s="828"/>
      <c r="L2176" s="818"/>
    </row>
    <row r="2177" spans="1:12" s="31" customFormat="1" ht="17.25" customHeight="1">
      <c r="A2177" s="830" t="s">
        <v>82</v>
      </c>
      <c r="B2177" s="982" t="s">
        <v>565</v>
      </c>
      <c r="C2177" s="828"/>
      <c r="D2177" s="828"/>
      <c r="E2177" s="828"/>
      <c r="F2177" s="882"/>
      <c r="G2177" s="830" t="s">
        <v>82</v>
      </c>
      <c r="H2177" s="982" t="s">
        <v>565</v>
      </c>
      <c r="I2177" s="828"/>
      <c r="J2177" s="828"/>
      <c r="K2177" s="828"/>
      <c r="L2177" s="818"/>
    </row>
    <row r="2178" spans="1:12" s="31" customFormat="1" ht="17.25" customHeight="1">
      <c r="A2178" s="830" t="s">
        <v>83</v>
      </c>
      <c r="B2178" s="983" t="s">
        <v>566</v>
      </c>
      <c r="C2178" s="828"/>
      <c r="D2178" s="828"/>
      <c r="E2178" s="823">
        <f>SUM(E2177)</f>
        <v>0</v>
      </c>
      <c r="F2178" s="879"/>
      <c r="G2178" s="830" t="s">
        <v>83</v>
      </c>
      <c r="H2178" s="983" t="s">
        <v>566</v>
      </c>
      <c r="I2178" s="828"/>
      <c r="J2178" s="828"/>
      <c r="K2178" s="823">
        <f>SUM(K2177)</f>
        <v>0</v>
      </c>
      <c r="L2178" s="818"/>
    </row>
    <row r="2179" spans="1:12" s="31" customFormat="1" ht="17.25" customHeight="1">
      <c r="A2179" s="832" t="s">
        <v>84</v>
      </c>
      <c r="B2179" s="984" t="s">
        <v>438</v>
      </c>
      <c r="C2179" s="833"/>
      <c r="D2179" s="833"/>
      <c r="E2179" s="833" t="e">
        <f>(E2168+E2169+E2170+E2171+E2172+E2173+E2174+E2175)-E2178</f>
        <v>#REF!</v>
      </c>
      <c r="F2179" s="879"/>
      <c r="G2179" s="832" t="s">
        <v>84</v>
      </c>
      <c r="H2179" s="984" t="s">
        <v>438</v>
      </c>
      <c r="I2179" s="833"/>
      <c r="J2179" s="833"/>
      <c r="K2179" s="833" t="e">
        <f>(K2168+K2169+K2170+K2171+K2172+K2173+K2174+K2175)-K2178</f>
        <v>#REF!</v>
      </c>
      <c r="L2179" s="835" t="e">
        <f>E2179+K2179</f>
        <v>#REF!</v>
      </c>
    </row>
    <row r="2180" spans="1:12" s="31" customFormat="1" ht="17.25" customHeight="1">
      <c r="A2180" s="895"/>
      <c r="B2180" s="895"/>
      <c r="C2180" s="895"/>
      <c r="D2180" s="895"/>
      <c r="E2180" s="895"/>
      <c r="F2180" s="895"/>
      <c r="G2180" s="895"/>
      <c r="H2180" s="895"/>
      <c r="I2180" s="895"/>
      <c r="J2180" s="895"/>
      <c r="K2180" s="895"/>
      <c r="L2180" s="818"/>
    </row>
    <row r="2181" spans="1:12" s="31" customFormat="1" ht="17.25" customHeight="1">
      <c r="A2181" s="891" t="str">
        <f>A2165</f>
        <v>LƯƠNG THÁNG 01/2025</v>
      </c>
      <c r="B2181" s="895"/>
      <c r="C2181" s="895"/>
      <c r="D2181" s="895"/>
      <c r="E2181" s="898" t="e">
        <f>VLOOKUP(B2182,'CNKT '!#REF!,26,0)</f>
        <v>#REF!</v>
      </c>
      <c r="F2181" s="882"/>
      <c r="G2181" s="891" t="str">
        <f>A2181</f>
        <v>LƯƠNG THÁNG 01/2025</v>
      </c>
      <c r="H2181" s="895"/>
      <c r="I2181" s="895"/>
      <c r="J2181" s="898"/>
      <c r="K2181" s="898" t="e">
        <f>VLOOKUP(H2182,'CNKT '!#REF!,26,0)</f>
        <v>#REF!</v>
      </c>
      <c r="L2181" s="818"/>
    </row>
    <row r="2182" spans="1:12" s="31" customFormat="1" ht="17.25" customHeight="1">
      <c r="A2182" s="837" t="s">
        <v>17</v>
      </c>
      <c r="B2182" s="976" t="e">
        <f>'CNKT '!#REF!</f>
        <v>#REF!</v>
      </c>
      <c r="C2182" s="822"/>
      <c r="D2182" s="976" t="s">
        <v>398</v>
      </c>
      <c r="E2182" s="976" t="s">
        <v>20</v>
      </c>
      <c r="F2182" s="882"/>
      <c r="G2182" s="837" t="s">
        <v>17</v>
      </c>
      <c r="H2182" s="976" t="e">
        <f>'CNKT '!#REF!</f>
        <v>#REF!</v>
      </c>
      <c r="I2182" s="822"/>
      <c r="J2182" s="976" t="s">
        <v>398</v>
      </c>
      <c r="K2182" s="976" t="s">
        <v>20</v>
      </c>
      <c r="L2182" s="818"/>
    </row>
    <row r="2183" spans="1:12" s="31" customFormat="1" ht="17.25" customHeight="1">
      <c r="A2183" s="821" t="s">
        <v>399</v>
      </c>
      <c r="B2183" s="978" t="s">
        <v>559</v>
      </c>
      <c r="C2183" s="822" t="e">
        <f>VLOOKUP(B2182,'BTH mủ tạp'!$C$161:$AL$161,36,0)</f>
        <v>#REF!</v>
      </c>
      <c r="D2183" s="823"/>
      <c r="E2183" s="823"/>
      <c r="F2183" s="882"/>
      <c r="G2183" s="821" t="s">
        <v>399</v>
      </c>
      <c r="H2183" s="978" t="s">
        <v>559</v>
      </c>
      <c r="I2183" s="822" t="e">
        <f>VLOOKUP(H2182,'BTH mủ tạp'!$C$161:$AL$161,36,0)</f>
        <v>#REF!</v>
      </c>
      <c r="J2183" s="823"/>
      <c r="K2183" s="823"/>
      <c r="L2183" s="818"/>
    </row>
    <row r="2184" spans="1:12" s="31" customFormat="1" ht="17.25" customHeight="1">
      <c r="A2184" s="821" t="s">
        <v>79</v>
      </c>
      <c r="B2184" s="979" t="s">
        <v>432</v>
      </c>
      <c r="C2184" s="824" t="e">
        <f>VLOOKUP(B2182,'CNKT '!#REF!,3,0)</f>
        <v>#REF!</v>
      </c>
      <c r="D2184" s="825">
        <v>25000</v>
      </c>
      <c r="E2184" s="823" t="e">
        <f t="shared" ref="E2184:E2189" si="255">C2184*D2184</f>
        <v>#REF!</v>
      </c>
      <c r="F2184" s="882"/>
      <c r="G2184" s="821" t="s">
        <v>79</v>
      </c>
      <c r="H2184" s="979" t="s">
        <v>432</v>
      </c>
      <c r="I2184" s="824" t="e">
        <f>VLOOKUP(H2182,'CNKT '!#REF!,3,0)</f>
        <v>#REF!</v>
      </c>
      <c r="J2184" s="825">
        <v>25000</v>
      </c>
      <c r="K2184" s="823" t="e">
        <f t="shared" ref="K2184:K2189" si="256">I2184*J2184</f>
        <v>#REF!</v>
      </c>
      <c r="L2184" s="818"/>
    </row>
    <row r="2185" spans="1:12" s="31" customFormat="1" ht="17.25" customHeight="1">
      <c r="A2185" s="821" t="s">
        <v>310</v>
      </c>
      <c r="B2185" s="980" t="s">
        <v>560</v>
      </c>
      <c r="C2185" s="879" t="e">
        <f>VLOOKUP(B2182,'CNKT '!#REF!,11,0)</f>
        <v>#REF!</v>
      </c>
      <c r="D2185" s="826">
        <f>46.1*$B$2</f>
        <v>30805.403000000002</v>
      </c>
      <c r="E2185" s="823" t="e">
        <f t="shared" si="255"/>
        <v>#REF!</v>
      </c>
      <c r="F2185" s="882"/>
      <c r="G2185" s="821" t="s">
        <v>310</v>
      </c>
      <c r="H2185" s="980" t="s">
        <v>560</v>
      </c>
      <c r="I2185" s="879" t="e">
        <f>VLOOKUP(H2182,'CNKT '!#REF!,11,0)</f>
        <v>#REF!</v>
      </c>
      <c r="J2185" s="826">
        <f>46.1*$B$2</f>
        <v>30805.403000000002</v>
      </c>
      <c r="K2185" s="823" t="e">
        <f t="shared" si="256"/>
        <v>#REF!</v>
      </c>
      <c r="L2185" s="818"/>
    </row>
    <row r="2186" spans="1:12" s="31" customFormat="1" ht="17.25" customHeight="1">
      <c r="A2186" s="821" t="s">
        <v>401</v>
      </c>
      <c r="B2186" s="980" t="s">
        <v>561</v>
      </c>
      <c r="C2186" s="879" t="e">
        <f>VLOOKUP(B2182,'CNKT '!#REF!,12,0)</f>
        <v>#REF!</v>
      </c>
      <c r="D2186" s="825">
        <f>76.9*$B$2</f>
        <v>51386.887000000002</v>
      </c>
      <c r="E2186" s="823" t="e">
        <f t="shared" si="255"/>
        <v>#REF!</v>
      </c>
      <c r="F2186" s="882"/>
      <c r="G2186" s="821" t="s">
        <v>401</v>
      </c>
      <c r="H2186" s="980" t="s">
        <v>561</v>
      </c>
      <c r="I2186" s="879" t="e">
        <f>VLOOKUP(H2182,'CNKT '!#REF!,12,0)</f>
        <v>#REF!</v>
      </c>
      <c r="J2186" s="825">
        <f>76.9*$B$2</f>
        <v>51386.887000000002</v>
      </c>
      <c r="K2186" s="823" t="e">
        <f t="shared" si="256"/>
        <v>#REF!</v>
      </c>
      <c r="L2186" s="818"/>
    </row>
    <row r="2187" spans="1:12" s="31" customFormat="1" ht="17.25" customHeight="1">
      <c r="A2187" s="821" t="s">
        <v>80</v>
      </c>
      <c r="B2187" s="980" t="s">
        <v>562</v>
      </c>
      <c r="C2187" s="879" t="e">
        <f>VLOOKUP(B2182,'CNKT '!#REF!,8,0)</f>
        <v>#REF!</v>
      </c>
      <c r="D2187" s="825" t="e">
        <f>IF(C2183="A",6.1,IF(C2183="B",5.8,IF(C2183="C",5.5,IF(C2183="C.",5.5,IF(C2183="D",5.2)))))*$B$2</f>
        <v>#REF!</v>
      </c>
      <c r="E2187" s="823" t="e">
        <f t="shared" si="255"/>
        <v>#REF!</v>
      </c>
      <c r="F2187" s="882"/>
      <c r="G2187" s="821" t="s">
        <v>80</v>
      </c>
      <c r="H2187" s="980" t="s">
        <v>562</v>
      </c>
      <c r="I2187" s="879" t="e">
        <f>VLOOKUP(H2182,'CNKT '!#REF!,8,0)</f>
        <v>#REF!</v>
      </c>
      <c r="J2187" s="825" t="e">
        <f>IF(I2183="A",6.1,IF(I2183="B",5.8,IF(I2183="C",5.5,IF(I2183="C.",5.5,IF(I2183="D",5.2)))))*$B$2</f>
        <v>#REF!</v>
      </c>
      <c r="K2187" s="823" t="e">
        <f t="shared" si="256"/>
        <v>#REF!</v>
      </c>
      <c r="L2187" s="818"/>
    </row>
    <row r="2188" spans="1:12" s="31" customFormat="1" ht="17.25" customHeight="1">
      <c r="A2188" s="821" t="s">
        <v>447</v>
      </c>
      <c r="B2188" s="980" t="s">
        <v>563</v>
      </c>
      <c r="C2188" s="879" t="e">
        <f>VLOOKUP(B2182,'CNKT '!#REF!,15,0)</f>
        <v>#REF!</v>
      </c>
      <c r="D2188" s="826">
        <f>92.2*$B$2</f>
        <v>61610.806000000004</v>
      </c>
      <c r="E2188" s="823" t="e">
        <f t="shared" si="255"/>
        <v>#REF!</v>
      </c>
      <c r="F2188" s="882"/>
      <c r="G2188" s="821" t="s">
        <v>447</v>
      </c>
      <c r="H2188" s="980" t="s">
        <v>563</v>
      </c>
      <c r="I2188" s="879" t="e">
        <f>VLOOKUP(H2182,'CNKT '!#REF!,15,0)</f>
        <v>#REF!</v>
      </c>
      <c r="J2188" s="826">
        <f>92.2*$B$2</f>
        <v>61610.806000000004</v>
      </c>
      <c r="K2188" s="823" t="e">
        <f t="shared" si="256"/>
        <v>#REF!</v>
      </c>
      <c r="L2188" s="818"/>
    </row>
    <row r="2189" spans="1:12" s="31" customFormat="1" ht="17.25" customHeight="1">
      <c r="A2189" s="821" t="s">
        <v>448</v>
      </c>
      <c r="B2189" s="980" t="s">
        <v>500</v>
      </c>
      <c r="C2189" s="879" t="e">
        <f>VLOOKUP(B2182,'CNKT '!#REF!,14,0)</f>
        <v>#REF!</v>
      </c>
      <c r="D2189" s="825">
        <f>153.6*$B$2</f>
        <v>102640.128</v>
      </c>
      <c r="E2189" s="823" t="e">
        <f t="shared" si="255"/>
        <v>#REF!</v>
      </c>
      <c r="F2189" s="882"/>
      <c r="G2189" s="821" t="s">
        <v>448</v>
      </c>
      <c r="H2189" s="980" t="s">
        <v>500</v>
      </c>
      <c r="I2189" s="879" t="e">
        <f>VLOOKUP(H2182,'CNKT '!#REF!,14,0)</f>
        <v>#REF!</v>
      </c>
      <c r="J2189" s="825">
        <f>153.6*$B$2</f>
        <v>102640.128</v>
      </c>
      <c r="K2189" s="823" t="e">
        <f t="shared" si="256"/>
        <v>#REF!</v>
      </c>
      <c r="L2189" s="818"/>
    </row>
    <row r="2190" spans="1:12" s="31" customFormat="1" ht="17.25" customHeight="1">
      <c r="A2190" s="821" t="s">
        <v>455</v>
      </c>
      <c r="B2190" s="980" t="s">
        <v>501</v>
      </c>
      <c r="C2190" s="879" t="e">
        <f>VLOOKUP(B2182,'CNKT '!#REF!,18,0)</f>
        <v>#REF!</v>
      </c>
      <c r="D2190" s="825">
        <v>10000</v>
      </c>
      <c r="E2190" s="823" t="e">
        <f>C2190*D2190</f>
        <v>#REF!</v>
      </c>
      <c r="F2190" s="882"/>
      <c r="G2190" s="821" t="s">
        <v>455</v>
      </c>
      <c r="H2190" s="980" t="s">
        <v>501</v>
      </c>
      <c r="I2190" s="879" t="e">
        <f>VLOOKUP(H2182,'CNKT '!#REF!,18,0)</f>
        <v>#REF!</v>
      </c>
      <c r="J2190" s="825">
        <v>10000</v>
      </c>
      <c r="K2190" s="823" t="e">
        <f>I2190*J2190</f>
        <v>#REF!</v>
      </c>
      <c r="L2190" s="818"/>
    </row>
    <row r="2191" spans="1:12" s="31" customFormat="1" ht="17.25" customHeight="1">
      <c r="A2191" s="821" t="s">
        <v>455</v>
      </c>
      <c r="B2191" s="980" t="s">
        <v>501</v>
      </c>
      <c r="C2191" s="879" t="e">
        <f>VLOOKUP(B2182,'CNKT '!#REF!,19,0)</f>
        <v>#REF!</v>
      </c>
      <c r="D2191" s="825">
        <v>20000</v>
      </c>
      <c r="E2191" s="823" t="e">
        <f>C2191*D2191</f>
        <v>#REF!</v>
      </c>
      <c r="F2191" s="882"/>
      <c r="G2191" s="821" t="s">
        <v>455</v>
      </c>
      <c r="H2191" s="980" t="s">
        <v>501</v>
      </c>
      <c r="I2191" s="879" t="e">
        <f>VLOOKUP(H2182,'CNKT '!#REF!,19,0)</f>
        <v>#REF!</v>
      </c>
      <c r="J2191" s="825">
        <v>20000</v>
      </c>
      <c r="K2191" s="823" t="e">
        <f>I2191*J2191</f>
        <v>#REF!</v>
      </c>
      <c r="L2191" s="818"/>
    </row>
    <row r="2192" spans="1:12" s="31" customFormat="1" ht="17.25" customHeight="1">
      <c r="A2192" s="827" t="s">
        <v>81</v>
      </c>
      <c r="B2192" s="981" t="s">
        <v>564</v>
      </c>
      <c r="C2192" s="828"/>
      <c r="D2192" s="829"/>
      <c r="E2192" s="828"/>
      <c r="F2192" s="882"/>
      <c r="G2192" s="827" t="s">
        <v>81</v>
      </c>
      <c r="H2192" s="981" t="s">
        <v>564</v>
      </c>
      <c r="I2192" s="828"/>
      <c r="J2192" s="829"/>
      <c r="K2192" s="828"/>
      <c r="L2192" s="818"/>
    </row>
    <row r="2193" spans="1:12" s="31" customFormat="1" ht="17.25" customHeight="1">
      <c r="A2193" s="830" t="s">
        <v>82</v>
      </c>
      <c r="B2193" s="982" t="s">
        <v>565</v>
      </c>
      <c r="C2193" s="828"/>
      <c r="D2193" s="828"/>
      <c r="E2193" s="828"/>
      <c r="F2193" s="882"/>
      <c r="G2193" s="830" t="s">
        <v>82</v>
      </c>
      <c r="H2193" s="982" t="s">
        <v>565</v>
      </c>
      <c r="I2193" s="828"/>
      <c r="J2193" s="828"/>
      <c r="K2193" s="828"/>
      <c r="L2193" s="818"/>
    </row>
    <row r="2194" spans="1:12" s="31" customFormat="1" ht="17.25" customHeight="1">
      <c r="A2194" s="830" t="s">
        <v>83</v>
      </c>
      <c r="B2194" s="983" t="s">
        <v>566</v>
      </c>
      <c r="C2194" s="828"/>
      <c r="D2194" s="828"/>
      <c r="E2194" s="823">
        <f>SUM(E2193)</f>
        <v>0</v>
      </c>
      <c r="F2194" s="881"/>
      <c r="G2194" s="830" t="s">
        <v>83</v>
      </c>
      <c r="H2194" s="983" t="s">
        <v>566</v>
      </c>
      <c r="I2194" s="828"/>
      <c r="J2194" s="828"/>
      <c r="K2194" s="823">
        <f>SUM(K2193)</f>
        <v>0</v>
      </c>
      <c r="L2194" s="818"/>
    </row>
    <row r="2195" spans="1:12" s="31" customFormat="1" ht="17.25" customHeight="1">
      <c r="A2195" s="832" t="s">
        <v>84</v>
      </c>
      <c r="B2195" s="984" t="s">
        <v>438</v>
      </c>
      <c r="C2195" s="833"/>
      <c r="D2195" s="833"/>
      <c r="E2195" s="833" t="e">
        <f>(E2184+E2185+E2186+E2187+E2188+E2189+E2190+E2191)-E2194</f>
        <v>#REF!</v>
      </c>
      <c r="F2195" s="881"/>
      <c r="G2195" s="832" t="s">
        <v>84</v>
      </c>
      <c r="H2195" s="984" t="s">
        <v>438</v>
      </c>
      <c r="I2195" s="833"/>
      <c r="J2195" s="833"/>
      <c r="K2195" s="833" t="e">
        <f>(K2184+K2185+K2186+K2187+K2188+K2189+K2190+K2191)-K2194</f>
        <v>#REF!</v>
      </c>
      <c r="L2195" s="835" t="e">
        <f>E2195+K2195</f>
        <v>#REF!</v>
      </c>
    </row>
    <row r="2196" spans="1:12" s="31" customFormat="1" ht="17.25" customHeight="1">
      <c r="A2196" s="895"/>
      <c r="B2196" s="895"/>
      <c r="C2196" s="895"/>
      <c r="D2196" s="895"/>
      <c r="E2196" s="895"/>
      <c r="F2196" s="895"/>
      <c r="G2196" s="895"/>
      <c r="H2196" s="895"/>
      <c r="I2196" s="895"/>
      <c r="J2196" s="895"/>
      <c r="K2196" s="895"/>
      <c r="L2196" s="818"/>
    </row>
    <row r="2197" spans="1:12" s="31" customFormat="1" ht="17.25" customHeight="1">
      <c r="A2197" s="891" t="str">
        <f>A2181</f>
        <v>LƯƠNG THÁNG 01/2025</v>
      </c>
      <c r="B2197" s="895"/>
      <c r="C2197" s="895"/>
      <c r="D2197" s="895"/>
      <c r="E2197" s="898" t="e">
        <f>VLOOKUP(B2198,'CNKT '!#REF!,26,0)</f>
        <v>#REF!</v>
      </c>
      <c r="F2197" s="882"/>
      <c r="G2197" s="891" t="str">
        <f>A2197</f>
        <v>LƯƠNG THÁNG 01/2025</v>
      </c>
      <c r="H2197" s="895"/>
      <c r="I2197" s="895"/>
      <c r="J2197" s="898"/>
      <c r="K2197" s="898" t="e">
        <f>VLOOKUP(H2198,'CNKT '!#REF!,26,0)</f>
        <v>#REF!</v>
      </c>
      <c r="L2197" s="818"/>
    </row>
    <row r="2198" spans="1:12" s="31" customFormat="1" ht="17.25" customHeight="1">
      <c r="A2198" s="837" t="s">
        <v>17</v>
      </c>
      <c r="B2198" s="976" t="e">
        <f>'CNKT '!#REF!</f>
        <v>#REF!</v>
      </c>
      <c r="C2198" s="822"/>
      <c r="D2198" s="976" t="s">
        <v>398</v>
      </c>
      <c r="E2198" s="976" t="s">
        <v>20</v>
      </c>
      <c r="F2198" s="882"/>
      <c r="G2198" s="837" t="s">
        <v>17</v>
      </c>
      <c r="H2198" s="976" t="e">
        <f>'CNKT '!#REF!</f>
        <v>#REF!</v>
      </c>
      <c r="I2198" s="822"/>
      <c r="J2198" s="976" t="s">
        <v>398</v>
      </c>
      <c r="K2198" s="976" t="s">
        <v>20</v>
      </c>
      <c r="L2198" s="818"/>
    </row>
    <row r="2199" spans="1:12" s="31" customFormat="1" ht="17.25" customHeight="1">
      <c r="A2199" s="821" t="s">
        <v>399</v>
      </c>
      <c r="B2199" s="978" t="s">
        <v>559</v>
      </c>
      <c r="C2199" s="822" t="e">
        <f>VLOOKUP(B2198,'BTH mủ tạp'!$C$161:$AL$161,36,0)</f>
        <v>#REF!</v>
      </c>
      <c r="D2199" s="823"/>
      <c r="E2199" s="823"/>
      <c r="F2199" s="882"/>
      <c r="G2199" s="821" t="s">
        <v>399</v>
      </c>
      <c r="H2199" s="978" t="s">
        <v>559</v>
      </c>
      <c r="I2199" s="822" t="e">
        <f>VLOOKUP(H2198,'BTH mủ tạp'!$C$161:$AL$161,36,0)</f>
        <v>#REF!</v>
      </c>
      <c r="J2199" s="823"/>
      <c r="K2199" s="823"/>
      <c r="L2199" s="818"/>
    </row>
    <row r="2200" spans="1:12" s="31" customFormat="1" ht="17.25" customHeight="1">
      <c r="A2200" s="821" t="s">
        <v>79</v>
      </c>
      <c r="B2200" s="979" t="s">
        <v>432</v>
      </c>
      <c r="C2200" s="824" t="e">
        <f>VLOOKUP(B2198,'CNKT '!#REF!,3,0)</f>
        <v>#REF!</v>
      </c>
      <c r="D2200" s="825">
        <v>25000</v>
      </c>
      <c r="E2200" s="823" t="e">
        <f t="shared" ref="E2200:E2205" si="257">C2200*D2200</f>
        <v>#REF!</v>
      </c>
      <c r="F2200" s="882"/>
      <c r="G2200" s="821" t="s">
        <v>79</v>
      </c>
      <c r="H2200" s="979" t="s">
        <v>432</v>
      </c>
      <c r="I2200" s="824" t="e">
        <f>VLOOKUP(H2198,'CNKT '!#REF!,3,0)</f>
        <v>#REF!</v>
      </c>
      <c r="J2200" s="825">
        <v>25000</v>
      </c>
      <c r="K2200" s="823" t="e">
        <f t="shared" ref="K2200:K2205" si="258">I2200*J2200</f>
        <v>#REF!</v>
      </c>
      <c r="L2200" s="818"/>
    </row>
    <row r="2201" spans="1:12" s="31" customFormat="1" ht="17.25" customHeight="1">
      <c r="A2201" s="821" t="s">
        <v>310</v>
      </c>
      <c r="B2201" s="980" t="s">
        <v>560</v>
      </c>
      <c r="C2201" s="879" t="e">
        <f>VLOOKUP(B2198,'CNKT '!#REF!,11,0)</f>
        <v>#REF!</v>
      </c>
      <c r="D2201" s="826">
        <f>46.1*$B$2</f>
        <v>30805.403000000002</v>
      </c>
      <c r="E2201" s="823" t="e">
        <f t="shared" si="257"/>
        <v>#REF!</v>
      </c>
      <c r="F2201" s="882"/>
      <c r="G2201" s="821" t="s">
        <v>310</v>
      </c>
      <c r="H2201" s="980" t="s">
        <v>560</v>
      </c>
      <c r="I2201" s="879" t="e">
        <f>VLOOKUP(H2198,'CNKT '!#REF!,11,0)</f>
        <v>#REF!</v>
      </c>
      <c r="J2201" s="826">
        <f>46.1*$B$2</f>
        <v>30805.403000000002</v>
      </c>
      <c r="K2201" s="823" t="e">
        <f t="shared" si="258"/>
        <v>#REF!</v>
      </c>
      <c r="L2201" s="818"/>
    </row>
    <row r="2202" spans="1:12" s="31" customFormat="1" ht="17.25" customHeight="1">
      <c r="A2202" s="821" t="s">
        <v>401</v>
      </c>
      <c r="B2202" s="980" t="s">
        <v>561</v>
      </c>
      <c r="C2202" s="879" t="e">
        <f>VLOOKUP(B2198,'CNKT '!#REF!,12,0)</f>
        <v>#REF!</v>
      </c>
      <c r="D2202" s="825">
        <f>76.9*$B$2</f>
        <v>51386.887000000002</v>
      </c>
      <c r="E2202" s="823" t="e">
        <f t="shared" si="257"/>
        <v>#REF!</v>
      </c>
      <c r="F2202" s="882"/>
      <c r="G2202" s="821" t="s">
        <v>401</v>
      </c>
      <c r="H2202" s="980" t="s">
        <v>561</v>
      </c>
      <c r="I2202" s="879" t="e">
        <f>VLOOKUP(H2198,'CNKT '!#REF!,12,0)</f>
        <v>#REF!</v>
      </c>
      <c r="J2202" s="825">
        <f>76.9*$B$2</f>
        <v>51386.887000000002</v>
      </c>
      <c r="K2202" s="823" t="e">
        <f t="shared" si="258"/>
        <v>#REF!</v>
      </c>
      <c r="L2202" s="818"/>
    </row>
    <row r="2203" spans="1:12" s="31" customFormat="1" ht="17.25" customHeight="1">
      <c r="A2203" s="821" t="s">
        <v>80</v>
      </c>
      <c r="B2203" s="980" t="s">
        <v>562</v>
      </c>
      <c r="C2203" s="879" t="e">
        <f>VLOOKUP(B2198,'CNKT '!#REF!,8,0)</f>
        <v>#REF!</v>
      </c>
      <c r="D2203" s="825" t="e">
        <f>IF(C2199="A",6.1,IF(C2199="B",5.8,IF(C2199="C",5.5,IF(C2199="C.",5.5,IF(C2199="D",5.2)))))*$B$2</f>
        <v>#REF!</v>
      </c>
      <c r="E2203" s="823" t="e">
        <f t="shared" si="257"/>
        <v>#REF!</v>
      </c>
      <c r="F2203" s="882"/>
      <c r="G2203" s="821" t="s">
        <v>80</v>
      </c>
      <c r="H2203" s="980" t="s">
        <v>562</v>
      </c>
      <c r="I2203" s="879" t="e">
        <f>VLOOKUP(H2198,'CNKT '!#REF!,8,0)</f>
        <v>#REF!</v>
      </c>
      <c r="J2203" s="825" t="e">
        <f>IF(I2199="A",6.1,IF(I2199="B",5.8,IF(I2199="C",5.5,IF(I2199="C.",5.5,IF(I2199="D",5.2)))))*$B$2</f>
        <v>#REF!</v>
      </c>
      <c r="K2203" s="823" t="e">
        <f t="shared" si="258"/>
        <v>#REF!</v>
      </c>
      <c r="L2203" s="818"/>
    </row>
    <row r="2204" spans="1:12" s="31" customFormat="1" ht="17.25" customHeight="1">
      <c r="A2204" s="821" t="s">
        <v>447</v>
      </c>
      <c r="B2204" s="980" t="s">
        <v>563</v>
      </c>
      <c r="C2204" s="879" t="e">
        <f>VLOOKUP(B2198,'CNKT '!#REF!,15,0)</f>
        <v>#REF!</v>
      </c>
      <c r="D2204" s="826">
        <f>92.2*$B$2</f>
        <v>61610.806000000004</v>
      </c>
      <c r="E2204" s="823" t="e">
        <f t="shared" si="257"/>
        <v>#REF!</v>
      </c>
      <c r="F2204" s="882"/>
      <c r="G2204" s="821" t="s">
        <v>447</v>
      </c>
      <c r="H2204" s="980" t="s">
        <v>563</v>
      </c>
      <c r="I2204" s="879" t="e">
        <f>VLOOKUP(H2198,'CNKT '!#REF!,15,0)</f>
        <v>#REF!</v>
      </c>
      <c r="J2204" s="826">
        <f>92.2*$B$2</f>
        <v>61610.806000000004</v>
      </c>
      <c r="K2204" s="823" t="e">
        <f t="shared" si="258"/>
        <v>#REF!</v>
      </c>
      <c r="L2204" s="818"/>
    </row>
    <row r="2205" spans="1:12" s="31" customFormat="1" ht="17.25" customHeight="1">
      <c r="A2205" s="821" t="s">
        <v>448</v>
      </c>
      <c r="B2205" s="980" t="s">
        <v>500</v>
      </c>
      <c r="C2205" s="879" t="e">
        <f>VLOOKUP(B2198,'CNKT '!#REF!,14,0)</f>
        <v>#REF!</v>
      </c>
      <c r="D2205" s="825">
        <f>153.6*$B$2</f>
        <v>102640.128</v>
      </c>
      <c r="E2205" s="823" t="e">
        <f t="shared" si="257"/>
        <v>#REF!</v>
      </c>
      <c r="F2205" s="882"/>
      <c r="G2205" s="821" t="s">
        <v>448</v>
      </c>
      <c r="H2205" s="980" t="s">
        <v>500</v>
      </c>
      <c r="I2205" s="879" t="e">
        <f>VLOOKUP(H2198,'CNKT '!#REF!,14,0)</f>
        <v>#REF!</v>
      </c>
      <c r="J2205" s="825">
        <f>153.6*$B$2</f>
        <v>102640.128</v>
      </c>
      <c r="K2205" s="823" t="e">
        <f t="shared" si="258"/>
        <v>#REF!</v>
      </c>
      <c r="L2205" s="818"/>
    </row>
    <row r="2206" spans="1:12" s="31" customFormat="1" ht="17.25" customHeight="1">
      <c r="A2206" s="821" t="s">
        <v>455</v>
      </c>
      <c r="B2206" s="980" t="s">
        <v>501</v>
      </c>
      <c r="C2206" s="879" t="e">
        <f>VLOOKUP(B2198,'CNKT '!#REF!,18,0)</f>
        <v>#REF!</v>
      </c>
      <c r="D2206" s="825">
        <v>10000</v>
      </c>
      <c r="E2206" s="823" t="e">
        <f>C2206*D2206</f>
        <v>#REF!</v>
      </c>
      <c r="F2206" s="882"/>
      <c r="G2206" s="821" t="s">
        <v>455</v>
      </c>
      <c r="H2206" s="980" t="s">
        <v>501</v>
      </c>
      <c r="I2206" s="879" t="e">
        <f>VLOOKUP(H2198,'CNKT '!#REF!,18,0)</f>
        <v>#REF!</v>
      </c>
      <c r="J2206" s="825">
        <v>10000</v>
      </c>
      <c r="K2206" s="823" t="e">
        <f>I2206*J2206</f>
        <v>#REF!</v>
      </c>
      <c r="L2206" s="818"/>
    </row>
    <row r="2207" spans="1:12" s="31" customFormat="1" ht="17.25" customHeight="1">
      <c r="A2207" s="821" t="s">
        <v>455</v>
      </c>
      <c r="B2207" s="980" t="s">
        <v>501</v>
      </c>
      <c r="C2207" s="879" t="e">
        <f>VLOOKUP(B2198,'CNKT '!#REF!,19,0)</f>
        <v>#REF!</v>
      </c>
      <c r="D2207" s="825">
        <v>20000</v>
      </c>
      <c r="E2207" s="823" t="e">
        <f>C2207*D2207</f>
        <v>#REF!</v>
      </c>
      <c r="F2207" s="882"/>
      <c r="G2207" s="821" t="s">
        <v>455</v>
      </c>
      <c r="H2207" s="980" t="s">
        <v>501</v>
      </c>
      <c r="I2207" s="879" t="e">
        <f>VLOOKUP(H2198,'CNKT '!#REF!,19,0)</f>
        <v>#REF!</v>
      </c>
      <c r="J2207" s="825">
        <v>20000</v>
      </c>
      <c r="K2207" s="823" t="e">
        <f>I2207*J2207</f>
        <v>#REF!</v>
      </c>
      <c r="L2207" s="818"/>
    </row>
    <row r="2208" spans="1:12" s="31" customFormat="1" ht="17.25" customHeight="1">
      <c r="A2208" s="827" t="s">
        <v>81</v>
      </c>
      <c r="B2208" s="981" t="s">
        <v>564</v>
      </c>
      <c r="C2208" s="828"/>
      <c r="D2208" s="829"/>
      <c r="E2208" s="828"/>
      <c r="F2208" s="882"/>
      <c r="G2208" s="827" t="s">
        <v>81</v>
      </c>
      <c r="H2208" s="981" t="s">
        <v>564</v>
      </c>
      <c r="I2208" s="828"/>
      <c r="J2208" s="829"/>
      <c r="K2208" s="828"/>
      <c r="L2208" s="818"/>
    </row>
    <row r="2209" spans="1:12" s="31" customFormat="1" ht="17.25" customHeight="1">
      <c r="A2209" s="830" t="s">
        <v>82</v>
      </c>
      <c r="B2209" s="982" t="s">
        <v>565</v>
      </c>
      <c r="C2209" s="828"/>
      <c r="D2209" s="828"/>
      <c r="E2209" s="828"/>
      <c r="F2209" s="882"/>
      <c r="G2209" s="830" t="s">
        <v>82</v>
      </c>
      <c r="H2209" s="982" t="s">
        <v>565</v>
      </c>
      <c r="I2209" s="828"/>
      <c r="J2209" s="828"/>
      <c r="K2209" s="828"/>
      <c r="L2209" s="818"/>
    </row>
    <row r="2210" spans="1:12" s="31" customFormat="1" ht="17.25" customHeight="1">
      <c r="A2210" s="830" t="s">
        <v>83</v>
      </c>
      <c r="B2210" s="983" t="s">
        <v>566</v>
      </c>
      <c r="C2210" s="828"/>
      <c r="D2210" s="828"/>
      <c r="E2210" s="823">
        <f>SUM(E2209)</f>
        <v>0</v>
      </c>
      <c r="F2210" s="869"/>
      <c r="G2210" s="830" t="s">
        <v>83</v>
      </c>
      <c r="H2210" s="983" t="s">
        <v>566</v>
      </c>
      <c r="I2210" s="828"/>
      <c r="J2210" s="828"/>
      <c r="K2210" s="823">
        <f>SUM(K2209)</f>
        <v>0</v>
      </c>
      <c r="L2210" s="818"/>
    </row>
    <row r="2211" spans="1:12" s="31" customFormat="1" ht="17.25" customHeight="1">
      <c r="A2211" s="832" t="s">
        <v>84</v>
      </c>
      <c r="B2211" s="984" t="s">
        <v>438</v>
      </c>
      <c r="C2211" s="833"/>
      <c r="D2211" s="833"/>
      <c r="E2211" s="833" t="e">
        <f>(E2200+E2201+E2202+E2203+E2204+E2205+E2206+E2207)-E2210</f>
        <v>#REF!</v>
      </c>
      <c r="F2211" s="869"/>
      <c r="G2211" s="832" t="s">
        <v>84</v>
      </c>
      <c r="H2211" s="984" t="s">
        <v>438</v>
      </c>
      <c r="I2211" s="833"/>
      <c r="J2211" s="833"/>
      <c r="K2211" s="833" t="e">
        <f>(K2200+K2201+K2202+K2203+K2204+K2205+K2206+K2207)-K2210</f>
        <v>#REF!</v>
      </c>
      <c r="L2211" s="835" t="e">
        <f>E2211+K2211</f>
        <v>#REF!</v>
      </c>
    </row>
    <row r="2212" spans="1:12" s="31" customFormat="1" ht="17.25" customHeight="1">
      <c r="A2212" s="895"/>
      <c r="B2212" s="895"/>
      <c r="C2212" s="895"/>
      <c r="D2212" s="895"/>
      <c r="E2212" s="895"/>
      <c r="F2212" s="895"/>
      <c r="G2212" s="895"/>
      <c r="H2212" s="895"/>
      <c r="I2212" s="895"/>
      <c r="J2212" s="895"/>
      <c r="K2212" s="895"/>
      <c r="L2212" s="818"/>
    </row>
    <row r="2213" spans="1:12" s="31" customFormat="1" ht="17.25" customHeight="1">
      <c r="A2213" s="891" t="str">
        <f>A2197</f>
        <v>LƯƠNG THÁNG 01/2025</v>
      </c>
      <c r="B2213" s="895"/>
      <c r="C2213" s="895"/>
      <c r="D2213" s="895"/>
      <c r="E2213" s="898" t="e">
        <f>VLOOKUP(B2214,'CNKT '!#REF!,26,0)</f>
        <v>#REF!</v>
      </c>
      <c r="F2213" s="882"/>
      <c r="G2213" s="891" t="str">
        <f>A2213</f>
        <v>LƯƠNG THÁNG 01/2025</v>
      </c>
      <c r="H2213" s="895"/>
      <c r="I2213" s="895"/>
      <c r="J2213" s="898"/>
      <c r="K2213" s="898" t="e">
        <f>VLOOKUP(H2214,'CNKT '!#REF!,26,0)</f>
        <v>#REF!</v>
      </c>
      <c r="L2213" s="818"/>
    </row>
    <row r="2214" spans="1:12" s="31" customFormat="1" ht="17.25" customHeight="1">
      <c r="A2214" s="837" t="s">
        <v>17</v>
      </c>
      <c r="B2214" s="976" t="e">
        <f>'CNKT '!#REF!</f>
        <v>#REF!</v>
      </c>
      <c r="C2214" s="822"/>
      <c r="D2214" s="976" t="s">
        <v>398</v>
      </c>
      <c r="E2214" s="976" t="s">
        <v>20</v>
      </c>
      <c r="F2214" s="882"/>
      <c r="G2214" s="837" t="s">
        <v>17</v>
      </c>
      <c r="H2214" s="976" t="e">
        <f>'CNKT '!#REF!</f>
        <v>#REF!</v>
      </c>
      <c r="I2214" s="822"/>
      <c r="J2214" s="976" t="s">
        <v>398</v>
      </c>
      <c r="K2214" s="976" t="s">
        <v>20</v>
      </c>
      <c r="L2214" s="818"/>
    </row>
    <row r="2215" spans="1:12" s="31" customFormat="1" ht="17.25" customHeight="1">
      <c r="A2215" s="821" t="s">
        <v>399</v>
      </c>
      <c r="B2215" s="978" t="s">
        <v>559</v>
      </c>
      <c r="C2215" s="822" t="e">
        <f>VLOOKUP(B2214,'BTH mủ tạp'!$C$161:$AL$161,36,0)</f>
        <v>#REF!</v>
      </c>
      <c r="D2215" s="823"/>
      <c r="E2215" s="823"/>
      <c r="F2215" s="882"/>
      <c r="G2215" s="821" t="s">
        <v>399</v>
      </c>
      <c r="H2215" s="978" t="s">
        <v>559</v>
      </c>
      <c r="I2215" s="822" t="e">
        <f>VLOOKUP(H2214,'BTH mủ tạp'!$C$161:$AL$161,36,0)</f>
        <v>#REF!</v>
      </c>
      <c r="J2215" s="823"/>
      <c r="K2215" s="823"/>
      <c r="L2215" s="818"/>
    </row>
    <row r="2216" spans="1:12" s="31" customFormat="1" ht="17.25" customHeight="1">
      <c r="A2216" s="821" t="s">
        <v>79</v>
      </c>
      <c r="B2216" s="979" t="s">
        <v>432</v>
      </c>
      <c r="C2216" s="824" t="e">
        <f>VLOOKUP(B2214,'CNKT '!#REF!,3,0)</f>
        <v>#REF!</v>
      </c>
      <c r="D2216" s="825">
        <v>25000</v>
      </c>
      <c r="E2216" s="823" t="e">
        <f t="shared" ref="E2216:E2221" si="259">C2216*D2216</f>
        <v>#REF!</v>
      </c>
      <c r="F2216" s="882"/>
      <c r="G2216" s="821" t="s">
        <v>79</v>
      </c>
      <c r="H2216" s="979" t="s">
        <v>432</v>
      </c>
      <c r="I2216" s="824" t="e">
        <f>VLOOKUP(H2214,'CNKT '!#REF!,3,0)</f>
        <v>#REF!</v>
      </c>
      <c r="J2216" s="825">
        <v>25000</v>
      </c>
      <c r="K2216" s="823" t="e">
        <f t="shared" ref="K2216:K2221" si="260">I2216*J2216</f>
        <v>#REF!</v>
      </c>
      <c r="L2216" s="818"/>
    </row>
    <row r="2217" spans="1:12" s="31" customFormat="1" ht="17.25" customHeight="1">
      <c r="A2217" s="821" t="s">
        <v>310</v>
      </c>
      <c r="B2217" s="980" t="s">
        <v>560</v>
      </c>
      <c r="C2217" s="879" t="e">
        <f>VLOOKUP(B2214,'CNKT '!#REF!,11,0)</f>
        <v>#REF!</v>
      </c>
      <c r="D2217" s="826">
        <f>46.1*$B$2</f>
        <v>30805.403000000002</v>
      </c>
      <c r="E2217" s="823" t="e">
        <f t="shared" si="259"/>
        <v>#REF!</v>
      </c>
      <c r="F2217" s="882"/>
      <c r="G2217" s="821" t="s">
        <v>310</v>
      </c>
      <c r="H2217" s="980" t="s">
        <v>560</v>
      </c>
      <c r="I2217" s="879" t="e">
        <f>VLOOKUP(H2214,'CNKT '!#REF!,11,0)</f>
        <v>#REF!</v>
      </c>
      <c r="J2217" s="826">
        <f>46.1*$B$2</f>
        <v>30805.403000000002</v>
      </c>
      <c r="K2217" s="823" t="e">
        <f t="shared" si="260"/>
        <v>#REF!</v>
      </c>
      <c r="L2217" s="818"/>
    </row>
    <row r="2218" spans="1:12" s="31" customFormat="1" ht="17.25" customHeight="1">
      <c r="A2218" s="821" t="s">
        <v>401</v>
      </c>
      <c r="B2218" s="980" t="s">
        <v>561</v>
      </c>
      <c r="C2218" s="879" t="e">
        <f>VLOOKUP(B2214,'CNKT '!#REF!,12,0)</f>
        <v>#REF!</v>
      </c>
      <c r="D2218" s="825">
        <f>76.9*$B$2</f>
        <v>51386.887000000002</v>
      </c>
      <c r="E2218" s="823" t="e">
        <f t="shared" si="259"/>
        <v>#REF!</v>
      </c>
      <c r="F2218" s="882"/>
      <c r="G2218" s="821" t="s">
        <v>401</v>
      </c>
      <c r="H2218" s="980" t="s">
        <v>561</v>
      </c>
      <c r="I2218" s="879" t="e">
        <f>VLOOKUP(H2214,'CNKT '!#REF!,12,0)</f>
        <v>#REF!</v>
      </c>
      <c r="J2218" s="825">
        <f>76.9*$B$2</f>
        <v>51386.887000000002</v>
      </c>
      <c r="K2218" s="823" t="e">
        <f t="shared" si="260"/>
        <v>#REF!</v>
      </c>
      <c r="L2218" s="818"/>
    </row>
    <row r="2219" spans="1:12" s="31" customFormat="1" ht="17.25" customHeight="1">
      <c r="A2219" s="821" t="s">
        <v>80</v>
      </c>
      <c r="B2219" s="980" t="s">
        <v>562</v>
      </c>
      <c r="C2219" s="879" t="e">
        <f>VLOOKUP(B2214,'CNKT '!#REF!,8,0)</f>
        <v>#REF!</v>
      </c>
      <c r="D2219" s="825" t="e">
        <f>IF(C2215="A",6.1,IF(C2215="B",5.8,IF(C2215="C",5.5,IF(C2215="C.",5.5,IF(C2215="D",5.2)))))*$B$2</f>
        <v>#REF!</v>
      </c>
      <c r="E2219" s="823" t="e">
        <f t="shared" si="259"/>
        <v>#REF!</v>
      </c>
      <c r="F2219" s="882"/>
      <c r="G2219" s="821" t="s">
        <v>80</v>
      </c>
      <c r="H2219" s="980" t="s">
        <v>562</v>
      </c>
      <c r="I2219" s="879" t="e">
        <f>VLOOKUP(H2214,'CNKT '!#REF!,8,0)</f>
        <v>#REF!</v>
      </c>
      <c r="J2219" s="825" t="e">
        <f>IF(I2215="A",6.1,IF(I2215="B",5.8,IF(I2215="C",5.5,IF(I2215="C.",5.5,IF(I2215="D",5.2)))))*$B$2</f>
        <v>#REF!</v>
      </c>
      <c r="K2219" s="823" t="e">
        <f t="shared" si="260"/>
        <v>#REF!</v>
      </c>
      <c r="L2219" s="818"/>
    </row>
    <row r="2220" spans="1:12" s="31" customFormat="1" ht="17.25" customHeight="1">
      <c r="A2220" s="821" t="s">
        <v>447</v>
      </c>
      <c r="B2220" s="980" t="s">
        <v>563</v>
      </c>
      <c r="C2220" s="879" t="e">
        <f>VLOOKUP(B2214,'CNKT '!#REF!,15,0)</f>
        <v>#REF!</v>
      </c>
      <c r="D2220" s="826">
        <f>92.2*$B$2</f>
        <v>61610.806000000004</v>
      </c>
      <c r="E2220" s="823" t="e">
        <f t="shared" si="259"/>
        <v>#REF!</v>
      </c>
      <c r="F2220" s="882"/>
      <c r="G2220" s="821" t="s">
        <v>447</v>
      </c>
      <c r="H2220" s="980" t="s">
        <v>563</v>
      </c>
      <c r="I2220" s="879" t="e">
        <f>VLOOKUP(H2214,'CNKT '!#REF!,15,0)</f>
        <v>#REF!</v>
      </c>
      <c r="J2220" s="826">
        <f>92.2*$B$2</f>
        <v>61610.806000000004</v>
      </c>
      <c r="K2220" s="823" t="e">
        <f t="shared" si="260"/>
        <v>#REF!</v>
      </c>
      <c r="L2220" s="818"/>
    </row>
    <row r="2221" spans="1:12" s="31" customFormat="1" ht="17.25" customHeight="1">
      <c r="A2221" s="821" t="s">
        <v>448</v>
      </c>
      <c r="B2221" s="980" t="s">
        <v>500</v>
      </c>
      <c r="C2221" s="879" t="e">
        <f>VLOOKUP(B2214,'CNKT '!#REF!,14,0)</f>
        <v>#REF!</v>
      </c>
      <c r="D2221" s="825">
        <f>153.6*$B$2</f>
        <v>102640.128</v>
      </c>
      <c r="E2221" s="823" t="e">
        <f t="shared" si="259"/>
        <v>#REF!</v>
      </c>
      <c r="F2221" s="882"/>
      <c r="G2221" s="821" t="s">
        <v>448</v>
      </c>
      <c r="H2221" s="980" t="s">
        <v>500</v>
      </c>
      <c r="I2221" s="879" t="e">
        <f>VLOOKUP(H2214,'CNKT '!#REF!,14,0)</f>
        <v>#REF!</v>
      </c>
      <c r="J2221" s="825">
        <f>153.6*$B$2</f>
        <v>102640.128</v>
      </c>
      <c r="K2221" s="823" t="e">
        <f t="shared" si="260"/>
        <v>#REF!</v>
      </c>
      <c r="L2221" s="818"/>
    </row>
    <row r="2222" spans="1:12" s="31" customFormat="1" ht="17.25" customHeight="1">
      <c r="A2222" s="821" t="s">
        <v>455</v>
      </c>
      <c r="B2222" s="980" t="s">
        <v>501</v>
      </c>
      <c r="C2222" s="879" t="e">
        <f>VLOOKUP(B2214,'CNKT '!#REF!,18,0)</f>
        <v>#REF!</v>
      </c>
      <c r="D2222" s="825">
        <v>10000</v>
      </c>
      <c r="E2222" s="823" t="e">
        <f>C2222*D2222</f>
        <v>#REF!</v>
      </c>
      <c r="F2222" s="882"/>
      <c r="G2222" s="821" t="s">
        <v>455</v>
      </c>
      <c r="H2222" s="980" t="s">
        <v>501</v>
      </c>
      <c r="I2222" s="879" t="e">
        <f>VLOOKUP(H2214,'CNKT '!#REF!,18,0)</f>
        <v>#REF!</v>
      </c>
      <c r="J2222" s="825">
        <v>10000</v>
      </c>
      <c r="K2222" s="823" t="e">
        <f>I2222*J2222</f>
        <v>#REF!</v>
      </c>
      <c r="L2222" s="818"/>
    </row>
    <row r="2223" spans="1:12" s="31" customFormat="1" ht="17.25" customHeight="1">
      <c r="A2223" s="821" t="s">
        <v>455</v>
      </c>
      <c r="B2223" s="980" t="s">
        <v>501</v>
      </c>
      <c r="C2223" s="879" t="e">
        <f>VLOOKUP(B2214,'CNKT '!#REF!,19,0)</f>
        <v>#REF!</v>
      </c>
      <c r="D2223" s="825">
        <v>20000</v>
      </c>
      <c r="E2223" s="823" t="e">
        <f>C2223*D2223</f>
        <v>#REF!</v>
      </c>
      <c r="F2223" s="882"/>
      <c r="G2223" s="821" t="s">
        <v>455</v>
      </c>
      <c r="H2223" s="980" t="s">
        <v>501</v>
      </c>
      <c r="I2223" s="879" t="e">
        <f>VLOOKUP(H2214,'CNKT '!#REF!,19,0)</f>
        <v>#REF!</v>
      </c>
      <c r="J2223" s="825">
        <v>20000</v>
      </c>
      <c r="K2223" s="823" t="e">
        <f>I2223*J2223</f>
        <v>#REF!</v>
      </c>
      <c r="L2223" s="818"/>
    </row>
    <row r="2224" spans="1:12" s="31" customFormat="1" ht="17.25" customHeight="1">
      <c r="A2224" s="827" t="s">
        <v>81</v>
      </c>
      <c r="B2224" s="981" t="s">
        <v>564</v>
      </c>
      <c r="C2224" s="828"/>
      <c r="D2224" s="829"/>
      <c r="E2224" s="828"/>
      <c r="F2224" s="882"/>
      <c r="G2224" s="827" t="s">
        <v>81</v>
      </c>
      <c r="H2224" s="981" t="s">
        <v>564</v>
      </c>
      <c r="I2224" s="828"/>
      <c r="J2224" s="829"/>
      <c r="K2224" s="828"/>
      <c r="L2224" s="818"/>
    </row>
    <row r="2225" spans="1:12" s="31" customFormat="1" ht="17.25" customHeight="1">
      <c r="A2225" s="830" t="s">
        <v>82</v>
      </c>
      <c r="B2225" s="982" t="s">
        <v>565</v>
      </c>
      <c r="C2225" s="828"/>
      <c r="D2225" s="828"/>
      <c r="E2225" s="828"/>
      <c r="F2225" s="882"/>
      <c r="G2225" s="830" t="s">
        <v>82</v>
      </c>
      <c r="H2225" s="982" t="s">
        <v>565</v>
      </c>
      <c r="I2225" s="828"/>
      <c r="J2225" s="828"/>
      <c r="K2225" s="828"/>
      <c r="L2225" s="818"/>
    </row>
    <row r="2226" spans="1:12" s="31" customFormat="1" ht="17.25" customHeight="1">
      <c r="A2226" s="830" t="s">
        <v>83</v>
      </c>
      <c r="B2226" s="983" t="s">
        <v>566</v>
      </c>
      <c r="C2226" s="828"/>
      <c r="D2226" s="828"/>
      <c r="E2226" s="823">
        <f>SUM(E2225)</f>
        <v>0</v>
      </c>
      <c r="F2226" s="879"/>
      <c r="G2226" s="830" t="s">
        <v>83</v>
      </c>
      <c r="H2226" s="983" t="s">
        <v>566</v>
      </c>
      <c r="I2226" s="828"/>
      <c r="J2226" s="828"/>
      <c r="K2226" s="823">
        <f>SUM(K2225)</f>
        <v>0</v>
      </c>
      <c r="L2226" s="818"/>
    </row>
    <row r="2227" spans="1:12" s="31" customFormat="1" ht="17.25" customHeight="1">
      <c r="A2227" s="832" t="s">
        <v>84</v>
      </c>
      <c r="B2227" s="984" t="s">
        <v>438</v>
      </c>
      <c r="C2227" s="833"/>
      <c r="D2227" s="833"/>
      <c r="E2227" s="833" t="e">
        <f>(E2216+E2217+E2218+E2219+E2220+E2221+E2222+E2223)-E2226</f>
        <v>#REF!</v>
      </c>
      <c r="F2227" s="879"/>
      <c r="G2227" s="832" t="s">
        <v>84</v>
      </c>
      <c r="H2227" s="984" t="s">
        <v>438</v>
      </c>
      <c r="I2227" s="833"/>
      <c r="J2227" s="833"/>
      <c r="K2227" s="833" t="e">
        <f>(K2216+K2217+K2218+K2219+K2220+K2221+K2222+K2223)-K2226</f>
        <v>#REF!</v>
      </c>
      <c r="L2227" s="835" t="e">
        <f>E2227+K2227</f>
        <v>#REF!</v>
      </c>
    </row>
    <row r="2228" spans="1:12" s="31" customFormat="1" ht="64.5" customHeight="1">
      <c r="A2228" s="895"/>
      <c r="B2228" s="895"/>
      <c r="C2228" s="895"/>
      <c r="D2228" s="895"/>
      <c r="E2228" s="895"/>
      <c r="F2228" s="895"/>
      <c r="G2228" s="895"/>
      <c r="H2228" s="895"/>
      <c r="I2228" s="895"/>
      <c r="J2228" s="895"/>
      <c r="K2228" s="895"/>
      <c r="L2228" s="818"/>
    </row>
    <row r="2229" spans="1:12" s="31" customFormat="1" ht="17.25" customHeight="1">
      <c r="A2229" s="891" t="str">
        <f>A2213</f>
        <v>LƯƠNG THÁNG 01/2025</v>
      </c>
      <c r="B2229" s="895"/>
      <c r="C2229" s="895"/>
      <c r="D2229" s="895"/>
      <c r="E2229" s="898" t="e">
        <f>VLOOKUP(B2230,'CNKT '!#REF!,26,0)</f>
        <v>#REF!</v>
      </c>
      <c r="F2229" s="882"/>
      <c r="G2229" s="891" t="str">
        <f>A2229</f>
        <v>LƯƠNG THÁNG 01/2025</v>
      </c>
      <c r="H2229" s="895"/>
      <c r="I2229" s="895"/>
      <c r="J2229" s="898"/>
      <c r="K2229" s="898" t="e">
        <f>VLOOKUP(H2230,'CNKT '!#REF!,26,0)</f>
        <v>#REF!</v>
      </c>
      <c r="L2229" s="818"/>
    </row>
    <row r="2230" spans="1:12" s="31" customFormat="1" ht="17.25" customHeight="1">
      <c r="A2230" s="837" t="s">
        <v>17</v>
      </c>
      <c r="B2230" s="976" t="e">
        <f>'CNKT '!#REF!</f>
        <v>#REF!</v>
      </c>
      <c r="C2230" s="822"/>
      <c r="D2230" s="976" t="s">
        <v>398</v>
      </c>
      <c r="E2230" s="976" t="s">
        <v>20</v>
      </c>
      <c r="F2230" s="882"/>
      <c r="G2230" s="837" t="s">
        <v>17</v>
      </c>
      <c r="H2230" s="976" t="e">
        <f>'CNKT '!#REF!</f>
        <v>#REF!</v>
      </c>
      <c r="I2230" s="822"/>
      <c r="J2230" s="976" t="s">
        <v>398</v>
      </c>
      <c r="K2230" s="976" t="s">
        <v>20</v>
      </c>
      <c r="L2230" s="818"/>
    </row>
    <row r="2231" spans="1:12" s="31" customFormat="1" ht="17.25" customHeight="1">
      <c r="A2231" s="821" t="s">
        <v>399</v>
      </c>
      <c r="B2231" s="978" t="s">
        <v>559</v>
      </c>
      <c r="C2231" s="822" t="e">
        <f>VLOOKUP(B2230,'BTH mủ tạp'!$C$161:$AL$161,36,0)</f>
        <v>#REF!</v>
      </c>
      <c r="D2231" s="823"/>
      <c r="E2231" s="823"/>
      <c r="F2231" s="882"/>
      <c r="G2231" s="821" t="s">
        <v>399</v>
      </c>
      <c r="H2231" s="978" t="s">
        <v>559</v>
      </c>
      <c r="I2231" s="822" t="e">
        <f>VLOOKUP(H2230,'BTH mủ tạp'!$C$161:$AL$161,36,0)</f>
        <v>#REF!</v>
      </c>
      <c r="J2231" s="823"/>
      <c r="K2231" s="823"/>
      <c r="L2231" s="818"/>
    </row>
    <row r="2232" spans="1:12" s="31" customFormat="1" ht="17.25" customHeight="1">
      <c r="A2232" s="821" t="s">
        <v>79</v>
      </c>
      <c r="B2232" s="979" t="s">
        <v>432</v>
      </c>
      <c r="C2232" s="824" t="e">
        <f>VLOOKUP(B2230,'CNKT '!#REF!,3,0)</f>
        <v>#REF!</v>
      </c>
      <c r="D2232" s="825">
        <v>25000</v>
      </c>
      <c r="E2232" s="823" t="e">
        <f t="shared" ref="E2232:E2237" si="261">C2232*D2232</f>
        <v>#REF!</v>
      </c>
      <c r="F2232" s="882"/>
      <c r="G2232" s="821" t="s">
        <v>79</v>
      </c>
      <c r="H2232" s="979" t="s">
        <v>432</v>
      </c>
      <c r="I2232" s="824" t="e">
        <f>VLOOKUP(H2230,'CNKT '!#REF!,3,0)</f>
        <v>#REF!</v>
      </c>
      <c r="J2232" s="825">
        <v>25000</v>
      </c>
      <c r="K2232" s="823" t="e">
        <f t="shared" ref="K2232:K2237" si="262">I2232*J2232</f>
        <v>#REF!</v>
      </c>
      <c r="L2232" s="818"/>
    </row>
    <row r="2233" spans="1:12" s="31" customFormat="1" ht="17.25" customHeight="1">
      <c r="A2233" s="821" t="s">
        <v>310</v>
      </c>
      <c r="B2233" s="980" t="s">
        <v>560</v>
      </c>
      <c r="C2233" s="879" t="e">
        <f>VLOOKUP(B2230,'CNKT '!#REF!,11,0)</f>
        <v>#REF!</v>
      </c>
      <c r="D2233" s="826">
        <f>46.1*$B$2</f>
        <v>30805.403000000002</v>
      </c>
      <c r="E2233" s="823" t="e">
        <f t="shared" si="261"/>
        <v>#REF!</v>
      </c>
      <c r="F2233" s="882"/>
      <c r="G2233" s="821" t="s">
        <v>310</v>
      </c>
      <c r="H2233" s="980" t="s">
        <v>560</v>
      </c>
      <c r="I2233" s="879" t="e">
        <f>VLOOKUP(H2230,'CNKT '!#REF!,11,0)</f>
        <v>#REF!</v>
      </c>
      <c r="J2233" s="826">
        <f>46.1*$B$2</f>
        <v>30805.403000000002</v>
      </c>
      <c r="K2233" s="823" t="e">
        <f t="shared" si="262"/>
        <v>#REF!</v>
      </c>
      <c r="L2233" s="818"/>
    </row>
    <row r="2234" spans="1:12" s="31" customFormat="1" ht="17.25" customHeight="1">
      <c r="A2234" s="821" t="s">
        <v>401</v>
      </c>
      <c r="B2234" s="980" t="s">
        <v>561</v>
      </c>
      <c r="C2234" s="879" t="e">
        <f>VLOOKUP(B2230,'CNKT '!#REF!,12,0)</f>
        <v>#REF!</v>
      </c>
      <c r="D2234" s="825">
        <f>76.9*$B$2</f>
        <v>51386.887000000002</v>
      </c>
      <c r="E2234" s="823" t="e">
        <f t="shared" si="261"/>
        <v>#REF!</v>
      </c>
      <c r="F2234" s="882"/>
      <c r="G2234" s="821" t="s">
        <v>401</v>
      </c>
      <c r="H2234" s="980" t="s">
        <v>561</v>
      </c>
      <c r="I2234" s="879" t="e">
        <f>VLOOKUP(H2230,'CNKT '!#REF!,12,0)</f>
        <v>#REF!</v>
      </c>
      <c r="J2234" s="825">
        <f>76.9*$B$2</f>
        <v>51386.887000000002</v>
      </c>
      <c r="K2234" s="823" t="e">
        <f t="shared" si="262"/>
        <v>#REF!</v>
      </c>
      <c r="L2234" s="818"/>
    </row>
    <row r="2235" spans="1:12" s="31" customFormat="1" ht="17.25" customHeight="1">
      <c r="A2235" s="821" t="s">
        <v>80</v>
      </c>
      <c r="B2235" s="980" t="s">
        <v>562</v>
      </c>
      <c r="C2235" s="879" t="e">
        <f>VLOOKUP(B2230,'CNKT '!#REF!,8,0)</f>
        <v>#REF!</v>
      </c>
      <c r="D2235" s="825" t="e">
        <f>IF(C2231="A",6.1,IF(C2231="B",5.8,IF(C2231="C",5.5,IF(C2231="C.",5.5,IF(C2231="D",5.2)))))*$B$2</f>
        <v>#REF!</v>
      </c>
      <c r="E2235" s="823" t="e">
        <f t="shared" si="261"/>
        <v>#REF!</v>
      </c>
      <c r="F2235" s="882"/>
      <c r="G2235" s="821" t="s">
        <v>80</v>
      </c>
      <c r="H2235" s="980" t="s">
        <v>562</v>
      </c>
      <c r="I2235" s="879" t="e">
        <f>VLOOKUP(H2230,'CNKT '!#REF!,8,0)</f>
        <v>#REF!</v>
      </c>
      <c r="J2235" s="825" t="e">
        <f>IF(I2231="A",6.1,IF(I2231="B",5.8,IF(I2231="C",5.5,IF(I2231="C.",5.5,IF(I2231="D",5.2)))))*$B$2</f>
        <v>#REF!</v>
      </c>
      <c r="K2235" s="823" t="e">
        <f t="shared" si="262"/>
        <v>#REF!</v>
      </c>
      <c r="L2235" s="818"/>
    </row>
    <row r="2236" spans="1:12" s="31" customFormat="1" ht="17.25" customHeight="1">
      <c r="A2236" s="821" t="s">
        <v>447</v>
      </c>
      <c r="B2236" s="980" t="s">
        <v>563</v>
      </c>
      <c r="C2236" s="879" t="e">
        <f>VLOOKUP(B2230,'CNKT '!#REF!,15,0)</f>
        <v>#REF!</v>
      </c>
      <c r="D2236" s="826">
        <f>92.2*$B$2</f>
        <v>61610.806000000004</v>
      </c>
      <c r="E2236" s="823" t="e">
        <f t="shared" si="261"/>
        <v>#REF!</v>
      </c>
      <c r="F2236" s="882"/>
      <c r="G2236" s="821" t="s">
        <v>447</v>
      </c>
      <c r="H2236" s="980" t="s">
        <v>563</v>
      </c>
      <c r="I2236" s="879" t="e">
        <f>VLOOKUP(H2230,'CNKT '!#REF!,15,0)</f>
        <v>#REF!</v>
      </c>
      <c r="J2236" s="826">
        <f>92.2*$B$2</f>
        <v>61610.806000000004</v>
      </c>
      <c r="K2236" s="823" t="e">
        <f t="shared" si="262"/>
        <v>#REF!</v>
      </c>
      <c r="L2236" s="818"/>
    </row>
    <row r="2237" spans="1:12" s="31" customFormat="1" ht="17.25" customHeight="1">
      <c r="A2237" s="821" t="s">
        <v>448</v>
      </c>
      <c r="B2237" s="980" t="s">
        <v>500</v>
      </c>
      <c r="C2237" s="879" t="e">
        <f>VLOOKUP(B2230,'CNKT '!#REF!,14,0)</f>
        <v>#REF!</v>
      </c>
      <c r="D2237" s="825">
        <f>153.6*$B$2</f>
        <v>102640.128</v>
      </c>
      <c r="E2237" s="823" t="e">
        <f t="shared" si="261"/>
        <v>#REF!</v>
      </c>
      <c r="F2237" s="882"/>
      <c r="G2237" s="821" t="s">
        <v>448</v>
      </c>
      <c r="H2237" s="980" t="s">
        <v>500</v>
      </c>
      <c r="I2237" s="879" t="e">
        <f>VLOOKUP(H2230,'CNKT '!#REF!,14,0)</f>
        <v>#REF!</v>
      </c>
      <c r="J2237" s="825">
        <f>153.6*$B$2</f>
        <v>102640.128</v>
      </c>
      <c r="K2237" s="823" t="e">
        <f t="shared" si="262"/>
        <v>#REF!</v>
      </c>
      <c r="L2237" s="818"/>
    </row>
    <row r="2238" spans="1:12" s="31" customFormat="1" ht="17.25" customHeight="1">
      <c r="A2238" s="821" t="s">
        <v>455</v>
      </c>
      <c r="B2238" s="980" t="s">
        <v>501</v>
      </c>
      <c r="C2238" s="879" t="e">
        <f>VLOOKUP(B2230,'CNKT '!#REF!,18,0)</f>
        <v>#REF!</v>
      </c>
      <c r="D2238" s="825">
        <v>10000</v>
      </c>
      <c r="E2238" s="823" t="e">
        <f>C2238*D2238</f>
        <v>#REF!</v>
      </c>
      <c r="F2238" s="882"/>
      <c r="G2238" s="821" t="s">
        <v>455</v>
      </c>
      <c r="H2238" s="980" t="s">
        <v>501</v>
      </c>
      <c r="I2238" s="879" t="e">
        <f>VLOOKUP(H2230,'CNKT '!#REF!,18,0)</f>
        <v>#REF!</v>
      </c>
      <c r="J2238" s="825">
        <v>10000</v>
      </c>
      <c r="K2238" s="823" t="e">
        <f>I2238*J2238</f>
        <v>#REF!</v>
      </c>
      <c r="L2238" s="818"/>
    </row>
    <row r="2239" spans="1:12" s="31" customFormat="1" ht="17.25" customHeight="1">
      <c r="A2239" s="821" t="s">
        <v>455</v>
      </c>
      <c r="B2239" s="980" t="s">
        <v>501</v>
      </c>
      <c r="C2239" s="879" t="e">
        <f>VLOOKUP(B2230,'CNKT '!#REF!,19,0)</f>
        <v>#REF!</v>
      </c>
      <c r="D2239" s="825">
        <v>20000</v>
      </c>
      <c r="E2239" s="823" t="e">
        <f>C2239*D2239</f>
        <v>#REF!</v>
      </c>
      <c r="F2239" s="882"/>
      <c r="G2239" s="821" t="s">
        <v>455</v>
      </c>
      <c r="H2239" s="980" t="s">
        <v>501</v>
      </c>
      <c r="I2239" s="879" t="e">
        <f>VLOOKUP(H2230,'CNKT '!#REF!,19,0)</f>
        <v>#REF!</v>
      </c>
      <c r="J2239" s="825">
        <v>20000</v>
      </c>
      <c r="K2239" s="823" t="e">
        <f>I2239*J2239</f>
        <v>#REF!</v>
      </c>
      <c r="L2239" s="818"/>
    </row>
    <row r="2240" spans="1:12" s="31" customFormat="1" ht="17.25" customHeight="1">
      <c r="A2240" s="827" t="s">
        <v>81</v>
      </c>
      <c r="B2240" s="981" t="s">
        <v>564</v>
      </c>
      <c r="C2240" s="828"/>
      <c r="D2240" s="829"/>
      <c r="E2240" s="828"/>
      <c r="F2240" s="882"/>
      <c r="G2240" s="827" t="s">
        <v>81</v>
      </c>
      <c r="H2240" s="981" t="s">
        <v>564</v>
      </c>
      <c r="I2240" s="828"/>
      <c r="J2240" s="829"/>
      <c r="K2240" s="828"/>
      <c r="L2240" s="818"/>
    </row>
    <row r="2241" spans="1:12" s="31" customFormat="1" ht="17.25" customHeight="1">
      <c r="A2241" s="830" t="s">
        <v>82</v>
      </c>
      <c r="B2241" s="982" t="s">
        <v>565</v>
      </c>
      <c r="C2241" s="828"/>
      <c r="D2241" s="828"/>
      <c r="E2241" s="828"/>
      <c r="F2241" s="882"/>
      <c r="G2241" s="830" t="s">
        <v>82</v>
      </c>
      <c r="H2241" s="982" t="s">
        <v>565</v>
      </c>
      <c r="I2241" s="828"/>
      <c r="J2241" s="828"/>
      <c r="K2241" s="828"/>
      <c r="L2241" s="818"/>
    </row>
    <row r="2242" spans="1:12" s="31" customFormat="1" ht="17.25" customHeight="1">
      <c r="A2242" s="830" t="s">
        <v>83</v>
      </c>
      <c r="B2242" s="983" t="s">
        <v>566</v>
      </c>
      <c r="C2242" s="828"/>
      <c r="D2242" s="828"/>
      <c r="E2242" s="823">
        <f>SUM(E2241)</f>
        <v>0</v>
      </c>
      <c r="F2242" s="881"/>
      <c r="G2242" s="830" t="s">
        <v>83</v>
      </c>
      <c r="H2242" s="983" t="s">
        <v>566</v>
      </c>
      <c r="I2242" s="828"/>
      <c r="J2242" s="828"/>
      <c r="K2242" s="823">
        <f>SUM(K2241)</f>
        <v>0</v>
      </c>
      <c r="L2242" s="818"/>
    </row>
    <row r="2243" spans="1:12" s="31" customFormat="1" ht="17.25" customHeight="1">
      <c r="A2243" s="832" t="s">
        <v>84</v>
      </c>
      <c r="B2243" s="984" t="s">
        <v>438</v>
      </c>
      <c r="C2243" s="833"/>
      <c r="D2243" s="833"/>
      <c r="E2243" s="833" t="e">
        <f>(E2232+E2233+E2234+E2235+E2236+E2237+E2238+E2239)-E2242</f>
        <v>#REF!</v>
      </c>
      <c r="F2243" s="881"/>
      <c r="G2243" s="832" t="s">
        <v>84</v>
      </c>
      <c r="H2243" s="984" t="s">
        <v>438</v>
      </c>
      <c r="I2243" s="833"/>
      <c r="J2243" s="833"/>
      <c r="K2243" s="833" t="e">
        <f>(K2232+K2233+K2234+K2235+K2236+K2237+K2238+K2239)-K2242</f>
        <v>#REF!</v>
      </c>
      <c r="L2243" s="835" t="e">
        <f>E2243+K2243</f>
        <v>#REF!</v>
      </c>
    </row>
    <row r="2244" spans="1:12" s="31" customFormat="1" ht="17.25" customHeight="1">
      <c r="A2244" s="895"/>
      <c r="B2244" s="895"/>
      <c r="C2244" s="895"/>
      <c r="D2244" s="895"/>
      <c r="E2244" s="895"/>
      <c r="F2244" s="895"/>
      <c r="G2244" s="895"/>
      <c r="H2244" s="895"/>
      <c r="I2244" s="895"/>
      <c r="J2244" s="895"/>
      <c r="K2244" s="895"/>
      <c r="L2244" s="818"/>
    </row>
    <row r="2245" spans="1:12" s="31" customFormat="1" ht="17.25" customHeight="1">
      <c r="A2245" s="891" t="str">
        <f>A2229</f>
        <v>LƯƠNG THÁNG 01/2025</v>
      </c>
      <c r="B2245" s="895"/>
      <c r="C2245" s="895"/>
      <c r="D2245" s="895"/>
      <c r="E2245" s="898" t="e">
        <f>VLOOKUP(B2246,'CNKT '!#REF!,26,0)</f>
        <v>#REF!</v>
      </c>
      <c r="F2245" s="882"/>
      <c r="G2245" s="891" t="str">
        <f>A2245</f>
        <v>LƯƠNG THÁNG 01/2025</v>
      </c>
      <c r="H2245" s="895"/>
      <c r="I2245" s="895"/>
      <c r="J2245" s="898"/>
      <c r="K2245" s="898" t="e">
        <f>VLOOKUP(H2246,'CNKT '!#REF!,26,0)</f>
        <v>#REF!</v>
      </c>
      <c r="L2245" s="818"/>
    </row>
    <row r="2246" spans="1:12" s="31" customFormat="1" ht="17.25" customHeight="1">
      <c r="A2246" s="837" t="s">
        <v>17</v>
      </c>
      <c r="B2246" s="976" t="e">
        <f>'CNKT '!#REF!</f>
        <v>#REF!</v>
      </c>
      <c r="C2246" s="822"/>
      <c r="D2246" s="976" t="s">
        <v>398</v>
      </c>
      <c r="E2246" s="976" t="s">
        <v>20</v>
      </c>
      <c r="F2246" s="882"/>
      <c r="G2246" s="837" t="s">
        <v>17</v>
      </c>
      <c r="H2246" s="976" t="e">
        <f>'CNKT '!#REF!</f>
        <v>#REF!</v>
      </c>
      <c r="I2246" s="822"/>
      <c r="J2246" s="976" t="s">
        <v>398</v>
      </c>
      <c r="K2246" s="976" t="s">
        <v>20</v>
      </c>
      <c r="L2246" s="818"/>
    </row>
    <row r="2247" spans="1:12" s="31" customFormat="1" ht="17.25" customHeight="1">
      <c r="A2247" s="821" t="s">
        <v>399</v>
      </c>
      <c r="B2247" s="978" t="s">
        <v>559</v>
      </c>
      <c r="C2247" s="822" t="e">
        <f>VLOOKUP(B2246,'BTH mủ tạp'!$C$161:$AL$161,36,0)</f>
        <v>#REF!</v>
      </c>
      <c r="D2247" s="823"/>
      <c r="E2247" s="823"/>
      <c r="F2247" s="882"/>
      <c r="G2247" s="821" t="s">
        <v>399</v>
      </c>
      <c r="H2247" s="978" t="s">
        <v>559</v>
      </c>
      <c r="I2247" s="822" t="e">
        <f>VLOOKUP(H2246,'BTH mủ tạp'!$C$161:$AL$161,36,0)</f>
        <v>#REF!</v>
      </c>
      <c r="J2247" s="823"/>
      <c r="K2247" s="823"/>
      <c r="L2247" s="818"/>
    </row>
    <row r="2248" spans="1:12" s="31" customFormat="1" ht="17.25" customHeight="1">
      <c r="A2248" s="821" t="s">
        <v>79</v>
      </c>
      <c r="B2248" s="979" t="s">
        <v>432</v>
      </c>
      <c r="C2248" s="824" t="e">
        <f>VLOOKUP(B2246,'CNKT '!#REF!,3,0)</f>
        <v>#REF!</v>
      </c>
      <c r="D2248" s="825">
        <v>25000</v>
      </c>
      <c r="E2248" s="823" t="e">
        <f t="shared" ref="E2248:E2253" si="263">C2248*D2248</f>
        <v>#REF!</v>
      </c>
      <c r="F2248" s="882"/>
      <c r="G2248" s="821" t="s">
        <v>79</v>
      </c>
      <c r="H2248" s="979" t="s">
        <v>432</v>
      </c>
      <c r="I2248" s="824" t="e">
        <f>VLOOKUP(H2246,'CNKT '!#REF!,3,0)</f>
        <v>#REF!</v>
      </c>
      <c r="J2248" s="825">
        <v>25000</v>
      </c>
      <c r="K2248" s="823" t="e">
        <f t="shared" ref="K2248:K2253" si="264">I2248*J2248</f>
        <v>#REF!</v>
      </c>
      <c r="L2248" s="818"/>
    </row>
    <row r="2249" spans="1:12" s="31" customFormat="1" ht="17.25" customHeight="1">
      <c r="A2249" s="821" t="s">
        <v>310</v>
      </c>
      <c r="B2249" s="980" t="s">
        <v>560</v>
      </c>
      <c r="C2249" s="879" t="e">
        <f>VLOOKUP(B2246,'CNKT '!#REF!,11,0)</f>
        <v>#REF!</v>
      </c>
      <c r="D2249" s="826">
        <f>46.1*$B$2</f>
        <v>30805.403000000002</v>
      </c>
      <c r="E2249" s="823" t="e">
        <f t="shared" si="263"/>
        <v>#REF!</v>
      </c>
      <c r="F2249" s="882"/>
      <c r="G2249" s="821" t="s">
        <v>310</v>
      </c>
      <c r="H2249" s="980" t="s">
        <v>560</v>
      </c>
      <c r="I2249" s="879" t="e">
        <f>VLOOKUP(H2246,'CNKT '!#REF!,11,0)</f>
        <v>#REF!</v>
      </c>
      <c r="J2249" s="826">
        <f>46.1*$B$2</f>
        <v>30805.403000000002</v>
      </c>
      <c r="K2249" s="823" t="e">
        <f t="shared" si="264"/>
        <v>#REF!</v>
      </c>
      <c r="L2249" s="818"/>
    </row>
    <row r="2250" spans="1:12" s="31" customFormat="1" ht="17.25" customHeight="1">
      <c r="A2250" s="821" t="s">
        <v>401</v>
      </c>
      <c r="B2250" s="980" t="s">
        <v>561</v>
      </c>
      <c r="C2250" s="879" t="e">
        <f>VLOOKUP(B2246,'CNKT '!#REF!,12,0)</f>
        <v>#REF!</v>
      </c>
      <c r="D2250" s="825">
        <f>76.9*$B$2</f>
        <v>51386.887000000002</v>
      </c>
      <c r="E2250" s="823" t="e">
        <f t="shared" si="263"/>
        <v>#REF!</v>
      </c>
      <c r="F2250" s="882"/>
      <c r="G2250" s="821" t="s">
        <v>401</v>
      </c>
      <c r="H2250" s="980" t="s">
        <v>561</v>
      </c>
      <c r="I2250" s="879" t="e">
        <f>VLOOKUP(H2246,'CNKT '!#REF!,12,0)</f>
        <v>#REF!</v>
      </c>
      <c r="J2250" s="825">
        <f>76.9*$B$2</f>
        <v>51386.887000000002</v>
      </c>
      <c r="K2250" s="823" t="e">
        <f t="shared" si="264"/>
        <v>#REF!</v>
      </c>
      <c r="L2250" s="818"/>
    </row>
    <row r="2251" spans="1:12" s="31" customFormat="1" ht="17.25" customHeight="1">
      <c r="A2251" s="821" t="s">
        <v>80</v>
      </c>
      <c r="B2251" s="980" t="s">
        <v>562</v>
      </c>
      <c r="C2251" s="879" t="e">
        <f>VLOOKUP(B2246,'CNKT '!#REF!,8,0)</f>
        <v>#REF!</v>
      </c>
      <c r="D2251" s="825" t="e">
        <f>IF(C2247="A",6.1,IF(C2247="B",5.8,IF(C2247="C",5.5,IF(C2247="C.",5.5,IF(C2247="D",5.2)))))*$B$2</f>
        <v>#REF!</v>
      </c>
      <c r="E2251" s="823" t="e">
        <f t="shared" si="263"/>
        <v>#REF!</v>
      </c>
      <c r="F2251" s="882"/>
      <c r="G2251" s="821" t="s">
        <v>80</v>
      </c>
      <c r="H2251" s="980" t="s">
        <v>562</v>
      </c>
      <c r="I2251" s="879" t="e">
        <f>VLOOKUP(H2246,'CNKT '!#REF!,8,0)</f>
        <v>#REF!</v>
      </c>
      <c r="J2251" s="825" t="e">
        <f>IF(I2247="A",6.1,IF(I2247="B",5.8,IF(I2247="C",5.5,IF(I2247="C.",5.5,IF(I2247="D",5.2)))))*$B$2</f>
        <v>#REF!</v>
      </c>
      <c r="K2251" s="823" t="e">
        <f t="shared" si="264"/>
        <v>#REF!</v>
      </c>
      <c r="L2251" s="818"/>
    </row>
    <row r="2252" spans="1:12" s="31" customFormat="1" ht="17.25" customHeight="1">
      <c r="A2252" s="821" t="s">
        <v>447</v>
      </c>
      <c r="B2252" s="980" t="s">
        <v>563</v>
      </c>
      <c r="C2252" s="879" t="e">
        <f>VLOOKUP(B2246,'CNKT '!#REF!,15,0)</f>
        <v>#REF!</v>
      </c>
      <c r="D2252" s="826">
        <f>92.2*$B$2</f>
        <v>61610.806000000004</v>
      </c>
      <c r="E2252" s="823" t="e">
        <f t="shared" si="263"/>
        <v>#REF!</v>
      </c>
      <c r="F2252" s="882"/>
      <c r="G2252" s="821" t="s">
        <v>447</v>
      </c>
      <c r="H2252" s="980" t="s">
        <v>563</v>
      </c>
      <c r="I2252" s="879" t="e">
        <f>VLOOKUP(H2246,'CNKT '!#REF!,15,0)</f>
        <v>#REF!</v>
      </c>
      <c r="J2252" s="826">
        <f>92.2*$B$2</f>
        <v>61610.806000000004</v>
      </c>
      <c r="K2252" s="823" t="e">
        <f t="shared" si="264"/>
        <v>#REF!</v>
      </c>
      <c r="L2252" s="818"/>
    </row>
    <row r="2253" spans="1:12" s="31" customFormat="1" ht="17.25" customHeight="1">
      <c r="A2253" s="821" t="s">
        <v>448</v>
      </c>
      <c r="B2253" s="980" t="s">
        <v>500</v>
      </c>
      <c r="C2253" s="879" t="e">
        <f>VLOOKUP(B2246,'CNKT '!#REF!,14,0)</f>
        <v>#REF!</v>
      </c>
      <c r="D2253" s="825">
        <f>153.6*$B$2</f>
        <v>102640.128</v>
      </c>
      <c r="E2253" s="823" t="e">
        <f t="shared" si="263"/>
        <v>#REF!</v>
      </c>
      <c r="F2253" s="882"/>
      <c r="G2253" s="821" t="s">
        <v>448</v>
      </c>
      <c r="H2253" s="980" t="s">
        <v>500</v>
      </c>
      <c r="I2253" s="879" t="e">
        <f>VLOOKUP(H2246,'CNKT '!#REF!,14,0)</f>
        <v>#REF!</v>
      </c>
      <c r="J2253" s="825">
        <f>153.6*$B$2</f>
        <v>102640.128</v>
      </c>
      <c r="K2253" s="823" t="e">
        <f t="shared" si="264"/>
        <v>#REF!</v>
      </c>
      <c r="L2253" s="818"/>
    </row>
    <row r="2254" spans="1:12" s="31" customFormat="1" ht="17.25" customHeight="1">
      <c r="A2254" s="821" t="s">
        <v>455</v>
      </c>
      <c r="B2254" s="980" t="s">
        <v>501</v>
      </c>
      <c r="C2254" s="879" t="e">
        <f>VLOOKUP(B2246,'CNKT '!#REF!,18,0)</f>
        <v>#REF!</v>
      </c>
      <c r="D2254" s="825">
        <v>10000</v>
      </c>
      <c r="E2254" s="823" t="e">
        <f>C2254*D2254</f>
        <v>#REF!</v>
      </c>
      <c r="F2254" s="882"/>
      <c r="G2254" s="821" t="s">
        <v>455</v>
      </c>
      <c r="H2254" s="980" t="s">
        <v>501</v>
      </c>
      <c r="I2254" s="879" t="e">
        <f>VLOOKUP(H2246,'CNKT '!#REF!,18,0)</f>
        <v>#REF!</v>
      </c>
      <c r="J2254" s="825">
        <v>10000</v>
      </c>
      <c r="K2254" s="823" t="e">
        <f>I2254*J2254</f>
        <v>#REF!</v>
      </c>
      <c r="L2254" s="818"/>
    </row>
    <row r="2255" spans="1:12" s="31" customFormat="1" ht="17.25" customHeight="1">
      <c r="A2255" s="821" t="s">
        <v>455</v>
      </c>
      <c r="B2255" s="980" t="s">
        <v>501</v>
      </c>
      <c r="C2255" s="879" t="e">
        <f>VLOOKUP(B2246,'CNKT '!#REF!,19,0)</f>
        <v>#REF!</v>
      </c>
      <c r="D2255" s="825">
        <v>20000</v>
      </c>
      <c r="E2255" s="823" t="e">
        <f>C2255*D2255</f>
        <v>#REF!</v>
      </c>
      <c r="F2255" s="882"/>
      <c r="G2255" s="821" t="s">
        <v>455</v>
      </c>
      <c r="H2255" s="980" t="s">
        <v>501</v>
      </c>
      <c r="I2255" s="879" t="e">
        <f>VLOOKUP(H2246,'CNKT '!#REF!,19,0)</f>
        <v>#REF!</v>
      </c>
      <c r="J2255" s="825">
        <v>20000</v>
      </c>
      <c r="K2255" s="823" t="e">
        <f>I2255*J2255</f>
        <v>#REF!</v>
      </c>
      <c r="L2255" s="818"/>
    </row>
    <row r="2256" spans="1:12" s="31" customFormat="1" ht="17.25" customHeight="1">
      <c r="A2256" s="827" t="s">
        <v>81</v>
      </c>
      <c r="B2256" s="981" t="s">
        <v>564</v>
      </c>
      <c r="C2256" s="828"/>
      <c r="D2256" s="829"/>
      <c r="E2256" s="828"/>
      <c r="F2256" s="882"/>
      <c r="G2256" s="827" t="s">
        <v>81</v>
      </c>
      <c r="H2256" s="981" t="s">
        <v>564</v>
      </c>
      <c r="I2256" s="828"/>
      <c r="J2256" s="829"/>
      <c r="K2256" s="828"/>
      <c r="L2256" s="818"/>
    </row>
    <row r="2257" spans="1:12" s="31" customFormat="1" ht="17.25" customHeight="1">
      <c r="A2257" s="830" t="s">
        <v>82</v>
      </c>
      <c r="B2257" s="982" t="s">
        <v>565</v>
      </c>
      <c r="C2257" s="828"/>
      <c r="D2257" s="828"/>
      <c r="E2257" s="828"/>
      <c r="F2257" s="882"/>
      <c r="G2257" s="830" t="s">
        <v>82</v>
      </c>
      <c r="H2257" s="982" t="s">
        <v>565</v>
      </c>
      <c r="I2257" s="828"/>
      <c r="J2257" s="828"/>
      <c r="K2257" s="828"/>
      <c r="L2257" s="818"/>
    </row>
    <row r="2258" spans="1:12" s="31" customFormat="1" ht="17.25" customHeight="1">
      <c r="A2258" s="830" t="s">
        <v>83</v>
      </c>
      <c r="B2258" s="983" t="s">
        <v>566</v>
      </c>
      <c r="C2258" s="828"/>
      <c r="D2258" s="828"/>
      <c r="E2258" s="823">
        <f>SUM(E2257)</f>
        <v>0</v>
      </c>
      <c r="F2258" s="869"/>
      <c r="G2258" s="830" t="s">
        <v>83</v>
      </c>
      <c r="H2258" s="983" t="s">
        <v>566</v>
      </c>
      <c r="I2258" s="828"/>
      <c r="J2258" s="828"/>
      <c r="K2258" s="823">
        <f>SUM(K2257)</f>
        <v>0</v>
      </c>
      <c r="L2258" s="818"/>
    </row>
    <row r="2259" spans="1:12" s="31" customFormat="1" ht="17.25" customHeight="1">
      <c r="A2259" s="832" t="s">
        <v>84</v>
      </c>
      <c r="B2259" s="984" t="s">
        <v>438</v>
      </c>
      <c r="C2259" s="833"/>
      <c r="D2259" s="833"/>
      <c r="E2259" s="833" t="e">
        <f>(E2248+E2249+E2250+E2251+E2252+E2253+E2254+E2255)-E2258</f>
        <v>#REF!</v>
      </c>
      <c r="F2259" s="869"/>
      <c r="G2259" s="832" t="s">
        <v>84</v>
      </c>
      <c r="H2259" s="984" t="s">
        <v>438</v>
      </c>
      <c r="I2259" s="833"/>
      <c r="J2259" s="833"/>
      <c r="K2259" s="833" t="e">
        <f>(K2248+K2249+K2250+K2251+K2252+K2253+K2254+K2255)-K2258</f>
        <v>#REF!</v>
      </c>
      <c r="L2259" s="835" t="e">
        <f>E2259+K2259</f>
        <v>#REF!</v>
      </c>
    </row>
    <row r="2260" spans="1:12" s="31" customFormat="1" ht="17.25" customHeight="1">
      <c r="A2260" s="895"/>
      <c r="B2260" s="895"/>
      <c r="C2260" s="895"/>
      <c r="D2260" s="895"/>
      <c r="E2260" s="895"/>
      <c r="F2260" s="895"/>
      <c r="G2260" s="895"/>
      <c r="H2260" s="895"/>
      <c r="I2260" s="895"/>
      <c r="J2260" s="895"/>
      <c r="K2260" s="895"/>
      <c r="L2260" s="818"/>
    </row>
    <row r="2261" spans="1:12" s="31" customFormat="1" ht="17.25" customHeight="1">
      <c r="A2261" s="891" t="str">
        <f>A2245</f>
        <v>LƯƠNG THÁNG 01/2025</v>
      </c>
      <c r="B2261" s="895"/>
      <c r="C2261" s="895"/>
      <c r="D2261" s="895"/>
      <c r="E2261" s="898" t="e">
        <f>VLOOKUP(B2262,'CNKT '!#REF!,26,0)</f>
        <v>#REF!</v>
      </c>
      <c r="F2261" s="882"/>
      <c r="G2261" s="891" t="str">
        <f>A2261</f>
        <v>LƯƠNG THÁNG 01/2025</v>
      </c>
      <c r="H2261" s="895"/>
      <c r="I2261" s="895"/>
      <c r="J2261" s="898"/>
      <c r="K2261" s="898" t="e">
        <f>VLOOKUP(H2262,'CNKT '!#REF!,26,0)</f>
        <v>#REF!</v>
      </c>
      <c r="L2261" s="818"/>
    </row>
    <row r="2262" spans="1:12" s="31" customFormat="1" ht="17.25" customHeight="1">
      <c r="A2262" s="837" t="s">
        <v>17</v>
      </c>
      <c r="B2262" s="976" t="e">
        <f>'CNKT '!#REF!</f>
        <v>#REF!</v>
      </c>
      <c r="C2262" s="822"/>
      <c r="D2262" s="976" t="s">
        <v>398</v>
      </c>
      <c r="E2262" s="976" t="s">
        <v>20</v>
      </c>
      <c r="F2262" s="882"/>
      <c r="G2262" s="837" t="s">
        <v>17</v>
      </c>
      <c r="H2262" s="976" t="e">
        <f>'CNKT '!#REF!</f>
        <v>#REF!</v>
      </c>
      <c r="I2262" s="822"/>
      <c r="J2262" s="976" t="s">
        <v>398</v>
      </c>
      <c r="K2262" s="976" t="s">
        <v>20</v>
      </c>
      <c r="L2262" s="818"/>
    </row>
    <row r="2263" spans="1:12" s="31" customFormat="1" ht="17.25" customHeight="1">
      <c r="A2263" s="821" t="s">
        <v>399</v>
      </c>
      <c r="B2263" s="978" t="s">
        <v>559</v>
      </c>
      <c r="C2263" s="822" t="e">
        <f>VLOOKUP(B2262,'BTH mủ tạp'!$C$161:$AL$161,36,0)</f>
        <v>#REF!</v>
      </c>
      <c r="D2263" s="823"/>
      <c r="E2263" s="823"/>
      <c r="F2263" s="882"/>
      <c r="G2263" s="821" t="s">
        <v>399</v>
      </c>
      <c r="H2263" s="978" t="s">
        <v>559</v>
      </c>
      <c r="I2263" s="822" t="e">
        <f>VLOOKUP(H2262,'BTH mủ tạp'!$C$161:$AL$161,36,0)</f>
        <v>#REF!</v>
      </c>
      <c r="J2263" s="823"/>
      <c r="K2263" s="823"/>
      <c r="L2263" s="818"/>
    </row>
    <row r="2264" spans="1:12" s="31" customFormat="1" ht="17.25" customHeight="1">
      <c r="A2264" s="821" t="s">
        <v>79</v>
      </c>
      <c r="B2264" s="979" t="s">
        <v>432</v>
      </c>
      <c r="C2264" s="824" t="e">
        <f>VLOOKUP(B2262,'CNKT '!#REF!,3,0)</f>
        <v>#REF!</v>
      </c>
      <c r="D2264" s="825">
        <v>25000</v>
      </c>
      <c r="E2264" s="823" t="e">
        <f t="shared" ref="E2264:E2269" si="265">C2264*D2264</f>
        <v>#REF!</v>
      </c>
      <c r="F2264" s="882"/>
      <c r="G2264" s="821" t="s">
        <v>79</v>
      </c>
      <c r="H2264" s="979" t="s">
        <v>432</v>
      </c>
      <c r="I2264" s="824" t="e">
        <f>VLOOKUP(H2262,'CNKT '!#REF!,3,0)</f>
        <v>#REF!</v>
      </c>
      <c r="J2264" s="825">
        <v>25000</v>
      </c>
      <c r="K2264" s="823" t="e">
        <f t="shared" ref="K2264:K2269" si="266">I2264*J2264</f>
        <v>#REF!</v>
      </c>
      <c r="L2264" s="818"/>
    </row>
    <row r="2265" spans="1:12" s="31" customFormat="1" ht="17.25" customHeight="1">
      <c r="A2265" s="821" t="s">
        <v>310</v>
      </c>
      <c r="B2265" s="980" t="s">
        <v>560</v>
      </c>
      <c r="C2265" s="879" t="e">
        <f>VLOOKUP(B2262,'CNKT '!#REF!,11,0)</f>
        <v>#REF!</v>
      </c>
      <c r="D2265" s="826">
        <f>46.1*$B$2</f>
        <v>30805.403000000002</v>
      </c>
      <c r="E2265" s="823" t="e">
        <f t="shared" si="265"/>
        <v>#REF!</v>
      </c>
      <c r="F2265" s="882"/>
      <c r="G2265" s="821" t="s">
        <v>310</v>
      </c>
      <c r="H2265" s="980" t="s">
        <v>560</v>
      </c>
      <c r="I2265" s="879" t="e">
        <f>VLOOKUP(H2262,'CNKT '!#REF!,11,0)</f>
        <v>#REF!</v>
      </c>
      <c r="J2265" s="826">
        <f>46.1*$B$2</f>
        <v>30805.403000000002</v>
      </c>
      <c r="K2265" s="823" t="e">
        <f t="shared" si="266"/>
        <v>#REF!</v>
      </c>
      <c r="L2265" s="818"/>
    </row>
    <row r="2266" spans="1:12" s="31" customFormat="1" ht="17.25" customHeight="1">
      <c r="A2266" s="821" t="s">
        <v>401</v>
      </c>
      <c r="B2266" s="980" t="s">
        <v>561</v>
      </c>
      <c r="C2266" s="879" t="e">
        <f>VLOOKUP(B2262,'CNKT '!#REF!,12,0)</f>
        <v>#REF!</v>
      </c>
      <c r="D2266" s="825">
        <f>76.9*$B$2</f>
        <v>51386.887000000002</v>
      </c>
      <c r="E2266" s="823" t="e">
        <f t="shared" si="265"/>
        <v>#REF!</v>
      </c>
      <c r="F2266" s="882"/>
      <c r="G2266" s="821" t="s">
        <v>401</v>
      </c>
      <c r="H2266" s="980" t="s">
        <v>561</v>
      </c>
      <c r="I2266" s="879" t="e">
        <f>VLOOKUP(H2262,'CNKT '!#REF!,12,0)</f>
        <v>#REF!</v>
      </c>
      <c r="J2266" s="825">
        <f>76.9*$B$2</f>
        <v>51386.887000000002</v>
      </c>
      <c r="K2266" s="823" t="e">
        <f t="shared" si="266"/>
        <v>#REF!</v>
      </c>
      <c r="L2266" s="818"/>
    </row>
    <row r="2267" spans="1:12" s="31" customFormat="1" ht="17.25" customHeight="1">
      <c r="A2267" s="821" t="s">
        <v>80</v>
      </c>
      <c r="B2267" s="980" t="s">
        <v>562</v>
      </c>
      <c r="C2267" s="879" t="e">
        <f>VLOOKUP(B2262,'CNKT '!#REF!,8,0)</f>
        <v>#REF!</v>
      </c>
      <c r="D2267" s="825" t="e">
        <f>IF(C2263="A",6.1,IF(C2263="B",5.8,IF(C2263="C",5.5,IF(C2263="C.",5.5,IF(C2263="D",5.2)))))*$B$2</f>
        <v>#REF!</v>
      </c>
      <c r="E2267" s="823" t="e">
        <f t="shared" si="265"/>
        <v>#REF!</v>
      </c>
      <c r="F2267" s="882"/>
      <c r="G2267" s="821" t="s">
        <v>80</v>
      </c>
      <c r="H2267" s="980" t="s">
        <v>562</v>
      </c>
      <c r="I2267" s="879" t="e">
        <f>VLOOKUP(H2262,'CNKT '!#REF!,8,0)</f>
        <v>#REF!</v>
      </c>
      <c r="J2267" s="825" t="e">
        <f>IF(I2263="A",6.1,IF(I2263="B",5.8,IF(I2263="C",5.5,IF(I2263="C.",5.5,IF(I2263="D",5.2)))))*$B$2</f>
        <v>#REF!</v>
      </c>
      <c r="K2267" s="823" t="e">
        <f t="shared" si="266"/>
        <v>#REF!</v>
      </c>
      <c r="L2267" s="818"/>
    </row>
    <row r="2268" spans="1:12" s="31" customFormat="1" ht="17.25" customHeight="1">
      <c r="A2268" s="821" t="s">
        <v>447</v>
      </c>
      <c r="B2268" s="980" t="s">
        <v>563</v>
      </c>
      <c r="C2268" s="879" t="e">
        <f>VLOOKUP(B2262,'CNKT '!#REF!,15,0)</f>
        <v>#REF!</v>
      </c>
      <c r="D2268" s="826">
        <f>92.2*$B$2</f>
        <v>61610.806000000004</v>
      </c>
      <c r="E2268" s="823" t="e">
        <f t="shared" si="265"/>
        <v>#REF!</v>
      </c>
      <c r="F2268" s="882"/>
      <c r="G2268" s="821" t="s">
        <v>447</v>
      </c>
      <c r="H2268" s="980" t="s">
        <v>563</v>
      </c>
      <c r="I2268" s="879" t="e">
        <f>VLOOKUP(H2262,'CNKT '!#REF!,15,0)</f>
        <v>#REF!</v>
      </c>
      <c r="J2268" s="826">
        <f>92.2*$B$2</f>
        <v>61610.806000000004</v>
      </c>
      <c r="K2268" s="823" t="e">
        <f t="shared" si="266"/>
        <v>#REF!</v>
      </c>
      <c r="L2268" s="818"/>
    </row>
    <row r="2269" spans="1:12" s="31" customFormat="1" ht="17.25" customHeight="1">
      <c r="A2269" s="821" t="s">
        <v>448</v>
      </c>
      <c r="B2269" s="980" t="s">
        <v>500</v>
      </c>
      <c r="C2269" s="879" t="e">
        <f>VLOOKUP(B2262,'CNKT '!#REF!,14,0)</f>
        <v>#REF!</v>
      </c>
      <c r="D2269" s="825">
        <f>153.6*$B$2</f>
        <v>102640.128</v>
      </c>
      <c r="E2269" s="823" t="e">
        <f t="shared" si="265"/>
        <v>#REF!</v>
      </c>
      <c r="F2269" s="882"/>
      <c r="G2269" s="821" t="s">
        <v>448</v>
      </c>
      <c r="H2269" s="980" t="s">
        <v>500</v>
      </c>
      <c r="I2269" s="879" t="e">
        <f>VLOOKUP(H2262,'CNKT '!#REF!,14,0)</f>
        <v>#REF!</v>
      </c>
      <c r="J2269" s="825">
        <f>153.6*$B$2</f>
        <v>102640.128</v>
      </c>
      <c r="K2269" s="823" t="e">
        <f t="shared" si="266"/>
        <v>#REF!</v>
      </c>
      <c r="L2269" s="818"/>
    </row>
    <row r="2270" spans="1:12" s="31" customFormat="1" ht="17.25" customHeight="1">
      <c r="A2270" s="821" t="s">
        <v>455</v>
      </c>
      <c r="B2270" s="980" t="s">
        <v>501</v>
      </c>
      <c r="C2270" s="879" t="e">
        <f>VLOOKUP(B2262,'CNKT '!#REF!,18,0)</f>
        <v>#REF!</v>
      </c>
      <c r="D2270" s="825">
        <v>10000</v>
      </c>
      <c r="E2270" s="823" t="e">
        <f>C2270*D2270</f>
        <v>#REF!</v>
      </c>
      <c r="F2270" s="882"/>
      <c r="G2270" s="821" t="s">
        <v>455</v>
      </c>
      <c r="H2270" s="980" t="s">
        <v>501</v>
      </c>
      <c r="I2270" s="879" t="e">
        <f>VLOOKUP(H2262,'CNKT '!#REF!,18,0)</f>
        <v>#REF!</v>
      </c>
      <c r="J2270" s="825">
        <v>10000</v>
      </c>
      <c r="K2270" s="823" t="e">
        <f>I2270*J2270</f>
        <v>#REF!</v>
      </c>
      <c r="L2270" s="818"/>
    </row>
    <row r="2271" spans="1:12" s="31" customFormat="1" ht="17.25" customHeight="1">
      <c r="A2271" s="821" t="s">
        <v>455</v>
      </c>
      <c r="B2271" s="980" t="s">
        <v>501</v>
      </c>
      <c r="C2271" s="879" t="e">
        <f>VLOOKUP(B2262,'CNKT '!#REF!,19,0)</f>
        <v>#REF!</v>
      </c>
      <c r="D2271" s="825">
        <v>20000</v>
      </c>
      <c r="E2271" s="823" t="e">
        <f>C2271*D2271</f>
        <v>#REF!</v>
      </c>
      <c r="F2271" s="882"/>
      <c r="G2271" s="821" t="s">
        <v>455</v>
      </c>
      <c r="H2271" s="980" t="s">
        <v>501</v>
      </c>
      <c r="I2271" s="879" t="e">
        <f>VLOOKUP(H2262,'CNKT '!#REF!,19,0)</f>
        <v>#REF!</v>
      </c>
      <c r="J2271" s="825">
        <v>20000</v>
      </c>
      <c r="K2271" s="823" t="e">
        <f>I2271*J2271</f>
        <v>#REF!</v>
      </c>
      <c r="L2271" s="818"/>
    </row>
    <row r="2272" spans="1:12" s="31" customFormat="1" ht="17.25" customHeight="1">
      <c r="A2272" s="827" t="s">
        <v>81</v>
      </c>
      <c r="B2272" s="981" t="s">
        <v>564</v>
      </c>
      <c r="C2272" s="828"/>
      <c r="D2272" s="829"/>
      <c r="E2272" s="828"/>
      <c r="F2272" s="882"/>
      <c r="G2272" s="827" t="s">
        <v>81</v>
      </c>
      <c r="H2272" s="981" t="s">
        <v>564</v>
      </c>
      <c r="I2272" s="828"/>
      <c r="J2272" s="829"/>
      <c r="K2272" s="828"/>
      <c r="L2272" s="818"/>
    </row>
    <row r="2273" spans="1:12" s="31" customFormat="1" ht="17.25" customHeight="1">
      <c r="A2273" s="830" t="s">
        <v>82</v>
      </c>
      <c r="B2273" s="982" t="s">
        <v>565</v>
      </c>
      <c r="C2273" s="828"/>
      <c r="D2273" s="828"/>
      <c r="E2273" s="828"/>
      <c r="F2273" s="882"/>
      <c r="G2273" s="830" t="s">
        <v>82</v>
      </c>
      <c r="H2273" s="982" t="s">
        <v>565</v>
      </c>
      <c r="I2273" s="828"/>
      <c r="J2273" s="828"/>
      <c r="K2273" s="828"/>
      <c r="L2273" s="818"/>
    </row>
    <row r="2274" spans="1:12" s="31" customFormat="1" ht="17.25" customHeight="1">
      <c r="A2274" s="830" t="s">
        <v>83</v>
      </c>
      <c r="B2274" s="983" t="s">
        <v>566</v>
      </c>
      <c r="C2274" s="828"/>
      <c r="D2274" s="828"/>
      <c r="E2274" s="823">
        <f>SUM(E2273)</f>
        <v>0</v>
      </c>
      <c r="F2274" s="869"/>
      <c r="G2274" s="830" t="s">
        <v>83</v>
      </c>
      <c r="H2274" s="983" t="s">
        <v>566</v>
      </c>
      <c r="I2274" s="828"/>
      <c r="J2274" s="828"/>
      <c r="K2274" s="823">
        <f>SUM(K2273)</f>
        <v>0</v>
      </c>
      <c r="L2274" s="818"/>
    </row>
    <row r="2275" spans="1:12" s="31" customFormat="1" ht="17.25" customHeight="1">
      <c r="A2275" s="832" t="s">
        <v>84</v>
      </c>
      <c r="B2275" s="984" t="s">
        <v>438</v>
      </c>
      <c r="C2275" s="833"/>
      <c r="D2275" s="833"/>
      <c r="E2275" s="833" t="e">
        <f>(E2264+E2265+E2266+E2267+E2268+E2269+E2270+E2271)-E2274</f>
        <v>#REF!</v>
      </c>
      <c r="F2275" s="869"/>
      <c r="G2275" s="832" t="s">
        <v>84</v>
      </c>
      <c r="H2275" s="984" t="s">
        <v>438</v>
      </c>
      <c r="I2275" s="833"/>
      <c r="J2275" s="833"/>
      <c r="K2275" s="833" t="e">
        <f>(K2264+K2265+K2266+K2267+K2268+K2269+K2270+K2271)-K2274</f>
        <v>#REF!</v>
      </c>
      <c r="L2275" s="835" t="e">
        <f>E2275+K2275</f>
        <v>#REF!</v>
      </c>
    </row>
    <row r="2276" spans="1:12" s="31" customFormat="1" ht="17.25" customHeight="1">
      <c r="A2276" s="895"/>
      <c r="B2276" s="895"/>
      <c r="C2276" s="895"/>
      <c r="D2276" s="895"/>
      <c r="E2276" s="895"/>
      <c r="F2276" s="895"/>
      <c r="G2276" s="895"/>
      <c r="H2276" s="895"/>
      <c r="I2276" s="895"/>
      <c r="J2276" s="895"/>
      <c r="K2276" s="895"/>
      <c r="L2276" s="818"/>
    </row>
    <row r="2277" spans="1:12" s="31" customFormat="1" ht="17.25" customHeight="1">
      <c r="A2277" s="891" t="str">
        <f>A2261</f>
        <v>LƯƠNG THÁNG 01/2025</v>
      </c>
      <c r="B2277" s="895"/>
      <c r="C2277" s="895"/>
      <c r="D2277" s="895"/>
      <c r="E2277" s="898" t="e">
        <f>VLOOKUP(B2278,'CNKT '!#REF!,26,0)</f>
        <v>#REF!</v>
      </c>
      <c r="F2277" s="882"/>
      <c r="G2277" s="891" t="str">
        <f>A2277</f>
        <v>LƯƠNG THÁNG 01/2025</v>
      </c>
      <c r="H2277" s="895"/>
      <c r="I2277" s="895"/>
      <c r="J2277" s="898"/>
      <c r="K2277" s="898" t="e">
        <f>VLOOKUP(H2278,'CNKT '!#REF!,26,0)</f>
        <v>#REF!</v>
      </c>
      <c r="L2277" s="818"/>
    </row>
    <row r="2278" spans="1:12" s="31" customFormat="1" ht="17.25" customHeight="1">
      <c r="A2278" s="837" t="s">
        <v>17</v>
      </c>
      <c r="B2278" s="976" t="e">
        <f>'CNKT '!#REF!</f>
        <v>#REF!</v>
      </c>
      <c r="C2278" s="822"/>
      <c r="D2278" s="976" t="s">
        <v>398</v>
      </c>
      <c r="E2278" s="976" t="s">
        <v>20</v>
      </c>
      <c r="F2278" s="882"/>
      <c r="G2278" s="837" t="s">
        <v>17</v>
      </c>
      <c r="H2278" s="976" t="e">
        <f>'CNKT '!#REF!</f>
        <v>#REF!</v>
      </c>
      <c r="I2278" s="822"/>
      <c r="J2278" s="976" t="s">
        <v>398</v>
      </c>
      <c r="K2278" s="976" t="s">
        <v>20</v>
      </c>
      <c r="L2278" s="818"/>
    </row>
    <row r="2279" spans="1:12" s="31" customFormat="1" ht="17.25" customHeight="1">
      <c r="A2279" s="821" t="s">
        <v>399</v>
      </c>
      <c r="B2279" s="978" t="s">
        <v>559</v>
      </c>
      <c r="C2279" s="822" t="e">
        <f>VLOOKUP(B2278,'BTH mủ tạp'!$C$161:$AL$161,36,0)</f>
        <v>#REF!</v>
      </c>
      <c r="D2279" s="823"/>
      <c r="E2279" s="823"/>
      <c r="F2279" s="882"/>
      <c r="G2279" s="821" t="s">
        <v>399</v>
      </c>
      <c r="H2279" s="978" t="s">
        <v>559</v>
      </c>
      <c r="I2279" s="822" t="e">
        <f>VLOOKUP(H2278,'BTH mủ tạp'!$C$161:$AL$161,36,0)</f>
        <v>#REF!</v>
      </c>
      <c r="J2279" s="823"/>
      <c r="K2279" s="823"/>
      <c r="L2279" s="818"/>
    </row>
    <row r="2280" spans="1:12" s="31" customFormat="1" ht="17.25" customHeight="1">
      <c r="A2280" s="821" t="s">
        <v>79</v>
      </c>
      <c r="B2280" s="979" t="s">
        <v>432</v>
      </c>
      <c r="C2280" s="824" t="e">
        <f>VLOOKUP(B2278,'CNKT '!#REF!,3,0)</f>
        <v>#REF!</v>
      </c>
      <c r="D2280" s="825">
        <v>25000</v>
      </c>
      <c r="E2280" s="823" t="e">
        <f t="shared" ref="E2280:E2285" si="267">C2280*D2280</f>
        <v>#REF!</v>
      </c>
      <c r="F2280" s="882"/>
      <c r="G2280" s="821" t="s">
        <v>79</v>
      </c>
      <c r="H2280" s="979" t="s">
        <v>432</v>
      </c>
      <c r="I2280" s="824" t="e">
        <f>VLOOKUP(H2278,'CNKT '!#REF!,3,0)</f>
        <v>#REF!</v>
      </c>
      <c r="J2280" s="825">
        <v>25000</v>
      </c>
      <c r="K2280" s="823" t="e">
        <f t="shared" ref="K2280:K2285" si="268">I2280*J2280</f>
        <v>#REF!</v>
      </c>
      <c r="L2280" s="818"/>
    </row>
    <row r="2281" spans="1:12" s="31" customFormat="1" ht="17.25" customHeight="1">
      <c r="A2281" s="821" t="s">
        <v>310</v>
      </c>
      <c r="B2281" s="980" t="s">
        <v>560</v>
      </c>
      <c r="C2281" s="879" t="e">
        <f>VLOOKUP(B2278,'CNKT '!#REF!,11,0)</f>
        <v>#REF!</v>
      </c>
      <c r="D2281" s="826">
        <f>46.1*$B$2</f>
        <v>30805.403000000002</v>
      </c>
      <c r="E2281" s="823" t="e">
        <f t="shared" si="267"/>
        <v>#REF!</v>
      </c>
      <c r="F2281" s="882"/>
      <c r="G2281" s="821" t="s">
        <v>310</v>
      </c>
      <c r="H2281" s="980" t="s">
        <v>560</v>
      </c>
      <c r="I2281" s="879" t="e">
        <f>VLOOKUP(H2278,'CNKT '!#REF!,11,0)</f>
        <v>#REF!</v>
      </c>
      <c r="J2281" s="826">
        <f>46.1*$B$2</f>
        <v>30805.403000000002</v>
      </c>
      <c r="K2281" s="823" t="e">
        <f t="shared" si="268"/>
        <v>#REF!</v>
      </c>
      <c r="L2281" s="818"/>
    </row>
    <row r="2282" spans="1:12" s="31" customFormat="1" ht="17.25" customHeight="1">
      <c r="A2282" s="821" t="s">
        <v>401</v>
      </c>
      <c r="B2282" s="980" t="s">
        <v>561</v>
      </c>
      <c r="C2282" s="879" t="e">
        <f>VLOOKUP(B2278,'CNKT '!#REF!,12,0)</f>
        <v>#REF!</v>
      </c>
      <c r="D2282" s="825">
        <f>76.9*$B$2</f>
        <v>51386.887000000002</v>
      </c>
      <c r="E2282" s="823" t="e">
        <f t="shared" si="267"/>
        <v>#REF!</v>
      </c>
      <c r="F2282" s="882"/>
      <c r="G2282" s="821" t="s">
        <v>401</v>
      </c>
      <c r="H2282" s="980" t="s">
        <v>561</v>
      </c>
      <c r="I2282" s="879" t="e">
        <f>VLOOKUP(H2278,'CNKT '!#REF!,12,0)</f>
        <v>#REF!</v>
      </c>
      <c r="J2282" s="825">
        <f>76.9*$B$2</f>
        <v>51386.887000000002</v>
      </c>
      <c r="K2282" s="823" t="e">
        <f t="shared" si="268"/>
        <v>#REF!</v>
      </c>
      <c r="L2282" s="818"/>
    </row>
    <row r="2283" spans="1:12" s="31" customFormat="1" ht="17.25" customHeight="1">
      <c r="A2283" s="821" t="s">
        <v>80</v>
      </c>
      <c r="B2283" s="980" t="s">
        <v>562</v>
      </c>
      <c r="C2283" s="879" t="e">
        <f>VLOOKUP(B2278,'CNKT '!#REF!,8,0)</f>
        <v>#REF!</v>
      </c>
      <c r="D2283" s="825" t="e">
        <f>IF(C2279="A",6.1,IF(C2279="B",5.8,IF(C2279="C",5.5,IF(C2279="C.",5.5,IF(C2279="D",5.2)))))*$B$2</f>
        <v>#REF!</v>
      </c>
      <c r="E2283" s="823" t="e">
        <f t="shared" si="267"/>
        <v>#REF!</v>
      </c>
      <c r="F2283" s="882"/>
      <c r="G2283" s="821" t="s">
        <v>80</v>
      </c>
      <c r="H2283" s="980" t="s">
        <v>562</v>
      </c>
      <c r="I2283" s="879" t="e">
        <f>VLOOKUP(H2278,'CNKT '!#REF!,8,0)</f>
        <v>#REF!</v>
      </c>
      <c r="J2283" s="825" t="e">
        <f>IF(I2279="A",6.1,IF(I2279="B",5.8,IF(I2279="C",5.5,IF(I2279="C.",5.5,IF(I2279="D",5.2)))))*$B$2</f>
        <v>#REF!</v>
      </c>
      <c r="K2283" s="823" t="e">
        <f t="shared" si="268"/>
        <v>#REF!</v>
      </c>
      <c r="L2283" s="818"/>
    </row>
    <row r="2284" spans="1:12" s="31" customFormat="1" ht="17.25" customHeight="1">
      <c r="A2284" s="821" t="s">
        <v>447</v>
      </c>
      <c r="B2284" s="980" t="s">
        <v>563</v>
      </c>
      <c r="C2284" s="879" t="e">
        <f>VLOOKUP(B2278,'CNKT '!#REF!,15,0)</f>
        <v>#REF!</v>
      </c>
      <c r="D2284" s="826">
        <f>92.2*$B$2</f>
        <v>61610.806000000004</v>
      </c>
      <c r="E2284" s="823" t="e">
        <f t="shared" si="267"/>
        <v>#REF!</v>
      </c>
      <c r="F2284" s="882"/>
      <c r="G2284" s="821" t="s">
        <v>447</v>
      </c>
      <c r="H2284" s="980" t="s">
        <v>563</v>
      </c>
      <c r="I2284" s="879" t="e">
        <f>VLOOKUP(H2278,'CNKT '!#REF!,15,0)</f>
        <v>#REF!</v>
      </c>
      <c r="J2284" s="826">
        <f>92.2*$B$2</f>
        <v>61610.806000000004</v>
      </c>
      <c r="K2284" s="823" t="e">
        <f t="shared" si="268"/>
        <v>#REF!</v>
      </c>
      <c r="L2284" s="818"/>
    </row>
    <row r="2285" spans="1:12" s="31" customFormat="1" ht="17.25" customHeight="1">
      <c r="A2285" s="821" t="s">
        <v>448</v>
      </c>
      <c r="B2285" s="980" t="s">
        <v>500</v>
      </c>
      <c r="C2285" s="879" t="e">
        <f>VLOOKUP(B2278,'CNKT '!#REF!,14,0)</f>
        <v>#REF!</v>
      </c>
      <c r="D2285" s="825">
        <f>153.6*$B$2</f>
        <v>102640.128</v>
      </c>
      <c r="E2285" s="823" t="e">
        <f t="shared" si="267"/>
        <v>#REF!</v>
      </c>
      <c r="F2285" s="882"/>
      <c r="G2285" s="821" t="s">
        <v>448</v>
      </c>
      <c r="H2285" s="980" t="s">
        <v>500</v>
      </c>
      <c r="I2285" s="879" t="e">
        <f>VLOOKUP(H2278,'CNKT '!#REF!,14,0)</f>
        <v>#REF!</v>
      </c>
      <c r="J2285" s="825">
        <f>153.6*$B$2</f>
        <v>102640.128</v>
      </c>
      <c r="K2285" s="823" t="e">
        <f t="shared" si="268"/>
        <v>#REF!</v>
      </c>
      <c r="L2285" s="818"/>
    </row>
    <row r="2286" spans="1:12" s="31" customFormat="1" ht="17.25" customHeight="1">
      <c r="A2286" s="821" t="s">
        <v>455</v>
      </c>
      <c r="B2286" s="980" t="s">
        <v>501</v>
      </c>
      <c r="C2286" s="879" t="e">
        <f>VLOOKUP(B2278,'CNKT '!#REF!,18,0)</f>
        <v>#REF!</v>
      </c>
      <c r="D2286" s="825">
        <v>10000</v>
      </c>
      <c r="E2286" s="823" t="e">
        <f>C2286*D2286</f>
        <v>#REF!</v>
      </c>
      <c r="F2286" s="882"/>
      <c r="G2286" s="821" t="s">
        <v>455</v>
      </c>
      <c r="H2286" s="980" t="s">
        <v>501</v>
      </c>
      <c r="I2286" s="879" t="e">
        <f>VLOOKUP(H2278,'CNKT '!#REF!,18,0)</f>
        <v>#REF!</v>
      </c>
      <c r="J2286" s="825">
        <v>10000</v>
      </c>
      <c r="K2286" s="823" t="e">
        <f>I2286*J2286</f>
        <v>#REF!</v>
      </c>
      <c r="L2286" s="818"/>
    </row>
    <row r="2287" spans="1:12" s="31" customFormat="1" ht="17.25" customHeight="1">
      <c r="A2287" s="821" t="s">
        <v>455</v>
      </c>
      <c r="B2287" s="980" t="s">
        <v>501</v>
      </c>
      <c r="C2287" s="879" t="e">
        <f>VLOOKUP(B2278,'CNKT '!#REF!,19,0)</f>
        <v>#REF!</v>
      </c>
      <c r="D2287" s="825">
        <v>20000</v>
      </c>
      <c r="E2287" s="823" t="e">
        <f>C2287*D2287</f>
        <v>#REF!</v>
      </c>
      <c r="F2287" s="882"/>
      <c r="G2287" s="821" t="s">
        <v>455</v>
      </c>
      <c r="H2287" s="980" t="s">
        <v>501</v>
      </c>
      <c r="I2287" s="879" t="e">
        <f>VLOOKUP(H2278,'CNKT '!#REF!,19,0)</f>
        <v>#REF!</v>
      </c>
      <c r="J2287" s="825">
        <v>20000</v>
      </c>
      <c r="K2287" s="823" t="e">
        <f>I2287*J2287</f>
        <v>#REF!</v>
      </c>
      <c r="L2287" s="818"/>
    </row>
    <row r="2288" spans="1:12" s="31" customFormat="1" ht="17.25" customHeight="1">
      <c r="A2288" s="827" t="s">
        <v>81</v>
      </c>
      <c r="B2288" s="981" t="s">
        <v>564</v>
      </c>
      <c r="C2288" s="828"/>
      <c r="D2288" s="829"/>
      <c r="E2288" s="828"/>
      <c r="F2288" s="882"/>
      <c r="G2288" s="827" t="s">
        <v>81</v>
      </c>
      <c r="H2288" s="981" t="s">
        <v>564</v>
      </c>
      <c r="I2288" s="828"/>
      <c r="J2288" s="829"/>
      <c r="K2288" s="828"/>
      <c r="L2288" s="818"/>
    </row>
    <row r="2289" spans="1:12" s="31" customFormat="1" ht="17.25" customHeight="1">
      <c r="A2289" s="830" t="s">
        <v>82</v>
      </c>
      <c r="B2289" s="982" t="s">
        <v>565</v>
      </c>
      <c r="C2289" s="828"/>
      <c r="D2289" s="828"/>
      <c r="E2289" s="828"/>
      <c r="F2289" s="882"/>
      <c r="G2289" s="830" t="s">
        <v>82</v>
      </c>
      <c r="H2289" s="982" t="s">
        <v>565</v>
      </c>
      <c r="I2289" s="828"/>
      <c r="J2289" s="828"/>
      <c r="K2289" s="828"/>
      <c r="L2289" s="818"/>
    </row>
    <row r="2290" spans="1:12" s="31" customFormat="1" ht="17.25" customHeight="1">
      <c r="A2290" s="830" t="s">
        <v>83</v>
      </c>
      <c r="B2290" s="983" t="s">
        <v>566</v>
      </c>
      <c r="C2290" s="828"/>
      <c r="D2290" s="828"/>
      <c r="E2290" s="823">
        <f>SUM(E2289)</f>
        <v>0</v>
      </c>
      <c r="F2290" s="878"/>
      <c r="G2290" s="830" t="s">
        <v>83</v>
      </c>
      <c r="H2290" s="983" t="s">
        <v>566</v>
      </c>
      <c r="I2290" s="828"/>
      <c r="J2290" s="828"/>
      <c r="K2290" s="823">
        <f>SUM(K2289)</f>
        <v>0</v>
      </c>
      <c r="L2290" s="818"/>
    </row>
    <row r="2291" spans="1:12" s="31" customFormat="1" ht="17.25" customHeight="1">
      <c r="A2291" s="832" t="s">
        <v>84</v>
      </c>
      <c r="B2291" s="984" t="s">
        <v>438</v>
      </c>
      <c r="C2291" s="833"/>
      <c r="D2291" s="833"/>
      <c r="E2291" s="833" t="e">
        <f>(E2280+E2281+E2282+E2283+E2284+E2285+E2286+E2287)-E2290</f>
        <v>#REF!</v>
      </c>
      <c r="F2291" s="878"/>
      <c r="G2291" s="832" t="s">
        <v>84</v>
      </c>
      <c r="H2291" s="984" t="s">
        <v>438</v>
      </c>
      <c r="I2291" s="833"/>
      <c r="J2291" s="833"/>
      <c r="K2291" s="833" t="e">
        <f>(K2280+K2281+K2282+K2283+K2284+K2285+K2286+K2287)-K2290</f>
        <v>#REF!</v>
      </c>
      <c r="L2291" s="835" t="e">
        <f>E2291+K2291</f>
        <v>#REF!</v>
      </c>
    </row>
    <row r="2292" spans="1:12" s="31" customFormat="1" ht="17.25" customHeight="1">
      <c r="A2292" s="895"/>
      <c r="B2292" s="895"/>
      <c r="C2292" s="895"/>
      <c r="D2292" s="895"/>
      <c r="E2292" s="895"/>
      <c r="F2292" s="895"/>
      <c r="G2292" s="895"/>
      <c r="H2292" s="895"/>
      <c r="I2292" s="895"/>
      <c r="J2292" s="895"/>
      <c r="K2292" s="895"/>
      <c r="L2292" s="818"/>
    </row>
    <row r="2293" spans="1:12" s="31" customFormat="1" ht="17.25" customHeight="1">
      <c r="A2293" s="891" t="str">
        <f>A2277</f>
        <v>LƯƠNG THÁNG 01/2025</v>
      </c>
      <c r="B2293" s="895"/>
      <c r="C2293" s="895"/>
      <c r="D2293" s="895"/>
      <c r="E2293" s="898" t="e">
        <f>VLOOKUP(B2294,'CNKT '!#REF!,26,0)</f>
        <v>#REF!</v>
      </c>
      <c r="F2293" s="882"/>
      <c r="G2293" s="891" t="str">
        <f>A2293</f>
        <v>LƯƠNG THÁNG 01/2025</v>
      </c>
      <c r="H2293" s="895"/>
      <c r="I2293" s="895"/>
      <c r="J2293" s="898"/>
      <c r="K2293" s="898" t="e">
        <f>VLOOKUP(H2294,'CNKT '!#REF!,26,0)</f>
        <v>#REF!</v>
      </c>
      <c r="L2293" s="818"/>
    </row>
    <row r="2294" spans="1:12" s="31" customFormat="1" ht="17.25" customHeight="1">
      <c r="A2294" s="837" t="s">
        <v>17</v>
      </c>
      <c r="B2294" s="976" t="e">
        <f>'CNKT '!#REF!</f>
        <v>#REF!</v>
      </c>
      <c r="C2294" s="822"/>
      <c r="D2294" s="976" t="s">
        <v>398</v>
      </c>
      <c r="E2294" s="976" t="s">
        <v>20</v>
      </c>
      <c r="F2294" s="882"/>
      <c r="G2294" s="837" t="s">
        <v>17</v>
      </c>
      <c r="H2294" s="976" t="e">
        <f>'CNKT '!#REF!</f>
        <v>#REF!</v>
      </c>
      <c r="I2294" s="822"/>
      <c r="J2294" s="976" t="s">
        <v>398</v>
      </c>
      <c r="K2294" s="976" t="s">
        <v>20</v>
      </c>
      <c r="L2294" s="818"/>
    </row>
    <row r="2295" spans="1:12" s="31" customFormat="1" ht="17.25" customHeight="1">
      <c r="A2295" s="821" t="s">
        <v>399</v>
      </c>
      <c r="B2295" s="978" t="s">
        <v>559</v>
      </c>
      <c r="C2295" s="822" t="e">
        <f>VLOOKUP(B2294,'BTH mủ tạp'!$C$161:$AL$161,36,0)</f>
        <v>#REF!</v>
      </c>
      <c r="D2295" s="823"/>
      <c r="E2295" s="823"/>
      <c r="F2295" s="882"/>
      <c r="G2295" s="821" t="s">
        <v>399</v>
      </c>
      <c r="H2295" s="978" t="s">
        <v>559</v>
      </c>
      <c r="I2295" s="822" t="e">
        <f>VLOOKUP(H2294,'BTH mủ tạp'!$C$161:$AL$161,36,0)</f>
        <v>#REF!</v>
      </c>
      <c r="J2295" s="823"/>
      <c r="K2295" s="823"/>
      <c r="L2295" s="818"/>
    </row>
    <row r="2296" spans="1:12" s="31" customFormat="1" ht="17.25" customHeight="1">
      <c r="A2296" s="821" t="s">
        <v>79</v>
      </c>
      <c r="B2296" s="979" t="s">
        <v>432</v>
      </c>
      <c r="C2296" s="824" t="e">
        <f>VLOOKUP(B2294,'CNKT '!#REF!,3,0)</f>
        <v>#REF!</v>
      </c>
      <c r="D2296" s="825">
        <v>25000</v>
      </c>
      <c r="E2296" s="823" t="e">
        <f t="shared" ref="E2296:E2301" si="269">C2296*D2296</f>
        <v>#REF!</v>
      </c>
      <c r="F2296" s="882"/>
      <c r="G2296" s="821" t="s">
        <v>79</v>
      </c>
      <c r="H2296" s="979" t="s">
        <v>432</v>
      </c>
      <c r="I2296" s="824" t="e">
        <f>VLOOKUP(H2294,'CNKT '!#REF!,3,0)</f>
        <v>#REF!</v>
      </c>
      <c r="J2296" s="825">
        <v>25000</v>
      </c>
      <c r="K2296" s="823" t="e">
        <f t="shared" ref="K2296:K2301" si="270">I2296*J2296</f>
        <v>#REF!</v>
      </c>
      <c r="L2296" s="818"/>
    </row>
    <row r="2297" spans="1:12" s="31" customFormat="1" ht="17.25" customHeight="1">
      <c r="A2297" s="821" t="s">
        <v>310</v>
      </c>
      <c r="B2297" s="980" t="s">
        <v>560</v>
      </c>
      <c r="C2297" s="879" t="e">
        <f>VLOOKUP(B2294,'CNKT '!#REF!,11,0)</f>
        <v>#REF!</v>
      </c>
      <c r="D2297" s="826">
        <f>46.1*$B$2</f>
        <v>30805.403000000002</v>
      </c>
      <c r="E2297" s="823" t="e">
        <f t="shared" si="269"/>
        <v>#REF!</v>
      </c>
      <c r="F2297" s="882"/>
      <c r="G2297" s="821" t="s">
        <v>310</v>
      </c>
      <c r="H2297" s="980" t="s">
        <v>560</v>
      </c>
      <c r="I2297" s="879" t="e">
        <f>VLOOKUP(H2294,'CNKT '!#REF!,11,0)</f>
        <v>#REF!</v>
      </c>
      <c r="J2297" s="826">
        <f>46.1*$B$2</f>
        <v>30805.403000000002</v>
      </c>
      <c r="K2297" s="823" t="e">
        <f t="shared" si="270"/>
        <v>#REF!</v>
      </c>
      <c r="L2297" s="818"/>
    </row>
    <row r="2298" spans="1:12" s="31" customFormat="1" ht="17.25" customHeight="1">
      <c r="A2298" s="821" t="s">
        <v>401</v>
      </c>
      <c r="B2298" s="980" t="s">
        <v>561</v>
      </c>
      <c r="C2298" s="879" t="e">
        <f>VLOOKUP(B2294,'CNKT '!#REF!,12,0)</f>
        <v>#REF!</v>
      </c>
      <c r="D2298" s="825">
        <f>76.9*$B$2</f>
        <v>51386.887000000002</v>
      </c>
      <c r="E2298" s="823" t="e">
        <f t="shared" si="269"/>
        <v>#REF!</v>
      </c>
      <c r="F2298" s="882"/>
      <c r="G2298" s="821" t="s">
        <v>401</v>
      </c>
      <c r="H2298" s="980" t="s">
        <v>561</v>
      </c>
      <c r="I2298" s="879" t="e">
        <f>VLOOKUP(H2294,'CNKT '!#REF!,12,0)</f>
        <v>#REF!</v>
      </c>
      <c r="J2298" s="825">
        <f>76.9*$B$2</f>
        <v>51386.887000000002</v>
      </c>
      <c r="K2298" s="823" t="e">
        <f t="shared" si="270"/>
        <v>#REF!</v>
      </c>
      <c r="L2298" s="818"/>
    </row>
    <row r="2299" spans="1:12" s="31" customFormat="1" ht="17.25" customHeight="1">
      <c r="A2299" s="821" t="s">
        <v>80</v>
      </c>
      <c r="B2299" s="980" t="s">
        <v>562</v>
      </c>
      <c r="C2299" s="879" t="e">
        <f>VLOOKUP(B2294,'CNKT '!#REF!,8,0)</f>
        <v>#REF!</v>
      </c>
      <c r="D2299" s="825" t="e">
        <f>IF(C2295="A",6.1,IF(C2295="B",5.8,IF(C2295="C",5.5,IF(C2295="C.",5.5,IF(C2295="D",5.2)))))*$B$2</f>
        <v>#REF!</v>
      </c>
      <c r="E2299" s="823" t="e">
        <f t="shared" si="269"/>
        <v>#REF!</v>
      </c>
      <c r="F2299" s="882"/>
      <c r="G2299" s="821" t="s">
        <v>80</v>
      </c>
      <c r="H2299" s="980" t="s">
        <v>562</v>
      </c>
      <c r="I2299" s="879" t="e">
        <f>VLOOKUP(H2294,'CNKT '!#REF!,8,0)</f>
        <v>#REF!</v>
      </c>
      <c r="J2299" s="825" t="e">
        <f>IF(I2295="A",6.1,IF(I2295="B",5.8,IF(I2295="C",5.5,IF(I2295="C.",5.5,IF(I2295="D",5.2)))))*$B$2</f>
        <v>#REF!</v>
      </c>
      <c r="K2299" s="823" t="e">
        <f t="shared" si="270"/>
        <v>#REF!</v>
      </c>
      <c r="L2299" s="818"/>
    </row>
    <row r="2300" spans="1:12" s="31" customFormat="1" ht="17.25" customHeight="1">
      <c r="A2300" s="821" t="s">
        <v>447</v>
      </c>
      <c r="B2300" s="980" t="s">
        <v>563</v>
      </c>
      <c r="C2300" s="879" t="e">
        <f>VLOOKUP(B2294,'CNKT '!#REF!,15,0)</f>
        <v>#REF!</v>
      </c>
      <c r="D2300" s="826">
        <f>92.2*$B$2</f>
        <v>61610.806000000004</v>
      </c>
      <c r="E2300" s="823" t="e">
        <f t="shared" si="269"/>
        <v>#REF!</v>
      </c>
      <c r="F2300" s="882"/>
      <c r="G2300" s="821" t="s">
        <v>447</v>
      </c>
      <c r="H2300" s="980" t="s">
        <v>563</v>
      </c>
      <c r="I2300" s="879" t="e">
        <f>VLOOKUP(H2294,'CNKT '!#REF!,15,0)</f>
        <v>#REF!</v>
      </c>
      <c r="J2300" s="826">
        <f>92.2*$B$2</f>
        <v>61610.806000000004</v>
      </c>
      <c r="K2300" s="823" t="e">
        <f t="shared" si="270"/>
        <v>#REF!</v>
      </c>
      <c r="L2300" s="818"/>
    </row>
    <row r="2301" spans="1:12" s="31" customFormat="1" ht="17.25" customHeight="1">
      <c r="A2301" s="821" t="s">
        <v>448</v>
      </c>
      <c r="B2301" s="980" t="s">
        <v>500</v>
      </c>
      <c r="C2301" s="879" t="e">
        <f>VLOOKUP(B2294,'CNKT '!#REF!,14,0)</f>
        <v>#REF!</v>
      </c>
      <c r="D2301" s="825">
        <f>153.6*$B$2</f>
        <v>102640.128</v>
      </c>
      <c r="E2301" s="823" t="e">
        <f t="shared" si="269"/>
        <v>#REF!</v>
      </c>
      <c r="F2301" s="882"/>
      <c r="G2301" s="821" t="s">
        <v>448</v>
      </c>
      <c r="H2301" s="980" t="s">
        <v>500</v>
      </c>
      <c r="I2301" s="879" t="e">
        <f>VLOOKUP(H2294,'CNKT '!#REF!,14,0)</f>
        <v>#REF!</v>
      </c>
      <c r="J2301" s="825">
        <f>153.6*$B$2</f>
        <v>102640.128</v>
      </c>
      <c r="K2301" s="823" t="e">
        <f t="shared" si="270"/>
        <v>#REF!</v>
      </c>
      <c r="L2301" s="818"/>
    </row>
    <row r="2302" spans="1:12" s="31" customFormat="1" ht="17.25" customHeight="1">
      <c r="A2302" s="821" t="s">
        <v>455</v>
      </c>
      <c r="B2302" s="980" t="s">
        <v>501</v>
      </c>
      <c r="C2302" s="879" t="e">
        <f>VLOOKUP(B2294,'CNKT '!#REF!,18,0)</f>
        <v>#REF!</v>
      </c>
      <c r="D2302" s="825">
        <v>10000</v>
      </c>
      <c r="E2302" s="823" t="e">
        <f>C2302*D2302</f>
        <v>#REF!</v>
      </c>
      <c r="F2302" s="882"/>
      <c r="G2302" s="821" t="s">
        <v>455</v>
      </c>
      <c r="H2302" s="980" t="s">
        <v>501</v>
      </c>
      <c r="I2302" s="879" t="e">
        <f>VLOOKUP(H2294,'CNKT '!#REF!,18,0)</f>
        <v>#REF!</v>
      </c>
      <c r="J2302" s="825">
        <v>10000</v>
      </c>
      <c r="K2302" s="823" t="e">
        <f>I2302*J2302</f>
        <v>#REF!</v>
      </c>
      <c r="L2302" s="818"/>
    </row>
    <row r="2303" spans="1:12" s="31" customFormat="1" ht="17.25" customHeight="1">
      <c r="A2303" s="821" t="s">
        <v>455</v>
      </c>
      <c r="B2303" s="980" t="s">
        <v>501</v>
      </c>
      <c r="C2303" s="879" t="e">
        <f>VLOOKUP(B2294,'CNKT '!#REF!,19,0)</f>
        <v>#REF!</v>
      </c>
      <c r="D2303" s="825">
        <v>20000</v>
      </c>
      <c r="E2303" s="823" t="e">
        <f>C2303*D2303</f>
        <v>#REF!</v>
      </c>
      <c r="F2303" s="882"/>
      <c r="G2303" s="821" t="s">
        <v>455</v>
      </c>
      <c r="H2303" s="980" t="s">
        <v>501</v>
      </c>
      <c r="I2303" s="879" t="e">
        <f>VLOOKUP(H2294,'CNKT '!#REF!,19,0)</f>
        <v>#REF!</v>
      </c>
      <c r="J2303" s="825">
        <v>20000</v>
      </c>
      <c r="K2303" s="823" t="e">
        <f>I2303*J2303</f>
        <v>#REF!</v>
      </c>
      <c r="L2303" s="818"/>
    </row>
    <row r="2304" spans="1:12" s="31" customFormat="1" ht="17.25" customHeight="1">
      <c r="A2304" s="827" t="s">
        <v>81</v>
      </c>
      <c r="B2304" s="981" t="s">
        <v>564</v>
      </c>
      <c r="C2304" s="828"/>
      <c r="D2304" s="829"/>
      <c r="E2304" s="828"/>
      <c r="F2304" s="882"/>
      <c r="G2304" s="827" t="s">
        <v>81</v>
      </c>
      <c r="H2304" s="981" t="s">
        <v>564</v>
      </c>
      <c r="I2304" s="828"/>
      <c r="J2304" s="829"/>
      <c r="K2304" s="828"/>
      <c r="L2304" s="818"/>
    </row>
    <row r="2305" spans="1:12" s="31" customFormat="1" ht="17.25" customHeight="1">
      <c r="A2305" s="830" t="s">
        <v>82</v>
      </c>
      <c r="B2305" s="982" t="s">
        <v>565</v>
      </c>
      <c r="C2305" s="828"/>
      <c r="D2305" s="828"/>
      <c r="E2305" s="828"/>
      <c r="F2305" s="882"/>
      <c r="G2305" s="830" t="s">
        <v>82</v>
      </c>
      <c r="H2305" s="982" t="s">
        <v>565</v>
      </c>
      <c r="I2305" s="828"/>
      <c r="J2305" s="828"/>
      <c r="K2305" s="828"/>
      <c r="L2305" s="818"/>
    </row>
    <row r="2306" spans="1:12" s="31" customFormat="1" ht="17.25" customHeight="1">
      <c r="A2306" s="830" t="s">
        <v>83</v>
      </c>
      <c r="B2306" s="983" t="s">
        <v>566</v>
      </c>
      <c r="C2306" s="828"/>
      <c r="D2306" s="828"/>
      <c r="E2306" s="823">
        <f>SUM(E2305)</f>
        <v>0</v>
      </c>
      <c r="F2306" s="869"/>
      <c r="G2306" s="830" t="s">
        <v>83</v>
      </c>
      <c r="H2306" s="983" t="s">
        <v>566</v>
      </c>
      <c r="I2306" s="828"/>
      <c r="J2306" s="828"/>
      <c r="K2306" s="823">
        <f>SUM(K2305)</f>
        <v>0</v>
      </c>
      <c r="L2306" s="818"/>
    </row>
    <row r="2307" spans="1:12" s="31" customFormat="1" ht="17.25" customHeight="1">
      <c r="A2307" s="832" t="s">
        <v>84</v>
      </c>
      <c r="B2307" s="984" t="s">
        <v>438</v>
      </c>
      <c r="C2307" s="833"/>
      <c r="D2307" s="833"/>
      <c r="E2307" s="833" t="e">
        <f>(E2296+E2297+E2298+E2299+E2300+E2301+E2302+E2303)-E2306</f>
        <v>#REF!</v>
      </c>
      <c r="F2307" s="869"/>
      <c r="G2307" s="832" t="s">
        <v>84</v>
      </c>
      <c r="H2307" s="984" t="s">
        <v>438</v>
      </c>
      <c r="I2307" s="833"/>
      <c r="J2307" s="833"/>
      <c r="K2307" s="833" t="e">
        <f>(K2296+K2297+K2298+K2299+K2300+K2301+K2302+K2303)-K2306</f>
        <v>#REF!</v>
      </c>
      <c r="L2307" s="835" t="e">
        <f>E2307+K2307</f>
        <v>#REF!</v>
      </c>
    </row>
    <row r="2308" spans="1:12" s="31" customFormat="1" ht="67.5" customHeight="1">
      <c r="A2308" s="895"/>
      <c r="B2308" s="895"/>
      <c r="C2308" s="895"/>
      <c r="D2308" s="895"/>
      <c r="E2308" s="895"/>
      <c r="F2308" s="895"/>
      <c r="G2308" s="895"/>
      <c r="H2308" s="895"/>
      <c r="I2308" s="895"/>
      <c r="J2308" s="895"/>
      <c r="K2308" s="895"/>
      <c r="L2308" s="818"/>
    </row>
    <row r="2309" spans="1:12" s="31" customFormat="1" ht="17.25" customHeight="1">
      <c r="A2309" s="891" t="str">
        <f>A2293</f>
        <v>LƯƠNG THÁNG 01/2025</v>
      </c>
      <c r="B2309" s="895"/>
      <c r="C2309" s="895"/>
      <c r="D2309" s="895"/>
      <c r="E2309" s="898" t="e">
        <f>VLOOKUP(B2310,'CNKT '!#REF!,26,0)</f>
        <v>#REF!</v>
      </c>
      <c r="F2309" s="882"/>
      <c r="G2309" s="891" t="str">
        <f>A2309</f>
        <v>LƯƠNG THÁNG 01/2025</v>
      </c>
      <c r="H2309" s="895"/>
      <c r="I2309" s="895"/>
      <c r="J2309" s="898"/>
      <c r="K2309" s="898" t="e">
        <f>VLOOKUP(H2310,'CNKT '!#REF!,26,0)</f>
        <v>#REF!</v>
      </c>
      <c r="L2309" s="818"/>
    </row>
    <row r="2310" spans="1:12" s="31" customFormat="1" ht="17.25" customHeight="1">
      <c r="A2310" s="837" t="s">
        <v>17</v>
      </c>
      <c r="B2310" s="976" t="e">
        <f>'CNKT '!#REF!</f>
        <v>#REF!</v>
      </c>
      <c r="C2310" s="822"/>
      <c r="D2310" s="976" t="s">
        <v>398</v>
      </c>
      <c r="E2310" s="976" t="s">
        <v>20</v>
      </c>
      <c r="F2310" s="882"/>
      <c r="G2310" s="837" t="s">
        <v>17</v>
      </c>
      <c r="H2310" s="976" t="e">
        <f>'CNKT '!#REF!</f>
        <v>#REF!</v>
      </c>
      <c r="I2310" s="822"/>
      <c r="J2310" s="976" t="s">
        <v>398</v>
      </c>
      <c r="K2310" s="976" t="s">
        <v>20</v>
      </c>
      <c r="L2310" s="818"/>
    </row>
    <row r="2311" spans="1:12" s="31" customFormat="1" ht="17.25" customHeight="1">
      <c r="A2311" s="821" t="s">
        <v>399</v>
      </c>
      <c r="B2311" s="978" t="s">
        <v>559</v>
      </c>
      <c r="C2311" s="822" t="e">
        <f>VLOOKUP(B2310,'BTH mủ tạp'!$C$161:$AL$161,36,0)</f>
        <v>#REF!</v>
      </c>
      <c r="D2311" s="823"/>
      <c r="E2311" s="823"/>
      <c r="F2311" s="882"/>
      <c r="G2311" s="821" t="s">
        <v>399</v>
      </c>
      <c r="H2311" s="978" t="s">
        <v>559</v>
      </c>
      <c r="I2311" s="822" t="e">
        <f>VLOOKUP(H2310,'BTH mủ tạp'!$C$161:$AL$161,36,0)</f>
        <v>#REF!</v>
      </c>
      <c r="J2311" s="823"/>
      <c r="K2311" s="823"/>
      <c r="L2311" s="818"/>
    </row>
    <row r="2312" spans="1:12" s="31" customFormat="1" ht="17.25" customHeight="1">
      <c r="A2312" s="821" t="s">
        <v>79</v>
      </c>
      <c r="B2312" s="979" t="s">
        <v>432</v>
      </c>
      <c r="C2312" s="824" t="e">
        <f>VLOOKUP(B2310,'CNKT '!#REF!,3,0)</f>
        <v>#REF!</v>
      </c>
      <c r="D2312" s="825">
        <v>25000</v>
      </c>
      <c r="E2312" s="823" t="e">
        <f t="shared" ref="E2312:E2317" si="271">C2312*D2312</f>
        <v>#REF!</v>
      </c>
      <c r="F2312" s="882"/>
      <c r="G2312" s="821" t="s">
        <v>79</v>
      </c>
      <c r="H2312" s="979" t="s">
        <v>432</v>
      </c>
      <c r="I2312" s="824" t="e">
        <f>VLOOKUP(H2310,'CNKT '!#REF!,3,0)</f>
        <v>#REF!</v>
      </c>
      <c r="J2312" s="825">
        <v>25000</v>
      </c>
      <c r="K2312" s="823" t="e">
        <f t="shared" ref="K2312:K2317" si="272">I2312*J2312</f>
        <v>#REF!</v>
      </c>
      <c r="L2312" s="818"/>
    </row>
    <row r="2313" spans="1:12" s="31" customFormat="1" ht="17.25" customHeight="1">
      <c r="A2313" s="821" t="s">
        <v>310</v>
      </c>
      <c r="B2313" s="980" t="s">
        <v>560</v>
      </c>
      <c r="C2313" s="879" t="e">
        <f>VLOOKUP(B2310,'CNKT '!#REF!,11,0)</f>
        <v>#REF!</v>
      </c>
      <c r="D2313" s="826">
        <f>46.1*$B$2</f>
        <v>30805.403000000002</v>
      </c>
      <c r="E2313" s="823" t="e">
        <f t="shared" si="271"/>
        <v>#REF!</v>
      </c>
      <c r="F2313" s="882"/>
      <c r="G2313" s="821" t="s">
        <v>310</v>
      </c>
      <c r="H2313" s="980" t="s">
        <v>560</v>
      </c>
      <c r="I2313" s="879" t="e">
        <f>VLOOKUP(H2310,'CNKT '!#REF!,11,0)</f>
        <v>#REF!</v>
      </c>
      <c r="J2313" s="826">
        <f>46.1*$B$2</f>
        <v>30805.403000000002</v>
      </c>
      <c r="K2313" s="823" t="e">
        <f t="shared" si="272"/>
        <v>#REF!</v>
      </c>
      <c r="L2313" s="818"/>
    </row>
    <row r="2314" spans="1:12" s="31" customFormat="1" ht="17.25" customHeight="1">
      <c r="A2314" s="821" t="s">
        <v>401</v>
      </c>
      <c r="B2314" s="980" t="s">
        <v>561</v>
      </c>
      <c r="C2314" s="879" t="e">
        <f>VLOOKUP(B2310,'CNKT '!#REF!,12,0)</f>
        <v>#REF!</v>
      </c>
      <c r="D2314" s="825">
        <f>76.9*$B$2</f>
        <v>51386.887000000002</v>
      </c>
      <c r="E2314" s="823" t="e">
        <f t="shared" si="271"/>
        <v>#REF!</v>
      </c>
      <c r="F2314" s="882"/>
      <c r="G2314" s="821" t="s">
        <v>401</v>
      </c>
      <c r="H2314" s="980" t="s">
        <v>561</v>
      </c>
      <c r="I2314" s="879" t="e">
        <f>VLOOKUP(H2310,'CNKT '!#REF!,12,0)</f>
        <v>#REF!</v>
      </c>
      <c r="J2314" s="825">
        <f>76.9*$B$2</f>
        <v>51386.887000000002</v>
      </c>
      <c r="K2314" s="823" t="e">
        <f t="shared" si="272"/>
        <v>#REF!</v>
      </c>
      <c r="L2314" s="818"/>
    </row>
    <row r="2315" spans="1:12" s="31" customFormat="1" ht="17.25" customHeight="1">
      <c r="A2315" s="821" t="s">
        <v>80</v>
      </c>
      <c r="B2315" s="980" t="s">
        <v>562</v>
      </c>
      <c r="C2315" s="879" t="e">
        <f>VLOOKUP(B2310,'CNKT '!#REF!,8,0)</f>
        <v>#REF!</v>
      </c>
      <c r="D2315" s="825" t="e">
        <f>IF(C2311="A",6.1,IF(C2311="B",5.8,IF(C2311="C",5.5,IF(C2311="C.",5.5,IF(C2311="D",5.2)))))*$B$2</f>
        <v>#REF!</v>
      </c>
      <c r="E2315" s="823" t="e">
        <f t="shared" si="271"/>
        <v>#REF!</v>
      </c>
      <c r="F2315" s="882"/>
      <c r="G2315" s="821" t="s">
        <v>80</v>
      </c>
      <c r="H2315" s="980" t="s">
        <v>562</v>
      </c>
      <c r="I2315" s="879" t="e">
        <f>VLOOKUP(H2310,'CNKT '!#REF!,8,0)</f>
        <v>#REF!</v>
      </c>
      <c r="J2315" s="825" t="e">
        <f>IF(I2311="A",6.1,IF(I2311="B",5.8,IF(I2311="C",5.5,IF(I2311="C.",5.5,IF(I2311="D",5.2)))))*$B$2</f>
        <v>#REF!</v>
      </c>
      <c r="K2315" s="823" t="e">
        <f t="shared" si="272"/>
        <v>#REF!</v>
      </c>
      <c r="L2315" s="818"/>
    </row>
    <row r="2316" spans="1:12" s="31" customFormat="1" ht="17.25" customHeight="1">
      <c r="A2316" s="821" t="s">
        <v>447</v>
      </c>
      <c r="B2316" s="980" t="s">
        <v>563</v>
      </c>
      <c r="C2316" s="879" t="e">
        <f>VLOOKUP(B2310,'CNKT '!#REF!,15,0)</f>
        <v>#REF!</v>
      </c>
      <c r="D2316" s="826">
        <f>92.2*$B$2</f>
        <v>61610.806000000004</v>
      </c>
      <c r="E2316" s="823" t="e">
        <f t="shared" si="271"/>
        <v>#REF!</v>
      </c>
      <c r="F2316" s="882"/>
      <c r="G2316" s="821" t="s">
        <v>447</v>
      </c>
      <c r="H2316" s="980" t="s">
        <v>563</v>
      </c>
      <c r="I2316" s="879" t="e">
        <f>VLOOKUP(H2310,'CNKT '!#REF!,15,0)</f>
        <v>#REF!</v>
      </c>
      <c r="J2316" s="826">
        <f>92.2*$B$2</f>
        <v>61610.806000000004</v>
      </c>
      <c r="K2316" s="823" t="e">
        <f t="shared" si="272"/>
        <v>#REF!</v>
      </c>
      <c r="L2316" s="818"/>
    </row>
    <row r="2317" spans="1:12" s="31" customFormat="1" ht="17.25" customHeight="1">
      <c r="A2317" s="821" t="s">
        <v>448</v>
      </c>
      <c r="B2317" s="980" t="s">
        <v>500</v>
      </c>
      <c r="C2317" s="879" t="e">
        <f>VLOOKUP(B2310,'CNKT '!#REF!,14,0)</f>
        <v>#REF!</v>
      </c>
      <c r="D2317" s="825">
        <f>153.6*$B$2</f>
        <v>102640.128</v>
      </c>
      <c r="E2317" s="823" t="e">
        <f t="shared" si="271"/>
        <v>#REF!</v>
      </c>
      <c r="F2317" s="882"/>
      <c r="G2317" s="821" t="s">
        <v>448</v>
      </c>
      <c r="H2317" s="980" t="s">
        <v>500</v>
      </c>
      <c r="I2317" s="879" t="e">
        <f>VLOOKUP(H2310,'CNKT '!#REF!,14,0)</f>
        <v>#REF!</v>
      </c>
      <c r="J2317" s="825">
        <f>153.6*$B$2</f>
        <v>102640.128</v>
      </c>
      <c r="K2317" s="823" t="e">
        <f t="shared" si="272"/>
        <v>#REF!</v>
      </c>
      <c r="L2317" s="818"/>
    </row>
    <row r="2318" spans="1:12" s="31" customFormat="1" ht="17.25" customHeight="1">
      <c r="A2318" s="821" t="s">
        <v>455</v>
      </c>
      <c r="B2318" s="980" t="s">
        <v>501</v>
      </c>
      <c r="C2318" s="879" t="e">
        <f>VLOOKUP(B2310,'CNKT '!#REF!,18,0)</f>
        <v>#REF!</v>
      </c>
      <c r="D2318" s="825">
        <v>10000</v>
      </c>
      <c r="E2318" s="823" t="e">
        <f>C2318*D2318</f>
        <v>#REF!</v>
      </c>
      <c r="F2318" s="882"/>
      <c r="G2318" s="821" t="s">
        <v>455</v>
      </c>
      <c r="H2318" s="980" t="s">
        <v>501</v>
      </c>
      <c r="I2318" s="879" t="e">
        <f>VLOOKUP(H2310,'CNKT '!#REF!,18,0)</f>
        <v>#REF!</v>
      </c>
      <c r="J2318" s="825">
        <v>10000</v>
      </c>
      <c r="K2318" s="823" t="e">
        <f>I2318*J2318</f>
        <v>#REF!</v>
      </c>
      <c r="L2318" s="818"/>
    </row>
    <row r="2319" spans="1:12" s="31" customFormat="1" ht="17.25" customHeight="1">
      <c r="A2319" s="821" t="s">
        <v>455</v>
      </c>
      <c r="B2319" s="980" t="s">
        <v>501</v>
      </c>
      <c r="C2319" s="879" t="e">
        <f>VLOOKUP(B2310,'CNKT '!#REF!,19,0)</f>
        <v>#REF!</v>
      </c>
      <c r="D2319" s="825">
        <v>20000</v>
      </c>
      <c r="E2319" s="823" t="e">
        <f>C2319*D2319</f>
        <v>#REF!</v>
      </c>
      <c r="F2319" s="882"/>
      <c r="G2319" s="821" t="s">
        <v>455</v>
      </c>
      <c r="H2319" s="980" t="s">
        <v>501</v>
      </c>
      <c r="I2319" s="879" t="e">
        <f>VLOOKUP(H2310,'CNKT '!#REF!,19,0)</f>
        <v>#REF!</v>
      </c>
      <c r="J2319" s="825">
        <v>20000</v>
      </c>
      <c r="K2319" s="823" t="e">
        <f>I2319*J2319</f>
        <v>#REF!</v>
      </c>
      <c r="L2319" s="818"/>
    </row>
    <row r="2320" spans="1:12" s="31" customFormat="1" ht="17.25" customHeight="1">
      <c r="A2320" s="827" t="s">
        <v>81</v>
      </c>
      <c r="B2320" s="981" t="s">
        <v>564</v>
      </c>
      <c r="C2320" s="828"/>
      <c r="D2320" s="829"/>
      <c r="E2320" s="828"/>
      <c r="F2320" s="882"/>
      <c r="G2320" s="827" t="s">
        <v>81</v>
      </c>
      <c r="H2320" s="981" t="s">
        <v>564</v>
      </c>
      <c r="I2320" s="828"/>
      <c r="J2320" s="829"/>
      <c r="K2320" s="828"/>
      <c r="L2320" s="818"/>
    </row>
    <row r="2321" spans="1:12" s="31" customFormat="1" ht="17.25" customHeight="1">
      <c r="A2321" s="830" t="s">
        <v>82</v>
      </c>
      <c r="B2321" s="982" t="s">
        <v>565</v>
      </c>
      <c r="C2321" s="828"/>
      <c r="D2321" s="828"/>
      <c r="E2321" s="828"/>
      <c r="F2321" s="882"/>
      <c r="G2321" s="830" t="s">
        <v>82</v>
      </c>
      <c r="H2321" s="982" t="s">
        <v>565</v>
      </c>
      <c r="I2321" s="828"/>
      <c r="J2321" s="828"/>
      <c r="K2321" s="828"/>
      <c r="L2321" s="818"/>
    </row>
    <row r="2322" spans="1:12" s="31" customFormat="1" ht="17.25" customHeight="1">
      <c r="A2322" s="830" t="s">
        <v>83</v>
      </c>
      <c r="B2322" s="983" t="s">
        <v>566</v>
      </c>
      <c r="C2322" s="828"/>
      <c r="D2322" s="828"/>
      <c r="E2322" s="823">
        <f>SUM(E2321)</f>
        <v>0</v>
      </c>
      <c r="F2322" s="869"/>
      <c r="G2322" s="830" t="s">
        <v>83</v>
      </c>
      <c r="H2322" s="983" t="s">
        <v>566</v>
      </c>
      <c r="I2322" s="828"/>
      <c r="J2322" s="828"/>
      <c r="K2322" s="823">
        <f>SUM(K2321)</f>
        <v>0</v>
      </c>
      <c r="L2322" s="818"/>
    </row>
    <row r="2323" spans="1:12" s="31" customFormat="1" ht="17.25" customHeight="1">
      <c r="A2323" s="832" t="s">
        <v>84</v>
      </c>
      <c r="B2323" s="984" t="s">
        <v>438</v>
      </c>
      <c r="C2323" s="833"/>
      <c r="D2323" s="833"/>
      <c r="E2323" s="833" t="e">
        <f>(E2312+E2313+E2314+E2315+E2316+E2317+E2318+E2319)-E2322</f>
        <v>#REF!</v>
      </c>
      <c r="F2323" s="869"/>
      <c r="G2323" s="832" t="s">
        <v>84</v>
      </c>
      <c r="H2323" s="984" t="s">
        <v>438</v>
      </c>
      <c r="I2323" s="833"/>
      <c r="J2323" s="833"/>
      <c r="K2323" s="833" t="e">
        <f>(K2312+K2313+K2314+K2315+K2316+K2317+K2318+K2319)-K2322</f>
        <v>#REF!</v>
      </c>
      <c r="L2323" s="835" t="e">
        <f>E2323+K2323</f>
        <v>#REF!</v>
      </c>
    </row>
    <row r="2324" spans="1:12" s="31" customFormat="1" ht="17.25" customHeight="1">
      <c r="A2324" s="895"/>
      <c r="B2324" s="895"/>
      <c r="C2324" s="895"/>
      <c r="D2324" s="895"/>
      <c r="E2324" s="895"/>
      <c r="F2324" s="895"/>
      <c r="G2324" s="895"/>
      <c r="H2324" s="895"/>
      <c r="I2324" s="895"/>
      <c r="J2324" s="895"/>
      <c r="K2324" s="895"/>
      <c r="L2324" s="818"/>
    </row>
    <row r="2325" spans="1:12" s="31" customFormat="1" ht="17.25" customHeight="1">
      <c r="A2325" s="891" t="str">
        <f>A2309</f>
        <v>LƯƠNG THÁNG 01/2025</v>
      </c>
      <c r="B2325" s="895"/>
      <c r="C2325" s="895"/>
      <c r="D2325" s="895"/>
      <c r="E2325" s="898" t="e">
        <f>VLOOKUP(B2326,'CNKT '!#REF!,26,0)</f>
        <v>#REF!</v>
      </c>
      <c r="F2325" s="882"/>
      <c r="G2325" s="891" t="str">
        <f>A2325</f>
        <v>LƯƠNG THÁNG 01/2025</v>
      </c>
      <c r="H2325" s="895"/>
      <c r="I2325" s="895"/>
      <c r="J2325" s="898"/>
      <c r="K2325" s="898" t="e">
        <f>VLOOKUP(H2326,'CNKT '!#REF!,26,0)</f>
        <v>#REF!</v>
      </c>
      <c r="L2325" s="818"/>
    </row>
    <row r="2326" spans="1:12" s="31" customFormat="1" ht="17.25" customHeight="1">
      <c r="A2326" s="837" t="s">
        <v>17</v>
      </c>
      <c r="B2326" s="976" t="e">
        <f>'CNKT '!#REF!</f>
        <v>#REF!</v>
      </c>
      <c r="C2326" s="822"/>
      <c r="D2326" s="976" t="s">
        <v>398</v>
      </c>
      <c r="E2326" s="976" t="s">
        <v>20</v>
      </c>
      <c r="F2326" s="882"/>
      <c r="G2326" s="837" t="s">
        <v>17</v>
      </c>
      <c r="H2326" s="976" t="e">
        <f>'CNKT '!#REF!</f>
        <v>#REF!</v>
      </c>
      <c r="I2326" s="822"/>
      <c r="J2326" s="976" t="s">
        <v>398</v>
      </c>
      <c r="K2326" s="976" t="s">
        <v>20</v>
      </c>
      <c r="L2326" s="818"/>
    </row>
    <row r="2327" spans="1:12" s="31" customFormat="1" ht="17.25" customHeight="1">
      <c r="A2327" s="821" t="s">
        <v>399</v>
      </c>
      <c r="B2327" s="978" t="s">
        <v>559</v>
      </c>
      <c r="C2327" s="822" t="e">
        <f>VLOOKUP(B2326,'BTH mủ tạp'!$C$161:$AL$161,36,0)</f>
        <v>#REF!</v>
      </c>
      <c r="D2327" s="823"/>
      <c r="E2327" s="823"/>
      <c r="F2327" s="882"/>
      <c r="G2327" s="821" t="s">
        <v>399</v>
      </c>
      <c r="H2327" s="978" t="s">
        <v>559</v>
      </c>
      <c r="I2327" s="822" t="e">
        <f>VLOOKUP(H2326,'BTH mủ tạp'!$C$161:$AL$161,36,0)</f>
        <v>#REF!</v>
      </c>
      <c r="J2327" s="823"/>
      <c r="K2327" s="823"/>
      <c r="L2327" s="818"/>
    </row>
    <row r="2328" spans="1:12" s="31" customFormat="1" ht="17.25" customHeight="1">
      <c r="A2328" s="821" t="s">
        <v>79</v>
      </c>
      <c r="B2328" s="979" t="s">
        <v>432</v>
      </c>
      <c r="C2328" s="824" t="e">
        <f>VLOOKUP(B2326,'CNKT '!#REF!,3,0)</f>
        <v>#REF!</v>
      </c>
      <c r="D2328" s="825">
        <v>25000</v>
      </c>
      <c r="E2328" s="823" t="e">
        <f t="shared" ref="E2328:E2333" si="273">C2328*D2328</f>
        <v>#REF!</v>
      </c>
      <c r="F2328" s="882"/>
      <c r="G2328" s="821" t="s">
        <v>79</v>
      </c>
      <c r="H2328" s="979" t="s">
        <v>432</v>
      </c>
      <c r="I2328" s="824" t="e">
        <f>VLOOKUP(H2326,'CNKT '!#REF!,3,0)</f>
        <v>#REF!</v>
      </c>
      <c r="J2328" s="825">
        <v>25000</v>
      </c>
      <c r="K2328" s="823" t="e">
        <f t="shared" ref="K2328:K2333" si="274">I2328*J2328</f>
        <v>#REF!</v>
      </c>
      <c r="L2328" s="818"/>
    </row>
    <row r="2329" spans="1:12" s="31" customFormat="1" ht="17.25" customHeight="1">
      <c r="A2329" s="821" t="s">
        <v>310</v>
      </c>
      <c r="B2329" s="980" t="s">
        <v>560</v>
      </c>
      <c r="C2329" s="879" t="e">
        <f>VLOOKUP(B2326,'CNKT '!#REF!,11,0)</f>
        <v>#REF!</v>
      </c>
      <c r="D2329" s="826">
        <f>46.1*$B$2</f>
        <v>30805.403000000002</v>
      </c>
      <c r="E2329" s="823" t="e">
        <f t="shared" si="273"/>
        <v>#REF!</v>
      </c>
      <c r="F2329" s="882"/>
      <c r="G2329" s="821" t="s">
        <v>310</v>
      </c>
      <c r="H2329" s="980" t="s">
        <v>560</v>
      </c>
      <c r="I2329" s="879" t="e">
        <f>VLOOKUP(H2326,'CNKT '!#REF!,11,0)</f>
        <v>#REF!</v>
      </c>
      <c r="J2329" s="826">
        <f>46.1*$B$2</f>
        <v>30805.403000000002</v>
      </c>
      <c r="K2329" s="823" t="e">
        <f t="shared" si="274"/>
        <v>#REF!</v>
      </c>
      <c r="L2329" s="818"/>
    </row>
    <row r="2330" spans="1:12" s="31" customFormat="1" ht="17.25" customHeight="1">
      <c r="A2330" s="821" t="s">
        <v>401</v>
      </c>
      <c r="B2330" s="980" t="s">
        <v>561</v>
      </c>
      <c r="C2330" s="879" t="e">
        <f>VLOOKUP(B2326,'CNKT '!#REF!,12,0)</f>
        <v>#REF!</v>
      </c>
      <c r="D2330" s="825">
        <f>76.9*$B$2</f>
        <v>51386.887000000002</v>
      </c>
      <c r="E2330" s="823" t="e">
        <f t="shared" si="273"/>
        <v>#REF!</v>
      </c>
      <c r="F2330" s="882"/>
      <c r="G2330" s="821" t="s">
        <v>401</v>
      </c>
      <c r="H2330" s="980" t="s">
        <v>561</v>
      </c>
      <c r="I2330" s="879" t="e">
        <f>VLOOKUP(H2326,'CNKT '!#REF!,12,0)</f>
        <v>#REF!</v>
      </c>
      <c r="J2330" s="825">
        <f>76.9*$B$2</f>
        <v>51386.887000000002</v>
      </c>
      <c r="K2330" s="823" t="e">
        <f t="shared" si="274"/>
        <v>#REF!</v>
      </c>
      <c r="L2330" s="818"/>
    </row>
    <row r="2331" spans="1:12" s="31" customFormat="1" ht="17.25" customHeight="1">
      <c r="A2331" s="821" t="s">
        <v>80</v>
      </c>
      <c r="B2331" s="980" t="s">
        <v>562</v>
      </c>
      <c r="C2331" s="879" t="e">
        <f>VLOOKUP(B2326,'CNKT '!#REF!,8,0)</f>
        <v>#REF!</v>
      </c>
      <c r="D2331" s="825" t="e">
        <f>IF(C2327="A",6.1,IF(C2327="B",5.8,IF(C2327="C",5.5,IF(C2327="C.",5.5,IF(C2327="D",5.2)))))*$B$2</f>
        <v>#REF!</v>
      </c>
      <c r="E2331" s="823" t="e">
        <f t="shared" si="273"/>
        <v>#REF!</v>
      </c>
      <c r="F2331" s="882"/>
      <c r="G2331" s="821" t="s">
        <v>80</v>
      </c>
      <c r="H2331" s="980" t="s">
        <v>562</v>
      </c>
      <c r="I2331" s="879" t="e">
        <f>VLOOKUP(H2326,'CNKT '!#REF!,8,0)</f>
        <v>#REF!</v>
      </c>
      <c r="J2331" s="825" t="e">
        <f>IF(I2327="A",6.1,IF(I2327="B",5.8,IF(I2327="C",5.5,IF(I2327="C.",5.5,IF(I2327="D",5.2)))))*$B$2</f>
        <v>#REF!</v>
      </c>
      <c r="K2331" s="823" t="e">
        <f t="shared" si="274"/>
        <v>#REF!</v>
      </c>
      <c r="L2331" s="818"/>
    </row>
    <row r="2332" spans="1:12" s="31" customFormat="1" ht="17.25" customHeight="1">
      <c r="A2332" s="821" t="s">
        <v>447</v>
      </c>
      <c r="B2332" s="980" t="s">
        <v>563</v>
      </c>
      <c r="C2332" s="879" t="e">
        <f>VLOOKUP(B2326,'CNKT '!#REF!,15,0)</f>
        <v>#REF!</v>
      </c>
      <c r="D2332" s="826">
        <f>92.2*$B$2</f>
        <v>61610.806000000004</v>
      </c>
      <c r="E2332" s="823" t="e">
        <f t="shared" si="273"/>
        <v>#REF!</v>
      </c>
      <c r="F2332" s="882"/>
      <c r="G2332" s="821" t="s">
        <v>447</v>
      </c>
      <c r="H2332" s="980" t="s">
        <v>563</v>
      </c>
      <c r="I2332" s="879" t="e">
        <f>VLOOKUP(H2326,'CNKT '!#REF!,15,0)</f>
        <v>#REF!</v>
      </c>
      <c r="J2332" s="826">
        <f>92.2*$B$2</f>
        <v>61610.806000000004</v>
      </c>
      <c r="K2332" s="823" t="e">
        <f t="shared" si="274"/>
        <v>#REF!</v>
      </c>
      <c r="L2332" s="818"/>
    </row>
    <row r="2333" spans="1:12" s="31" customFormat="1" ht="17.25" customHeight="1">
      <c r="A2333" s="821" t="s">
        <v>448</v>
      </c>
      <c r="B2333" s="980" t="s">
        <v>500</v>
      </c>
      <c r="C2333" s="879" t="e">
        <f>VLOOKUP(B2326,'CNKT '!#REF!,14,0)</f>
        <v>#REF!</v>
      </c>
      <c r="D2333" s="825">
        <f>153.6*$B$2</f>
        <v>102640.128</v>
      </c>
      <c r="E2333" s="823" t="e">
        <f t="shared" si="273"/>
        <v>#REF!</v>
      </c>
      <c r="F2333" s="882"/>
      <c r="G2333" s="821" t="s">
        <v>448</v>
      </c>
      <c r="H2333" s="980" t="s">
        <v>500</v>
      </c>
      <c r="I2333" s="879" t="e">
        <f>VLOOKUP(H2326,'CNKT '!#REF!,14,0)</f>
        <v>#REF!</v>
      </c>
      <c r="J2333" s="825">
        <f>153.6*$B$2</f>
        <v>102640.128</v>
      </c>
      <c r="K2333" s="823" t="e">
        <f t="shared" si="274"/>
        <v>#REF!</v>
      </c>
      <c r="L2333" s="818"/>
    </row>
    <row r="2334" spans="1:12" s="31" customFormat="1" ht="17.25" customHeight="1">
      <c r="A2334" s="821" t="s">
        <v>455</v>
      </c>
      <c r="B2334" s="980" t="s">
        <v>501</v>
      </c>
      <c r="C2334" s="879" t="e">
        <f>VLOOKUP(B2326,'CNKT '!#REF!,18,0)</f>
        <v>#REF!</v>
      </c>
      <c r="D2334" s="825">
        <v>10000</v>
      </c>
      <c r="E2334" s="823" t="e">
        <f>C2334*D2334</f>
        <v>#REF!</v>
      </c>
      <c r="F2334" s="882"/>
      <c r="G2334" s="821" t="s">
        <v>455</v>
      </c>
      <c r="H2334" s="980" t="s">
        <v>501</v>
      </c>
      <c r="I2334" s="879" t="e">
        <f>VLOOKUP(H2326,'CNKT '!#REF!,18,0)</f>
        <v>#REF!</v>
      </c>
      <c r="J2334" s="825">
        <v>10000</v>
      </c>
      <c r="K2334" s="823" t="e">
        <f>I2334*J2334</f>
        <v>#REF!</v>
      </c>
      <c r="L2334" s="818"/>
    </row>
    <row r="2335" spans="1:12" s="31" customFormat="1" ht="17.25" customHeight="1">
      <c r="A2335" s="821" t="s">
        <v>455</v>
      </c>
      <c r="B2335" s="980" t="s">
        <v>501</v>
      </c>
      <c r="C2335" s="879" t="e">
        <f>VLOOKUP(B2326,'CNKT '!#REF!,19,0)</f>
        <v>#REF!</v>
      </c>
      <c r="D2335" s="825">
        <v>20000</v>
      </c>
      <c r="E2335" s="823" t="e">
        <f>C2335*D2335</f>
        <v>#REF!</v>
      </c>
      <c r="F2335" s="882"/>
      <c r="G2335" s="821" t="s">
        <v>455</v>
      </c>
      <c r="H2335" s="980" t="s">
        <v>501</v>
      </c>
      <c r="I2335" s="879" t="e">
        <f>VLOOKUP(H2326,'CNKT '!#REF!,19,0)</f>
        <v>#REF!</v>
      </c>
      <c r="J2335" s="825">
        <v>20000</v>
      </c>
      <c r="K2335" s="823" t="e">
        <f>I2335*J2335</f>
        <v>#REF!</v>
      </c>
      <c r="L2335" s="818"/>
    </row>
    <row r="2336" spans="1:12" s="31" customFormat="1" ht="17.25" customHeight="1">
      <c r="A2336" s="827" t="s">
        <v>81</v>
      </c>
      <c r="B2336" s="981" t="s">
        <v>564</v>
      </c>
      <c r="C2336" s="828"/>
      <c r="D2336" s="829"/>
      <c r="E2336" s="828"/>
      <c r="F2336" s="882"/>
      <c r="G2336" s="827" t="s">
        <v>81</v>
      </c>
      <c r="H2336" s="981" t="s">
        <v>564</v>
      </c>
      <c r="I2336" s="828"/>
      <c r="J2336" s="829"/>
      <c r="K2336" s="828"/>
      <c r="L2336" s="818"/>
    </row>
    <row r="2337" spans="1:12" s="31" customFormat="1" ht="17.25" customHeight="1">
      <c r="A2337" s="830" t="s">
        <v>82</v>
      </c>
      <c r="B2337" s="982" t="s">
        <v>565</v>
      </c>
      <c r="C2337" s="828"/>
      <c r="D2337" s="828"/>
      <c r="E2337" s="828"/>
      <c r="F2337" s="882"/>
      <c r="G2337" s="830" t="s">
        <v>82</v>
      </c>
      <c r="H2337" s="982" t="s">
        <v>565</v>
      </c>
      <c r="I2337" s="828"/>
      <c r="J2337" s="828"/>
      <c r="K2337" s="828"/>
      <c r="L2337" s="818"/>
    </row>
    <row r="2338" spans="1:12" s="31" customFormat="1" ht="17.25" customHeight="1">
      <c r="A2338" s="830" t="s">
        <v>83</v>
      </c>
      <c r="B2338" s="983" t="s">
        <v>566</v>
      </c>
      <c r="C2338" s="828"/>
      <c r="D2338" s="828"/>
      <c r="E2338" s="823">
        <f>SUM(E2337)</f>
        <v>0</v>
      </c>
      <c r="F2338" s="878"/>
      <c r="G2338" s="830" t="s">
        <v>83</v>
      </c>
      <c r="H2338" s="983" t="s">
        <v>566</v>
      </c>
      <c r="I2338" s="828"/>
      <c r="J2338" s="828"/>
      <c r="K2338" s="823">
        <f>SUM(K2337)</f>
        <v>0</v>
      </c>
      <c r="L2338" s="818"/>
    </row>
    <row r="2339" spans="1:12" s="31" customFormat="1" ht="17.25" customHeight="1">
      <c r="A2339" s="832" t="s">
        <v>84</v>
      </c>
      <c r="B2339" s="984" t="s">
        <v>438</v>
      </c>
      <c r="C2339" s="833"/>
      <c r="D2339" s="833"/>
      <c r="E2339" s="833" t="e">
        <f>(E2328+E2329+E2330+E2331+E2332+E2333+E2334+E2335)-E2338</f>
        <v>#REF!</v>
      </c>
      <c r="F2339" s="878"/>
      <c r="G2339" s="832" t="s">
        <v>84</v>
      </c>
      <c r="H2339" s="984" t="s">
        <v>438</v>
      </c>
      <c r="I2339" s="833"/>
      <c r="J2339" s="833"/>
      <c r="K2339" s="833" t="e">
        <f>(K2328+K2329+K2330+K2331+K2332+K2333+K2334+K2335)-K2338</f>
        <v>#REF!</v>
      </c>
      <c r="L2339" s="835" t="e">
        <f>E2339+K2339</f>
        <v>#REF!</v>
      </c>
    </row>
    <row r="2340" spans="1:12" s="31" customFormat="1" ht="17.25" customHeight="1">
      <c r="A2340" s="895"/>
      <c r="B2340" s="895"/>
      <c r="C2340" s="895"/>
      <c r="D2340" s="895"/>
      <c r="E2340" s="895"/>
      <c r="F2340" s="895"/>
      <c r="G2340" s="895"/>
      <c r="H2340" s="895"/>
      <c r="I2340" s="895"/>
      <c r="J2340" s="895"/>
      <c r="K2340" s="895"/>
      <c r="L2340" s="818"/>
    </row>
    <row r="2341" spans="1:12" s="31" customFormat="1" ht="17.25" customHeight="1">
      <c r="A2341" s="891" t="str">
        <f>A2325</f>
        <v>LƯƠNG THÁNG 01/2025</v>
      </c>
      <c r="B2341" s="895"/>
      <c r="C2341" s="895"/>
      <c r="D2341" s="895"/>
      <c r="E2341" s="898" t="e">
        <f>VLOOKUP(B2342,'CNKT '!#REF!,26,0)</f>
        <v>#REF!</v>
      </c>
      <c r="F2341" s="882"/>
      <c r="G2341" s="891" t="str">
        <f>A2341</f>
        <v>LƯƠNG THÁNG 01/2025</v>
      </c>
      <c r="H2341" s="895"/>
      <c r="I2341" s="895"/>
      <c r="J2341" s="898"/>
      <c r="K2341" s="898" t="e">
        <f>VLOOKUP(H2342,'CNKT '!#REF!,26,0)</f>
        <v>#REF!</v>
      </c>
      <c r="L2341" s="818"/>
    </row>
    <row r="2342" spans="1:12" s="31" customFormat="1" ht="17.25" customHeight="1">
      <c r="A2342" s="837" t="s">
        <v>17</v>
      </c>
      <c r="B2342" s="976" t="e">
        <f>'CNKT '!#REF!</f>
        <v>#REF!</v>
      </c>
      <c r="C2342" s="822"/>
      <c r="D2342" s="976" t="s">
        <v>398</v>
      </c>
      <c r="E2342" s="976" t="s">
        <v>20</v>
      </c>
      <c r="F2342" s="882"/>
      <c r="G2342" s="837" t="s">
        <v>17</v>
      </c>
      <c r="H2342" s="976" t="e">
        <f>'CNKT '!#REF!</f>
        <v>#REF!</v>
      </c>
      <c r="I2342" s="822"/>
      <c r="J2342" s="976" t="s">
        <v>398</v>
      </c>
      <c r="K2342" s="976" t="s">
        <v>20</v>
      </c>
      <c r="L2342" s="818"/>
    </row>
    <row r="2343" spans="1:12" s="31" customFormat="1" ht="17.25" customHeight="1">
      <c r="A2343" s="821" t="s">
        <v>399</v>
      </c>
      <c r="B2343" s="978" t="s">
        <v>559</v>
      </c>
      <c r="C2343" s="822" t="e">
        <f>VLOOKUP(B2342,'BTH mủ tạp'!$C$161:$AL$161,36,0)</f>
        <v>#REF!</v>
      </c>
      <c r="D2343" s="823"/>
      <c r="E2343" s="823"/>
      <c r="F2343" s="882"/>
      <c r="G2343" s="821" t="s">
        <v>399</v>
      </c>
      <c r="H2343" s="978" t="s">
        <v>559</v>
      </c>
      <c r="I2343" s="822" t="e">
        <f>VLOOKUP(H2342,'BTH mủ tạp'!$C$161:$AL$161,36,0)</f>
        <v>#REF!</v>
      </c>
      <c r="J2343" s="823"/>
      <c r="K2343" s="823"/>
      <c r="L2343" s="818"/>
    </row>
    <row r="2344" spans="1:12" s="31" customFormat="1" ht="17.25" customHeight="1">
      <c r="A2344" s="821" t="s">
        <v>79</v>
      </c>
      <c r="B2344" s="979" t="s">
        <v>432</v>
      </c>
      <c r="C2344" s="824" t="e">
        <f>VLOOKUP(B2342,'CNKT '!#REF!,3,0)</f>
        <v>#REF!</v>
      </c>
      <c r="D2344" s="825">
        <v>25000</v>
      </c>
      <c r="E2344" s="823" t="e">
        <f t="shared" ref="E2344:E2349" si="275">C2344*D2344</f>
        <v>#REF!</v>
      </c>
      <c r="F2344" s="882"/>
      <c r="G2344" s="821" t="s">
        <v>79</v>
      </c>
      <c r="H2344" s="979" t="s">
        <v>432</v>
      </c>
      <c r="I2344" s="824" t="e">
        <f>VLOOKUP(H2342,'CNKT '!#REF!,3,0)</f>
        <v>#REF!</v>
      </c>
      <c r="J2344" s="825">
        <v>25000</v>
      </c>
      <c r="K2344" s="823" t="e">
        <f t="shared" ref="K2344:K2349" si="276">I2344*J2344</f>
        <v>#REF!</v>
      </c>
      <c r="L2344" s="818"/>
    </row>
    <row r="2345" spans="1:12" s="31" customFormat="1" ht="17.25" customHeight="1">
      <c r="A2345" s="821" t="s">
        <v>310</v>
      </c>
      <c r="B2345" s="980" t="s">
        <v>560</v>
      </c>
      <c r="C2345" s="879" t="e">
        <f>VLOOKUP(B2342,'CNKT '!#REF!,11,0)</f>
        <v>#REF!</v>
      </c>
      <c r="D2345" s="826">
        <f>46.1*$B$2</f>
        <v>30805.403000000002</v>
      </c>
      <c r="E2345" s="823" t="e">
        <f t="shared" si="275"/>
        <v>#REF!</v>
      </c>
      <c r="F2345" s="882"/>
      <c r="G2345" s="821" t="s">
        <v>310</v>
      </c>
      <c r="H2345" s="980" t="s">
        <v>560</v>
      </c>
      <c r="I2345" s="879" t="e">
        <f>VLOOKUP(H2342,'CNKT '!#REF!,11,0)</f>
        <v>#REF!</v>
      </c>
      <c r="J2345" s="826">
        <f>46.1*$B$2</f>
        <v>30805.403000000002</v>
      </c>
      <c r="K2345" s="823" t="e">
        <f t="shared" si="276"/>
        <v>#REF!</v>
      </c>
      <c r="L2345" s="818"/>
    </row>
    <row r="2346" spans="1:12" s="31" customFormat="1" ht="17.25" customHeight="1">
      <c r="A2346" s="821" t="s">
        <v>401</v>
      </c>
      <c r="B2346" s="980" t="s">
        <v>561</v>
      </c>
      <c r="C2346" s="879" t="e">
        <f>VLOOKUP(B2342,'CNKT '!#REF!,12,0)</f>
        <v>#REF!</v>
      </c>
      <c r="D2346" s="825">
        <f>76.9*$B$2</f>
        <v>51386.887000000002</v>
      </c>
      <c r="E2346" s="823" t="e">
        <f t="shared" si="275"/>
        <v>#REF!</v>
      </c>
      <c r="F2346" s="882"/>
      <c r="G2346" s="821" t="s">
        <v>401</v>
      </c>
      <c r="H2346" s="980" t="s">
        <v>561</v>
      </c>
      <c r="I2346" s="879" t="e">
        <f>VLOOKUP(H2342,'CNKT '!#REF!,12,0)</f>
        <v>#REF!</v>
      </c>
      <c r="J2346" s="825">
        <f>76.9*$B$2</f>
        <v>51386.887000000002</v>
      </c>
      <c r="K2346" s="823" t="e">
        <f t="shared" si="276"/>
        <v>#REF!</v>
      </c>
      <c r="L2346" s="818"/>
    </row>
    <row r="2347" spans="1:12" s="31" customFormat="1" ht="17.25" customHeight="1">
      <c r="A2347" s="821" t="s">
        <v>80</v>
      </c>
      <c r="B2347" s="980" t="s">
        <v>562</v>
      </c>
      <c r="C2347" s="879" t="e">
        <f>VLOOKUP(B2342,'CNKT '!#REF!,8,0)</f>
        <v>#REF!</v>
      </c>
      <c r="D2347" s="825" t="e">
        <f>IF(C2343="A",6.1,IF(C2343="B",5.8,IF(C2343="C",5.5,IF(C2343="C.",5.5,IF(C2343="D",5.2)))))*$B$2</f>
        <v>#REF!</v>
      </c>
      <c r="E2347" s="823" t="e">
        <f t="shared" si="275"/>
        <v>#REF!</v>
      </c>
      <c r="F2347" s="882"/>
      <c r="G2347" s="821" t="s">
        <v>80</v>
      </c>
      <c r="H2347" s="980" t="s">
        <v>562</v>
      </c>
      <c r="I2347" s="879" t="e">
        <f>VLOOKUP(H2342,'CNKT '!#REF!,8,0)</f>
        <v>#REF!</v>
      </c>
      <c r="J2347" s="825" t="e">
        <f>IF(I2343="A",6.1,IF(I2343="B",5.8,IF(I2343="C",5.5,IF(I2343="C.",5.5,IF(I2343="D",5.2)))))*$B$2</f>
        <v>#REF!</v>
      </c>
      <c r="K2347" s="823" t="e">
        <f t="shared" si="276"/>
        <v>#REF!</v>
      </c>
      <c r="L2347" s="818"/>
    </row>
    <row r="2348" spans="1:12" s="31" customFormat="1" ht="17.25" customHeight="1">
      <c r="A2348" s="821" t="s">
        <v>447</v>
      </c>
      <c r="B2348" s="980" t="s">
        <v>563</v>
      </c>
      <c r="C2348" s="879" t="e">
        <f>VLOOKUP(B2342,'CNKT '!#REF!,15,0)</f>
        <v>#REF!</v>
      </c>
      <c r="D2348" s="826">
        <f>92.2*$B$2</f>
        <v>61610.806000000004</v>
      </c>
      <c r="E2348" s="823" t="e">
        <f t="shared" si="275"/>
        <v>#REF!</v>
      </c>
      <c r="F2348" s="882"/>
      <c r="G2348" s="821" t="s">
        <v>447</v>
      </c>
      <c r="H2348" s="980" t="s">
        <v>563</v>
      </c>
      <c r="I2348" s="879" t="e">
        <f>VLOOKUP(H2342,'CNKT '!#REF!,15,0)</f>
        <v>#REF!</v>
      </c>
      <c r="J2348" s="826">
        <f>92.2*$B$2</f>
        <v>61610.806000000004</v>
      </c>
      <c r="K2348" s="823" t="e">
        <f t="shared" si="276"/>
        <v>#REF!</v>
      </c>
      <c r="L2348" s="818"/>
    </row>
    <row r="2349" spans="1:12" s="31" customFormat="1" ht="17.25" customHeight="1">
      <c r="A2349" s="821" t="s">
        <v>448</v>
      </c>
      <c r="B2349" s="980" t="s">
        <v>500</v>
      </c>
      <c r="C2349" s="879" t="e">
        <f>VLOOKUP(B2342,'CNKT '!#REF!,14,0)</f>
        <v>#REF!</v>
      </c>
      <c r="D2349" s="825">
        <f>153.6*$B$2</f>
        <v>102640.128</v>
      </c>
      <c r="E2349" s="823" t="e">
        <f t="shared" si="275"/>
        <v>#REF!</v>
      </c>
      <c r="F2349" s="882"/>
      <c r="G2349" s="821" t="s">
        <v>448</v>
      </c>
      <c r="H2349" s="980" t="s">
        <v>500</v>
      </c>
      <c r="I2349" s="879" t="e">
        <f>VLOOKUP(H2342,'CNKT '!#REF!,14,0)</f>
        <v>#REF!</v>
      </c>
      <c r="J2349" s="825">
        <f>153.6*$B$2</f>
        <v>102640.128</v>
      </c>
      <c r="K2349" s="823" t="e">
        <f t="shared" si="276"/>
        <v>#REF!</v>
      </c>
      <c r="L2349" s="818"/>
    </row>
    <row r="2350" spans="1:12" s="31" customFormat="1" ht="17.25" customHeight="1">
      <c r="A2350" s="821" t="s">
        <v>455</v>
      </c>
      <c r="B2350" s="980" t="s">
        <v>501</v>
      </c>
      <c r="C2350" s="879" t="e">
        <f>VLOOKUP(B2342,'CNKT '!#REF!,18,0)</f>
        <v>#REF!</v>
      </c>
      <c r="D2350" s="825">
        <v>10000</v>
      </c>
      <c r="E2350" s="823" t="e">
        <f>C2350*D2350</f>
        <v>#REF!</v>
      </c>
      <c r="F2350" s="882"/>
      <c r="G2350" s="821" t="s">
        <v>455</v>
      </c>
      <c r="H2350" s="980" t="s">
        <v>501</v>
      </c>
      <c r="I2350" s="879" t="e">
        <f>VLOOKUP(H2342,'CNKT '!#REF!,18,0)</f>
        <v>#REF!</v>
      </c>
      <c r="J2350" s="825">
        <v>10000</v>
      </c>
      <c r="K2350" s="823" t="e">
        <f>I2350*J2350</f>
        <v>#REF!</v>
      </c>
      <c r="L2350" s="818"/>
    </row>
    <row r="2351" spans="1:12" s="31" customFormat="1" ht="17.25" customHeight="1">
      <c r="A2351" s="821" t="s">
        <v>455</v>
      </c>
      <c r="B2351" s="980" t="s">
        <v>501</v>
      </c>
      <c r="C2351" s="879" t="e">
        <f>VLOOKUP(B2342,'CNKT '!#REF!,19,0)</f>
        <v>#REF!</v>
      </c>
      <c r="D2351" s="825">
        <v>20000</v>
      </c>
      <c r="E2351" s="823" t="e">
        <f>C2351*D2351</f>
        <v>#REF!</v>
      </c>
      <c r="F2351" s="882"/>
      <c r="G2351" s="821" t="s">
        <v>455</v>
      </c>
      <c r="H2351" s="980" t="s">
        <v>501</v>
      </c>
      <c r="I2351" s="879" t="e">
        <f>VLOOKUP(H2342,'CNKT '!#REF!,19,0)</f>
        <v>#REF!</v>
      </c>
      <c r="J2351" s="825">
        <v>20000</v>
      </c>
      <c r="K2351" s="823" t="e">
        <f>I2351*J2351</f>
        <v>#REF!</v>
      </c>
      <c r="L2351" s="818"/>
    </row>
    <row r="2352" spans="1:12" s="31" customFormat="1" ht="17.25" customHeight="1">
      <c r="A2352" s="827" t="s">
        <v>81</v>
      </c>
      <c r="B2352" s="981" t="s">
        <v>564</v>
      </c>
      <c r="C2352" s="828"/>
      <c r="D2352" s="829"/>
      <c r="E2352" s="828"/>
      <c r="F2352" s="882"/>
      <c r="G2352" s="827" t="s">
        <v>81</v>
      </c>
      <c r="H2352" s="981" t="s">
        <v>564</v>
      </c>
      <c r="I2352" s="828"/>
      <c r="J2352" s="829"/>
      <c r="K2352" s="828"/>
      <c r="L2352" s="818"/>
    </row>
    <row r="2353" spans="1:12" s="31" customFormat="1" ht="17.25" customHeight="1">
      <c r="A2353" s="830" t="s">
        <v>82</v>
      </c>
      <c r="B2353" s="982" t="s">
        <v>565</v>
      </c>
      <c r="C2353" s="828"/>
      <c r="D2353" s="828"/>
      <c r="E2353" s="828"/>
      <c r="F2353" s="882"/>
      <c r="G2353" s="830" t="s">
        <v>82</v>
      </c>
      <c r="H2353" s="982" t="s">
        <v>565</v>
      </c>
      <c r="I2353" s="828"/>
      <c r="J2353" s="828"/>
      <c r="K2353" s="828"/>
      <c r="L2353" s="818"/>
    </row>
    <row r="2354" spans="1:12" s="31" customFormat="1" ht="17.25" customHeight="1">
      <c r="A2354" s="830" t="s">
        <v>83</v>
      </c>
      <c r="B2354" s="983" t="s">
        <v>566</v>
      </c>
      <c r="C2354" s="828"/>
      <c r="D2354" s="828"/>
      <c r="E2354" s="823">
        <f>SUM(E2353)</f>
        <v>0</v>
      </c>
      <c r="F2354" s="869"/>
      <c r="G2354" s="830" t="s">
        <v>83</v>
      </c>
      <c r="H2354" s="983" t="s">
        <v>566</v>
      </c>
      <c r="I2354" s="828"/>
      <c r="J2354" s="828"/>
      <c r="K2354" s="823">
        <f>SUM(K2353)</f>
        <v>0</v>
      </c>
      <c r="L2354" s="818"/>
    </row>
    <row r="2355" spans="1:12" s="31" customFormat="1" ht="17.25" customHeight="1">
      <c r="A2355" s="832" t="s">
        <v>84</v>
      </c>
      <c r="B2355" s="984" t="s">
        <v>438</v>
      </c>
      <c r="C2355" s="833"/>
      <c r="D2355" s="833"/>
      <c r="E2355" s="833" t="e">
        <f>(E2344+E2345+E2346+E2347+E2348+E2349+E2350+E2351)-E2354</f>
        <v>#REF!</v>
      </c>
      <c r="F2355" s="869"/>
      <c r="G2355" s="832" t="s">
        <v>84</v>
      </c>
      <c r="H2355" s="984" t="s">
        <v>438</v>
      </c>
      <c r="I2355" s="833"/>
      <c r="J2355" s="833"/>
      <c r="K2355" s="833" t="e">
        <f>(K2344+K2345+K2346+K2347+K2348+K2349+K2350+K2351)-K2354</f>
        <v>#REF!</v>
      </c>
      <c r="L2355" s="835" t="e">
        <f>E2355+K2355</f>
        <v>#REF!</v>
      </c>
    </row>
    <row r="2356" spans="1:12" s="31" customFormat="1" ht="17.25" customHeight="1">
      <c r="A2356" s="895"/>
      <c r="B2356" s="895"/>
      <c r="C2356" s="895"/>
      <c r="D2356" s="895"/>
      <c r="E2356" s="895"/>
      <c r="F2356" s="895"/>
      <c r="G2356" s="895"/>
      <c r="H2356" s="895"/>
      <c r="I2356" s="895"/>
      <c r="J2356" s="895"/>
      <c r="K2356" s="895"/>
      <c r="L2356" s="818"/>
    </row>
    <row r="2357" spans="1:12" s="31" customFormat="1" ht="17.25" customHeight="1">
      <c r="A2357" s="891" t="str">
        <f>A2341</f>
        <v>LƯƠNG THÁNG 01/2025</v>
      </c>
      <c r="B2357" s="895"/>
      <c r="C2357" s="895"/>
      <c r="D2357" s="895"/>
      <c r="E2357" s="898" t="e">
        <f>VLOOKUP(B2358,'CNKT '!#REF!,26,0)</f>
        <v>#REF!</v>
      </c>
      <c r="F2357" s="882"/>
      <c r="G2357" s="891" t="str">
        <f>A2357</f>
        <v>LƯƠNG THÁNG 01/2025</v>
      </c>
      <c r="H2357" s="895"/>
      <c r="I2357" s="895"/>
      <c r="J2357" s="898"/>
      <c r="K2357" s="898" t="e">
        <f>VLOOKUP(H2358,'CNKT '!#REF!,26,0)</f>
        <v>#REF!</v>
      </c>
      <c r="L2357" s="818"/>
    </row>
    <row r="2358" spans="1:12" s="31" customFormat="1" ht="17.25" customHeight="1">
      <c r="A2358" s="837" t="s">
        <v>17</v>
      </c>
      <c r="B2358" s="976" t="e">
        <f>'CNKT '!#REF!</f>
        <v>#REF!</v>
      </c>
      <c r="C2358" s="822"/>
      <c r="D2358" s="976" t="s">
        <v>398</v>
      </c>
      <c r="E2358" s="976" t="s">
        <v>20</v>
      </c>
      <c r="F2358" s="882"/>
      <c r="G2358" s="837" t="s">
        <v>17</v>
      </c>
      <c r="H2358" s="976" t="e">
        <f>'CNKT '!#REF!</f>
        <v>#REF!</v>
      </c>
      <c r="I2358" s="822"/>
      <c r="J2358" s="976" t="s">
        <v>398</v>
      </c>
      <c r="K2358" s="976" t="s">
        <v>20</v>
      </c>
      <c r="L2358" s="818"/>
    </row>
    <row r="2359" spans="1:12" s="31" customFormat="1" ht="17.25" customHeight="1">
      <c r="A2359" s="821" t="s">
        <v>399</v>
      </c>
      <c r="B2359" s="978" t="s">
        <v>559</v>
      </c>
      <c r="C2359" s="822" t="e">
        <f>VLOOKUP(B2358,'BTH mủ tạp'!$C$161:$AL$161,36,0)</f>
        <v>#REF!</v>
      </c>
      <c r="D2359" s="823"/>
      <c r="E2359" s="823"/>
      <c r="F2359" s="882"/>
      <c r="G2359" s="821" t="s">
        <v>399</v>
      </c>
      <c r="H2359" s="978" t="s">
        <v>559</v>
      </c>
      <c r="I2359" s="822" t="e">
        <f>VLOOKUP(H2358,'BTH mủ tạp'!$C$161:$AL$161,36,0)</f>
        <v>#REF!</v>
      </c>
      <c r="J2359" s="823"/>
      <c r="K2359" s="823"/>
      <c r="L2359" s="818"/>
    </row>
    <row r="2360" spans="1:12" s="31" customFormat="1" ht="17.25" customHeight="1">
      <c r="A2360" s="821" t="s">
        <v>79</v>
      </c>
      <c r="B2360" s="979" t="s">
        <v>432</v>
      </c>
      <c r="C2360" s="824" t="e">
        <f>VLOOKUP(B2358,'CNKT '!#REF!,3,0)</f>
        <v>#REF!</v>
      </c>
      <c r="D2360" s="825">
        <v>25000</v>
      </c>
      <c r="E2360" s="823" t="e">
        <f t="shared" ref="E2360:E2365" si="277">C2360*D2360</f>
        <v>#REF!</v>
      </c>
      <c r="F2360" s="882"/>
      <c r="G2360" s="821" t="s">
        <v>79</v>
      </c>
      <c r="H2360" s="979" t="s">
        <v>432</v>
      </c>
      <c r="I2360" s="824" t="e">
        <f>VLOOKUP(H2358,'CNKT '!#REF!,3,0)</f>
        <v>#REF!</v>
      </c>
      <c r="J2360" s="825">
        <v>25000</v>
      </c>
      <c r="K2360" s="823" t="e">
        <f t="shared" ref="K2360:K2365" si="278">I2360*J2360</f>
        <v>#REF!</v>
      </c>
      <c r="L2360" s="818"/>
    </row>
    <row r="2361" spans="1:12" s="31" customFormat="1" ht="17.25" customHeight="1">
      <c r="A2361" s="821" t="s">
        <v>310</v>
      </c>
      <c r="B2361" s="980" t="s">
        <v>560</v>
      </c>
      <c r="C2361" s="879" t="e">
        <f>VLOOKUP(B2358,'CNKT '!#REF!,11,0)</f>
        <v>#REF!</v>
      </c>
      <c r="D2361" s="826">
        <f>46.1*$B$2</f>
        <v>30805.403000000002</v>
      </c>
      <c r="E2361" s="823" t="e">
        <f t="shared" si="277"/>
        <v>#REF!</v>
      </c>
      <c r="F2361" s="882"/>
      <c r="G2361" s="821" t="s">
        <v>310</v>
      </c>
      <c r="H2361" s="980" t="s">
        <v>560</v>
      </c>
      <c r="I2361" s="879" t="e">
        <f>VLOOKUP(H2358,'CNKT '!#REF!,11,0)</f>
        <v>#REF!</v>
      </c>
      <c r="J2361" s="826">
        <f>46.1*$B$2</f>
        <v>30805.403000000002</v>
      </c>
      <c r="K2361" s="823" t="e">
        <f t="shared" si="278"/>
        <v>#REF!</v>
      </c>
      <c r="L2361" s="818"/>
    </row>
    <row r="2362" spans="1:12" s="31" customFormat="1" ht="17.25" customHeight="1">
      <c r="A2362" s="821" t="s">
        <v>401</v>
      </c>
      <c r="B2362" s="980" t="s">
        <v>561</v>
      </c>
      <c r="C2362" s="879" t="e">
        <f>VLOOKUP(B2358,'CNKT '!#REF!,12,0)</f>
        <v>#REF!</v>
      </c>
      <c r="D2362" s="825">
        <f>76.9*$B$2</f>
        <v>51386.887000000002</v>
      </c>
      <c r="E2362" s="823" t="e">
        <f t="shared" si="277"/>
        <v>#REF!</v>
      </c>
      <c r="F2362" s="882"/>
      <c r="G2362" s="821" t="s">
        <v>401</v>
      </c>
      <c r="H2362" s="980" t="s">
        <v>561</v>
      </c>
      <c r="I2362" s="879" t="e">
        <f>VLOOKUP(H2358,'CNKT '!#REF!,12,0)</f>
        <v>#REF!</v>
      </c>
      <c r="J2362" s="825">
        <f>76.9*$B$2</f>
        <v>51386.887000000002</v>
      </c>
      <c r="K2362" s="823" t="e">
        <f t="shared" si="278"/>
        <v>#REF!</v>
      </c>
      <c r="L2362" s="818"/>
    </row>
    <row r="2363" spans="1:12" s="31" customFormat="1" ht="17.25" customHeight="1">
      <c r="A2363" s="821" t="s">
        <v>80</v>
      </c>
      <c r="B2363" s="980" t="s">
        <v>562</v>
      </c>
      <c r="C2363" s="879" t="e">
        <f>VLOOKUP(B2358,'CNKT '!#REF!,8,0)</f>
        <v>#REF!</v>
      </c>
      <c r="D2363" s="825" t="e">
        <f>IF(C2359="A",6.1,IF(C2359="B",5.8,IF(C2359="C",5.5,IF(C2359="C.",5.5,IF(C2359="D",5.2)))))*$B$2</f>
        <v>#REF!</v>
      </c>
      <c r="E2363" s="823" t="e">
        <f t="shared" si="277"/>
        <v>#REF!</v>
      </c>
      <c r="F2363" s="882"/>
      <c r="G2363" s="821" t="s">
        <v>80</v>
      </c>
      <c r="H2363" s="980" t="s">
        <v>562</v>
      </c>
      <c r="I2363" s="879" t="e">
        <f>VLOOKUP(H2358,'CNKT '!#REF!,8,0)</f>
        <v>#REF!</v>
      </c>
      <c r="J2363" s="825" t="e">
        <f>IF(I2359="A",6.1,IF(I2359="B",5.8,IF(I2359="C",5.5,IF(I2359="C.",5.5,IF(I2359="D",5.2)))))*$B$2</f>
        <v>#REF!</v>
      </c>
      <c r="K2363" s="823" t="e">
        <f t="shared" si="278"/>
        <v>#REF!</v>
      </c>
      <c r="L2363" s="818"/>
    </row>
    <row r="2364" spans="1:12" s="31" customFormat="1" ht="17.25" customHeight="1">
      <c r="A2364" s="821" t="s">
        <v>447</v>
      </c>
      <c r="B2364" s="980" t="s">
        <v>563</v>
      </c>
      <c r="C2364" s="879" t="e">
        <f>VLOOKUP(B2358,'CNKT '!#REF!,15,0)</f>
        <v>#REF!</v>
      </c>
      <c r="D2364" s="826">
        <f>92.2*$B$2</f>
        <v>61610.806000000004</v>
      </c>
      <c r="E2364" s="823" t="e">
        <f t="shared" si="277"/>
        <v>#REF!</v>
      </c>
      <c r="F2364" s="882"/>
      <c r="G2364" s="821" t="s">
        <v>447</v>
      </c>
      <c r="H2364" s="980" t="s">
        <v>563</v>
      </c>
      <c r="I2364" s="879" t="e">
        <f>VLOOKUP(H2358,'CNKT '!#REF!,15,0)</f>
        <v>#REF!</v>
      </c>
      <c r="J2364" s="826">
        <f>92.2*$B$2</f>
        <v>61610.806000000004</v>
      </c>
      <c r="K2364" s="823" t="e">
        <f t="shared" si="278"/>
        <v>#REF!</v>
      </c>
      <c r="L2364" s="818"/>
    </row>
    <row r="2365" spans="1:12" s="31" customFormat="1" ht="17.25" customHeight="1">
      <c r="A2365" s="821" t="s">
        <v>448</v>
      </c>
      <c r="B2365" s="980" t="s">
        <v>500</v>
      </c>
      <c r="C2365" s="879" t="e">
        <f>VLOOKUP(B2358,'CNKT '!#REF!,14,0)</f>
        <v>#REF!</v>
      </c>
      <c r="D2365" s="825">
        <f>153.6*$B$2</f>
        <v>102640.128</v>
      </c>
      <c r="E2365" s="823" t="e">
        <f t="shared" si="277"/>
        <v>#REF!</v>
      </c>
      <c r="F2365" s="882"/>
      <c r="G2365" s="821" t="s">
        <v>448</v>
      </c>
      <c r="H2365" s="980" t="s">
        <v>500</v>
      </c>
      <c r="I2365" s="879" t="e">
        <f>VLOOKUP(H2358,'CNKT '!#REF!,14,0)</f>
        <v>#REF!</v>
      </c>
      <c r="J2365" s="825">
        <f>153.6*$B$2</f>
        <v>102640.128</v>
      </c>
      <c r="K2365" s="823" t="e">
        <f t="shared" si="278"/>
        <v>#REF!</v>
      </c>
      <c r="L2365" s="818"/>
    </row>
    <row r="2366" spans="1:12" s="31" customFormat="1" ht="17.25" customHeight="1">
      <c r="A2366" s="821" t="s">
        <v>455</v>
      </c>
      <c r="B2366" s="980" t="s">
        <v>501</v>
      </c>
      <c r="C2366" s="879" t="e">
        <f>VLOOKUP(B2358,'CNKT '!#REF!,18,0)</f>
        <v>#REF!</v>
      </c>
      <c r="D2366" s="825">
        <v>10000</v>
      </c>
      <c r="E2366" s="823" t="e">
        <f>C2366*D2366</f>
        <v>#REF!</v>
      </c>
      <c r="F2366" s="882"/>
      <c r="G2366" s="821" t="s">
        <v>455</v>
      </c>
      <c r="H2366" s="980" t="s">
        <v>501</v>
      </c>
      <c r="I2366" s="879" t="e">
        <f>VLOOKUP(H2358,'CNKT '!#REF!,18,0)</f>
        <v>#REF!</v>
      </c>
      <c r="J2366" s="825">
        <v>10000</v>
      </c>
      <c r="K2366" s="823" t="e">
        <f>I2366*J2366</f>
        <v>#REF!</v>
      </c>
      <c r="L2366" s="818"/>
    </row>
    <row r="2367" spans="1:12" s="31" customFormat="1" ht="17.25" customHeight="1">
      <c r="A2367" s="821" t="s">
        <v>455</v>
      </c>
      <c r="B2367" s="980" t="s">
        <v>501</v>
      </c>
      <c r="C2367" s="879" t="e">
        <f>VLOOKUP(B2358,'CNKT '!#REF!,19,0)</f>
        <v>#REF!</v>
      </c>
      <c r="D2367" s="825">
        <v>20000</v>
      </c>
      <c r="E2367" s="823" t="e">
        <f>C2367*D2367</f>
        <v>#REF!</v>
      </c>
      <c r="F2367" s="882"/>
      <c r="G2367" s="821" t="s">
        <v>455</v>
      </c>
      <c r="H2367" s="980" t="s">
        <v>501</v>
      </c>
      <c r="I2367" s="879" t="e">
        <f>VLOOKUP(H2358,'CNKT '!#REF!,19,0)</f>
        <v>#REF!</v>
      </c>
      <c r="J2367" s="825">
        <v>20000</v>
      </c>
      <c r="K2367" s="823" t="e">
        <f>I2367*J2367</f>
        <v>#REF!</v>
      </c>
      <c r="L2367" s="818"/>
    </row>
    <row r="2368" spans="1:12" s="31" customFormat="1" ht="17.25" customHeight="1">
      <c r="A2368" s="827" t="s">
        <v>81</v>
      </c>
      <c r="B2368" s="981" t="s">
        <v>564</v>
      </c>
      <c r="C2368" s="828"/>
      <c r="D2368" s="829"/>
      <c r="E2368" s="828"/>
      <c r="F2368" s="882"/>
      <c r="G2368" s="827" t="s">
        <v>81</v>
      </c>
      <c r="H2368" s="981" t="s">
        <v>564</v>
      </c>
      <c r="I2368" s="828"/>
      <c r="J2368" s="829"/>
      <c r="K2368" s="828"/>
      <c r="L2368" s="818"/>
    </row>
    <row r="2369" spans="1:12" s="31" customFormat="1" ht="17.25" customHeight="1">
      <c r="A2369" s="830" t="s">
        <v>82</v>
      </c>
      <c r="B2369" s="982" t="s">
        <v>565</v>
      </c>
      <c r="C2369" s="828"/>
      <c r="D2369" s="828"/>
      <c r="E2369" s="828"/>
      <c r="F2369" s="882"/>
      <c r="G2369" s="830" t="s">
        <v>82</v>
      </c>
      <c r="H2369" s="982" t="s">
        <v>565</v>
      </c>
      <c r="I2369" s="828"/>
      <c r="J2369" s="828"/>
      <c r="K2369" s="828"/>
      <c r="L2369" s="818"/>
    </row>
    <row r="2370" spans="1:12" s="31" customFormat="1" ht="17.25" customHeight="1">
      <c r="A2370" s="830" t="s">
        <v>83</v>
      </c>
      <c r="B2370" s="983" t="s">
        <v>566</v>
      </c>
      <c r="C2370" s="828"/>
      <c r="D2370" s="828"/>
      <c r="E2370" s="823">
        <f>SUM(E2369)</f>
        <v>0</v>
      </c>
      <c r="F2370" s="869"/>
      <c r="G2370" s="830" t="s">
        <v>83</v>
      </c>
      <c r="H2370" s="983" t="s">
        <v>566</v>
      </c>
      <c r="I2370" s="828"/>
      <c r="J2370" s="828"/>
      <c r="K2370" s="823">
        <f>SUM(K2369)</f>
        <v>0</v>
      </c>
      <c r="L2370" s="818"/>
    </row>
    <row r="2371" spans="1:12" s="31" customFormat="1" ht="17.25" customHeight="1">
      <c r="A2371" s="832" t="s">
        <v>84</v>
      </c>
      <c r="B2371" s="984" t="s">
        <v>438</v>
      </c>
      <c r="C2371" s="833"/>
      <c r="D2371" s="833"/>
      <c r="E2371" s="833" t="e">
        <f>(E2360+E2361+E2362+E2363+E2364+E2365+E2366+E2367)-E2370</f>
        <v>#REF!</v>
      </c>
      <c r="F2371" s="869"/>
      <c r="G2371" s="832" t="s">
        <v>84</v>
      </c>
      <c r="H2371" s="984" t="s">
        <v>438</v>
      </c>
      <c r="I2371" s="833"/>
      <c r="J2371" s="833"/>
      <c r="K2371" s="833" t="e">
        <f>(K2360+K2361+K2362+K2363+K2364+K2365+K2366+K2367)-K2370</f>
        <v>#REF!</v>
      </c>
      <c r="L2371" s="835" t="e">
        <f>E2371+K2371</f>
        <v>#REF!</v>
      </c>
    </row>
    <row r="2372" spans="1:12" s="31" customFormat="1" ht="17.25" customHeight="1">
      <c r="A2372" s="895"/>
      <c r="B2372" s="895"/>
      <c r="C2372" s="895"/>
      <c r="D2372" s="895"/>
      <c r="E2372" s="895"/>
      <c r="F2372" s="895"/>
      <c r="G2372" s="895"/>
      <c r="H2372" s="895"/>
      <c r="I2372" s="895"/>
      <c r="J2372" s="895"/>
      <c r="K2372" s="895"/>
      <c r="L2372" s="818"/>
    </row>
    <row r="2373" spans="1:12" s="31" customFormat="1" ht="17.25" customHeight="1">
      <c r="A2373" s="891" t="str">
        <f>A2357</f>
        <v>LƯƠNG THÁNG 01/2025</v>
      </c>
      <c r="B2373" s="895"/>
      <c r="C2373" s="895"/>
      <c r="D2373" s="895"/>
      <c r="E2373" s="898" t="e">
        <f>VLOOKUP(B2374,'CNKT '!#REF!,26,0)</f>
        <v>#REF!</v>
      </c>
      <c r="F2373" s="882"/>
      <c r="G2373" s="891" t="str">
        <f>A2373</f>
        <v>LƯƠNG THÁNG 01/2025</v>
      </c>
      <c r="H2373" s="895"/>
      <c r="I2373" s="895"/>
      <c r="J2373" s="898"/>
      <c r="K2373" s="898" t="e">
        <f>VLOOKUP(H2374,'CNKT '!#REF!,26,0)</f>
        <v>#REF!</v>
      </c>
      <c r="L2373" s="818"/>
    </row>
    <row r="2374" spans="1:12" s="31" customFormat="1" ht="17.25" customHeight="1">
      <c r="A2374" s="837" t="s">
        <v>17</v>
      </c>
      <c r="B2374" s="976" t="e">
        <f>'CNKT '!#REF!</f>
        <v>#REF!</v>
      </c>
      <c r="C2374" s="822"/>
      <c r="D2374" s="976" t="s">
        <v>398</v>
      </c>
      <c r="E2374" s="976" t="s">
        <v>20</v>
      </c>
      <c r="F2374" s="882"/>
      <c r="G2374" s="837" t="s">
        <v>17</v>
      </c>
      <c r="H2374" s="976" t="e">
        <f>'CNKT '!#REF!</f>
        <v>#REF!</v>
      </c>
      <c r="I2374" s="822"/>
      <c r="J2374" s="976" t="s">
        <v>398</v>
      </c>
      <c r="K2374" s="976" t="s">
        <v>20</v>
      </c>
      <c r="L2374" s="818"/>
    </row>
    <row r="2375" spans="1:12" s="31" customFormat="1" ht="17.25" customHeight="1">
      <c r="A2375" s="821" t="s">
        <v>399</v>
      </c>
      <c r="B2375" s="978" t="s">
        <v>559</v>
      </c>
      <c r="C2375" s="822" t="e">
        <f>VLOOKUP(B2374,'BTH mủ tạp'!$C$161:$AL$161,36,0)</f>
        <v>#REF!</v>
      </c>
      <c r="D2375" s="823"/>
      <c r="E2375" s="823"/>
      <c r="F2375" s="882"/>
      <c r="G2375" s="821" t="s">
        <v>399</v>
      </c>
      <c r="H2375" s="978" t="s">
        <v>559</v>
      </c>
      <c r="I2375" s="822" t="e">
        <f>VLOOKUP(H2374,'BTH mủ tạp'!$C$161:$AL$161,36,0)</f>
        <v>#REF!</v>
      </c>
      <c r="J2375" s="823"/>
      <c r="K2375" s="823"/>
      <c r="L2375" s="818"/>
    </row>
    <row r="2376" spans="1:12" s="31" customFormat="1" ht="17.25" customHeight="1">
      <c r="A2376" s="821" t="s">
        <v>79</v>
      </c>
      <c r="B2376" s="979" t="s">
        <v>432</v>
      </c>
      <c r="C2376" s="824" t="e">
        <f>VLOOKUP(B2374,'CNKT '!#REF!,3,0)</f>
        <v>#REF!</v>
      </c>
      <c r="D2376" s="825">
        <v>25000</v>
      </c>
      <c r="E2376" s="823" t="e">
        <f t="shared" ref="E2376:E2381" si="279">C2376*D2376</f>
        <v>#REF!</v>
      </c>
      <c r="F2376" s="882"/>
      <c r="G2376" s="821" t="s">
        <v>79</v>
      </c>
      <c r="H2376" s="979" t="s">
        <v>432</v>
      </c>
      <c r="I2376" s="824" t="e">
        <f>VLOOKUP(H2374,'CNKT '!#REF!,3,0)</f>
        <v>#REF!</v>
      </c>
      <c r="J2376" s="825">
        <v>25000</v>
      </c>
      <c r="K2376" s="823" t="e">
        <f t="shared" ref="K2376:K2381" si="280">I2376*J2376</f>
        <v>#REF!</v>
      </c>
      <c r="L2376" s="818"/>
    </row>
    <row r="2377" spans="1:12" s="31" customFormat="1" ht="17.25" customHeight="1">
      <c r="A2377" s="821" t="s">
        <v>310</v>
      </c>
      <c r="B2377" s="980" t="s">
        <v>560</v>
      </c>
      <c r="C2377" s="879" t="e">
        <f>VLOOKUP(B2374,'CNKT '!#REF!,11,0)</f>
        <v>#REF!</v>
      </c>
      <c r="D2377" s="826">
        <f>46.1*$B$2</f>
        <v>30805.403000000002</v>
      </c>
      <c r="E2377" s="823" t="e">
        <f t="shared" si="279"/>
        <v>#REF!</v>
      </c>
      <c r="F2377" s="882"/>
      <c r="G2377" s="821" t="s">
        <v>310</v>
      </c>
      <c r="H2377" s="980" t="s">
        <v>560</v>
      </c>
      <c r="I2377" s="879" t="e">
        <f>VLOOKUP(H2374,'CNKT '!#REF!,11,0)</f>
        <v>#REF!</v>
      </c>
      <c r="J2377" s="826">
        <f>46.1*$B$2</f>
        <v>30805.403000000002</v>
      </c>
      <c r="K2377" s="823" t="e">
        <f t="shared" si="280"/>
        <v>#REF!</v>
      </c>
      <c r="L2377" s="818"/>
    </row>
    <row r="2378" spans="1:12" s="31" customFormat="1" ht="17.25" customHeight="1">
      <c r="A2378" s="821" t="s">
        <v>401</v>
      </c>
      <c r="B2378" s="980" t="s">
        <v>561</v>
      </c>
      <c r="C2378" s="879" t="e">
        <f>VLOOKUP(B2374,'CNKT '!#REF!,12,0)</f>
        <v>#REF!</v>
      </c>
      <c r="D2378" s="825">
        <f>76.9*$B$2</f>
        <v>51386.887000000002</v>
      </c>
      <c r="E2378" s="823" t="e">
        <f t="shared" si="279"/>
        <v>#REF!</v>
      </c>
      <c r="F2378" s="882"/>
      <c r="G2378" s="821" t="s">
        <v>401</v>
      </c>
      <c r="H2378" s="980" t="s">
        <v>561</v>
      </c>
      <c r="I2378" s="879" t="e">
        <f>VLOOKUP(H2374,'CNKT '!#REF!,12,0)</f>
        <v>#REF!</v>
      </c>
      <c r="J2378" s="825">
        <f>76.9*$B$2</f>
        <v>51386.887000000002</v>
      </c>
      <c r="K2378" s="823" t="e">
        <f t="shared" si="280"/>
        <v>#REF!</v>
      </c>
      <c r="L2378" s="818"/>
    </row>
    <row r="2379" spans="1:12" s="31" customFormat="1" ht="17.25" customHeight="1">
      <c r="A2379" s="821" t="s">
        <v>80</v>
      </c>
      <c r="B2379" s="980" t="s">
        <v>562</v>
      </c>
      <c r="C2379" s="879" t="e">
        <f>VLOOKUP(B2374,'CNKT '!#REF!,8,0)</f>
        <v>#REF!</v>
      </c>
      <c r="D2379" s="825" t="e">
        <f>IF(C2375="A",6.1,IF(C2375="B",5.8,IF(C2375="C",5.5,IF(C2375="C.",5.5,IF(C2375="D",5.2)))))*$B$2</f>
        <v>#REF!</v>
      </c>
      <c r="E2379" s="823" t="e">
        <f t="shared" si="279"/>
        <v>#REF!</v>
      </c>
      <c r="F2379" s="882"/>
      <c r="G2379" s="821" t="s">
        <v>80</v>
      </c>
      <c r="H2379" s="980" t="s">
        <v>562</v>
      </c>
      <c r="I2379" s="879" t="e">
        <f>VLOOKUP(H2374,'CNKT '!#REF!,8,0)</f>
        <v>#REF!</v>
      </c>
      <c r="J2379" s="825" t="e">
        <f>IF(I2375="A",6.1,IF(I2375="B",5.8,IF(I2375="C",5.5,IF(I2375="C.",5.5,IF(I2375="D",5.2)))))*$B$2</f>
        <v>#REF!</v>
      </c>
      <c r="K2379" s="823" t="e">
        <f t="shared" si="280"/>
        <v>#REF!</v>
      </c>
      <c r="L2379" s="818"/>
    </row>
    <row r="2380" spans="1:12" s="31" customFormat="1" ht="17.25" customHeight="1">
      <c r="A2380" s="821" t="s">
        <v>447</v>
      </c>
      <c r="B2380" s="980" t="s">
        <v>563</v>
      </c>
      <c r="C2380" s="879" t="e">
        <f>VLOOKUP(B2374,'CNKT '!#REF!,15,0)</f>
        <v>#REF!</v>
      </c>
      <c r="D2380" s="826">
        <f>92.2*$B$2</f>
        <v>61610.806000000004</v>
      </c>
      <c r="E2380" s="823" t="e">
        <f t="shared" si="279"/>
        <v>#REF!</v>
      </c>
      <c r="F2380" s="882"/>
      <c r="G2380" s="821" t="s">
        <v>447</v>
      </c>
      <c r="H2380" s="980" t="s">
        <v>563</v>
      </c>
      <c r="I2380" s="879" t="e">
        <f>VLOOKUP(H2374,'CNKT '!#REF!,15,0)</f>
        <v>#REF!</v>
      </c>
      <c r="J2380" s="826">
        <f>92.2*$B$2</f>
        <v>61610.806000000004</v>
      </c>
      <c r="K2380" s="823" t="e">
        <f t="shared" si="280"/>
        <v>#REF!</v>
      </c>
      <c r="L2380" s="818"/>
    </row>
    <row r="2381" spans="1:12" s="31" customFormat="1" ht="17.25" customHeight="1">
      <c r="A2381" s="821" t="s">
        <v>448</v>
      </c>
      <c r="B2381" s="980" t="s">
        <v>500</v>
      </c>
      <c r="C2381" s="879" t="e">
        <f>VLOOKUP(B2374,'CNKT '!#REF!,14,0)</f>
        <v>#REF!</v>
      </c>
      <c r="D2381" s="825">
        <f>153.6*$B$2</f>
        <v>102640.128</v>
      </c>
      <c r="E2381" s="823" t="e">
        <f t="shared" si="279"/>
        <v>#REF!</v>
      </c>
      <c r="F2381" s="882"/>
      <c r="G2381" s="821" t="s">
        <v>448</v>
      </c>
      <c r="H2381" s="980" t="s">
        <v>500</v>
      </c>
      <c r="I2381" s="879" t="e">
        <f>VLOOKUP(H2374,'CNKT '!#REF!,14,0)</f>
        <v>#REF!</v>
      </c>
      <c r="J2381" s="825">
        <f>153.6*$B$2</f>
        <v>102640.128</v>
      </c>
      <c r="K2381" s="823" t="e">
        <f t="shared" si="280"/>
        <v>#REF!</v>
      </c>
      <c r="L2381" s="818"/>
    </row>
    <row r="2382" spans="1:12" s="31" customFormat="1" ht="17.25" customHeight="1">
      <c r="A2382" s="821" t="s">
        <v>455</v>
      </c>
      <c r="B2382" s="980" t="s">
        <v>501</v>
      </c>
      <c r="C2382" s="879" t="e">
        <f>VLOOKUP(B2374,'CNKT '!#REF!,18,0)</f>
        <v>#REF!</v>
      </c>
      <c r="D2382" s="825">
        <v>10000</v>
      </c>
      <c r="E2382" s="823" t="e">
        <f>C2382*D2382</f>
        <v>#REF!</v>
      </c>
      <c r="F2382" s="882"/>
      <c r="G2382" s="821" t="s">
        <v>455</v>
      </c>
      <c r="H2382" s="980" t="s">
        <v>501</v>
      </c>
      <c r="I2382" s="879" t="e">
        <f>VLOOKUP(H2374,'CNKT '!#REF!,18,0)</f>
        <v>#REF!</v>
      </c>
      <c r="J2382" s="825">
        <v>10000</v>
      </c>
      <c r="K2382" s="823" t="e">
        <f>I2382*J2382</f>
        <v>#REF!</v>
      </c>
      <c r="L2382" s="818"/>
    </row>
    <row r="2383" spans="1:12" s="31" customFormat="1" ht="17.25" customHeight="1">
      <c r="A2383" s="821" t="s">
        <v>455</v>
      </c>
      <c r="B2383" s="980" t="s">
        <v>501</v>
      </c>
      <c r="C2383" s="879" t="e">
        <f>VLOOKUP(B2374,'CNKT '!#REF!,19,0)</f>
        <v>#REF!</v>
      </c>
      <c r="D2383" s="825">
        <v>20000</v>
      </c>
      <c r="E2383" s="823" t="e">
        <f>C2383*D2383</f>
        <v>#REF!</v>
      </c>
      <c r="F2383" s="882"/>
      <c r="G2383" s="821" t="s">
        <v>455</v>
      </c>
      <c r="H2383" s="980" t="s">
        <v>501</v>
      </c>
      <c r="I2383" s="879" t="e">
        <f>VLOOKUP(H2374,'CNKT '!#REF!,19,0)</f>
        <v>#REF!</v>
      </c>
      <c r="J2383" s="825">
        <v>20000</v>
      </c>
      <c r="K2383" s="823" t="e">
        <f>I2383*J2383</f>
        <v>#REF!</v>
      </c>
      <c r="L2383" s="818"/>
    </row>
    <row r="2384" spans="1:12" s="31" customFormat="1" ht="17.25" customHeight="1">
      <c r="A2384" s="827" t="s">
        <v>81</v>
      </c>
      <c r="B2384" s="981" t="s">
        <v>564</v>
      </c>
      <c r="C2384" s="828"/>
      <c r="D2384" s="829"/>
      <c r="E2384" s="828"/>
      <c r="F2384" s="882"/>
      <c r="G2384" s="827" t="s">
        <v>81</v>
      </c>
      <c r="H2384" s="981" t="s">
        <v>564</v>
      </c>
      <c r="I2384" s="828"/>
      <c r="J2384" s="829"/>
      <c r="K2384" s="828"/>
      <c r="L2384" s="818"/>
    </row>
    <row r="2385" spans="1:12" s="31" customFormat="1" ht="17.25" customHeight="1">
      <c r="A2385" s="830" t="s">
        <v>82</v>
      </c>
      <c r="B2385" s="982" t="s">
        <v>565</v>
      </c>
      <c r="C2385" s="828"/>
      <c r="D2385" s="828"/>
      <c r="E2385" s="828"/>
      <c r="F2385" s="882"/>
      <c r="G2385" s="830" t="s">
        <v>82</v>
      </c>
      <c r="H2385" s="982" t="s">
        <v>565</v>
      </c>
      <c r="I2385" s="828"/>
      <c r="J2385" s="828"/>
      <c r="K2385" s="828"/>
      <c r="L2385" s="818"/>
    </row>
    <row r="2386" spans="1:12" s="31" customFormat="1" ht="17.25" customHeight="1">
      <c r="A2386" s="830" t="s">
        <v>83</v>
      </c>
      <c r="B2386" s="983" t="s">
        <v>566</v>
      </c>
      <c r="C2386" s="828"/>
      <c r="D2386" s="828"/>
      <c r="E2386" s="823">
        <f>SUM(E2385)</f>
        <v>0</v>
      </c>
      <c r="F2386" s="869"/>
      <c r="G2386" s="830" t="s">
        <v>83</v>
      </c>
      <c r="H2386" s="983" t="s">
        <v>566</v>
      </c>
      <c r="I2386" s="828"/>
      <c r="J2386" s="828"/>
      <c r="K2386" s="823">
        <f>SUM(K2385)</f>
        <v>0</v>
      </c>
      <c r="L2386" s="818"/>
    </row>
    <row r="2387" spans="1:12" s="31" customFormat="1" ht="17.25" customHeight="1">
      <c r="A2387" s="832" t="s">
        <v>84</v>
      </c>
      <c r="B2387" s="984" t="s">
        <v>438</v>
      </c>
      <c r="C2387" s="833"/>
      <c r="D2387" s="833"/>
      <c r="E2387" s="833" t="e">
        <f>(E2376+E2377+E2378+E2379+E2380+E2381+E2382+E2383)-E2386</f>
        <v>#REF!</v>
      </c>
      <c r="F2387" s="869"/>
      <c r="G2387" s="832" t="s">
        <v>84</v>
      </c>
      <c r="H2387" s="984" t="s">
        <v>438</v>
      </c>
      <c r="I2387" s="833"/>
      <c r="J2387" s="833"/>
      <c r="K2387" s="833" t="e">
        <f>(K2376+K2377+K2378+K2379+K2380+K2381+K2382+K2383)-K2386</f>
        <v>#REF!</v>
      </c>
      <c r="L2387" s="835" t="e">
        <f>E2387+K2387</f>
        <v>#REF!</v>
      </c>
    </row>
    <row r="2388" spans="1:12" s="31" customFormat="1" ht="69.75" customHeight="1">
      <c r="A2388" s="895"/>
      <c r="B2388" s="895"/>
      <c r="C2388" s="895"/>
      <c r="D2388" s="895"/>
      <c r="E2388" s="895"/>
      <c r="F2388" s="895"/>
      <c r="G2388" s="895"/>
      <c r="H2388" s="895"/>
      <c r="I2388" s="895"/>
      <c r="J2388" s="895"/>
      <c r="K2388" s="895"/>
      <c r="L2388" s="818"/>
    </row>
    <row r="2389" spans="1:12" s="31" customFormat="1" ht="17.25" customHeight="1">
      <c r="A2389" s="891" t="str">
        <f>A2373</f>
        <v>LƯƠNG THÁNG 01/2025</v>
      </c>
      <c r="B2389" s="895"/>
      <c r="C2389" s="895"/>
      <c r="D2389" s="895"/>
      <c r="E2389" s="898" t="e">
        <f>VLOOKUP(B2390,'CNKT '!#REF!,26,0)</f>
        <v>#REF!</v>
      </c>
      <c r="F2389" s="882"/>
      <c r="G2389" s="891" t="str">
        <f>A2389</f>
        <v>LƯƠNG THÁNG 01/2025</v>
      </c>
      <c r="H2389" s="895"/>
      <c r="I2389" s="895"/>
      <c r="J2389" s="898"/>
      <c r="K2389" s="898" t="e">
        <f>VLOOKUP(H2390,'CNKT '!#REF!,26,0)</f>
        <v>#REF!</v>
      </c>
      <c r="L2389" s="818"/>
    </row>
    <row r="2390" spans="1:12" s="31" customFormat="1" ht="17.25" customHeight="1">
      <c r="A2390" s="837" t="s">
        <v>17</v>
      </c>
      <c r="B2390" s="976" t="e">
        <f>'CNKT '!#REF!</f>
        <v>#REF!</v>
      </c>
      <c r="C2390" s="822"/>
      <c r="D2390" s="976" t="s">
        <v>398</v>
      </c>
      <c r="E2390" s="976" t="s">
        <v>20</v>
      </c>
      <c r="F2390" s="882"/>
      <c r="G2390" s="837" t="s">
        <v>17</v>
      </c>
      <c r="H2390" s="976" t="e">
        <f>'CNKT '!#REF!</f>
        <v>#REF!</v>
      </c>
      <c r="I2390" s="822"/>
      <c r="J2390" s="976" t="s">
        <v>398</v>
      </c>
      <c r="K2390" s="976" t="s">
        <v>20</v>
      </c>
      <c r="L2390" s="818"/>
    </row>
    <row r="2391" spans="1:12" s="31" customFormat="1" ht="17.25" customHeight="1">
      <c r="A2391" s="821" t="s">
        <v>399</v>
      </c>
      <c r="B2391" s="978" t="s">
        <v>559</v>
      </c>
      <c r="C2391" s="822" t="e">
        <f>VLOOKUP(B2390,'BTH mủ tạp'!$C$161:$AL$161,36,0)</f>
        <v>#REF!</v>
      </c>
      <c r="D2391" s="823"/>
      <c r="E2391" s="823"/>
      <c r="F2391" s="882"/>
      <c r="G2391" s="821" t="s">
        <v>399</v>
      </c>
      <c r="H2391" s="978" t="s">
        <v>559</v>
      </c>
      <c r="I2391" s="822" t="e">
        <f>VLOOKUP(H2390,'BTH mủ tạp'!$C$161:$AL$161,36,0)</f>
        <v>#REF!</v>
      </c>
      <c r="J2391" s="823"/>
      <c r="K2391" s="823"/>
      <c r="L2391" s="818"/>
    </row>
    <row r="2392" spans="1:12" s="31" customFormat="1" ht="17.25" customHeight="1">
      <c r="A2392" s="821" t="s">
        <v>79</v>
      </c>
      <c r="B2392" s="979" t="s">
        <v>432</v>
      </c>
      <c r="C2392" s="824" t="e">
        <f>VLOOKUP(B2390,'CNKT '!#REF!,3,0)</f>
        <v>#REF!</v>
      </c>
      <c r="D2392" s="825">
        <v>25000</v>
      </c>
      <c r="E2392" s="823" t="e">
        <f t="shared" ref="E2392:E2397" si="281">C2392*D2392</f>
        <v>#REF!</v>
      </c>
      <c r="F2392" s="882"/>
      <c r="G2392" s="821" t="s">
        <v>79</v>
      </c>
      <c r="H2392" s="979" t="s">
        <v>432</v>
      </c>
      <c r="I2392" s="824" t="e">
        <f>VLOOKUP(H2390,'CNKT '!#REF!,3,0)</f>
        <v>#REF!</v>
      </c>
      <c r="J2392" s="825">
        <v>25000</v>
      </c>
      <c r="K2392" s="823" t="e">
        <f t="shared" ref="K2392:K2397" si="282">I2392*J2392</f>
        <v>#REF!</v>
      </c>
      <c r="L2392" s="818"/>
    </row>
    <row r="2393" spans="1:12" s="31" customFormat="1" ht="17.25" customHeight="1">
      <c r="A2393" s="821" t="s">
        <v>310</v>
      </c>
      <c r="B2393" s="980" t="s">
        <v>560</v>
      </c>
      <c r="C2393" s="879" t="e">
        <f>VLOOKUP(B2390,'CNKT '!#REF!,11,0)</f>
        <v>#REF!</v>
      </c>
      <c r="D2393" s="826">
        <f>46.1*$B$2</f>
        <v>30805.403000000002</v>
      </c>
      <c r="E2393" s="823" t="e">
        <f t="shared" si="281"/>
        <v>#REF!</v>
      </c>
      <c r="F2393" s="882"/>
      <c r="G2393" s="821" t="s">
        <v>310</v>
      </c>
      <c r="H2393" s="980" t="s">
        <v>560</v>
      </c>
      <c r="I2393" s="879" t="e">
        <f>VLOOKUP(H2390,'CNKT '!#REF!,11,0)</f>
        <v>#REF!</v>
      </c>
      <c r="J2393" s="826">
        <f>46.1*$B$2</f>
        <v>30805.403000000002</v>
      </c>
      <c r="K2393" s="823" t="e">
        <f t="shared" si="282"/>
        <v>#REF!</v>
      </c>
      <c r="L2393" s="818"/>
    </row>
    <row r="2394" spans="1:12" s="31" customFormat="1" ht="17.25" customHeight="1">
      <c r="A2394" s="821" t="s">
        <v>401</v>
      </c>
      <c r="B2394" s="980" t="s">
        <v>561</v>
      </c>
      <c r="C2394" s="879" t="e">
        <f>VLOOKUP(B2390,'CNKT '!#REF!,12,0)</f>
        <v>#REF!</v>
      </c>
      <c r="D2394" s="825">
        <f>76.9*$B$2</f>
        <v>51386.887000000002</v>
      </c>
      <c r="E2394" s="823" t="e">
        <f t="shared" si="281"/>
        <v>#REF!</v>
      </c>
      <c r="F2394" s="882"/>
      <c r="G2394" s="821" t="s">
        <v>401</v>
      </c>
      <c r="H2394" s="980" t="s">
        <v>561</v>
      </c>
      <c r="I2394" s="879" t="e">
        <f>VLOOKUP(H2390,'CNKT '!#REF!,12,0)</f>
        <v>#REF!</v>
      </c>
      <c r="J2394" s="825">
        <f>76.9*$B$2</f>
        <v>51386.887000000002</v>
      </c>
      <c r="K2394" s="823" t="e">
        <f t="shared" si="282"/>
        <v>#REF!</v>
      </c>
      <c r="L2394" s="818"/>
    </row>
    <row r="2395" spans="1:12" s="31" customFormat="1" ht="17.25" customHeight="1">
      <c r="A2395" s="821" t="s">
        <v>80</v>
      </c>
      <c r="B2395" s="980" t="s">
        <v>562</v>
      </c>
      <c r="C2395" s="879" t="e">
        <f>VLOOKUP(B2390,'CNKT '!#REF!,8,0)</f>
        <v>#REF!</v>
      </c>
      <c r="D2395" s="825" t="e">
        <f>IF(C2391="A",6.1,IF(C2391="B",5.8,IF(C2391="C",5.5,IF(C2391="C.",5.5,IF(C2391="D",5.2)))))*$B$2</f>
        <v>#REF!</v>
      </c>
      <c r="E2395" s="823" t="e">
        <f t="shared" si="281"/>
        <v>#REF!</v>
      </c>
      <c r="F2395" s="882"/>
      <c r="G2395" s="821" t="s">
        <v>80</v>
      </c>
      <c r="H2395" s="980" t="s">
        <v>562</v>
      </c>
      <c r="I2395" s="879" t="e">
        <f>VLOOKUP(H2390,'CNKT '!#REF!,8,0)</f>
        <v>#REF!</v>
      </c>
      <c r="J2395" s="825" t="e">
        <f>IF(I2391="A",6.1,IF(I2391="B",5.8,IF(I2391="C",5.5,IF(I2391="C.",5.5,IF(I2391="D",5.2)))))*$B$2</f>
        <v>#REF!</v>
      </c>
      <c r="K2395" s="823" t="e">
        <f t="shared" si="282"/>
        <v>#REF!</v>
      </c>
      <c r="L2395" s="818"/>
    </row>
    <row r="2396" spans="1:12" s="31" customFormat="1" ht="17.25" customHeight="1">
      <c r="A2396" s="821" t="s">
        <v>447</v>
      </c>
      <c r="B2396" s="980" t="s">
        <v>563</v>
      </c>
      <c r="C2396" s="879" t="e">
        <f>VLOOKUP(B2390,'CNKT '!#REF!,15,0)</f>
        <v>#REF!</v>
      </c>
      <c r="D2396" s="826">
        <f>92.2*$B$2</f>
        <v>61610.806000000004</v>
      </c>
      <c r="E2396" s="823" t="e">
        <f t="shared" si="281"/>
        <v>#REF!</v>
      </c>
      <c r="F2396" s="882"/>
      <c r="G2396" s="821" t="s">
        <v>447</v>
      </c>
      <c r="H2396" s="980" t="s">
        <v>563</v>
      </c>
      <c r="I2396" s="879" t="e">
        <f>VLOOKUP(H2390,'CNKT '!#REF!,15,0)</f>
        <v>#REF!</v>
      </c>
      <c r="J2396" s="826">
        <f>92.2*$B$2</f>
        <v>61610.806000000004</v>
      </c>
      <c r="K2396" s="823" t="e">
        <f t="shared" si="282"/>
        <v>#REF!</v>
      </c>
      <c r="L2396" s="818"/>
    </row>
    <row r="2397" spans="1:12" s="31" customFormat="1" ht="17.25" customHeight="1">
      <c r="A2397" s="821" t="s">
        <v>448</v>
      </c>
      <c r="B2397" s="980" t="s">
        <v>500</v>
      </c>
      <c r="C2397" s="879" t="e">
        <f>VLOOKUP(B2390,'CNKT '!#REF!,14,0)</f>
        <v>#REF!</v>
      </c>
      <c r="D2397" s="825">
        <f>153.6*$B$2</f>
        <v>102640.128</v>
      </c>
      <c r="E2397" s="823" t="e">
        <f t="shared" si="281"/>
        <v>#REF!</v>
      </c>
      <c r="F2397" s="882"/>
      <c r="G2397" s="821" t="s">
        <v>448</v>
      </c>
      <c r="H2397" s="980" t="s">
        <v>500</v>
      </c>
      <c r="I2397" s="879" t="e">
        <f>VLOOKUP(H2390,'CNKT '!#REF!,14,0)</f>
        <v>#REF!</v>
      </c>
      <c r="J2397" s="825">
        <f>153.6*$B$2</f>
        <v>102640.128</v>
      </c>
      <c r="K2397" s="823" t="e">
        <f t="shared" si="282"/>
        <v>#REF!</v>
      </c>
      <c r="L2397" s="818"/>
    </row>
    <row r="2398" spans="1:12" s="31" customFormat="1" ht="17.25" customHeight="1">
      <c r="A2398" s="821" t="s">
        <v>455</v>
      </c>
      <c r="B2398" s="980" t="s">
        <v>501</v>
      </c>
      <c r="C2398" s="879" t="e">
        <f>VLOOKUP(B2390,'CNKT '!#REF!,18,0)</f>
        <v>#REF!</v>
      </c>
      <c r="D2398" s="825">
        <v>10000</v>
      </c>
      <c r="E2398" s="823" t="e">
        <f>C2398*D2398</f>
        <v>#REF!</v>
      </c>
      <c r="F2398" s="882"/>
      <c r="G2398" s="821" t="s">
        <v>455</v>
      </c>
      <c r="H2398" s="980" t="s">
        <v>501</v>
      </c>
      <c r="I2398" s="879" t="e">
        <f>VLOOKUP(H2390,'CNKT '!#REF!,18,0)</f>
        <v>#REF!</v>
      </c>
      <c r="J2398" s="825">
        <v>10000</v>
      </c>
      <c r="K2398" s="823" t="e">
        <f>I2398*J2398</f>
        <v>#REF!</v>
      </c>
      <c r="L2398" s="818"/>
    </row>
    <row r="2399" spans="1:12" s="31" customFormat="1" ht="17.25" customHeight="1">
      <c r="A2399" s="821" t="s">
        <v>455</v>
      </c>
      <c r="B2399" s="980" t="s">
        <v>501</v>
      </c>
      <c r="C2399" s="879" t="e">
        <f>VLOOKUP(B2390,'CNKT '!#REF!,19,0)</f>
        <v>#REF!</v>
      </c>
      <c r="D2399" s="825">
        <v>20000</v>
      </c>
      <c r="E2399" s="823" t="e">
        <f>C2399*D2399</f>
        <v>#REF!</v>
      </c>
      <c r="F2399" s="882"/>
      <c r="G2399" s="821" t="s">
        <v>455</v>
      </c>
      <c r="H2399" s="980" t="s">
        <v>501</v>
      </c>
      <c r="I2399" s="879" t="e">
        <f>VLOOKUP(H2390,'CNKT '!#REF!,19,0)</f>
        <v>#REF!</v>
      </c>
      <c r="J2399" s="825">
        <v>20000</v>
      </c>
      <c r="K2399" s="823" t="e">
        <f>I2399*J2399</f>
        <v>#REF!</v>
      </c>
      <c r="L2399" s="818"/>
    </row>
    <row r="2400" spans="1:12" s="31" customFormat="1" ht="17.25" customHeight="1">
      <c r="A2400" s="827" t="s">
        <v>81</v>
      </c>
      <c r="B2400" s="981" t="s">
        <v>564</v>
      </c>
      <c r="C2400" s="828"/>
      <c r="D2400" s="829"/>
      <c r="E2400" s="828"/>
      <c r="F2400" s="882"/>
      <c r="G2400" s="827" t="s">
        <v>81</v>
      </c>
      <c r="H2400" s="981" t="s">
        <v>564</v>
      </c>
      <c r="I2400" s="828"/>
      <c r="J2400" s="829"/>
      <c r="K2400" s="828"/>
      <c r="L2400" s="818"/>
    </row>
    <row r="2401" spans="1:12" s="31" customFormat="1" ht="17.25" customHeight="1">
      <c r="A2401" s="830" t="s">
        <v>82</v>
      </c>
      <c r="B2401" s="982" t="s">
        <v>565</v>
      </c>
      <c r="C2401" s="828"/>
      <c r="D2401" s="828"/>
      <c r="E2401" s="828"/>
      <c r="F2401" s="882"/>
      <c r="G2401" s="830" t="s">
        <v>82</v>
      </c>
      <c r="H2401" s="982" t="s">
        <v>565</v>
      </c>
      <c r="I2401" s="828"/>
      <c r="J2401" s="828"/>
      <c r="K2401" s="828"/>
      <c r="L2401" s="818"/>
    </row>
    <row r="2402" spans="1:12" s="31" customFormat="1" ht="17.25" customHeight="1">
      <c r="A2402" s="830" t="s">
        <v>83</v>
      </c>
      <c r="B2402" s="983" t="s">
        <v>566</v>
      </c>
      <c r="C2402" s="828"/>
      <c r="D2402" s="828"/>
      <c r="E2402" s="823">
        <f>SUM(E2401)</f>
        <v>0</v>
      </c>
      <c r="F2402" s="869"/>
      <c r="G2402" s="830" t="s">
        <v>83</v>
      </c>
      <c r="H2402" s="983" t="s">
        <v>566</v>
      </c>
      <c r="I2402" s="828"/>
      <c r="J2402" s="828"/>
      <c r="K2402" s="823">
        <f>SUM(K2401)</f>
        <v>0</v>
      </c>
      <c r="L2402" s="818"/>
    </row>
    <row r="2403" spans="1:12" s="31" customFormat="1" ht="17.25" customHeight="1">
      <c r="A2403" s="832" t="s">
        <v>84</v>
      </c>
      <c r="B2403" s="984" t="s">
        <v>438</v>
      </c>
      <c r="C2403" s="833"/>
      <c r="D2403" s="833"/>
      <c r="E2403" s="833" t="e">
        <f>(E2392+E2393+E2394+E2395+E2396+E2397+E2398+E2399)-E2402</f>
        <v>#REF!</v>
      </c>
      <c r="F2403" s="869"/>
      <c r="G2403" s="832" t="s">
        <v>84</v>
      </c>
      <c r="H2403" s="984" t="s">
        <v>438</v>
      </c>
      <c r="I2403" s="833"/>
      <c r="J2403" s="833"/>
      <c r="K2403" s="833" t="e">
        <f>(K2392+K2393+K2394+K2395+K2396+K2397+K2398+K2399)-K2402</f>
        <v>#REF!</v>
      </c>
      <c r="L2403" s="835" t="e">
        <f>E2403+K2403</f>
        <v>#REF!</v>
      </c>
    </row>
    <row r="2404" spans="1:12" s="31" customFormat="1" ht="17.25" customHeight="1">
      <c r="A2404" s="895"/>
      <c r="B2404" s="895"/>
      <c r="C2404" s="895"/>
      <c r="D2404" s="895"/>
      <c r="E2404" s="895"/>
      <c r="F2404" s="895"/>
      <c r="G2404" s="895"/>
      <c r="H2404" s="895"/>
      <c r="I2404" s="895"/>
      <c r="J2404" s="895"/>
      <c r="K2404" s="895"/>
      <c r="L2404" s="818"/>
    </row>
    <row r="2405" spans="1:12" s="31" customFormat="1" ht="17.25" customHeight="1">
      <c r="A2405" s="891" t="str">
        <f>A2389</f>
        <v>LƯƠNG THÁNG 01/2025</v>
      </c>
      <c r="B2405" s="895"/>
      <c r="C2405" s="895"/>
      <c r="D2405" s="895"/>
      <c r="E2405" s="898" t="e">
        <f>VLOOKUP(B2406,'CNKT '!#REF!,26,0)</f>
        <v>#REF!</v>
      </c>
      <c r="F2405" s="882"/>
      <c r="G2405" s="891" t="str">
        <f>A2405</f>
        <v>LƯƠNG THÁNG 01/2025</v>
      </c>
      <c r="H2405" s="895"/>
      <c r="I2405" s="895"/>
      <c r="J2405" s="898"/>
      <c r="K2405" s="898" t="e">
        <f>VLOOKUP(H2406,'CNKT '!#REF!,26,0)</f>
        <v>#REF!</v>
      </c>
      <c r="L2405" s="818"/>
    </row>
    <row r="2406" spans="1:12" s="31" customFormat="1" ht="17.25" customHeight="1">
      <c r="A2406" s="837" t="s">
        <v>17</v>
      </c>
      <c r="B2406" s="976" t="e">
        <f>'CNKT '!#REF!</f>
        <v>#REF!</v>
      </c>
      <c r="C2406" s="822"/>
      <c r="D2406" s="976" t="s">
        <v>398</v>
      </c>
      <c r="E2406" s="976" t="s">
        <v>20</v>
      </c>
      <c r="F2406" s="882"/>
      <c r="G2406" s="837" t="s">
        <v>17</v>
      </c>
      <c r="H2406" s="976" t="e">
        <f>'CNKT '!#REF!</f>
        <v>#REF!</v>
      </c>
      <c r="I2406" s="822"/>
      <c r="J2406" s="976" t="s">
        <v>398</v>
      </c>
      <c r="K2406" s="976" t="s">
        <v>20</v>
      </c>
      <c r="L2406" s="818"/>
    </row>
    <row r="2407" spans="1:12" s="31" customFormat="1" ht="17.25" customHeight="1">
      <c r="A2407" s="821" t="s">
        <v>399</v>
      </c>
      <c r="B2407" s="978" t="s">
        <v>559</v>
      </c>
      <c r="C2407" s="822" t="e">
        <f>VLOOKUP(B2406,'BTH mủ tạp'!$C$161:$AL$161,36,0)</f>
        <v>#REF!</v>
      </c>
      <c r="D2407" s="823"/>
      <c r="E2407" s="823"/>
      <c r="F2407" s="882"/>
      <c r="G2407" s="821" t="s">
        <v>399</v>
      </c>
      <c r="H2407" s="978" t="s">
        <v>559</v>
      </c>
      <c r="I2407" s="822" t="e">
        <f>VLOOKUP(H2406,'BTH mủ tạp'!$C$161:$AL$161,36,0)</f>
        <v>#REF!</v>
      </c>
      <c r="J2407" s="823"/>
      <c r="K2407" s="823"/>
      <c r="L2407" s="818"/>
    </row>
    <row r="2408" spans="1:12" s="31" customFormat="1" ht="17.25" customHeight="1">
      <c r="A2408" s="821" t="s">
        <v>79</v>
      </c>
      <c r="B2408" s="979" t="s">
        <v>432</v>
      </c>
      <c r="C2408" s="824" t="e">
        <f>VLOOKUP(B2406,'CNKT '!#REF!,3,0)</f>
        <v>#REF!</v>
      </c>
      <c r="D2408" s="825">
        <v>25000</v>
      </c>
      <c r="E2408" s="823" t="e">
        <f t="shared" ref="E2408:E2413" si="283">C2408*D2408</f>
        <v>#REF!</v>
      </c>
      <c r="F2408" s="882"/>
      <c r="G2408" s="821" t="s">
        <v>79</v>
      </c>
      <c r="H2408" s="979" t="s">
        <v>432</v>
      </c>
      <c r="I2408" s="824" t="e">
        <f>VLOOKUP(H2406,'CNKT '!#REF!,3,0)</f>
        <v>#REF!</v>
      </c>
      <c r="J2408" s="825">
        <v>25000</v>
      </c>
      <c r="K2408" s="823" t="e">
        <f t="shared" ref="K2408:K2413" si="284">I2408*J2408</f>
        <v>#REF!</v>
      </c>
      <c r="L2408" s="818"/>
    </row>
    <row r="2409" spans="1:12" s="31" customFormat="1" ht="17.25" customHeight="1">
      <c r="A2409" s="821" t="s">
        <v>310</v>
      </c>
      <c r="B2409" s="980" t="s">
        <v>560</v>
      </c>
      <c r="C2409" s="879" t="e">
        <f>VLOOKUP(B2406,'CNKT '!#REF!,11,0)</f>
        <v>#REF!</v>
      </c>
      <c r="D2409" s="826">
        <f>46.1*$B$2</f>
        <v>30805.403000000002</v>
      </c>
      <c r="E2409" s="823" t="e">
        <f t="shared" si="283"/>
        <v>#REF!</v>
      </c>
      <c r="F2409" s="882"/>
      <c r="G2409" s="821" t="s">
        <v>310</v>
      </c>
      <c r="H2409" s="980" t="s">
        <v>560</v>
      </c>
      <c r="I2409" s="879" t="e">
        <f>VLOOKUP(H2406,'CNKT '!#REF!,11,0)</f>
        <v>#REF!</v>
      </c>
      <c r="J2409" s="826">
        <f>46.1*$B$2</f>
        <v>30805.403000000002</v>
      </c>
      <c r="K2409" s="823" t="e">
        <f t="shared" si="284"/>
        <v>#REF!</v>
      </c>
      <c r="L2409" s="818"/>
    </row>
    <row r="2410" spans="1:12" s="31" customFormat="1" ht="17.25" customHeight="1">
      <c r="A2410" s="821" t="s">
        <v>401</v>
      </c>
      <c r="B2410" s="980" t="s">
        <v>561</v>
      </c>
      <c r="C2410" s="879" t="e">
        <f>VLOOKUP(B2406,'CNKT '!#REF!,12,0)</f>
        <v>#REF!</v>
      </c>
      <c r="D2410" s="825">
        <f>76.9*$B$2</f>
        <v>51386.887000000002</v>
      </c>
      <c r="E2410" s="823" t="e">
        <f t="shared" si="283"/>
        <v>#REF!</v>
      </c>
      <c r="F2410" s="882"/>
      <c r="G2410" s="821" t="s">
        <v>401</v>
      </c>
      <c r="H2410" s="980" t="s">
        <v>561</v>
      </c>
      <c r="I2410" s="879" t="e">
        <f>VLOOKUP(H2406,'CNKT '!#REF!,12,0)</f>
        <v>#REF!</v>
      </c>
      <c r="J2410" s="825">
        <f>76.9*$B$2</f>
        <v>51386.887000000002</v>
      </c>
      <c r="K2410" s="823" t="e">
        <f t="shared" si="284"/>
        <v>#REF!</v>
      </c>
      <c r="L2410" s="818"/>
    </row>
    <row r="2411" spans="1:12" s="31" customFormat="1" ht="17.25" customHeight="1">
      <c r="A2411" s="821" t="s">
        <v>80</v>
      </c>
      <c r="B2411" s="980" t="s">
        <v>562</v>
      </c>
      <c r="C2411" s="879" t="e">
        <f>VLOOKUP(B2406,'CNKT '!#REF!,8,0)</f>
        <v>#REF!</v>
      </c>
      <c r="D2411" s="825" t="e">
        <f>IF(C2407="A",6.1,IF(C2407="B",5.8,IF(C2407="C",5.5,IF(C2407="C.",5.5,IF(C2407="D",5.2)))))*$B$2</f>
        <v>#REF!</v>
      </c>
      <c r="E2411" s="823" t="e">
        <f t="shared" si="283"/>
        <v>#REF!</v>
      </c>
      <c r="F2411" s="882"/>
      <c r="G2411" s="821" t="s">
        <v>80</v>
      </c>
      <c r="H2411" s="980" t="s">
        <v>562</v>
      </c>
      <c r="I2411" s="879" t="e">
        <f>VLOOKUP(H2406,'CNKT '!#REF!,8,0)</f>
        <v>#REF!</v>
      </c>
      <c r="J2411" s="825" t="e">
        <f>IF(I2407="A",6.1,IF(I2407="B",5.8,IF(I2407="C",5.5,IF(I2407="C.",5.5,IF(I2407="D",5.2)))))*$B$2</f>
        <v>#REF!</v>
      </c>
      <c r="K2411" s="823" t="e">
        <f t="shared" si="284"/>
        <v>#REF!</v>
      </c>
      <c r="L2411" s="818"/>
    </row>
    <row r="2412" spans="1:12" s="31" customFormat="1" ht="17.25" customHeight="1">
      <c r="A2412" s="821" t="s">
        <v>447</v>
      </c>
      <c r="B2412" s="980" t="s">
        <v>563</v>
      </c>
      <c r="C2412" s="879" t="e">
        <f>VLOOKUP(B2406,'CNKT '!#REF!,15,0)</f>
        <v>#REF!</v>
      </c>
      <c r="D2412" s="826">
        <f>92.2*$B$2</f>
        <v>61610.806000000004</v>
      </c>
      <c r="E2412" s="823" t="e">
        <f t="shared" si="283"/>
        <v>#REF!</v>
      </c>
      <c r="F2412" s="882"/>
      <c r="G2412" s="821" t="s">
        <v>447</v>
      </c>
      <c r="H2412" s="980" t="s">
        <v>563</v>
      </c>
      <c r="I2412" s="879" t="e">
        <f>VLOOKUP(H2406,'CNKT '!#REF!,15,0)</f>
        <v>#REF!</v>
      </c>
      <c r="J2412" s="826">
        <f>92.2*$B$2</f>
        <v>61610.806000000004</v>
      </c>
      <c r="K2412" s="823" t="e">
        <f t="shared" si="284"/>
        <v>#REF!</v>
      </c>
      <c r="L2412" s="818"/>
    </row>
    <row r="2413" spans="1:12" s="31" customFormat="1" ht="17.25" customHeight="1">
      <c r="A2413" s="821" t="s">
        <v>448</v>
      </c>
      <c r="B2413" s="980" t="s">
        <v>500</v>
      </c>
      <c r="C2413" s="879" t="e">
        <f>VLOOKUP(B2406,'CNKT '!#REF!,14,0)</f>
        <v>#REF!</v>
      </c>
      <c r="D2413" s="825">
        <f>153.6*$B$2</f>
        <v>102640.128</v>
      </c>
      <c r="E2413" s="823" t="e">
        <f t="shared" si="283"/>
        <v>#REF!</v>
      </c>
      <c r="F2413" s="882"/>
      <c r="G2413" s="821" t="s">
        <v>448</v>
      </c>
      <c r="H2413" s="980" t="s">
        <v>500</v>
      </c>
      <c r="I2413" s="879" t="e">
        <f>VLOOKUP(H2406,'CNKT '!#REF!,14,0)</f>
        <v>#REF!</v>
      </c>
      <c r="J2413" s="825">
        <f>153.6*$B$2</f>
        <v>102640.128</v>
      </c>
      <c r="K2413" s="823" t="e">
        <f t="shared" si="284"/>
        <v>#REF!</v>
      </c>
      <c r="L2413" s="818"/>
    </row>
    <row r="2414" spans="1:12" s="31" customFormat="1" ht="17.25" customHeight="1">
      <c r="A2414" s="821" t="s">
        <v>455</v>
      </c>
      <c r="B2414" s="980" t="s">
        <v>501</v>
      </c>
      <c r="C2414" s="879" t="e">
        <f>VLOOKUP(B2406,'CNKT '!#REF!,18,0)</f>
        <v>#REF!</v>
      </c>
      <c r="D2414" s="825">
        <v>10000</v>
      </c>
      <c r="E2414" s="823" t="e">
        <f>C2414*D2414</f>
        <v>#REF!</v>
      </c>
      <c r="F2414" s="882"/>
      <c r="G2414" s="821" t="s">
        <v>455</v>
      </c>
      <c r="H2414" s="980" t="s">
        <v>501</v>
      </c>
      <c r="I2414" s="879" t="e">
        <f>VLOOKUP(H2406,'CNKT '!#REF!,18,0)</f>
        <v>#REF!</v>
      </c>
      <c r="J2414" s="825">
        <v>10000</v>
      </c>
      <c r="K2414" s="823" t="e">
        <f>I2414*J2414</f>
        <v>#REF!</v>
      </c>
      <c r="L2414" s="818"/>
    </row>
    <row r="2415" spans="1:12" s="31" customFormat="1" ht="17.25" customHeight="1">
      <c r="A2415" s="821" t="s">
        <v>455</v>
      </c>
      <c r="B2415" s="980" t="s">
        <v>501</v>
      </c>
      <c r="C2415" s="879" t="e">
        <f>VLOOKUP(B2406,'CNKT '!#REF!,19,0)</f>
        <v>#REF!</v>
      </c>
      <c r="D2415" s="825">
        <v>20000</v>
      </c>
      <c r="E2415" s="823" t="e">
        <f>C2415*D2415</f>
        <v>#REF!</v>
      </c>
      <c r="F2415" s="882"/>
      <c r="G2415" s="821" t="s">
        <v>455</v>
      </c>
      <c r="H2415" s="980" t="s">
        <v>501</v>
      </c>
      <c r="I2415" s="879" t="e">
        <f>VLOOKUP(H2406,'CNKT '!#REF!,19,0)</f>
        <v>#REF!</v>
      </c>
      <c r="J2415" s="825">
        <v>20000</v>
      </c>
      <c r="K2415" s="823" t="e">
        <f>I2415*J2415</f>
        <v>#REF!</v>
      </c>
      <c r="L2415" s="818"/>
    </row>
    <row r="2416" spans="1:12" s="31" customFormat="1" ht="17.25" customHeight="1">
      <c r="A2416" s="827" t="s">
        <v>81</v>
      </c>
      <c r="B2416" s="981" t="s">
        <v>564</v>
      </c>
      <c r="C2416" s="828"/>
      <c r="D2416" s="829"/>
      <c r="E2416" s="828"/>
      <c r="F2416" s="882"/>
      <c r="G2416" s="827" t="s">
        <v>81</v>
      </c>
      <c r="H2416" s="981" t="s">
        <v>564</v>
      </c>
      <c r="I2416" s="828"/>
      <c r="J2416" s="829"/>
      <c r="K2416" s="828"/>
      <c r="L2416" s="818"/>
    </row>
    <row r="2417" spans="1:12" s="31" customFormat="1" ht="17.25" customHeight="1">
      <c r="A2417" s="830" t="s">
        <v>82</v>
      </c>
      <c r="B2417" s="982" t="s">
        <v>565</v>
      </c>
      <c r="C2417" s="828"/>
      <c r="D2417" s="828"/>
      <c r="E2417" s="828"/>
      <c r="F2417" s="882"/>
      <c r="G2417" s="830" t="s">
        <v>82</v>
      </c>
      <c r="H2417" s="982" t="s">
        <v>565</v>
      </c>
      <c r="I2417" s="828"/>
      <c r="J2417" s="828"/>
      <c r="K2417" s="828"/>
      <c r="L2417" s="818"/>
    </row>
    <row r="2418" spans="1:12" s="31" customFormat="1" ht="17.25" customHeight="1">
      <c r="A2418" s="830" t="s">
        <v>83</v>
      </c>
      <c r="B2418" s="983" t="s">
        <v>566</v>
      </c>
      <c r="C2418" s="828"/>
      <c r="D2418" s="828"/>
      <c r="E2418" s="823">
        <f>SUM(E2417)</f>
        <v>0</v>
      </c>
      <c r="F2418" s="869"/>
      <c r="G2418" s="830" t="s">
        <v>83</v>
      </c>
      <c r="H2418" s="983" t="s">
        <v>566</v>
      </c>
      <c r="I2418" s="828"/>
      <c r="J2418" s="828"/>
      <c r="K2418" s="823">
        <f>SUM(K2417)</f>
        <v>0</v>
      </c>
      <c r="L2418" s="818"/>
    </row>
    <row r="2419" spans="1:12" s="31" customFormat="1" ht="17.25" customHeight="1">
      <c r="A2419" s="832" t="s">
        <v>84</v>
      </c>
      <c r="B2419" s="984" t="s">
        <v>438</v>
      </c>
      <c r="C2419" s="833"/>
      <c r="D2419" s="833"/>
      <c r="E2419" s="833" t="e">
        <f>(E2408+E2409+E2410+E2411+E2412+E2413+E2414+E2415)-E2418</f>
        <v>#REF!</v>
      </c>
      <c r="F2419" s="869"/>
      <c r="G2419" s="832" t="s">
        <v>84</v>
      </c>
      <c r="H2419" s="984" t="s">
        <v>438</v>
      </c>
      <c r="I2419" s="833"/>
      <c r="J2419" s="833"/>
      <c r="K2419" s="833" t="e">
        <f>(K2408+K2409+K2410+K2411+K2412+K2413+K2414+K2415)-K2418</f>
        <v>#REF!</v>
      </c>
      <c r="L2419" s="835" t="e">
        <f>E2419+K2419</f>
        <v>#REF!</v>
      </c>
    </row>
    <row r="2420" spans="1:12" s="31" customFormat="1" ht="17.25" customHeight="1">
      <c r="A2420" s="895"/>
      <c r="B2420" s="895"/>
      <c r="C2420" s="895"/>
      <c r="D2420" s="895"/>
      <c r="E2420" s="895"/>
      <c r="F2420" s="895"/>
      <c r="G2420" s="895"/>
      <c r="H2420" s="895"/>
      <c r="I2420" s="895"/>
      <c r="J2420" s="895"/>
      <c r="K2420" s="895"/>
      <c r="L2420" s="818"/>
    </row>
    <row r="2421" spans="1:12" s="31" customFormat="1" ht="17.25" customHeight="1">
      <c r="A2421" s="891" t="str">
        <f>A2405</f>
        <v>LƯƠNG THÁNG 01/2025</v>
      </c>
      <c r="B2421" s="895"/>
      <c r="C2421" s="895"/>
      <c r="D2421" s="895"/>
      <c r="E2421" s="898" t="e">
        <f>VLOOKUP(B2422,'CNKT '!#REF!,26,0)</f>
        <v>#REF!</v>
      </c>
      <c r="F2421" s="882"/>
      <c r="G2421" s="891" t="str">
        <f>A2421</f>
        <v>LƯƠNG THÁNG 01/2025</v>
      </c>
      <c r="H2421" s="895"/>
      <c r="I2421" s="895"/>
      <c r="J2421" s="898"/>
      <c r="K2421" s="898" t="e">
        <f>VLOOKUP(H2422,'CNKT '!#REF!,26,0)</f>
        <v>#REF!</v>
      </c>
      <c r="L2421" s="818"/>
    </row>
    <row r="2422" spans="1:12" s="31" customFormat="1" ht="17.25" customHeight="1">
      <c r="A2422" s="837" t="s">
        <v>17</v>
      </c>
      <c r="B2422" s="976" t="e">
        <f>'CNKT '!#REF!</f>
        <v>#REF!</v>
      </c>
      <c r="C2422" s="822"/>
      <c r="D2422" s="976" t="s">
        <v>398</v>
      </c>
      <c r="E2422" s="976" t="s">
        <v>20</v>
      </c>
      <c r="F2422" s="882"/>
      <c r="G2422" s="837" t="s">
        <v>17</v>
      </c>
      <c r="H2422" s="976" t="e">
        <f>'CNKT '!#REF!</f>
        <v>#REF!</v>
      </c>
      <c r="I2422" s="822"/>
      <c r="J2422" s="976" t="s">
        <v>398</v>
      </c>
      <c r="K2422" s="976" t="s">
        <v>20</v>
      </c>
      <c r="L2422" s="818"/>
    </row>
    <row r="2423" spans="1:12" s="31" customFormat="1" ht="17.25" customHeight="1">
      <c r="A2423" s="821" t="s">
        <v>399</v>
      </c>
      <c r="B2423" s="978" t="s">
        <v>559</v>
      </c>
      <c r="C2423" s="822" t="e">
        <f>VLOOKUP(B2422,'BTH mủ tạp'!$C$161:$AL$161,36,0)</f>
        <v>#REF!</v>
      </c>
      <c r="D2423" s="823"/>
      <c r="E2423" s="823"/>
      <c r="F2423" s="882"/>
      <c r="G2423" s="821" t="s">
        <v>399</v>
      </c>
      <c r="H2423" s="978" t="s">
        <v>559</v>
      </c>
      <c r="I2423" s="822" t="e">
        <f>VLOOKUP(H2422,'BTH mủ tạp'!$C$161:$AL$161,36,0)</f>
        <v>#REF!</v>
      </c>
      <c r="J2423" s="823"/>
      <c r="K2423" s="823"/>
      <c r="L2423" s="818"/>
    </row>
    <row r="2424" spans="1:12" s="31" customFormat="1" ht="17.25" customHeight="1">
      <c r="A2424" s="821" t="s">
        <v>79</v>
      </c>
      <c r="B2424" s="979" t="s">
        <v>432</v>
      </c>
      <c r="C2424" s="824" t="e">
        <f>VLOOKUP(B2422,'CNKT '!#REF!,3,0)</f>
        <v>#REF!</v>
      </c>
      <c r="D2424" s="825">
        <v>25000</v>
      </c>
      <c r="E2424" s="823" t="e">
        <f t="shared" ref="E2424:E2429" si="285">C2424*D2424</f>
        <v>#REF!</v>
      </c>
      <c r="F2424" s="882"/>
      <c r="G2424" s="821" t="s">
        <v>79</v>
      </c>
      <c r="H2424" s="979" t="s">
        <v>432</v>
      </c>
      <c r="I2424" s="824" t="e">
        <f>VLOOKUP(H2422,'CNKT '!#REF!,3,0)</f>
        <v>#REF!</v>
      </c>
      <c r="J2424" s="825">
        <v>25000</v>
      </c>
      <c r="K2424" s="823" t="e">
        <f t="shared" ref="K2424:K2429" si="286">I2424*J2424</f>
        <v>#REF!</v>
      </c>
      <c r="L2424" s="818"/>
    </row>
    <row r="2425" spans="1:12" s="31" customFormat="1" ht="17.25" customHeight="1">
      <c r="A2425" s="821" t="s">
        <v>310</v>
      </c>
      <c r="B2425" s="980" t="s">
        <v>560</v>
      </c>
      <c r="C2425" s="879" t="e">
        <f>VLOOKUP(B2422,'CNKT '!#REF!,11,0)</f>
        <v>#REF!</v>
      </c>
      <c r="D2425" s="826">
        <f>46.1*$B$2</f>
        <v>30805.403000000002</v>
      </c>
      <c r="E2425" s="823" t="e">
        <f t="shared" si="285"/>
        <v>#REF!</v>
      </c>
      <c r="F2425" s="882"/>
      <c r="G2425" s="821" t="s">
        <v>310</v>
      </c>
      <c r="H2425" s="980" t="s">
        <v>560</v>
      </c>
      <c r="I2425" s="879" t="e">
        <f>VLOOKUP(H2422,'CNKT '!#REF!,11,0)</f>
        <v>#REF!</v>
      </c>
      <c r="J2425" s="826">
        <f>46.1*$B$2</f>
        <v>30805.403000000002</v>
      </c>
      <c r="K2425" s="823" t="e">
        <f t="shared" si="286"/>
        <v>#REF!</v>
      </c>
      <c r="L2425" s="818"/>
    </row>
    <row r="2426" spans="1:12" s="31" customFormat="1" ht="17.25" customHeight="1">
      <c r="A2426" s="821" t="s">
        <v>401</v>
      </c>
      <c r="B2426" s="980" t="s">
        <v>561</v>
      </c>
      <c r="C2426" s="879" t="e">
        <f>VLOOKUP(B2422,'CNKT '!#REF!,12,0)</f>
        <v>#REF!</v>
      </c>
      <c r="D2426" s="825">
        <f>76.9*$B$2</f>
        <v>51386.887000000002</v>
      </c>
      <c r="E2426" s="823" t="e">
        <f t="shared" si="285"/>
        <v>#REF!</v>
      </c>
      <c r="F2426" s="882"/>
      <c r="G2426" s="821" t="s">
        <v>401</v>
      </c>
      <c r="H2426" s="980" t="s">
        <v>561</v>
      </c>
      <c r="I2426" s="879" t="e">
        <f>VLOOKUP(H2422,'CNKT '!#REF!,12,0)</f>
        <v>#REF!</v>
      </c>
      <c r="J2426" s="825">
        <f>76.9*$B$2</f>
        <v>51386.887000000002</v>
      </c>
      <c r="K2426" s="823" t="e">
        <f t="shared" si="286"/>
        <v>#REF!</v>
      </c>
      <c r="L2426" s="818"/>
    </row>
    <row r="2427" spans="1:12" s="31" customFormat="1" ht="17.25" customHeight="1">
      <c r="A2427" s="821" t="s">
        <v>80</v>
      </c>
      <c r="B2427" s="980" t="s">
        <v>562</v>
      </c>
      <c r="C2427" s="879" t="e">
        <f>VLOOKUP(B2422,'CNKT '!#REF!,8,0)</f>
        <v>#REF!</v>
      </c>
      <c r="D2427" s="825" t="e">
        <f>IF(C2423="A",6.1,IF(C2423="B",5.8,IF(C2423="C",5.5,IF(C2423="C.",5.5,IF(C2423="D",5.2)))))*$B$2</f>
        <v>#REF!</v>
      </c>
      <c r="E2427" s="823" t="e">
        <f t="shared" si="285"/>
        <v>#REF!</v>
      </c>
      <c r="F2427" s="882"/>
      <c r="G2427" s="821" t="s">
        <v>80</v>
      </c>
      <c r="H2427" s="980" t="s">
        <v>562</v>
      </c>
      <c r="I2427" s="879" t="e">
        <f>VLOOKUP(H2422,'CNKT '!#REF!,8,0)</f>
        <v>#REF!</v>
      </c>
      <c r="J2427" s="825" t="e">
        <f>IF(I2423="A",6.1,IF(I2423="B",5.8,IF(I2423="C",5.5,IF(I2423="C.",5.5,IF(I2423="D",5.2)))))*$B$2</f>
        <v>#REF!</v>
      </c>
      <c r="K2427" s="823" t="e">
        <f t="shared" si="286"/>
        <v>#REF!</v>
      </c>
      <c r="L2427" s="818"/>
    </row>
    <row r="2428" spans="1:12" s="31" customFormat="1" ht="17.25" customHeight="1">
      <c r="A2428" s="821" t="s">
        <v>447</v>
      </c>
      <c r="B2428" s="980" t="s">
        <v>563</v>
      </c>
      <c r="C2428" s="879" t="e">
        <f>VLOOKUP(B2422,'CNKT '!#REF!,15,0)</f>
        <v>#REF!</v>
      </c>
      <c r="D2428" s="826">
        <f>92.2*$B$2</f>
        <v>61610.806000000004</v>
      </c>
      <c r="E2428" s="823" t="e">
        <f t="shared" si="285"/>
        <v>#REF!</v>
      </c>
      <c r="F2428" s="882"/>
      <c r="G2428" s="821" t="s">
        <v>447</v>
      </c>
      <c r="H2428" s="980" t="s">
        <v>563</v>
      </c>
      <c r="I2428" s="879" t="e">
        <f>VLOOKUP(H2422,'CNKT '!#REF!,15,0)</f>
        <v>#REF!</v>
      </c>
      <c r="J2428" s="826">
        <f>92.2*$B$2</f>
        <v>61610.806000000004</v>
      </c>
      <c r="K2428" s="823" t="e">
        <f t="shared" si="286"/>
        <v>#REF!</v>
      </c>
      <c r="L2428" s="818"/>
    </row>
    <row r="2429" spans="1:12" s="31" customFormat="1" ht="17.25" customHeight="1">
      <c r="A2429" s="821" t="s">
        <v>448</v>
      </c>
      <c r="B2429" s="980" t="s">
        <v>500</v>
      </c>
      <c r="C2429" s="879" t="e">
        <f>VLOOKUP(B2422,'CNKT '!#REF!,14,0)</f>
        <v>#REF!</v>
      </c>
      <c r="D2429" s="825">
        <f>153.6*$B$2</f>
        <v>102640.128</v>
      </c>
      <c r="E2429" s="823" t="e">
        <f t="shared" si="285"/>
        <v>#REF!</v>
      </c>
      <c r="F2429" s="882"/>
      <c r="G2429" s="821" t="s">
        <v>448</v>
      </c>
      <c r="H2429" s="980" t="s">
        <v>500</v>
      </c>
      <c r="I2429" s="879" t="e">
        <f>VLOOKUP(H2422,'CNKT '!#REF!,14,0)</f>
        <v>#REF!</v>
      </c>
      <c r="J2429" s="825">
        <f>153.6*$B$2</f>
        <v>102640.128</v>
      </c>
      <c r="K2429" s="823" t="e">
        <f t="shared" si="286"/>
        <v>#REF!</v>
      </c>
      <c r="L2429" s="818"/>
    </row>
    <row r="2430" spans="1:12" s="31" customFormat="1" ht="17.25" customHeight="1">
      <c r="A2430" s="821" t="s">
        <v>455</v>
      </c>
      <c r="B2430" s="980" t="s">
        <v>501</v>
      </c>
      <c r="C2430" s="879" t="e">
        <f>VLOOKUP(B2422,'CNKT '!#REF!,18,0)</f>
        <v>#REF!</v>
      </c>
      <c r="D2430" s="825">
        <v>10000</v>
      </c>
      <c r="E2430" s="823" t="e">
        <f>C2430*D2430</f>
        <v>#REF!</v>
      </c>
      <c r="F2430" s="882"/>
      <c r="G2430" s="821" t="s">
        <v>455</v>
      </c>
      <c r="H2430" s="980" t="s">
        <v>501</v>
      </c>
      <c r="I2430" s="879" t="e">
        <f>VLOOKUP(H2422,'CNKT '!#REF!,18,0)</f>
        <v>#REF!</v>
      </c>
      <c r="J2430" s="825">
        <v>10000</v>
      </c>
      <c r="K2430" s="823" t="e">
        <f>I2430*J2430</f>
        <v>#REF!</v>
      </c>
      <c r="L2430" s="818"/>
    </row>
    <row r="2431" spans="1:12" s="31" customFormat="1" ht="17.25" customHeight="1">
      <c r="A2431" s="821" t="s">
        <v>455</v>
      </c>
      <c r="B2431" s="980" t="s">
        <v>501</v>
      </c>
      <c r="C2431" s="879" t="e">
        <f>VLOOKUP(B2422,'CNKT '!#REF!,19,0)</f>
        <v>#REF!</v>
      </c>
      <c r="D2431" s="825">
        <v>20000</v>
      </c>
      <c r="E2431" s="823" t="e">
        <f>C2431*D2431</f>
        <v>#REF!</v>
      </c>
      <c r="F2431" s="882"/>
      <c r="G2431" s="821" t="s">
        <v>455</v>
      </c>
      <c r="H2431" s="980" t="s">
        <v>501</v>
      </c>
      <c r="I2431" s="879" t="e">
        <f>VLOOKUP(H2422,'CNKT '!#REF!,19,0)</f>
        <v>#REF!</v>
      </c>
      <c r="J2431" s="825">
        <v>20000</v>
      </c>
      <c r="K2431" s="823" t="e">
        <f>I2431*J2431</f>
        <v>#REF!</v>
      </c>
      <c r="L2431" s="818"/>
    </row>
    <row r="2432" spans="1:12" s="31" customFormat="1" ht="17.25" customHeight="1">
      <c r="A2432" s="827" t="s">
        <v>81</v>
      </c>
      <c r="B2432" s="981" t="s">
        <v>564</v>
      </c>
      <c r="C2432" s="828"/>
      <c r="D2432" s="829"/>
      <c r="E2432" s="828"/>
      <c r="F2432" s="882"/>
      <c r="G2432" s="827" t="s">
        <v>81</v>
      </c>
      <c r="H2432" s="981" t="s">
        <v>564</v>
      </c>
      <c r="I2432" s="828"/>
      <c r="J2432" s="829"/>
      <c r="K2432" s="828"/>
      <c r="L2432" s="818"/>
    </row>
    <row r="2433" spans="1:12" s="31" customFormat="1" ht="17.25" customHeight="1">
      <c r="A2433" s="830" t="s">
        <v>82</v>
      </c>
      <c r="B2433" s="982" t="s">
        <v>565</v>
      </c>
      <c r="C2433" s="828"/>
      <c r="D2433" s="828"/>
      <c r="E2433" s="828"/>
      <c r="F2433" s="882"/>
      <c r="G2433" s="830" t="s">
        <v>82</v>
      </c>
      <c r="H2433" s="982" t="s">
        <v>565</v>
      </c>
      <c r="I2433" s="828"/>
      <c r="J2433" s="828"/>
      <c r="K2433" s="828"/>
      <c r="L2433" s="818"/>
    </row>
    <row r="2434" spans="1:12" s="31" customFormat="1" ht="17.25" customHeight="1">
      <c r="A2434" s="830" t="s">
        <v>83</v>
      </c>
      <c r="B2434" s="983" t="s">
        <v>566</v>
      </c>
      <c r="C2434" s="828"/>
      <c r="D2434" s="828"/>
      <c r="E2434" s="823">
        <f>SUM(E2433)</f>
        <v>0</v>
      </c>
      <c r="F2434" s="869"/>
      <c r="G2434" s="830" t="s">
        <v>83</v>
      </c>
      <c r="H2434" s="983" t="s">
        <v>566</v>
      </c>
      <c r="I2434" s="828"/>
      <c r="J2434" s="828"/>
      <c r="K2434" s="823">
        <f>SUM(K2433)</f>
        <v>0</v>
      </c>
      <c r="L2434" s="818"/>
    </row>
    <row r="2435" spans="1:12" s="31" customFormat="1" ht="17.25" customHeight="1">
      <c r="A2435" s="832" t="s">
        <v>84</v>
      </c>
      <c r="B2435" s="984" t="s">
        <v>438</v>
      </c>
      <c r="C2435" s="833"/>
      <c r="D2435" s="833"/>
      <c r="E2435" s="833" t="e">
        <f>(E2424+E2425+E2426+E2427+E2428+E2429+E2430+E2431)-E2434</f>
        <v>#REF!</v>
      </c>
      <c r="F2435" s="869"/>
      <c r="G2435" s="832" t="s">
        <v>84</v>
      </c>
      <c r="H2435" s="984" t="s">
        <v>438</v>
      </c>
      <c r="I2435" s="833"/>
      <c r="J2435" s="833"/>
      <c r="K2435" s="833" t="e">
        <f>(K2424+K2425+K2426+K2427+K2428+K2429+K2430+K2431)-K2434</f>
        <v>#REF!</v>
      </c>
      <c r="L2435" s="835" t="e">
        <f>E2435+K2435</f>
        <v>#REF!</v>
      </c>
    </row>
    <row r="2436" spans="1:12" s="31" customFormat="1" ht="17.25" customHeight="1">
      <c r="A2436" s="895"/>
      <c r="B2436" s="895"/>
      <c r="C2436" s="895"/>
      <c r="D2436" s="895"/>
      <c r="E2436" s="895"/>
      <c r="F2436" s="895"/>
      <c r="G2436" s="895"/>
      <c r="H2436" s="895"/>
      <c r="I2436" s="895"/>
      <c r="J2436" s="895"/>
      <c r="K2436" s="895"/>
      <c r="L2436" s="818"/>
    </row>
    <row r="2437" spans="1:12" s="31" customFormat="1" ht="17.25" customHeight="1">
      <c r="A2437" s="891" t="str">
        <f>A2421</f>
        <v>LƯƠNG THÁNG 01/2025</v>
      </c>
      <c r="B2437" s="895"/>
      <c r="C2437" s="895"/>
      <c r="D2437" s="895"/>
      <c r="E2437" s="898" t="e">
        <f>VLOOKUP(B2438,'CNKT '!#REF!,26,0)</f>
        <v>#REF!</v>
      </c>
      <c r="F2437" s="882"/>
      <c r="G2437" s="891" t="str">
        <f>A2437</f>
        <v>LƯƠNG THÁNG 01/2025</v>
      </c>
      <c r="H2437" s="895"/>
      <c r="I2437" s="895"/>
      <c r="J2437" s="898"/>
      <c r="K2437" s="898" t="e">
        <f>VLOOKUP(H2438,'CNKT '!#REF!,26,0)</f>
        <v>#REF!</v>
      </c>
      <c r="L2437" s="818"/>
    </row>
    <row r="2438" spans="1:12" s="31" customFormat="1" ht="17.25" customHeight="1">
      <c r="A2438" s="837" t="s">
        <v>17</v>
      </c>
      <c r="B2438" s="976" t="e">
        <f>'CNKT '!#REF!</f>
        <v>#REF!</v>
      </c>
      <c r="C2438" s="822"/>
      <c r="D2438" s="976" t="s">
        <v>398</v>
      </c>
      <c r="E2438" s="976" t="s">
        <v>20</v>
      </c>
      <c r="F2438" s="882"/>
      <c r="G2438" s="837" t="s">
        <v>17</v>
      </c>
      <c r="H2438" s="976" t="e">
        <f>'CNKT '!#REF!</f>
        <v>#REF!</v>
      </c>
      <c r="I2438" s="822"/>
      <c r="J2438" s="976" t="s">
        <v>398</v>
      </c>
      <c r="K2438" s="976" t="s">
        <v>20</v>
      </c>
      <c r="L2438" s="818"/>
    </row>
    <row r="2439" spans="1:12" s="31" customFormat="1" ht="17.25" customHeight="1">
      <c r="A2439" s="821" t="s">
        <v>399</v>
      </c>
      <c r="B2439" s="978" t="s">
        <v>559</v>
      </c>
      <c r="C2439" s="822" t="e">
        <f>VLOOKUP(B2438,'BTH mủ tạp'!$C$161:$AL$161,36,0)</f>
        <v>#REF!</v>
      </c>
      <c r="D2439" s="823"/>
      <c r="E2439" s="823"/>
      <c r="F2439" s="882"/>
      <c r="G2439" s="821" t="s">
        <v>399</v>
      </c>
      <c r="H2439" s="978" t="s">
        <v>559</v>
      </c>
      <c r="I2439" s="822" t="e">
        <f>VLOOKUP(H2438,'BTH mủ tạp'!$C$161:$AL$161,36,0)</f>
        <v>#REF!</v>
      </c>
      <c r="J2439" s="823"/>
      <c r="K2439" s="823"/>
      <c r="L2439" s="818"/>
    </row>
    <row r="2440" spans="1:12" s="31" customFormat="1" ht="17.25" customHeight="1">
      <c r="A2440" s="821" t="s">
        <v>79</v>
      </c>
      <c r="B2440" s="979" t="s">
        <v>432</v>
      </c>
      <c r="C2440" s="824" t="e">
        <f>VLOOKUP(B2438,'CNKT '!#REF!,3,0)</f>
        <v>#REF!</v>
      </c>
      <c r="D2440" s="825">
        <v>25000</v>
      </c>
      <c r="E2440" s="823" t="e">
        <f t="shared" ref="E2440:E2445" si="287">C2440*D2440</f>
        <v>#REF!</v>
      </c>
      <c r="F2440" s="882"/>
      <c r="G2440" s="821" t="s">
        <v>79</v>
      </c>
      <c r="H2440" s="979" t="s">
        <v>432</v>
      </c>
      <c r="I2440" s="824" t="e">
        <f>VLOOKUP(H2438,'CNKT '!#REF!,3,0)</f>
        <v>#REF!</v>
      </c>
      <c r="J2440" s="825">
        <v>25000</v>
      </c>
      <c r="K2440" s="823" t="e">
        <f t="shared" ref="K2440:K2445" si="288">I2440*J2440</f>
        <v>#REF!</v>
      </c>
      <c r="L2440" s="818"/>
    </row>
    <row r="2441" spans="1:12" s="31" customFormat="1" ht="17.25" customHeight="1">
      <c r="A2441" s="821" t="s">
        <v>310</v>
      </c>
      <c r="B2441" s="980" t="s">
        <v>560</v>
      </c>
      <c r="C2441" s="879" t="e">
        <f>VLOOKUP(B2438,'CNKT '!#REF!,11,0)</f>
        <v>#REF!</v>
      </c>
      <c r="D2441" s="826">
        <f>46.1*$B$2</f>
        <v>30805.403000000002</v>
      </c>
      <c r="E2441" s="823" t="e">
        <f t="shared" si="287"/>
        <v>#REF!</v>
      </c>
      <c r="F2441" s="882"/>
      <c r="G2441" s="821" t="s">
        <v>310</v>
      </c>
      <c r="H2441" s="980" t="s">
        <v>560</v>
      </c>
      <c r="I2441" s="879" t="e">
        <f>VLOOKUP(H2438,'CNKT '!#REF!,11,0)</f>
        <v>#REF!</v>
      </c>
      <c r="J2441" s="826">
        <f>46.1*$B$2</f>
        <v>30805.403000000002</v>
      </c>
      <c r="K2441" s="823" t="e">
        <f t="shared" si="288"/>
        <v>#REF!</v>
      </c>
      <c r="L2441" s="818"/>
    </row>
    <row r="2442" spans="1:12" s="31" customFormat="1" ht="17.25" customHeight="1">
      <c r="A2442" s="821" t="s">
        <v>401</v>
      </c>
      <c r="B2442" s="980" t="s">
        <v>561</v>
      </c>
      <c r="C2442" s="879" t="e">
        <f>VLOOKUP(B2438,'CNKT '!#REF!,12,0)</f>
        <v>#REF!</v>
      </c>
      <c r="D2442" s="825">
        <f>76.9*$B$2</f>
        <v>51386.887000000002</v>
      </c>
      <c r="E2442" s="823" t="e">
        <f t="shared" si="287"/>
        <v>#REF!</v>
      </c>
      <c r="F2442" s="882"/>
      <c r="G2442" s="821" t="s">
        <v>401</v>
      </c>
      <c r="H2442" s="980" t="s">
        <v>561</v>
      </c>
      <c r="I2442" s="879" t="e">
        <f>VLOOKUP(H2438,'CNKT '!#REF!,12,0)</f>
        <v>#REF!</v>
      </c>
      <c r="J2442" s="825">
        <f>76.9*$B$2</f>
        <v>51386.887000000002</v>
      </c>
      <c r="K2442" s="823" t="e">
        <f t="shared" si="288"/>
        <v>#REF!</v>
      </c>
      <c r="L2442" s="818"/>
    </row>
    <row r="2443" spans="1:12" s="31" customFormat="1" ht="17.25" customHeight="1">
      <c r="A2443" s="821" t="s">
        <v>80</v>
      </c>
      <c r="B2443" s="980" t="s">
        <v>562</v>
      </c>
      <c r="C2443" s="879" t="e">
        <f>VLOOKUP(B2438,'CNKT '!#REF!,8,0)</f>
        <v>#REF!</v>
      </c>
      <c r="D2443" s="825" t="e">
        <f>IF(C2439="A",6.1,IF(C2439="B",5.8,IF(C2439="C",5.5,IF(C2439="C.",5.5,IF(C2439="D",5.2)))))*$B$2</f>
        <v>#REF!</v>
      </c>
      <c r="E2443" s="823" t="e">
        <f t="shared" si="287"/>
        <v>#REF!</v>
      </c>
      <c r="F2443" s="882"/>
      <c r="G2443" s="821" t="s">
        <v>80</v>
      </c>
      <c r="H2443" s="980" t="s">
        <v>562</v>
      </c>
      <c r="I2443" s="879" t="e">
        <f>VLOOKUP(H2438,'CNKT '!#REF!,8,0)</f>
        <v>#REF!</v>
      </c>
      <c r="J2443" s="825" t="e">
        <f>IF(I2439="A",6.1,IF(I2439="B",5.8,IF(I2439="C",5.5,IF(I2439="C.",5.5,IF(I2439="D",5.2)))))*$B$2</f>
        <v>#REF!</v>
      </c>
      <c r="K2443" s="823" t="e">
        <f t="shared" si="288"/>
        <v>#REF!</v>
      </c>
      <c r="L2443" s="818"/>
    </row>
    <row r="2444" spans="1:12" s="31" customFormat="1" ht="17.25" customHeight="1">
      <c r="A2444" s="821" t="s">
        <v>447</v>
      </c>
      <c r="B2444" s="980" t="s">
        <v>563</v>
      </c>
      <c r="C2444" s="879" t="e">
        <f>VLOOKUP(B2438,'CNKT '!#REF!,15,0)</f>
        <v>#REF!</v>
      </c>
      <c r="D2444" s="826">
        <f>92.2*$B$2</f>
        <v>61610.806000000004</v>
      </c>
      <c r="E2444" s="823" t="e">
        <f t="shared" si="287"/>
        <v>#REF!</v>
      </c>
      <c r="F2444" s="882"/>
      <c r="G2444" s="821" t="s">
        <v>447</v>
      </c>
      <c r="H2444" s="980" t="s">
        <v>563</v>
      </c>
      <c r="I2444" s="879" t="e">
        <f>VLOOKUP(H2438,'CNKT '!#REF!,15,0)</f>
        <v>#REF!</v>
      </c>
      <c r="J2444" s="826">
        <f>92.2*$B$2</f>
        <v>61610.806000000004</v>
      </c>
      <c r="K2444" s="823" t="e">
        <f t="shared" si="288"/>
        <v>#REF!</v>
      </c>
      <c r="L2444" s="818"/>
    </row>
    <row r="2445" spans="1:12" s="31" customFormat="1" ht="17.25" customHeight="1">
      <c r="A2445" s="821" t="s">
        <v>448</v>
      </c>
      <c r="B2445" s="980" t="s">
        <v>500</v>
      </c>
      <c r="C2445" s="879" t="e">
        <f>VLOOKUP(B2438,'CNKT '!#REF!,14,0)</f>
        <v>#REF!</v>
      </c>
      <c r="D2445" s="825">
        <f>153.6*$B$2</f>
        <v>102640.128</v>
      </c>
      <c r="E2445" s="823" t="e">
        <f t="shared" si="287"/>
        <v>#REF!</v>
      </c>
      <c r="F2445" s="882"/>
      <c r="G2445" s="821" t="s">
        <v>448</v>
      </c>
      <c r="H2445" s="980" t="s">
        <v>500</v>
      </c>
      <c r="I2445" s="879" t="e">
        <f>VLOOKUP(H2438,'CNKT '!#REF!,14,0)</f>
        <v>#REF!</v>
      </c>
      <c r="J2445" s="825">
        <f>153.6*$B$2</f>
        <v>102640.128</v>
      </c>
      <c r="K2445" s="823" t="e">
        <f t="shared" si="288"/>
        <v>#REF!</v>
      </c>
      <c r="L2445" s="818"/>
    </row>
    <row r="2446" spans="1:12" s="31" customFormat="1" ht="17.25" customHeight="1">
      <c r="A2446" s="821" t="s">
        <v>455</v>
      </c>
      <c r="B2446" s="980" t="s">
        <v>501</v>
      </c>
      <c r="C2446" s="879" t="e">
        <f>VLOOKUP(B2438,'CNKT '!#REF!,18,0)</f>
        <v>#REF!</v>
      </c>
      <c r="D2446" s="825">
        <v>10000</v>
      </c>
      <c r="E2446" s="823" t="e">
        <f>C2446*D2446</f>
        <v>#REF!</v>
      </c>
      <c r="F2446" s="882"/>
      <c r="G2446" s="821" t="s">
        <v>455</v>
      </c>
      <c r="H2446" s="980" t="s">
        <v>501</v>
      </c>
      <c r="I2446" s="879" t="e">
        <f>VLOOKUP(H2438,'CNKT '!#REF!,18,0)</f>
        <v>#REF!</v>
      </c>
      <c r="J2446" s="825">
        <v>10000</v>
      </c>
      <c r="K2446" s="823" t="e">
        <f>I2446*J2446</f>
        <v>#REF!</v>
      </c>
      <c r="L2446" s="818"/>
    </row>
    <row r="2447" spans="1:12" s="31" customFormat="1" ht="17.25" customHeight="1">
      <c r="A2447" s="821" t="s">
        <v>455</v>
      </c>
      <c r="B2447" s="980" t="s">
        <v>501</v>
      </c>
      <c r="C2447" s="879" t="e">
        <f>VLOOKUP(B2438,'CNKT '!#REF!,19,0)</f>
        <v>#REF!</v>
      </c>
      <c r="D2447" s="825">
        <v>20000</v>
      </c>
      <c r="E2447" s="823" t="e">
        <f>C2447*D2447</f>
        <v>#REF!</v>
      </c>
      <c r="F2447" s="882"/>
      <c r="G2447" s="821" t="s">
        <v>455</v>
      </c>
      <c r="H2447" s="980" t="s">
        <v>501</v>
      </c>
      <c r="I2447" s="879" t="e">
        <f>VLOOKUP(H2438,'CNKT '!#REF!,19,0)</f>
        <v>#REF!</v>
      </c>
      <c r="J2447" s="825">
        <v>20000</v>
      </c>
      <c r="K2447" s="823" t="e">
        <f>I2447*J2447</f>
        <v>#REF!</v>
      </c>
      <c r="L2447" s="818"/>
    </row>
    <row r="2448" spans="1:12" s="31" customFormat="1" ht="17.25" customHeight="1">
      <c r="A2448" s="827" t="s">
        <v>81</v>
      </c>
      <c r="B2448" s="981" t="s">
        <v>564</v>
      </c>
      <c r="C2448" s="828"/>
      <c r="D2448" s="829"/>
      <c r="E2448" s="828"/>
      <c r="F2448" s="882"/>
      <c r="G2448" s="827" t="s">
        <v>81</v>
      </c>
      <c r="H2448" s="981" t="s">
        <v>564</v>
      </c>
      <c r="I2448" s="828"/>
      <c r="J2448" s="829"/>
      <c r="K2448" s="828"/>
      <c r="L2448" s="818"/>
    </row>
    <row r="2449" spans="1:12" s="31" customFormat="1" ht="17.25" customHeight="1">
      <c r="A2449" s="830" t="s">
        <v>82</v>
      </c>
      <c r="B2449" s="982" t="s">
        <v>565</v>
      </c>
      <c r="C2449" s="828"/>
      <c r="D2449" s="828"/>
      <c r="E2449" s="828"/>
      <c r="F2449" s="882"/>
      <c r="G2449" s="830" t="s">
        <v>82</v>
      </c>
      <c r="H2449" s="982" t="s">
        <v>565</v>
      </c>
      <c r="I2449" s="828"/>
      <c r="J2449" s="828"/>
      <c r="K2449" s="828"/>
      <c r="L2449" s="818"/>
    </row>
    <row r="2450" spans="1:12" s="31" customFormat="1" ht="17.25" customHeight="1">
      <c r="A2450" s="830" t="s">
        <v>83</v>
      </c>
      <c r="B2450" s="983" t="s">
        <v>566</v>
      </c>
      <c r="C2450" s="828"/>
      <c r="D2450" s="828"/>
      <c r="E2450" s="823">
        <f>SUM(E2449)</f>
        <v>0</v>
      </c>
      <c r="F2450" s="869"/>
      <c r="G2450" s="830" t="s">
        <v>83</v>
      </c>
      <c r="H2450" s="983" t="s">
        <v>566</v>
      </c>
      <c r="I2450" s="828"/>
      <c r="J2450" s="828"/>
      <c r="K2450" s="823">
        <f>SUM(K2449)</f>
        <v>0</v>
      </c>
      <c r="L2450" s="835"/>
    </row>
    <row r="2451" spans="1:12" s="31" customFormat="1" ht="17.25" customHeight="1">
      <c r="A2451" s="832" t="s">
        <v>84</v>
      </c>
      <c r="B2451" s="984" t="s">
        <v>438</v>
      </c>
      <c r="C2451" s="833"/>
      <c r="D2451" s="833"/>
      <c r="E2451" s="833" t="e">
        <f>(E2440+E2441+E2442+E2443+E2444+E2445+E2446+E2447)-E2450</f>
        <v>#REF!</v>
      </c>
      <c r="F2451" s="869"/>
      <c r="G2451" s="832" t="s">
        <v>84</v>
      </c>
      <c r="H2451" s="984" t="s">
        <v>438</v>
      </c>
      <c r="I2451" s="833"/>
      <c r="J2451" s="833"/>
      <c r="K2451" s="833" t="e">
        <f>(K2440+K2441+K2442+K2443+K2444+K2445+K2446+K2447)-K2450</f>
        <v>#REF!</v>
      </c>
      <c r="L2451" s="835" t="e">
        <f>E2451+K2451</f>
        <v>#REF!</v>
      </c>
    </row>
    <row r="2452" spans="1:12" s="31" customFormat="1" ht="17.25" customHeight="1">
      <c r="A2452" s="895"/>
      <c r="B2452" s="895"/>
      <c r="C2452" s="895"/>
      <c r="D2452" s="895"/>
      <c r="E2452" s="895"/>
      <c r="F2452" s="895"/>
      <c r="G2452" s="895"/>
      <c r="H2452" s="895"/>
      <c r="I2452" s="895"/>
      <c r="J2452" s="895"/>
      <c r="K2452" s="895"/>
      <c r="L2452" s="835"/>
    </row>
    <row r="2453" spans="1:12" s="31" customFormat="1" ht="17.25" customHeight="1">
      <c r="A2453" s="891" t="str">
        <f>A2437</f>
        <v>LƯƠNG THÁNG 01/2025</v>
      </c>
      <c r="B2453" s="895"/>
      <c r="C2453" s="895"/>
      <c r="D2453" s="895"/>
      <c r="E2453" s="898" t="e">
        <f>VLOOKUP(B2454,'CNKT '!#REF!,26,0)</f>
        <v>#REF!</v>
      </c>
      <c r="F2453" s="882"/>
      <c r="G2453" s="891" t="str">
        <f>A2453</f>
        <v>LƯƠNG THÁNG 01/2025</v>
      </c>
      <c r="H2453" s="895"/>
      <c r="I2453" s="895"/>
      <c r="J2453" s="898"/>
      <c r="K2453" s="898" t="e">
        <f>VLOOKUP(H2454,'CNKT '!#REF!,26,0)</f>
        <v>#REF!</v>
      </c>
      <c r="L2453" s="835"/>
    </row>
    <row r="2454" spans="1:12" s="31" customFormat="1" ht="17.25" customHeight="1">
      <c r="A2454" s="837" t="s">
        <v>17</v>
      </c>
      <c r="B2454" s="976" t="e">
        <f>'CNKT '!#REF!</f>
        <v>#REF!</v>
      </c>
      <c r="C2454" s="822"/>
      <c r="D2454" s="976" t="s">
        <v>398</v>
      </c>
      <c r="E2454" s="976" t="s">
        <v>20</v>
      </c>
      <c r="F2454" s="882"/>
      <c r="G2454" s="837" t="s">
        <v>17</v>
      </c>
      <c r="H2454" s="976" t="e">
        <f>'CNKT '!#REF!</f>
        <v>#REF!</v>
      </c>
      <c r="I2454" s="822"/>
      <c r="J2454" s="976" t="s">
        <v>398</v>
      </c>
      <c r="K2454" s="976" t="s">
        <v>20</v>
      </c>
      <c r="L2454" s="818"/>
    </row>
    <row r="2455" spans="1:12" s="31" customFormat="1" ht="17.25" customHeight="1">
      <c r="A2455" s="821" t="s">
        <v>399</v>
      </c>
      <c r="B2455" s="978" t="s">
        <v>559</v>
      </c>
      <c r="C2455" s="822" t="e">
        <f>VLOOKUP(B2454,'BTH mủ tạp'!$C$161:$AL$161,36,0)</f>
        <v>#REF!</v>
      </c>
      <c r="D2455" s="823"/>
      <c r="E2455" s="823"/>
      <c r="F2455" s="882"/>
      <c r="G2455" s="821" t="s">
        <v>399</v>
      </c>
      <c r="H2455" s="978" t="s">
        <v>559</v>
      </c>
      <c r="I2455" s="822" t="e">
        <f>VLOOKUP(H2454,'BTH mủ tạp'!$C$161:$AL$161,36,0)</f>
        <v>#REF!</v>
      </c>
      <c r="J2455" s="823"/>
      <c r="K2455" s="823"/>
      <c r="L2455" s="818"/>
    </row>
    <row r="2456" spans="1:12" s="31" customFormat="1" ht="17.25" customHeight="1">
      <c r="A2456" s="821" t="s">
        <v>79</v>
      </c>
      <c r="B2456" s="979" t="s">
        <v>432</v>
      </c>
      <c r="C2456" s="824" t="e">
        <f>VLOOKUP(B2454,'CNKT '!#REF!,3,0)</f>
        <v>#REF!</v>
      </c>
      <c r="D2456" s="825">
        <v>25000</v>
      </c>
      <c r="E2456" s="823" t="e">
        <f t="shared" ref="E2456:E2461" si="289">C2456*D2456</f>
        <v>#REF!</v>
      </c>
      <c r="F2456" s="882"/>
      <c r="G2456" s="821" t="s">
        <v>79</v>
      </c>
      <c r="H2456" s="979" t="s">
        <v>432</v>
      </c>
      <c r="I2456" s="824" t="e">
        <f>VLOOKUP(H2454,'CNKT '!#REF!,3,0)</f>
        <v>#REF!</v>
      </c>
      <c r="J2456" s="825">
        <v>25000</v>
      </c>
      <c r="K2456" s="823" t="e">
        <f t="shared" ref="K2456:K2461" si="290">I2456*J2456</f>
        <v>#REF!</v>
      </c>
      <c r="L2456" s="818"/>
    </row>
    <row r="2457" spans="1:12" s="31" customFormat="1" ht="17.25" customHeight="1">
      <c r="A2457" s="821" t="s">
        <v>310</v>
      </c>
      <c r="B2457" s="980" t="s">
        <v>560</v>
      </c>
      <c r="C2457" s="879" t="e">
        <f>VLOOKUP(B2454,'CNKT '!#REF!,11,0)</f>
        <v>#REF!</v>
      </c>
      <c r="D2457" s="826">
        <f>46.1*$B$2</f>
        <v>30805.403000000002</v>
      </c>
      <c r="E2457" s="823" t="e">
        <f t="shared" si="289"/>
        <v>#REF!</v>
      </c>
      <c r="F2457" s="882"/>
      <c r="G2457" s="821" t="s">
        <v>310</v>
      </c>
      <c r="H2457" s="980" t="s">
        <v>560</v>
      </c>
      <c r="I2457" s="879" t="e">
        <f>VLOOKUP(H2454,'CNKT '!#REF!,11,0)</f>
        <v>#REF!</v>
      </c>
      <c r="J2457" s="826">
        <f>46.1*$B$2</f>
        <v>30805.403000000002</v>
      </c>
      <c r="K2457" s="823" t="e">
        <f t="shared" si="290"/>
        <v>#REF!</v>
      </c>
      <c r="L2457" s="818"/>
    </row>
    <row r="2458" spans="1:12" s="31" customFormat="1" ht="17.25" customHeight="1">
      <c r="A2458" s="821" t="s">
        <v>401</v>
      </c>
      <c r="B2458" s="980" t="s">
        <v>561</v>
      </c>
      <c r="C2458" s="879" t="e">
        <f>VLOOKUP(B2454,'CNKT '!#REF!,12,0)</f>
        <v>#REF!</v>
      </c>
      <c r="D2458" s="825">
        <f>76.9*$B$2</f>
        <v>51386.887000000002</v>
      </c>
      <c r="E2458" s="823" t="e">
        <f t="shared" si="289"/>
        <v>#REF!</v>
      </c>
      <c r="F2458" s="882"/>
      <c r="G2458" s="821" t="s">
        <v>401</v>
      </c>
      <c r="H2458" s="980" t="s">
        <v>561</v>
      </c>
      <c r="I2458" s="879" t="e">
        <f>VLOOKUP(H2454,'CNKT '!#REF!,12,0)</f>
        <v>#REF!</v>
      </c>
      <c r="J2458" s="825">
        <f>76.9*$B$2</f>
        <v>51386.887000000002</v>
      </c>
      <c r="K2458" s="823" t="e">
        <f t="shared" si="290"/>
        <v>#REF!</v>
      </c>
      <c r="L2458" s="818"/>
    </row>
    <row r="2459" spans="1:12" s="31" customFormat="1" ht="17.25" customHeight="1">
      <c r="A2459" s="821" t="s">
        <v>80</v>
      </c>
      <c r="B2459" s="980" t="s">
        <v>562</v>
      </c>
      <c r="C2459" s="879" t="e">
        <f>VLOOKUP(B2454,'CNKT '!#REF!,8,0)</f>
        <v>#REF!</v>
      </c>
      <c r="D2459" s="825" t="e">
        <f>IF(C2455="A",6.1,IF(C2455="B",5.8,IF(C2455="C",5.5,IF(C2455="C.",5.5,IF(C2455="D",5.2)))))*$B$2</f>
        <v>#REF!</v>
      </c>
      <c r="E2459" s="823" t="e">
        <f t="shared" si="289"/>
        <v>#REF!</v>
      </c>
      <c r="F2459" s="882"/>
      <c r="G2459" s="821" t="s">
        <v>80</v>
      </c>
      <c r="H2459" s="980" t="s">
        <v>562</v>
      </c>
      <c r="I2459" s="879" t="e">
        <f>VLOOKUP(H2454,'CNKT '!#REF!,8,0)</f>
        <v>#REF!</v>
      </c>
      <c r="J2459" s="825" t="e">
        <f>IF(I2455="A",6.1,IF(I2455="B",5.8,IF(I2455="C",5.5,IF(I2455="C.",5.5,IF(I2455="D",5.2)))))*$B$2</f>
        <v>#REF!</v>
      </c>
      <c r="K2459" s="823" t="e">
        <f t="shared" si="290"/>
        <v>#REF!</v>
      </c>
      <c r="L2459" s="818"/>
    </row>
    <row r="2460" spans="1:12" s="31" customFormat="1" ht="17.25" customHeight="1">
      <c r="A2460" s="821" t="s">
        <v>447</v>
      </c>
      <c r="B2460" s="980" t="s">
        <v>563</v>
      </c>
      <c r="C2460" s="879" t="e">
        <f>VLOOKUP(B2454,'CNKT '!#REF!,15,0)</f>
        <v>#REF!</v>
      </c>
      <c r="D2460" s="826">
        <f>92.2*$B$2</f>
        <v>61610.806000000004</v>
      </c>
      <c r="E2460" s="823" t="e">
        <f t="shared" si="289"/>
        <v>#REF!</v>
      </c>
      <c r="F2460" s="882"/>
      <c r="G2460" s="821" t="s">
        <v>447</v>
      </c>
      <c r="H2460" s="980" t="s">
        <v>563</v>
      </c>
      <c r="I2460" s="879" t="e">
        <f>VLOOKUP(H2454,'CNKT '!#REF!,15,0)</f>
        <v>#REF!</v>
      </c>
      <c r="J2460" s="826">
        <f>92.2*$B$2</f>
        <v>61610.806000000004</v>
      </c>
      <c r="K2460" s="823" t="e">
        <f t="shared" si="290"/>
        <v>#REF!</v>
      </c>
      <c r="L2460" s="818"/>
    </row>
    <row r="2461" spans="1:12" s="31" customFormat="1" ht="17.25" customHeight="1">
      <c r="A2461" s="821" t="s">
        <v>448</v>
      </c>
      <c r="B2461" s="980" t="s">
        <v>500</v>
      </c>
      <c r="C2461" s="879" t="e">
        <f>VLOOKUP(B2454,'CNKT '!#REF!,14,0)</f>
        <v>#REF!</v>
      </c>
      <c r="D2461" s="825">
        <f>153.6*$B$2</f>
        <v>102640.128</v>
      </c>
      <c r="E2461" s="823" t="e">
        <f t="shared" si="289"/>
        <v>#REF!</v>
      </c>
      <c r="F2461" s="882"/>
      <c r="G2461" s="821" t="s">
        <v>448</v>
      </c>
      <c r="H2461" s="980" t="s">
        <v>500</v>
      </c>
      <c r="I2461" s="879" t="e">
        <f>VLOOKUP(H2454,'CNKT '!#REF!,14,0)</f>
        <v>#REF!</v>
      </c>
      <c r="J2461" s="825">
        <f>153.6*$B$2</f>
        <v>102640.128</v>
      </c>
      <c r="K2461" s="823" t="e">
        <f t="shared" si="290"/>
        <v>#REF!</v>
      </c>
      <c r="L2461" s="818"/>
    </row>
    <row r="2462" spans="1:12" s="31" customFormat="1" ht="17.25" customHeight="1">
      <c r="A2462" s="821" t="s">
        <v>455</v>
      </c>
      <c r="B2462" s="980" t="s">
        <v>501</v>
      </c>
      <c r="C2462" s="879" t="e">
        <f>VLOOKUP(B2454,'CNKT '!#REF!,18,0)</f>
        <v>#REF!</v>
      </c>
      <c r="D2462" s="825">
        <v>10000</v>
      </c>
      <c r="E2462" s="823" t="e">
        <f>C2462*D2462</f>
        <v>#REF!</v>
      </c>
      <c r="F2462" s="882"/>
      <c r="G2462" s="821" t="s">
        <v>455</v>
      </c>
      <c r="H2462" s="980" t="s">
        <v>501</v>
      </c>
      <c r="I2462" s="879" t="e">
        <f>VLOOKUP(H2454,'CNKT '!#REF!,18,0)</f>
        <v>#REF!</v>
      </c>
      <c r="J2462" s="825">
        <v>10000</v>
      </c>
      <c r="K2462" s="823" t="e">
        <f>I2462*J2462</f>
        <v>#REF!</v>
      </c>
      <c r="L2462" s="818"/>
    </row>
    <row r="2463" spans="1:12" s="31" customFormat="1" ht="17.25" customHeight="1">
      <c r="A2463" s="821" t="s">
        <v>455</v>
      </c>
      <c r="B2463" s="980" t="s">
        <v>501</v>
      </c>
      <c r="C2463" s="879" t="e">
        <f>VLOOKUP(B2454,'CNKT '!#REF!,19,0)</f>
        <v>#REF!</v>
      </c>
      <c r="D2463" s="825">
        <v>20000</v>
      </c>
      <c r="E2463" s="823" t="e">
        <f>C2463*D2463</f>
        <v>#REF!</v>
      </c>
      <c r="F2463" s="882"/>
      <c r="G2463" s="821" t="s">
        <v>455</v>
      </c>
      <c r="H2463" s="980" t="s">
        <v>501</v>
      </c>
      <c r="I2463" s="879" t="e">
        <f>VLOOKUP(H2454,'CNKT '!#REF!,19,0)</f>
        <v>#REF!</v>
      </c>
      <c r="J2463" s="825">
        <v>20000</v>
      </c>
      <c r="K2463" s="823" t="e">
        <f>I2463*J2463</f>
        <v>#REF!</v>
      </c>
      <c r="L2463" s="818"/>
    </row>
    <row r="2464" spans="1:12" s="31" customFormat="1" ht="17.25" customHeight="1">
      <c r="A2464" s="827" t="s">
        <v>81</v>
      </c>
      <c r="B2464" s="981" t="s">
        <v>564</v>
      </c>
      <c r="C2464" s="828"/>
      <c r="D2464" s="829"/>
      <c r="E2464" s="828"/>
      <c r="F2464" s="882"/>
      <c r="G2464" s="827" t="s">
        <v>81</v>
      </c>
      <c r="H2464" s="981" t="s">
        <v>564</v>
      </c>
      <c r="I2464" s="828"/>
      <c r="J2464" s="829"/>
      <c r="K2464" s="828"/>
      <c r="L2464" s="818"/>
    </row>
    <row r="2465" spans="1:14" s="31" customFormat="1" ht="17.25" customHeight="1">
      <c r="A2465" s="830" t="s">
        <v>82</v>
      </c>
      <c r="B2465" s="982" t="s">
        <v>565</v>
      </c>
      <c r="C2465" s="828"/>
      <c r="D2465" s="828"/>
      <c r="E2465" s="828"/>
      <c r="F2465" s="882"/>
      <c r="G2465" s="830" t="s">
        <v>82</v>
      </c>
      <c r="H2465" s="982" t="s">
        <v>565</v>
      </c>
      <c r="I2465" s="828"/>
      <c r="J2465" s="828"/>
      <c r="K2465" s="828"/>
      <c r="L2465" s="818"/>
    </row>
    <row r="2466" spans="1:14" s="31" customFormat="1" ht="17.25" customHeight="1">
      <c r="A2466" s="830" t="s">
        <v>83</v>
      </c>
      <c r="B2466" s="983" t="s">
        <v>566</v>
      </c>
      <c r="C2466" s="828"/>
      <c r="D2466" s="828"/>
      <c r="E2466" s="823">
        <f>SUM(E2465)</f>
        <v>0</v>
      </c>
      <c r="F2466" s="976"/>
      <c r="G2466" s="830" t="s">
        <v>83</v>
      </c>
      <c r="H2466" s="983" t="s">
        <v>566</v>
      </c>
      <c r="I2466" s="828"/>
      <c r="J2466" s="828"/>
      <c r="K2466" s="823">
        <f>SUM(K2465)</f>
        <v>0</v>
      </c>
      <c r="L2466" s="818"/>
    </row>
    <row r="2467" spans="1:14" s="31" customFormat="1" ht="17.25" customHeight="1">
      <c r="A2467" s="832" t="s">
        <v>84</v>
      </c>
      <c r="B2467" s="984" t="s">
        <v>438</v>
      </c>
      <c r="C2467" s="833"/>
      <c r="D2467" s="833"/>
      <c r="E2467" s="833" t="e">
        <f>(E2456+E2457+E2458+E2459+E2460+E2461+E2462+E2463)-E2466</f>
        <v>#REF!</v>
      </c>
      <c r="F2467" s="976"/>
      <c r="G2467" s="832" t="s">
        <v>84</v>
      </c>
      <c r="H2467" s="984" t="s">
        <v>438</v>
      </c>
      <c r="I2467" s="833"/>
      <c r="J2467" s="833"/>
      <c r="K2467" s="833" t="e">
        <f>(K2456+K2457+K2458+K2459+K2460+K2461+K2462+K2463)-K2466</f>
        <v>#REF!</v>
      </c>
      <c r="L2467" s="835" t="e">
        <f>E2467+K2467</f>
        <v>#REF!</v>
      </c>
    </row>
    <row r="2468" spans="1:14" s="31" customFormat="1" ht="65.25" customHeight="1">
      <c r="A2468" s="895"/>
      <c r="B2468" s="895"/>
      <c r="C2468" s="895"/>
      <c r="D2468" s="895"/>
      <c r="E2468" s="895"/>
      <c r="F2468" s="895"/>
      <c r="G2468" s="895"/>
      <c r="H2468" s="895"/>
      <c r="I2468" s="895"/>
      <c r="J2468" s="895"/>
      <c r="K2468" s="895"/>
      <c r="L2468" s="818"/>
    </row>
    <row r="2469" spans="1:14" s="31" customFormat="1" ht="17.25" customHeight="1">
      <c r="A2469" s="891" t="str">
        <f>A2453</f>
        <v>LƯƠNG THÁNG 01/2025</v>
      </c>
      <c r="B2469" s="895"/>
      <c r="C2469" s="895"/>
      <c r="D2469" s="895"/>
      <c r="E2469" s="898" t="e">
        <f>VLOOKUP(B2470,'CNKT '!#REF!,26,0)</f>
        <v>#REF!</v>
      </c>
      <c r="F2469" s="882"/>
      <c r="G2469" s="891" t="str">
        <f>A2469</f>
        <v>LƯƠNG THÁNG 01/2025</v>
      </c>
      <c r="H2469" s="895"/>
      <c r="I2469" s="895"/>
      <c r="J2469" s="898"/>
      <c r="K2469" s="898" t="e">
        <f>VLOOKUP(H2470,'CNKT '!#REF!,26,0)</f>
        <v>#REF!</v>
      </c>
      <c r="L2469" s="835"/>
      <c r="M2469" s="831"/>
      <c r="N2469" s="831"/>
    </row>
    <row r="2470" spans="1:14" s="31" customFormat="1" ht="17.25" customHeight="1">
      <c r="A2470" s="837" t="s">
        <v>17</v>
      </c>
      <c r="B2470" s="976" t="e">
        <f>'CNKT '!#REF!</f>
        <v>#REF!</v>
      </c>
      <c r="C2470" s="822"/>
      <c r="D2470" s="976" t="s">
        <v>398</v>
      </c>
      <c r="E2470" s="976" t="s">
        <v>20</v>
      </c>
      <c r="F2470" s="882"/>
      <c r="G2470" s="837" t="s">
        <v>17</v>
      </c>
      <c r="H2470" s="976" t="e">
        <f>'CNKT '!#REF!</f>
        <v>#REF!</v>
      </c>
      <c r="I2470" s="822"/>
      <c r="J2470" s="976" t="s">
        <v>398</v>
      </c>
      <c r="K2470" s="976" t="s">
        <v>20</v>
      </c>
      <c r="L2470" s="818"/>
    </row>
    <row r="2471" spans="1:14" s="31" customFormat="1" ht="17.25" customHeight="1">
      <c r="A2471" s="821" t="s">
        <v>399</v>
      </c>
      <c r="B2471" s="978" t="s">
        <v>559</v>
      </c>
      <c r="C2471" s="822" t="e">
        <f>VLOOKUP(B2470,'BTH mủ tạp'!$C$161:$AL$161,36,0)</f>
        <v>#REF!</v>
      </c>
      <c r="D2471" s="823"/>
      <c r="E2471" s="823"/>
      <c r="F2471" s="882"/>
      <c r="G2471" s="821" t="s">
        <v>399</v>
      </c>
      <c r="H2471" s="978" t="s">
        <v>559</v>
      </c>
      <c r="I2471" s="822" t="e">
        <f>VLOOKUP(H2470,'BTH mủ tạp'!$C$161:$AL$161,36,0)</f>
        <v>#REF!</v>
      </c>
      <c r="J2471" s="823"/>
      <c r="K2471" s="823"/>
      <c r="L2471" s="818"/>
    </row>
    <row r="2472" spans="1:14" s="31" customFormat="1" ht="17.25" customHeight="1">
      <c r="A2472" s="821" t="s">
        <v>79</v>
      </c>
      <c r="B2472" s="979" t="s">
        <v>432</v>
      </c>
      <c r="C2472" s="824" t="e">
        <f>VLOOKUP(B2470,'CNKT '!#REF!,3,0)</f>
        <v>#REF!</v>
      </c>
      <c r="D2472" s="825">
        <v>25000</v>
      </c>
      <c r="E2472" s="823" t="e">
        <f t="shared" ref="E2472:E2477" si="291">C2472*D2472</f>
        <v>#REF!</v>
      </c>
      <c r="F2472" s="882"/>
      <c r="G2472" s="821" t="s">
        <v>79</v>
      </c>
      <c r="H2472" s="979" t="s">
        <v>432</v>
      </c>
      <c r="I2472" s="824" t="e">
        <f>VLOOKUP(H2470,'CNKT '!#REF!,3,0)</f>
        <v>#REF!</v>
      </c>
      <c r="J2472" s="825">
        <v>25000</v>
      </c>
      <c r="K2472" s="823" t="e">
        <f t="shared" ref="K2472:K2477" si="292">I2472*J2472</f>
        <v>#REF!</v>
      </c>
      <c r="L2472" s="856"/>
      <c r="M2472" s="831"/>
      <c r="N2472" s="831"/>
    </row>
    <row r="2473" spans="1:14" s="31" customFormat="1" ht="17.25" customHeight="1">
      <c r="A2473" s="821" t="s">
        <v>310</v>
      </c>
      <c r="B2473" s="980" t="s">
        <v>560</v>
      </c>
      <c r="C2473" s="879" t="e">
        <f>VLOOKUP(B2470,'CNKT '!#REF!,11,0)</f>
        <v>#REF!</v>
      </c>
      <c r="D2473" s="826">
        <f>46.1*$B$2</f>
        <v>30805.403000000002</v>
      </c>
      <c r="E2473" s="823" t="e">
        <f t="shared" si="291"/>
        <v>#REF!</v>
      </c>
      <c r="F2473" s="882"/>
      <c r="G2473" s="821" t="s">
        <v>310</v>
      </c>
      <c r="H2473" s="980" t="s">
        <v>560</v>
      </c>
      <c r="I2473" s="879" t="e">
        <f>VLOOKUP(H2470,'CNKT '!#REF!,11,0)</f>
        <v>#REF!</v>
      </c>
      <c r="J2473" s="826">
        <f>46.1*$B$2</f>
        <v>30805.403000000002</v>
      </c>
      <c r="K2473" s="823" t="e">
        <f t="shared" si="292"/>
        <v>#REF!</v>
      </c>
      <c r="L2473" s="856"/>
    </row>
    <row r="2474" spans="1:14" s="31" customFormat="1" ht="17.25" customHeight="1">
      <c r="A2474" s="821" t="s">
        <v>401</v>
      </c>
      <c r="B2474" s="980" t="s">
        <v>561</v>
      </c>
      <c r="C2474" s="879" t="e">
        <f>VLOOKUP(B2470,'CNKT '!#REF!,12,0)</f>
        <v>#REF!</v>
      </c>
      <c r="D2474" s="825">
        <f>76.9*$B$2</f>
        <v>51386.887000000002</v>
      </c>
      <c r="E2474" s="823" t="e">
        <f t="shared" si="291"/>
        <v>#REF!</v>
      </c>
      <c r="F2474" s="882"/>
      <c r="G2474" s="821" t="s">
        <v>401</v>
      </c>
      <c r="H2474" s="980" t="s">
        <v>561</v>
      </c>
      <c r="I2474" s="879" t="e">
        <f>VLOOKUP(H2470,'CNKT '!#REF!,12,0)</f>
        <v>#REF!</v>
      </c>
      <c r="J2474" s="825">
        <f>76.9*$B$2</f>
        <v>51386.887000000002</v>
      </c>
      <c r="K2474" s="823" t="e">
        <f t="shared" si="292"/>
        <v>#REF!</v>
      </c>
      <c r="L2474" s="856"/>
      <c r="M2474" s="883"/>
    </row>
    <row r="2475" spans="1:14" s="31" customFormat="1" ht="17.25" customHeight="1">
      <c r="A2475" s="821" t="s">
        <v>80</v>
      </c>
      <c r="B2475" s="980" t="s">
        <v>562</v>
      </c>
      <c r="C2475" s="879" t="e">
        <f>VLOOKUP(B2470,'CNKT '!#REF!,8,0)</f>
        <v>#REF!</v>
      </c>
      <c r="D2475" s="825" t="e">
        <f>IF(C2471="A",6.1,IF(C2471="B",5.8,IF(C2471="C",5.5,IF(C2471="C.",5.5,IF(C2471="D",5.2)))))*$B$2</f>
        <v>#REF!</v>
      </c>
      <c r="E2475" s="823" t="e">
        <f t="shared" si="291"/>
        <v>#REF!</v>
      </c>
      <c r="F2475" s="882"/>
      <c r="G2475" s="821" t="s">
        <v>80</v>
      </c>
      <c r="H2475" s="980" t="s">
        <v>562</v>
      </c>
      <c r="I2475" s="879" t="e">
        <f>VLOOKUP(H2470,'CNKT '!#REF!,8,0)</f>
        <v>#REF!</v>
      </c>
      <c r="J2475" s="825" t="e">
        <f>IF(I2471="A",6.1,IF(I2471="B",5.8,IF(I2471="C",5.5,IF(I2471="C.",5.5,IF(I2471="D",5.2)))))*$B$2</f>
        <v>#REF!</v>
      </c>
      <c r="K2475" s="823" t="e">
        <f t="shared" si="292"/>
        <v>#REF!</v>
      </c>
      <c r="L2475" s="856"/>
    </row>
    <row r="2476" spans="1:14" s="31" customFormat="1" ht="17.25" customHeight="1">
      <c r="A2476" s="821" t="s">
        <v>447</v>
      </c>
      <c r="B2476" s="980" t="s">
        <v>563</v>
      </c>
      <c r="C2476" s="879" t="e">
        <f>VLOOKUP(B2470,'CNKT '!#REF!,15,0)</f>
        <v>#REF!</v>
      </c>
      <c r="D2476" s="826">
        <f>92.2*$B$2</f>
        <v>61610.806000000004</v>
      </c>
      <c r="E2476" s="823" t="e">
        <f t="shared" si="291"/>
        <v>#REF!</v>
      </c>
      <c r="F2476" s="882"/>
      <c r="G2476" s="821" t="s">
        <v>447</v>
      </c>
      <c r="H2476" s="980" t="s">
        <v>563</v>
      </c>
      <c r="I2476" s="879" t="e">
        <f>VLOOKUP(H2470,'CNKT '!#REF!,15,0)</f>
        <v>#REF!</v>
      </c>
      <c r="J2476" s="826">
        <f>92.2*$B$2</f>
        <v>61610.806000000004</v>
      </c>
      <c r="K2476" s="823" t="e">
        <f t="shared" si="292"/>
        <v>#REF!</v>
      </c>
      <c r="L2476" s="856"/>
    </row>
    <row r="2477" spans="1:14" s="31" customFormat="1" ht="17.25" customHeight="1">
      <c r="A2477" s="821" t="s">
        <v>448</v>
      </c>
      <c r="B2477" s="980" t="s">
        <v>500</v>
      </c>
      <c r="C2477" s="879" t="e">
        <f>VLOOKUP(B2470,'CNKT '!#REF!,14,0)</f>
        <v>#REF!</v>
      </c>
      <c r="D2477" s="825">
        <f>153.6*$B$2</f>
        <v>102640.128</v>
      </c>
      <c r="E2477" s="823" t="e">
        <f t="shared" si="291"/>
        <v>#REF!</v>
      </c>
      <c r="F2477" s="882"/>
      <c r="G2477" s="821" t="s">
        <v>448</v>
      </c>
      <c r="H2477" s="980" t="s">
        <v>500</v>
      </c>
      <c r="I2477" s="879" t="e">
        <f>VLOOKUP(H2470,'CNKT '!#REF!,14,0)</f>
        <v>#REF!</v>
      </c>
      <c r="J2477" s="825">
        <f>153.6*$B$2</f>
        <v>102640.128</v>
      </c>
      <c r="K2477" s="823" t="e">
        <f t="shared" si="292"/>
        <v>#REF!</v>
      </c>
      <c r="L2477" s="856"/>
    </row>
    <row r="2478" spans="1:14" s="31" customFormat="1" ht="17.25" customHeight="1">
      <c r="A2478" s="821" t="s">
        <v>455</v>
      </c>
      <c r="B2478" s="980" t="s">
        <v>501</v>
      </c>
      <c r="C2478" s="879" t="e">
        <f>VLOOKUP(B2470,'CNKT '!#REF!,18,0)</f>
        <v>#REF!</v>
      </c>
      <c r="D2478" s="825">
        <v>10000</v>
      </c>
      <c r="E2478" s="823" t="e">
        <f>C2478*D2478</f>
        <v>#REF!</v>
      </c>
      <c r="F2478" s="882"/>
      <c r="G2478" s="821" t="s">
        <v>455</v>
      </c>
      <c r="H2478" s="980" t="s">
        <v>501</v>
      </c>
      <c r="I2478" s="879" t="e">
        <f>VLOOKUP(H2470,'CNKT '!#REF!,18,0)</f>
        <v>#REF!</v>
      </c>
      <c r="J2478" s="825">
        <v>10000</v>
      </c>
      <c r="K2478" s="823" t="e">
        <f>I2478*J2478</f>
        <v>#REF!</v>
      </c>
      <c r="L2478" s="856"/>
    </row>
    <row r="2479" spans="1:14" s="31" customFormat="1" ht="17.25" customHeight="1">
      <c r="A2479" s="821" t="s">
        <v>455</v>
      </c>
      <c r="B2479" s="980" t="s">
        <v>501</v>
      </c>
      <c r="C2479" s="879" t="e">
        <f>VLOOKUP(B2470,'CNKT '!#REF!,19,0)</f>
        <v>#REF!</v>
      </c>
      <c r="D2479" s="825">
        <v>20000</v>
      </c>
      <c r="E2479" s="823" t="e">
        <f>C2479*D2479</f>
        <v>#REF!</v>
      </c>
      <c r="F2479" s="882"/>
      <c r="G2479" s="821" t="s">
        <v>455</v>
      </c>
      <c r="H2479" s="980" t="s">
        <v>501</v>
      </c>
      <c r="I2479" s="879" t="e">
        <f>VLOOKUP(H2470,'CNKT '!#REF!,19,0)</f>
        <v>#REF!</v>
      </c>
      <c r="J2479" s="825">
        <v>20000</v>
      </c>
      <c r="K2479" s="823" t="e">
        <f>I2479*J2479</f>
        <v>#REF!</v>
      </c>
      <c r="L2479" s="856"/>
    </row>
    <row r="2480" spans="1:14" s="31" customFormat="1" ht="17.25" customHeight="1">
      <c r="A2480" s="827" t="s">
        <v>81</v>
      </c>
      <c r="B2480" s="981" t="s">
        <v>564</v>
      </c>
      <c r="C2480" s="828"/>
      <c r="D2480" s="829"/>
      <c r="E2480" s="828"/>
      <c r="F2480" s="882"/>
      <c r="G2480" s="827" t="s">
        <v>81</v>
      </c>
      <c r="H2480" s="981" t="s">
        <v>564</v>
      </c>
      <c r="I2480" s="828"/>
      <c r="J2480" s="829"/>
      <c r="K2480" s="828"/>
      <c r="L2480" s="856"/>
      <c r="M2480" s="883"/>
    </row>
    <row r="2481" spans="1:13" s="31" customFormat="1" ht="17.25" customHeight="1">
      <c r="A2481" s="830" t="s">
        <v>82</v>
      </c>
      <c r="B2481" s="982" t="s">
        <v>565</v>
      </c>
      <c r="C2481" s="828"/>
      <c r="D2481" s="828"/>
      <c r="E2481" s="828"/>
      <c r="F2481" s="882"/>
      <c r="G2481" s="830" t="s">
        <v>82</v>
      </c>
      <c r="H2481" s="982" t="s">
        <v>565</v>
      </c>
      <c r="I2481" s="828"/>
      <c r="J2481" s="828"/>
      <c r="K2481" s="828"/>
      <c r="L2481" s="856"/>
      <c r="M2481" s="884"/>
    </row>
    <row r="2482" spans="1:13" s="31" customFormat="1" ht="17.25" customHeight="1">
      <c r="A2482" s="830" t="s">
        <v>83</v>
      </c>
      <c r="B2482" s="983" t="s">
        <v>566</v>
      </c>
      <c r="C2482" s="828"/>
      <c r="D2482" s="828"/>
      <c r="E2482" s="823">
        <f>SUM(E2481)</f>
        <v>0</v>
      </c>
      <c r="F2482" s="881"/>
      <c r="G2482" s="830" t="s">
        <v>83</v>
      </c>
      <c r="H2482" s="983" t="s">
        <v>566</v>
      </c>
      <c r="I2482" s="828"/>
      <c r="J2482" s="828"/>
      <c r="K2482" s="823">
        <f>SUM(K2481)</f>
        <v>0</v>
      </c>
      <c r="L2482" s="818"/>
    </row>
    <row r="2483" spans="1:13" s="31" customFormat="1" ht="17.25" customHeight="1">
      <c r="A2483" s="832" t="s">
        <v>84</v>
      </c>
      <c r="B2483" s="984" t="s">
        <v>438</v>
      </c>
      <c r="C2483" s="833"/>
      <c r="D2483" s="833"/>
      <c r="E2483" s="833" t="e">
        <f>(E2472+E2473+E2474+E2475+E2476+E2477+E2478+E2479)-E2482</f>
        <v>#REF!</v>
      </c>
      <c r="F2483" s="881"/>
      <c r="G2483" s="832" t="s">
        <v>84</v>
      </c>
      <c r="H2483" s="984" t="s">
        <v>438</v>
      </c>
      <c r="I2483" s="833"/>
      <c r="J2483" s="833"/>
      <c r="K2483" s="833" t="e">
        <f>(K2472+K2473+K2474+K2475+K2476+K2477+K2478+K2479)-K2482</f>
        <v>#REF!</v>
      </c>
      <c r="L2483" s="835" t="e">
        <f>E2483+K2483</f>
        <v>#REF!</v>
      </c>
    </row>
    <row r="2484" spans="1:13" s="31" customFormat="1" ht="17.25" customHeight="1">
      <c r="A2484" s="895"/>
      <c r="B2484" s="895"/>
      <c r="C2484" s="895"/>
      <c r="D2484" s="895"/>
      <c r="E2484" s="895"/>
      <c r="F2484" s="895"/>
      <c r="G2484" s="895"/>
      <c r="H2484" s="895"/>
      <c r="I2484" s="895"/>
      <c r="J2484" s="895"/>
      <c r="K2484" s="895"/>
      <c r="L2484" s="818"/>
    </row>
    <row r="2485" spans="1:13" s="31" customFormat="1" ht="17.25" customHeight="1">
      <c r="A2485" s="891" t="str">
        <f>A2469</f>
        <v>LƯƠNG THÁNG 01/2025</v>
      </c>
      <c r="B2485" s="895"/>
      <c r="C2485" s="895"/>
      <c r="D2485" s="895"/>
      <c r="E2485" s="898" t="e">
        <f>VLOOKUP(B2486,'CNKT '!#REF!,26,0)</f>
        <v>#REF!</v>
      </c>
      <c r="F2485" s="882"/>
      <c r="G2485" s="891" t="str">
        <f>A2485</f>
        <v>LƯƠNG THÁNG 01/2025</v>
      </c>
      <c r="H2485" s="895"/>
      <c r="I2485" s="895"/>
      <c r="J2485" s="895"/>
      <c r="K2485" s="898" t="e">
        <f>VLOOKUP(H2486,'CNKT '!#REF!,26,0)</f>
        <v>#REF!</v>
      </c>
      <c r="L2485" s="818"/>
    </row>
    <row r="2486" spans="1:13" s="31" customFormat="1" ht="17.25" customHeight="1">
      <c r="A2486" s="837" t="s">
        <v>17</v>
      </c>
      <c r="B2486" s="976" t="e">
        <f>'CNKT '!#REF!</f>
        <v>#REF!</v>
      </c>
      <c r="C2486" s="822"/>
      <c r="D2486" s="976" t="s">
        <v>398</v>
      </c>
      <c r="E2486" s="976" t="s">
        <v>20</v>
      </c>
      <c r="F2486" s="882"/>
      <c r="G2486" s="837" t="s">
        <v>17</v>
      </c>
      <c r="H2486" s="976" t="e">
        <f>'CNKT '!#REF!</f>
        <v>#REF!</v>
      </c>
      <c r="I2486" s="822"/>
      <c r="J2486" s="976" t="s">
        <v>398</v>
      </c>
      <c r="K2486" s="976" t="s">
        <v>20</v>
      </c>
      <c r="L2486" s="818"/>
    </row>
    <row r="2487" spans="1:13" s="31" customFormat="1" ht="17.25" customHeight="1">
      <c r="A2487" s="821" t="s">
        <v>399</v>
      </c>
      <c r="B2487" s="978" t="s">
        <v>559</v>
      </c>
      <c r="C2487" s="822" t="e">
        <f>VLOOKUP(B2486,'BTH mủ tạp'!$C$161:$AL$161,36,0)</f>
        <v>#REF!</v>
      </c>
      <c r="D2487" s="823"/>
      <c r="E2487" s="823"/>
      <c r="F2487" s="882"/>
      <c r="G2487" s="821" t="s">
        <v>399</v>
      </c>
      <c r="H2487" s="978" t="s">
        <v>559</v>
      </c>
      <c r="I2487" s="822" t="e">
        <f>VLOOKUP(H2486,'BTH mủ tạp'!$C$161:$AL$161,36,0)</f>
        <v>#REF!</v>
      </c>
      <c r="J2487" s="823"/>
      <c r="K2487" s="823"/>
      <c r="L2487" s="818"/>
    </row>
    <row r="2488" spans="1:13" s="31" customFormat="1" ht="17.25" customHeight="1">
      <c r="A2488" s="821" t="s">
        <v>79</v>
      </c>
      <c r="B2488" s="979" t="s">
        <v>432</v>
      </c>
      <c r="C2488" s="824" t="e">
        <f>VLOOKUP(B2486,'CNKT '!#REF!,3,0)</f>
        <v>#REF!</v>
      </c>
      <c r="D2488" s="825">
        <v>25000</v>
      </c>
      <c r="E2488" s="823" t="e">
        <f t="shared" ref="E2488:E2493" si="293">C2488*D2488</f>
        <v>#REF!</v>
      </c>
      <c r="F2488" s="882"/>
      <c r="G2488" s="821" t="s">
        <v>79</v>
      </c>
      <c r="H2488" s="979" t="s">
        <v>432</v>
      </c>
      <c r="I2488" s="824" t="e">
        <f>VLOOKUP(H2486,'CNKT '!#REF!,3,0)</f>
        <v>#REF!</v>
      </c>
      <c r="J2488" s="825">
        <v>25000</v>
      </c>
      <c r="K2488" s="823" t="e">
        <f t="shared" ref="K2488:K2493" si="294">I2488*J2488</f>
        <v>#REF!</v>
      </c>
      <c r="L2488" s="818"/>
    </row>
    <row r="2489" spans="1:13" s="31" customFormat="1" ht="17.25" customHeight="1">
      <c r="A2489" s="821" t="s">
        <v>310</v>
      </c>
      <c r="B2489" s="980" t="s">
        <v>560</v>
      </c>
      <c r="C2489" s="879" t="e">
        <f>VLOOKUP(B2486,'CNKT '!#REF!,11,0)</f>
        <v>#REF!</v>
      </c>
      <c r="D2489" s="826">
        <f>46.1*$B$2</f>
        <v>30805.403000000002</v>
      </c>
      <c r="E2489" s="823" t="e">
        <f t="shared" si="293"/>
        <v>#REF!</v>
      </c>
      <c r="F2489" s="882"/>
      <c r="G2489" s="821" t="s">
        <v>310</v>
      </c>
      <c r="H2489" s="980" t="s">
        <v>560</v>
      </c>
      <c r="I2489" s="879" t="e">
        <f>VLOOKUP(H2486,'CNKT '!#REF!,11,0)</f>
        <v>#REF!</v>
      </c>
      <c r="J2489" s="826">
        <f>46.1*$B$2</f>
        <v>30805.403000000002</v>
      </c>
      <c r="K2489" s="823" t="e">
        <f t="shared" si="294"/>
        <v>#REF!</v>
      </c>
      <c r="L2489" s="818"/>
    </row>
    <row r="2490" spans="1:13" s="31" customFormat="1" ht="17.25" customHeight="1">
      <c r="A2490" s="821" t="s">
        <v>401</v>
      </c>
      <c r="B2490" s="980" t="s">
        <v>561</v>
      </c>
      <c r="C2490" s="879" t="e">
        <f>VLOOKUP(B2486,'CNKT '!#REF!,12,0)</f>
        <v>#REF!</v>
      </c>
      <c r="D2490" s="825">
        <f>76.9*$B$2</f>
        <v>51386.887000000002</v>
      </c>
      <c r="E2490" s="823" t="e">
        <f t="shared" si="293"/>
        <v>#REF!</v>
      </c>
      <c r="F2490" s="882"/>
      <c r="G2490" s="821" t="s">
        <v>401</v>
      </c>
      <c r="H2490" s="980" t="s">
        <v>561</v>
      </c>
      <c r="I2490" s="879" t="e">
        <f>VLOOKUP(H2486,'CNKT '!#REF!,12,0)</f>
        <v>#REF!</v>
      </c>
      <c r="J2490" s="825">
        <f>76.9*$B$2</f>
        <v>51386.887000000002</v>
      </c>
      <c r="K2490" s="823" t="e">
        <f t="shared" si="294"/>
        <v>#REF!</v>
      </c>
      <c r="L2490" s="818"/>
    </row>
    <row r="2491" spans="1:13" s="31" customFormat="1" ht="17.25" customHeight="1">
      <c r="A2491" s="821" t="s">
        <v>80</v>
      </c>
      <c r="B2491" s="980" t="s">
        <v>562</v>
      </c>
      <c r="C2491" s="879" t="e">
        <f>VLOOKUP(B2486,'CNKT '!#REF!,8,0)</f>
        <v>#REF!</v>
      </c>
      <c r="D2491" s="825" t="e">
        <f>IF(C2487="A",6.1,IF(C2487="B",5.8,IF(C2487="C",5.5,IF(C2487="C.",5.5,IF(C2487="D",5.2)))))*$B$2</f>
        <v>#REF!</v>
      </c>
      <c r="E2491" s="823" t="e">
        <f t="shared" si="293"/>
        <v>#REF!</v>
      </c>
      <c r="F2491" s="882"/>
      <c r="G2491" s="821" t="s">
        <v>80</v>
      </c>
      <c r="H2491" s="980" t="s">
        <v>562</v>
      </c>
      <c r="I2491" s="879" t="e">
        <f>VLOOKUP(H2486,'CNKT '!#REF!,8,0)</f>
        <v>#REF!</v>
      </c>
      <c r="J2491" s="825" t="e">
        <f>IF(I2487="A",6.1,IF(I2487="B",5.8,IF(I2487="C",5.5,IF(I2487="C.",5.5,IF(I2487="D",5.2)))))*$B$2</f>
        <v>#REF!</v>
      </c>
      <c r="K2491" s="823" t="e">
        <f t="shared" si="294"/>
        <v>#REF!</v>
      </c>
      <c r="L2491" s="818"/>
    </row>
    <row r="2492" spans="1:13" s="31" customFormat="1" ht="17.25" customHeight="1">
      <c r="A2492" s="821" t="s">
        <v>447</v>
      </c>
      <c r="B2492" s="980" t="s">
        <v>563</v>
      </c>
      <c r="C2492" s="879" t="e">
        <f>VLOOKUP(B2486,'CNKT '!#REF!,15,0)</f>
        <v>#REF!</v>
      </c>
      <c r="D2492" s="826">
        <f>92.2*$B$2</f>
        <v>61610.806000000004</v>
      </c>
      <c r="E2492" s="823" t="e">
        <f t="shared" si="293"/>
        <v>#REF!</v>
      </c>
      <c r="F2492" s="882"/>
      <c r="G2492" s="821" t="s">
        <v>447</v>
      </c>
      <c r="H2492" s="980" t="s">
        <v>563</v>
      </c>
      <c r="I2492" s="879" t="e">
        <f>VLOOKUP(H2486,'CNKT '!#REF!,15,0)</f>
        <v>#REF!</v>
      </c>
      <c r="J2492" s="826">
        <f>92.2*$B$2</f>
        <v>61610.806000000004</v>
      </c>
      <c r="K2492" s="823" t="e">
        <f t="shared" si="294"/>
        <v>#REF!</v>
      </c>
      <c r="L2492" s="818"/>
    </row>
    <row r="2493" spans="1:13" s="31" customFormat="1" ht="17.25" customHeight="1">
      <c r="A2493" s="821" t="s">
        <v>448</v>
      </c>
      <c r="B2493" s="980" t="s">
        <v>500</v>
      </c>
      <c r="C2493" s="879" t="e">
        <f>VLOOKUP(B2486,'CNKT '!#REF!,14,0)</f>
        <v>#REF!</v>
      </c>
      <c r="D2493" s="825">
        <f>153.6*$B$2</f>
        <v>102640.128</v>
      </c>
      <c r="E2493" s="823" t="e">
        <f t="shared" si="293"/>
        <v>#REF!</v>
      </c>
      <c r="F2493" s="882"/>
      <c r="G2493" s="821" t="s">
        <v>448</v>
      </c>
      <c r="H2493" s="980" t="s">
        <v>500</v>
      </c>
      <c r="I2493" s="879" t="e">
        <f>VLOOKUP(H2486,'CNKT '!#REF!,14,0)</f>
        <v>#REF!</v>
      </c>
      <c r="J2493" s="825">
        <f>153.6*$B$2</f>
        <v>102640.128</v>
      </c>
      <c r="K2493" s="823" t="e">
        <f t="shared" si="294"/>
        <v>#REF!</v>
      </c>
      <c r="L2493" s="818"/>
    </row>
    <row r="2494" spans="1:13" s="31" customFormat="1" ht="17.25" customHeight="1">
      <c r="A2494" s="821" t="s">
        <v>455</v>
      </c>
      <c r="B2494" s="980" t="s">
        <v>501</v>
      </c>
      <c r="C2494" s="879" t="e">
        <f>VLOOKUP(B2486,'CNKT '!#REF!,18,0)</f>
        <v>#REF!</v>
      </c>
      <c r="D2494" s="825">
        <v>10000</v>
      </c>
      <c r="E2494" s="823" t="e">
        <f>C2494*D2494</f>
        <v>#REF!</v>
      </c>
      <c r="F2494" s="882"/>
      <c r="G2494" s="821" t="s">
        <v>455</v>
      </c>
      <c r="H2494" s="980" t="s">
        <v>501</v>
      </c>
      <c r="I2494" s="879" t="e">
        <f>VLOOKUP(H2486,'CNKT '!#REF!,18,0)</f>
        <v>#REF!</v>
      </c>
      <c r="J2494" s="825">
        <v>10000</v>
      </c>
      <c r="K2494" s="823" t="e">
        <f>I2494*J2494</f>
        <v>#REF!</v>
      </c>
      <c r="L2494" s="818"/>
    </row>
    <row r="2495" spans="1:13" s="31" customFormat="1" ht="17.25" customHeight="1">
      <c r="A2495" s="821" t="s">
        <v>455</v>
      </c>
      <c r="B2495" s="980" t="s">
        <v>501</v>
      </c>
      <c r="C2495" s="879" t="e">
        <f>VLOOKUP(B2486,'CNKT '!#REF!,19,0)</f>
        <v>#REF!</v>
      </c>
      <c r="D2495" s="825">
        <v>20000</v>
      </c>
      <c r="E2495" s="823" t="e">
        <f>C2495*D2495</f>
        <v>#REF!</v>
      </c>
      <c r="F2495" s="882"/>
      <c r="G2495" s="821" t="s">
        <v>455</v>
      </c>
      <c r="H2495" s="980" t="s">
        <v>501</v>
      </c>
      <c r="I2495" s="879" t="e">
        <f>VLOOKUP(H2486,'CNKT '!#REF!,19,0)</f>
        <v>#REF!</v>
      </c>
      <c r="J2495" s="825">
        <v>20000</v>
      </c>
      <c r="K2495" s="823" t="e">
        <f>I2495*J2495</f>
        <v>#REF!</v>
      </c>
      <c r="L2495" s="818"/>
    </row>
    <row r="2496" spans="1:13" s="31" customFormat="1" ht="17.25" customHeight="1">
      <c r="A2496" s="827" t="s">
        <v>81</v>
      </c>
      <c r="B2496" s="981" t="s">
        <v>564</v>
      </c>
      <c r="C2496" s="828"/>
      <c r="D2496" s="829"/>
      <c r="E2496" s="828"/>
      <c r="F2496" s="882"/>
      <c r="G2496" s="827" t="s">
        <v>81</v>
      </c>
      <c r="H2496" s="981" t="s">
        <v>564</v>
      </c>
      <c r="I2496" s="828"/>
      <c r="J2496" s="829"/>
      <c r="K2496" s="828"/>
      <c r="L2496" s="818"/>
    </row>
    <row r="2497" spans="1:12" s="31" customFormat="1" ht="17.25" customHeight="1">
      <c r="A2497" s="830" t="s">
        <v>82</v>
      </c>
      <c r="B2497" s="982" t="s">
        <v>565</v>
      </c>
      <c r="C2497" s="828"/>
      <c r="D2497" s="828"/>
      <c r="E2497" s="828"/>
      <c r="F2497" s="882"/>
      <c r="G2497" s="830" t="s">
        <v>82</v>
      </c>
      <c r="H2497" s="982" t="s">
        <v>565</v>
      </c>
      <c r="I2497" s="828"/>
      <c r="J2497" s="828"/>
      <c r="K2497" s="828"/>
      <c r="L2497" s="818"/>
    </row>
    <row r="2498" spans="1:12" s="31" customFormat="1" ht="17.25" customHeight="1">
      <c r="A2498" s="830" t="s">
        <v>83</v>
      </c>
      <c r="B2498" s="983" t="s">
        <v>566</v>
      </c>
      <c r="C2498" s="828"/>
      <c r="D2498" s="828"/>
      <c r="E2498" s="823">
        <f>SUM(E2497)</f>
        <v>0</v>
      </c>
      <c r="F2498" s="882"/>
      <c r="G2498" s="830" t="s">
        <v>83</v>
      </c>
      <c r="H2498" s="983" t="s">
        <v>566</v>
      </c>
      <c r="I2498" s="828"/>
      <c r="J2498" s="828"/>
      <c r="K2498" s="823">
        <f>SUM(K2497)</f>
        <v>0</v>
      </c>
      <c r="L2498" s="818"/>
    </row>
    <row r="2499" spans="1:12" s="31" customFormat="1" ht="17.25" customHeight="1">
      <c r="A2499" s="832" t="s">
        <v>84</v>
      </c>
      <c r="B2499" s="984" t="s">
        <v>438</v>
      </c>
      <c r="C2499" s="833"/>
      <c r="D2499" s="833"/>
      <c r="E2499" s="833" t="e">
        <f>(E2488+E2489+E2490+E2491+E2492+E2493+E2494+E2495)-E2498</f>
        <v>#REF!</v>
      </c>
      <c r="F2499" s="881"/>
      <c r="G2499" s="832" t="s">
        <v>84</v>
      </c>
      <c r="H2499" s="984" t="s">
        <v>438</v>
      </c>
      <c r="I2499" s="833"/>
      <c r="J2499" s="833"/>
      <c r="K2499" s="833" t="e">
        <f>(K2488+K2489+K2490+K2491+K2492+K2493+K2494+K2495)-K2498</f>
        <v>#REF!</v>
      </c>
      <c r="L2499" s="835" t="e">
        <f>E2499+K2499</f>
        <v>#REF!</v>
      </c>
    </row>
    <row r="2500" spans="1:12" s="31" customFormat="1" ht="17.25" customHeight="1">
      <c r="A2500" s="895"/>
      <c r="B2500" s="895"/>
      <c r="C2500" s="895"/>
      <c r="D2500" s="895"/>
      <c r="E2500" s="895"/>
      <c r="F2500" s="895"/>
      <c r="G2500" s="895"/>
      <c r="H2500" s="895"/>
      <c r="I2500" s="895"/>
      <c r="J2500" s="895"/>
      <c r="K2500" s="895"/>
      <c r="L2500" s="818"/>
    </row>
    <row r="2501" spans="1:12" s="31" customFormat="1" ht="17.25" customHeight="1">
      <c r="A2501" s="891" t="str">
        <f>A2485</f>
        <v>LƯƠNG THÁNG 01/2025</v>
      </c>
      <c r="B2501" s="895"/>
      <c r="C2501" s="895"/>
      <c r="D2501" s="895"/>
      <c r="E2501" s="898" t="e">
        <f>VLOOKUP(B2502,'CNKT '!#REF!,26,0)</f>
        <v>#REF!</v>
      </c>
      <c r="F2501" s="882"/>
      <c r="G2501" s="891" t="str">
        <f>A2501</f>
        <v>LƯƠNG THÁNG 01/2025</v>
      </c>
      <c r="H2501" s="895"/>
      <c r="I2501" s="895"/>
      <c r="J2501" s="898"/>
      <c r="K2501" s="898" t="e">
        <f>VLOOKUP(H2502,'CNKT '!#REF!,26,0)</f>
        <v>#REF!</v>
      </c>
      <c r="L2501" s="818"/>
    </row>
    <row r="2502" spans="1:12" s="31" customFormat="1" ht="17.25" customHeight="1">
      <c r="A2502" s="837" t="s">
        <v>17</v>
      </c>
      <c r="B2502" s="976" t="e">
        <f>'CNKT '!#REF!</f>
        <v>#REF!</v>
      </c>
      <c r="C2502" s="822"/>
      <c r="D2502" s="976" t="s">
        <v>398</v>
      </c>
      <c r="E2502" s="976" t="s">
        <v>20</v>
      </c>
      <c r="F2502" s="882"/>
      <c r="G2502" s="837" t="s">
        <v>17</v>
      </c>
      <c r="H2502" s="976" t="e">
        <f>'CNKT '!#REF!</f>
        <v>#REF!</v>
      </c>
      <c r="I2502" s="822"/>
      <c r="J2502" s="976" t="s">
        <v>398</v>
      </c>
      <c r="K2502" s="976" t="s">
        <v>20</v>
      </c>
      <c r="L2502" s="818"/>
    </row>
    <row r="2503" spans="1:12" s="31" customFormat="1" ht="17.25" customHeight="1">
      <c r="A2503" s="821" t="s">
        <v>399</v>
      </c>
      <c r="B2503" s="978" t="s">
        <v>559</v>
      </c>
      <c r="C2503" s="822" t="e">
        <f>VLOOKUP(B2502,'BTH mủ tạp'!$C$161:$AL$161,36,0)</f>
        <v>#REF!</v>
      </c>
      <c r="D2503" s="823"/>
      <c r="E2503" s="823"/>
      <c r="F2503" s="882"/>
      <c r="G2503" s="821" t="s">
        <v>399</v>
      </c>
      <c r="H2503" s="978" t="s">
        <v>559</v>
      </c>
      <c r="I2503" s="822" t="e">
        <f>VLOOKUP(H2502,'BTH mủ tạp'!$C$161:$AL$161,36,0)</f>
        <v>#REF!</v>
      </c>
      <c r="J2503" s="823"/>
      <c r="K2503" s="823"/>
      <c r="L2503" s="818"/>
    </row>
    <row r="2504" spans="1:12" s="31" customFormat="1" ht="17.25" customHeight="1">
      <c r="A2504" s="821" t="s">
        <v>79</v>
      </c>
      <c r="B2504" s="979" t="s">
        <v>432</v>
      </c>
      <c r="C2504" s="824" t="e">
        <f>VLOOKUP(B2502,'CNKT '!#REF!,3,0)</f>
        <v>#REF!</v>
      </c>
      <c r="D2504" s="825">
        <v>25000</v>
      </c>
      <c r="E2504" s="823" t="e">
        <f t="shared" ref="E2504:E2509" si="295">C2504*D2504</f>
        <v>#REF!</v>
      </c>
      <c r="F2504" s="882"/>
      <c r="G2504" s="821" t="s">
        <v>79</v>
      </c>
      <c r="H2504" s="979" t="s">
        <v>432</v>
      </c>
      <c r="I2504" s="824" t="e">
        <f>VLOOKUP(H2502,'CNKT '!#REF!,3,0)</f>
        <v>#REF!</v>
      </c>
      <c r="J2504" s="825">
        <v>25000</v>
      </c>
      <c r="K2504" s="823" t="e">
        <f t="shared" ref="K2504:K2509" si="296">I2504*J2504</f>
        <v>#REF!</v>
      </c>
      <c r="L2504" s="818"/>
    </row>
    <row r="2505" spans="1:12" s="31" customFormat="1" ht="17.25" customHeight="1">
      <c r="A2505" s="821" t="s">
        <v>310</v>
      </c>
      <c r="B2505" s="980" t="s">
        <v>560</v>
      </c>
      <c r="C2505" s="879" t="e">
        <f>VLOOKUP(B2502,'CNKT '!#REF!,11,0)</f>
        <v>#REF!</v>
      </c>
      <c r="D2505" s="826">
        <f>46.1*$B$2</f>
        <v>30805.403000000002</v>
      </c>
      <c r="E2505" s="823" t="e">
        <f t="shared" si="295"/>
        <v>#REF!</v>
      </c>
      <c r="F2505" s="882"/>
      <c r="G2505" s="821" t="s">
        <v>310</v>
      </c>
      <c r="H2505" s="980" t="s">
        <v>560</v>
      </c>
      <c r="I2505" s="879" t="e">
        <f>VLOOKUP(H2502,'CNKT '!#REF!,11,0)</f>
        <v>#REF!</v>
      </c>
      <c r="J2505" s="826">
        <f>46.1*$B$2</f>
        <v>30805.403000000002</v>
      </c>
      <c r="K2505" s="823" t="e">
        <f t="shared" si="296"/>
        <v>#REF!</v>
      </c>
      <c r="L2505" s="818"/>
    </row>
    <row r="2506" spans="1:12" s="31" customFormat="1" ht="17.25" customHeight="1">
      <c r="A2506" s="821" t="s">
        <v>401</v>
      </c>
      <c r="B2506" s="980" t="s">
        <v>561</v>
      </c>
      <c r="C2506" s="879" t="e">
        <f>VLOOKUP(B2502,'CNKT '!#REF!,12,0)</f>
        <v>#REF!</v>
      </c>
      <c r="D2506" s="825">
        <f>76.9*$B$2</f>
        <v>51386.887000000002</v>
      </c>
      <c r="E2506" s="823" t="e">
        <f t="shared" si="295"/>
        <v>#REF!</v>
      </c>
      <c r="F2506" s="882"/>
      <c r="G2506" s="821" t="s">
        <v>401</v>
      </c>
      <c r="H2506" s="980" t="s">
        <v>561</v>
      </c>
      <c r="I2506" s="879" t="e">
        <f>VLOOKUP(H2502,'CNKT '!#REF!,12,0)</f>
        <v>#REF!</v>
      </c>
      <c r="J2506" s="825">
        <f>76.9*$B$2</f>
        <v>51386.887000000002</v>
      </c>
      <c r="K2506" s="823" t="e">
        <f t="shared" si="296"/>
        <v>#REF!</v>
      </c>
      <c r="L2506" s="818"/>
    </row>
    <row r="2507" spans="1:12" s="31" customFormat="1" ht="17.25" customHeight="1">
      <c r="A2507" s="821" t="s">
        <v>80</v>
      </c>
      <c r="B2507" s="980" t="s">
        <v>562</v>
      </c>
      <c r="C2507" s="879" t="e">
        <f>VLOOKUP(B2502,'CNKT '!#REF!,8,0)</f>
        <v>#REF!</v>
      </c>
      <c r="D2507" s="825" t="e">
        <f>IF(C2503="A",6.1,IF(C2503="B",5.8,IF(C2503="C",5.5,IF(C2503="C.",5.5,IF(C2503="D",5.2)))))*$B$2</f>
        <v>#REF!</v>
      </c>
      <c r="E2507" s="823" t="e">
        <f t="shared" si="295"/>
        <v>#REF!</v>
      </c>
      <c r="F2507" s="882"/>
      <c r="G2507" s="821" t="s">
        <v>80</v>
      </c>
      <c r="H2507" s="980" t="s">
        <v>562</v>
      </c>
      <c r="I2507" s="879" t="e">
        <f>VLOOKUP(H2502,'CNKT '!#REF!,8,0)</f>
        <v>#REF!</v>
      </c>
      <c r="J2507" s="825" t="e">
        <f>IF(I2503="A",6.1,IF(I2503="B",5.8,IF(I2503="C",5.5,IF(I2503="C.",5.5,IF(I2503="D",5.2)))))*$B$2</f>
        <v>#REF!</v>
      </c>
      <c r="K2507" s="823" t="e">
        <f t="shared" si="296"/>
        <v>#REF!</v>
      </c>
      <c r="L2507" s="818"/>
    </row>
    <row r="2508" spans="1:12" s="31" customFormat="1" ht="17.25" customHeight="1">
      <c r="A2508" s="821" t="s">
        <v>447</v>
      </c>
      <c r="B2508" s="980" t="s">
        <v>563</v>
      </c>
      <c r="C2508" s="879" t="e">
        <f>VLOOKUP(B2502,'CNKT '!#REF!,15,0)</f>
        <v>#REF!</v>
      </c>
      <c r="D2508" s="826">
        <f>92.2*$B$2</f>
        <v>61610.806000000004</v>
      </c>
      <c r="E2508" s="823" t="e">
        <f t="shared" si="295"/>
        <v>#REF!</v>
      </c>
      <c r="F2508" s="882"/>
      <c r="G2508" s="821" t="s">
        <v>447</v>
      </c>
      <c r="H2508" s="980" t="s">
        <v>563</v>
      </c>
      <c r="I2508" s="879" t="e">
        <f>VLOOKUP(H2502,'CNKT '!#REF!,15,0)</f>
        <v>#REF!</v>
      </c>
      <c r="J2508" s="826">
        <f>92.2*$B$2</f>
        <v>61610.806000000004</v>
      </c>
      <c r="K2508" s="823" t="e">
        <f t="shared" si="296"/>
        <v>#REF!</v>
      </c>
      <c r="L2508" s="818"/>
    </row>
    <row r="2509" spans="1:12" s="31" customFormat="1" ht="17.25" customHeight="1">
      <c r="A2509" s="821" t="s">
        <v>448</v>
      </c>
      <c r="B2509" s="980" t="s">
        <v>500</v>
      </c>
      <c r="C2509" s="879" t="e">
        <f>VLOOKUP(B2502,'CNKT '!#REF!,14,0)</f>
        <v>#REF!</v>
      </c>
      <c r="D2509" s="825">
        <f>153.6*$B$2</f>
        <v>102640.128</v>
      </c>
      <c r="E2509" s="823" t="e">
        <f t="shared" si="295"/>
        <v>#REF!</v>
      </c>
      <c r="F2509" s="882"/>
      <c r="G2509" s="821" t="s">
        <v>448</v>
      </c>
      <c r="H2509" s="980" t="s">
        <v>500</v>
      </c>
      <c r="I2509" s="879" t="e">
        <f>VLOOKUP(H2502,'CNKT '!#REF!,14,0)</f>
        <v>#REF!</v>
      </c>
      <c r="J2509" s="825">
        <f>153.6*$B$2</f>
        <v>102640.128</v>
      </c>
      <c r="K2509" s="823" t="e">
        <f t="shared" si="296"/>
        <v>#REF!</v>
      </c>
      <c r="L2509" s="818"/>
    </row>
    <row r="2510" spans="1:12" s="31" customFormat="1" ht="17.25" customHeight="1">
      <c r="A2510" s="821" t="s">
        <v>455</v>
      </c>
      <c r="B2510" s="980" t="s">
        <v>501</v>
      </c>
      <c r="C2510" s="879" t="e">
        <f>VLOOKUP(B2502,'CNKT '!#REF!,18,0)</f>
        <v>#REF!</v>
      </c>
      <c r="D2510" s="825">
        <v>10000</v>
      </c>
      <c r="E2510" s="823" t="e">
        <f>C2510*D2510</f>
        <v>#REF!</v>
      </c>
      <c r="F2510" s="882"/>
      <c r="G2510" s="821" t="s">
        <v>455</v>
      </c>
      <c r="H2510" s="980" t="s">
        <v>501</v>
      </c>
      <c r="I2510" s="879" t="e">
        <f>VLOOKUP(H2502,'CNKT '!#REF!,18,0)</f>
        <v>#REF!</v>
      </c>
      <c r="J2510" s="825">
        <v>10000</v>
      </c>
      <c r="K2510" s="823" t="e">
        <f>I2510*J2510</f>
        <v>#REF!</v>
      </c>
      <c r="L2510" s="818"/>
    </row>
    <row r="2511" spans="1:12" s="31" customFormat="1" ht="17.25" customHeight="1">
      <c r="A2511" s="821" t="s">
        <v>455</v>
      </c>
      <c r="B2511" s="980" t="s">
        <v>501</v>
      </c>
      <c r="C2511" s="879" t="e">
        <f>VLOOKUP(B2502,'CNKT '!#REF!,19,0)</f>
        <v>#REF!</v>
      </c>
      <c r="D2511" s="825">
        <v>20000</v>
      </c>
      <c r="E2511" s="823" t="e">
        <f>C2511*D2511</f>
        <v>#REF!</v>
      </c>
      <c r="F2511" s="882"/>
      <c r="G2511" s="821" t="s">
        <v>455</v>
      </c>
      <c r="H2511" s="980" t="s">
        <v>501</v>
      </c>
      <c r="I2511" s="879" t="e">
        <f>VLOOKUP(H2502,'CNKT '!#REF!,19,0)</f>
        <v>#REF!</v>
      </c>
      <c r="J2511" s="825">
        <v>20000</v>
      </c>
      <c r="K2511" s="823" t="e">
        <f>I2511*J2511</f>
        <v>#REF!</v>
      </c>
      <c r="L2511" s="818"/>
    </row>
    <row r="2512" spans="1:12" s="31" customFormat="1" ht="17.25" customHeight="1">
      <c r="A2512" s="827" t="s">
        <v>81</v>
      </c>
      <c r="B2512" s="981" t="s">
        <v>564</v>
      </c>
      <c r="C2512" s="828"/>
      <c r="D2512" s="829"/>
      <c r="E2512" s="828"/>
      <c r="F2512" s="882"/>
      <c r="G2512" s="827" t="s">
        <v>81</v>
      </c>
      <c r="H2512" s="981" t="s">
        <v>564</v>
      </c>
      <c r="I2512" s="828"/>
      <c r="J2512" s="829"/>
      <c r="K2512" s="828"/>
      <c r="L2512" s="818"/>
    </row>
    <row r="2513" spans="1:12" s="31" customFormat="1" ht="17.25" customHeight="1">
      <c r="A2513" s="830" t="s">
        <v>82</v>
      </c>
      <c r="B2513" s="982" t="s">
        <v>565</v>
      </c>
      <c r="C2513" s="828"/>
      <c r="D2513" s="828"/>
      <c r="E2513" s="828"/>
      <c r="F2513" s="882"/>
      <c r="G2513" s="830" t="s">
        <v>82</v>
      </c>
      <c r="H2513" s="982" t="s">
        <v>565</v>
      </c>
      <c r="I2513" s="828"/>
      <c r="J2513" s="828"/>
      <c r="K2513" s="828"/>
      <c r="L2513" s="818"/>
    </row>
    <row r="2514" spans="1:12" s="31" customFormat="1" ht="17.25" customHeight="1">
      <c r="A2514" s="830" t="s">
        <v>83</v>
      </c>
      <c r="B2514" s="983" t="s">
        <v>566</v>
      </c>
      <c r="C2514" s="828"/>
      <c r="D2514" s="828"/>
      <c r="E2514" s="823">
        <f>SUM(E2513)</f>
        <v>0</v>
      </c>
      <c r="F2514" s="882"/>
      <c r="G2514" s="830" t="s">
        <v>83</v>
      </c>
      <c r="H2514" s="983" t="s">
        <v>566</v>
      </c>
      <c r="I2514" s="828"/>
      <c r="J2514" s="828"/>
      <c r="K2514" s="823">
        <f>SUM(K2513)</f>
        <v>0</v>
      </c>
      <c r="L2514" s="818"/>
    </row>
    <row r="2515" spans="1:12" s="31" customFormat="1" ht="17.25" customHeight="1">
      <c r="A2515" s="832" t="s">
        <v>84</v>
      </c>
      <c r="B2515" s="984" t="s">
        <v>438</v>
      </c>
      <c r="C2515" s="833"/>
      <c r="D2515" s="833"/>
      <c r="E2515" s="833" t="e">
        <f>(E2504+E2505+E2506+E2507+E2508+E2509+E2510+E2511)-E2514</f>
        <v>#REF!</v>
      </c>
      <c r="F2515" s="881"/>
      <c r="G2515" s="832" t="s">
        <v>84</v>
      </c>
      <c r="H2515" s="984" t="s">
        <v>438</v>
      </c>
      <c r="I2515" s="833"/>
      <c r="J2515" s="833"/>
      <c r="K2515" s="833" t="e">
        <f>(K2504+K2505+K2506+K2507+K2508+K2509+K2510+K2511)-K2514</f>
        <v>#REF!</v>
      </c>
      <c r="L2515" s="835" t="e">
        <f>E2515+K2515</f>
        <v>#REF!</v>
      </c>
    </row>
    <row r="2516" spans="1:12" s="31" customFormat="1" ht="17.25" customHeight="1">
      <c r="A2516" s="895"/>
      <c r="B2516" s="895"/>
      <c r="C2516" s="895"/>
      <c r="D2516" s="895"/>
      <c r="E2516" s="895"/>
      <c r="F2516" s="895"/>
      <c r="G2516" s="895"/>
      <c r="H2516" s="895"/>
      <c r="I2516" s="895"/>
      <c r="J2516" s="895"/>
      <c r="K2516" s="895"/>
      <c r="L2516" s="818"/>
    </row>
    <row r="2517" spans="1:12" s="31" customFormat="1" ht="17.25" customHeight="1">
      <c r="A2517" s="891" t="str">
        <f>A2501</f>
        <v>LƯƠNG THÁNG 01/2025</v>
      </c>
      <c r="B2517" s="895"/>
      <c r="C2517" s="895"/>
      <c r="D2517" s="895"/>
      <c r="E2517" s="898" t="e">
        <f>VLOOKUP(B2518,'CNKT '!#REF!,26,0)</f>
        <v>#REF!</v>
      </c>
      <c r="F2517" s="882"/>
      <c r="G2517" s="891" t="str">
        <f>A2517</f>
        <v>LƯƠNG THÁNG 01/2025</v>
      </c>
      <c r="H2517" s="895"/>
      <c r="I2517" s="895"/>
      <c r="J2517" s="898"/>
      <c r="K2517" s="898" t="e">
        <f>VLOOKUP(H2518,'CNKT '!#REF!,26,0)</f>
        <v>#REF!</v>
      </c>
      <c r="L2517" s="818"/>
    </row>
    <row r="2518" spans="1:12" s="31" customFormat="1" ht="17.25" customHeight="1">
      <c r="A2518" s="837" t="s">
        <v>17</v>
      </c>
      <c r="B2518" s="976" t="e">
        <f>'CNKT '!#REF!</f>
        <v>#REF!</v>
      </c>
      <c r="C2518" s="822"/>
      <c r="D2518" s="976" t="s">
        <v>398</v>
      </c>
      <c r="E2518" s="976" t="s">
        <v>20</v>
      </c>
      <c r="F2518" s="882"/>
      <c r="G2518" s="837" t="s">
        <v>17</v>
      </c>
      <c r="H2518" s="976" t="e">
        <f>'CNKT '!#REF!</f>
        <v>#REF!</v>
      </c>
      <c r="I2518" s="822"/>
      <c r="J2518" s="976" t="s">
        <v>398</v>
      </c>
      <c r="K2518" s="976" t="s">
        <v>20</v>
      </c>
      <c r="L2518" s="818"/>
    </row>
    <row r="2519" spans="1:12" s="31" customFormat="1" ht="17.25" customHeight="1">
      <c r="A2519" s="821" t="s">
        <v>399</v>
      </c>
      <c r="B2519" s="978" t="s">
        <v>559</v>
      </c>
      <c r="C2519" s="822" t="e">
        <f>VLOOKUP(B2518,'BTH mủ tạp'!$C$161:$AL$161,36,0)</f>
        <v>#REF!</v>
      </c>
      <c r="D2519" s="823"/>
      <c r="E2519" s="823"/>
      <c r="F2519" s="882"/>
      <c r="G2519" s="821" t="s">
        <v>399</v>
      </c>
      <c r="H2519" s="978" t="s">
        <v>559</v>
      </c>
      <c r="I2519" s="822" t="e">
        <f>VLOOKUP(H2518,'BTH mủ tạp'!$C$161:$AL$161,36,0)</f>
        <v>#REF!</v>
      </c>
      <c r="J2519" s="823"/>
      <c r="K2519" s="823"/>
      <c r="L2519" s="818"/>
    </row>
    <row r="2520" spans="1:12" s="31" customFormat="1" ht="17.25" customHeight="1">
      <c r="A2520" s="821" t="s">
        <v>79</v>
      </c>
      <c r="B2520" s="979" t="s">
        <v>432</v>
      </c>
      <c r="C2520" s="824" t="e">
        <f>VLOOKUP(B2518,'CNKT '!#REF!,3,0)</f>
        <v>#REF!</v>
      </c>
      <c r="D2520" s="825">
        <v>25000</v>
      </c>
      <c r="E2520" s="823" t="e">
        <f t="shared" ref="E2520:E2525" si="297">C2520*D2520</f>
        <v>#REF!</v>
      </c>
      <c r="F2520" s="882"/>
      <c r="G2520" s="821" t="s">
        <v>79</v>
      </c>
      <c r="H2520" s="979" t="s">
        <v>432</v>
      </c>
      <c r="I2520" s="824" t="e">
        <f>VLOOKUP(H2518,'CNKT '!#REF!,3,0)</f>
        <v>#REF!</v>
      </c>
      <c r="J2520" s="825">
        <v>25000</v>
      </c>
      <c r="K2520" s="823" t="e">
        <f t="shared" ref="K2520:K2525" si="298">I2520*J2520</f>
        <v>#REF!</v>
      </c>
      <c r="L2520" s="818"/>
    </row>
    <row r="2521" spans="1:12" s="31" customFormat="1" ht="17.25" customHeight="1">
      <c r="A2521" s="821" t="s">
        <v>310</v>
      </c>
      <c r="B2521" s="980" t="s">
        <v>560</v>
      </c>
      <c r="C2521" s="879" t="e">
        <f>VLOOKUP(B2518,'CNKT '!#REF!,11,0)</f>
        <v>#REF!</v>
      </c>
      <c r="D2521" s="826">
        <f>46.1*$B$2</f>
        <v>30805.403000000002</v>
      </c>
      <c r="E2521" s="823" t="e">
        <f t="shared" si="297"/>
        <v>#REF!</v>
      </c>
      <c r="F2521" s="882"/>
      <c r="G2521" s="821" t="s">
        <v>310</v>
      </c>
      <c r="H2521" s="980" t="s">
        <v>560</v>
      </c>
      <c r="I2521" s="879" t="e">
        <f>VLOOKUP(H2518,'CNKT '!#REF!,11,0)</f>
        <v>#REF!</v>
      </c>
      <c r="J2521" s="826">
        <f>46.1*$B$2</f>
        <v>30805.403000000002</v>
      </c>
      <c r="K2521" s="823" t="e">
        <f t="shared" si="298"/>
        <v>#REF!</v>
      </c>
      <c r="L2521" s="818"/>
    </row>
    <row r="2522" spans="1:12" s="31" customFormat="1" ht="17.25" customHeight="1">
      <c r="A2522" s="821" t="s">
        <v>401</v>
      </c>
      <c r="B2522" s="980" t="s">
        <v>561</v>
      </c>
      <c r="C2522" s="879" t="e">
        <f>VLOOKUP(B2518,'CNKT '!#REF!,12,0)</f>
        <v>#REF!</v>
      </c>
      <c r="D2522" s="825">
        <f>76.9*$B$2</f>
        <v>51386.887000000002</v>
      </c>
      <c r="E2522" s="823" t="e">
        <f t="shared" si="297"/>
        <v>#REF!</v>
      </c>
      <c r="F2522" s="882"/>
      <c r="G2522" s="821" t="s">
        <v>401</v>
      </c>
      <c r="H2522" s="980" t="s">
        <v>561</v>
      </c>
      <c r="I2522" s="879" t="e">
        <f>VLOOKUP(H2518,'CNKT '!#REF!,12,0)</f>
        <v>#REF!</v>
      </c>
      <c r="J2522" s="825">
        <f>76.9*$B$2</f>
        <v>51386.887000000002</v>
      </c>
      <c r="K2522" s="823" t="e">
        <f t="shared" si="298"/>
        <v>#REF!</v>
      </c>
      <c r="L2522" s="818"/>
    </row>
    <row r="2523" spans="1:12" s="31" customFormat="1" ht="17.25" customHeight="1">
      <c r="A2523" s="821" t="s">
        <v>80</v>
      </c>
      <c r="B2523" s="980" t="s">
        <v>562</v>
      </c>
      <c r="C2523" s="879" t="e">
        <f>VLOOKUP(B2518,'CNKT '!#REF!,8,0)</f>
        <v>#REF!</v>
      </c>
      <c r="D2523" s="825" t="e">
        <f>IF(C2519="A",6.1,IF(C2519="B",5.8,IF(C2519="C",5.5,IF(C2519="C.",5.5,IF(C2519="D",5.2)))))*$B$2</f>
        <v>#REF!</v>
      </c>
      <c r="E2523" s="823" t="e">
        <f t="shared" si="297"/>
        <v>#REF!</v>
      </c>
      <c r="F2523" s="882"/>
      <c r="G2523" s="821" t="s">
        <v>80</v>
      </c>
      <c r="H2523" s="980" t="s">
        <v>562</v>
      </c>
      <c r="I2523" s="879" t="e">
        <f>VLOOKUP(H2518,'CNKT '!#REF!,8,0)</f>
        <v>#REF!</v>
      </c>
      <c r="J2523" s="825" t="e">
        <f>IF(I2519="A",6.1,IF(I2519="B",5.8,IF(I2519="C",5.5,IF(I2519="C.",5.5,IF(I2519="D",5.2)))))*$B$2</f>
        <v>#REF!</v>
      </c>
      <c r="K2523" s="823" t="e">
        <f t="shared" si="298"/>
        <v>#REF!</v>
      </c>
      <c r="L2523" s="818"/>
    </row>
    <row r="2524" spans="1:12" s="31" customFormat="1" ht="17.25" customHeight="1">
      <c r="A2524" s="821" t="s">
        <v>447</v>
      </c>
      <c r="B2524" s="980" t="s">
        <v>563</v>
      </c>
      <c r="C2524" s="879" t="e">
        <f>VLOOKUP(B2518,'CNKT '!#REF!,15,0)</f>
        <v>#REF!</v>
      </c>
      <c r="D2524" s="826">
        <f>92.2*$B$2</f>
        <v>61610.806000000004</v>
      </c>
      <c r="E2524" s="823" t="e">
        <f t="shared" si="297"/>
        <v>#REF!</v>
      </c>
      <c r="F2524" s="882"/>
      <c r="G2524" s="821" t="s">
        <v>447</v>
      </c>
      <c r="H2524" s="980" t="s">
        <v>563</v>
      </c>
      <c r="I2524" s="879" t="e">
        <f>VLOOKUP(H2518,'CNKT '!#REF!,15,0)</f>
        <v>#REF!</v>
      </c>
      <c r="J2524" s="826">
        <f>92.2*$B$2</f>
        <v>61610.806000000004</v>
      </c>
      <c r="K2524" s="823" t="e">
        <f t="shared" si="298"/>
        <v>#REF!</v>
      </c>
      <c r="L2524" s="818"/>
    </row>
    <row r="2525" spans="1:12" s="31" customFormat="1" ht="17.25" customHeight="1">
      <c r="A2525" s="821" t="s">
        <v>448</v>
      </c>
      <c r="B2525" s="980" t="s">
        <v>500</v>
      </c>
      <c r="C2525" s="879" t="e">
        <f>VLOOKUP(B2518,'CNKT '!#REF!,14,0)</f>
        <v>#REF!</v>
      </c>
      <c r="D2525" s="825">
        <f>153.6*$B$2</f>
        <v>102640.128</v>
      </c>
      <c r="E2525" s="823" t="e">
        <f t="shared" si="297"/>
        <v>#REF!</v>
      </c>
      <c r="F2525" s="882"/>
      <c r="G2525" s="821" t="s">
        <v>448</v>
      </c>
      <c r="H2525" s="980" t="s">
        <v>500</v>
      </c>
      <c r="I2525" s="879" t="e">
        <f>VLOOKUP(H2518,'CNKT '!#REF!,14,0)</f>
        <v>#REF!</v>
      </c>
      <c r="J2525" s="825">
        <f>153.6*$B$2</f>
        <v>102640.128</v>
      </c>
      <c r="K2525" s="823" t="e">
        <f t="shared" si="298"/>
        <v>#REF!</v>
      </c>
      <c r="L2525" s="818"/>
    </row>
    <row r="2526" spans="1:12" s="31" customFormat="1" ht="17.25" customHeight="1">
      <c r="A2526" s="821" t="s">
        <v>455</v>
      </c>
      <c r="B2526" s="980" t="s">
        <v>501</v>
      </c>
      <c r="C2526" s="879" t="e">
        <f>VLOOKUP(B2518,'CNKT '!#REF!,18,0)</f>
        <v>#REF!</v>
      </c>
      <c r="D2526" s="825">
        <v>10000</v>
      </c>
      <c r="E2526" s="823" t="e">
        <f>C2526*D2526</f>
        <v>#REF!</v>
      </c>
      <c r="F2526" s="882"/>
      <c r="G2526" s="821" t="s">
        <v>455</v>
      </c>
      <c r="H2526" s="980" t="s">
        <v>501</v>
      </c>
      <c r="I2526" s="879" t="e">
        <f>VLOOKUP(H2518,'CNKT '!#REF!,18,0)</f>
        <v>#REF!</v>
      </c>
      <c r="J2526" s="825">
        <v>10000</v>
      </c>
      <c r="K2526" s="823" t="e">
        <f>I2526*J2526</f>
        <v>#REF!</v>
      </c>
      <c r="L2526" s="818"/>
    </row>
    <row r="2527" spans="1:12" s="31" customFormat="1" ht="17.25" customHeight="1">
      <c r="A2527" s="821" t="s">
        <v>455</v>
      </c>
      <c r="B2527" s="980" t="s">
        <v>501</v>
      </c>
      <c r="C2527" s="879" t="e">
        <f>VLOOKUP(B2518,'CNKT '!#REF!,19,0)</f>
        <v>#REF!</v>
      </c>
      <c r="D2527" s="825">
        <v>20000</v>
      </c>
      <c r="E2527" s="823" t="e">
        <f>C2527*D2527</f>
        <v>#REF!</v>
      </c>
      <c r="F2527" s="882"/>
      <c r="G2527" s="821" t="s">
        <v>455</v>
      </c>
      <c r="H2527" s="980" t="s">
        <v>501</v>
      </c>
      <c r="I2527" s="879" t="e">
        <f>VLOOKUP(H2518,'CNKT '!#REF!,19,0)</f>
        <v>#REF!</v>
      </c>
      <c r="J2527" s="825">
        <v>20000</v>
      </c>
      <c r="K2527" s="823" t="e">
        <f>I2527*J2527</f>
        <v>#REF!</v>
      </c>
      <c r="L2527" s="818"/>
    </row>
    <row r="2528" spans="1:12" s="31" customFormat="1" ht="17.25" customHeight="1">
      <c r="A2528" s="827" t="s">
        <v>81</v>
      </c>
      <c r="B2528" s="981" t="s">
        <v>564</v>
      </c>
      <c r="C2528" s="828"/>
      <c r="D2528" s="829"/>
      <c r="E2528" s="828"/>
      <c r="F2528" s="882"/>
      <c r="G2528" s="827" t="s">
        <v>81</v>
      </c>
      <c r="H2528" s="981" t="s">
        <v>564</v>
      </c>
      <c r="I2528" s="828"/>
      <c r="J2528" s="829"/>
      <c r="K2528" s="828"/>
      <c r="L2528" s="818"/>
    </row>
    <row r="2529" spans="1:12" s="31" customFormat="1" ht="17.25" customHeight="1">
      <c r="A2529" s="830" t="s">
        <v>82</v>
      </c>
      <c r="B2529" s="982" t="s">
        <v>565</v>
      </c>
      <c r="C2529" s="828"/>
      <c r="D2529" s="828"/>
      <c r="E2529" s="828"/>
      <c r="F2529" s="882"/>
      <c r="G2529" s="830" t="s">
        <v>82</v>
      </c>
      <c r="H2529" s="982" t="s">
        <v>565</v>
      </c>
      <c r="I2529" s="828"/>
      <c r="J2529" s="828"/>
      <c r="K2529" s="828"/>
      <c r="L2529" s="818"/>
    </row>
    <row r="2530" spans="1:12" s="31" customFormat="1" ht="17.25" customHeight="1">
      <c r="A2530" s="830" t="s">
        <v>83</v>
      </c>
      <c r="B2530" s="983" t="s">
        <v>566</v>
      </c>
      <c r="C2530" s="828"/>
      <c r="D2530" s="828"/>
      <c r="E2530" s="823">
        <f>SUM(E2529)</f>
        <v>0</v>
      </c>
      <c r="F2530" s="882"/>
      <c r="G2530" s="830" t="s">
        <v>83</v>
      </c>
      <c r="H2530" s="983" t="s">
        <v>566</v>
      </c>
      <c r="I2530" s="828"/>
      <c r="J2530" s="828"/>
      <c r="K2530" s="823">
        <f>SUM(K2529)</f>
        <v>0</v>
      </c>
      <c r="L2530" s="818"/>
    </row>
    <row r="2531" spans="1:12" s="31" customFormat="1" ht="17.25" customHeight="1">
      <c r="A2531" s="832" t="s">
        <v>84</v>
      </c>
      <c r="B2531" s="984" t="s">
        <v>438</v>
      </c>
      <c r="C2531" s="833"/>
      <c r="D2531" s="833"/>
      <c r="E2531" s="833" t="e">
        <f>(E2520+E2521+E2522+E2523+E2524+E2525+E2526+E2527)-E2530</f>
        <v>#REF!</v>
      </c>
      <c r="F2531" s="882"/>
      <c r="G2531" s="832" t="s">
        <v>84</v>
      </c>
      <c r="H2531" s="984" t="s">
        <v>438</v>
      </c>
      <c r="I2531" s="833"/>
      <c r="J2531" s="833"/>
      <c r="K2531" s="833" t="e">
        <f>(K2520+K2521+K2522+K2523+K2524+K2525+K2526+K2527)-K2530</f>
        <v>#REF!</v>
      </c>
      <c r="L2531" s="835" t="e">
        <f>E2531+K2531</f>
        <v>#REF!</v>
      </c>
    </row>
    <row r="2532" spans="1:12" s="31" customFormat="1" ht="17.25" customHeight="1">
      <c r="A2532" s="895"/>
      <c r="B2532" s="895"/>
      <c r="C2532" s="895"/>
      <c r="D2532" s="895"/>
      <c r="E2532" s="895"/>
      <c r="F2532" s="895"/>
      <c r="G2532" s="895"/>
      <c r="H2532" s="895"/>
      <c r="I2532" s="895"/>
      <c r="J2532" s="895"/>
      <c r="K2532" s="895"/>
      <c r="L2532" s="818"/>
    </row>
    <row r="2533" spans="1:12" s="31" customFormat="1" ht="17.25" customHeight="1">
      <c r="A2533" s="891" t="str">
        <f>A2517</f>
        <v>LƯƠNG THÁNG 01/2025</v>
      </c>
      <c r="B2533" s="895"/>
      <c r="C2533" s="895"/>
      <c r="D2533" s="895"/>
      <c r="E2533" s="898" t="e">
        <f>VLOOKUP(B2534,'CNKT '!#REF!,26,0)</f>
        <v>#REF!</v>
      </c>
      <c r="F2533" s="882"/>
      <c r="G2533" s="891" t="str">
        <f>A2533</f>
        <v>LƯƠNG THÁNG 01/2025</v>
      </c>
      <c r="H2533" s="895"/>
      <c r="I2533" s="895"/>
      <c r="J2533" s="898"/>
      <c r="K2533" s="898" t="e">
        <f>VLOOKUP(H2534,'CNKT '!#REF!,26,0)</f>
        <v>#REF!</v>
      </c>
      <c r="L2533" s="818"/>
    </row>
    <row r="2534" spans="1:12" s="31" customFormat="1" ht="17.25" customHeight="1">
      <c r="A2534" s="837" t="s">
        <v>17</v>
      </c>
      <c r="B2534" s="976" t="e">
        <f>'CNKT '!#REF!</f>
        <v>#REF!</v>
      </c>
      <c r="C2534" s="822"/>
      <c r="D2534" s="822"/>
      <c r="E2534" s="885" t="s">
        <v>44</v>
      </c>
      <c r="F2534" s="882"/>
      <c r="G2534" s="837" t="s">
        <v>17</v>
      </c>
      <c r="H2534" s="976" t="e">
        <f>'CNKT '!#REF!</f>
        <v>#REF!</v>
      </c>
      <c r="I2534" s="822"/>
      <c r="J2534" s="885" t="s">
        <v>44</v>
      </c>
      <c r="K2534" s="881"/>
      <c r="L2534" s="818"/>
    </row>
    <row r="2535" spans="1:12" s="31" customFormat="1" ht="17.25" customHeight="1">
      <c r="A2535" s="821" t="s">
        <v>399</v>
      </c>
      <c r="B2535" s="978" t="s">
        <v>559</v>
      </c>
      <c r="C2535" s="822" t="e">
        <f>VLOOKUP(B2534,'BTH mủ tạp'!$C$161:$AL$161,36,0)</f>
        <v>#REF!</v>
      </c>
      <c r="D2535" s="823"/>
      <c r="E2535" s="823"/>
      <c r="F2535" s="882"/>
      <c r="G2535" s="821" t="s">
        <v>399</v>
      </c>
      <c r="H2535" s="978" t="s">
        <v>559</v>
      </c>
      <c r="I2535" s="822" t="e">
        <f>VLOOKUP(H2534,'BTH mủ tạp'!$C$161:$AL$161,36,0)</f>
        <v>#REF!</v>
      </c>
      <c r="J2535" s="823"/>
      <c r="K2535" s="823"/>
      <c r="L2535" s="818"/>
    </row>
    <row r="2536" spans="1:12" s="31" customFormat="1" ht="17.25" customHeight="1">
      <c r="A2536" s="821" t="s">
        <v>79</v>
      </c>
      <c r="B2536" s="979" t="s">
        <v>432</v>
      </c>
      <c r="C2536" s="824" t="e">
        <f>VLOOKUP(B2534,'CNKT '!#REF!,3,0)</f>
        <v>#REF!</v>
      </c>
      <c r="D2536" s="825">
        <v>25000</v>
      </c>
      <c r="E2536" s="823" t="e">
        <f t="shared" ref="E2536:E2541" si="299">C2536*D2536</f>
        <v>#REF!</v>
      </c>
      <c r="F2536" s="882"/>
      <c r="G2536" s="821" t="s">
        <v>79</v>
      </c>
      <c r="H2536" s="979" t="s">
        <v>432</v>
      </c>
      <c r="I2536" s="824" t="e">
        <f>VLOOKUP(H2534,'CNKT '!$C$163:$Z$163,3,0)</f>
        <v>#REF!</v>
      </c>
      <c r="J2536" s="825">
        <v>25000</v>
      </c>
      <c r="K2536" s="823" t="e">
        <f t="shared" ref="K2536:K2541" si="300">I2536*J2536</f>
        <v>#REF!</v>
      </c>
      <c r="L2536" s="818"/>
    </row>
    <row r="2537" spans="1:12" s="31" customFormat="1" ht="17.25" customHeight="1">
      <c r="A2537" s="821" t="s">
        <v>310</v>
      </c>
      <c r="B2537" s="980" t="s">
        <v>560</v>
      </c>
      <c r="C2537" s="879" t="e">
        <f>VLOOKUP(B2534,'CNKT '!#REF!,11,0)</f>
        <v>#REF!</v>
      </c>
      <c r="D2537" s="826">
        <f>46.1*$B$2</f>
        <v>30805.403000000002</v>
      </c>
      <c r="E2537" s="823" t="e">
        <f t="shared" si="299"/>
        <v>#REF!</v>
      </c>
      <c r="F2537" s="882"/>
      <c r="G2537" s="821" t="s">
        <v>310</v>
      </c>
      <c r="H2537" s="980" t="s">
        <v>560</v>
      </c>
      <c r="I2537" s="879" t="e">
        <f>VLOOKUP(H2534,'CNKT '!$C$163:$Z$163,11,0)</f>
        <v>#REF!</v>
      </c>
      <c r="J2537" s="826">
        <f>46.1*$B$2</f>
        <v>30805.403000000002</v>
      </c>
      <c r="K2537" s="823" t="e">
        <f t="shared" si="300"/>
        <v>#REF!</v>
      </c>
      <c r="L2537" s="818"/>
    </row>
    <row r="2538" spans="1:12" s="31" customFormat="1" ht="17.25" customHeight="1">
      <c r="A2538" s="821" t="s">
        <v>401</v>
      </c>
      <c r="B2538" s="980" t="s">
        <v>561</v>
      </c>
      <c r="C2538" s="879" t="e">
        <f>VLOOKUP(B2534,'CNKT '!#REF!,12,0)</f>
        <v>#REF!</v>
      </c>
      <c r="D2538" s="825">
        <f>76.9*$B$2</f>
        <v>51386.887000000002</v>
      </c>
      <c r="E2538" s="823" t="e">
        <f t="shared" si="299"/>
        <v>#REF!</v>
      </c>
      <c r="F2538" s="882"/>
      <c r="G2538" s="821" t="s">
        <v>401</v>
      </c>
      <c r="H2538" s="980" t="s">
        <v>561</v>
      </c>
      <c r="I2538" s="879" t="e">
        <f>VLOOKUP(H2534,'CNKT '!$C$163:$Z$163,12,0)</f>
        <v>#REF!</v>
      </c>
      <c r="J2538" s="825">
        <f>76.9*$B$2</f>
        <v>51386.887000000002</v>
      </c>
      <c r="K2538" s="823" t="e">
        <f t="shared" si="300"/>
        <v>#REF!</v>
      </c>
      <c r="L2538" s="818"/>
    </row>
    <row r="2539" spans="1:12" s="31" customFormat="1" ht="17.25" customHeight="1">
      <c r="A2539" s="821" t="s">
        <v>80</v>
      </c>
      <c r="B2539" s="980" t="s">
        <v>562</v>
      </c>
      <c r="C2539" s="879" t="e">
        <f>VLOOKUP(B2534,'CNKT '!#REF!,8,0)</f>
        <v>#REF!</v>
      </c>
      <c r="D2539" s="825" t="e">
        <f>IF(C2535="A",6.1,IF(C2535="B",5.8,IF(C2535="C",5.5,IF(C2535="C.",5.5,IF(C2535="D",5.2)))))*$B$2</f>
        <v>#REF!</v>
      </c>
      <c r="E2539" s="823" t="e">
        <f t="shared" si="299"/>
        <v>#REF!</v>
      </c>
      <c r="F2539" s="882"/>
      <c r="G2539" s="821" t="s">
        <v>80</v>
      </c>
      <c r="H2539" s="980" t="s">
        <v>562</v>
      </c>
      <c r="I2539" s="879" t="e">
        <f>VLOOKUP(H2534,'CNKT '!$C$163:$Z$163,8,0)</f>
        <v>#REF!</v>
      </c>
      <c r="J2539" s="825" t="e">
        <f>IF(I2535="A",6.1,IF(I2535="B",5.8,IF(I2535="C",5.5,IF(I2535="C.",5.5,IF(I2535="D",5.2)))))*$B$2</f>
        <v>#REF!</v>
      </c>
      <c r="K2539" s="823" t="e">
        <f t="shared" si="300"/>
        <v>#REF!</v>
      </c>
      <c r="L2539" s="818"/>
    </row>
    <row r="2540" spans="1:12" s="31" customFormat="1" ht="17.25" customHeight="1">
      <c r="A2540" s="821" t="s">
        <v>447</v>
      </c>
      <c r="B2540" s="980" t="s">
        <v>563</v>
      </c>
      <c r="C2540" s="879" t="e">
        <f>VLOOKUP(B2534,'CNKT '!#REF!,15,0)</f>
        <v>#REF!</v>
      </c>
      <c r="D2540" s="826">
        <f>92.2*$B$2</f>
        <v>61610.806000000004</v>
      </c>
      <c r="E2540" s="823" t="e">
        <f t="shared" si="299"/>
        <v>#REF!</v>
      </c>
      <c r="F2540" s="882"/>
      <c r="G2540" s="821" t="s">
        <v>447</v>
      </c>
      <c r="H2540" s="980" t="s">
        <v>563</v>
      </c>
      <c r="I2540" s="879" t="e">
        <f>VLOOKUP(H2534,'CNKT '!$C$163:$Z$163,15,0)</f>
        <v>#REF!</v>
      </c>
      <c r="J2540" s="826">
        <f>92.2*$B$2</f>
        <v>61610.806000000004</v>
      </c>
      <c r="K2540" s="823" t="e">
        <f t="shared" si="300"/>
        <v>#REF!</v>
      </c>
      <c r="L2540" s="818"/>
    </row>
    <row r="2541" spans="1:12" s="31" customFormat="1" ht="17.25" customHeight="1">
      <c r="A2541" s="821" t="s">
        <v>448</v>
      </c>
      <c r="B2541" s="980" t="s">
        <v>500</v>
      </c>
      <c r="C2541" s="879" t="e">
        <f>VLOOKUP(B2534,'CNKT '!#REF!,14,0)</f>
        <v>#REF!</v>
      </c>
      <c r="D2541" s="825">
        <f>153.6*$B$2</f>
        <v>102640.128</v>
      </c>
      <c r="E2541" s="823" t="e">
        <f t="shared" si="299"/>
        <v>#REF!</v>
      </c>
      <c r="F2541" s="882"/>
      <c r="G2541" s="821" t="s">
        <v>448</v>
      </c>
      <c r="H2541" s="980" t="s">
        <v>500</v>
      </c>
      <c r="I2541" s="879" t="e">
        <f>VLOOKUP(H2534,'CNKT '!$C$163:$Z$163,14,0)</f>
        <v>#REF!</v>
      </c>
      <c r="J2541" s="825">
        <f>153.6*$B$2</f>
        <v>102640.128</v>
      </c>
      <c r="K2541" s="823" t="e">
        <f t="shared" si="300"/>
        <v>#REF!</v>
      </c>
      <c r="L2541" s="818"/>
    </row>
    <row r="2542" spans="1:12" s="31" customFormat="1" ht="17.25" customHeight="1">
      <c r="A2542" s="821" t="s">
        <v>455</v>
      </c>
      <c r="B2542" s="980" t="s">
        <v>501</v>
      </c>
      <c r="C2542" s="879" t="e">
        <f>VLOOKUP(B2534,'CNKT '!#REF!,18,0)</f>
        <v>#REF!</v>
      </c>
      <c r="D2542" s="825">
        <v>10000</v>
      </c>
      <c r="E2542" s="823" t="e">
        <f>C2542*D2542</f>
        <v>#REF!</v>
      </c>
      <c r="F2542" s="882"/>
      <c r="G2542" s="821" t="s">
        <v>455</v>
      </c>
      <c r="H2542" s="980" t="s">
        <v>501</v>
      </c>
      <c r="I2542" s="879" t="e">
        <f>VLOOKUP(H2534,'CNKT '!#REF!,18,0)</f>
        <v>#REF!</v>
      </c>
      <c r="J2542" s="825">
        <v>10000</v>
      </c>
      <c r="K2542" s="823" t="e">
        <f>I2542*J2542</f>
        <v>#REF!</v>
      </c>
      <c r="L2542" s="818"/>
    </row>
    <row r="2543" spans="1:12" s="31" customFormat="1" ht="17.25" customHeight="1">
      <c r="A2543" s="821" t="s">
        <v>455</v>
      </c>
      <c r="B2543" s="980" t="s">
        <v>501</v>
      </c>
      <c r="C2543" s="879" t="e">
        <f>VLOOKUP(B2534,'CNKT '!#REF!,19,0)</f>
        <v>#REF!</v>
      </c>
      <c r="D2543" s="825">
        <v>20000</v>
      </c>
      <c r="E2543" s="823" t="e">
        <f>C2543*D2543</f>
        <v>#REF!</v>
      </c>
      <c r="F2543" s="882"/>
      <c r="G2543" s="821" t="s">
        <v>455</v>
      </c>
      <c r="H2543" s="980" t="s">
        <v>501</v>
      </c>
      <c r="I2543" s="879" t="e">
        <f>VLOOKUP(H2534,'CNKT '!#REF!,19,0)</f>
        <v>#REF!</v>
      </c>
      <c r="J2543" s="825">
        <v>20000</v>
      </c>
      <c r="K2543" s="823" t="e">
        <f>I2543*J2543</f>
        <v>#REF!</v>
      </c>
      <c r="L2543" s="818"/>
    </row>
    <row r="2544" spans="1:12" s="31" customFormat="1" ht="17.25" customHeight="1">
      <c r="A2544" s="827" t="s">
        <v>81</v>
      </c>
      <c r="B2544" s="981" t="s">
        <v>564</v>
      </c>
      <c r="C2544" s="828"/>
      <c r="D2544" s="829"/>
      <c r="E2544" s="828"/>
      <c r="F2544" s="882"/>
      <c r="G2544" s="827" t="s">
        <v>81</v>
      </c>
      <c r="H2544" s="981" t="s">
        <v>564</v>
      </c>
      <c r="I2544" s="828"/>
      <c r="J2544" s="829"/>
      <c r="K2544" s="828"/>
      <c r="L2544" s="818"/>
    </row>
    <row r="2545" spans="1:15" s="31" customFormat="1" ht="17.25" customHeight="1">
      <c r="A2545" s="830" t="s">
        <v>82</v>
      </c>
      <c r="B2545" s="982" t="s">
        <v>565</v>
      </c>
      <c r="C2545" s="828"/>
      <c r="D2545" s="828"/>
      <c r="E2545" s="828"/>
      <c r="F2545" s="882"/>
      <c r="G2545" s="830" t="s">
        <v>82</v>
      </c>
      <c r="H2545" s="982" t="s">
        <v>565</v>
      </c>
      <c r="I2545" s="828"/>
      <c r="J2545" s="828"/>
      <c r="K2545" s="828"/>
      <c r="L2545" s="818"/>
    </row>
    <row r="2546" spans="1:15" s="31" customFormat="1" ht="17.25" customHeight="1">
      <c r="A2546" s="830" t="s">
        <v>83</v>
      </c>
      <c r="B2546" s="983" t="s">
        <v>566</v>
      </c>
      <c r="C2546" s="828"/>
      <c r="D2546" s="828"/>
      <c r="E2546" s="823">
        <f>SUM(E2545)</f>
        <v>0</v>
      </c>
      <c r="F2546" s="882"/>
      <c r="G2546" s="830" t="s">
        <v>83</v>
      </c>
      <c r="H2546" s="983" t="s">
        <v>566</v>
      </c>
      <c r="I2546" s="828"/>
      <c r="J2546" s="828"/>
      <c r="K2546" s="823">
        <f>SUM(K2545)</f>
        <v>0</v>
      </c>
      <c r="L2546" s="818"/>
    </row>
    <row r="2547" spans="1:15" s="31" customFormat="1" ht="17.25" customHeight="1">
      <c r="A2547" s="832" t="s">
        <v>84</v>
      </c>
      <c r="B2547" s="984" t="s">
        <v>438</v>
      </c>
      <c r="C2547" s="833"/>
      <c r="D2547" s="833"/>
      <c r="E2547" s="833" t="e">
        <f>(E2536+E2537+E2538+E2539+E2540+E2541+E2542+E2543)-E2546</f>
        <v>#REF!</v>
      </c>
      <c r="F2547" s="882"/>
      <c r="G2547" s="832" t="s">
        <v>84</v>
      </c>
      <c r="H2547" s="984" t="s">
        <v>438</v>
      </c>
      <c r="I2547" s="833"/>
      <c r="J2547" s="833"/>
      <c r="K2547" s="833" t="e">
        <f>(K2536+K2537+K2538+K2539+K2540+K2541+K2542+K2543)-K2546</f>
        <v>#REF!</v>
      </c>
      <c r="L2547" s="835" t="e">
        <f>E2547+K2547</f>
        <v>#REF!</v>
      </c>
    </row>
    <row r="2548" spans="1:15" s="31" customFormat="1" ht="17.25" customHeight="1">
      <c r="A2548" s="821"/>
      <c r="B2548" s="821"/>
      <c r="C2548" s="976"/>
      <c r="D2548" s="976"/>
      <c r="E2548" s="823"/>
      <c r="F2548" s="882"/>
      <c r="G2548" s="869"/>
      <c r="H2548" s="886"/>
      <c r="I2548" s="887"/>
      <c r="J2548" s="878"/>
      <c r="K2548" s="881"/>
      <c r="L2548" s="818"/>
    </row>
    <row r="2549" spans="1:15" s="31" customFormat="1" ht="46.5" customHeight="1">
      <c r="A2549" s="888"/>
      <c r="B2549" s="889"/>
      <c r="C2549" s="972"/>
      <c r="D2549" s="972"/>
      <c r="E2549" s="890"/>
      <c r="F2549" s="882"/>
      <c r="G2549" s="891"/>
      <c r="H2549" s="892"/>
      <c r="I2549" s="893"/>
      <c r="J2549" s="894"/>
      <c r="K2549" s="881"/>
      <c r="L2549" s="818"/>
    </row>
    <row r="2550" spans="1:15" s="31" customFormat="1" ht="17.25" customHeight="1">
      <c r="A2550" s="891" t="str">
        <f>A2533</f>
        <v>LƯƠNG THÁNG 01/2025</v>
      </c>
      <c r="B2550" s="895"/>
      <c r="C2550" s="895"/>
      <c r="D2550" s="895"/>
      <c r="E2550" s="898" t="e">
        <f>VLOOKUP(B2551,'CNKT '!#REF!,26,0)</f>
        <v>#REF!</v>
      </c>
      <c r="F2550" s="882"/>
      <c r="G2550" s="891" t="str">
        <f>A2550</f>
        <v>LƯƠNG THÁNG 01/2025</v>
      </c>
      <c r="H2550" s="895"/>
      <c r="I2550" s="895"/>
      <c r="J2550" s="898"/>
      <c r="K2550" s="898" t="e">
        <f>VLOOKUP(H2551,'CNKT '!#REF!,26,0)</f>
        <v>#REF!</v>
      </c>
      <c r="L2550" s="818"/>
    </row>
    <row r="2551" spans="1:15" s="31" customFormat="1" ht="17.25" customHeight="1">
      <c r="A2551" s="837" t="s">
        <v>17</v>
      </c>
      <c r="B2551" s="976" t="e">
        <f>'CNKT '!#REF!</f>
        <v>#REF!</v>
      </c>
      <c r="C2551" s="822" t="e">
        <f>VLOOKUP(B2551,'BTH mủ tạp'!$C$161:$AL$161,36,0)</f>
        <v>#REF!</v>
      </c>
      <c r="D2551" s="822"/>
      <c r="E2551" s="885" t="s">
        <v>44</v>
      </c>
      <c r="F2551" s="882"/>
      <c r="G2551" s="837" t="s">
        <v>17</v>
      </c>
      <c r="H2551" s="976" t="e">
        <f>'CNKT '!#REF!</f>
        <v>#REF!</v>
      </c>
      <c r="I2551" s="822" t="e">
        <f>VLOOKUP(H2551,'BTH mủ tạp'!$C$161:$AL$161,36,0)</f>
        <v>#REF!</v>
      </c>
      <c r="J2551" s="885" t="s">
        <v>44</v>
      </c>
      <c r="K2551" s="881"/>
      <c r="L2551" s="818"/>
    </row>
    <row r="2552" spans="1:15" s="31" customFormat="1" ht="17.25" customHeight="1">
      <c r="A2552" s="821" t="s">
        <v>399</v>
      </c>
      <c r="B2552" s="978" t="s">
        <v>559</v>
      </c>
      <c r="C2552" s="822" t="e">
        <f>VLOOKUP(B2551,'BTH mủ tạp'!$C$161:$AL$161,36,0)</f>
        <v>#REF!</v>
      </c>
      <c r="D2552" s="823"/>
      <c r="E2552" s="823"/>
      <c r="F2552" s="882"/>
      <c r="G2552" s="821" t="s">
        <v>399</v>
      </c>
      <c r="H2552" s="978" t="s">
        <v>559</v>
      </c>
      <c r="I2552" s="822" t="e">
        <f>VLOOKUP(H2551,'BTH mủ tạp'!$C$161:$AL$161,36,0)</f>
        <v>#REF!</v>
      </c>
      <c r="J2552" s="823"/>
      <c r="K2552" s="823"/>
      <c r="L2552" s="818"/>
    </row>
    <row r="2553" spans="1:15" s="31" customFormat="1" ht="17.25" customHeight="1">
      <c r="A2553" s="821" t="s">
        <v>79</v>
      </c>
      <c r="B2553" s="979" t="s">
        <v>432</v>
      </c>
      <c r="C2553" s="824" t="e">
        <f>VLOOKUP(B2551,'CNKT '!$C$163:$Z$163,3,0)</f>
        <v>#REF!</v>
      </c>
      <c r="D2553" s="825">
        <v>25000</v>
      </c>
      <c r="E2553" s="823" t="e">
        <f t="shared" ref="E2553:E2558" si="301">C2553*D2553</f>
        <v>#REF!</v>
      </c>
      <c r="F2553" s="882"/>
      <c r="G2553" s="821" t="s">
        <v>79</v>
      </c>
      <c r="H2553" s="979" t="s">
        <v>432</v>
      </c>
      <c r="I2553" s="824" t="e">
        <f>VLOOKUP(H2551,'CNKT '!$C$163:$Z$163,3,0)</f>
        <v>#REF!</v>
      </c>
      <c r="J2553" s="825">
        <v>25000</v>
      </c>
      <c r="K2553" s="823" t="e">
        <f t="shared" ref="K2553:K2558" si="302">I2553*J2553</f>
        <v>#REF!</v>
      </c>
      <c r="L2553" s="818"/>
    </row>
    <row r="2554" spans="1:15" s="31" customFormat="1" ht="17.25" customHeight="1">
      <c r="A2554" s="821" t="s">
        <v>310</v>
      </c>
      <c r="B2554" s="980" t="s">
        <v>560</v>
      </c>
      <c r="C2554" s="879" t="e">
        <f>VLOOKUP(B2551,'CNKT '!$C$163:$Z$163,11,0)</f>
        <v>#REF!</v>
      </c>
      <c r="D2554" s="826">
        <f>46.1*$B$2</f>
        <v>30805.403000000002</v>
      </c>
      <c r="E2554" s="823" t="e">
        <f t="shared" si="301"/>
        <v>#REF!</v>
      </c>
      <c r="F2554" s="882"/>
      <c r="G2554" s="821" t="s">
        <v>310</v>
      </c>
      <c r="H2554" s="980" t="s">
        <v>560</v>
      </c>
      <c r="I2554" s="879" t="e">
        <f>VLOOKUP(H2551,'CNKT '!$C$163:$Z$163,11,0)</f>
        <v>#REF!</v>
      </c>
      <c r="J2554" s="826">
        <f>46.1*$B$2</f>
        <v>30805.403000000002</v>
      </c>
      <c r="K2554" s="823" t="e">
        <f t="shared" si="302"/>
        <v>#REF!</v>
      </c>
      <c r="L2554" s="818"/>
    </row>
    <row r="2555" spans="1:15" s="31" customFormat="1" ht="17.25" customHeight="1">
      <c r="A2555" s="821" t="s">
        <v>401</v>
      </c>
      <c r="B2555" s="980" t="s">
        <v>561</v>
      </c>
      <c r="C2555" s="879" t="e">
        <f>VLOOKUP(B2551,'CNKT '!$C$163:$Z$163,12,0)</f>
        <v>#REF!</v>
      </c>
      <c r="D2555" s="825">
        <f>76.9*$B$2</f>
        <v>51386.887000000002</v>
      </c>
      <c r="E2555" s="823" t="e">
        <f t="shared" si="301"/>
        <v>#REF!</v>
      </c>
      <c r="F2555" s="882"/>
      <c r="G2555" s="821" t="s">
        <v>401</v>
      </c>
      <c r="H2555" s="980" t="s">
        <v>561</v>
      </c>
      <c r="I2555" s="879" t="e">
        <f>VLOOKUP(H2551,'CNKT '!$C$163:$Z$163,12,0)</f>
        <v>#REF!</v>
      </c>
      <c r="J2555" s="825">
        <f>76.9*$B$2</f>
        <v>51386.887000000002</v>
      </c>
      <c r="K2555" s="823" t="e">
        <f t="shared" si="302"/>
        <v>#REF!</v>
      </c>
      <c r="L2555" s="818"/>
    </row>
    <row r="2556" spans="1:15" s="31" customFormat="1" ht="17.25" customHeight="1">
      <c r="A2556" s="821" t="s">
        <v>80</v>
      </c>
      <c r="B2556" s="980" t="s">
        <v>562</v>
      </c>
      <c r="C2556" s="879" t="e">
        <f>VLOOKUP(B2551,'CNKT '!$C$163:$Z$163,8,0)</f>
        <v>#REF!</v>
      </c>
      <c r="D2556" s="825" t="e">
        <f>IF(C2552="A",6.1,IF(C2552="B",5.8,IF(C2552="C",5.5,IF(C2552="C.",5.5,IF(C2552="D",5.2)))))*$B$2</f>
        <v>#REF!</v>
      </c>
      <c r="E2556" s="823" t="e">
        <f t="shared" si="301"/>
        <v>#REF!</v>
      </c>
      <c r="F2556" s="882"/>
      <c r="G2556" s="821" t="s">
        <v>80</v>
      </c>
      <c r="H2556" s="980" t="s">
        <v>562</v>
      </c>
      <c r="I2556" s="879" t="e">
        <f>VLOOKUP(H2551,'CNKT '!$C$163:$Z$163,8,0)</f>
        <v>#REF!</v>
      </c>
      <c r="J2556" s="825" t="e">
        <f>IF(I2552="A",6.1,IF(I2552="B",5.8,IF(I2552="C",5.5,IF(I2552="C.",5.5,IF(I2552="D",5.2)))))*$B$2</f>
        <v>#REF!</v>
      </c>
      <c r="K2556" s="823" t="e">
        <f t="shared" si="302"/>
        <v>#REF!</v>
      </c>
      <c r="L2556" s="818"/>
    </row>
    <row r="2557" spans="1:15" s="31" customFormat="1" ht="17.25" customHeight="1">
      <c r="A2557" s="821" t="s">
        <v>447</v>
      </c>
      <c r="B2557" s="980" t="s">
        <v>563</v>
      </c>
      <c r="C2557" s="879" t="e">
        <f>VLOOKUP(B2551,'CNKT '!$C$163:$Z$163,15,0)</f>
        <v>#REF!</v>
      </c>
      <c r="D2557" s="826">
        <f>92.2*$B$2</f>
        <v>61610.806000000004</v>
      </c>
      <c r="E2557" s="823" t="e">
        <f t="shared" si="301"/>
        <v>#REF!</v>
      </c>
      <c r="F2557" s="882"/>
      <c r="G2557" s="821" t="s">
        <v>447</v>
      </c>
      <c r="H2557" s="980" t="s">
        <v>563</v>
      </c>
      <c r="I2557" s="879" t="e">
        <f>VLOOKUP(H2551,'CNKT '!$C$163:$Z$163,15,0)</f>
        <v>#REF!</v>
      </c>
      <c r="J2557" s="826">
        <f>92.2*$B$2</f>
        <v>61610.806000000004</v>
      </c>
      <c r="K2557" s="823" t="e">
        <f t="shared" si="302"/>
        <v>#REF!</v>
      </c>
      <c r="L2557" s="818"/>
    </row>
    <row r="2558" spans="1:15" s="31" customFormat="1" ht="17.25" customHeight="1">
      <c r="A2558" s="821" t="s">
        <v>448</v>
      </c>
      <c r="B2558" s="980" t="s">
        <v>500</v>
      </c>
      <c r="C2558" s="879" t="e">
        <f>VLOOKUP(B2551,'CNKT '!$C$163:$Z$163,14,0)</f>
        <v>#REF!</v>
      </c>
      <c r="D2558" s="825">
        <f>153.6*$B$2</f>
        <v>102640.128</v>
      </c>
      <c r="E2558" s="823" t="e">
        <f t="shared" si="301"/>
        <v>#REF!</v>
      </c>
      <c r="F2558" s="882"/>
      <c r="G2558" s="821" t="s">
        <v>448</v>
      </c>
      <c r="H2558" s="980" t="s">
        <v>500</v>
      </c>
      <c r="I2558" s="879" t="e">
        <f>VLOOKUP(H2551,'CNKT '!$C$163:$Z$163,14,0)</f>
        <v>#REF!</v>
      </c>
      <c r="J2558" s="825">
        <f>153.6*$B$2</f>
        <v>102640.128</v>
      </c>
      <c r="K2558" s="823" t="e">
        <f t="shared" si="302"/>
        <v>#REF!</v>
      </c>
      <c r="L2558" s="818"/>
    </row>
    <row r="2559" spans="1:15" s="31" customFormat="1" ht="17.25" customHeight="1">
      <c r="A2559" s="821" t="s">
        <v>455</v>
      </c>
      <c r="B2559" s="980" t="s">
        <v>501</v>
      </c>
      <c r="C2559" s="879" t="e">
        <f>VLOOKUP(B2551,'CNKT '!#REF!,18,0)</f>
        <v>#REF!</v>
      </c>
      <c r="D2559" s="825">
        <v>10000</v>
      </c>
      <c r="E2559" s="823" t="e">
        <f>C2559*D2559</f>
        <v>#REF!</v>
      </c>
      <c r="F2559" s="882"/>
      <c r="G2559" s="821" t="s">
        <v>455</v>
      </c>
      <c r="H2559" s="980" t="s">
        <v>501</v>
      </c>
      <c r="I2559" s="879" t="e">
        <f>VLOOKUP(H2551,'CNKT '!#REF!,18,0)</f>
        <v>#REF!</v>
      </c>
      <c r="J2559" s="825">
        <v>10000</v>
      </c>
      <c r="K2559" s="823" t="e">
        <f>I2559*J2559</f>
        <v>#REF!</v>
      </c>
      <c r="L2559" s="818"/>
      <c r="M2559" s="857"/>
      <c r="O2559" s="867"/>
    </row>
    <row r="2560" spans="1:15" s="31" customFormat="1" ht="17.25" customHeight="1">
      <c r="A2560" s="821" t="s">
        <v>455</v>
      </c>
      <c r="B2560" s="980" t="s">
        <v>501</v>
      </c>
      <c r="C2560" s="879" t="e">
        <f>VLOOKUP(B2551,'CNKT '!#REF!,19,0)</f>
        <v>#REF!</v>
      </c>
      <c r="D2560" s="825">
        <v>20000</v>
      </c>
      <c r="E2560" s="823" t="e">
        <f>C2560*D2560</f>
        <v>#REF!</v>
      </c>
      <c r="F2560" s="882"/>
      <c r="G2560" s="821" t="s">
        <v>455</v>
      </c>
      <c r="H2560" s="980" t="s">
        <v>501</v>
      </c>
      <c r="I2560" s="879" t="e">
        <f>VLOOKUP(H2551,'CNKT '!#REF!,19,0)</f>
        <v>#REF!</v>
      </c>
      <c r="J2560" s="825">
        <v>20000</v>
      </c>
      <c r="K2560" s="823" t="e">
        <f>I2560*J2560</f>
        <v>#REF!</v>
      </c>
      <c r="L2560" s="818"/>
      <c r="M2560" s="857"/>
      <c r="O2560" s="867"/>
    </row>
    <row r="2561" spans="1:15" s="31" customFormat="1" ht="17.25" customHeight="1">
      <c r="A2561" s="827" t="s">
        <v>81</v>
      </c>
      <c r="B2561" s="981" t="s">
        <v>564</v>
      </c>
      <c r="C2561" s="828"/>
      <c r="D2561" s="829"/>
      <c r="E2561" s="828"/>
      <c r="F2561" s="882"/>
      <c r="G2561" s="827" t="s">
        <v>81</v>
      </c>
      <c r="H2561" s="981" t="s">
        <v>564</v>
      </c>
      <c r="I2561" s="828"/>
      <c r="J2561" s="829"/>
      <c r="K2561" s="828"/>
      <c r="L2561" s="818"/>
    </row>
    <row r="2562" spans="1:15" s="31" customFormat="1" ht="17.25" customHeight="1">
      <c r="A2562" s="830" t="s">
        <v>82</v>
      </c>
      <c r="B2562" s="982" t="s">
        <v>565</v>
      </c>
      <c r="C2562" s="828"/>
      <c r="D2562" s="828"/>
      <c r="E2562" s="828"/>
      <c r="F2562" s="882"/>
      <c r="G2562" s="830" t="s">
        <v>82</v>
      </c>
      <c r="H2562" s="982" t="s">
        <v>565</v>
      </c>
      <c r="I2562" s="828"/>
      <c r="J2562" s="828"/>
      <c r="K2562" s="828"/>
      <c r="L2562" s="856"/>
      <c r="M2562" s="857"/>
      <c r="N2562" s="784"/>
      <c r="O2562" s="867"/>
    </row>
    <row r="2563" spans="1:15" s="31" customFormat="1" ht="17.25" customHeight="1">
      <c r="A2563" s="830" t="s">
        <v>83</v>
      </c>
      <c r="B2563" s="983" t="s">
        <v>566</v>
      </c>
      <c r="C2563" s="828"/>
      <c r="D2563" s="828"/>
      <c r="E2563" s="823">
        <f>SUM(E2562)</f>
        <v>0</v>
      </c>
      <c r="F2563" s="881"/>
      <c r="G2563" s="830" t="s">
        <v>83</v>
      </c>
      <c r="H2563" s="983" t="s">
        <v>566</v>
      </c>
      <c r="I2563" s="828"/>
      <c r="J2563" s="828"/>
      <c r="K2563" s="823">
        <f>SUM(K2562)</f>
        <v>0</v>
      </c>
      <c r="L2563" s="818"/>
    </row>
    <row r="2564" spans="1:15" s="31" customFormat="1" ht="17.25" customHeight="1">
      <c r="A2564" s="832" t="s">
        <v>84</v>
      </c>
      <c r="B2564" s="984" t="s">
        <v>438</v>
      </c>
      <c r="C2564" s="833"/>
      <c r="D2564" s="833"/>
      <c r="E2564" s="833" t="e">
        <f>(E2553+E2554+E2555+E2556+E2557+E2558+E2559+E2560)-E2563</f>
        <v>#REF!</v>
      </c>
      <c r="F2564" s="881"/>
      <c r="G2564" s="832" t="s">
        <v>84</v>
      </c>
      <c r="H2564" s="984" t="s">
        <v>438</v>
      </c>
      <c r="I2564" s="833"/>
      <c r="J2564" s="833"/>
      <c r="K2564" s="833" t="e">
        <f>(K2553+K2554+K2555+K2556+K2557+K2558+K2559+K2560)-K2563</f>
        <v>#REF!</v>
      </c>
      <c r="L2564" s="835" t="e">
        <f>E2564+K2564</f>
        <v>#REF!</v>
      </c>
      <c r="M2564" s="831"/>
      <c r="N2564" s="831"/>
    </row>
    <row r="2565" spans="1:15" s="31" customFormat="1" ht="17.25" customHeight="1">
      <c r="H2565" s="831" t="e">
        <f>SUM(#REF!)</f>
        <v>#REF!</v>
      </c>
    </row>
    <row r="2566" spans="1:15" s="31" customFormat="1" ht="17.25" customHeight="1">
      <c r="A2566" s="891" t="str">
        <f>A2550</f>
        <v>LƯƠNG THÁNG 01/2025</v>
      </c>
      <c r="B2566" s="895"/>
      <c r="C2566" s="895"/>
      <c r="D2566" s="895"/>
      <c r="E2566" s="898" t="e">
        <f>VLOOKUP(B2567,'CNKT '!#REF!,26,0)</f>
        <v>#REF!</v>
      </c>
      <c r="F2566" s="882"/>
      <c r="G2566" s="891" t="str">
        <f>A2566</f>
        <v>LƯƠNG THÁNG 01/2025</v>
      </c>
      <c r="H2566" s="895"/>
      <c r="I2566" s="895"/>
      <c r="J2566" s="898"/>
      <c r="K2566" s="898" t="e">
        <f>VLOOKUP(H2567,'CNKT '!#REF!,26,0)</f>
        <v>#REF!</v>
      </c>
      <c r="L2566" s="831"/>
    </row>
    <row r="2567" spans="1:15" s="31" customFormat="1" ht="17.25" customHeight="1">
      <c r="A2567" s="837" t="s">
        <v>17</v>
      </c>
      <c r="B2567" s="976" t="e">
        <f>'CNKT '!#REF!</f>
        <v>#REF!</v>
      </c>
      <c r="C2567" s="822" t="e">
        <f>VLOOKUP(B2567,'BTH mủ tạp'!$C$161:$AL$161,36,0)</f>
        <v>#REF!</v>
      </c>
      <c r="D2567" s="822"/>
      <c r="E2567" s="885" t="s">
        <v>44</v>
      </c>
      <c r="F2567" s="882"/>
      <c r="G2567" s="837" t="s">
        <v>17</v>
      </c>
      <c r="H2567" s="976" t="e">
        <f>'CNKT '!#REF!</f>
        <v>#REF!</v>
      </c>
      <c r="I2567" s="822" t="e">
        <f>VLOOKUP(H2567,'BTH mủ tạp'!$C$161:$AL$161,36,0)</f>
        <v>#REF!</v>
      </c>
      <c r="J2567" s="885" t="s">
        <v>44</v>
      </c>
      <c r="K2567" s="881"/>
      <c r="L2567" s="831"/>
    </row>
    <row r="2568" spans="1:15" s="31" customFormat="1" ht="17.25" customHeight="1">
      <c r="A2568" s="821" t="s">
        <v>399</v>
      </c>
      <c r="B2568" s="978" t="s">
        <v>559</v>
      </c>
      <c r="C2568" s="822" t="e">
        <f>VLOOKUP(B2567,'BTH mủ tạp'!$C$161:$AL$161,36,0)</f>
        <v>#REF!</v>
      </c>
      <c r="D2568" s="823"/>
      <c r="E2568" s="823"/>
      <c r="F2568" s="882"/>
      <c r="G2568" s="821" t="s">
        <v>399</v>
      </c>
      <c r="H2568" s="978" t="s">
        <v>559</v>
      </c>
      <c r="I2568" s="822" t="e">
        <f>VLOOKUP(H2567,'BTH mủ tạp'!$C$161:$AL$161,36,0)</f>
        <v>#REF!</v>
      </c>
      <c r="J2568" s="823"/>
      <c r="K2568" s="823"/>
      <c r="L2568" s="784"/>
      <c r="M2568" s="867"/>
      <c r="N2568" s="867"/>
    </row>
    <row r="2569" spans="1:15" s="31" customFormat="1" ht="17.25" customHeight="1">
      <c r="A2569" s="821" t="s">
        <v>79</v>
      </c>
      <c r="B2569" s="979" t="s">
        <v>432</v>
      </c>
      <c r="C2569" s="824" t="e">
        <f>VLOOKUP(B2567,'CNKT '!$C$163:$Z$163,3,0)</f>
        <v>#REF!</v>
      </c>
      <c r="D2569" s="825">
        <v>25000</v>
      </c>
      <c r="E2569" s="823" t="e">
        <f t="shared" ref="E2569:E2574" si="303">C2569*D2569</f>
        <v>#REF!</v>
      </c>
      <c r="F2569" s="882"/>
      <c r="G2569" s="821" t="s">
        <v>79</v>
      </c>
      <c r="H2569" s="979" t="s">
        <v>432</v>
      </c>
      <c r="I2569" s="824" t="e">
        <f>VLOOKUP(H2567,'CNKT '!$C$163:$Z$163,3,0)</f>
        <v>#REF!</v>
      </c>
      <c r="J2569" s="825">
        <v>25000</v>
      </c>
      <c r="K2569" s="823" t="e">
        <f t="shared" ref="K2569:K2574" si="304">I2569*J2569</f>
        <v>#REF!</v>
      </c>
      <c r="L2569" s="784"/>
    </row>
    <row r="2570" spans="1:15" s="31" customFormat="1" ht="17.25" customHeight="1">
      <c r="A2570" s="821" t="s">
        <v>310</v>
      </c>
      <c r="B2570" s="980" t="s">
        <v>560</v>
      </c>
      <c r="C2570" s="879" t="e">
        <f>VLOOKUP(B2567,'CNKT '!$C$163:$Z$163,11,0)</f>
        <v>#REF!</v>
      </c>
      <c r="D2570" s="826">
        <f>46.1*$B$2</f>
        <v>30805.403000000002</v>
      </c>
      <c r="E2570" s="823" t="e">
        <f t="shared" si="303"/>
        <v>#REF!</v>
      </c>
      <c r="F2570" s="882"/>
      <c r="G2570" s="821" t="s">
        <v>310</v>
      </c>
      <c r="H2570" s="980" t="s">
        <v>560</v>
      </c>
      <c r="I2570" s="879" t="e">
        <f>VLOOKUP(H2567,'CNKT '!$C$163:$Z$163,11,0)</f>
        <v>#REF!</v>
      </c>
      <c r="J2570" s="826">
        <f>46.1*$B$2</f>
        <v>30805.403000000002</v>
      </c>
      <c r="K2570" s="823" t="e">
        <f t="shared" si="304"/>
        <v>#REF!</v>
      </c>
      <c r="L2570" s="784"/>
    </row>
    <row r="2571" spans="1:15" s="31" customFormat="1" ht="17.25" customHeight="1">
      <c r="A2571" s="821" t="s">
        <v>401</v>
      </c>
      <c r="B2571" s="980" t="s">
        <v>561</v>
      </c>
      <c r="C2571" s="879" t="e">
        <f>VLOOKUP(B2567,'CNKT '!$C$163:$Z$163,12,0)</f>
        <v>#REF!</v>
      </c>
      <c r="D2571" s="825">
        <f>76.9*$B$2</f>
        <v>51386.887000000002</v>
      </c>
      <c r="E2571" s="823" t="e">
        <f t="shared" si="303"/>
        <v>#REF!</v>
      </c>
      <c r="F2571" s="882"/>
      <c r="G2571" s="821" t="s">
        <v>401</v>
      </c>
      <c r="H2571" s="980" t="s">
        <v>561</v>
      </c>
      <c r="I2571" s="879" t="e">
        <f>VLOOKUP(H2567,'CNKT '!$C$163:$Z$163,12,0)</f>
        <v>#REF!</v>
      </c>
      <c r="J2571" s="825">
        <f>76.9*$B$2</f>
        <v>51386.887000000002</v>
      </c>
      <c r="K2571" s="823" t="e">
        <f t="shared" si="304"/>
        <v>#REF!</v>
      </c>
      <c r="L2571" s="784"/>
    </row>
    <row r="2572" spans="1:15" s="31" customFormat="1" ht="17.25" customHeight="1">
      <c r="A2572" s="821" t="s">
        <v>80</v>
      </c>
      <c r="B2572" s="980" t="s">
        <v>562</v>
      </c>
      <c r="C2572" s="879" t="e">
        <f>VLOOKUP(B2567,'CNKT '!$C$163:$Z$163,8,0)</f>
        <v>#REF!</v>
      </c>
      <c r="D2572" s="825" t="e">
        <f>IF(C2568="A",6.1,IF(C2568="B",5.8,IF(C2568="C",5.5,IF(C2568="C.",5.5,IF(C2568="D",5.2)))))*$B$2</f>
        <v>#REF!</v>
      </c>
      <c r="E2572" s="823" t="e">
        <f t="shared" si="303"/>
        <v>#REF!</v>
      </c>
      <c r="F2572" s="882"/>
      <c r="G2572" s="821" t="s">
        <v>80</v>
      </c>
      <c r="H2572" s="980" t="s">
        <v>562</v>
      </c>
      <c r="I2572" s="879" t="e">
        <f>VLOOKUP(H2567,'CNKT '!$C$163:$Z$163,8,0)</f>
        <v>#REF!</v>
      </c>
      <c r="J2572" s="825" t="e">
        <f>IF(I2568="A",6.1,IF(I2568="B",5.8,IF(I2568="C",5.5,IF(I2568="C.",5.5,IF(I2568="D",5.2)))))*$B$2</f>
        <v>#REF!</v>
      </c>
      <c r="K2572" s="823" t="e">
        <f t="shared" si="304"/>
        <v>#REF!</v>
      </c>
    </row>
    <row r="2573" spans="1:15" s="31" customFormat="1" ht="17.25" customHeight="1">
      <c r="A2573" s="821" t="s">
        <v>447</v>
      </c>
      <c r="B2573" s="980" t="s">
        <v>563</v>
      </c>
      <c r="C2573" s="879" t="e">
        <f>VLOOKUP(B2567,'CNKT '!$C$163:$Z$163,15,0)</f>
        <v>#REF!</v>
      </c>
      <c r="D2573" s="826">
        <f>92.2*$B$2</f>
        <v>61610.806000000004</v>
      </c>
      <c r="E2573" s="823" t="e">
        <f t="shared" si="303"/>
        <v>#REF!</v>
      </c>
      <c r="F2573" s="882"/>
      <c r="G2573" s="821" t="s">
        <v>447</v>
      </c>
      <c r="H2573" s="980" t="s">
        <v>563</v>
      </c>
      <c r="I2573" s="879" t="e">
        <f>VLOOKUP(H2567,'CNKT '!$C$163:$Z$163,15,0)</f>
        <v>#REF!</v>
      </c>
      <c r="J2573" s="826">
        <f>92.2*$B$2</f>
        <v>61610.806000000004</v>
      </c>
      <c r="K2573" s="823" t="e">
        <f t="shared" si="304"/>
        <v>#REF!</v>
      </c>
    </row>
    <row r="2574" spans="1:15" s="31" customFormat="1" ht="17.25" customHeight="1">
      <c r="A2574" s="821" t="s">
        <v>448</v>
      </c>
      <c r="B2574" s="980" t="s">
        <v>500</v>
      </c>
      <c r="C2574" s="879" t="e">
        <f>VLOOKUP(B2567,'CNKT '!$C$163:$Z$163,14,0)</f>
        <v>#REF!</v>
      </c>
      <c r="D2574" s="825">
        <f>153.6*$B$2</f>
        <v>102640.128</v>
      </c>
      <c r="E2574" s="823" t="e">
        <f t="shared" si="303"/>
        <v>#REF!</v>
      </c>
      <c r="F2574" s="882"/>
      <c r="G2574" s="821" t="s">
        <v>448</v>
      </c>
      <c r="H2574" s="980" t="s">
        <v>500</v>
      </c>
      <c r="I2574" s="879" t="e">
        <f>VLOOKUP(H2567,'CNKT '!$C$163:$Z$163,14,0)</f>
        <v>#REF!</v>
      </c>
      <c r="J2574" s="825">
        <f>153.6*$B$2</f>
        <v>102640.128</v>
      </c>
      <c r="K2574" s="823" t="e">
        <f t="shared" si="304"/>
        <v>#REF!</v>
      </c>
      <c r="L2574" s="857"/>
      <c r="M2574" s="867"/>
    </row>
    <row r="2575" spans="1:15" s="31" customFormat="1" ht="17.25" customHeight="1">
      <c r="A2575" s="821" t="s">
        <v>455</v>
      </c>
      <c r="B2575" s="980" t="s">
        <v>501</v>
      </c>
      <c r="C2575" s="879" t="e">
        <f>VLOOKUP(B2567,'CNKT '!#REF!,18,0)</f>
        <v>#REF!</v>
      </c>
      <c r="D2575" s="825">
        <v>10000</v>
      </c>
      <c r="E2575" s="823" t="e">
        <f>C2575*D2575</f>
        <v>#REF!</v>
      </c>
      <c r="F2575" s="882"/>
      <c r="G2575" s="821" t="s">
        <v>455</v>
      </c>
      <c r="H2575" s="980" t="s">
        <v>501</v>
      </c>
      <c r="I2575" s="879" t="e">
        <f>VLOOKUP(H2567,'CNKT '!#REF!,18,0)</f>
        <v>#REF!</v>
      </c>
      <c r="J2575" s="825">
        <v>10000</v>
      </c>
      <c r="K2575" s="823" t="e">
        <f>I2575*J2575</f>
        <v>#REF!</v>
      </c>
    </row>
    <row r="2576" spans="1:15" s="31" customFormat="1" ht="17.25" customHeight="1">
      <c r="A2576" s="821" t="s">
        <v>455</v>
      </c>
      <c r="B2576" s="980" t="s">
        <v>501</v>
      </c>
      <c r="C2576" s="879" t="e">
        <f>VLOOKUP(B2567,'CNKT '!#REF!,19,0)</f>
        <v>#REF!</v>
      </c>
      <c r="D2576" s="825">
        <v>20000</v>
      </c>
      <c r="E2576" s="823" t="e">
        <f>C2576*D2576</f>
        <v>#REF!</v>
      </c>
      <c r="F2576" s="882"/>
      <c r="G2576" s="821" t="s">
        <v>455</v>
      </c>
      <c r="H2576" s="980" t="s">
        <v>501</v>
      </c>
      <c r="I2576" s="879" t="e">
        <f>VLOOKUP(H2567,'CNKT '!#REF!,19,0)</f>
        <v>#REF!</v>
      </c>
      <c r="J2576" s="825">
        <v>20000</v>
      </c>
      <c r="K2576" s="823" t="e">
        <f>I2576*J2576</f>
        <v>#REF!</v>
      </c>
    </row>
    <row r="2577" spans="1:12" s="31" customFormat="1" ht="17.25" customHeight="1">
      <c r="A2577" s="827" t="s">
        <v>81</v>
      </c>
      <c r="B2577" s="981" t="s">
        <v>564</v>
      </c>
      <c r="C2577" s="828"/>
      <c r="D2577" s="829"/>
      <c r="E2577" s="828"/>
      <c r="F2577" s="882"/>
      <c r="G2577" s="827" t="s">
        <v>81</v>
      </c>
      <c r="H2577" s="981" t="s">
        <v>564</v>
      </c>
      <c r="I2577" s="828"/>
      <c r="J2577" s="829"/>
      <c r="K2577" s="828"/>
    </row>
    <row r="2578" spans="1:12" s="31" customFormat="1" ht="17.25" customHeight="1">
      <c r="A2578" s="830" t="s">
        <v>82</v>
      </c>
      <c r="B2578" s="982" t="s">
        <v>565</v>
      </c>
      <c r="C2578" s="828"/>
      <c r="D2578" s="828"/>
      <c r="E2578" s="828"/>
      <c r="F2578" s="882"/>
      <c r="G2578" s="830" t="s">
        <v>82</v>
      </c>
      <c r="H2578" s="982" t="s">
        <v>565</v>
      </c>
      <c r="I2578" s="828"/>
      <c r="J2578" s="828"/>
      <c r="K2578" s="828"/>
    </row>
    <row r="2579" spans="1:12" s="31" customFormat="1" ht="17.25" customHeight="1">
      <c r="A2579" s="830" t="s">
        <v>83</v>
      </c>
      <c r="B2579" s="983" t="s">
        <v>566</v>
      </c>
      <c r="C2579" s="828"/>
      <c r="D2579" s="828"/>
      <c r="E2579" s="823">
        <f>SUM(E2578)</f>
        <v>0</v>
      </c>
      <c r="F2579" s="881"/>
      <c r="G2579" s="830" t="s">
        <v>83</v>
      </c>
      <c r="H2579" s="983" t="s">
        <v>566</v>
      </c>
      <c r="I2579" s="828"/>
      <c r="J2579" s="828"/>
      <c r="K2579" s="823">
        <f>SUM(K2578)</f>
        <v>0</v>
      </c>
    </row>
    <row r="2580" spans="1:12" s="31" customFormat="1" ht="17.25" customHeight="1">
      <c r="A2580" s="832" t="s">
        <v>84</v>
      </c>
      <c r="B2580" s="984" t="s">
        <v>438</v>
      </c>
      <c r="C2580" s="833"/>
      <c r="D2580" s="833"/>
      <c r="E2580" s="833" t="e">
        <f>(E2569+E2570+E2571+E2572+E2573+E2574+E2575+E2576)-E2579</f>
        <v>#REF!</v>
      </c>
      <c r="F2580" s="881"/>
      <c r="G2580" s="832" t="s">
        <v>84</v>
      </c>
      <c r="H2580" s="984" t="s">
        <v>438</v>
      </c>
      <c r="I2580" s="833"/>
      <c r="J2580" s="833"/>
      <c r="K2580" s="833" t="e">
        <f>(K2569+K2570+K2571+K2572+K2573+K2574+K2575+K2576)-K2579</f>
        <v>#REF!</v>
      </c>
      <c r="L2580" s="835" t="e">
        <f>E2580+K2580</f>
        <v>#REF!</v>
      </c>
    </row>
    <row r="2581" spans="1:12" s="31" customFormat="1" ht="17.25" customHeight="1"/>
    <row r="2582" spans="1:12" s="31" customFormat="1" ht="17.25" customHeight="1">
      <c r="A2582" s="891" t="str">
        <f>A2566</f>
        <v>LƯƠNG THÁNG 01/2025</v>
      </c>
      <c r="B2582" s="895"/>
      <c r="C2582" s="895"/>
      <c r="D2582" s="895"/>
      <c r="E2582" s="898" t="e">
        <f>VLOOKUP(B2583,'CNKT '!#REF!,26,0)</f>
        <v>#REF!</v>
      </c>
      <c r="F2582" s="882"/>
      <c r="G2582" s="891" t="str">
        <f>A2582</f>
        <v>LƯƠNG THÁNG 01/2025</v>
      </c>
      <c r="H2582" s="895"/>
      <c r="I2582" s="895"/>
      <c r="J2582" s="898"/>
      <c r="K2582" s="898" t="e">
        <f>VLOOKUP(H2583,'CNKT '!#REF!,26,0)</f>
        <v>#REF!</v>
      </c>
    </row>
    <row r="2583" spans="1:12" s="31" customFormat="1" ht="17.25" customHeight="1">
      <c r="A2583" s="837" t="s">
        <v>17</v>
      </c>
      <c r="B2583" s="976" t="e">
        <f>'CNKT '!#REF!</f>
        <v>#REF!</v>
      </c>
      <c r="C2583" s="822" t="s">
        <v>40</v>
      </c>
      <c r="D2583" s="822"/>
      <c r="E2583" s="885" t="s">
        <v>44</v>
      </c>
      <c r="F2583" s="882"/>
      <c r="G2583" s="837" t="s">
        <v>17</v>
      </c>
      <c r="H2583" s="976" t="e">
        <f>'CNKT '!#REF!</f>
        <v>#REF!</v>
      </c>
      <c r="I2583" s="822"/>
      <c r="J2583" s="885" t="s">
        <v>44</v>
      </c>
      <c r="K2583" s="881"/>
    </row>
    <row r="2584" spans="1:12" s="31" customFormat="1" ht="17.25" customHeight="1">
      <c r="A2584" s="821" t="s">
        <v>399</v>
      </c>
      <c r="B2584" s="978" t="s">
        <v>559</v>
      </c>
      <c r="C2584" s="822"/>
      <c r="D2584" s="823"/>
      <c r="E2584" s="823"/>
      <c r="F2584" s="882"/>
      <c r="G2584" s="821" t="s">
        <v>399</v>
      </c>
      <c r="H2584" s="978" t="s">
        <v>559</v>
      </c>
      <c r="I2584" s="822"/>
      <c r="J2584" s="823"/>
      <c r="K2584" s="823"/>
    </row>
    <row r="2585" spans="1:12" s="31" customFormat="1" ht="17.25" customHeight="1">
      <c r="A2585" s="821" t="s">
        <v>79</v>
      </c>
      <c r="B2585" s="979" t="s">
        <v>432</v>
      </c>
      <c r="C2585" s="824" t="e">
        <f>VLOOKUP(B2583,'CNKT '!$C$163:$Z$163,3,0)</f>
        <v>#REF!</v>
      </c>
      <c r="D2585" s="825">
        <v>25000</v>
      </c>
      <c r="E2585" s="823" t="e">
        <f t="shared" ref="E2585:E2590" si="305">C2585*D2585</f>
        <v>#REF!</v>
      </c>
      <c r="F2585" s="882"/>
      <c r="G2585" s="821" t="s">
        <v>79</v>
      </c>
      <c r="H2585" s="979" t="s">
        <v>432</v>
      </c>
      <c r="I2585" s="824" t="e">
        <f>VLOOKUP(H2583,'CNKT '!$C$163:$Z$163,3,0)</f>
        <v>#REF!</v>
      </c>
      <c r="J2585" s="825">
        <v>25000</v>
      </c>
      <c r="K2585" s="823" t="e">
        <f t="shared" ref="K2585:K2590" si="306">I2585*J2585</f>
        <v>#REF!</v>
      </c>
    </row>
    <row r="2586" spans="1:12" s="31" customFormat="1" ht="17.25" customHeight="1">
      <c r="A2586" s="821" t="s">
        <v>310</v>
      </c>
      <c r="B2586" s="980" t="s">
        <v>560</v>
      </c>
      <c r="C2586" s="879" t="e">
        <f>VLOOKUP(B2583,'CNKT '!$C$163:$Z$163,11,0)</f>
        <v>#REF!</v>
      </c>
      <c r="D2586" s="826">
        <f>46.1*$B$2</f>
        <v>30805.403000000002</v>
      </c>
      <c r="E2586" s="823" t="e">
        <f t="shared" si="305"/>
        <v>#REF!</v>
      </c>
      <c r="F2586" s="882"/>
      <c r="G2586" s="821" t="s">
        <v>310</v>
      </c>
      <c r="H2586" s="980" t="s">
        <v>560</v>
      </c>
      <c r="I2586" s="879" t="e">
        <f>VLOOKUP(H2583,'CNKT '!$C$163:$Z$163,11,0)</f>
        <v>#REF!</v>
      </c>
      <c r="J2586" s="826">
        <f>46.1*$B$2</f>
        <v>30805.403000000002</v>
      </c>
      <c r="K2586" s="823" t="e">
        <f t="shared" si="306"/>
        <v>#REF!</v>
      </c>
    </row>
    <row r="2587" spans="1:12" s="31" customFormat="1" ht="17.25" customHeight="1">
      <c r="A2587" s="821" t="s">
        <v>401</v>
      </c>
      <c r="B2587" s="980" t="s">
        <v>561</v>
      </c>
      <c r="C2587" s="879" t="e">
        <f>VLOOKUP(B2583,'CNKT '!$C$163:$Z$163,12,0)</f>
        <v>#REF!</v>
      </c>
      <c r="D2587" s="825">
        <f>76.9*$B$2</f>
        <v>51386.887000000002</v>
      </c>
      <c r="E2587" s="823" t="e">
        <f t="shared" si="305"/>
        <v>#REF!</v>
      </c>
      <c r="F2587" s="882"/>
      <c r="G2587" s="821" t="s">
        <v>401</v>
      </c>
      <c r="H2587" s="980" t="s">
        <v>561</v>
      </c>
      <c r="I2587" s="879" t="e">
        <f>VLOOKUP(H2583,'CNKT '!$C$163:$Z$163,12,0)</f>
        <v>#REF!</v>
      </c>
      <c r="J2587" s="825">
        <f>76.9*$B$2</f>
        <v>51386.887000000002</v>
      </c>
      <c r="K2587" s="823" t="e">
        <f t="shared" si="306"/>
        <v>#REF!</v>
      </c>
    </row>
    <row r="2588" spans="1:12" s="31" customFormat="1" ht="17.25" customHeight="1">
      <c r="A2588" s="821" t="s">
        <v>80</v>
      </c>
      <c r="B2588" s="980" t="s">
        <v>562</v>
      </c>
      <c r="C2588" s="879" t="e">
        <f>VLOOKUP(B2583,'CNKT '!$C$163:$Z$163,8,0)</f>
        <v>#REF!</v>
      </c>
      <c r="D2588" s="825">
        <f>IF(C2584="A",6.1,IF(C2584="B",5.8,IF(C2584="C",5.5,IF(C2584="C.",5.5,IF(C2584="D",5.2)))))*$B$2</f>
        <v>0</v>
      </c>
      <c r="E2588" s="823" t="e">
        <f t="shared" si="305"/>
        <v>#REF!</v>
      </c>
      <c r="F2588" s="882"/>
      <c r="G2588" s="821" t="s">
        <v>80</v>
      </c>
      <c r="H2588" s="980" t="s">
        <v>562</v>
      </c>
      <c r="I2588" s="879" t="e">
        <f>VLOOKUP(H2583,'CNKT '!$C$163:$Z$163,8,0)</f>
        <v>#REF!</v>
      </c>
      <c r="J2588" s="825">
        <f>IF(I2584="A",6.1,IF(I2584="B",5.8,IF(I2584="C",5.5,IF(I2584="C.",5.5,IF(I2584="D",5.2)))))*$B$2</f>
        <v>0</v>
      </c>
      <c r="K2588" s="823" t="e">
        <f t="shared" si="306"/>
        <v>#REF!</v>
      </c>
    </row>
    <row r="2589" spans="1:12" s="31" customFormat="1" ht="17.25" customHeight="1">
      <c r="A2589" s="821" t="s">
        <v>447</v>
      </c>
      <c r="B2589" s="980" t="s">
        <v>563</v>
      </c>
      <c r="C2589" s="879" t="e">
        <f>VLOOKUP(B2583,'CNKT '!$C$163:$Z$163,15,0)</f>
        <v>#REF!</v>
      </c>
      <c r="D2589" s="826">
        <f>92.2*$B$2</f>
        <v>61610.806000000004</v>
      </c>
      <c r="E2589" s="823" t="e">
        <f t="shared" si="305"/>
        <v>#REF!</v>
      </c>
      <c r="F2589" s="882"/>
      <c r="G2589" s="821" t="s">
        <v>447</v>
      </c>
      <c r="H2589" s="980" t="s">
        <v>563</v>
      </c>
      <c r="I2589" s="879" t="e">
        <f>VLOOKUP(H2583,'CNKT '!$C$163:$Z$163,15,0)</f>
        <v>#REF!</v>
      </c>
      <c r="J2589" s="826">
        <f>92.2*$B$2</f>
        <v>61610.806000000004</v>
      </c>
      <c r="K2589" s="823" t="e">
        <f t="shared" si="306"/>
        <v>#REF!</v>
      </c>
    </row>
    <row r="2590" spans="1:12" s="31" customFormat="1" ht="17.25" customHeight="1">
      <c r="A2590" s="821" t="s">
        <v>448</v>
      </c>
      <c r="B2590" s="980" t="s">
        <v>500</v>
      </c>
      <c r="C2590" s="879" t="e">
        <f>VLOOKUP(B2583,'CNKT '!$C$163:$Z$163,14,0)</f>
        <v>#REF!</v>
      </c>
      <c r="D2590" s="825">
        <f>153.6*$B$2</f>
        <v>102640.128</v>
      </c>
      <c r="E2590" s="823" t="e">
        <f t="shared" si="305"/>
        <v>#REF!</v>
      </c>
      <c r="F2590" s="882"/>
      <c r="G2590" s="821" t="s">
        <v>448</v>
      </c>
      <c r="H2590" s="980" t="s">
        <v>500</v>
      </c>
      <c r="I2590" s="879" t="e">
        <f>VLOOKUP(H2583,'CNKT '!$C$163:$Z$163,14,0)</f>
        <v>#REF!</v>
      </c>
      <c r="J2590" s="825">
        <f>153.6*$B$2</f>
        <v>102640.128</v>
      </c>
      <c r="K2590" s="823" t="e">
        <f t="shared" si="306"/>
        <v>#REF!</v>
      </c>
    </row>
    <row r="2591" spans="1:12" s="31" customFormat="1" ht="17.25" customHeight="1">
      <c r="A2591" s="821" t="s">
        <v>455</v>
      </c>
      <c r="B2591" s="980" t="s">
        <v>501</v>
      </c>
      <c r="C2591" s="879" t="e">
        <f>VLOOKUP(B2583,'CNKT '!#REF!,18,0)</f>
        <v>#REF!</v>
      </c>
      <c r="D2591" s="825">
        <v>10000</v>
      </c>
      <c r="E2591" s="823" t="e">
        <f>C2591*D2591</f>
        <v>#REF!</v>
      </c>
      <c r="F2591" s="882"/>
      <c r="G2591" s="821" t="s">
        <v>455</v>
      </c>
      <c r="H2591" s="980" t="s">
        <v>501</v>
      </c>
      <c r="I2591" s="879" t="e">
        <f>VLOOKUP(H2583,'CNKT '!#REF!,18,0)</f>
        <v>#REF!</v>
      </c>
      <c r="J2591" s="825">
        <v>10000</v>
      </c>
      <c r="K2591" s="823" t="e">
        <f>I2591*J2591</f>
        <v>#REF!</v>
      </c>
    </row>
    <row r="2592" spans="1:12" s="31" customFormat="1" ht="17.25" customHeight="1">
      <c r="A2592" s="821" t="s">
        <v>455</v>
      </c>
      <c r="B2592" s="980" t="s">
        <v>501</v>
      </c>
      <c r="C2592" s="879" t="e">
        <f>VLOOKUP(B2583,'CNKT '!#REF!,19,0)</f>
        <v>#REF!</v>
      </c>
      <c r="D2592" s="825">
        <v>20000</v>
      </c>
      <c r="E2592" s="823" t="e">
        <f>C2592*D2592</f>
        <v>#REF!</v>
      </c>
      <c r="F2592" s="882"/>
      <c r="G2592" s="821" t="s">
        <v>455</v>
      </c>
      <c r="H2592" s="980" t="s">
        <v>501</v>
      </c>
      <c r="I2592" s="879" t="e">
        <f>VLOOKUP(H2583,'CNKT '!#REF!,19,0)</f>
        <v>#REF!</v>
      </c>
      <c r="J2592" s="825">
        <v>20000</v>
      </c>
      <c r="K2592" s="823" t="e">
        <f>I2592*J2592</f>
        <v>#REF!</v>
      </c>
    </row>
    <row r="2593" spans="1:14" s="31" customFormat="1" ht="17.25" customHeight="1">
      <c r="A2593" s="827" t="s">
        <v>81</v>
      </c>
      <c r="B2593" s="981" t="s">
        <v>564</v>
      </c>
      <c r="C2593" s="828"/>
      <c r="D2593" s="829"/>
      <c r="E2593" s="828"/>
      <c r="F2593" s="882"/>
      <c r="G2593" s="827" t="s">
        <v>81</v>
      </c>
      <c r="H2593" s="981" t="s">
        <v>564</v>
      </c>
      <c r="I2593" s="828"/>
      <c r="J2593" s="829"/>
      <c r="K2593" s="828"/>
    </row>
    <row r="2594" spans="1:14" s="31" customFormat="1" ht="17.25" customHeight="1">
      <c r="A2594" s="830" t="s">
        <v>82</v>
      </c>
      <c r="B2594" s="982" t="s">
        <v>565</v>
      </c>
      <c r="C2594" s="828"/>
      <c r="D2594" s="828"/>
      <c r="E2594" s="828"/>
      <c r="F2594" s="882"/>
      <c r="G2594" s="830" t="s">
        <v>82</v>
      </c>
      <c r="H2594" s="982" t="s">
        <v>565</v>
      </c>
      <c r="I2594" s="828"/>
      <c r="J2594" s="828"/>
      <c r="K2594" s="828"/>
    </row>
    <row r="2595" spans="1:14" s="31" customFormat="1" ht="17.25" customHeight="1">
      <c r="A2595" s="830" t="s">
        <v>83</v>
      </c>
      <c r="B2595" s="983" t="s">
        <v>566</v>
      </c>
      <c r="C2595" s="828"/>
      <c r="D2595" s="828"/>
      <c r="E2595" s="823">
        <f>SUM(E2594)</f>
        <v>0</v>
      </c>
      <c r="F2595" s="881"/>
      <c r="G2595" s="830" t="s">
        <v>83</v>
      </c>
      <c r="H2595" s="983" t="s">
        <v>566</v>
      </c>
      <c r="I2595" s="828"/>
      <c r="J2595" s="828"/>
      <c r="K2595" s="823">
        <f>SUM(K2594)</f>
        <v>0</v>
      </c>
    </row>
    <row r="2596" spans="1:14" s="31" customFormat="1" ht="17.25" customHeight="1">
      <c r="A2596" s="832" t="s">
        <v>84</v>
      </c>
      <c r="B2596" s="984" t="s">
        <v>438</v>
      </c>
      <c r="C2596" s="833"/>
      <c r="D2596" s="833"/>
      <c r="E2596" s="833" t="e">
        <f>(E2585+E2586+E2587+E2588+E2589+E2590+E2591+E2592)-E2595</f>
        <v>#REF!</v>
      </c>
      <c r="F2596" s="881"/>
      <c r="G2596" s="832" t="s">
        <v>84</v>
      </c>
      <c r="H2596" s="984" t="s">
        <v>438</v>
      </c>
      <c r="I2596" s="833"/>
      <c r="J2596" s="833"/>
      <c r="K2596" s="833" t="e">
        <f>(K2585+K2586+K2587+K2588+K2589+K2590+K2591+K2592)-K2595</f>
        <v>#REF!</v>
      </c>
      <c r="L2596" s="835" t="e">
        <f>E2596+K2596</f>
        <v>#REF!</v>
      </c>
    </row>
    <row r="2597" spans="1:14" s="31" customFormat="1" ht="17.25" customHeight="1"/>
    <row r="2598" spans="1:14" s="31" customFormat="1" ht="17.25" customHeight="1">
      <c r="A2598" s="891" t="str">
        <f>A2582</f>
        <v>LƯƠNG THÁNG 01/2025</v>
      </c>
      <c r="B2598" s="895"/>
      <c r="C2598" s="895"/>
      <c r="D2598" s="895"/>
      <c r="E2598" s="898"/>
      <c r="F2598" s="882"/>
      <c r="G2598" s="891" t="str">
        <f>A2598</f>
        <v>LƯƠNG THÁNG 01/2025</v>
      </c>
      <c r="H2598" s="895"/>
      <c r="I2598" s="895"/>
      <c r="J2598" s="898"/>
      <c r="K2598" s="881"/>
    </row>
    <row r="2599" spans="1:14" s="31" customFormat="1" ht="17.25" customHeight="1">
      <c r="A2599" s="837" t="s">
        <v>17</v>
      </c>
      <c r="B2599" s="976" t="e">
        <f>'CNKT '!#REF!</f>
        <v>#REF!</v>
      </c>
      <c r="C2599" s="822" t="s">
        <v>40</v>
      </c>
      <c r="D2599" s="822"/>
      <c r="E2599" s="885" t="s">
        <v>44</v>
      </c>
      <c r="F2599" s="882"/>
      <c r="G2599" s="837" t="s">
        <v>17</v>
      </c>
      <c r="H2599" s="976" t="e">
        <f>'CNKT '!#REF!</f>
        <v>#REF!</v>
      </c>
      <c r="I2599" s="822" t="s">
        <v>449</v>
      </c>
      <c r="J2599" s="885" t="s">
        <v>44</v>
      </c>
      <c r="K2599" s="881"/>
    </row>
    <row r="2600" spans="1:14" s="31" customFormat="1" ht="17.25" customHeight="1">
      <c r="A2600" s="821" t="s">
        <v>79</v>
      </c>
      <c r="B2600" s="713" t="s">
        <v>432</v>
      </c>
      <c r="C2600" s="824" t="e">
        <f>VLOOKUP(B2599,'CNKT '!$C$163:$Z$173,3,0)</f>
        <v>#REF!</v>
      </c>
      <c r="D2600" s="825">
        <v>25000</v>
      </c>
      <c r="E2600" s="823" t="e">
        <f t="shared" ref="E2600:E2605" si="307">C2600*D2600</f>
        <v>#REF!</v>
      </c>
      <c r="F2600" s="882"/>
      <c r="G2600" s="821" t="s">
        <v>79</v>
      </c>
      <c r="H2600" s="713" t="s">
        <v>432</v>
      </c>
      <c r="I2600" s="824" t="e">
        <f>VLOOKUP(H2599,'CNKT '!$C$163:$Z$173,3,0)</f>
        <v>#REF!</v>
      </c>
      <c r="J2600" s="825">
        <v>25000</v>
      </c>
      <c r="K2600" s="823" t="e">
        <f t="shared" ref="K2600:K2605" si="308">I2600*J2600</f>
        <v>#REF!</v>
      </c>
    </row>
    <row r="2601" spans="1:14" s="31" customFormat="1" ht="17.25" customHeight="1">
      <c r="A2601" s="821" t="s">
        <v>310</v>
      </c>
      <c r="B2601" s="714" t="s">
        <v>433</v>
      </c>
      <c r="C2601" s="879" t="e">
        <f>VLOOKUP(B2599,'CNKT '!$C$163:$Z$173,11,0)</f>
        <v>#REF!</v>
      </c>
      <c r="D2601" s="826">
        <f>46.1*$B$2</f>
        <v>30805.403000000002</v>
      </c>
      <c r="E2601" s="823" t="e">
        <f t="shared" si="307"/>
        <v>#REF!</v>
      </c>
      <c r="F2601" s="882"/>
      <c r="G2601" s="821" t="s">
        <v>310</v>
      </c>
      <c r="H2601" s="714" t="s">
        <v>433</v>
      </c>
      <c r="I2601" s="879" t="e">
        <f>VLOOKUP(H2599,'CNKT '!$C$163:$Z$173,11,0)</f>
        <v>#REF!</v>
      </c>
      <c r="J2601" s="826">
        <f>46.1*$B$2</f>
        <v>30805.403000000002</v>
      </c>
      <c r="K2601" s="823" t="e">
        <f t="shared" si="308"/>
        <v>#REF!</v>
      </c>
    </row>
    <row r="2602" spans="1:14" s="31" customFormat="1" ht="17.25" customHeight="1">
      <c r="A2602" s="821" t="s">
        <v>401</v>
      </c>
      <c r="B2602" s="714" t="s">
        <v>498</v>
      </c>
      <c r="C2602" s="879" t="e">
        <f>VLOOKUP(B2599,'CNKT '!$C$163:$Z$173,12,0)</f>
        <v>#REF!</v>
      </c>
      <c r="D2602" s="825">
        <f>76.9*$B$2</f>
        <v>51386.887000000002</v>
      </c>
      <c r="E2602" s="823" t="e">
        <f t="shared" si="307"/>
        <v>#REF!</v>
      </c>
      <c r="F2602" s="882"/>
      <c r="G2602" s="821" t="s">
        <v>401</v>
      </c>
      <c r="H2602" s="714" t="s">
        <v>498</v>
      </c>
      <c r="I2602" s="879" t="e">
        <f>VLOOKUP(H2599,'CNKT '!$C$163:$Z$173,12,0)</f>
        <v>#REF!</v>
      </c>
      <c r="J2602" s="825">
        <f>76.9*$B$2</f>
        <v>51386.887000000002</v>
      </c>
      <c r="K2602" s="823" t="e">
        <f t="shared" si="308"/>
        <v>#REF!</v>
      </c>
    </row>
    <row r="2603" spans="1:14" s="31" customFormat="1" ht="17.25" customHeight="1">
      <c r="A2603" s="821" t="s">
        <v>80</v>
      </c>
      <c r="B2603" s="714" t="s">
        <v>434</v>
      </c>
      <c r="C2603" s="879" t="e">
        <f>VLOOKUP(B2599,'CNKT '!$C$163:$Z$173,8,0)</f>
        <v>#REF!</v>
      </c>
      <c r="D2603" s="825">
        <f>IF(C2599="A",6.1,IF(C2599="B",5.8,IF(C2599="C",5.5,IF(C2599="C.",5.5,IF(C2599="D",5.2)))))*$B$2</f>
        <v>4076.203</v>
      </c>
      <c r="E2603" s="823" t="e">
        <f t="shared" si="307"/>
        <v>#REF!</v>
      </c>
      <c r="F2603" s="882"/>
      <c r="G2603" s="821" t="s">
        <v>80</v>
      </c>
      <c r="H2603" s="714" t="s">
        <v>434</v>
      </c>
      <c r="I2603" s="879" t="e">
        <f>VLOOKUP(H2599,'CNKT '!$C$163:$Z$173,8,0)</f>
        <v>#REF!</v>
      </c>
      <c r="J2603" s="825">
        <f>IF(I2599="A",6.1,IF(I2599="B",5.8,IF(I2599="C",5.5,IF(I2599="C.",5.5,IF(I2599="D",5.2)))))*$B$2</f>
        <v>3675.2650000000003</v>
      </c>
      <c r="K2603" s="823" t="e">
        <f t="shared" si="308"/>
        <v>#REF!</v>
      </c>
    </row>
    <row r="2604" spans="1:14" s="31" customFormat="1" ht="17.25" customHeight="1">
      <c r="A2604" s="821" t="s">
        <v>447</v>
      </c>
      <c r="B2604" s="714" t="s">
        <v>499</v>
      </c>
      <c r="C2604" s="879" t="e">
        <f>VLOOKUP(B2599,'CNKT '!$C$163:$Z$173,15,0)</f>
        <v>#REF!</v>
      </c>
      <c r="D2604" s="826">
        <f>92.2*$B$2</f>
        <v>61610.806000000004</v>
      </c>
      <c r="E2604" s="823" t="e">
        <f t="shared" si="307"/>
        <v>#REF!</v>
      </c>
      <c r="F2604" s="882"/>
      <c r="G2604" s="821" t="s">
        <v>447</v>
      </c>
      <c r="H2604" s="714" t="s">
        <v>499</v>
      </c>
      <c r="I2604" s="879" t="e">
        <f>VLOOKUP(H2599,'CNKT '!$C$163:$Z$173,15,0)</f>
        <v>#REF!</v>
      </c>
      <c r="J2604" s="826">
        <f>92.2*$B$2</f>
        <v>61610.806000000004</v>
      </c>
      <c r="K2604" s="823" t="e">
        <f t="shared" si="308"/>
        <v>#REF!</v>
      </c>
    </row>
    <row r="2605" spans="1:14" s="31" customFormat="1" ht="17.25" customHeight="1">
      <c r="A2605" s="821" t="s">
        <v>448</v>
      </c>
      <c r="B2605" s="714" t="s">
        <v>500</v>
      </c>
      <c r="C2605" s="879" t="e">
        <f>VLOOKUP(B2599,'CNKT '!$C$163:$Z$173,14,0)</f>
        <v>#REF!</v>
      </c>
      <c r="D2605" s="825">
        <f>153.6*$B$2</f>
        <v>102640.128</v>
      </c>
      <c r="E2605" s="823" t="e">
        <f t="shared" si="307"/>
        <v>#REF!</v>
      </c>
      <c r="F2605" s="882"/>
      <c r="G2605" s="821" t="s">
        <v>448</v>
      </c>
      <c r="H2605" s="714" t="s">
        <v>500</v>
      </c>
      <c r="I2605" s="879" t="e">
        <f>VLOOKUP(H2599,'CNKT '!$C$163:$Z$173,14,0)</f>
        <v>#REF!</v>
      </c>
      <c r="J2605" s="825">
        <f>153.6*$B$2</f>
        <v>102640.128</v>
      </c>
      <c r="K2605" s="823" t="e">
        <f t="shared" si="308"/>
        <v>#REF!</v>
      </c>
    </row>
    <row r="2606" spans="1:14" s="31" customFormat="1" ht="17.25" customHeight="1">
      <c r="A2606" s="821" t="s">
        <v>455</v>
      </c>
      <c r="B2606" s="714" t="s">
        <v>501</v>
      </c>
      <c r="C2606" s="879" t="e">
        <f>VLOOKUP(B2599,'CNKT '!#REF!,18,0)</f>
        <v>#REF!</v>
      </c>
      <c r="D2606" s="825">
        <v>10000</v>
      </c>
      <c r="E2606" s="823" t="e">
        <f>C2606*D2606</f>
        <v>#REF!</v>
      </c>
      <c r="F2606" s="882"/>
      <c r="G2606" s="821" t="s">
        <v>455</v>
      </c>
      <c r="H2606" s="714" t="s">
        <v>501</v>
      </c>
      <c r="I2606" s="879" t="e">
        <f>VLOOKUP(H2599,'CNKT '!#REF!,18,0)</f>
        <v>#REF!</v>
      </c>
      <c r="J2606" s="825">
        <v>10000</v>
      </c>
      <c r="K2606" s="823" t="e">
        <f>I2606*J2606</f>
        <v>#REF!</v>
      </c>
    </row>
    <row r="2607" spans="1:14" s="31" customFormat="1" ht="17.25" customHeight="1">
      <c r="A2607" s="821" t="s">
        <v>517</v>
      </c>
      <c r="B2607" s="714" t="s">
        <v>519</v>
      </c>
      <c r="C2607" s="879"/>
      <c r="D2607" s="825"/>
      <c r="E2607" s="823"/>
      <c r="F2607" s="882"/>
      <c r="G2607" s="821" t="s">
        <v>517</v>
      </c>
      <c r="H2607" s="714" t="s">
        <v>519</v>
      </c>
      <c r="I2607" s="879"/>
      <c r="J2607" s="825"/>
      <c r="K2607" s="823"/>
      <c r="N2607" s="857"/>
    </row>
    <row r="2608" spans="1:14" s="31" customFormat="1" ht="17.25" customHeight="1">
      <c r="A2608" s="821"/>
      <c r="B2608" s="714"/>
      <c r="C2608" s="879"/>
      <c r="D2608" s="825"/>
      <c r="E2608" s="823"/>
      <c r="F2608" s="882"/>
      <c r="G2608" s="821"/>
      <c r="H2608" s="714"/>
      <c r="I2608" s="879"/>
      <c r="J2608" s="825"/>
      <c r="K2608" s="823"/>
      <c r="N2608" s="857"/>
    </row>
    <row r="2609" spans="1:15" s="31" customFormat="1" ht="17.25" customHeight="1">
      <c r="A2609" s="827" t="s">
        <v>81</v>
      </c>
      <c r="B2609" s="715" t="s">
        <v>435</v>
      </c>
      <c r="C2609" s="828"/>
      <c r="D2609" s="829"/>
      <c r="E2609" s="828"/>
      <c r="F2609" s="882"/>
      <c r="G2609" s="827" t="s">
        <v>81</v>
      </c>
      <c r="H2609" s="715" t="s">
        <v>435</v>
      </c>
      <c r="I2609" s="828"/>
      <c r="J2609" s="829"/>
      <c r="K2609" s="828"/>
      <c r="L2609" s="818"/>
      <c r="M2609" s="857" t="e">
        <f>SUM(L2056:L2612)</f>
        <v>#REF!</v>
      </c>
      <c r="N2609" s="857">
        <v>392320913</v>
      </c>
      <c r="O2609" s="867"/>
    </row>
    <row r="2610" spans="1:15" s="31" customFormat="1" ht="17.25" customHeight="1">
      <c r="A2610" s="830" t="s">
        <v>82</v>
      </c>
      <c r="B2610" s="716" t="s">
        <v>436</v>
      </c>
      <c r="C2610" s="828"/>
      <c r="D2610" s="828"/>
      <c r="E2610" s="828"/>
      <c r="F2610" s="882"/>
      <c r="G2610" s="830" t="s">
        <v>82</v>
      </c>
      <c r="H2610" s="716" t="s">
        <v>436</v>
      </c>
      <c r="I2610" s="828"/>
      <c r="J2610" s="828"/>
      <c r="K2610" s="828"/>
      <c r="L2610" s="818"/>
      <c r="N2610" s="857">
        <v>9600000</v>
      </c>
    </row>
    <row r="2611" spans="1:15" s="31" customFormat="1" ht="17.25" customHeight="1">
      <c r="A2611" s="830" t="s">
        <v>83</v>
      </c>
      <c r="B2611" s="717" t="s">
        <v>437</v>
      </c>
      <c r="C2611" s="828"/>
      <c r="D2611" s="828"/>
      <c r="E2611" s="823">
        <f>SUM(E2610)</f>
        <v>0</v>
      </c>
      <c r="F2611" s="881"/>
      <c r="G2611" s="830" t="s">
        <v>83</v>
      </c>
      <c r="H2611" s="717" t="s">
        <v>437</v>
      </c>
      <c r="I2611" s="828"/>
      <c r="J2611" s="828"/>
      <c r="K2611" s="823">
        <f>SUM(K2610)</f>
        <v>0</v>
      </c>
      <c r="M2611" s="857" t="e">
        <f>SUM(M54:M2609)</f>
        <v>#REF!</v>
      </c>
      <c r="N2611" s="857">
        <v>312166698</v>
      </c>
      <c r="O2611" s="867" t="e">
        <f>N2611-M2609</f>
        <v>#REF!</v>
      </c>
    </row>
    <row r="2612" spans="1:15" s="31" customFormat="1" ht="17.25" customHeight="1">
      <c r="A2612" s="832" t="s">
        <v>84</v>
      </c>
      <c r="B2612" s="748" t="s">
        <v>438</v>
      </c>
      <c r="C2612" s="833"/>
      <c r="D2612" s="833"/>
      <c r="E2612" s="833" t="e">
        <f>(E2600+E2601+E2602+E2603+E2604+E2605+E2606+E2607)-E2611</f>
        <v>#REF!</v>
      </c>
      <c r="F2612" s="881"/>
      <c r="G2612" s="832" t="s">
        <v>84</v>
      </c>
      <c r="H2612" s="748" t="s">
        <v>438</v>
      </c>
      <c r="I2612" s="833"/>
      <c r="J2612" s="833"/>
      <c r="K2612" s="833" t="e">
        <f>(K2600+K2601+K2602+K2603+K2604+K2605+K2606+K2607)-K2611</f>
        <v>#REF!</v>
      </c>
      <c r="L2612" s="835" t="e">
        <f>E2612+K2612</f>
        <v>#REF!</v>
      </c>
    </row>
    <row r="2613" spans="1:15" ht="16.5" customHeight="1">
      <c r="L2613" s="710"/>
      <c r="M2613" s="639"/>
      <c r="N2613" s="639"/>
      <c r="O2613" s="325"/>
    </row>
    <row r="2615" spans="1:15" ht="21" customHeight="1">
      <c r="L2615" s="711" t="e">
        <f>SUM(L8:L2613)</f>
        <v>#REF!</v>
      </c>
      <c r="M2615" s="145"/>
      <c r="N2615" s="145"/>
      <c r="O2615" s="145"/>
    </row>
    <row r="2616" spans="1:15" ht="21" customHeight="1">
      <c r="L2616" s="637"/>
    </row>
    <row r="2617" spans="1:15" ht="21" customHeight="1">
      <c r="L2617" s="632">
        <v>475097563</v>
      </c>
      <c r="M2617" s="638"/>
      <c r="N2617" s="638"/>
    </row>
    <row r="2618" spans="1:15" ht="21" customHeight="1">
      <c r="L2618" s="632">
        <v>526735269</v>
      </c>
    </row>
    <row r="2619" spans="1:15" ht="21" customHeight="1">
      <c r="L2619" s="632">
        <v>418349018</v>
      </c>
    </row>
    <row r="2620" spans="1:15" ht="21" customHeight="1">
      <c r="L2620" s="632">
        <v>312166698</v>
      </c>
    </row>
    <row r="2621" spans="1:15" ht="21" customHeight="1">
      <c r="L2621" s="632"/>
    </row>
    <row r="2622" spans="1:15" ht="21" customHeight="1">
      <c r="L2622" s="749">
        <f>SUM(L2617:L2620)+L2621</f>
        <v>1732348548</v>
      </c>
      <c r="M2622" s="632" t="e">
        <f>L2622-L2615</f>
        <v>#REF!</v>
      </c>
    </row>
    <row r="2624" spans="1:15" ht="21" customHeight="1">
      <c r="L2624" s="145"/>
      <c r="M2624" s="638" t="e">
        <f>L2622-L2615</f>
        <v>#REF!</v>
      </c>
    </row>
  </sheetData>
  <mergeCells count="135">
    <mergeCell ref="G208:J208"/>
    <mergeCell ref="G416:J416"/>
    <mergeCell ref="G433:J433"/>
    <mergeCell ref="G364:J364"/>
    <mergeCell ref="G381:J381"/>
    <mergeCell ref="G399:J399"/>
    <mergeCell ref="A364:D364"/>
    <mergeCell ref="A381:D381"/>
    <mergeCell ref="A399:D399"/>
    <mergeCell ref="A416:D416"/>
    <mergeCell ref="A433:D433"/>
    <mergeCell ref="A208:D208"/>
    <mergeCell ref="G311:J311"/>
    <mergeCell ref="G329:J329"/>
    <mergeCell ref="G347:J347"/>
    <mergeCell ref="G260:J260"/>
    <mergeCell ref="G277:J277"/>
    <mergeCell ref="G294:J294"/>
    <mergeCell ref="A347:D347"/>
    <mergeCell ref="G55:J55"/>
    <mergeCell ref="G72:J72"/>
    <mergeCell ref="G89:J89"/>
    <mergeCell ref="G157:J157"/>
    <mergeCell ref="G174:J174"/>
    <mergeCell ref="G191:J191"/>
    <mergeCell ref="A157:D157"/>
    <mergeCell ref="A174:D174"/>
    <mergeCell ref="A191:D191"/>
    <mergeCell ref="G502:J502"/>
    <mergeCell ref="G519:J519"/>
    <mergeCell ref="G449:J449"/>
    <mergeCell ref="G467:J467"/>
    <mergeCell ref="G485:J485"/>
    <mergeCell ref="A449:D449"/>
    <mergeCell ref="A467:D467"/>
    <mergeCell ref="A485:D485"/>
    <mergeCell ref="A502:D502"/>
    <mergeCell ref="A519:D519"/>
    <mergeCell ref="G586:J586"/>
    <mergeCell ref="G603:J603"/>
    <mergeCell ref="G620:J620"/>
    <mergeCell ref="G535:J535"/>
    <mergeCell ref="G552:J552"/>
    <mergeCell ref="G569:J569"/>
    <mergeCell ref="A535:D535"/>
    <mergeCell ref="A552:D552"/>
    <mergeCell ref="A569:D569"/>
    <mergeCell ref="A586:D586"/>
    <mergeCell ref="A603:D603"/>
    <mergeCell ref="A620:D620"/>
    <mergeCell ref="G638:J638"/>
    <mergeCell ref="G655:J655"/>
    <mergeCell ref="A638:D638"/>
    <mergeCell ref="A655:D655"/>
    <mergeCell ref="A672:D672"/>
    <mergeCell ref="G672:J672"/>
    <mergeCell ref="G689:J689"/>
    <mergeCell ref="A689:D689"/>
    <mergeCell ref="A706:D706"/>
    <mergeCell ref="A791:D791"/>
    <mergeCell ref="G791:J791"/>
    <mergeCell ref="A1078:E1078"/>
    <mergeCell ref="G1078:J1078"/>
    <mergeCell ref="G706:K706"/>
    <mergeCell ref="A738:J738"/>
    <mergeCell ref="A739:E739"/>
    <mergeCell ref="G739:J739"/>
    <mergeCell ref="G740:J740"/>
    <mergeCell ref="A993:E993"/>
    <mergeCell ref="G993:J993"/>
    <mergeCell ref="A976:E976"/>
    <mergeCell ref="G976:J976"/>
    <mergeCell ref="A808:D808"/>
    <mergeCell ref="A1163:E1163"/>
    <mergeCell ref="G1163:J1163"/>
    <mergeCell ref="A1129:E1129"/>
    <mergeCell ref="G1129:J1129"/>
    <mergeCell ref="A1010:E1010"/>
    <mergeCell ref="G1010:J1010"/>
    <mergeCell ref="A1197:E1197"/>
    <mergeCell ref="G1197:J1197"/>
    <mergeCell ref="A1044:E1044"/>
    <mergeCell ref="G1044:J1044"/>
    <mergeCell ref="A1061:E1061"/>
    <mergeCell ref="G1061:J1061"/>
    <mergeCell ref="A1027:E1027"/>
    <mergeCell ref="G1027:J1027"/>
    <mergeCell ref="A1214:E1214"/>
    <mergeCell ref="G1214:J1214"/>
    <mergeCell ref="A1180:E1180"/>
    <mergeCell ref="G1180:J1180"/>
    <mergeCell ref="A1231:E1231"/>
    <mergeCell ref="G1231:J1231"/>
    <mergeCell ref="A721:D721"/>
    <mergeCell ref="G721:J721"/>
    <mergeCell ref="A740:D740"/>
    <mergeCell ref="A757:D757"/>
    <mergeCell ref="G757:J757"/>
    <mergeCell ref="A774:D774"/>
    <mergeCell ref="G774:J774"/>
    <mergeCell ref="A858:B858"/>
    <mergeCell ref="G858:H858"/>
    <mergeCell ref="G875:H875"/>
    <mergeCell ref="A875:B875"/>
    <mergeCell ref="G892:H892"/>
    <mergeCell ref="A892:B892"/>
    <mergeCell ref="A1095:E1095"/>
    <mergeCell ref="G1095:J1095"/>
    <mergeCell ref="A1112:E1112"/>
    <mergeCell ref="A1146:E1146"/>
    <mergeCell ref="G1146:J1146"/>
    <mergeCell ref="G4:J4"/>
    <mergeCell ref="A226:D226"/>
    <mergeCell ref="A243:D243"/>
    <mergeCell ref="A260:D260"/>
    <mergeCell ref="A277:D277"/>
    <mergeCell ref="A294:D294"/>
    <mergeCell ref="A311:D311"/>
    <mergeCell ref="A329:D329"/>
    <mergeCell ref="A4:D4"/>
    <mergeCell ref="A21:D21"/>
    <mergeCell ref="A38:D38"/>
    <mergeCell ref="A55:D55"/>
    <mergeCell ref="A72:D72"/>
    <mergeCell ref="A89:D89"/>
    <mergeCell ref="A106:D106"/>
    <mergeCell ref="A123:D123"/>
    <mergeCell ref="A140:D140"/>
    <mergeCell ref="G226:J226"/>
    <mergeCell ref="G243:J243"/>
    <mergeCell ref="G21:J21"/>
    <mergeCell ref="G38:J38"/>
    <mergeCell ref="G106:J106"/>
    <mergeCell ref="G123:J123"/>
    <mergeCell ref="G140:J140"/>
  </mergeCells>
  <printOptions horizontalCentered="1"/>
  <pageMargins left="0.19685039370078741" right="0.19685039370078741" top="0.19685039370078741" bottom="0.19685039370078741" header="0.19685039370078741" footer="0.19685039370078741"/>
  <pageSetup paperSize="9" scale="58" orientation="portrait" r:id="rId1"/>
  <headerFooter scaleWithDoc="0" alignWithMargins="0">
    <oddHeader xml:space="preserve">&amp;L                            </oddHeader>
    <oddFooter>Page &amp;P</oddFooter>
  </headerFooter>
  <colBreaks count="1" manualBreakCount="1">
    <brk id="11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4"/>
  <sheetViews>
    <sheetView workbookViewId="0">
      <selection activeCell="F14" sqref="F14"/>
    </sheetView>
  </sheetViews>
  <sheetFormatPr defaultColWidth="9.140625" defaultRowHeight="16.5"/>
  <cols>
    <col min="1" max="1" width="6" style="678" customWidth="1"/>
    <col min="2" max="2" width="7" style="678" hidden="1" customWidth="1"/>
    <col min="3" max="3" width="5.7109375" style="678" hidden="1" customWidth="1"/>
    <col min="4" max="4" width="29.5703125" style="678" customWidth="1"/>
    <col min="5" max="5" width="20.42578125" style="678" customWidth="1"/>
    <col min="6" max="6" width="23.85546875" style="678" customWidth="1"/>
    <col min="7" max="7" width="25" style="678" customWidth="1"/>
    <col min="8" max="8" width="34.42578125" style="678" customWidth="1"/>
    <col min="9" max="9" width="10.28515625" style="678" customWidth="1"/>
    <col min="10" max="10" width="7.42578125" style="678" customWidth="1"/>
    <col min="11" max="11" width="10" style="678" bestFit="1" customWidth="1"/>
    <col min="12" max="12" width="17.85546875" style="678" customWidth="1"/>
    <col min="13" max="13" width="15.7109375" style="678" bestFit="1" customWidth="1"/>
    <col min="14" max="16384" width="9.140625" style="678"/>
  </cols>
  <sheetData>
    <row r="1" spans="1:13">
      <c r="A1" s="1625" t="s">
        <v>480</v>
      </c>
      <c r="B1" s="1625"/>
      <c r="C1" s="1625"/>
      <c r="D1" s="1625"/>
      <c r="E1" s="1625"/>
      <c r="F1" s="1625"/>
      <c r="G1" s="1625"/>
      <c r="H1" s="1625"/>
    </row>
    <row r="2" spans="1:13">
      <c r="A2" s="1625" t="s">
        <v>481</v>
      </c>
      <c r="B2" s="1625"/>
      <c r="C2" s="1625"/>
      <c r="D2" s="1625"/>
      <c r="E2" s="1625"/>
      <c r="F2" s="1625"/>
      <c r="G2" s="1625"/>
      <c r="H2" s="1625"/>
    </row>
    <row r="3" spans="1:13">
      <c r="A3" s="1626" t="s">
        <v>482</v>
      </c>
      <c r="B3" s="1625"/>
      <c r="C3" s="1625"/>
      <c r="D3" s="1625"/>
      <c r="E3" s="1625"/>
      <c r="F3" s="1625"/>
      <c r="G3" s="1625"/>
      <c r="H3" s="1625"/>
    </row>
    <row r="4" spans="1:13">
      <c r="A4" s="1625" t="s">
        <v>0</v>
      </c>
      <c r="B4" s="1625"/>
      <c r="C4" s="1625"/>
      <c r="D4" s="1625"/>
      <c r="E4" s="1625"/>
      <c r="F4" s="1625"/>
      <c r="G4" s="706"/>
      <c r="H4" s="706"/>
    </row>
    <row r="5" spans="1:13">
      <c r="A5" s="1625" t="s">
        <v>658</v>
      </c>
      <c r="B5" s="1625"/>
      <c r="C5" s="1625"/>
      <c r="D5" s="1625"/>
      <c r="E5" s="1625"/>
      <c r="F5" s="1625"/>
      <c r="G5" s="679"/>
      <c r="H5" s="679"/>
    </row>
    <row r="6" spans="1:13">
      <c r="A6" s="1625"/>
      <c r="B6" s="1625"/>
      <c r="C6" s="1625"/>
      <c r="D6" s="1625"/>
      <c r="E6" s="1625"/>
      <c r="F6" s="1625"/>
      <c r="G6" s="1625"/>
      <c r="H6" s="1625"/>
    </row>
    <row r="7" spans="1:13" ht="20.25">
      <c r="A7" s="1627" t="s">
        <v>648</v>
      </c>
      <c r="B7" s="1627"/>
      <c r="C7" s="1627"/>
      <c r="D7" s="1627"/>
      <c r="E7" s="1627"/>
      <c r="F7" s="1627"/>
      <c r="G7" s="1627"/>
      <c r="H7" s="1627"/>
      <c r="I7" s="680"/>
    </row>
    <row r="8" spans="1:13">
      <c r="I8" s="681"/>
      <c r="J8" s="681">
        <v>31</v>
      </c>
    </row>
    <row r="9" spans="1:13" ht="31.5" customHeight="1">
      <c r="A9" s="682" t="s">
        <v>6</v>
      </c>
      <c r="B9" s="683" t="s">
        <v>141</v>
      </c>
      <c r="C9" s="1628" t="s">
        <v>483</v>
      </c>
      <c r="D9" s="1629"/>
      <c r="E9" s="683" t="s">
        <v>484</v>
      </c>
      <c r="F9" s="683" t="s">
        <v>485</v>
      </c>
      <c r="G9" s="683" t="s">
        <v>486</v>
      </c>
      <c r="H9" s="684" t="s">
        <v>471</v>
      </c>
      <c r="I9" s="685"/>
    </row>
    <row r="10" spans="1:13" s="694" customFormat="1" ht="27.75" customHeight="1">
      <c r="A10" s="686">
        <v>1</v>
      </c>
      <c r="B10" s="687" t="s">
        <v>491</v>
      </c>
      <c r="C10" s="688"/>
      <c r="D10" s="688" t="str">
        <f>'lương gián tiếp'!B14</f>
        <v>Thảo Văn Vông</v>
      </c>
      <c r="E10" s="688" t="s">
        <v>493</v>
      </c>
      <c r="F10" s="689">
        <f>VLOOKUP(D10,'lương gián tiếp'!$B$14:$G$15,6,0)</f>
        <v>4722719</v>
      </c>
      <c r="G10" s="689">
        <f>VLOOKUP(D10,'lương gián tiếp'!B14:H15,7,0)</f>
        <v>171135.95</v>
      </c>
      <c r="H10" s="690"/>
      <c r="I10" s="691"/>
      <c r="J10" s="692" t="s">
        <v>490</v>
      </c>
      <c r="K10" s="693" t="s">
        <v>492</v>
      </c>
      <c r="L10" s="692"/>
      <c r="M10" s="693"/>
    </row>
    <row r="11" spans="1:13" s="694" customFormat="1" ht="27.75" customHeight="1">
      <c r="A11" s="686">
        <v>2</v>
      </c>
      <c r="B11" s="687"/>
      <c r="C11" s="688" t="s">
        <v>487</v>
      </c>
      <c r="D11" s="688" t="str">
        <f>'lương gián tiếp'!B15</f>
        <v>Thảo Phôn Chay</v>
      </c>
      <c r="E11" s="688" t="s">
        <v>493</v>
      </c>
      <c r="F11" s="689">
        <f>VLOOKUP(D11,'lương gián tiếp'!$B$14:$G$15,6,0)</f>
        <v>4846350</v>
      </c>
      <c r="G11" s="689">
        <f>VLOOKUP(D11,'lương gián tiếp'!B15:H15,7,0)</f>
        <v>177317.5</v>
      </c>
      <c r="H11" s="690"/>
      <c r="I11" s="691"/>
      <c r="J11" s="692" t="s">
        <v>488</v>
      </c>
      <c r="K11" s="693"/>
      <c r="L11" s="692"/>
      <c r="M11" s="693"/>
    </row>
    <row r="12" spans="1:13" s="694" customFormat="1" ht="27.75" customHeight="1">
      <c r="A12" s="686">
        <v>3</v>
      </c>
      <c r="B12" s="687" t="s">
        <v>489</v>
      </c>
      <c r="C12" s="688"/>
      <c r="D12" s="688" t="str">
        <f>'Lương bảo vệ '!B15</f>
        <v xml:space="preserve">Thảo Mét </v>
      </c>
      <c r="E12" s="688" t="s">
        <v>188</v>
      </c>
      <c r="F12" s="689">
        <f>'Lương bảo vệ '!I15</f>
        <v>2600000</v>
      </c>
      <c r="G12" s="689">
        <f>'Lương bảo vệ '!J15</f>
        <v>65000</v>
      </c>
      <c r="H12" s="690"/>
      <c r="I12" s="691"/>
      <c r="J12" s="692" t="s">
        <v>490</v>
      </c>
      <c r="K12" s="693"/>
      <c r="L12" s="692"/>
      <c r="M12" s="693"/>
    </row>
    <row r="13" spans="1:13" s="694" customFormat="1" ht="27.75" customHeight="1">
      <c r="A13" s="686">
        <v>4</v>
      </c>
      <c r="B13" s="687" t="s">
        <v>491</v>
      </c>
      <c r="C13" s="688"/>
      <c r="D13" s="688" t="str">
        <f>'lương gián tiếp'!B17</f>
        <v>N. Nhung  ( VP)</v>
      </c>
      <c r="E13" s="688" t="s">
        <v>172</v>
      </c>
      <c r="F13" s="689">
        <f>VLOOKUP(D13,'lương gián tiếp'!B16:G17,6,0)</f>
        <v>2000000</v>
      </c>
      <c r="G13" s="689">
        <f>VLOOKUP(D13,'lương gián tiếp'!$B$16:$H$17,7,0)</f>
        <v>35000</v>
      </c>
      <c r="H13" s="690"/>
      <c r="I13" s="691"/>
      <c r="J13" s="692" t="s">
        <v>490</v>
      </c>
      <c r="K13" s="693" t="s">
        <v>492</v>
      </c>
      <c r="L13" s="692"/>
      <c r="M13" s="693"/>
    </row>
    <row r="14" spans="1:13" s="694" customFormat="1" ht="21.75" customHeight="1">
      <c r="A14" s="1630" t="s">
        <v>494</v>
      </c>
      <c r="B14" s="1630"/>
      <c r="C14" s="1630"/>
      <c r="D14" s="1630"/>
      <c r="E14" s="1630"/>
      <c r="F14" s="695">
        <f>SUM(F10:F13)</f>
        <v>14169069</v>
      </c>
      <c r="G14" s="695">
        <f>SUM(G10:G13)</f>
        <v>448453.45</v>
      </c>
      <c r="H14" s="682"/>
      <c r="I14" s="696" t="e">
        <f>+#REF!/25</f>
        <v>#REF!</v>
      </c>
      <c r="J14" s="697"/>
      <c r="K14" s="693">
        <f>14*1200</f>
        <v>16800</v>
      </c>
      <c r="L14" s="698">
        <f>1700/31*26</f>
        <v>1425.8064516129032</v>
      </c>
      <c r="M14" s="693"/>
    </row>
    <row r="15" spans="1:13" s="679" customFormat="1" ht="23.25" customHeight="1">
      <c r="A15" s="1631" t="s">
        <v>719</v>
      </c>
      <c r="B15" s="1632"/>
      <c r="C15" s="1632"/>
      <c r="D15" s="1632"/>
      <c r="E15" s="1632"/>
      <c r="F15" s="1632"/>
      <c r="G15" s="1632"/>
      <c r="H15" s="1633"/>
      <c r="I15" s="699"/>
      <c r="J15" s="700"/>
      <c r="L15" s="701" t="e">
        <f>+L14/25+#REF!</f>
        <v>#REF!</v>
      </c>
    </row>
    <row r="16" spans="1:13" s="679" customFormat="1" ht="9" customHeight="1">
      <c r="E16" s="680"/>
      <c r="F16" s="680"/>
      <c r="G16" s="680"/>
      <c r="H16" s="680"/>
      <c r="I16" s="679">
        <f>900*14</f>
        <v>12600</v>
      </c>
      <c r="J16" s="700"/>
    </row>
    <row r="17" spans="1:11" ht="18" customHeight="1">
      <c r="A17" s="699"/>
      <c r="B17" s="699"/>
      <c r="D17" s="702"/>
      <c r="F17" s="1624" t="s">
        <v>647</v>
      </c>
      <c r="G17" s="1624"/>
      <c r="H17" s="1624"/>
      <c r="I17" s="703"/>
      <c r="J17" s="704"/>
      <c r="K17" s="705">
        <f>+F14*20</f>
        <v>283381380</v>
      </c>
    </row>
    <row r="18" spans="1:11" s="679" customFormat="1" ht="23.25" customHeight="1">
      <c r="A18" s="1539" t="s">
        <v>730</v>
      </c>
      <c r="B18" s="1539"/>
      <c r="C18" s="1539"/>
      <c r="D18" s="1539"/>
      <c r="E18" s="1539"/>
      <c r="F18" s="1539"/>
      <c r="G18" s="1539"/>
      <c r="H18" s="1539"/>
      <c r="I18" s="680"/>
    </row>
    <row r="19" spans="1:11">
      <c r="A19" s="270"/>
      <c r="B19" s="270"/>
      <c r="C19" s="270"/>
      <c r="D19" s="270"/>
      <c r="E19" s="270"/>
      <c r="F19" s="270"/>
      <c r="G19" s="270"/>
    </row>
    <row r="20" spans="1:11">
      <c r="A20" s="270"/>
      <c r="B20" s="270"/>
      <c r="C20" s="270"/>
      <c r="D20" s="270"/>
      <c r="E20" s="270"/>
      <c r="F20" s="270"/>
      <c r="G20" s="270"/>
    </row>
    <row r="21" spans="1:11" ht="57.75" customHeight="1">
      <c r="A21" s="270"/>
      <c r="B21" s="270"/>
      <c r="C21" s="270"/>
      <c r="D21" s="270"/>
      <c r="E21" s="270"/>
      <c r="F21" s="270"/>
      <c r="G21" s="270"/>
    </row>
    <row r="22" spans="1:11">
      <c r="A22" s="270"/>
      <c r="B22" s="270"/>
      <c r="C22" s="270"/>
      <c r="D22" s="270"/>
      <c r="E22" s="270"/>
      <c r="F22" s="1509"/>
      <c r="G22" s="1509"/>
      <c r="H22" s="1509"/>
    </row>
    <row r="23" spans="1:11" s="679" customFormat="1">
      <c r="A23" s="270"/>
      <c r="B23" s="271"/>
      <c r="C23" s="1540"/>
      <c r="D23" s="1540"/>
      <c r="E23" s="1540"/>
      <c r="G23" s="1115"/>
      <c r="H23" s="1115"/>
    </row>
    <row r="24" spans="1:11">
      <c r="A24" s="270"/>
      <c r="B24" s="270"/>
      <c r="C24" s="270"/>
      <c r="D24" s="270" t="s">
        <v>162</v>
      </c>
      <c r="I24" s="680"/>
    </row>
  </sheetData>
  <mergeCells count="14">
    <mergeCell ref="C23:E23"/>
    <mergeCell ref="A18:H18"/>
    <mergeCell ref="F22:H22"/>
    <mergeCell ref="F17:H17"/>
    <mergeCell ref="A1:H1"/>
    <mergeCell ref="A2:H2"/>
    <mergeCell ref="A3:H3"/>
    <mergeCell ref="A5:F5"/>
    <mergeCell ref="A6:H6"/>
    <mergeCell ref="A7:H7"/>
    <mergeCell ref="C9:D9"/>
    <mergeCell ref="A14:E14"/>
    <mergeCell ref="A15:H15"/>
    <mergeCell ref="A4:F4"/>
  </mergeCells>
  <printOptions horizontalCentered="1"/>
  <pageMargins left="0.39370078740157483" right="0.47244094488188981" top="0.39370078740157483" bottom="0.23622047244094491" header="0.31496062992125984" footer="0.19685039370078741"/>
  <pageSetup paperSize="9" scale="95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W126"/>
  <sheetViews>
    <sheetView topLeftCell="A16" workbookViewId="0">
      <selection activeCell="F30" sqref="F30"/>
    </sheetView>
  </sheetViews>
  <sheetFormatPr defaultColWidth="9.140625" defaultRowHeight="15"/>
  <cols>
    <col min="1" max="1" width="4.85546875" style="1" customWidth="1"/>
    <col min="2" max="2" width="20.5703125" style="1" customWidth="1"/>
    <col min="3" max="3" width="12.7109375" style="1" customWidth="1"/>
    <col min="4" max="4" width="15.85546875" style="1" customWidth="1"/>
    <col min="5" max="5" width="12" style="1" bestFit="1" customWidth="1"/>
    <col min="6" max="6" width="10.7109375" style="1" bestFit="1" customWidth="1"/>
    <col min="7" max="7" width="12.5703125" style="1" customWidth="1"/>
    <col min="8" max="8" width="10.28515625" style="1" customWidth="1"/>
    <col min="9" max="9" width="9.140625" style="1"/>
    <col min="10" max="10" width="12.7109375" style="1" customWidth="1"/>
    <col min="11" max="16384" width="9.140625" style="1"/>
  </cols>
  <sheetData>
    <row r="1" spans="1:23" ht="16.5">
      <c r="A1" s="1541" t="s">
        <v>56</v>
      </c>
      <c r="B1" s="1541"/>
      <c r="C1" s="1541"/>
      <c r="D1" s="1541"/>
      <c r="E1" s="1541"/>
      <c r="F1" s="1541"/>
      <c r="G1" s="1541"/>
      <c r="H1" s="1541"/>
    </row>
    <row r="2" spans="1:23" ht="16.5">
      <c r="A2" s="1541" t="s">
        <v>42</v>
      </c>
      <c r="B2" s="1541"/>
      <c r="C2" s="1541"/>
      <c r="D2" s="1541"/>
      <c r="E2" s="1541"/>
      <c r="F2" s="1541"/>
      <c r="G2" s="1541"/>
      <c r="H2" s="1541"/>
    </row>
    <row r="3" spans="1:23" ht="16.5">
      <c r="A3" s="1542" t="s">
        <v>294</v>
      </c>
      <c r="B3" s="1541"/>
      <c r="C3" s="1541"/>
      <c r="D3" s="1541"/>
      <c r="E3" s="1541"/>
      <c r="F3" s="1541"/>
      <c r="G3" s="1541"/>
      <c r="H3" s="1541"/>
    </row>
    <row r="4" spans="1:23" ht="16.5">
      <c r="A4" s="641"/>
      <c r="B4" s="641"/>
      <c r="C4" s="641"/>
      <c r="D4" s="641"/>
      <c r="E4" s="641"/>
      <c r="F4" s="641"/>
      <c r="G4" s="641"/>
      <c r="H4" s="641"/>
    </row>
    <row r="5" spans="1:23" ht="16.5">
      <c r="A5" s="1543" t="s">
        <v>0</v>
      </c>
      <c r="B5" s="1543"/>
      <c r="C5" s="1543"/>
      <c r="D5" s="1543"/>
      <c r="E5" s="1543"/>
      <c r="F5" s="262"/>
      <c r="G5" s="262"/>
      <c r="H5" s="262"/>
    </row>
    <row r="6" spans="1:23" ht="16.5">
      <c r="A6" s="1543" t="s">
        <v>643</v>
      </c>
      <c r="B6" s="1543"/>
      <c r="C6" s="1543"/>
      <c r="D6" s="1543"/>
      <c r="E6" s="1543"/>
      <c r="F6" s="334"/>
      <c r="G6" s="334"/>
      <c r="H6" s="334"/>
    </row>
    <row r="7" spans="1:23" ht="7.5" customHeight="1">
      <c r="A7" s="1639"/>
      <c r="B7" s="1639"/>
      <c r="C7" s="1639"/>
      <c r="D7" s="1639"/>
      <c r="E7" s="1639"/>
      <c r="F7" s="1639"/>
      <c r="G7" s="1639"/>
      <c r="H7" s="1639"/>
    </row>
    <row r="8" spans="1:23" ht="44.25" customHeight="1">
      <c r="A8" s="1640" t="s">
        <v>132</v>
      </c>
      <c r="B8" s="1640"/>
      <c r="C8" s="1640"/>
      <c r="D8" s="1640"/>
      <c r="E8" s="1640"/>
      <c r="F8" s="1640"/>
      <c r="G8" s="1640"/>
      <c r="H8" s="1640"/>
      <c r="I8" s="36"/>
      <c r="J8" s="36"/>
      <c r="K8" s="36"/>
    </row>
    <row r="9" spans="1:23" ht="21.75" customHeight="1">
      <c r="A9" s="1646" t="s">
        <v>6</v>
      </c>
      <c r="B9" s="1646" t="s">
        <v>110</v>
      </c>
      <c r="C9" s="1646" t="s">
        <v>87</v>
      </c>
      <c r="D9" s="1646" t="s">
        <v>78</v>
      </c>
      <c r="E9" s="1647" t="s">
        <v>640</v>
      </c>
      <c r="F9" s="1647"/>
      <c r="G9" s="1641" t="s">
        <v>76</v>
      </c>
      <c r="H9" s="1641" t="s">
        <v>77</v>
      </c>
      <c r="I9" s="36"/>
      <c r="J9" s="36"/>
      <c r="K9" s="36"/>
    </row>
    <row r="10" spans="1:23" ht="40.5" customHeight="1">
      <c r="A10" s="1646"/>
      <c r="B10" s="1646"/>
      <c r="C10" s="1646"/>
      <c r="D10" s="1646"/>
      <c r="E10" s="37" t="s">
        <v>88</v>
      </c>
      <c r="F10" s="645" t="s">
        <v>94</v>
      </c>
      <c r="G10" s="1641"/>
      <c r="H10" s="1641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</row>
    <row r="11" spans="1:23" ht="27" customHeight="1">
      <c r="A11" s="336">
        <v>1</v>
      </c>
      <c r="B11" s="337" t="s">
        <v>144</v>
      </c>
      <c r="C11" s="338" t="s">
        <v>91</v>
      </c>
      <c r="D11" s="339" t="s">
        <v>133</v>
      </c>
      <c r="E11" s="340"/>
      <c r="F11" s="341">
        <v>1000000</v>
      </c>
      <c r="G11" s="342"/>
      <c r="H11" s="343"/>
      <c r="I11" s="721" t="s">
        <v>504</v>
      </c>
      <c r="J11" s="721" t="s">
        <v>505</v>
      </c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</row>
    <row r="12" spans="1:23" s="18" customFormat="1" ht="27" customHeight="1">
      <c r="A12" s="336">
        <v>2</v>
      </c>
      <c r="B12" s="337" t="s">
        <v>113</v>
      </c>
      <c r="C12" s="338" t="s">
        <v>72</v>
      </c>
      <c r="D12" s="339" t="s">
        <v>89</v>
      </c>
      <c r="E12" s="340">
        <v>11</v>
      </c>
      <c r="F12" s="341">
        <v>500000</v>
      </c>
      <c r="G12" s="342"/>
      <c r="H12" s="343"/>
      <c r="I12" s="719" t="s">
        <v>506</v>
      </c>
      <c r="J12" s="720">
        <v>500000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</row>
    <row r="13" spans="1:23" ht="27" customHeight="1">
      <c r="A13" s="336">
        <v>3</v>
      </c>
      <c r="B13" s="337" t="s">
        <v>112</v>
      </c>
      <c r="C13" s="338" t="s">
        <v>75</v>
      </c>
      <c r="D13" s="339" t="s">
        <v>89</v>
      </c>
      <c r="E13" s="340">
        <v>6</v>
      </c>
      <c r="F13" s="341">
        <v>500000</v>
      </c>
      <c r="G13" s="342"/>
      <c r="H13" s="343"/>
      <c r="I13" s="719" t="s">
        <v>507</v>
      </c>
      <c r="J13" s="720">
        <v>600000</v>
      </c>
    </row>
    <row r="14" spans="1:23" ht="27" customHeight="1">
      <c r="A14" s="336">
        <v>4</v>
      </c>
      <c r="B14" s="337" t="s">
        <v>114</v>
      </c>
      <c r="C14" s="338" t="s">
        <v>90</v>
      </c>
      <c r="D14" s="339" t="s">
        <v>89</v>
      </c>
      <c r="E14" s="340">
        <v>4</v>
      </c>
      <c r="F14" s="341">
        <v>500000</v>
      </c>
      <c r="G14" s="342"/>
      <c r="H14" s="343"/>
      <c r="I14" s="719" t="s">
        <v>508</v>
      </c>
      <c r="J14" s="720">
        <v>700000</v>
      </c>
    </row>
    <row r="15" spans="1:23" ht="27" customHeight="1">
      <c r="A15" s="336">
        <v>5</v>
      </c>
      <c r="B15" s="337" t="s">
        <v>111</v>
      </c>
      <c r="C15" s="344" t="s">
        <v>91</v>
      </c>
      <c r="D15" s="345" t="s">
        <v>89</v>
      </c>
      <c r="E15" s="346">
        <v>14</v>
      </c>
      <c r="F15" s="341">
        <v>500000</v>
      </c>
      <c r="G15" s="347"/>
      <c r="H15" s="343"/>
    </row>
    <row r="16" spans="1:23" ht="27" customHeight="1">
      <c r="A16" s="336">
        <v>6</v>
      </c>
      <c r="B16" s="337" t="s">
        <v>92</v>
      </c>
      <c r="C16" s="338" t="s">
        <v>85</v>
      </c>
      <c r="D16" s="339" t="s">
        <v>89</v>
      </c>
      <c r="E16" s="340">
        <v>33</v>
      </c>
      <c r="F16" s="722">
        <v>600000</v>
      </c>
      <c r="G16" s="342"/>
      <c r="H16" s="343"/>
    </row>
    <row r="17" spans="1:13" ht="27" customHeight="1">
      <c r="A17" s="336">
        <v>7</v>
      </c>
      <c r="B17" s="337" t="s">
        <v>115</v>
      </c>
      <c r="C17" s="338" t="s">
        <v>86</v>
      </c>
      <c r="D17" s="339" t="s">
        <v>89</v>
      </c>
      <c r="E17" s="340">
        <v>16</v>
      </c>
      <c r="F17" s="341">
        <v>500000</v>
      </c>
      <c r="G17" s="342"/>
      <c r="H17" s="343"/>
    </row>
    <row r="18" spans="1:13" ht="27" customHeight="1">
      <c r="A18" s="336">
        <v>8</v>
      </c>
      <c r="B18" s="337" t="s">
        <v>121</v>
      </c>
      <c r="C18" s="338" t="s">
        <v>119</v>
      </c>
      <c r="D18" s="339" t="s">
        <v>89</v>
      </c>
      <c r="E18" s="340">
        <v>35</v>
      </c>
      <c r="F18" s="722">
        <v>600000</v>
      </c>
      <c r="G18" s="342"/>
      <c r="H18" s="343"/>
    </row>
    <row r="19" spans="1:13" ht="27" customHeight="1">
      <c r="A19" s="336">
        <v>9</v>
      </c>
      <c r="B19" s="337" t="s">
        <v>160</v>
      </c>
      <c r="C19" s="338" t="s">
        <v>120</v>
      </c>
      <c r="D19" s="339" t="s">
        <v>89</v>
      </c>
      <c r="E19" s="340">
        <v>16</v>
      </c>
      <c r="F19" s="341">
        <v>500000</v>
      </c>
      <c r="G19" s="342"/>
      <c r="H19" s="343"/>
    </row>
    <row r="20" spans="1:13" ht="27" customHeight="1">
      <c r="A20" s="336">
        <v>10</v>
      </c>
      <c r="B20" s="337" t="s">
        <v>354</v>
      </c>
      <c r="C20" s="337" t="s">
        <v>513</v>
      </c>
      <c r="D20" s="339" t="s">
        <v>89</v>
      </c>
      <c r="E20" s="340">
        <v>110</v>
      </c>
      <c r="F20" s="722">
        <v>700000</v>
      </c>
      <c r="G20" s="342"/>
      <c r="H20" s="343"/>
    </row>
    <row r="21" spans="1:13" ht="27" customHeight="1">
      <c r="A21" s="1642" t="s">
        <v>61</v>
      </c>
      <c r="B21" s="1642"/>
      <c r="C21" s="1642"/>
      <c r="D21" s="1642"/>
      <c r="E21" s="503">
        <f>SUM(E12:E20)</f>
        <v>245</v>
      </c>
      <c r="F21" s="503">
        <f>SUM(F11:F20)</f>
        <v>5900000</v>
      </c>
      <c r="G21" s="44"/>
      <c r="H21" s="43"/>
    </row>
    <row r="22" spans="1:13" ht="19.5" customHeight="1">
      <c r="A22" s="1643" t="s">
        <v>514</v>
      </c>
      <c r="B22" s="1644"/>
      <c r="C22" s="1644"/>
      <c r="D22" s="1644"/>
      <c r="E22" s="1644"/>
      <c r="F22" s="1644"/>
      <c r="G22" s="1644"/>
      <c r="H22" s="1645"/>
    </row>
    <row r="23" spans="1:13">
      <c r="C23" s="1635" t="s">
        <v>707</v>
      </c>
      <c r="D23" s="1635"/>
      <c r="E23" s="1635"/>
      <c r="F23" s="1635"/>
      <c r="G23" s="1635"/>
      <c r="H23" s="1635"/>
    </row>
    <row r="24" spans="1:13" ht="8.25" customHeight="1"/>
    <row r="25" spans="1:13">
      <c r="A25" s="1637" t="s">
        <v>673</v>
      </c>
      <c r="B25" s="1637"/>
      <c r="C25" s="1637"/>
      <c r="D25" s="1637"/>
      <c r="E25" s="1637"/>
      <c r="F25" s="1637"/>
      <c r="G25" s="1637"/>
      <c r="H25" s="1637"/>
      <c r="I25" s="1125"/>
      <c r="J25" s="1125"/>
      <c r="K25" s="1125"/>
      <c r="L25" s="1125"/>
      <c r="M25" s="1125"/>
    </row>
    <row r="26" spans="1:13">
      <c r="A26" s="1123"/>
      <c r="B26" s="1123"/>
      <c r="C26" s="1123"/>
      <c r="D26" s="1123"/>
      <c r="E26" s="1123"/>
      <c r="F26" s="1123"/>
      <c r="G26" s="1124"/>
      <c r="H26" s="1124"/>
      <c r="I26" s="1123"/>
      <c r="J26" s="1123"/>
      <c r="K26" s="1123"/>
      <c r="L26" s="1124"/>
      <c r="M26" s="1124"/>
    </row>
    <row r="27" spans="1:13">
      <c r="A27" s="1123"/>
      <c r="B27" s="1123"/>
      <c r="C27" s="1123"/>
      <c r="D27" s="1123"/>
      <c r="E27" s="1123"/>
      <c r="F27" s="1123"/>
      <c r="G27" s="1124"/>
      <c r="H27" s="1124"/>
      <c r="I27" s="1123"/>
      <c r="J27" s="1123"/>
      <c r="K27" s="1123"/>
      <c r="L27" s="1124"/>
      <c r="M27" s="1124"/>
    </row>
    <row r="28" spans="1:13">
      <c r="A28" s="1123"/>
      <c r="B28" s="1123"/>
      <c r="C28" s="1123"/>
      <c r="D28" s="1123"/>
      <c r="E28" s="1123"/>
      <c r="F28" s="1123"/>
      <c r="G28" s="1124"/>
      <c r="H28" s="1124"/>
      <c r="I28" s="1123"/>
      <c r="J28" s="1123"/>
      <c r="K28" s="1123"/>
      <c r="L28" s="1124"/>
      <c r="M28" s="1124"/>
    </row>
    <row r="29" spans="1:13">
      <c r="A29" s="1123"/>
      <c r="B29" s="1123"/>
      <c r="C29" s="1123"/>
      <c r="D29" s="1123"/>
      <c r="E29" s="1123"/>
      <c r="F29" s="1123"/>
      <c r="G29" s="1124"/>
      <c r="H29" s="1124"/>
      <c r="I29" s="1123"/>
      <c r="J29" s="1123"/>
      <c r="K29" s="1123"/>
      <c r="L29" s="1124"/>
      <c r="M29" s="1124"/>
    </row>
    <row r="30" spans="1:13">
      <c r="A30" s="1123"/>
      <c r="B30" s="1123"/>
      <c r="C30" s="1123"/>
      <c r="D30" s="1123"/>
      <c r="E30" s="1123"/>
      <c r="F30" s="1123"/>
      <c r="G30" s="1124"/>
      <c r="H30" s="1124"/>
      <c r="I30" s="1123"/>
      <c r="J30" s="1123"/>
      <c r="K30" s="1123"/>
      <c r="L30" s="1124"/>
      <c r="M30" s="1124"/>
    </row>
    <row r="31" spans="1:13">
      <c r="A31" s="1123"/>
      <c r="B31" s="1123"/>
      <c r="C31" s="1123"/>
      <c r="D31" s="1123"/>
      <c r="E31" s="1123"/>
      <c r="F31" s="1123"/>
      <c r="G31" s="1124"/>
      <c r="H31" s="1124"/>
      <c r="I31" s="1123"/>
      <c r="J31" s="1123"/>
      <c r="K31" s="1123"/>
      <c r="L31" s="1124"/>
      <c r="M31" s="1124"/>
    </row>
    <row r="32" spans="1:13" ht="8.25" customHeight="1">
      <c r="A32" s="1636"/>
      <c r="B32" s="1636"/>
      <c r="C32" s="1123"/>
      <c r="D32" s="1123"/>
      <c r="E32" s="1123"/>
      <c r="F32" s="1123"/>
      <c r="G32" s="1124"/>
      <c r="H32" s="1124"/>
      <c r="I32" s="1123"/>
      <c r="J32" s="1123"/>
      <c r="K32" s="1123"/>
      <c r="L32" s="1124"/>
      <c r="M32" s="1124"/>
    </row>
    <row r="33" spans="1:13" ht="19.5" customHeight="1">
      <c r="A33" s="1638" t="s">
        <v>674</v>
      </c>
      <c r="B33" s="1638"/>
      <c r="C33" s="1638"/>
      <c r="D33" s="1638"/>
      <c r="E33" s="1638"/>
      <c r="F33" s="1638"/>
      <c r="G33" s="1638"/>
      <c r="H33" s="1638"/>
      <c r="I33" s="1125"/>
      <c r="J33" s="1125"/>
      <c r="K33" s="1125"/>
      <c r="L33" s="1125"/>
      <c r="M33" s="1125"/>
    </row>
    <row r="55" spans="1:8">
      <c r="A55" s="1634" t="s">
        <v>108</v>
      </c>
      <c r="B55" s="1634"/>
      <c r="C55" s="1634"/>
      <c r="D55" s="1634"/>
      <c r="E55" s="1634"/>
      <c r="F55" s="1634"/>
      <c r="G55" s="1" t="s">
        <v>109</v>
      </c>
    </row>
    <row r="57" spans="1:8" ht="15.75">
      <c r="G57" s="40" t="s">
        <v>105</v>
      </c>
      <c r="H57" s="42" t="s">
        <v>99</v>
      </c>
    </row>
    <row r="58" spans="1:8">
      <c r="G58" s="22"/>
      <c r="H58" s="22"/>
    </row>
    <row r="59" spans="1:8">
      <c r="G59" s="22"/>
      <c r="H59" s="22"/>
    </row>
    <row r="60" spans="1:8">
      <c r="G60" s="22"/>
      <c r="H60" s="22"/>
    </row>
    <row r="61" spans="1:8">
      <c r="G61" s="22"/>
      <c r="H61" s="22"/>
    </row>
    <row r="62" spans="1:8" ht="15.75">
      <c r="G62" s="40" t="s">
        <v>106</v>
      </c>
      <c r="H62" s="42" t="s">
        <v>71</v>
      </c>
    </row>
    <row r="63" spans="1:8">
      <c r="G63" s="22"/>
      <c r="H63" s="22"/>
    </row>
    <row r="64" spans="1:8">
      <c r="G64" s="22"/>
      <c r="H64" s="22"/>
    </row>
    <row r="65" spans="7:8">
      <c r="G65" s="22"/>
      <c r="H65" s="22"/>
    </row>
    <row r="66" spans="7:8">
      <c r="G66" s="22"/>
      <c r="H66" s="22"/>
    </row>
    <row r="67" spans="7:8">
      <c r="G67" s="22"/>
      <c r="H67" s="22"/>
    </row>
    <row r="68" spans="7:8">
      <c r="G68" s="22"/>
      <c r="H68" s="22"/>
    </row>
    <row r="69" spans="7:8">
      <c r="G69" s="22"/>
      <c r="H69" s="22"/>
    </row>
    <row r="70" spans="7:8">
      <c r="G70" s="22"/>
      <c r="H70" s="22"/>
    </row>
    <row r="71" spans="7:8">
      <c r="G71" s="22"/>
      <c r="H71" s="22"/>
    </row>
    <row r="72" spans="7:8">
      <c r="G72" s="22"/>
      <c r="H72" s="22"/>
    </row>
    <row r="73" spans="7:8">
      <c r="G73" s="22"/>
      <c r="H73" s="22"/>
    </row>
    <row r="74" spans="7:8">
      <c r="G74" s="22"/>
      <c r="H74" s="22"/>
    </row>
    <row r="75" spans="7:8">
      <c r="G75" s="22"/>
      <c r="H75" s="22"/>
    </row>
    <row r="76" spans="7:8">
      <c r="G76" s="22"/>
      <c r="H76" s="22"/>
    </row>
    <row r="77" spans="7:8">
      <c r="G77" s="22"/>
      <c r="H77" s="22"/>
    </row>
    <row r="78" spans="7:8">
      <c r="G78" s="22"/>
      <c r="H78" s="22"/>
    </row>
    <row r="79" spans="7:8">
      <c r="G79" s="22"/>
      <c r="H79" s="22"/>
    </row>
    <row r="80" spans="7:8">
      <c r="G80" s="22"/>
      <c r="H80" s="22"/>
    </row>
    <row r="81" spans="7:8">
      <c r="G81" s="22"/>
      <c r="H81" s="22"/>
    </row>
    <row r="82" spans="7:8">
      <c r="G82" s="22"/>
      <c r="H82" s="22"/>
    </row>
    <row r="83" spans="7:8">
      <c r="G83" s="22"/>
      <c r="H83" s="22"/>
    </row>
    <row r="84" spans="7:8">
      <c r="G84" s="22"/>
      <c r="H84" s="22"/>
    </row>
    <row r="85" spans="7:8">
      <c r="G85" s="22"/>
      <c r="H85" s="22"/>
    </row>
    <row r="86" spans="7:8">
      <c r="G86" s="22"/>
      <c r="H86" s="22"/>
    </row>
    <row r="87" spans="7:8">
      <c r="G87" s="22"/>
      <c r="H87" s="22"/>
    </row>
    <row r="88" spans="7:8">
      <c r="G88" s="22"/>
      <c r="H88" s="22"/>
    </row>
    <row r="89" spans="7:8">
      <c r="G89" s="22"/>
      <c r="H89" s="22"/>
    </row>
    <row r="90" spans="7:8">
      <c r="G90" s="22"/>
      <c r="H90" s="22"/>
    </row>
    <row r="91" spans="7:8">
      <c r="G91" s="22"/>
      <c r="H91" s="22"/>
    </row>
    <row r="92" spans="7:8">
      <c r="G92" s="22"/>
      <c r="H92" s="22"/>
    </row>
    <row r="93" spans="7:8">
      <c r="G93" s="22"/>
      <c r="H93" s="22"/>
    </row>
    <row r="94" spans="7:8">
      <c r="G94" s="22"/>
      <c r="H94" s="22"/>
    </row>
    <row r="95" spans="7:8">
      <c r="G95" s="22"/>
      <c r="H95" s="22"/>
    </row>
    <row r="96" spans="7:8">
      <c r="G96" s="22"/>
      <c r="H96" s="22"/>
    </row>
    <row r="97" spans="7:8">
      <c r="G97" s="22"/>
      <c r="H97" s="22"/>
    </row>
    <row r="98" spans="7:8">
      <c r="G98" s="22"/>
      <c r="H98" s="22"/>
    </row>
    <row r="99" spans="7:8">
      <c r="G99" s="22"/>
      <c r="H99" s="22"/>
    </row>
    <row r="100" spans="7:8">
      <c r="G100" s="22"/>
      <c r="H100" s="22"/>
    </row>
    <row r="101" spans="7:8">
      <c r="G101" s="22"/>
      <c r="H101" s="22"/>
    </row>
    <row r="102" spans="7:8">
      <c r="G102" s="22"/>
      <c r="H102" s="22"/>
    </row>
    <row r="103" spans="7:8">
      <c r="G103" s="22"/>
      <c r="H103" s="22"/>
    </row>
    <row r="104" spans="7:8">
      <c r="G104" s="22"/>
      <c r="H104" s="22"/>
    </row>
    <row r="105" spans="7:8">
      <c r="G105" s="22"/>
      <c r="H105" s="22"/>
    </row>
    <row r="106" spans="7:8">
      <c r="G106" s="22"/>
      <c r="H106" s="22"/>
    </row>
    <row r="107" spans="7:8">
      <c r="G107" s="22"/>
      <c r="H107" s="22"/>
    </row>
    <row r="108" spans="7:8">
      <c r="G108" s="22"/>
      <c r="H108" s="22"/>
    </row>
    <row r="109" spans="7:8">
      <c r="G109" s="22"/>
      <c r="H109" s="22"/>
    </row>
    <row r="110" spans="7:8">
      <c r="G110" s="22"/>
      <c r="H110" s="22"/>
    </row>
    <row r="111" spans="7:8">
      <c r="G111" s="22"/>
      <c r="H111" s="22"/>
    </row>
    <row r="112" spans="7:8">
      <c r="G112" s="22"/>
      <c r="H112" s="22"/>
    </row>
    <row r="113" spans="7:8">
      <c r="G113" s="22"/>
      <c r="H113" s="22"/>
    </row>
    <row r="114" spans="7:8">
      <c r="G114" s="22"/>
      <c r="H114" s="22"/>
    </row>
    <row r="115" spans="7:8">
      <c r="G115" s="22"/>
      <c r="H115" s="22"/>
    </row>
    <row r="116" spans="7:8">
      <c r="G116" s="22"/>
      <c r="H116" s="22"/>
    </row>
    <row r="117" spans="7:8" ht="15.75">
      <c r="G117" s="40" t="s">
        <v>104</v>
      </c>
      <c r="H117" s="41" t="s">
        <v>101</v>
      </c>
    </row>
    <row r="118" spans="7:8" ht="15.75">
      <c r="G118" s="40" t="s">
        <v>107</v>
      </c>
      <c r="H118" s="41" t="s">
        <v>98</v>
      </c>
    </row>
    <row r="119" spans="7:8" ht="31.5">
      <c r="G119" s="38">
        <v>382</v>
      </c>
      <c r="H119" s="39" t="s">
        <v>100</v>
      </c>
    </row>
    <row r="120" spans="7:8">
      <c r="G120" s="22"/>
      <c r="H120" s="22"/>
    </row>
    <row r="121" spans="7:8">
      <c r="G121" s="22"/>
      <c r="H121" s="22"/>
    </row>
    <row r="122" spans="7:8">
      <c r="G122" s="22"/>
      <c r="H122" s="22"/>
    </row>
    <row r="123" spans="7:8">
      <c r="G123" s="22"/>
      <c r="H123" s="22"/>
    </row>
    <row r="124" spans="7:8">
      <c r="G124" s="22"/>
      <c r="H124" s="22"/>
    </row>
    <row r="125" spans="7:8" ht="31.5">
      <c r="G125" s="38">
        <v>411</v>
      </c>
      <c r="H125" s="39" t="s">
        <v>102</v>
      </c>
    </row>
    <row r="126" spans="7:8">
      <c r="G126" s="22"/>
      <c r="H126" s="22"/>
    </row>
  </sheetData>
  <mergeCells count="21">
    <mergeCell ref="G9:G10"/>
    <mergeCell ref="H9:H10"/>
    <mergeCell ref="A21:D21"/>
    <mergeCell ref="A22:H22"/>
    <mergeCell ref="A9:A10"/>
    <mergeCell ref="B9:B10"/>
    <mergeCell ref="C9:C10"/>
    <mergeCell ref="D9:D10"/>
    <mergeCell ref="E9:F9"/>
    <mergeCell ref="A1:H1"/>
    <mergeCell ref="A2:H2"/>
    <mergeCell ref="A3:H3"/>
    <mergeCell ref="A7:H7"/>
    <mergeCell ref="A8:H8"/>
    <mergeCell ref="A5:E5"/>
    <mergeCell ref="A6:E6"/>
    <mergeCell ref="A55:F55"/>
    <mergeCell ref="C23:H23"/>
    <mergeCell ref="A32:B32"/>
    <mergeCell ref="A25:H25"/>
    <mergeCell ref="A33:H33"/>
  </mergeCells>
  <pageMargins left="0.24" right="0.2" top="0.2" bottom="0.2" header="0.2" footer="0.2"/>
  <pageSetup paperSize="9" orientation="portrait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rgb="FF00B0F0"/>
  </sheetPr>
  <dimension ref="A1:AA34"/>
  <sheetViews>
    <sheetView topLeftCell="A12" zoomScale="85" zoomScaleNormal="85" workbookViewId="0">
      <selection activeCell="E32" sqref="E32:H32"/>
    </sheetView>
  </sheetViews>
  <sheetFormatPr defaultColWidth="9.140625" defaultRowHeight="15"/>
  <cols>
    <col min="1" max="1" width="8.5703125" style="1" customWidth="1"/>
    <col min="2" max="2" width="27.5703125" style="1" customWidth="1"/>
    <col min="3" max="3" width="18.28515625" style="1" customWidth="1"/>
    <col min="4" max="4" width="16.85546875" style="1" customWidth="1"/>
    <col min="5" max="5" width="23" style="1" customWidth="1"/>
    <col min="6" max="6" width="17.85546875" style="1" customWidth="1"/>
    <col min="7" max="7" width="25.140625" style="1" customWidth="1"/>
    <col min="8" max="8" width="26.42578125" style="1" customWidth="1"/>
    <col min="9" max="9" width="8.42578125" style="1" customWidth="1"/>
    <col min="10" max="10" width="12.85546875" style="1" customWidth="1"/>
    <col min="11" max="11" width="13.42578125" style="1" customWidth="1"/>
    <col min="12" max="13" width="7.85546875" style="1" customWidth="1"/>
    <col min="14" max="14" width="7.28515625" style="1" customWidth="1"/>
    <col min="15" max="15" width="7.42578125" style="1" customWidth="1"/>
    <col min="16" max="16" width="6.28515625" style="1" customWidth="1"/>
    <col min="17" max="17" width="5.7109375" style="1" customWidth="1"/>
    <col min="18" max="18" width="6" style="1" customWidth="1"/>
    <col min="19" max="19" width="4.85546875" style="1" customWidth="1"/>
    <col min="20" max="20" width="6" style="1" customWidth="1"/>
    <col min="21" max="21" width="6.5703125" style="1" customWidth="1"/>
    <col min="22" max="22" width="8.140625" style="1" customWidth="1"/>
    <col min="23" max="23" width="6" style="1" customWidth="1"/>
    <col min="24" max="24" width="8.140625" style="1" customWidth="1"/>
    <col min="25" max="25" width="15" style="1" bestFit="1" customWidth="1"/>
    <col min="26" max="26" width="17.85546875" style="1" bestFit="1" customWidth="1"/>
    <col min="27" max="27" width="12.85546875" style="1" bestFit="1" customWidth="1"/>
    <col min="28" max="16384" width="9.140625" style="1"/>
  </cols>
  <sheetData>
    <row r="1" spans="1:27">
      <c r="A1" s="187"/>
      <c r="B1" s="187"/>
      <c r="C1" s="187"/>
      <c r="D1" s="187"/>
      <c r="E1" s="187"/>
      <c r="F1" s="187"/>
      <c r="G1" s="187"/>
      <c r="H1" s="187"/>
    </row>
    <row r="2" spans="1:27">
      <c r="A2" s="187"/>
      <c r="B2" s="187"/>
      <c r="C2" s="187"/>
      <c r="D2" s="187"/>
      <c r="E2" s="187"/>
      <c r="F2" s="187"/>
      <c r="G2" s="187"/>
      <c r="H2" s="187"/>
    </row>
    <row r="3" spans="1:27" ht="16.5">
      <c r="A3" s="1652" t="s">
        <v>56</v>
      </c>
      <c r="B3" s="1652"/>
      <c r="C3" s="1652"/>
      <c r="D3" s="1652"/>
      <c r="E3" s="1652"/>
      <c r="F3" s="1652"/>
      <c r="G3" s="1652"/>
      <c r="H3" s="1652"/>
      <c r="I3" s="15"/>
      <c r="J3" s="15"/>
      <c r="K3" s="15"/>
      <c r="L3" s="12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 spans="1:27" ht="16.5">
      <c r="A4" s="1652" t="s">
        <v>42</v>
      </c>
      <c r="B4" s="1652"/>
      <c r="C4" s="1652"/>
      <c r="D4" s="1652"/>
      <c r="E4" s="1652"/>
      <c r="F4" s="1652"/>
      <c r="G4" s="1652"/>
      <c r="H4" s="1652"/>
      <c r="I4" s="16"/>
      <c r="J4" s="16"/>
      <c r="K4" s="16"/>
      <c r="L4" s="10"/>
      <c r="M4" s="7"/>
      <c r="O4" s="10"/>
      <c r="P4" s="10"/>
      <c r="Q4" s="10"/>
      <c r="R4" s="10"/>
      <c r="S4" s="10"/>
      <c r="T4" s="10"/>
      <c r="U4" s="10"/>
      <c r="V4" s="10"/>
      <c r="W4" s="10"/>
      <c r="X4" s="8"/>
    </row>
    <row r="5" spans="1:27" ht="16.5">
      <c r="A5" s="1653" t="s">
        <v>405</v>
      </c>
      <c r="B5" s="1652"/>
      <c r="C5" s="1652"/>
      <c r="D5" s="1652"/>
      <c r="E5" s="1652"/>
      <c r="F5" s="1652"/>
      <c r="G5" s="1652"/>
      <c r="H5" s="1652"/>
      <c r="I5" s="16"/>
      <c r="J5" s="16"/>
      <c r="K5" s="16"/>
      <c r="L5" s="10"/>
      <c r="M5" s="7"/>
      <c r="O5" s="10"/>
      <c r="P5" s="10"/>
      <c r="Q5" s="10"/>
      <c r="R5" s="10"/>
      <c r="S5" s="10"/>
      <c r="T5" s="10"/>
      <c r="U5" s="10"/>
      <c r="V5" s="10"/>
      <c r="W5" s="10"/>
      <c r="X5" s="8"/>
    </row>
    <row r="6" spans="1:27" ht="9.75" customHeight="1">
      <c r="A6" s="187"/>
      <c r="B6" s="187"/>
      <c r="C6" s="187"/>
      <c r="D6" s="187"/>
      <c r="E6" s="187"/>
      <c r="F6" s="187"/>
      <c r="G6" s="569"/>
      <c r="H6" s="569"/>
      <c r="I6" s="21"/>
      <c r="J6" s="21"/>
      <c r="K6" s="21"/>
      <c r="L6" s="327"/>
      <c r="M6" s="23"/>
      <c r="N6" s="24"/>
      <c r="O6" s="9"/>
      <c r="P6" s="9"/>
      <c r="Q6" s="9"/>
      <c r="R6" s="9"/>
      <c r="S6" s="9"/>
      <c r="T6" s="9"/>
      <c r="U6" s="9"/>
      <c r="V6" s="9"/>
      <c r="W6" s="9"/>
      <c r="X6" s="8"/>
      <c r="Y6" s="25">
        <f>1372+388</f>
        <v>1760</v>
      </c>
      <c r="Z6" s="1">
        <f>Y6*30000</f>
        <v>52800000</v>
      </c>
      <c r="AA6" s="1" t="e">
        <f>Z6+#REF!+#REF!</f>
        <v>#REF!</v>
      </c>
    </row>
    <row r="7" spans="1:27" ht="16.5">
      <c r="A7" s="1654" t="s">
        <v>0</v>
      </c>
      <c r="B7" s="1654"/>
      <c r="C7" s="1654"/>
      <c r="D7" s="1654"/>
      <c r="E7" s="1654"/>
      <c r="F7" s="134"/>
      <c r="G7" s="569"/>
      <c r="H7" s="569"/>
      <c r="I7" s="21"/>
      <c r="J7" s="21"/>
      <c r="K7" s="21"/>
      <c r="L7" s="327"/>
      <c r="M7" s="23"/>
      <c r="N7" s="24"/>
      <c r="O7" s="9"/>
      <c r="P7" s="9"/>
      <c r="Q7" s="9"/>
      <c r="R7" s="9"/>
      <c r="S7" s="9"/>
      <c r="T7" s="9"/>
      <c r="U7" s="9"/>
      <c r="V7" s="9"/>
      <c r="W7" s="9"/>
      <c r="X7" s="8"/>
      <c r="Y7" s="25"/>
    </row>
    <row r="8" spans="1:27" ht="16.5">
      <c r="A8" s="1655" t="s">
        <v>658</v>
      </c>
      <c r="B8" s="1655"/>
      <c r="C8" s="1655"/>
      <c r="D8" s="1655"/>
      <c r="E8" s="1655"/>
      <c r="F8" s="569"/>
      <c r="G8" s="569"/>
      <c r="H8" s="569"/>
      <c r="I8" s="21"/>
      <c r="J8" s="21"/>
      <c r="K8" s="21"/>
      <c r="L8" s="327"/>
      <c r="M8" s="23"/>
      <c r="N8" s="24"/>
      <c r="O8" s="9"/>
      <c r="P8" s="9"/>
      <c r="Q8" s="9"/>
      <c r="R8" s="9"/>
      <c r="S8" s="9"/>
      <c r="T8" s="9"/>
      <c r="U8" s="9"/>
      <c r="V8" s="9"/>
      <c r="W8" s="9"/>
      <c r="X8" s="8"/>
      <c r="Y8" s="25"/>
    </row>
    <row r="9" spans="1:27" ht="15.75">
      <c r="A9" s="536"/>
      <c r="B9" s="536"/>
      <c r="C9" s="536"/>
      <c r="D9" s="536"/>
      <c r="E9" s="570"/>
      <c r="F9" s="569"/>
      <c r="G9" s="569"/>
      <c r="H9" s="569"/>
      <c r="I9" s="21"/>
      <c r="J9" s="21"/>
      <c r="K9" s="21"/>
      <c r="L9" s="327"/>
      <c r="M9" s="23"/>
      <c r="N9" s="24"/>
      <c r="O9" s="9"/>
      <c r="P9" s="9"/>
      <c r="Q9" s="9"/>
      <c r="R9" s="9"/>
      <c r="S9" s="9"/>
      <c r="T9" s="9"/>
      <c r="U9" s="9"/>
      <c r="V9" s="9"/>
      <c r="W9" s="9"/>
      <c r="X9" s="8"/>
      <c r="Y9" s="25"/>
    </row>
    <row r="10" spans="1:27" ht="32.25" customHeight="1">
      <c r="A10" s="1650" t="s">
        <v>675</v>
      </c>
      <c r="B10" s="1651"/>
      <c r="C10" s="1651"/>
      <c r="D10" s="1651"/>
      <c r="E10" s="1651"/>
      <c r="F10" s="1651"/>
      <c r="G10" s="1651"/>
      <c r="H10" s="1651"/>
      <c r="I10" s="33"/>
      <c r="J10" s="33"/>
      <c r="K10" s="33"/>
      <c r="L10" s="33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</row>
    <row r="11" spans="1:27" ht="12" customHeight="1">
      <c r="A11" s="571"/>
      <c r="B11" s="572"/>
      <c r="C11" s="572"/>
      <c r="D11" s="571"/>
      <c r="E11" s="571"/>
      <c r="F11" s="571"/>
      <c r="G11" s="572"/>
      <c r="H11" s="572"/>
      <c r="I11" s="26"/>
      <c r="J11" s="27"/>
      <c r="K11" s="28"/>
    </row>
    <row r="12" spans="1:27" ht="21" customHeight="1">
      <c r="A12" s="1648" t="s">
        <v>6</v>
      </c>
      <c r="B12" s="1648" t="s">
        <v>69</v>
      </c>
      <c r="C12" s="1648" t="s">
        <v>10</v>
      </c>
      <c r="D12" s="1648" t="s">
        <v>35</v>
      </c>
      <c r="E12" s="1648" t="s">
        <v>406</v>
      </c>
      <c r="F12" s="1648" t="s">
        <v>540</v>
      </c>
      <c r="G12" s="1648" t="s">
        <v>12</v>
      </c>
      <c r="H12" s="1648" t="s">
        <v>70</v>
      </c>
      <c r="I12" s="330"/>
      <c r="J12" s="129"/>
      <c r="K12" s="130"/>
    </row>
    <row r="13" spans="1:27" ht="27.75" customHeight="1">
      <c r="A13" s="1649"/>
      <c r="B13" s="1649"/>
      <c r="C13" s="1649"/>
      <c r="D13" s="1649"/>
      <c r="E13" s="1649"/>
      <c r="F13" s="1649"/>
      <c r="G13" s="1649"/>
      <c r="H13" s="1649"/>
      <c r="I13" s="131"/>
      <c r="J13" s="129"/>
      <c r="K13" s="130"/>
    </row>
    <row r="14" spans="1:27" ht="27" customHeight="1">
      <c r="A14" s="267">
        <v>1</v>
      </c>
      <c r="B14" s="611" t="str">
        <f>'PC xăng xe T4'!C13</f>
        <v>Nguyễn Minh Thành</v>
      </c>
      <c r="C14" s="611" t="str">
        <f>'PC xăng xe T4'!D13</f>
        <v>Đội trưởng</v>
      </c>
      <c r="D14" s="574">
        <f>'PC xăng xe T4'!AJ13</f>
        <v>15</v>
      </c>
      <c r="E14" s="269">
        <v>20000</v>
      </c>
      <c r="F14" s="573">
        <f t="shared" ref="F14:F20" si="0">D14*E14</f>
        <v>300000</v>
      </c>
      <c r="G14" s="267"/>
      <c r="H14" s="267"/>
      <c r="I14" s="131"/>
      <c r="J14" s="132"/>
      <c r="K14" s="133"/>
    </row>
    <row r="15" spans="1:27" ht="27" customHeight="1">
      <c r="A15" s="267">
        <v>2</v>
      </c>
      <c r="B15" s="611" t="str">
        <f>'PC xăng xe T4'!C14</f>
        <v>Trần Viết Hùng</v>
      </c>
      <c r="C15" s="611" t="str">
        <f>'PC xăng xe T4'!D14</f>
        <v>TK - TH</v>
      </c>
      <c r="D15" s="574">
        <f>'PC xăng xe T4'!AJ14</f>
        <v>15</v>
      </c>
      <c r="E15" s="269">
        <v>20000</v>
      </c>
      <c r="F15" s="573">
        <f t="shared" si="0"/>
        <v>300000</v>
      </c>
      <c r="G15" s="267"/>
      <c r="H15" s="267"/>
      <c r="I15" s="131"/>
      <c r="J15" s="132"/>
      <c r="K15" s="133"/>
    </row>
    <row r="16" spans="1:27" ht="27" customHeight="1">
      <c r="A16" s="267">
        <v>3</v>
      </c>
      <c r="B16" s="611" t="str">
        <f>'PC xăng xe T4'!C15</f>
        <v>Trần Thị Kim Ngân</v>
      </c>
      <c r="C16" s="611" t="str">
        <f>'PC xăng xe T4'!D15</f>
        <v>NV-NN</v>
      </c>
      <c r="D16" s="574">
        <f>'PC xăng xe T4'!AJ15</f>
        <v>15</v>
      </c>
      <c r="E16" s="269">
        <v>20000</v>
      </c>
      <c r="F16" s="573">
        <f t="shared" si="0"/>
        <v>300000</v>
      </c>
      <c r="G16" s="267"/>
      <c r="H16" s="267"/>
      <c r="I16" s="131"/>
      <c r="J16" s="132"/>
      <c r="K16" s="133"/>
    </row>
    <row r="17" spans="1:13" ht="27" customHeight="1">
      <c r="A17" s="267">
        <v>4</v>
      </c>
      <c r="B17" s="611" t="str">
        <f>'PC xăng xe T4'!C16</f>
        <v>Lê Minh Trí</v>
      </c>
      <c r="C17" s="611" t="str">
        <f>'PC xăng xe T4'!D16</f>
        <v>Bảo vệ (D1)</v>
      </c>
      <c r="D17" s="574">
        <f>'PC xăng xe T4'!AJ16</f>
        <v>31</v>
      </c>
      <c r="E17" s="269">
        <v>20000</v>
      </c>
      <c r="F17" s="573">
        <f t="shared" si="0"/>
        <v>620000</v>
      </c>
      <c r="G17" s="267"/>
      <c r="H17" s="267"/>
      <c r="I17" s="131"/>
      <c r="J17" s="132"/>
      <c r="K17" s="133"/>
    </row>
    <row r="18" spans="1:13" ht="27" customHeight="1">
      <c r="A18" s="267">
        <v>5</v>
      </c>
      <c r="B18" s="611" t="str">
        <f>'PC xăng xe T4'!C17</f>
        <v>Nguyễn Văn Cương</v>
      </c>
      <c r="C18" s="611" t="str">
        <f>'PC xăng xe T4'!D17</f>
        <v>Bảo vệ (D3)</v>
      </c>
      <c r="D18" s="574">
        <f>'PC xăng xe T4'!AJ17</f>
        <v>31</v>
      </c>
      <c r="E18" s="269">
        <v>20000</v>
      </c>
      <c r="F18" s="573">
        <f t="shared" si="0"/>
        <v>620000</v>
      </c>
      <c r="G18" s="267"/>
      <c r="H18" s="267"/>
      <c r="I18" s="131"/>
      <c r="J18" s="132"/>
      <c r="K18" s="133"/>
    </row>
    <row r="19" spans="1:13" ht="27" customHeight="1">
      <c r="A19" s="267">
        <v>6</v>
      </c>
      <c r="B19" s="611" t="str">
        <f>'PC xăng xe T4'!C18</f>
        <v>Nguyễn Trí Thạch</v>
      </c>
      <c r="C19" s="611" t="str">
        <f>'PC xăng xe T4'!D18</f>
        <v>Đội phó</v>
      </c>
      <c r="D19" s="574">
        <f>'PC xăng xe T4'!AJ18</f>
        <v>8</v>
      </c>
      <c r="E19" s="269">
        <v>20000</v>
      </c>
      <c r="F19" s="573">
        <f t="shared" si="0"/>
        <v>160000</v>
      </c>
      <c r="G19" s="267"/>
      <c r="H19" s="267"/>
      <c r="I19" s="131"/>
      <c r="J19" s="132"/>
      <c r="K19" s="133"/>
    </row>
    <row r="20" spans="1:13" ht="27" customHeight="1">
      <c r="A20" s="267">
        <v>7</v>
      </c>
      <c r="B20" s="611" t="str">
        <f>'PC xăng xe T4'!C19</f>
        <v>Hoàng Hữu Công</v>
      </c>
      <c r="C20" s="611" t="str">
        <f>'PC xăng xe T4'!D19</f>
        <v>Đội phó</v>
      </c>
      <c r="D20" s="574">
        <f>'PC xăng xe T4'!AJ19</f>
        <v>12</v>
      </c>
      <c r="E20" s="269">
        <v>20000</v>
      </c>
      <c r="F20" s="573">
        <f t="shared" si="0"/>
        <v>240000</v>
      </c>
      <c r="G20" s="267"/>
      <c r="H20" s="267"/>
      <c r="I20" s="131"/>
      <c r="J20" s="132"/>
      <c r="K20" s="133"/>
    </row>
    <row r="21" spans="1:13" ht="27" customHeight="1">
      <c r="A21" s="267">
        <v>8</v>
      </c>
      <c r="B21" s="611" t="str">
        <f>'PC xăng xe T4'!C20</f>
        <v>Thảo Văn Vông</v>
      </c>
      <c r="C21" s="611" t="str">
        <f>'PC xăng xe T4'!D20</f>
        <v>ĐP - NL</v>
      </c>
      <c r="D21" s="574">
        <f>'PC xăng xe T4'!AJ20</f>
        <v>15</v>
      </c>
      <c r="E21" s="269">
        <v>20000</v>
      </c>
      <c r="F21" s="573">
        <f>D21*E21</f>
        <v>300000</v>
      </c>
      <c r="G21" s="267"/>
      <c r="H21" s="267"/>
      <c r="I21" s="131"/>
      <c r="J21" s="132"/>
      <c r="K21" s="133"/>
    </row>
    <row r="22" spans="1:13" ht="27" customHeight="1">
      <c r="A22" s="267">
        <v>9</v>
      </c>
      <c r="B22" s="611" t="str">
        <f>'PC xăng xe T4'!C21</f>
        <v>Thảo Phôn Chay</v>
      </c>
      <c r="C22" s="611" t="str">
        <f>'PC xăng xe T4'!D21</f>
        <v>ĐP - NL</v>
      </c>
      <c r="D22" s="574">
        <f>'PC xăng xe T4'!AJ21</f>
        <v>15</v>
      </c>
      <c r="E22" s="269">
        <v>20000</v>
      </c>
      <c r="F22" s="573">
        <f>D22*E22</f>
        <v>300000</v>
      </c>
      <c r="G22" s="267"/>
      <c r="H22" s="267"/>
      <c r="I22" s="131"/>
      <c r="J22" s="132"/>
      <c r="K22" s="133"/>
    </row>
    <row r="23" spans="1:13" ht="32.25" customHeight="1">
      <c r="A23" s="1546" t="s">
        <v>158</v>
      </c>
      <c r="B23" s="1546"/>
      <c r="C23" s="568"/>
      <c r="D23" s="332">
        <f>SUM(D14:D22)</f>
        <v>157</v>
      </c>
      <c r="E23" s="332"/>
      <c r="F23" s="332">
        <f>SUM(F14:F22)</f>
        <v>3140000</v>
      </c>
      <c r="G23" s="568"/>
      <c r="H23" s="267"/>
      <c r="I23" s="131"/>
      <c r="J23" s="132">
        <f>F23/25000</f>
        <v>125.6</v>
      </c>
      <c r="K23" s="133">
        <f>F23/25000</f>
        <v>125.6</v>
      </c>
    </row>
    <row r="24" spans="1:13" ht="27.75" customHeight="1">
      <c r="A24" s="1549" t="s">
        <v>709</v>
      </c>
      <c r="B24" s="1550"/>
      <c r="C24" s="1550"/>
      <c r="D24" s="1550"/>
      <c r="E24" s="1550"/>
      <c r="F24" s="1550"/>
      <c r="G24" s="1550"/>
      <c r="H24" s="1550"/>
    </row>
    <row r="25" spans="1:13" ht="17.25">
      <c r="A25" s="270"/>
      <c r="B25" s="270"/>
      <c r="C25" s="270"/>
      <c r="D25" s="270"/>
      <c r="E25" s="270"/>
      <c r="F25" s="1612" t="s">
        <v>706</v>
      </c>
      <c r="G25" s="1612"/>
      <c r="H25" s="1612"/>
      <c r="I25" s="29"/>
      <c r="J25" s="29"/>
      <c r="K25" s="29"/>
      <c r="L25" s="29"/>
      <c r="M25" s="29"/>
    </row>
    <row r="26" spans="1:13" ht="16.5">
      <c r="A26" s="1658" t="s">
        <v>731</v>
      </c>
      <c r="B26" s="1658"/>
      <c r="C26" s="1658"/>
      <c r="D26" s="1658"/>
      <c r="E26" s="1658"/>
      <c r="F26" s="1658"/>
      <c r="G26" s="1658"/>
      <c r="H26" s="1658"/>
      <c r="I26" s="1120"/>
    </row>
    <row r="27" spans="1:13" ht="16.5">
      <c r="A27" s="270"/>
      <c r="B27" s="270"/>
      <c r="C27" s="270"/>
      <c r="D27" s="270"/>
      <c r="E27" s="270"/>
      <c r="F27" s="270"/>
      <c r="G27" s="270"/>
      <c r="H27" s="270"/>
      <c r="I27" s="270"/>
    </row>
    <row r="28" spans="1:13" ht="16.5">
      <c r="A28" s="270"/>
      <c r="B28" s="270"/>
      <c r="C28" s="270"/>
      <c r="D28" s="270"/>
      <c r="E28" s="270"/>
      <c r="F28" s="270"/>
      <c r="G28" s="270"/>
      <c r="H28" s="270"/>
      <c r="I28" s="270"/>
    </row>
    <row r="29" spans="1:13" ht="16.5">
      <c r="A29" s="270"/>
      <c r="B29" s="270"/>
      <c r="C29" s="270"/>
      <c r="D29" s="270"/>
      <c r="E29" s="270"/>
      <c r="F29" s="270"/>
      <c r="G29" s="270"/>
      <c r="H29" s="270"/>
      <c r="I29" s="270"/>
    </row>
    <row r="30" spans="1:13" ht="16.5">
      <c r="A30" s="270"/>
      <c r="B30" s="270"/>
      <c r="C30" s="270"/>
      <c r="D30" s="270"/>
      <c r="E30" s="270"/>
      <c r="F30" s="270"/>
      <c r="G30" s="270"/>
      <c r="H30" s="270"/>
      <c r="I30" s="270"/>
    </row>
    <row r="31" spans="1:13" ht="16.5">
      <c r="A31" s="270"/>
      <c r="B31" s="271"/>
      <c r="C31" s="1540"/>
      <c r="D31" s="1540"/>
      <c r="E31" s="1540"/>
      <c r="F31" s="1554"/>
      <c r="G31" s="1554"/>
      <c r="H31" s="567"/>
      <c r="I31" s="567"/>
    </row>
    <row r="32" spans="1:13" ht="16.5">
      <c r="A32" s="270"/>
      <c r="B32" s="270"/>
      <c r="C32" s="270"/>
      <c r="D32" s="270" t="s">
        <v>162</v>
      </c>
      <c r="E32" s="1509"/>
      <c r="F32" s="1509"/>
      <c r="G32" s="1509"/>
      <c r="H32" s="1509"/>
      <c r="I32" s="1115"/>
    </row>
    <row r="33" spans="2:8" ht="16.5">
      <c r="B33" s="11"/>
      <c r="C33" s="1657"/>
      <c r="D33" s="1657"/>
      <c r="E33" s="1656"/>
      <c r="F33" s="1656"/>
      <c r="G33" s="1540"/>
      <c r="H33" s="1540"/>
    </row>
    <row r="34" spans="2:8">
      <c r="D34" s="1" t="s">
        <v>162</v>
      </c>
    </row>
  </sheetData>
  <mergeCells count="24">
    <mergeCell ref="F25:H25"/>
    <mergeCell ref="G33:H33"/>
    <mergeCell ref="E33:F33"/>
    <mergeCell ref="C33:D33"/>
    <mergeCell ref="C31:E31"/>
    <mergeCell ref="F31:G31"/>
    <mergeCell ref="A26:H26"/>
    <mergeCell ref="E32:H32"/>
    <mergeCell ref="A10:H10"/>
    <mergeCell ref="C12:C13"/>
    <mergeCell ref="E12:E13"/>
    <mergeCell ref="F12:F13"/>
    <mergeCell ref="A3:H3"/>
    <mergeCell ref="A4:H4"/>
    <mergeCell ref="A5:H5"/>
    <mergeCell ref="A7:E7"/>
    <mergeCell ref="A8:E8"/>
    <mergeCell ref="A23:B23"/>
    <mergeCell ref="A24:H24"/>
    <mergeCell ref="A12:A13"/>
    <mergeCell ref="B12:B13"/>
    <mergeCell ref="D12:D13"/>
    <mergeCell ref="G12:G13"/>
    <mergeCell ref="H12:H13"/>
  </mergeCells>
  <printOptions horizontalCentered="1"/>
  <pageMargins left="0.27559055118110198" right="0.196850393700787" top="0.196850393700787" bottom="0.23622047244094499" header="0.196850393700787" footer="0.196850393700787"/>
  <pageSetup paperSize="9" scale="85" fitToHeight="0" orientation="landscape" r:id="rId1"/>
  <headerFooter>
    <oddFooter>&amp;R&amp;P</oddFooter>
  </headerFooter>
  <colBreaks count="1" manualBreakCount="1">
    <brk id="10" max="1048575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rgb="FF00B0F0"/>
  </sheetPr>
  <dimension ref="A2:AP42"/>
  <sheetViews>
    <sheetView topLeftCell="A10" zoomScale="70" zoomScaleNormal="70" workbookViewId="0">
      <selection activeCell="O29" sqref="O29"/>
    </sheetView>
  </sheetViews>
  <sheetFormatPr defaultColWidth="5.28515625" defaultRowHeight="8.25"/>
  <cols>
    <col min="1" max="1" width="3.5703125" style="172" customWidth="1"/>
    <col min="2" max="2" width="0.140625" style="172" hidden="1" customWidth="1"/>
    <col min="3" max="3" width="21.140625" style="172" customWidth="1"/>
    <col min="4" max="4" width="14.42578125" style="172" customWidth="1"/>
    <col min="5" max="33" width="4.140625" style="172" customWidth="1"/>
    <col min="34" max="34" width="4.42578125" style="172" customWidth="1"/>
    <col min="35" max="35" width="4.140625" style="172" customWidth="1"/>
    <col min="36" max="36" width="12" style="172" customWidth="1"/>
    <col min="37" max="37" width="5.28515625" style="172" customWidth="1"/>
    <col min="38" max="38" width="7.5703125" style="173" customWidth="1"/>
    <col min="39" max="16384" width="5.28515625" style="172"/>
  </cols>
  <sheetData>
    <row r="2" spans="1:36" ht="20.25" customHeight="1">
      <c r="A2" s="1355" t="s">
        <v>56</v>
      </c>
      <c r="B2" s="1355"/>
      <c r="C2" s="1355"/>
      <c r="D2" s="1355"/>
      <c r="E2" s="1355"/>
      <c r="F2" s="1355"/>
      <c r="G2" s="1355"/>
      <c r="H2" s="1355"/>
      <c r="I2" s="1355"/>
      <c r="J2" s="1355"/>
      <c r="K2" s="1355"/>
      <c r="L2" s="1355"/>
      <c r="M2" s="1355"/>
      <c r="N2" s="1355"/>
      <c r="O2" s="1355"/>
      <c r="P2" s="1355"/>
      <c r="Q2" s="1355"/>
      <c r="R2" s="1355"/>
      <c r="S2" s="1355"/>
      <c r="T2" s="1355"/>
      <c r="U2" s="1355"/>
      <c r="V2" s="1355"/>
      <c r="W2" s="1355"/>
      <c r="X2" s="1355"/>
      <c r="Y2" s="1355"/>
      <c r="Z2" s="1355"/>
      <c r="AA2" s="1355"/>
      <c r="AB2" s="1355"/>
      <c r="AC2" s="1355"/>
      <c r="AD2" s="1355"/>
      <c r="AE2" s="1355"/>
      <c r="AF2" s="1355"/>
      <c r="AG2" s="1355"/>
      <c r="AH2" s="1355"/>
      <c r="AI2" s="1355"/>
      <c r="AJ2" s="1355"/>
    </row>
    <row r="3" spans="1:36" ht="20.25" customHeight="1">
      <c r="A3" s="1355" t="s">
        <v>57</v>
      </c>
      <c r="B3" s="1355"/>
      <c r="C3" s="1355"/>
      <c r="D3" s="1355"/>
      <c r="E3" s="1355"/>
      <c r="F3" s="1355"/>
      <c r="G3" s="1355"/>
      <c r="H3" s="1355"/>
      <c r="I3" s="1355"/>
      <c r="J3" s="1355"/>
      <c r="K3" s="1355"/>
      <c r="L3" s="1355"/>
      <c r="M3" s="1355"/>
      <c r="N3" s="1355"/>
      <c r="O3" s="1355"/>
      <c r="P3" s="1355"/>
      <c r="Q3" s="1355"/>
      <c r="R3" s="1355"/>
      <c r="S3" s="1355"/>
      <c r="T3" s="1355"/>
      <c r="U3" s="1355"/>
      <c r="V3" s="1355"/>
      <c r="W3" s="1355"/>
      <c r="X3" s="1355"/>
      <c r="Y3" s="1355"/>
      <c r="Z3" s="1355"/>
      <c r="AA3" s="1355"/>
      <c r="AB3" s="1355"/>
      <c r="AC3" s="1355"/>
      <c r="AD3" s="1355"/>
      <c r="AE3" s="1355"/>
      <c r="AF3" s="1355"/>
      <c r="AG3" s="1355"/>
      <c r="AH3" s="1355"/>
      <c r="AI3" s="1355"/>
      <c r="AJ3" s="1355"/>
    </row>
    <row r="4" spans="1:36" ht="20.25" customHeight="1">
      <c r="A4" s="1356" t="s">
        <v>294</v>
      </c>
      <c r="B4" s="1355"/>
      <c r="C4" s="1355"/>
      <c r="D4" s="1355"/>
      <c r="E4" s="1355"/>
      <c r="F4" s="1355"/>
      <c r="G4" s="1355"/>
      <c r="H4" s="1355"/>
      <c r="I4" s="1355"/>
      <c r="J4" s="1355"/>
      <c r="K4" s="1355"/>
      <c r="L4" s="1355"/>
      <c r="M4" s="1355"/>
      <c r="N4" s="1355"/>
      <c r="O4" s="1355"/>
      <c r="P4" s="1355"/>
      <c r="Q4" s="1355"/>
      <c r="R4" s="1355"/>
      <c r="S4" s="1355"/>
      <c r="T4" s="1355"/>
      <c r="U4" s="1355"/>
      <c r="V4" s="1355"/>
      <c r="W4" s="1355"/>
      <c r="X4" s="1355"/>
      <c r="Y4" s="1355"/>
      <c r="Z4" s="1355"/>
      <c r="AA4" s="1355"/>
      <c r="AB4" s="1355"/>
      <c r="AC4" s="1355"/>
      <c r="AD4" s="1355"/>
      <c r="AE4" s="1355"/>
      <c r="AF4" s="1355"/>
      <c r="AG4" s="1355"/>
      <c r="AH4" s="1355"/>
      <c r="AI4" s="1355"/>
      <c r="AJ4" s="1355"/>
    </row>
    <row r="5" spans="1:36" ht="20.25" customHeight="1">
      <c r="A5" s="1160"/>
      <c r="B5" s="1160"/>
      <c r="C5" s="1160"/>
      <c r="D5" s="1160"/>
      <c r="E5" s="1160"/>
      <c r="F5" s="1160"/>
      <c r="G5" s="1160"/>
      <c r="H5" s="1160"/>
      <c r="I5" s="1160"/>
      <c r="J5" s="1160"/>
      <c r="K5" s="1160"/>
      <c r="L5" s="1160"/>
      <c r="M5" s="1160"/>
      <c r="N5" s="1160"/>
      <c r="O5" s="1160"/>
      <c r="P5" s="1160"/>
      <c r="Q5" s="1160"/>
      <c r="R5" s="1160"/>
      <c r="S5" s="1160"/>
      <c r="T5" s="1160"/>
      <c r="U5" s="1160"/>
      <c r="V5" s="1160"/>
      <c r="W5" s="1160"/>
      <c r="X5" s="1160"/>
      <c r="Y5" s="1160"/>
      <c r="Z5" s="1160"/>
      <c r="AA5" s="1160"/>
      <c r="AB5" s="1160"/>
      <c r="AC5" s="1160"/>
      <c r="AD5" s="1160"/>
      <c r="AE5" s="1160"/>
      <c r="AF5" s="1160"/>
      <c r="AG5" s="1160"/>
      <c r="AH5" s="1160"/>
      <c r="AI5" s="1160"/>
      <c r="AJ5" s="1160"/>
    </row>
    <row r="6" spans="1:36" ht="20.25" customHeight="1">
      <c r="A6" s="1665" t="s">
        <v>276</v>
      </c>
      <c r="B6" s="1665"/>
      <c r="C6" s="1665"/>
      <c r="D6" s="1665"/>
      <c r="E6" s="1665"/>
      <c r="F6" s="1665"/>
      <c r="G6" s="1665"/>
      <c r="H6" s="1665"/>
      <c r="I6" s="1665"/>
      <c r="J6" s="1665"/>
      <c r="K6" s="1665"/>
      <c r="L6" s="1665"/>
      <c r="M6" s="329"/>
      <c r="N6" s="329"/>
      <c r="O6" s="329"/>
      <c r="P6" s="1160"/>
      <c r="Q6" s="1160"/>
      <c r="R6" s="1160"/>
      <c r="S6" s="1160"/>
      <c r="T6" s="1160"/>
      <c r="U6" s="1160"/>
      <c r="V6" s="1160"/>
      <c r="W6" s="1160"/>
      <c r="X6" s="1160"/>
      <c r="Y6" s="1160"/>
      <c r="Z6" s="1160"/>
      <c r="AA6" s="1160"/>
      <c r="AB6" s="1160"/>
      <c r="AC6" s="1160"/>
      <c r="AD6" s="1160"/>
      <c r="AE6" s="1160"/>
      <c r="AF6" s="1160"/>
      <c r="AG6" s="1160"/>
      <c r="AH6" s="1160"/>
      <c r="AI6" s="1160"/>
      <c r="AJ6" s="1160"/>
    </row>
    <row r="7" spans="1:36" ht="20.25" customHeight="1">
      <c r="A7" s="1666" t="s">
        <v>658</v>
      </c>
      <c r="B7" s="1666"/>
      <c r="C7" s="1666"/>
      <c r="D7" s="1666"/>
      <c r="E7" s="1666"/>
      <c r="F7" s="1666"/>
      <c r="G7" s="1666"/>
      <c r="H7" s="1666"/>
      <c r="I7" s="1666"/>
      <c r="J7" s="1666"/>
      <c r="K7" s="1666"/>
      <c r="L7" s="1666"/>
      <c r="M7" s="329"/>
      <c r="N7" s="329"/>
      <c r="O7" s="329"/>
      <c r="P7" s="1160"/>
      <c r="Q7" s="1160"/>
      <c r="R7" s="1160"/>
      <c r="S7" s="1160"/>
      <c r="T7" s="1160"/>
      <c r="U7" s="1160"/>
      <c r="V7" s="1160"/>
      <c r="W7" s="1160"/>
      <c r="X7" s="1160"/>
      <c r="Y7" s="1160"/>
      <c r="Z7" s="1160"/>
      <c r="AA7" s="1160"/>
      <c r="AB7" s="1160"/>
      <c r="AC7" s="1160"/>
      <c r="AD7" s="1160"/>
      <c r="AE7" s="1160"/>
      <c r="AF7" s="1160"/>
      <c r="AG7" s="1160"/>
      <c r="AH7" s="1160"/>
      <c r="AI7" s="1160"/>
      <c r="AJ7" s="1160"/>
    </row>
    <row r="8" spans="1:36" ht="20.25" customHeight="1">
      <c r="A8" s="1110"/>
      <c r="B8" s="1110"/>
      <c r="C8" s="1110"/>
      <c r="D8" s="1110"/>
      <c r="E8" s="1110"/>
      <c r="F8" s="1110"/>
      <c r="G8" s="1110"/>
      <c r="H8" s="1110"/>
      <c r="I8" s="1110"/>
      <c r="J8" s="1110"/>
      <c r="K8" s="1110"/>
      <c r="L8" s="1110"/>
      <c r="M8" s="329"/>
      <c r="N8" s="329"/>
      <c r="O8" s="329"/>
      <c r="P8" s="1160"/>
      <c r="Q8" s="1160"/>
      <c r="R8" s="1160"/>
      <c r="S8" s="1160"/>
      <c r="T8" s="1160"/>
      <c r="U8" s="1160"/>
      <c r="V8" s="1160"/>
      <c r="W8" s="1160"/>
      <c r="X8" s="1160"/>
      <c r="Y8" s="1160"/>
      <c r="Z8" s="1160"/>
      <c r="AA8" s="1160"/>
      <c r="AB8" s="1160"/>
      <c r="AC8" s="1160"/>
      <c r="AD8" s="1160"/>
      <c r="AE8" s="1160"/>
      <c r="AF8" s="1160"/>
      <c r="AG8" s="1160"/>
      <c r="AH8" s="1160"/>
      <c r="AI8" s="1160"/>
      <c r="AJ8" s="1160"/>
    </row>
    <row r="9" spans="1:36" ht="21.75">
      <c r="A9" s="1659" t="s">
        <v>646</v>
      </c>
      <c r="B9" s="1659"/>
      <c r="C9" s="1659"/>
      <c r="D9" s="1659"/>
      <c r="E9" s="1659"/>
      <c r="F9" s="1659"/>
      <c r="G9" s="1659"/>
      <c r="H9" s="1659"/>
      <c r="I9" s="1659"/>
      <c r="J9" s="1659"/>
      <c r="K9" s="1659"/>
      <c r="L9" s="1659"/>
      <c r="M9" s="1659"/>
      <c r="N9" s="1659"/>
      <c r="O9" s="1659"/>
      <c r="P9" s="1659"/>
      <c r="Q9" s="1659"/>
      <c r="R9" s="1659"/>
      <c r="S9" s="1659"/>
      <c r="T9" s="1659"/>
      <c r="U9" s="1659"/>
      <c r="V9" s="1659"/>
      <c r="W9" s="1659"/>
      <c r="X9" s="1659"/>
      <c r="Y9" s="1659"/>
      <c r="Z9" s="1659"/>
      <c r="AA9" s="1659"/>
      <c r="AB9" s="1659"/>
      <c r="AC9" s="1659"/>
      <c r="AD9" s="1659"/>
      <c r="AE9" s="1659"/>
      <c r="AF9" s="1659"/>
      <c r="AG9" s="1659"/>
      <c r="AH9" s="1659"/>
      <c r="AI9" s="1659"/>
      <c r="AJ9" s="1659"/>
    </row>
    <row r="10" spans="1:36" ht="16.5">
      <c r="A10" s="1173"/>
      <c r="B10" s="1173"/>
      <c r="C10" s="1173"/>
      <c r="D10" s="1173"/>
      <c r="E10" s="1173"/>
      <c r="F10" s="1173"/>
      <c r="G10" s="1173"/>
      <c r="H10" s="1173"/>
      <c r="I10" s="1173"/>
      <c r="J10" s="1173"/>
      <c r="K10" s="1173"/>
      <c r="L10" s="1173"/>
      <c r="M10" s="1173"/>
      <c r="N10" s="1173"/>
      <c r="O10" s="1173"/>
      <c r="P10" s="1173"/>
      <c r="Q10" s="1173"/>
      <c r="R10" s="1173"/>
      <c r="S10" s="1173"/>
      <c r="T10" s="1173"/>
      <c r="U10" s="1173"/>
      <c r="V10" s="1173"/>
      <c r="W10" s="1173"/>
      <c r="X10" s="1173"/>
      <c r="Y10" s="1173"/>
      <c r="Z10" s="1173"/>
      <c r="AA10" s="1173"/>
      <c r="AB10" s="1173"/>
      <c r="AC10" s="1173"/>
      <c r="AD10" s="1173"/>
      <c r="AE10" s="1173"/>
      <c r="AF10" s="1173"/>
      <c r="AG10" s="1173"/>
      <c r="AH10" s="1173"/>
      <c r="AI10" s="1173"/>
      <c r="AJ10" s="1173"/>
    </row>
    <row r="11" spans="1:36" ht="15" customHeight="1">
      <c r="A11" s="1660" t="s">
        <v>58</v>
      </c>
      <c r="B11" s="1660" t="s">
        <v>404</v>
      </c>
      <c r="C11" s="1660" t="s">
        <v>59</v>
      </c>
      <c r="D11" s="1661" t="s">
        <v>10</v>
      </c>
      <c r="E11" s="1661">
        <v>1</v>
      </c>
      <c r="F11" s="1664">
        <v>2</v>
      </c>
      <c r="G11" s="1661">
        <v>3</v>
      </c>
      <c r="H11" s="1664">
        <v>4</v>
      </c>
      <c r="I11" s="1661">
        <v>5</v>
      </c>
      <c r="J11" s="1664">
        <v>6</v>
      </c>
      <c r="K11" s="1661">
        <v>7</v>
      </c>
      <c r="L11" s="1664">
        <v>8</v>
      </c>
      <c r="M11" s="1661">
        <v>9</v>
      </c>
      <c r="N11" s="1664">
        <v>10</v>
      </c>
      <c r="O11" s="1661">
        <v>11</v>
      </c>
      <c r="P11" s="1664">
        <v>12</v>
      </c>
      <c r="Q11" s="1661">
        <v>13</v>
      </c>
      <c r="R11" s="1664">
        <v>14</v>
      </c>
      <c r="S11" s="1661">
        <v>15</v>
      </c>
      <c r="T11" s="1664">
        <v>16</v>
      </c>
      <c r="U11" s="1661">
        <v>17</v>
      </c>
      <c r="V11" s="1664">
        <v>18</v>
      </c>
      <c r="W11" s="1661">
        <v>19</v>
      </c>
      <c r="X11" s="1664">
        <v>20</v>
      </c>
      <c r="Y11" s="1661">
        <v>21</v>
      </c>
      <c r="Z11" s="1664">
        <v>22</v>
      </c>
      <c r="AA11" s="1661">
        <v>23</v>
      </c>
      <c r="AB11" s="1664">
        <v>24</v>
      </c>
      <c r="AC11" s="1661">
        <v>25</v>
      </c>
      <c r="AD11" s="1664">
        <v>26</v>
      </c>
      <c r="AE11" s="1661">
        <v>27</v>
      </c>
      <c r="AF11" s="1664">
        <v>28</v>
      </c>
      <c r="AG11" s="1661">
        <v>29</v>
      </c>
      <c r="AH11" s="1664">
        <v>30</v>
      </c>
      <c r="AI11" s="1661">
        <v>31</v>
      </c>
      <c r="AJ11" s="1551" t="s">
        <v>35</v>
      </c>
    </row>
    <row r="12" spans="1:36" ht="23.25" customHeight="1">
      <c r="A12" s="1660"/>
      <c r="B12" s="1660"/>
      <c r="C12" s="1660"/>
      <c r="D12" s="1662"/>
      <c r="E12" s="1663"/>
      <c r="F12" s="1663"/>
      <c r="G12" s="1663"/>
      <c r="H12" s="1663"/>
      <c r="I12" s="1663"/>
      <c r="J12" s="1663"/>
      <c r="K12" s="1663"/>
      <c r="L12" s="1663"/>
      <c r="M12" s="1663"/>
      <c r="N12" s="1663"/>
      <c r="O12" s="1663"/>
      <c r="P12" s="1663"/>
      <c r="Q12" s="1663"/>
      <c r="R12" s="1663"/>
      <c r="S12" s="1663"/>
      <c r="T12" s="1663"/>
      <c r="U12" s="1663"/>
      <c r="V12" s="1663"/>
      <c r="W12" s="1663"/>
      <c r="X12" s="1663"/>
      <c r="Y12" s="1663"/>
      <c r="Z12" s="1663"/>
      <c r="AA12" s="1663"/>
      <c r="AB12" s="1663"/>
      <c r="AC12" s="1663"/>
      <c r="AD12" s="1663"/>
      <c r="AE12" s="1663"/>
      <c r="AF12" s="1663"/>
      <c r="AG12" s="1663"/>
      <c r="AH12" s="1663"/>
      <c r="AI12" s="1662"/>
      <c r="AJ12" s="1551"/>
    </row>
    <row r="13" spans="1:36" ht="30" customHeight="1">
      <c r="A13" s="1174">
        <v>1</v>
      </c>
      <c r="B13" s="1175"/>
      <c r="C13" s="105" t="s">
        <v>363</v>
      </c>
      <c r="D13" s="105" t="s">
        <v>201</v>
      </c>
      <c r="E13" s="228" t="s">
        <v>55</v>
      </c>
      <c r="F13" s="228" t="s">
        <v>55</v>
      </c>
      <c r="G13" s="228" t="s">
        <v>55</v>
      </c>
      <c r="H13" s="228" t="s">
        <v>55</v>
      </c>
      <c r="I13" s="228" t="s">
        <v>55</v>
      </c>
      <c r="J13" s="228" t="s">
        <v>55</v>
      </c>
      <c r="K13" s="228" t="s">
        <v>55</v>
      </c>
      <c r="L13" s="228" t="s">
        <v>55</v>
      </c>
      <c r="M13" s="228" t="s">
        <v>55</v>
      </c>
      <c r="N13" s="228" t="s">
        <v>55</v>
      </c>
      <c r="O13" s="228" t="s">
        <v>55</v>
      </c>
      <c r="P13" s="228" t="s">
        <v>55</v>
      </c>
      <c r="Q13" s="228" t="s">
        <v>55</v>
      </c>
      <c r="R13" s="228" t="s">
        <v>55</v>
      </c>
      <c r="S13" s="228" t="s">
        <v>55</v>
      </c>
      <c r="T13" s="228"/>
      <c r="U13" s="228"/>
      <c r="V13" s="228"/>
      <c r="W13" s="228"/>
      <c r="X13" s="228"/>
      <c r="Y13" s="228"/>
      <c r="Z13" s="228"/>
      <c r="AA13" s="228"/>
      <c r="AB13" s="228"/>
      <c r="AC13" s="228"/>
      <c r="AD13" s="228"/>
      <c r="AE13" s="228"/>
      <c r="AF13" s="228"/>
      <c r="AG13" s="228"/>
      <c r="AH13" s="228"/>
      <c r="AI13" s="228"/>
      <c r="AJ13" s="229">
        <f t="shared" ref="AJ13:AJ21" si="0">COUNTIF(E13:AI13,"x")+ COUNTIF(E13:AI13,"p")+COUNTIF(E13:AI13,"pt")+COUNTIF(E13:AI13,"T")+COUNTIF(E13:AI13,"VN")</f>
        <v>15</v>
      </c>
    </row>
    <row r="14" spans="1:36" ht="30" customHeight="1">
      <c r="A14" s="1174">
        <v>2</v>
      </c>
      <c r="B14" s="1175"/>
      <c r="C14" s="103" t="s">
        <v>45</v>
      </c>
      <c r="D14" s="103" t="s">
        <v>645</v>
      </c>
      <c r="E14" s="228" t="s">
        <v>55</v>
      </c>
      <c r="F14" s="228" t="s">
        <v>55</v>
      </c>
      <c r="G14" s="228" t="s">
        <v>55</v>
      </c>
      <c r="H14" s="228" t="s">
        <v>55</v>
      </c>
      <c r="I14" s="228" t="s">
        <v>55</v>
      </c>
      <c r="J14" s="228" t="s">
        <v>55</v>
      </c>
      <c r="K14" s="228" t="s">
        <v>55</v>
      </c>
      <c r="L14" s="228" t="s">
        <v>55</v>
      </c>
      <c r="M14" s="228" t="s">
        <v>55</v>
      </c>
      <c r="N14" s="228" t="s">
        <v>55</v>
      </c>
      <c r="O14" s="228" t="s">
        <v>55</v>
      </c>
      <c r="P14" s="228" t="s">
        <v>55</v>
      </c>
      <c r="Q14" s="228" t="s">
        <v>55</v>
      </c>
      <c r="R14" s="228" t="s">
        <v>55</v>
      </c>
      <c r="S14" s="228" t="s">
        <v>55</v>
      </c>
      <c r="T14" s="228"/>
      <c r="U14" s="228"/>
      <c r="V14" s="228"/>
      <c r="W14" s="228"/>
      <c r="X14" s="228"/>
      <c r="Y14" s="228"/>
      <c r="Z14" s="228"/>
      <c r="AA14" s="228"/>
      <c r="AB14" s="228"/>
      <c r="AC14" s="228"/>
      <c r="AD14" s="228"/>
      <c r="AE14" s="228"/>
      <c r="AF14" s="228"/>
      <c r="AG14" s="228"/>
      <c r="AH14" s="228"/>
      <c r="AI14" s="228"/>
      <c r="AJ14" s="229">
        <f t="shared" si="0"/>
        <v>15</v>
      </c>
    </row>
    <row r="15" spans="1:36" ht="30" customHeight="1">
      <c r="A15" s="1174">
        <v>3</v>
      </c>
      <c r="B15" s="1175"/>
      <c r="C15" s="103" t="s">
        <v>325</v>
      </c>
      <c r="D15" s="103" t="s">
        <v>143</v>
      </c>
      <c r="E15" s="228" t="s">
        <v>55</v>
      </c>
      <c r="F15" s="228" t="s">
        <v>55</v>
      </c>
      <c r="G15" s="228" t="s">
        <v>55</v>
      </c>
      <c r="H15" s="228" t="s">
        <v>55</v>
      </c>
      <c r="I15" s="228" t="s">
        <v>55</v>
      </c>
      <c r="J15" s="228" t="s">
        <v>55</v>
      </c>
      <c r="K15" s="228" t="s">
        <v>55</v>
      </c>
      <c r="L15" s="228" t="s">
        <v>55</v>
      </c>
      <c r="M15" s="228" t="s">
        <v>55</v>
      </c>
      <c r="N15" s="228" t="s">
        <v>55</v>
      </c>
      <c r="O15" s="228" t="s">
        <v>55</v>
      </c>
      <c r="P15" s="228" t="s">
        <v>55</v>
      </c>
      <c r="Q15" s="228" t="s">
        <v>55</v>
      </c>
      <c r="R15" s="228" t="s">
        <v>55</v>
      </c>
      <c r="S15" s="228" t="s">
        <v>55</v>
      </c>
      <c r="T15" s="228"/>
      <c r="U15" s="228"/>
      <c r="V15" s="228"/>
      <c r="W15" s="228"/>
      <c r="X15" s="228"/>
      <c r="Y15" s="228"/>
      <c r="Z15" s="228"/>
      <c r="AA15" s="228"/>
      <c r="AB15" s="228"/>
      <c r="AC15" s="228"/>
      <c r="AD15" s="228"/>
      <c r="AE15" s="228"/>
      <c r="AF15" s="228"/>
      <c r="AG15" s="228"/>
      <c r="AH15" s="228"/>
      <c r="AI15" s="228"/>
      <c r="AJ15" s="229">
        <f t="shared" si="0"/>
        <v>15</v>
      </c>
    </row>
    <row r="16" spans="1:36" ht="30" customHeight="1">
      <c r="A16" s="1174">
        <v>4</v>
      </c>
      <c r="B16" s="1175"/>
      <c r="C16" s="103" t="s">
        <v>324</v>
      </c>
      <c r="D16" s="105" t="s">
        <v>402</v>
      </c>
      <c r="E16" s="228" t="s">
        <v>55</v>
      </c>
      <c r="F16" s="228" t="s">
        <v>55</v>
      </c>
      <c r="G16" s="228" t="s">
        <v>55</v>
      </c>
      <c r="H16" s="228" t="s">
        <v>55</v>
      </c>
      <c r="I16" s="228" t="s">
        <v>55</v>
      </c>
      <c r="J16" s="228" t="s">
        <v>55</v>
      </c>
      <c r="K16" s="228" t="s">
        <v>55</v>
      </c>
      <c r="L16" s="228" t="s">
        <v>55</v>
      </c>
      <c r="M16" s="228" t="s">
        <v>55</v>
      </c>
      <c r="N16" s="228" t="s">
        <v>55</v>
      </c>
      <c r="O16" s="228" t="s">
        <v>55</v>
      </c>
      <c r="P16" s="228" t="s">
        <v>55</v>
      </c>
      <c r="Q16" s="228" t="s">
        <v>55</v>
      </c>
      <c r="R16" s="228" t="s">
        <v>55</v>
      </c>
      <c r="S16" s="228" t="s">
        <v>55</v>
      </c>
      <c r="T16" s="228" t="s">
        <v>55</v>
      </c>
      <c r="U16" s="228" t="s">
        <v>55</v>
      </c>
      <c r="V16" s="228" t="s">
        <v>55</v>
      </c>
      <c r="W16" s="228" t="s">
        <v>55</v>
      </c>
      <c r="X16" s="228" t="s">
        <v>55</v>
      </c>
      <c r="Y16" s="228" t="s">
        <v>55</v>
      </c>
      <c r="Z16" s="228" t="s">
        <v>55</v>
      </c>
      <c r="AA16" s="228" t="s">
        <v>55</v>
      </c>
      <c r="AB16" s="228" t="s">
        <v>55</v>
      </c>
      <c r="AC16" s="228" t="s">
        <v>55</v>
      </c>
      <c r="AD16" s="228" t="s">
        <v>55</v>
      </c>
      <c r="AE16" s="228" t="s">
        <v>55</v>
      </c>
      <c r="AF16" s="228" t="s">
        <v>55</v>
      </c>
      <c r="AG16" s="228" t="s">
        <v>55</v>
      </c>
      <c r="AH16" s="228" t="s">
        <v>55</v>
      </c>
      <c r="AI16" s="228" t="s">
        <v>55</v>
      </c>
      <c r="AJ16" s="229">
        <f t="shared" si="0"/>
        <v>31</v>
      </c>
    </row>
    <row r="17" spans="1:42" ht="30" customHeight="1">
      <c r="A17" s="1174">
        <v>5</v>
      </c>
      <c r="B17" s="1175"/>
      <c r="C17" s="103" t="s">
        <v>323</v>
      </c>
      <c r="D17" s="105" t="s">
        <v>403</v>
      </c>
      <c r="E17" s="228" t="s">
        <v>55</v>
      </c>
      <c r="F17" s="228" t="s">
        <v>55</v>
      </c>
      <c r="G17" s="228" t="s">
        <v>55</v>
      </c>
      <c r="H17" s="228" t="s">
        <v>55</v>
      </c>
      <c r="I17" s="228" t="s">
        <v>55</v>
      </c>
      <c r="J17" s="228" t="s">
        <v>55</v>
      </c>
      <c r="K17" s="228" t="s">
        <v>55</v>
      </c>
      <c r="L17" s="228" t="s">
        <v>55</v>
      </c>
      <c r="M17" s="228" t="s">
        <v>55</v>
      </c>
      <c r="N17" s="228" t="s">
        <v>55</v>
      </c>
      <c r="O17" s="228" t="s">
        <v>55</v>
      </c>
      <c r="P17" s="228" t="s">
        <v>55</v>
      </c>
      <c r="Q17" s="228" t="s">
        <v>55</v>
      </c>
      <c r="R17" s="228" t="s">
        <v>55</v>
      </c>
      <c r="S17" s="228" t="s">
        <v>55</v>
      </c>
      <c r="T17" s="228" t="s">
        <v>55</v>
      </c>
      <c r="U17" s="228" t="s">
        <v>55</v>
      </c>
      <c r="V17" s="228" t="s">
        <v>55</v>
      </c>
      <c r="W17" s="228" t="s">
        <v>55</v>
      </c>
      <c r="X17" s="228" t="s">
        <v>55</v>
      </c>
      <c r="Y17" s="228" t="s">
        <v>55</v>
      </c>
      <c r="Z17" s="228" t="s">
        <v>55</v>
      </c>
      <c r="AA17" s="228" t="s">
        <v>55</v>
      </c>
      <c r="AB17" s="228" t="s">
        <v>55</v>
      </c>
      <c r="AC17" s="228" t="s">
        <v>55</v>
      </c>
      <c r="AD17" s="228" t="s">
        <v>55</v>
      </c>
      <c r="AE17" s="228" t="s">
        <v>55</v>
      </c>
      <c r="AF17" s="228" t="s">
        <v>55</v>
      </c>
      <c r="AG17" s="228" t="s">
        <v>55</v>
      </c>
      <c r="AH17" s="228" t="s">
        <v>55</v>
      </c>
      <c r="AI17" s="228" t="s">
        <v>55</v>
      </c>
      <c r="AJ17" s="229">
        <f t="shared" si="0"/>
        <v>31</v>
      </c>
    </row>
    <row r="18" spans="1:42" ht="30" customHeight="1">
      <c r="A18" s="1174">
        <v>6</v>
      </c>
      <c r="B18" s="1175"/>
      <c r="C18" s="103" t="s">
        <v>131</v>
      </c>
      <c r="D18" s="103" t="s">
        <v>230</v>
      </c>
      <c r="E18" s="228" t="s">
        <v>55</v>
      </c>
      <c r="F18" s="228"/>
      <c r="G18" s="228"/>
      <c r="H18" s="228"/>
      <c r="I18" s="228"/>
      <c r="J18" s="228"/>
      <c r="K18" s="228"/>
      <c r="L18" s="228"/>
      <c r="M18" s="228" t="s">
        <v>55</v>
      </c>
      <c r="N18" s="228" t="s">
        <v>55</v>
      </c>
      <c r="O18" s="228" t="s">
        <v>55</v>
      </c>
      <c r="P18" s="228" t="s">
        <v>55</v>
      </c>
      <c r="Q18" s="228" t="s">
        <v>55</v>
      </c>
      <c r="R18" s="228" t="s">
        <v>55</v>
      </c>
      <c r="S18" s="228" t="s">
        <v>55</v>
      </c>
      <c r="T18" s="228"/>
      <c r="U18" s="228"/>
      <c r="V18" s="228"/>
      <c r="W18" s="228"/>
      <c r="X18" s="228"/>
      <c r="Y18" s="228"/>
      <c r="Z18" s="228"/>
      <c r="AA18" s="228"/>
      <c r="AB18" s="228"/>
      <c r="AC18" s="228"/>
      <c r="AD18" s="228"/>
      <c r="AE18" s="228"/>
      <c r="AF18" s="228"/>
      <c r="AG18" s="228"/>
      <c r="AH18" s="228"/>
      <c r="AI18" s="228"/>
      <c r="AJ18" s="229">
        <f t="shared" si="0"/>
        <v>8</v>
      </c>
    </row>
    <row r="19" spans="1:42" ht="30" customHeight="1">
      <c r="A19" s="1174">
        <v>7</v>
      </c>
      <c r="B19" s="1175"/>
      <c r="C19" s="103" t="s">
        <v>47</v>
      </c>
      <c r="D19" s="103" t="s">
        <v>230</v>
      </c>
      <c r="E19" s="228"/>
      <c r="F19" s="228"/>
      <c r="G19" s="228"/>
      <c r="H19" s="228" t="s">
        <v>55</v>
      </c>
      <c r="I19" s="228" t="s">
        <v>55</v>
      </c>
      <c r="J19" s="228" t="s">
        <v>55</v>
      </c>
      <c r="K19" s="228" t="s">
        <v>55</v>
      </c>
      <c r="L19" s="228" t="s">
        <v>55</v>
      </c>
      <c r="M19" s="228" t="s">
        <v>55</v>
      </c>
      <c r="N19" s="228" t="s">
        <v>55</v>
      </c>
      <c r="O19" s="228" t="s">
        <v>55</v>
      </c>
      <c r="P19" s="228" t="s">
        <v>55</v>
      </c>
      <c r="Q19" s="228" t="s">
        <v>55</v>
      </c>
      <c r="R19" s="228" t="s">
        <v>55</v>
      </c>
      <c r="S19" s="228" t="s">
        <v>55</v>
      </c>
      <c r="T19" s="228"/>
      <c r="U19" s="228"/>
      <c r="V19" s="228"/>
      <c r="W19" s="228"/>
      <c r="X19" s="228"/>
      <c r="Y19" s="228"/>
      <c r="Z19" s="228"/>
      <c r="AA19" s="228"/>
      <c r="AB19" s="228"/>
      <c r="AC19" s="228"/>
      <c r="AD19" s="228"/>
      <c r="AE19" s="228"/>
      <c r="AF19" s="228"/>
      <c r="AG19" s="228"/>
      <c r="AH19" s="228"/>
      <c r="AI19" s="228"/>
      <c r="AJ19" s="229">
        <f t="shared" si="0"/>
        <v>12</v>
      </c>
    </row>
    <row r="20" spans="1:42" ht="30" customHeight="1">
      <c r="A20" s="1174">
        <v>8</v>
      </c>
      <c r="B20" s="1176"/>
      <c r="C20" s="103" t="s">
        <v>4</v>
      </c>
      <c r="D20" s="103" t="s">
        <v>198</v>
      </c>
      <c r="E20" s="228" t="s">
        <v>55</v>
      </c>
      <c r="F20" s="228" t="s">
        <v>55</v>
      </c>
      <c r="G20" s="228" t="s">
        <v>55</v>
      </c>
      <c r="H20" s="228" t="s">
        <v>55</v>
      </c>
      <c r="I20" s="228" t="s">
        <v>55</v>
      </c>
      <c r="J20" s="228" t="s">
        <v>55</v>
      </c>
      <c r="K20" s="228" t="s">
        <v>55</v>
      </c>
      <c r="L20" s="228" t="s">
        <v>55</v>
      </c>
      <c r="M20" s="228" t="s">
        <v>55</v>
      </c>
      <c r="N20" s="228" t="s">
        <v>55</v>
      </c>
      <c r="O20" s="228" t="s">
        <v>55</v>
      </c>
      <c r="P20" s="228" t="s">
        <v>55</v>
      </c>
      <c r="Q20" s="228" t="s">
        <v>55</v>
      </c>
      <c r="R20" s="228" t="s">
        <v>55</v>
      </c>
      <c r="S20" s="228" t="s">
        <v>55</v>
      </c>
      <c r="T20" s="228"/>
      <c r="U20" s="228"/>
      <c r="V20" s="228"/>
      <c r="W20" s="228"/>
      <c r="X20" s="228"/>
      <c r="Y20" s="228"/>
      <c r="Z20" s="228"/>
      <c r="AA20" s="228"/>
      <c r="AB20" s="228"/>
      <c r="AC20" s="228"/>
      <c r="AD20" s="228"/>
      <c r="AE20" s="228"/>
      <c r="AF20" s="228"/>
      <c r="AG20" s="228"/>
      <c r="AH20" s="228"/>
      <c r="AI20" s="228"/>
      <c r="AJ20" s="229">
        <f t="shared" si="0"/>
        <v>15</v>
      </c>
    </row>
    <row r="21" spans="1:42" ht="30" customHeight="1">
      <c r="A21" s="1174">
        <v>9</v>
      </c>
      <c r="B21" s="1176"/>
      <c r="C21" s="103" t="s">
        <v>168</v>
      </c>
      <c r="D21" s="103" t="s">
        <v>198</v>
      </c>
      <c r="E21" s="228" t="s">
        <v>55</v>
      </c>
      <c r="F21" s="228" t="s">
        <v>55</v>
      </c>
      <c r="G21" s="228" t="s">
        <v>55</v>
      </c>
      <c r="H21" s="228" t="s">
        <v>55</v>
      </c>
      <c r="I21" s="228" t="s">
        <v>55</v>
      </c>
      <c r="J21" s="228" t="s">
        <v>55</v>
      </c>
      <c r="K21" s="228" t="s">
        <v>55</v>
      </c>
      <c r="L21" s="228" t="s">
        <v>55</v>
      </c>
      <c r="M21" s="228" t="s">
        <v>55</v>
      </c>
      <c r="N21" s="228" t="s">
        <v>55</v>
      </c>
      <c r="O21" s="228" t="s">
        <v>55</v>
      </c>
      <c r="P21" s="228" t="s">
        <v>55</v>
      </c>
      <c r="Q21" s="228" t="s">
        <v>55</v>
      </c>
      <c r="R21" s="228" t="s">
        <v>55</v>
      </c>
      <c r="S21" s="228" t="s">
        <v>55</v>
      </c>
      <c r="T21" s="228"/>
      <c r="U21" s="228"/>
      <c r="V21" s="228"/>
      <c r="W21" s="228"/>
      <c r="X21" s="228"/>
      <c r="Y21" s="228"/>
      <c r="Z21" s="228"/>
      <c r="AA21" s="228"/>
      <c r="AB21" s="228"/>
      <c r="AC21" s="228"/>
      <c r="AD21" s="228"/>
      <c r="AE21" s="228"/>
      <c r="AF21" s="228"/>
      <c r="AG21" s="228"/>
      <c r="AH21" s="228"/>
      <c r="AI21" s="228"/>
      <c r="AJ21" s="229">
        <f t="shared" si="0"/>
        <v>15</v>
      </c>
    </row>
    <row r="22" spans="1:42" ht="30.75" customHeight="1">
      <c r="A22" s="1667" t="s">
        <v>61</v>
      </c>
      <c r="B22" s="1668"/>
      <c r="C22" s="1668"/>
      <c r="D22" s="1669"/>
      <c r="E22" s="1177">
        <f t="shared" ref="E22:AF22" si="1">SUM(COUNTIF(E13:E21,"x"))</f>
        <v>8</v>
      </c>
      <c r="F22" s="1177">
        <f t="shared" si="1"/>
        <v>7</v>
      </c>
      <c r="G22" s="1177">
        <f t="shared" si="1"/>
        <v>7</v>
      </c>
      <c r="H22" s="1177">
        <f t="shared" si="1"/>
        <v>8</v>
      </c>
      <c r="I22" s="1177">
        <f t="shared" si="1"/>
        <v>8</v>
      </c>
      <c r="J22" s="1177">
        <f t="shared" si="1"/>
        <v>8</v>
      </c>
      <c r="K22" s="1177">
        <f t="shared" si="1"/>
        <v>8</v>
      </c>
      <c r="L22" s="1177">
        <f t="shared" si="1"/>
        <v>8</v>
      </c>
      <c r="M22" s="1177">
        <f t="shared" si="1"/>
        <v>9</v>
      </c>
      <c r="N22" s="1177">
        <f t="shared" si="1"/>
        <v>9</v>
      </c>
      <c r="O22" s="1177">
        <f t="shared" si="1"/>
        <v>9</v>
      </c>
      <c r="P22" s="1177">
        <f t="shared" si="1"/>
        <v>9</v>
      </c>
      <c r="Q22" s="1177">
        <f t="shared" si="1"/>
        <v>9</v>
      </c>
      <c r="R22" s="1177">
        <f t="shared" si="1"/>
        <v>9</v>
      </c>
      <c r="S22" s="1177">
        <f t="shared" si="1"/>
        <v>9</v>
      </c>
      <c r="T22" s="1177">
        <f t="shared" si="1"/>
        <v>2</v>
      </c>
      <c r="U22" s="1177">
        <f t="shared" si="1"/>
        <v>2</v>
      </c>
      <c r="V22" s="1177">
        <f t="shared" si="1"/>
        <v>2</v>
      </c>
      <c r="W22" s="1177">
        <f t="shared" si="1"/>
        <v>2</v>
      </c>
      <c r="X22" s="1177">
        <f t="shared" si="1"/>
        <v>2</v>
      </c>
      <c r="Y22" s="1177">
        <f t="shared" si="1"/>
        <v>2</v>
      </c>
      <c r="Z22" s="1177">
        <f t="shared" si="1"/>
        <v>2</v>
      </c>
      <c r="AA22" s="1177">
        <f t="shared" si="1"/>
        <v>2</v>
      </c>
      <c r="AB22" s="1177">
        <f t="shared" si="1"/>
        <v>2</v>
      </c>
      <c r="AC22" s="1177">
        <f t="shared" si="1"/>
        <v>2</v>
      </c>
      <c r="AD22" s="1177">
        <f t="shared" si="1"/>
        <v>2</v>
      </c>
      <c r="AE22" s="1177">
        <f t="shared" si="1"/>
        <v>2</v>
      </c>
      <c r="AF22" s="1177">
        <f t="shared" si="1"/>
        <v>2</v>
      </c>
      <c r="AG22" s="1177">
        <f>SUM(COUNTIF(AG13:AG19,"x"))</f>
        <v>2</v>
      </c>
      <c r="AH22" s="1177">
        <f>SUM(COUNTIF(AH13:AH19,"x"))</f>
        <v>2</v>
      </c>
      <c r="AI22" s="1177">
        <f>SUM(COUNTIF(AI13:AI19,"x"))</f>
        <v>2</v>
      </c>
      <c r="AJ22" s="1177">
        <f>SUM(AJ13:AJ21)</f>
        <v>157</v>
      </c>
      <c r="AK22" s="1670">
        <f>AJ22*20000</f>
        <v>3140000</v>
      </c>
      <c r="AL22" s="1670"/>
      <c r="AN22" s="172">
        <v>1658</v>
      </c>
      <c r="AO22" s="172">
        <v>320</v>
      </c>
      <c r="AP22" s="172">
        <v>1978</v>
      </c>
    </row>
    <row r="23" spans="1:42" ht="16.5">
      <c r="A23" s="176"/>
      <c r="B23" s="1170"/>
      <c r="C23" s="1170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671" t="s">
        <v>695</v>
      </c>
      <c r="Y23" s="1671"/>
      <c r="Z23" s="1671"/>
      <c r="AA23" s="1671"/>
      <c r="AB23" s="1671"/>
      <c r="AC23" s="1671"/>
      <c r="AD23" s="1671"/>
      <c r="AE23" s="1671"/>
      <c r="AF23" s="1671"/>
      <c r="AG23" s="1671"/>
      <c r="AH23" s="1671"/>
      <c r="AI23" s="1671"/>
      <c r="AJ23" s="1671"/>
      <c r="AL23" s="173" t="e">
        <f>#REF!+#REF!</f>
        <v>#REF!</v>
      </c>
      <c r="AN23" s="172">
        <v>1565</v>
      </c>
      <c r="AO23" s="172">
        <v>302</v>
      </c>
      <c r="AP23" s="172">
        <v>1867</v>
      </c>
    </row>
    <row r="24" spans="1:42" ht="24" customHeight="1">
      <c r="A24" s="1658" t="s">
        <v>734</v>
      </c>
      <c r="B24" s="1658"/>
      <c r="C24" s="1658"/>
      <c r="D24" s="1658"/>
      <c r="E24" s="1658"/>
      <c r="F24" s="1658"/>
      <c r="G24" s="1658"/>
      <c r="H24" s="1658"/>
      <c r="I24" s="1658"/>
      <c r="J24" s="1658"/>
      <c r="K24" s="1658"/>
      <c r="L24" s="1658"/>
      <c r="M24" s="1658"/>
      <c r="N24" s="1658"/>
      <c r="O24" s="1658"/>
      <c r="P24" s="1658"/>
      <c r="Q24" s="1658"/>
      <c r="R24" s="1658"/>
      <c r="S24" s="1658"/>
      <c r="T24" s="1658"/>
      <c r="U24" s="1658"/>
      <c r="V24" s="1658"/>
      <c r="W24" s="1658"/>
      <c r="X24" s="1658"/>
      <c r="Y24" s="1658"/>
      <c r="Z24" s="1658"/>
      <c r="AA24" s="1658"/>
      <c r="AB24" s="1658"/>
      <c r="AC24" s="1658"/>
      <c r="AD24" s="1658"/>
      <c r="AE24" s="1658"/>
      <c r="AF24" s="1658"/>
      <c r="AG24" s="1658"/>
      <c r="AH24" s="1658"/>
      <c r="AI24" s="1658"/>
      <c r="AJ24" s="1658"/>
      <c r="AN24" s="172">
        <v>1153</v>
      </c>
      <c r="AO24" s="172">
        <v>223</v>
      </c>
      <c r="AP24" s="172">
        <v>1376</v>
      </c>
    </row>
    <row r="25" spans="1:42" ht="16.5">
      <c r="A25" s="173"/>
      <c r="B25" s="1159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s="178"/>
      <c r="N25" s="178"/>
      <c r="O25" s="178"/>
      <c r="P25" s="178"/>
      <c r="Q25" s="178"/>
      <c r="R25" s="178"/>
      <c r="S25" s="178"/>
      <c r="T25" s="178"/>
      <c r="U25" s="178"/>
      <c r="V25" s="178"/>
      <c r="W25" s="178"/>
      <c r="X25" s="178"/>
      <c r="Y25" s="178"/>
      <c r="Z25" s="178"/>
      <c r="AA25" s="178"/>
      <c r="AB25" s="178"/>
      <c r="AC25" s="178"/>
      <c r="AD25" s="178"/>
      <c r="AE25" s="178"/>
      <c r="AF25" s="178"/>
      <c r="AG25" s="178"/>
      <c r="AH25" s="178"/>
      <c r="AI25" s="178"/>
      <c r="AJ25" s="178"/>
      <c r="AN25" s="172">
        <v>1096</v>
      </c>
      <c r="AO25" s="172">
        <v>210</v>
      </c>
      <c r="AP25" s="172">
        <v>1306</v>
      </c>
    </row>
    <row r="26" spans="1:42" ht="16.5">
      <c r="B26" s="178"/>
      <c r="D26" s="178"/>
      <c r="E26" s="178"/>
      <c r="F26" s="178"/>
      <c r="G26" s="178"/>
      <c r="H26" s="178"/>
      <c r="I26" s="182"/>
      <c r="J26" s="182"/>
      <c r="K26" s="182"/>
      <c r="L26" s="178"/>
      <c r="M26" s="182"/>
      <c r="N26" s="182"/>
      <c r="O26" s="182"/>
      <c r="P26" s="178"/>
      <c r="Q26" s="182"/>
      <c r="R26" s="178"/>
      <c r="S26" s="178"/>
      <c r="T26" s="181"/>
      <c r="U26" s="178"/>
      <c r="V26" s="178"/>
      <c r="W26" s="178"/>
      <c r="X26" s="178"/>
      <c r="Y26" s="178"/>
      <c r="Z26" s="178"/>
      <c r="AA26" s="178"/>
      <c r="AB26" s="178"/>
      <c r="AC26" s="178"/>
      <c r="AD26" s="178"/>
      <c r="AE26" s="178"/>
      <c r="AF26" s="178"/>
      <c r="AG26" s="178"/>
      <c r="AH26" s="178"/>
      <c r="AI26" s="178"/>
      <c r="AJ26" s="181"/>
      <c r="AN26" s="172">
        <f>SUM(AN22:AN25)</f>
        <v>5472</v>
      </c>
      <c r="AO26" s="172">
        <f>SUM(AO22:AO25)</f>
        <v>1055</v>
      </c>
      <c r="AP26" s="172">
        <f>SUM(AP22:AP25)</f>
        <v>6527</v>
      </c>
    </row>
    <row r="27" spans="1:42" ht="15.75" customHeight="1">
      <c r="B27" s="178"/>
      <c r="C27" s="178"/>
      <c r="D27" s="178"/>
      <c r="E27" s="178"/>
      <c r="F27" s="178"/>
      <c r="G27" s="178"/>
      <c r="H27" s="178"/>
      <c r="I27" s="182"/>
      <c r="J27" s="182"/>
      <c r="K27" s="178"/>
      <c r="L27" s="178"/>
      <c r="M27" s="182"/>
      <c r="N27" s="182"/>
      <c r="O27" s="178"/>
      <c r="P27" s="178"/>
      <c r="Q27" s="182"/>
      <c r="R27" s="178"/>
      <c r="S27" s="178"/>
      <c r="T27" s="181"/>
      <c r="U27" s="178"/>
      <c r="V27" s="178"/>
      <c r="W27" s="178"/>
      <c r="X27" s="178"/>
      <c r="Y27" s="178"/>
      <c r="Z27" s="178"/>
      <c r="AA27" s="178"/>
      <c r="AB27" s="178"/>
      <c r="AC27" s="178"/>
      <c r="AD27" s="178"/>
      <c r="AE27" s="178"/>
      <c r="AF27" s="178"/>
      <c r="AG27" s="178"/>
      <c r="AH27" s="178"/>
      <c r="AI27" s="178"/>
      <c r="AJ27" s="178"/>
    </row>
    <row r="28" spans="1:42" ht="16.5">
      <c r="B28" s="178"/>
      <c r="C28" s="178"/>
      <c r="D28" s="178"/>
      <c r="E28" s="178"/>
      <c r="F28" s="178"/>
      <c r="G28" s="178"/>
      <c r="H28" s="178"/>
      <c r="I28" s="182"/>
      <c r="J28" s="182"/>
      <c r="K28" s="182"/>
      <c r="L28" s="178"/>
      <c r="M28" s="178"/>
      <c r="N28" s="178"/>
      <c r="O28" s="178"/>
      <c r="P28" s="178"/>
      <c r="Q28" s="182"/>
      <c r="R28" s="178"/>
      <c r="S28" s="178"/>
      <c r="T28" s="181"/>
      <c r="U28" s="178"/>
      <c r="V28" s="178"/>
      <c r="W28" s="178"/>
      <c r="X28" s="178"/>
      <c r="Y28" s="178"/>
      <c r="Z28" s="178"/>
      <c r="AA28" s="178"/>
      <c r="AB28" s="178"/>
      <c r="AC28" s="178"/>
      <c r="AD28" s="178"/>
      <c r="AE28" s="178"/>
      <c r="AF28" s="178"/>
      <c r="AG28" s="178"/>
      <c r="AH28" s="178"/>
      <c r="AI28" s="178"/>
      <c r="AJ28" s="178"/>
    </row>
    <row r="29" spans="1:42" ht="16.5">
      <c r="B29" s="178"/>
      <c r="C29" s="178"/>
      <c r="D29" s="1364"/>
      <c r="E29" s="1364"/>
      <c r="F29" s="1364"/>
      <c r="G29" s="1364"/>
      <c r="H29" s="1364"/>
      <c r="I29" s="182"/>
      <c r="J29" s="182"/>
      <c r="K29" s="182"/>
      <c r="L29" s="178"/>
      <c r="M29" s="180"/>
      <c r="N29" s="180"/>
      <c r="O29" s="180"/>
      <c r="P29" s="180"/>
      <c r="Q29" s="180"/>
      <c r="R29" s="180"/>
      <c r="S29" s="180"/>
      <c r="T29" s="181"/>
      <c r="U29" s="180"/>
      <c r="V29" s="180"/>
      <c r="W29" s="180"/>
      <c r="X29" s="180"/>
      <c r="Y29" s="180"/>
      <c r="Z29" s="180"/>
      <c r="AA29" s="180"/>
      <c r="AB29" s="180"/>
      <c r="AC29" s="180"/>
      <c r="AD29" s="180"/>
      <c r="AE29" s="180"/>
      <c r="AF29" s="180"/>
      <c r="AG29" s="180"/>
      <c r="AH29" s="180"/>
      <c r="AI29" s="180"/>
    </row>
    <row r="30" spans="1:42">
      <c r="I30" s="177"/>
      <c r="J30" s="177"/>
      <c r="K30" s="177"/>
      <c r="L30" s="173"/>
      <c r="M30" s="173"/>
      <c r="N30" s="173"/>
      <c r="O30" s="173"/>
      <c r="P30" s="173"/>
      <c r="T30" s="175"/>
      <c r="AL30" s="172"/>
    </row>
    <row r="34" spans="1:38" ht="16.5">
      <c r="A34" s="1363"/>
      <c r="B34" s="1363"/>
      <c r="C34" s="1363"/>
    </row>
    <row r="35" spans="1:38" ht="16.5">
      <c r="A35" s="1178"/>
      <c r="B35" s="1170"/>
      <c r="C35" s="1363"/>
      <c r="D35" s="1363"/>
      <c r="E35" s="1363"/>
      <c r="F35" s="1363"/>
      <c r="G35" s="1363"/>
      <c r="H35" s="1363"/>
    </row>
    <row r="36" spans="1:38" ht="16.5">
      <c r="A36" s="273"/>
      <c r="B36" s="1159"/>
      <c r="C36" s="1361"/>
      <c r="D36" s="1361"/>
      <c r="E36" s="1361"/>
      <c r="F36" s="1361"/>
      <c r="G36" s="1361"/>
      <c r="H36" s="1361"/>
    </row>
    <row r="37" spans="1:38" ht="16.5">
      <c r="A37" s="273"/>
      <c r="B37" s="1159"/>
      <c r="C37" s="1361"/>
      <c r="D37" s="1361"/>
      <c r="E37" s="1361"/>
      <c r="F37" s="1361"/>
      <c r="G37" s="1361"/>
      <c r="H37" s="1361"/>
    </row>
    <row r="38" spans="1:38" ht="16.5">
      <c r="A38" s="273"/>
      <c r="B38" s="1159"/>
      <c r="C38" s="1361"/>
      <c r="D38" s="1361"/>
      <c r="E38" s="1361"/>
      <c r="F38" s="1361"/>
      <c r="G38" s="1361"/>
      <c r="H38" s="1361"/>
    </row>
    <row r="39" spans="1:38" ht="16.5">
      <c r="A39" s="274"/>
      <c r="B39" s="178"/>
      <c r="C39" s="1361"/>
      <c r="D39" s="1361"/>
      <c r="E39" s="1361"/>
      <c r="F39" s="1361"/>
      <c r="G39" s="1361"/>
      <c r="H39" s="1361"/>
      <c r="AL39" s="172"/>
    </row>
    <row r="40" spans="1:38" ht="16.5">
      <c r="A40" s="274"/>
      <c r="B40" s="178"/>
      <c r="C40" s="1361"/>
      <c r="D40" s="1361"/>
      <c r="E40" s="1361"/>
      <c r="F40" s="1361"/>
      <c r="G40" s="1361"/>
      <c r="H40" s="1361"/>
      <c r="AL40" s="172"/>
    </row>
    <row r="41" spans="1:38" ht="16.5">
      <c r="A41" s="274"/>
      <c r="B41" s="178"/>
      <c r="C41" s="1361"/>
      <c r="D41" s="1361"/>
      <c r="E41" s="1361"/>
      <c r="F41" s="1361"/>
      <c r="G41" s="1361"/>
      <c r="H41" s="1361"/>
      <c r="AL41" s="172"/>
    </row>
    <row r="42" spans="1:38" ht="16.5">
      <c r="A42" s="274"/>
      <c r="B42" s="178"/>
      <c r="C42" s="1361"/>
      <c r="D42" s="1361"/>
      <c r="E42" s="1361"/>
      <c r="F42" s="1361"/>
      <c r="G42" s="1361"/>
      <c r="H42" s="1361"/>
      <c r="AL42" s="172"/>
    </row>
  </sheetData>
  <mergeCells count="56">
    <mergeCell ref="AI11:AI12"/>
    <mergeCell ref="Y11:Y12"/>
    <mergeCell ref="Z11:Z12"/>
    <mergeCell ref="AA11:AA12"/>
    <mergeCell ref="AB11:AB12"/>
    <mergeCell ref="AH11:AH12"/>
    <mergeCell ref="AC11:AC12"/>
    <mergeCell ref="AD11:AD12"/>
    <mergeCell ref="AE11:AE12"/>
    <mergeCell ref="AF11:AF12"/>
    <mergeCell ref="AG11:AG12"/>
    <mergeCell ref="X11:X12"/>
    <mergeCell ref="O11:O12"/>
    <mergeCell ref="P11:P12"/>
    <mergeCell ref="Q11:Q12"/>
    <mergeCell ref="R11:R12"/>
    <mergeCell ref="S11:S12"/>
    <mergeCell ref="T11:T12"/>
    <mergeCell ref="U11:U12"/>
    <mergeCell ref="V11:V12"/>
    <mergeCell ref="W11:W12"/>
    <mergeCell ref="A22:D22"/>
    <mergeCell ref="AK22:AL22"/>
    <mergeCell ref="C40:H40"/>
    <mergeCell ref="C41:H41"/>
    <mergeCell ref="C42:H42"/>
    <mergeCell ref="D29:H29"/>
    <mergeCell ref="A34:C34"/>
    <mergeCell ref="C35:H35"/>
    <mergeCell ref="C36:H36"/>
    <mergeCell ref="C37:H37"/>
    <mergeCell ref="C38:H38"/>
    <mergeCell ref="C39:H39"/>
    <mergeCell ref="X23:AJ23"/>
    <mergeCell ref="A24:AJ24"/>
    <mergeCell ref="A2:AJ2"/>
    <mergeCell ref="A3:AJ3"/>
    <mergeCell ref="A4:AJ4"/>
    <mergeCell ref="A6:L6"/>
    <mergeCell ref="A7:L7"/>
    <mergeCell ref="A9:AJ9"/>
    <mergeCell ref="A11:A12"/>
    <mergeCell ref="B11:B12"/>
    <mergeCell ref="C11:C12"/>
    <mergeCell ref="D11:D12"/>
    <mergeCell ref="AJ11:AJ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</mergeCells>
  <printOptions horizontalCentered="1"/>
  <pageMargins left="0.27559055118110198" right="0.196850393700787" top="0.39" bottom="0.51" header="0.33" footer="0.4"/>
  <pageSetup paperSize="9" scale="77" fitToHeight="0" orientation="landscape" r:id="rId1"/>
  <headerFooter>
    <oddFooter>&amp;R&amp;P</oddFooter>
  </headerFooter>
  <colBreaks count="1" manualBreakCount="1">
    <brk id="36" max="1048575" man="1"/>
  </col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rgb="FFFFC000"/>
  </sheetPr>
  <dimension ref="A2:AA1429"/>
  <sheetViews>
    <sheetView zoomScale="62" zoomScaleNormal="62" workbookViewId="0">
      <selection activeCell="K84" sqref="K84"/>
    </sheetView>
  </sheetViews>
  <sheetFormatPr defaultColWidth="9.140625" defaultRowHeight="12.75" customHeight="1"/>
  <cols>
    <col min="1" max="1" width="4" style="51" customWidth="1"/>
    <col min="2" max="2" width="25.7109375" style="51" customWidth="1"/>
    <col min="3" max="3" width="16" style="51" customWidth="1"/>
    <col min="4" max="4" width="2.85546875" style="51" customWidth="1"/>
    <col min="5" max="5" width="4.85546875" style="51" customWidth="1"/>
    <col min="6" max="6" width="25.5703125" style="51" customWidth="1"/>
    <col min="7" max="7" width="16" style="51" customWidth="1"/>
    <col min="8" max="8" width="1" style="51" customWidth="1"/>
    <col min="9" max="9" width="5.28515625" style="51" customWidth="1"/>
    <col min="10" max="10" width="25.5703125" style="51" customWidth="1"/>
    <col min="11" max="11" width="14.85546875" style="51" customWidth="1"/>
    <col min="12" max="12" width="3.140625" style="51" customWidth="1"/>
    <col min="13" max="13" width="4" style="51" customWidth="1"/>
    <col min="14" max="14" width="25.85546875" style="51" customWidth="1"/>
    <col min="15" max="15" width="14.85546875" style="51" customWidth="1"/>
    <col min="16" max="16" width="20.7109375" style="51" customWidth="1"/>
    <col min="17" max="17" width="31" style="51" customWidth="1"/>
    <col min="18" max="18" width="14.28515625" style="51" customWidth="1"/>
    <col min="19" max="19" width="19" style="51" customWidth="1"/>
    <col min="20" max="20" width="17.85546875" style="51" customWidth="1"/>
    <col min="21" max="21" width="21.140625" style="51" customWidth="1"/>
    <col min="22" max="22" width="13.140625" style="51" customWidth="1"/>
    <col min="23" max="23" width="15.28515625" style="51" customWidth="1"/>
    <col min="24" max="24" width="13" style="51" customWidth="1"/>
    <col min="25" max="25" width="9.140625" style="51"/>
    <col min="26" max="26" width="13.5703125" style="51" customWidth="1"/>
    <col min="27" max="27" width="15.5703125" style="51" customWidth="1"/>
    <col min="28" max="16384" width="9.140625" style="51"/>
  </cols>
  <sheetData>
    <row r="2" spans="1:24" ht="15.75">
      <c r="A2" s="1678" t="s">
        <v>239</v>
      </c>
      <c r="B2" s="1678"/>
      <c r="C2" s="1678"/>
      <c r="D2" s="1678"/>
      <c r="E2" s="1678" t="s">
        <v>363</v>
      </c>
      <c r="F2" s="1678"/>
      <c r="G2" s="1678"/>
      <c r="H2" s="430"/>
      <c r="I2" s="1678" t="s">
        <v>45</v>
      </c>
      <c r="J2" s="1678"/>
      <c r="K2" s="1678"/>
      <c r="L2" s="1678"/>
      <c r="M2" s="431"/>
      <c r="N2" s="1678" t="s">
        <v>46</v>
      </c>
      <c r="O2" s="1678"/>
    </row>
    <row r="3" spans="1:24" ht="15.75">
      <c r="A3" s="989">
        <v>1</v>
      </c>
      <c r="B3" s="431" t="s">
        <v>149</v>
      </c>
      <c r="C3" s="162">
        <v>900</v>
      </c>
      <c r="D3" s="1678"/>
      <c r="E3" s="989">
        <v>1</v>
      </c>
      <c r="F3" s="431" t="s">
        <v>149</v>
      </c>
      <c r="G3" s="162">
        <v>1095.56</v>
      </c>
      <c r="H3" s="431"/>
      <c r="I3" s="989">
        <v>1</v>
      </c>
      <c r="J3" s="431" t="s">
        <v>149</v>
      </c>
      <c r="K3" s="162">
        <v>768.15</v>
      </c>
      <c r="L3" s="1678"/>
      <c r="M3" s="431">
        <v>1</v>
      </c>
      <c r="N3" s="431" t="s">
        <v>149</v>
      </c>
      <c r="O3" s="162">
        <v>610</v>
      </c>
      <c r="P3" s="464">
        <f>C3+G3+K3+O3</f>
        <v>3373.71</v>
      </c>
      <c r="Q3" s="515">
        <f>C3+G3+K3+O3</f>
        <v>3373.71</v>
      </c>
      <c r="R3" s="432"/>
      <c r="S3" s="432"/>
      <c r="T3" s="432"/>
      <c r="U3" s="432"/>
      <c r="V3" s="432"/>
      <c r="W3" s="432"/>
      <c r="X3" s="432"/>
    </row>
    <row r="4" spans="1:24" ht="15.75">
      <c r="A4" s="989">
        <v>2</v>
      </c>
      <c r="B4" s="431" t="s">
        <v>311</v>
      </c>
      <c r="C4" s="433"/>
      <c r="D4" s="1678"/>
      <c r="E4" s="989">
        <v>2</v>
      </c>
      <c r="F4" s="431" t="s">
        <v>311</v>
      </c>
      <c r="G4" s="433"/>
      <c r="H4" s="431"/>
      <c r="I4" s="989">
        <v>2</v>
      </c>
      <c r="J4" s="431" t="s">
        <v>311</v>
      </c>
      <c r="K4" s="433"/>
      <c r="L4" s="1678"/>
      <c r="M4" s="431">
        <v>2</v>
      </c>
      <c r="N4" s="431" t="s">
        <v>311</v>
      </c>
      <c r="O4" s="433"/>
      <c r="P4" s="464">
        <f t="shared" ref="P4:P67" si="0">C4+G4+K4+O4</f>
        <v>0</v>
      </c>
      <c r="Q4" s="157"/>
      <c r="R4" s="518"/>
      <c r="S4" s="518"/>
      <c r="T4" s="159"/>
      <c r="U4" s="279"/>
      <c r="V4" s="157"/>
      <c r="W4" s="158"/>
      <c r="X4" s="157"/>
    </row>
    <row r="5" spans="1:24" ht="15.75">
      <c r="A5" s="989">
        <v>3</v>
      </c>
      <c r="B5" s="431" t="s">
        <v>151</v>
      </c>
      <c r="C5" s="434"/>
      <c r="D5" s="1678"/>
      <c r="E5" s="989">
        <v>3</v>
      </c>
      <c r="F5" s="431" t="s">
        <v>151</v>
      </c>
      <c r="G5" s="434"/>
      <c r="H5" s="431"/>
      <c r="I5" s="989">
        <v>3</v>
      </c>
      <c r="J5" s="431" t="s">
        <v>151</v>
      </c>
      <c r="K5" s="434"/>
      <c r="L5" s="1678"/>
      <c r="M5" s="431">
        <v>3</v>
      </c>
      <c r="N5" s="431" t="s">
        <v>157</v>
      </c>
      <c r="O5" s="434"/>
      <c r="P5" s="464">
        <f t="shared" si="0"/>
        <v>0</v>
      </c>
      <c r="Q5" s="157"/>
      <c r="R5" s="518"/>
      <c r="S5" s="518"/>
      <c r="T5" s="159"/>
      <c r="U5" s="161"/>
      <c r="V5" s="157"/>
      <c r="W5" s="158"/>
      <c r="X5" s="157"/>
    </row>
    <row r="6" spans="1:24" ht="15.75">
      <c r="A6" s="989">
        <v>4</v>
      </c>
      <c r="B6" s="435" t="s">
        <v>18</v>
      </c>
      <c r="C6" s="377">
        <f>SUM(C3:C5)</f>
        <v>900</v>
      </c>
      <c r="D6" s="1678"/>
      <c r="E6" s="989">
        <v>4</v>
      </c>
      <c r="F6" s="435" t="s">
        <v>18</v>
      </c>
      <c r="G6" s="377">
        <f>SUM(G3:G5)</f>
        <v>1095.56</v>
      </c>
      <c r="H6" s="431"/>
      <c r="I6" s="989">
        <v>4</v>
      </c>
      <c r="J6" s="435" t="s">
        <v>18</v>
      </c>
      <c r="K6" s="377">
        <f>SUM(K3:K5)</f>
        <v>768.15</v>
      </c>
      <c r="L6" s="1678"/>
      <c r="M6" s="431">
        <v>4</v>
      </c>
      <c r="N6" s="435" t="s">
        <v>18</v>
      </c>
      <c r="O6" s="377">
        <f>SUM(O3:O5)</f>
        <v>610</v>
      </c>
      <c r="P6" s="464">
        <f t="shared" si="0"/>
        <v>3373.71</v>
      </c>
      <c r="Q6" s="157"/>
      <c r="R6" s="518"/>
      <c r="S6" s="518"/>
      <c r="T6" s="159"/>
      <c r="U6" s="161"/>
      <c r="V6" s="157"/>
      <c r="W6" s="158"/>
      <c r="X6" s="157"/>
    </row>
    <row r="7" spans="1:24" ht="15.75">
      <c r="A7" s="1678" t="s">
        <v>140</v>
      </c>
      <c r="B7" s="1678"/>
      <c r="C7" s="1678"/>
      <c r="D7" s="1678"/>
      <c r="E7" s="1678" t="s">
        <v>140</v>
      </c>
      <c r="F7" s="1678"/>
      <c r="G7" s="1678"/>
      <c r="H7" s="987"/>
      <c r="I7" s="1678" t="s">
        <v>140</v>
      </c>
      <c r="J7" s="1678"/>
      <c r="K7" s="1678"/>
      <c r="L7" s="1678"/>
      <c r="M7" s="1678" t="s">
        <v>140</v>
      </c>
      <c r="N7" s="1678"/>
      <c r="O7" s="1678"/>
      <c r="P7" s="464">
        <f t="shared" si="0"/>
        <v>0</v>
      </c>
      <c r="Q7" s="157"/>
      <c r="R7" s="518"/>
      <c r="S7" s="519"/>
      <c r="T7" s="159"/>
      <c r="U7" s="161"/>
      <c r="V7" s="157"/>
      <c r="W7" s="158"/>
      <c r="X7" s="157"/>
    </row>
    <row r="8" spans="1:24" ht="15.75">
      <c r="A8" s="989">
        <v>6</v>
      </c>
      <c r="B8" s="431" t="s">
        <v>150</v>
      </c>
      <c r="C8" s="162"/>
      <c r="D8" s="1678"/>
      <c r="E8" s="989">
        <v>6</v>
      </c>
      <c r="F8" s="431" t="s">
        <v>150</v>
      </c>
      <c r="G8" s="162"/>
      <c r="H8" s="431"/>
      <c r="I8" s="989">
        <v>6</v>
      </c>
      <c r="J8" s="431" t="s">
        <v>150</v>
      </c>
      <c r="K8" s="162"/>
      <c r="L8" s="1678"/>
      <c r="M8" s="431">
        <v>6</v>
      </c>
      <c r="N8" s="431" t="s">
        <v>150</v>
      </c>
      <c r="O8" s="162"/>
      <c r="P8" s="464">
        <f t="shared" si="0"/>
        <v>0</v>
      </c>
      <c r="Q8" s="157"/>
      <c r="R8" s="518"/>
      <c r="S8" s="518"/>
      <c r="T8" s="159"/>
      <c r="U8" s="161"/>
      <c r="V8" s="157"/>
      <c r="W8" s="158"/>
      <c r="X8" s="157"/>
    </row>
    <row r="9" spans="1:24" ht="15.75">
      <c r="A9" s="989">
        <v>7</v>
      </c>
      <c r="B9" s="512" t="s">
        <v>362</v>
      </c>
      <c r="C9" s="436">
        <v>140.79</v>
      </c>
      <c r="D9" s="1678"/>
      <c r="E9" s="989">
        <v>7</v>
      </c>
      <c r="F9" s="512" t="s">
        <v>362</v>
      </c>
      <c r="G9" s="162">
        <v>171.83</v>
      </c>
      <c r="H9" s="431"/>
      <c r="I9" s="989">
        <v>7</v>
      </c>
      <c r="J9" s="512" t="s">
        <v>362</v>
      </c>
      <c r="K9" s="436">
        <v>102.04</v>
      </c>
      <c r="L9" s="1678"/>
      <c r="M9" s="431">
        <v>7</v>
      </c>
      <c r="N9" s="512" t="s">
        <v>362</v>
      </c>
      <c r="O9" s="436">
        <v>80.61</v>
      </c>
      <c r="P9" s="464">
        <f>C9+G9+K9+O9</f>
        <v>495.27000000000004</v>
      </c>
      <c r="Q9" s="157"/>
      <c r="R9" s="518">
        <f>C9+G9+O9+K9</f>
        <v>495.27000000000004</v>
      </c>
      <c r="S9" s="518"/>
      <c r="T9" s="159"/>
      <c r="U9" s="161"/>
      <c r="V9" s="157"/>
      <c r="W9" s="158"/>
      <c r="X9" s="157"/>
    </row>
    <row r="10" spans="1:24" ht="15.75">
      <c r="A10" s="989"/>
      <c r="B10" s="431" t="s">
        <v>268</v>
      </c>
      <c r="C10" s="436"/>
      <c r="D10" s="1678"/>
      <c r="E10" s="989"/>
      <c r="F10" s="431" t="s">
        <v>269</v>
      </c>
      <c r="G10" s="436"/>
      <c r="H10" s="431"/>
      <c r="I10" s="989"/>
      <c r="J10" s="431" t="s">
        <v>269</v>
      </c>
      <c r="K10" s="436"/>
      <c r="L10" s="1678"/>
      <c r="M10" s="431"/>
      <c r="N10" s="431" t="s">
        <v>269</v>
      </c>
      <c r="O10" s="436"/>
      <c r="P10" s="464">
        <f t="shared" si="0"/>
        <v>0</v>
      </c>
      <c r="Q10" s="512"/>
      <c r="R10" s="518"/>
      <c r="S10" s="518"/>
      <c r="T10" s="159"/>
      <c r="U10" s="161"/>
      <c r="V10" s="157"/>
      <c r="W10" s="158"/>
      <c r="X10" s="157"/>
    </row>
    <row r="11" spans="1:24" ht="15.75">
      <c r="A11" s="989">
        <v>8</v>
      </c>
      <c r="B11" s="431" t="s">
        <v>152</v>
      </c>
      <c r="C11" s="205"/>
      <c r="D11" s="1678"/>
      <c r="E11" s="989">
        <v>8</v>
      </c>
      <c r="F11" s="431" t="s">
        <v>152</v>
      </c>
      <c r="G11" s="437"/>
      <c r="H11" s="431"/>
      <c r="I11" s="989">
        <v>8</v>
      </c>
      <c r="J11" s="431" t="s">
        <v>152</v>
      </c>
      <c r="K11" s="205"/>
      <c r="L11" s="1678"/>
      <c r="M11" s="431">
        <v>8</v>
      </c>
      <c r="N11" s="431" t="s">
        <v>152</v>
      </c>
      <c r="O11" s="162"/>
      <c r="P11" s="464">
        <f t="shared" si="0"/>
        <v>0</v>
      </c>
      <c r="Q11" s="157"/>
      <c r="R11" s="518"/>
      <c r="S11" s="518"/>
      <c r="T11" s="159"/>
      <c r="U11" s="161"/>
      <c r="V11" s="157"/>
      <c r="W11" s="158"/>
      <c r="X11" s="157"/>
    </row>
    <row r="12" spans="1:24" ht="15.75">
      <c r="A12" s="989">
        <v>9</v>
      </c>
      <c r="B12" s="431" t="s">
        <v>153</v>
      </c>
      <c r="C12" s="162"/>
      <c r="D12" s="1678"/>
      <c r="E12" s="989">
        <v>9</v>
      </c>
      <c r="F12" s="431" t="s">
        <v>153</v>
      </c>
      <c r="G12" s="162"/>
      <c r="H12" s="431"/>
      <c r="I12" s="989">
        <v>9</v>
      </c>
      <c r="J12" s="431" t="s">
        <v>153</v>
      </c>
      <c r="K12" s="162"/>
      <c r="L12" s="1678"/>
      <c r="M12" s="431">
        <v>9</v>
      </c>
      <c r="N12" s="431" t="s">
        <v>153</v>
      </c>
      <c r="O12" s="162"/>
      <c r="P12" s="464">
        <f t="shared" si="0"/>
        <v>0</v>
      </c>
      <c r="Q12" s="157"/>
      <c r="R12" s="518"/>
      <c r="S12" s="518"/>
      <c r="T12" s="159"/>
      <c r="U12" s="161"/>
      <c r="V12" s="157"/>
      <c r="W12" s="158"/>
      <c r="X12" s="157"/>
    </row>
    <row r="13" spans="1:24" ht="15.75">
      <c r="A13" s="989">
        <v>10</v>
      </c>
      <c r="B13" s="431" t="s">
        <v>18</v>
      </c>
      <c r="C13" s="514">
        <f>SUM(C8:C12)</f>
        <v>140.79</v>
      </c>
      <c r="D13" s="1678"/>
      <c r="E13" s="989">
        <v>10</v>
      </c>
      <c r="F13" s="431" t="s">
        <v>18</v>
      </c>
      <c r="G13" s="514">
        <f>SUM(G8:G12)</f>
        <v>171.83</v>
      </c>
      <c r="H13" s="431"/>
      <c r="I13" s="989">
        <v>10</v>
      </c>
      <c r="J13" s="431" t="s">
        <v>18</v>
      </c>
      <c r="K13" s="514">
        <f>SUM(K8:K12)</f>
        <v>102.04</v>
      </c>
      <c r="L13" s="1678"/>
      <c r="M13" s="431">
        <v>10</v>
      </c>
      <c r="N13" s="431" t="s">
        <v>18</v>
      </c>
      <c r="O13" s="514">
        <f>SUM(O8:O12)</f>
        <v>80.61</v>
      </c>
      <c r="P13" s="464">
        <f t="shared" si="0"/>
        <v>495.27000000000004</v>
      </c>
      <c r="Q13" s="157"/>
      <c r="R13" s="518"/>
      <c r="S13" s="518"/>
      <c r="T13" s="159"/>
      <c r="U13" s="161"/>
      <c r="V13" s="157"/>
      <c r="W13" s="158"/>
      <c r="X13" s="157"/>
    </row>
    <row r="14" spans="1:24" ht="15.75">
      <c r="A14" s="989">
        <v>11</v>
      </c>
      <c r="B14" s="431" t="s">
        <v>154</v>
      </c>
      <c r="C14" s="991">
        <f>C6-C13</f>
        <v>759.21</v>
      </c>
      <c r="D14" s="1678"/>
      <c r="E14" s="989">
        <v>11</v>
      </c>
      <c r="F14" s="431" t="s">
        <v>154</v>
      </c>
      <c r="G14" s="991">
        <f>G6-G13</f>
        <v>923.7299999999999</v>
      </c>
      <c r="H14" s="431"/>
      <c r="I14" s="989">
        <v>11</v>
      </c>
      <c r="J14" s="431" t="s">
        <v>154</v>
      </c>
      <c r="K14" s="991">
        <f>K6-K13</f>
        <v>666.11</v>
      </c>
      <c r="L14" s="1678"/>
      <c r="M14" s="431">
        <v>11</v>
      </c>
      <c r="N14" s="431" t="s">
        <v>154</v>
      </c>
      <c r="O14" s="991">
        <f>O6-O13</f>
        <v>529.39</v>
      </c>
      <c r="P14" s="464">
        <f t="shared" si="0"/>
        <v>2878.44</v>
      </c>
      <c r="Q14" s="157"/>
      <c r="R14" s="518"/>
      <c r="S14" s="518"/>
      <c r="T14" s="159"/>
      <c r="U14" s="161"/>
      <c r="V14" s="157"/>
      <c r="W14" s="158"/>
      <c r="X14" s="157"/>
    </row>
    <row r="15" spans="1:24" ht="18" customHeight="1">
      <c r="A15" s="989"/>
      <c r="B15" s="989"/>
      <c r="C15" s="989"/>
      <c r="D15" s="989"/>
      <c r="E15" s="989"/>
      <c r="F15" s="989"/>
      <c r="G15" s="989"/>
      <c r="H15" s="989"/>
      <c r="I15" s="989"/>
      <c r="J15" s="989"/>
      <c r="K15" s="989"/>
      <c r="L15" s="989"/>
      <c r="M15" s="989"/>
      <c r="N15" s="989"/>
      <c r="O15" s="989"/>
      <c r="P15" s="464">
        <f t="shared" si="0"/>
        <v>0</v>
      </c>
      <c r="Q15" s="157"/>
      <c r="R15" s="518"/>
      <c r="S15" s="518"/>
      <c r="T15" s="159"/>
      <c r="U15" s="161"/>
      <c r="V15" s="157"/>
      <c r="W15" s="158"/>
      <c r="X15" s="157"/>
    </row>
    <row r="16" spans="1:24" ht="15.75">
      <c r="A16" s="1682" t="s">
        <v>47</v>
      </c>
      <c r="B16" s="1682"/>
      <c r="C16" s="1682"/>
      <c r="D16" s="1678"/>
      <c r="E16" s="1678" t="s">
        <v>298</v>
      </c>
      <c r="F16" s="1678"/>
      <c r="G16" s="1678"/>
      <c r="H16" s="1678"/>
      <c r="I16" s="1682" t="s">
        <v>200</v>
      </c>
      <c r="J16" s="1682"/>
      <c r="K16" s="1682"/>
      <c r="L16" s="1678"/>
      <c r="M16" s="1682" t="s">
        <v>271</v>
      </c>
      <c r="N16" s="1682"/>
      <c r="O16" s="1682"/>
      <c r="P16" s="464">
        <f t="shared" si="0"/>
        <v>0</v>
      </c>
      <c r="Q16" s="157"/>
      <c r="R16" s="518"/>
      <c r="S16" s="518"/>
      <c r="T16" s="159"/>
      <c r="U16" s="161"/>
      <c r="V16" s="157"/>
      <c r="W16" s="158"/>
      <c r="X16" s="157"/>
    </row>
    <row r="17" spans="1:27" ht="15.75">
      <c r="A17" s="431">
        <v>1</v>
      </c>
      <c r="B17" s="431" t="s">
        <v>149</v>
      </c>
      <c r="C17" s="162">
        <v>681.73</v>
      </c>
      <c r="D17" s="1678"/>
      <c r="E17" s="989">
        <v>1</v>
      </c>
      <c r="F17" s="431" t="s">
        <v>149</v>
      </c>
      <c r="G17" s="162">
        <v>460</v>
      </c>
      <c r="H17" s="1678"/>
      <c r="I17" s="989">
        <v>1</v>
      </c>
      <c r="J17" s="431" t="s">
        <v>149</v>
      </c>
      <c r="K17" s="162">
        <v>705.19</v>
      </c>
      <c r="L17" s="1678"/>
      <c r="M17" s="431">
        <v>1</v>
      </c>
      <c r="N17" s="431" t="s">
        <v>149</v>
      </c>
      <c r="O17" s="162">
        <v>360</v>
      </c>
      <c r="P17" s="464">
        <f t="shared" si="0"/>
        <v>2206.92</v>
      </c>
      <c r="Q17" s="515">
        <f>C17+G17+K17+O17</f>
        <v>2206.92</v>
      </c>
      <c r="R17" s="518"/>
      <c r="S17" s="518"/>
      <c r="T17" s="160"/>
      <c r="U17" s="161"/>
      <c r="V17" s="157"/>
      <c r="W17" s="158"/>
      <c r="X17" s="157"/>
    </row>
    <row r="18" spans="1:27" ht="15.75">
      <c r="A18" s="431">
        <v>2</v>
      </c>
      <c r="B18" s="431" t="s">
        <v>311</v>
      </c>
      <c r="C18" s="433"/>
      <c r="D18" s="1678"/>
      <c r="E18" s="989">
        <v>2</v>
      </c>
      <c r="F18" s="431" t="s">
        <v>311</v>
      </c>
      <c r="G18" s="433"/>
      <c r="H18" s="1678"/>
      <c r="I18" s="989">
        <v>2</v>
      </c>
      <c r="J18" s="431" t="s">
        <v>311</v>
      </c>
      <c r="K18" s="433"/>
      <c r="L18" s="1678"/>
      <c r="M18" s="431">
        <v>2</v>
      </c>
      <c r="N18" s="431" t="s">
        <v>311</v>
      </c>
      <c r="O18" s="433"/>
      <c r="P18" s="464">
        <f t="shared" si="0"/>
        <v>0</v>
      </c>
      <c r="Q18" s="163"/>
      <c r="R18" s="518"/>
      <c r="S18" s="518"/>
      <c r="T18" s="169"/>
      <c r="U18" s="160"/>
      <c r="V18" s="161"/>
      <c r="W18" s="158"/>
      <c r="X18" s="169"/>
    </row>
    <row r="19" spans="1:27" ht="15.75">
      <c r="A19" s="431">
        <v>3</v>
      </c>
      <c r="B19" s="431" t="s">
        <v>270</v>
      </c>
      <c r="C19" s="434"/>
      <c r="D19" s="1678"/>
      <c r="E19" s="989">
        <v>3</v>
      </c>
      <c r="F19" s="431" t="s">
        <v>151</v>
      </c>
      <c r="G19" s="434"/>
      <c r="H19" s="1678"/>
      <c r="I19" s="989">
        <v>3</v>
      </c>
      <c r="J19" s="431" t="s">
        <v>270</v>
      </c>
      <c r="K19" s="434"/>
      <c r="L19" s="1678"/>
      <c r="M19" s="431">
        <v>3</v>
      </c>
      <c r="N19" s="431" t="s">
        <v>151</v>
      </c>
      <c r="O19" s="434"/>
      <c r="P19" s="464">
        <f t="shared" si="0"/>
        <v>0</v>
      </c>
      <c r="Q19" s="163"/>
      <c r="R19" s="518"/>
      <c r="S19" s="518"/>
      <c r="T19" s="159"/>
      <c r="U19" s="161"/>
      <c r="V19" s="157"/>
      <c r="W19" s="158"/>
      <c r="X19" s="157"/>
    </row>
    <row r="20" spans="1:27" ht="15.75">
      <c r="A20" s="431">
        <v>4</v>
      </c>
      <c r="B20" s="435" t="s">
        <v>18</v>
      </c>
      <c r="C20" s="377">
        <f>SUM(C17:C19)</f>
        <v>681.73</v>
      </c>
      <c r="D20" s="1678"/>
      <c r="E20" s="989">
        <v>4</v>
      </c>
      <c r="F20" s="435" t="s">
        <v>18</v>
      </c>
      <c r="G20" s="377">
        <f>SUM(G17:G19)</f>
        <v>460</v>
      </c>
      <c r="H20" s="1678"/>
      <c r="I20" s="989">
        <v>4</v>
      </c>
      <c r="J20" s="435" t="s">
        <v>18</v>
      </c>
      <c r="K20" s="377">
        <f>SUM(K17:K19)</f>
        <v>705.19</v>
      </c>
      <c r="L20" s="1678"/>
      <c r="M20" s="431">
        <v>4</v>
      </c>
      <c r="N20" s="435" t="s">
        <v>18</v>
      </c>
      <c r="O20" s="377">
        <f>SUM(O17:O19)</f>
        <v>360</v>
      </c>
      <c r="P20" s="464">
        <f t="shared" si="0"/>
        <v>2206.92</v>
      </c>
      <c r="Q20" s="157"/>
      <c r="R20" s="518"/>
      <c r="S20" s="518"/>
      <c r="T20" s="159"/>
      <c r="U20" s="161"/>
      <c r="V20" s="157"/>
      <c r="W20" s="158"/>
      <c r="X20" s="157"/>
    </row>
    <row r="21" spans="1:27" ht="15.75">
      <c r="A21" s="1678" t="s">
        <v>140</v>
      </c>
      <c r="B21" s="1678"/>
      <c r="C21" s="1678"/>
      <c r="D21" s="1678"/>
      <c r="E21" s="1678" t="s">
        <v>140</v>
      </c>
      <c r="F21" s="1678"/>
      <c r="G21" s="1678"/>
      <c r="H21" s="1678"/>
      <c r="I21" s="1678" t="s">
        <v>140</v>
      </c>
      <c r="J21" s="1678"/>
      <c r="K21" s="1678"/>
      <c r="L21" s="1678"/>
      <c r="M21" s="1678" t="s">
        <v>140</v>
      </c>
      <c r="N21" s="1678"/>
      <c r="O21" s="1678"/>
      <c r="P21" s="464">
        <f t="shared" si="0"/>
        <v>0</v>
      </c>
      <c r="Q21" s="157"/>
      <c r="R21" s="518"/>
      <c r="S21" s="518"/>
      <c r="T21" s="159"/>
      <c r="U21" s="161"/>
      <c r="V21" s="157"/>
      <c r="W21" s="158"/>
      <c r="X21" s="157"/>
    </row>
    <row r="22" spans="1:27" ht="15.75">
      <c r="A22" s="989">
        <v>6</v>
      </c>
      <c r="B22" s="431" t="s">
        <v>150</v>
      </c>
      <c r="C22" s="162"/>
      <c r="D22" s="1678"/>
      <c r="E22" s="989">
        <v>6</v>
      </c>
      <c r="F22" s="431" t="s">
        <v>150</v>
      </c>
      <c r="G22" s="162"/>
      <c r="H22" s="1678"/>
      <c r="I22" s="989">
        <v>6</v>
      </c>
      <c r="J22" s="431" t="s">
        <v>150</v>
      </c>
      <c r="K22" s="205"/>
      <c r="L22" s="1678"/>
      <c r="M22" s="989">
        <v>6</v>
      </c>
      <c r="N22" s="431" t="s">
        <v>150</v>
      </c>
      <c r="O22" s="162"/>
      <c r="P22" s="464">
        <f t="shared" si="0"/>
        <v>0</v>
      </c>
      <c r="Q22" s="163"/>
      <c r="R22" s="518"/>
      <c r="S22" s="518"/>
      <c r="T22" s="160"/>
      <c r="U22" s="161"/>
      <c r="V22" s="157"/>
      <c r="W22" s="158"/>
      <c r="X22" s="157"/>
    </row>
    <row r="23" spans="1:27" ht="15.75">
      <c r="A23" s="989">
        <v>7</v>
      </c>
      <c r="B23" s="512" t="s">
        <v>362</v>
      </c>
      <c r="C23" s="436">
        <v>85.04</v>
      </c>
      <c r="D23" s="1678"/>
      <c r="E23" s="989">
        <v>7</v>
      </c>
      <c r="F23" s="512" t="s">
        <v>362</v>
      </c>
      <c r="G23" s="436">
        <v>54.34</v>
      </c>
      <c r="H23" s="1678"/>
      <c r="I23" s="989">
        <v>7</v>
      </c>
      <c r="J23" s="512" t="s">
        <v>362</v>
      </c>
      <c r="K23" s="438">
        <v>85.89</v>
      </c>
      <c r="L23" s="1678"/>
      <c r="M23" s="989">
        <v>7</v>
      </c>
      <c r="N23" s="512" t="s">
        <v>362</v>
      </c>
      <c r="O23" s="162">
        <v>25.1</v>
      </c>
      <c r="P23" s="464">
        <f t="shared" si="0"/>
        <v>250.36999999999998</v>
      </c>
      <c r="Q23" s="157"/>
      <c r="R23" s="518">
        <f>C23+G23+O23+K23</f>
        <v>250.37</v>
      </c>
      <c r="S23" s="518"/>
      <c r="T23" s="169"/>
      <c r="U23" s="160"/>
      <c r="V23" s="160"/>
      <c r="W23" s="158"/>
      <c r="X23" s="160"/>
    </row>
    <row r="24" spans="1:27" ht="15.75">
      <c r="A24" s="989"/>
      <c r="B24" s="431" t="s">
        <v>269</v>
      </c>
      <c r="C24" s="436"/>
      <c r="D24" s="1678"/>
      <c r="E24" s="989"/>
      <c r="F24" s="431" t="s">
        <v>269</v>
      </c>
      <c r="G24" s="436"/>
      <c r="H24" s="1678"/>
      <c r="I24" s="989"/>
      <c r="J24" s="431" t="s">
        <v>269</v>
      </c>
      <c r="K24" s="436"/>
      <c r="L24" s="1678"/>
      <c r="M24" s="989"/>
      <c r="N24" s="431" t="s">
        <v>269</v>
      </c>
      <c r="O24" s="162"/>
      <c r="P24" s="464">
        <f t="shared" si="0"/>
        <v>0</v>
      </c>
      <c r="Q24" s="157"/>
      <c r="R24" s="518"/>
      <c r="S24" s="518"/>
      <c r="T24" s="169"/>
      <c r="U24" s="160"/>
      <c r="V24" s="160"/>
      <c r="W24" s="158"/>
      <c r="X24" s="160"/>
    </row>
    <row r="25" spans="1:27" ht="15.75">
      <c r="A25" s="989">
        <v>8</v>
      </c>
      <c r="B25" s="431" t="s">
        <v>152</v>
      </c>
      <c r="C25" s="162"/>
      <c r="D25" s="1678"/>
      <c r="E25" s="989">
        <v>8</v>
      </c>
      <c r="F25" s="431" t="s">
        <v>152</v>
      </c>
      <c r="G25" s="205"/>
      <c r="H25" s="1678"/>
      <c r="I25" s="989">
        <v>8</v>
      </c>
      <c r="J25" s="431" t="s">
        <v>152</v>
      </c>
      <c r="K25" s="437"/>
      <c r="L25" s="1678"/>
      <c r="M25" s="989">
        <v>8</v>
      </c>
      <c r="N25" s="431" t="s">
        <v>152</v>
      </c>
      <c r="O25" s="205"/>
      <c r="P25" s="464">
        <f t="shared" si="0"/>
        <v>0</v>
      </c>
      <c r="Q25" s="164"/>
      <c r="R25" s="518"/>
      <c r="S25" s="518"/>
      <c r="T25" s="160"/>
      <c r="U25" s="160"/>
      <c r="V25" s="160"/>
      <c r="W25" s="158"/>
      <c r="X25" s="160"/>
    </row>
    <row r="26" spans="1:27" ht="15.75">
      <c r="A26" s="989">
        <v>9</v>
      </c>
      <c r="B26" s="431" t="s">
        <v>153</v>
      </c>
      <c r="C26" s="162"/>
      <c r="D26" s="1678"/>
      <c r="E26" s="989">
        <v>9</v>
      </c>
      <c r="F26" s="431" t="s">
        <v>153</v>
      </c>
      <c r="G26" s="162"/>
      <c r="H26" s="1678"/>
      <c r="I26" s="989">
        <v>9</v>
      </c>
      <c r="J26" s="431" t="s">
        <v>153</v>
      </c>
      <c r="K26" s="162"/>
      <c r="L26" s="1678"/>
      <c r="M26" s="989">
        <v>9</v>
      </c>
      <c r="N26" s="431" t="s">
        <v>153</v>
      </c>
      <c r="O26" s="205"/>
      <c r="P26" s="464">
        <f t="shared" si="0"/>
        <v>0</v>
      </c>
      <c r="Q26" s="165"/>
      <c r="R26" s="518"/>
      <c r="S26" s="518"/>
      <c r="T26" s="160"/>
      <c r="U26" s="160"/>
      <c r="V26" s="160"/>
      <c r="W26" s="158"/>
      <c r="X26" s="160"/>
    </row>
    <row r="27" spans="1:27" ht="15.75">
      <c r="A27" s="989">
        <v>10</v>
      </c>
      <c r="B27" s="431" t="s">
        <v>18</v>
      </c>
      <c r="C27" s="514">
        <f>SUM(C22:C26)</f>
        <v>85.04</v>
      </c>
      <c r="D27" s="1678"/>
      <c r="E27" s="989">
        <v>10</v>
      </c>
      <c r="F27" s="431" t="s">
        <v>18</v>
      </c>
      <c r="G27" s="514">
        <f>SUM(G22:G26)</f>
        <v>54.34</v>
      </c>
      <c r="H27" s="1678"/>
      <c r="I27" s="989">
        <v>10</v>
      </c>
      <c r="J27" s="431" t="s">
        <v>18</v>
      </c>
      <c r="K27" s="514">
        <f>SUM(K22:K26)</f>
        <v>85.89</v>
      </c>
      <c r="L27" s="1678"/>
      <c r="M27" s="989">
        <v>10</v>
      </c>
      <c r="N27" s="431" t="s">
        <v>18</v>
      </c>
      <c r="O27" s="514">
        <f>SUM(O22:O26)</f>
        <v>25.1</v>
      </c>
      <c r="P27" s="464">
        <f t="shared" si="0"/>
        <v>250.36999999999998</v>
      </c>
      <c r="Q27" s="157"/>
      <c r="R27" s="518"/>
      <c r="S27" s="518"/>
      <c r="T27" s="160"/>
      <c r="U27" s="160"/>
      <c r="V27" s="160"/>
      <c r="W27" s="160"/>
      <c r="X27" s="160"/>
    </row>
    <row r="28" spans="1:27" ht="15.75">
      <c r="A28" s="989">
        <v>11</v>
      </c>
      <c r="B28" s="431" t="s">
        <v>154</v>
      </c>
      <c r="C28" s="991">
        <f>C20-C27</f>
        <v>596.69000000000005</v>
      </c>
      <c r="D28" s="1678"/>
      <c r="E28" s="989">
        <v>11</v>
      </c>
      <c r="F28" s="431" t="s">
        <v>154</v>
      </c>
      <c r="G28" s="991">
        <f>G20-G27</f>
        <v>405.65999999999997</v>
      </c>
      <c r="H28" s="1678"/>
      <c r="I28" s="989">
        <v>11</v>
      </c>
      <c r="J28" s="431" t="s">
        <v>154</v>
      </c>
      <c r="K28" s="991">
        <f>K20-K27</f>
        <v>619.30000000000007</v>
      </c>
      <c r="L28" s="1678"/>
      <c r="M28" s="989">
        <v>11</v>
      </c>
      <c r="N28" s="431" t="s">
        <v>154</v>
      </c>
      <c r="O28" s="991">
        <f>O20-O27</f>
        <v>334.9</v>
      </c>
      <c r="P28" s="464">
        <f t="shared" si="0"/>
        <v>1956.5500000000002</v>
      </c>
      <c r="Q28" s="465"/>
      <c r="R28" s="439"/>
      <c r="S28" s="439"/>
      <c r="T28" s="439"/>
      <c r="U28" s="439"/>
      <c r="V28" s="440"/>
      <c r="W28" s="441"/>
      <c r="X28" s="441"/>
    </row>
    <row r="29" spans="1:27" ht="143.25" customHeight="1">
      <c r="A29" s="1680"/>
      <c r="B29" s="1680"/>
      <c r="C29" s="1680"/>
      <c r="D29" s="1680"/>
      <c r="E29" s="1680"/>
      <c r="F29" s="1680"/>
      <c r="G29" s="1680"/>
      <c r="H29" s="1680"/>
      <c r="I29" s="1680"/>
      <c r="J29" s="1680"/>
      <c r="K29" s="1680"/>
      <c r="L29" s="1680"/>
      <c r="M29" s="1680"/>
      <c r="N29" s="1680"/>
      <c r="O29" s="1680"/>
      <c r="P29" s="464">
        <f t="shared" si="0"/>
        <v>0</v>
      </c>
      <c r="Q29" s="466"/>
      <c r="R29" s="520"/>
      <c r="S29" s="521"/>
      <c r="T29" s="95"/>
      <c r="U29" s="95"/>
      <c r="V29" s="95"/>
      <c r="W29" s="95"/>
      <c r="X29" s="442"/>
    </row>
    <row r="30" spans="1:27" ht="15.75">
      <c r="A30" s="1682" t="s">
        <v>128</v>
      </c>
      <c r="B30" s="1682"/>
      <c r="C30" s="1682"/>
      <c r="D30" s="1678"/>
      <c r="E30" s="1672" t="s">
        <v>131</v>
      </c>
      <c r="F30" s="1672"/>
      <c r="G30" s="1672"/>
      <c r="H30" s="1678"/>
      <c r="I30" s="1682" t="s">
        <v>312</v>
      </c>
      <c r="J30" s="1682"/>
      <c r="K30" s="1682"/>
      <c r="L30" s="1678"/>
      <c r="M30" s="1682"/>
      <c r="N30" s="1682"/>
      <c r="O30" s="1682"/>
      <c r="P30" s="464"/>
      <c r="Q30" s="443"/>
      <c r="R30" s="522"/>
      <c r="S30" s="522"/>
    </row>
    <row r="31" spans="1:27" ht="15.75">
      <c r="A31" s="444">
        <v>1</v>
      </c>
      <c r="B31" s="445" t="s">
        <v>149</v>
      </c>
      <c r="C31" s="162">
        <v>702.4</v>
      </c>
      <c r="D31" s="1678"/>
      <c r="E31" s="438">
        <v>1</v>
      </c>
      <c r="F31" s="438" t="s">
        <v>149</v>
      </c>
      <c r="G31" s="162">
        <v>556.94000000000005</v>
      </c>
      <c r="H31" s="1678"/>
      <c r="I31" s="431">
        <v>1</v>
      </c>
      <c r="J31" s="431" t="s">
        <v>149</v>
      </c>
      <c r="K31" s="162">
        <v>507.95</v>
      </c>
      <c r="L31" s="1678"/>
      <c r="M31" s="431"/>
      <c r="N31" s="431"/>
      <c r="O31" s="162"/>
      <c r="P31" s="464"/>
      <c r="Q31" s="515">
        <f>C31+G31+K31+O31</f>
        <v>1767.2900000000002</v>
      </c>
      <c r="R31" s="522"/>
      <c r="S31" s="522"/>
      <c r="V31" s="442"/>
      <c r="X31" s="442"/>
      <c r="Z31" s="95"/>
    </row>
    <row r="32" spans="1:27" ht="15.75">
      <c r="A32" s="444">
        <v>2</v>
      </c>
      <c r="B32" s="431" t="s">
        <v>311</v>
      </c>
      <c r="C32" s="433"/>
      <c r="D32" s="1678"/>
      <c r="E32" s="438">
        <v>2</v>
      </c>
      <c r="F32" s="431" t="s">
        <v>311</v>
      </c>
      <c r="G32" s="433"/>
      <c r="H32" s="1678"/>
      <c r="I32" s="431">
        <v>2</v>
      </c>
      <c r="J32" s="431" t="s">
        <v>311</v>
      </c>
      <c r="K32" s="433"/>
      <c r="L32" s="1678"/>
      <c r="M32" s="431"/>
      <c r="N32" s="431"/>
      <c r="O32" s="433"/>
      <c r="P32" s="464"/>
      <c r="R32" s="522"/>
      <c r="S32" s="522"/>
      <c r="U32" s="442"/>
      <c r="Z32" s="95"/>
      <c r="AA32" s="446"/>
    </row>
    <row r="33" spans="1:26" ht="15.75">
      <c r="A33" s="444">
        <v>3</v>
      </c>
      <c r="B33" s="431" t="s">
        <v>270</v>
      </c>
      <c r="C33" s="434"/>
      <c r="D33" s="1678"/>
      <c r="E33" s="438">
        <v>3</v>
      </c>
      <c r="F33" s="438" t="s">
        <v>155</v>
      </c>
      <c r="G33" s="438"/>
      <c r="H33" s="1678"/>
      <c r="I33" s="431">
        <v>3</v>
      </c>
      <c r="J33" s="431" t="s">
        <v>151</v>
      </c>
      <c r="K33" s="434"/>
      <c r="L33" s="1678"/>
      <c r="M33" s="431"/>
      <c r="N33" s="431"/>
      <c r="O33" s="434"/>
      <c r="P33" s="464"/>
      <c r="R33" s="522"/>
      <c r="S33" s="522"/>
      <c r="Z33" s="95"/>
    </row>
    <row r="34" spans="1:26" ht="15.75">
      <c r="A34" s="444">
        <v>4</v>
      </c>
      <c r="B34" s="447" t="s">
        <v>18</v>
      </c>
      <c r="C34" s="525">
        <f>SUM(C31:C33)</f>
        <v>702.4</v>
      </c>
      <c r="D34" s="1678"/>
      <c r="E34" s="438">
        <v>4</v>
      </c>
      <c r="F34" s="448" t="s">
        <v>18</v>
      </c>
      <c r="G34" s="449">
        <f>SUM(G31:G33)</f>
        <v>556.94000000000005</v>
      </c>
      <c r="H34" s="1678"/>
      <c r="I34" s="431">
        <v>4</v>
      </c>
      <c r="J34" s="435" t="s">
        <v>18</v>
      </c>
      <c r="K34" s="377">
        <f>SUM(K31:K33)</f>
        <v>507.95</v>
      </c>
      <c r="L34" s="1678"/>
      <c r="M34" s="431"/>
      <c r="N34" s="435"/>
      <c r="O34" s="377"/>
      <c r="P34" s="464"/>
      <c r="R34" s="522"/>
      <c r="S34" s="522"/>
      <c r="T34" s="443"/>
      <c r="V34" s="1674"/>
      <c r="W34" s="1674"/>
      <c r="Z34" s="95"/>
    </row>
    <row r="35" spans="1:26" ht="15.75">
      <c r="A35" s="1681" t="s">
        <v>140</v>
      </c>
      <c r="B35" s="1681"/>
      <c r="C35" s="1681"/>
      <c r="D35" s="1678"/>
      <c r="E35" s="1672" t="s">
        <v>140</v>
      </c>
      <c r="F35" s="1672"/>
      <c r="G35" s="1672"/>
      <c r="H35" s="1678"/>
      <c r="I35" s="1678" t="s">
        <v>140</v>
      </c>
      <c r="J35" s="1678"/>
      <c r="K35" s="1678"/>
      <c r="L35" s="1678"/>
      <c r="M35" s="1678"/>
      <c r="N35" s="1678"/>
      <c r="O35" s="1678"/>
      <c r="P35" s="464"/>
      <c r="R35" s="522"/>
      <c r="S35" s="522"/>
      <c r="T35" s="443"/>
      <c r="Z35" s="95"/>
    </row>
    <row r="36" spans="1:26" ht="15.75">
      <c r="A36" s="444">
        <v>6</v>
      </c>
      <c r="B36" s="445" t="s">
        <v>150</v>
      </c>
      <c r="C36" s="162"/>
      <c r="D36" s="1678"/>
      <c r="E36" s="989">
        <v>6</v>
      </c>
      <c r="F36" s="438" t="s">
        <v>150</v>
      </c>
      <c r="G36" s="162"/>
      <c r="H36" s="1678"/>
      <c r="I36" s="989">
        <v>6</v>
      </c>
      <c r="J36" s="431" t="s">
        <v>150</v>
      </c>
      <c r="K36" s="162"/>
      <c r="L36" s="1678"/>
      <c r="M36" s="989"/>
      <c r="N36" s="431"/>
      <c r="O36" s="162"/>
      <c r="P36" s="464"/>
      <c r="R36" s="522"/>
      <c r="S36" s="522"/>
      <c r="V36" s="1675"/>
      <c r="W36" s="1676"/>
      <c r="Z36" s="95"/>
    </row>
    <row r="37" spans="1:26" ht="15.75">
      <c r="A37" s="444">
        <v>7</v>
      </c>
      <c r="B37" s="512" t="s">
        <v>362</v>
      </c>
      <c r="C37" s="162">
        <v>87.06</v>
      </c>
      <c r="D37" s="1678"/>
      <c r="E37" s="989">
        <v>7</v>
      </c>
      <c r="F37" s="512" t="s">
        <v>362</v>
      </c>
      <c r="G37" s="162">
        <v>71.41</v>
      </c>
      <c r="H37" s="1678"/>
      <c r="I37" s="989">
        <v>7</v>
      </c>
      <c r="J37" s="512" t="s">
        <v>362</v>
      </c>
      <c r="K37" s="162">
        <v>62.33</v>
      </c>
      <c r="L37" s="1678"/>
      <c r="M37" s="989"/>
      <c r="N37" s="512"/>
      <c r="O37" s="162"/>
      <c r="P37" s="464"/>
      <c r="R37" s="518">
        <f>C37+G37+O37+K37</f>
        <v>220.8</v>
      </c>
      <c r="S37" s="522"/>
      <c r="Z37" s="95"/>
    </row>
    <row r="38" spans="1:26" ht="15.75">
      <c r="A38" s="444"/>
      <c r="B38" s="431" t="s">
        <v>269</v>
      </c>
      <c r="C38" s="436"/>
      <c r="D38" s="1678"/>
      <c r="E38" s="989"/>
      <c r="F38" s="431" t="s">
        <v>269</v>
      </c>
      <c r="G38" s="436"/>
      <c r="H38" s="1678"/>
      <c r="I38" s="989"/>
      <c r="J38" s="431" t="s">
        <v>269</v>
      </c>
      <c r="K38" s="436"/>
      <c r="L38" s="1678"/>
      <c r="M38" s="989"/>
      <c r="N38" s="431"/>
      <c r="O38" s="436"/>
      <c r="P38" s="464"/>
      <c r="R38" s="522"/>
      <c r="S38" s="522"/>
      <c r="Z38" s="95"/>
    </row>
    <row r="39" spans="1:26" ht="15.75">
      <c r="A39" s="444">
        <v>8</v>
      </c>
      <c r="B39" s="445" t="s">
        <v>152</v>
      </c>
      <c r="C39" s="205"/>
      <c r="D39" s="1678"/>
      <c r="E39" s="989">
        <v>8</v>
      </c>
      <c r="F39" s="438" t="s">
        <v>152</v>
      </c>
      <c r="G39" s="452"/>
      <c r="H39" s="1678"/>
      <c r="I39" s="989">
        <v>8</v>
      </c>
      <c r="J39" s="431" t="s">
        <v>152</v>
      </c>
      <c r="K39" s="205"/>
      <c r="L39" s="1678"/>
      <c r="M39" s="989"/>
      <c r="N39" s="431"/>
      <c r="O39" s="205"/>
      <c r="P39" s="464"/>
      <c r="R39" s="522"/>
      <c r="S39" s="522"/>
      <c r="U39" s="630"/>
      <c r="Z39" s="453"/>
    </row>
    <row r="40" spans="1:26" ht="15.75">
      <c r="A40" s="444">
        <v>9</v>
      </c>
      <c r="B40" s="445" t="s">
        <v>153</v>
      </c>
      <c r="C40" s="162"/>
      <c r="D40" s="1678"/>
      <c r="E40" s="989">
        <v>9</v>
      </c>
      <c r="F40" s="438" t="s">
        <v>153</v>
      </c>
      <c r="G40" s="438"/>
      <c r="H40" s="1678"/>
      <c r="I40" s="989">
        <v>9</v>
      </c>
      <c r="J40" s="431" t="s">
        <v>153</v>
      </c>
      <c r="K40" s="162"/>
      <c r="L40" s="1678"/>
      <c r="M40" s="989"/>
      <c r="N40" s="431"/>
      <c r="O40" s="162"/>
      <c r="P40" s="464"/>
      <c r="R40" s="522"/>
      <c r="S40" s="522"/>
      <c r="U40" s="630">
        <v>2600000</v>
      </c>
      <c r="V40" s="1677"/>
      <c r="W40" s="1677"/>
      <c r="Z40" s="95"/>
    </row>
    <row r="41" spans="1:26" ht="15.75">
      <c r="A41" s="444">
        <v>10</v>
      </c>
      <c r="B41" s="445" t="s">
        <v>18</v>
      </c>
      <c r="C41" s="514">
        <f>SUM(C36:C40)</f>
        <v>87.06</v>
      </c>
      <c r="D41" s="1678"/>
      <c r="E41" s="989">
        <v>10</v>
      </c>
      <c r="F41" s="454" t="s">
        <v>18</v>
      </c>
      <c r="G41" s="514">
        <f>SUM(G36:G40)</f>
        <v>71.41</v>
      </c>
      <c r="H41" s="1678"/>
      <c r="I41" s="989">
        <v>10</v>
      </c>
      <c r="J41" s="431" t="s">
        <v>18</v>
      </c>
      <c r="K41" s="514">
        <f>SUM(K36:K40)</f>
        <v>62.33</v>
      </c>
      <c r="L41" s="1678"/>
      <c r="M41" s="989"/>
      <c r="N41" s="431"/>
      <c r="O41" s="514"/>
      <c r="P41" s="464"/>
      <c r="R41" s="522"/>
      <c r="S41" s="522"/>
      <c r="U41" s="630">
        <v>2206000</v>
      </c>
      <c r="Z41" s="95"/>
    </row>
    <row r="42" spans="1:26" ht="15.75">
      <c r="A42" s="444">
        <v>11</v>
      </c>
      <c r="B42" s="445" t="s">
        <v>154</v>
      </c>
      <c r="C42" s="994">
        <f>C34-C41</f>
        <v>615.33999999999992</v>
      </c>
      <c r="D42" s="1678"/>
      <c r="E42" s="989">
        <v>11</v>
      </c>
      <c r="F42" s="438" t="s">
        <v>154</v>
      </c>
      <c r="G42" s="992">
        <f>G34-G41</f>
        <v>485.53000000000009</v>
      </c>
      <c r="H42" s="1678"/>
      <c r="I42" s="989">
        <v>11</v>
      </c>
      <c r="J42" s="431" t="s">
        <v>154</v>
      </c>
      <c r="K42" s="993">
        <f>K34-K41</f>
        <v>445.62</v>
      </c>
      <c r="L42" s="1678"/>
      <c r="M42" s="989"/>
      <c r="N42" s="431"/>
      <c r="O42" s="665"/>
      <c r="P42" s="464"/>
      <c r="Q42" s="95"/>
      <c r="R42" s="522"/>
      <c r="S42" s="522"/>
      <c r="U42" s="630">
        <f>SUM(U40:U41)</f>
        <v>4806000</v>
      </c>
      <c r="Z42" s="95"/>
    </row>
    <row r="43" spans="1:26" ht="33" customHeight="1">
      <c r="A43" s="438"/>
      <c r="B43" s="438"/>
      <c r="C43" s="438"/>
      <c r="D43" s="438"/>
      <c r="E43" s="438"/>
      <c r="F43" s="438"/>
      <c r="G43" s="438"/>
      <c r="H43" s="438"/>
      <c r="I43" s="438"/>
      <c r="J43" s="438"/>
      <c r="K43" s="438"/>
      <c r="L43" s="438"/>
      <c r="M43" s="438"/>
      <c r="N43" s="438"/>
      <c r="O43" s="438"/>
      <c r="P43" s="464"/>
      <c r="R43" s="523"/>
      <c r="S43" s="523"/>
      <c r="U43" s="631"/>
      <c r="V43" s="457"/>
      <c r="W43" s="457"/>
      <c r="Z43" s="95"/>
    </row>
    <row r="44" spans="1:26" ht="26.25" customHeight="1">
      <c r="A44" s="1673" t="s">
        <v>322</v>
      </c>
      <c r="B44" s="1673"/>
      <c r="C44" s="1673"/>
      <c r="D44" s="986"/>
      <c r="E44" s="1673" t="s">
        <v>325</v>
      </c>
      <c r="F44" s="1673"/>
      <c r="G44" s="1673"/>
      <c r="H44" s="986"/>
      <c r="I44" s="1673" t="s">
        <v>347</v>
      </c>
      <c r="J44" s="1673"/>
      <c r="K44" s="1673"/>
      <c r="L44" s="463"/>
      <c r="M44" s="1673" t="s">
        <v>314</v>
      </c>
      <c r="N44" s="1673"/>
      <c r="O44" s="1673"/>
      <c r="P44" s="464">
        <f t="shared" si="0"/>
        <v>0</v>
      </c>
      <c r="R44" s="522"/>
      <c r="S44" s="522"/>
      <c r="T44" s="458"/>
    </row>
    <row r="45" spans="1:26" ht="15.75">
      <c r="A45" s="438">
        <v>1</v>
      </c>
      <c r="B45" s="438" t="s">
        <v>149</v>
      </c>
      <c r="C45" s="162">
        <v>642.22</v>
      </c>
      <c r="D45" s="438"/>
      <c r="E45" s="438">
        <v>1</v>
      </c>
      <c r="F45" s="438" t="s">
        <v>149</v>
      </c>
      <c r="G45" s="162">
        <v>579.26</v>
      </c>
      <c r="H45" s="438"/>
      <c r="I45" s="438">
        <v>1</v>
      </c>
      <c r="J45" s="438" t="s">
        <v>149</v>
      </c>
      <c r="K45" s="162">
        <v>520</v>
      </c>
      <c r="L45" s="513"/>
      <c r="M45" s="438">
        <v>1</v>
      </c>
      <c r="N45" s="438" t="s">
        <v>149</v>
      </c>
      <c r="O45" s="162">
        <v>541.48</v>
      </c>
      <c r="P45" s="464">
        <f t="shared" si="0"/>
        <v>2282.96</v>
      </c>
      <c r="Q45" s="515">
        <f>C45+G45+K45+O45</f>
        <v>2282.96</v>
      </c>
      <c r="R45" s="522"/>
      <c r="S45" s="522"/>
    </row>
    <row r="46" spans="1:26" ht="15.75">
      <c r="A46" s="438">
        <v>2</v>
      </c>
      <c r="B46" s="431" t="s">
        <v>311</v>
      </c>
      <c r="C46" s="433"/>
      <c r="D46" s="438"/>
      <c r="E46" s="438">
        <v>2</v>
      </c>
      <c r="F46" s="431" t="s">
        <v>311</v>
      </c>
      <c r="G46" s="433"/>
      <c r="H46" s="438"/>
      <c r="I46" s="438">
        <v>2</v>
      </c>
      <c r="J46" s="431" t="s">
        <v>311</v>
      </c>
      <c r="K46" s="433"/>
      <c r="L46" s="438"/>
      <c r="M46" s="438">
        <v>2</v>
      </c>
      <c r="N46" s="431" t="s">
        <v>311</v>
      </c>
      <c r="O46" s="433"/>
      <c r="P46" s="464">
        <f t="shared" si="0"/>
        <v>0</v>
      </c>
      <c r="R46" s="522"/>
      <c r="S46" s="522"/>
      <c r="T46" s="451"/>
    </row>
    <row r="47" spans="1:26" ht="15">
      <c r="A47" s="438">
        <v>3</v>
      </c>
      <c r="B47" s="438" t="s">
        <v>155</v>
      </c>
      <c r="C47" s="438"/>
      <c r="D47" s="438"/>
      <c r="E47" s="438">
        <v>3</v>
      </c>
      <c r="F47" s="438" t="s">
        <v>155</v>
      </c>
      <c r="G47" s="438"/>
      <c r="H47" s="438"/>
      <c r="I47" s="438">
        <v>3</v>
      </c>
      <c r="J47" s="438" t="s">
        <v>155</v>
      </c>
      <c r="K47" s="438"/>
      <c r="L47" s="438"/>
      <c r="M47" s="438">
        <v>3</v>
      </c>
      <c r="N47" s="438" t="s">
        <v>155</v>
      </c>
      <c r="O47" s="438"/>
      <c r="P47" s="464">
        <f t="shared" si="0"/>
        <v>0</v>
      </c>
      <c r="R47" s="522"/>
      <c r="S47" s="522"/>
    </row>
    <row r="48" spans="1:26" ht="15.75">
      <c r="A48" s="438">
        <v>4</v>
      </c>
      <c r="B48" s="448" t="s">
        <v>18</v>
      </c>
      <c r="C48" s="449">
        <f>SUM(C45:C47)</f>
        <v>642.22</v>
      </c>
      <c r="D48" s="438"/>
      <c r="E48" s="438">
        <v>4</v>
      </c>
      <c r="F48" s="448" t="s">
        <v>18</v>
      </c>
      <c r="G48" s="449">
        <f>SUM(G45:G47)</f>
        <v>579.26</v>
      </c>
      <c r="H48" s="438"/>
      <c r="I48" s="438">
        <v>4</v>
      </c>
      <c r="J48" s="448" t="s">
        <v>18</v>
      </c>
      <c r="K48" s="449">
        <f>SUM(K45:K47)</f>
        <v>520</v>
      </c>
      <c r="L48" s="449"/>
      <c r="M48" s="438">
        <v>4</v>
      </c>
      <c r="N48" s="448" t="s">
        <v>18</v>
      </c>
      <c r="O48" s="449">
        <f>SUM(O45:O47)</f>
        <v>541.48</v>
      </c>
      <c r="P48" s="464">
        <f t="shared" si="0"/>
        <v>2282.96</v>
      </c>
      <c r="R48" s="522"/>
      <c r="S48" s="522"/>
    </row>
    <row r="49" spans="1:26" ht="15.75">
      <c r="A49" s="1672" t="s">
        <v>140</v>
      </c>
      <c r="B49" s="1672"/>
      <c r="C49" s="1672"/>
      <c r="D49" s="986"/>
      <c r="E49" s="1672" t="s">
        <v>140</v>
      </c>
      <c r="F49" s="1672"/>
      <c r="G49" s="1672"/>
      <c r="H49" s="986"/>
      <c r="I49" s="1672" t="s">
        <v>140</v>
      </c>
      <c r="J49" s="1672"/>
      <c r="K49" s="1672"/>
      <c r="L49" s="462"/>
      <c r="M49" s="1672" t="s">
        <v>140</v>
      </c>
      <c r="N49" s="1672"/>
      <c r="O49" s="1672"/>
      <c r="P49" s="464">
        <f t="shared" si="0"/>
        <v>0</v>
      </c>
      <c r="R49" s="522"/>
      <c r="S49" s="522"/>
    </row>
    <row r="50" spans="1:26" ht="15.75">
      <c r="A50" s="989">
        <v>6</v>
      </c>
      <c r="B50" s="438" t="s">
        <v>150</v>
      </c>
      <c r="C50" s="450"/>
      <c r="D50" s="438"/>
      <c r="E50" s="989">
        <v>6</v>
      </c>
      <c r="F50" s="438" t="s">
        <v>150</v>
      </c>
      <c r="G50" s="162"/>
      <c r="H50" s="438"/>
      <c r="I50" s="989">
        <v>6</v>
      </c>
      <c r="J50" s="438" t="s">
        <v>150</v>
      </c>
      <c r="K50" s="162"/>
      <c r="L50" s="162"/>
      <c r="M50" s="989">
        <v>6</v>
      </c>
      <c r="N50" s="438" t="s">
        <v>150</v>
      </c>
      <c r="O50" s="162"/>
      <c r="P50" s="464">
        <f t="shared" si="0"/>
        <v>0</v>
      </c>
      <c r="R50" s="522"/>
      <c r="S50" s="522"/>
    </row>
    <row r="51" spans="1:26" ht="15.75">
      <c r="A51" s="989">
        <v>7</v>
      </c>
      <c r="B51" s="512" t="s">
        <v>362</v>
      </c>
      <c r="C51" s="162">
        <v>80.239999999999995</v>
      </c>
      <c r="D51" s="438"/>
      <c r="E51" s="989">
        <v>7</v>
      </c>
      <c r="F51" s="512" t="s">
        <v>362</v>
      </c>
      <c r="G51" s="162">
        <v>68.010000000000005</v>
      </c>
      <c r="H51" s="438"/>
      <c r="I51" s="989">
        <v>7</v>
      </c>
      <c r="J51" s="512" t="s">
        <v>362</v>
      </c>
      <c r="K51" s="162">
        <v>65.430000000000007</v>
      </c>
      <c r="L51" s="437"/>
      <c r="M51" s="989">
        <v>7</v>
      </c>
      <c r="N51" s="512" t="s">
        <v>362</v>
      </c>
      <c r="O51" s="162">
        <v>65.510000000000005</v>
      </c>
      <c r="P51" s="464">
        <f t="shared" si="0"/>
        <v>279.19</v>
      </c>
      <c r="R51" s="518">
        <f>C51+G51+O51+K51</f>
        <v>279.19</v>
      </c>
      <c r="S51" s="522"/>
    </row>
    <row r="52" spans="1:26" ht="15.75">
      <c r="A52" s="989"/>
      <c r="B52" s="431" t="s">
        <v>269</v>
      </c>
      <c r="C52" s="436"/>
      <c r="D52" s="438"/>
      <c r="E52" s="989"/>
      <c r="F52" s="431" t="s">
        <v>269</v>
      </c>
      <c r="G52" s="436"/>
      <c r="H52" s="438"/>
      <c r="I52" s="989"/>
      <c r="J52" s="431" t="s">
        <v>269</v>
      </c>
      <c r="K52" s="436"/>
      <c r="L52" s="436"/>
      <c r="M52" s="989"/>
      <c r="N52" s="431" t="s">
        <v>269</v>
      </c>
      <c r="O52" s="436"/>
      <c r="P52" s="464">
        <f t="shared" si="0"/>
        <v>0</v>
      </c>
      <c r="R52" s="522"/>
      <c r="S52" s="522"/>
    </row>
    <row r="53" spans="1:26" ht="15.75">
      <c r="A53" s="989">
        <v>8</v>
      </c>
      <c r="B53" s="438" t="s">
        <v>152</v>
      </c>
      <c r="C53" s="438"/>
      <c r="D53" s="438"/>
      <c r="E53" s="989">
        <v>8</v>
      </c>
      <c r="F53" s="438" t="s">
        <v>152</v>
      </c>
      <c r="G53" s="452"/>
      <c r="H53" s="438"/>
      <c r="I53" s="989">
        <v>8</v>
      </c>
      <c r="J53" s="438" t="s">
        <v>152</v>
      </c>
      <c r="K53" s="452"/>
      <c r="L53" s="452"/>
      <c r="M53" s="989">
        <v>8</v>
      </c>
      <c r="N53" s="438" t="s">
        <v>152</v>
      </c>
      <c r="O53" s="452"/>
      <c r="P53" s="464">
        <f t="shared" si="0"/>
        <v>0</v>
      </c>
      <c r="R53" s="522"/>
      <c r="S53" s="522"/>
    </row>
    <row r="54" spans="1:26" ht="15.75">
      <c r="A54" s="989">
        <v>9</v>
      </c>
      <c r="B54" s="438" t="s">
        <v>153</v>
      </c>
      <c r="C54" s="438"/>
      <c r="D54" s="438"/>
      <c r="E54" s="989">
        <v>9</v>
      </c>
      <c r="F54" s="438" t="s">
        <v>153</v>
      </c>
      <c r="G54" s="438"/>
      <c r="H54" s="438"/>
      <c r="I54" s="989">
        <v>9</v>
      </c>
      <c r="J54" s="438" t="s">
        <v>153</v>
      </c>
      <c r="K54" s="438"/>
      <c r="L54" s="438"/>
      <c r="M54" s="989">
        <v>9</v>
      </c>
      <c r="N54" s="438" t="s">
        <v>153</v>
      </c>
      <c r="O54" s="438"/>
      <c r="P54" s="464">
        <f t="shared" si="0"/>
        <v>0</v>
      </c>
      <c r="R54" s="522"/>
      <c r="S54" s="522"/>
    </row>
    <row r="55" spans="1:26" ht="15.75">
      <c r="A55" s="989">
        <v>10</v>
      </c>
      <c r="B55" s="454" t="s">
        <v>18</v>
      </c>
      <c r="C55" s="514">
        <f>SUM(C50:C54)</f>
        <v>80.239999999999995</v>
      </c>
      <c r="D55" s="438"/>
      <c r="E55" s="989">
        <v>10</v>
      </c>
      <c r="F55" s="454" t="s">
        <v>18</v>
      </c>
      <c r="G55" s="514">
        <f>SUM(G50:G54)</f>
        <v>68.010000000000005</v>
      </c>
      <c r="H55" s="438"/>
      <c r="I55" s="989">
        <v>10</v>
      </c>
      <c r="J55" s="454" t="s">
        <v>18</v>
      </c>
      <c r="K55" s="514">
        <f>SUM(K50:K54)</f>
        <v>65.430000000000007</v>
      </c>
      <c r="L55" s="455"/>
      <c r="M55" s="989">
        <v>10</v>
      </c>
      <c r="N55" s="454" t="s">
        <v>18</v>
      </c>
      <c r="O55" s="514">
        <f>SUM(O50:O54)</f>
        <v>65.510000000000005</v>
      </c>
      <c r="P55" s="464">
        <f t="shared" si="0"/>
        <v>279.19</v>
      </c>
      <c r="R55" s="522"/>
      <c r="S55" s="522"/>
    </row>
    <row r="56" spans="1:26" ht="15.75">
      <c r="A56" s="989">
        <v>11</v>
      </c>
      <c r="B56" s="438" t="s">
        <v>154</v>
      </c>
      <c r="C56" s="995">
        <f>C48-C55</f>
        <v>561.98</v>
      </c>
      <c r="D56" s="438"/>
      <c r="E56" s="989">
        <v>11</v>
      </c>
      <c r="F56" s="438" t="s">
        <v>154</v>
      </c>
      <c r="G56" s="992">
        <f>G48-G55</f>
        <v>511.25</v>
      </c>
      <c r="H56" s="438"/>
      <c r="I56" s="989">
        <v>11</v>
      </c>
      <c r="J56" s="438" t="s">
        <v>154</v>
      </c>
      <c r="K56" s="992">
        <f>K48-K55</f>
        <v>454.57</v>
      </c>
      <c r="L56" s="456"/>
      <c r="M56" s="989">
        <v>11</v>
      </c>
      <c r="N56" s="438" t="s">
        <v>154</v>
      </c>
      <c r="O56" s="992">
        <f>O48-O55</f>
        <v>475.97</v>
      </c>
      <c r="P56" s="464">
        <f t="shared" si="0"/>
        <v>2003.77</v>
      </c>
      <c r="R56" s="522"/>
      <c r="S56" s="522"/>
    </row>
    <row r="57" spans="1:26" ht="126.75" customHeight="1">
      <c r="A57" s="1679"/>
      <c r="B57" s="1679"/>
      <c r="C57" s="1679"/>
      <c r="D57" s="988"/>
      <c r="E57" s="1679"/>
      <c r="F57" s="1679"/>
      <c r="G57" s="1679"/>
      <c r="H57" s="988"/>
      <c r="L57" s="988"/>
      <c r="M57" s="1679"/>
      <c r="N57" s="1679"/>
      <c r="O57" s="1679"/>
      <c r="P57" s="464">
        <f t="shared" si="0"/>
        <v>0</v>
      </c>
      <c r="R57" s="522"/>
      <c r="S57" s="522"/>
    </row>
    <row r="58" spans="1:26" ht="15.75">
      <c r="A58" s="1673" t="s">
        <v>324</v>
      </c>
      <c r="B58" s="1673"/>
      <c r="C58" s="1673"/>
      <c r="D58" s="511"/>
      <c r="E58" s="1673" t="s">
        <v>313</v>
      </c>
      <c r="F58" s="1673"/>
      <c r="G58" s="1673"/>
      <c r="H58" s="511"/>
      <c r="I58" s="1673" t="s">
        <v>323</v>
      </c>
      <c r="J58" s="1673"/>
      <c r="K58" s="1673"/>
      <c r="L58" s="511"/>
      <c r="M58" s="1673" t="s">
        <v>315</v>
      </c>
      <c r="N58" s="1673"/>
      <c r="O58" s="1673"/>
      <c r="P58" s="464">
        <f t="shared" si="0"/>
        <v>0</v>
      </c>
    </row>
    <row r="59" spans="1:26" ht="15.75">
      <c r="A59" s="438">
        <v>1</v>
      </c>
      <c r="B59" s="438" t="s">
        <v>149</v>
      </c>
      <c r="C59" s="162">
        <v>566.66999999999996</v>
      </c>
      <c r="D59" s="511"/>
      <c r="E59" s="438">
        <v>1</v>
      </c>
      <c r="F59" s="438" t="s">
        <v>149</v>
      </c>
      <c r="G59" s="162">
        <v>566.66999999999996</v>
      </c>
      <c r="H59" s="511"/>
      <c r="I59" s="438">
        <v>1</v>
      </c>
      <c r="J59" s="438" t="s">
        <v>149</v>
      </c>
      <c r="K59" s="162">
        <v>566.66999999999996</v>
      </c>
      <c r="L59" s="511"/>
      <c r="M59" s="438">
        <v>1</v>
      </c>
      <c r="N59" s="438" t="s">
        <v>149</v>
      </c>
      <c r="O59" s="162">
        <v>566.66999999999996</v>
      </c>
      <c r="P59" s="464">
        <f>C59+G59+K59+O59</f>
        <v>2266.6799999999998</v>
      </c>
      <c r="Q59" s="515">
        <f>C59+G59+K59+O59</f>
        <v>2266.6799999999998</v>
      </c>
    </row>
    <row r="60" spans="1:26" ht="15.75">
      <c r="A60" s="438">
        <v>2</v>
      </c>
      <c r="B60" s="431" t="s">
        <v>311</v>
      </c>
      <c r="C60" s="433"/>
      <c r="D60" s="511"/>
      <c r="E60" s="438">
        <v>2</v>
      </c>
      <c r="F60" s="431" t="s">
        <v>311</v>
      </c>
      <c r="G60" s="433"/>
      <c r="H60" s="511"/>
      <c r="I60" s="438">
        <v>2</v>
      </c>
      <c r="J60" s="431" t="s">
        <v>311</v>
      </c>
      <c r="K60" s="433"/>
      <c r="L60" s="511"/>
      <c r="M60" s="438">
        <v>2</v>
      </c>
      <c r="N60" s="431" t="s">
        <v>311</v>
      </c>
      <c r="O60" s="433"/>
      <c r="P60" s="464">
        <f t="shared" si="0"/>
        <v>0</v>
      </c>
    </row>
    <row r="61" spans="1:26" ht="15">
      <c r="A61" s="438">
        <v>3</v>
      </c>
      <c r="B61" s="438" t="s">
        <v>155</v>
      </c>
      <c r="C61" s="438"/>
      <c r="D61" s="511"/>
      <c r="E61" s="438">
        <v>3</v>
      </c>
      <c r="F61" s="438" t="s">
        <v>155</v>
      </c>
      <c r="G61" s="438"/>
      <c r="H61" s="511"/>
      <c r="I61" s="438">
        <v>3</v>
      </c>
      <c r="J61" s="438" t="s">
        <v>155</v>
      </c>
      <c r="K61" s="438"/>
      <c r="L61" s="511"/>
      <c r="M61" s="438">
        <v>3</v>
      </c>
      <c r="N61" s="438" t="s">
        <v>155</v>
      </c>
      <c r="O61" s="438"/>
      <c r="P61" s="464">
        <f t="shared" si="0"/>
        <v>0</v>
      </c>
    </row>
    <row r="62" spans="1:26" ht="15.75">
      <c r="A62" s="438">
        <v>4</v>
      </c>
      <c r="B62" s="448" t="s">
        <v>18</v>
      </c>
      <c r="C62" s="449">
        <f>SUM(C59:C61)</f>
        <v>566.66999999999996</v>
      </c>
      <c r="D62" s="459"/>
      <c r="E62" s="438">
        <v>4</v>
      </c>
      <c r="F62" s="448" t="s">
        <v>18</v>
      </c>
      <c r="G62" s="449">
        <f>SUM(G59:G61)</f>
        <v>566.66999999999996</v>
      </c>
      <c r="H62" s="459"/>
      <c r="I62" s="438">
        <v>4</v>
      </c>
      <c r="J62" s="448" t="s">
        <v>18</v>
      </c>
      <c r="K62" s="449">
        <f>SUM(K59:K61)</f>
        <v>566.66999999999996</v>
      </c>
      <c r="L62" s="459"/>
      <c r="M62" s="438">
        <v>4</v>
      </c>
      <c r="N62" s="448" t="s">
        <v>18</v>
      </c>
      <c r="O62" s="449">
        <f>SUM(O59:O61)</f>
        <v>566.66999999999996</v>
      </c>
      <c r="P62" s="464">
        <f t="shared" si="0"/>
        <v>2266.6799999999998</v>
      </c>
    </row>
    <row r="63" spans="1:26" ht="16.5" customHeight="1">
      <c r="A63" s="1672" t="s">
        <v>140</v>
      </c>
      <c r="B63" s="1672"/>
      <c r="C63" s="1672"/>
      <c r="D63" s="511"/>
      <c r="E63" s="1672" t="s">
        <v>140</v>
      </c>
      <c r="F63" s="1672"/>
      <c r="G63" s="1672"/>
      <c r="H63" s="511"/>
      <c r="I63" s="1672" t="s">
        <v>140</v>
      </c>
      <c r="J63" s="1672"/>
      <c r="K63" s="1672"/>
      <c r="L63" s="511"/>
      <c r="M63" s="1672" t="s">
        <v>140</v>
      </c>
      <c r="N63" s="1672"/>
      <c r="O63" s="1672"/>
      <c r="P63" s="464">
        <f t="shared" si="0"/>
        <v>0</v>
      </c>
      <c r="Q63" s="460"/>
      <c r="R63" s="139"/>
      <c r="S63" s="139"/>
      <c r="T63" s="139"/>
      <c r="U63" s="139"/>
      <c r="V63" s="139"/>
      <c r="W63" s="139"/>
      <c r="X63" s="139"/>
      <c r="Y63" s="139"/>
      <c r="Z63" s="461"/>
    </row>
    <row r="64" spans="1:26" ht="16.5" customHeight="1">
      <c r="A64" s="989">
        <v>6</v>
      </c>
      <c r="B64" s="438" t="s">
        <v>150</v>
      </c>
      <c r="C64" s="450"/>
      <c r="D64" s="511"/>
      <c r="E64" s="989">
        <v>6</v>
      </c>
      <c r="F64" s="438" t="s">
        <v>150</v>
      </c>
      <c r="G64" s="450"/>
      <c r="H64" s="511"/>
      <c r="I64" s="989">
        <v>6</v>
      </c>
      <c r="J64" s="438" t="s">
        <v>150</v>
      </c>
      <c r="K64" s="450"/>
      <c r="L64" s="511"/>
      <c r="M64" s="989">
        <v>6</v>
      </c>
      <c r="N64" s="438" t="s">
        <v>150</v>
      </c>
      <c r="O64" s="450"/>
      <c r="P64" s="464">
        <f t="shared" si="0"/>
        <v>0</v>
      </c>
      <c r="Q64" s="460"/>
      <c r="R64" s="139"/>
      <c r="S64" s="139"/>
      <c r="T64" s="139"/>
      <c r="U64" s="139"/>
      <c r="V64" s="139"/>
      <c r="W64" s="139"/>
      <c r="X64" s="139"/>
      <c r="Y64" s="139"/>
      <c r="Z64" s="461"/>
    </row>
    <row r="65" spans="1:26" ht="16.5" customHeight="1">
      <c r="A65" s="989">
        <v>7</v>
      </c>
      <c r="B65" s="512" t="s">
        <v>362</v>
      </c>
      <c r="C65" s="990">
        <v>65.989999999999995</v>
      </c>
      <c r="D65" s="511"/>
      <c r="E65" s="989">
        <v>7</v>
      </c>
      <c r="F65" s="512" t="s">
        <v>362</v>
      </c>
      <c r="G65" s="990">
        <v>47.67</v>
      </c>
      <c r="H65" s="511"/>
      <c r="I65" s="989">
        <v>7</v>
      </c>
      <c r="J65" s="512" t="s">
        <v>362</v>
      </c>
      <c r="K65" s="990">
        <v>65.989999999999995</v>
      </c>
      <c r="L65" s="511"/>
      <c r="M65" s="989">
        <v>7</v>
      </c>
      <c r="N65" s="512" t="s">
        <v>362</v>
      </c>
      <c r="O65" s="990">
        <v>65.989999999999995</v>
      </c>
      <c r="P65" s="464">
        <f t="shared" si="0"/>
        <v>245.64</v>
      </c>
      <c r="Q65" s="460"/>
      <c r="R65" s="159">
        <f>C65+G65+O65+K65</f>
        <v>245.64</v>
      </c>
      <c r="S65" s="139"/>
      <c r="T65" s="139"/>
      <c r="U65" s="139"/>
      <c r="V65" s="139"/>
      <c r="W65" s="139"/>
      <c r="X65" s="139"/>
      <c r="Y65" s="139"/>
      <c r="Z65" s="461"/>
    </row>
    <row r="66" spans="1:26" ht="16.5" customHeight="1">
      <c r="A66" s="989"/>
      <c r="B66" s="431" t="s">
        <v>269</v>
      </c>
      <c r="C66" s="436"/>
      <c r="D66" s="511"/>
      <c r="E66" s="989"/>
      <c r="F66" s="431" t="s">
        <v>269</v>
      </c>
      <c r="G66" s="436"/>
      <c r="H66" s="511"/>
      <c r="I66" s="989"/>
      <c r="J66" s="431" t="s">
        <v>269</v>
      </c>
      <c r="K66" s="436"/>
      <c r="L66" s="511"/>
      <c r="M66" s="989"/>
      <c r="N66" s="431" t="s">
        <v>269</v>
      </c>
      <c r="O66" s="436"/>
      <c r="P66" s="464">
        <f t="shared" si="0"/>
        <v>0</v>
      </c>
      <c r="Q66" s="460"/>
      <c r="R66" s="139"/>
      <c r="S66" s="139"/>
      <c r="T66" s="139"/>
      <c r="U66" s="139"/>
      <c r="V66" s="139"/>
      <c r="W66" s="139"/>
      <c r="X66" s="139"/>
      <c r="Y66" s="139"/>
      <c r="Z66" s="461"/>
    </row>
    <row r="67" spans="1:26" ht="16.5" customHeight="1">
      <c r="A67" s="989">
        <v>8</v>
      </c>
      <c r="B67" s="438" t="s">
        <v>152</v>
      </c>
      <c r="C67" s="438"/>
      <c r="D67" s="511"/>
      <c r="E67" s="989">
        <v>8</v>
      </c>
      <c r="F67" s="438" t="s">
        <v>152</v>
      </c>
      <c r="G67" s="438">
        <v>500</v>
      </c>
      <c r="H67" s="511"/>
      <c r="I67" s="989">
        <v>8</v>
      </c>
      <c r="J67" s="438" t="s">
        <v>152</v>
      </c>
      <c r="K67" s="438"/>
      <c r="L67" s="511"/>
      <c r="M67" s="989">
        <v>8</v>
      </c>
      <c r="N67" s="438" t="s">
        <v>152</v>
      </c>
      <c r="O67" s="438"/>
      <c r="P67" s="464">
        <f t="shared" si="0"/>
        <v>500</v>
      </c>
      <c r="Q67" s="460"/>
      <c r="R67" s="139"/>
      <c r="S67" s="139"/>
      <c r="T67" s="139"/>
      <c r="U67" s="139"/>
      <c r="V67" s="139"/>
      <c r="W67" s="139"/>
      <c r="X67" s="139"/>
      <c r="Y67" s="139"/>
      <c r="Z67" s="461"/>
    </row>
    <row r="68" spans="1:26" ht="16.5" customHeight="1">
      <c r="A68" s="989">
        <v>9</v>
      </c>
      <c r="B68" s="438" t="s">
        <v>153</v>
      </c>
      <c r="C68" s="438"/>
      <c r="E68" s="989">
        <v>9</v>
      </c>
      <c r="F68" s="438" t="s">
        <v>153</v>
      </c>
      <c r="G68" s="438"/>
      <c r="I68" s="989">
        <v>9</v>
      </c>
      <c r="J68" s="438" t="s">
        <v>153</v>
      </c>
      <c r="K68" s="438"/>
      <c r="M68" s="989">
        <v>9</v>
      </c>
      <c r="N68" s="438" t="s">
        <v>153</v>
      </c>
      <c r="O68" s="438"/>
      <c r="P68" s="464">
        <f>C68+G68+K68+O68</f>
        <v>0</v>
      </c>
      <c r="Q68" s="460"/>
      <c r="R68" s="139"/>
      <c r="S68" s="139"/>
      <c r="T68" s="139"/>
      <c r="U68" s="139"/>
      <c r="V68" s="139"/>
      <c r="W68" s="139"/>
      <c r="X68" s="139"/>
      <c r="Y68" s="139"/>
      <c r="Z68" s="461"/>
    </row>
    <row r="69" spans="1:26" ht="16.5" customHeight="1">
      <c r="A69" s="989">
        <v>10</v>
      </c>
      <c r="B69" s="454" t="s">
        <v>18</v>
      </c>
      <c r="C69" s="514">
        <f>SUM(C64:C68)</f>
        <v>65.989999999999995</v>
      </c>
      <c r="E69" s="989">
        <v>10</v>
      </c>
      <c r="F69" s="454" t="s">
        <v>18</v>
      </c>
      <c r="G69" s="514">
        <f>SUM(G64:G68)</f>
        <v>547.66999999999996</v>
      </c>
      <c r="I69" s="989">
        <v>10</v>
      </c>
      <c r="J69" s="454" t="s">
        <v>18</v>
      </c>
      <c r="K69" s="514">
        <f>SUM(K64:K68)</f>
        <v>65.989999999999995</v>
      </c>
      <c r="M69" s="989">
        <v>10</v>
      </c>
      <c r="N69" s="454" t="s">
        <v>18</v>
      </c>
      <c r="O69" s="514">
        <f>SUM(O64:O68)</f>
        <v>65.989999999999995</v>
      </c>
      <c r="P69" s="464">
        <f>C69+G69+K69+O69</f>
        <v>745.64</v>
      </c>
      <c r="Q69" s="460"/>
      <c r="R69" s="139"/>
      <c r="S69" s="139"/>
      <c r="T69" s="139"/>
      <c r="U69" s="139"/>
      <c r="V69" s="139"/>
      <c r="W69" s="139"/>
      <c r="X69" s="139"/>
      <c r="Y69" s="139"/>
      <c r="Z69" s="461"/>
    </row>
    <row r="70" spans="1:26" ht="16.5" customHeight="1">
      <c r="A70" s="989">
        <v>11</v>
      </c>
      <c r="B70" s="438" t="s">
        <v>154</v>
      </c>
      <c r="C70" s="992">
        <f>C62-C69</f>
        <v>500.67999999999995</v>
      </c>
      <c r="E70" s="989">
        <v>11</v>
      </c>
      <c r="F70" s="438" t="s">
        <v>154</v>
      </c>
      <c r="G70" s="992">
        <f>G62-G69</f>
        <v>19</v>
      </c>
      <c r="I70" s="989">
        <v>11</v>
      </c>
      <c r="J70" s="438" t="s">
        <v>154</v>
      </c>
      <c r="K70" s="992">
        <f>K62-K69</f>
        <v>500.67999999999995</v>
      </c>
      <c r="M70" s="989">
        <v>11</v>
      </c>
      <c r="N70" s="438" t="s">
        <v>154</v>
      </c>
      <c r="O70" s="992">
        <f>O62-O69</f>
        <v>500.67999999999995</v>
      </c>
      <c r="P70" s="464">
        <f>C70+G70+K70+O70</f>
        <v>1521.04</v>
      </c>
      <c r="Q70" s="460"/>
      <c r="R70" s="139"/>
      <c r="S70" s="139"/>
      <c r="T70" s="139"/>
      <c r="U70" s="139"/>
      <c r="V70" s="139"/>
      <c r="W70" s="139"/>
      <c r="X70" s="139"/>
      <c r="Y70" s="139"/>
      <c r="Z70" s="461"/>
    </row>
    <row r="71" spans="1:26" ht="26.25" customHeight="1">
      <c r="Q71" s="460"/>
      <c r="R71" s="139"/>
      <c r="S71" s="139"/>
      <c r="T71" s="139"/>
      <c r="U71" s="139"/>
      <c r="V71" s="139"/>
      <c r="W71" s="139"/>
      <c r="X71" s="139"/>
      <c r="Y71" s="139"/>
      <c r="Z71" s="461"/>
    </row>
    <row r="72" spans="1:26" ht="18.75" customHeight="1">
      <c r="A72" s="1673" t="s">
        <v>520</v>
      </c>
      <c r="B72" s="1673"/>
      <c r="C72" s="1673"/>
      <c r="E72" s="1673" t="s">
        <v>297</v>
      </c>
      <c r="F72" s="1673"/>
      <c r="G72" s="1673"/>
      <c r="I72" s="1673" t="s">
        <v>439</v>
      </c>
      <c r="J72" s="1673"/>
      <c r="K72" s="1673"/>
      <c r="Q72" s="460"/>
      <c r="R72" s="139"/>
      <c r="S72" s="139"/>
      <c r="T72" s="139"/>
      <c r="U72" s="139"/>
      <c r="V72" s="139"/>
      <c r="W72" s="139"/>
      <c r="X72" s="139"/>
      <c r="Y72" s="139"/>
      <c r="Z72" s="461"/>
    </row>
    <row r="73" spans="1:26" ht="18.75" customHeight="1">
      <c r="A73" s="438">
        <v>1</v>
      </c>
      <c r="B73" s="438" t="s">
        <v>149</v>
      </c>
      <c r="C73" s="162">
        <v>642.22</v>
      </c>
      <c r="E73" s="438">
        <v>1</v>
      </c>
      <c r="F73" s="438" t="s">
        <v>149</v>
      </c>
      <c r="G73" s="162">
        <v>500</v>
      </c>
      <c r="I73" s="438">
        <v>1</v>
      </c>
      <c r="J73" s="438" t="s">
        <v>149</v>
      </c>
      <c r="K73" s="162">
        <v>705.19</v>
      </c>
      <c r="P73" s="464"/>
      <c r="Q73" s="515">
        <f>C73+G73+K73+O73</f>
        <v>1847.41</v>
      </c>
      <c r="R73" s="139"/>
      <c r="S73" s="139"/>
      <c r="T73" s="139"/>
      <c r="U73" s="139"/>
      <c r="V73" s="139"/>
      <c r="W73" s="139"/>
      <c r="X73" s="139"/>
      <c r="Y73" s="139"/>
      <c r="Z73" s="461"/>
    </row>
    <row r="74" spans="1:26" ht="18.75" customHeight="1">
      <c r="A74" s="438">
        <v>2</v>
      </c>
      <c r="B74" s="431" t="s">
        <v>311</v>
      </c>
      <c r="C74" s="433"/>
      <c r="E74" s="438">
        <v>2</v>
      </c>
      <c r="F74" s="431" t="s">
        <v>311</v>
      </c>
      <c r="G74" s="433"/>
      <c r="I74" s="438">
        <v>2</v>
      </c>
      <c r="J74" s="431" t="s">
        <v>311</v>
      </c>
      <c r="K74" s="433"/>
      <c r="Q74" s="460"/>
      <c r="R74" s="139"/>
      <c r="S74" s="139"/>
      <c r="T74" s="139"/>
      <c r="U74" s="139"/>
      <c r="V74" s="139"/>
      <c r="W74" s="139"/>
      <c r="X74" s="139"/>
      <c r="Y74" s="139"/>
      <c r="Z74" s="461"/>
    </row>
    <row r="75" spans="1:26" ht="18.75" customHeight="1">
      <c r="A75" s="438">
        <v>3</v>
      </c>
      <c r="B75" s="438" t="s">
        <v>155</v>
      </c>
      <c r="C75" s="438"/>
      <c r="E75" s="438">
        <v>3</v>
      </c>
      <c r="F75" s="438" t="s">
        <v>155</v>
      </c>
      <c r="G75" s="438"/>
      <c r="I75" s="438">
        <v>3</v>
      </c>
      <c r="J75" s="438" t="s">
        <v>155</v>
      </c>
      <c r="K75" s="438"/>
      <c r="Q75" s="460"/>
      <c r="R75" s="139"/>
      <c r="S75" s="139"/>
      <c r="T75" s="139"/>
      <c r="U75" s="139"/>
      <c r="V75" s="139"/>
      <c r="W75" s="139"/>
      <c r="X75" s="139"/>
      <c r="Y75" s="139"/>
      <c r="Z75" s="461"/>
    </row>
    <row r="76" spans="1:26" ht="18.75" customHeight="1">
      <c r="A76" s="438">
        <v>4</v>
      </c>
      <c r="B76" s="448" t="s">
        <v>18</v>
      </c>
      <c r="C76" s="449">
        <f>SUM(C73:C75)</f>
        <v>642.22</v>
      </c>
      <c r="E76" s="438">
        <v>4</v>
      </c>
      <c r="F76" s="448" t="s">
        <v>18</v>
      </c>
      <c r="G76" s="449">
        <f>SUM(G73:G75)</f>
        <v>500</v>
      </c>
      <c r="I76" s="438">
        <v>4</v>
      </c>
      <c r="J76" s="448" t="s">
        <v>18</v>
      </c>
      <c r="K76" s="449">
        <f>SUM(K73:K75)</f>
        <v>705.19</v>
      </c>
      <c r="Q76" s="460"/>
      <c r="R76" s="139"/>
      <c r="S76" s="139"/>
      <c r="T76" s="139"/>
      <c r="U76" s="139"/>
      <c r="V76" s="139"/>
      <c r="W76" s="139"/>
      <c r="X76" s="139"/>
      <c r="Y76" s="139"/>
      <c r="Z76" s="461"/>
    </row>
    <row r="77" spans="1:26" ht="18.75" customHeight="1">
      <c r="A77" s="1672" t="s">
        <v>140</v>
      </c>
      <c r="B77" s="1672"/>
      <c r="C77" s="1672"/>
      <c r="E77" s="1672" t="s">
        <v>140</v>
      </c>
      <c r="F77" s="1672"/>
      <c r="G77" s="1672"/>
      <c r="I77" s="1672" t="s">
        <v>140</v>
      </c>
      <c r="J77" s="1672"/>
      <c r="K77" s="1672"/>
      <c r="Q77" s="460"/>
      <c r="R77" s="139"/>
      <c r="S77" s="139"/>
      <c r="T77" s="139"/>
      <c r="U77" s="139"/>
      <c r="V77" s="139"/>
      <c r="W77" s="139"/>
      <c r="X77" s="139"/>
      <c r="Y77" s="139"/>
      <c r="Z77" s="461"/>
    </row>
    <row r="78" spans="1:26" ht="18.75" customHeight="1">
      <c r="A78" s="989">
        <v>6</v>
      </c>
      <c r="B78" s="438" t="s">
        <v>150</v>
      </c>
      <c r="C78" s="450"/>
      <c r="E78" s="989">
        <v>6</v>
      </c>
      <c r="F78" s="438" t="s">
        <v>150</v>
      </c>
      <c r="G78" s="450"/>
      <c r="I78" s="989">
        <v>6</v>
      </c>
      <c r="J78" s="438" t="s">
        <v>150</v>
      </c>
      <c r="K78" s="450"/>
      <c r="Q78" s="460"/>
      <c r="R78" s="139"/>
      <c r="S78" s="139"/>
      <c r="T78" s="139"/>
      <c r="U78" s="139"/>
      <c r="V78" s="139"/>
      <c r="W78" s="139"/>
      <c r="X78" s="139"/>
      <c r="Y78" s="139"/>
      <c r="Z78" s="461"/>
    </row>
    <row r="79" spans="1:26" ht="18.75" customHeight="1">
      <c r="A79" s="989">
        <v>7</v>
      </c>
      <c r="B79" s="512" t="s">
        <v>362</v>
      </c>
      <c r="C79" s="990">
        <v>74.239999999999995</v>
      </c>
      <c r="E79" s="989">
        <v>7</v>
      </c>
      <c r="F79" s="512" t="s">
        <v>362</v>
      </c>
      <c r="G79" s="990">
        <v>67.78</v>
      </c>
      <c r="I79" s="989">
        <v>7</v>
      </c>
      <c r="J79" s="512" t="s">
        <v>362</v>
      </c>
      <c r="K79" s="990">
        <v>63.84</v>
      </c>
      <c r="Q79" s="460"/>
      <c r="R79" s="159">
        <f>C79+G79+O79+K79</f>
        <v>205.85999999999999</v>
      </c>
      <c r="S79" s="139"/>
      <c r="T79" s="139"/>
      <c r="U79" s="139"/>
      <c r="V79" s="139"/>
      <c r="W79" s="139"/>
      <c r="X79" s="139"/>
      <c r="Y79" s="139"/>
      <c r="Z79" s="461"/>
    </row>
    <row r="80" spans="1:26" ht="18.75" customHeight="1">
      <c r="A80" s="989"/>
      <c r="B80" s="431" t="s">
        <v>269</v>
      </c>
      <c r="C80" s="436"/>
      <c r="E80" s="989"/>
      <c r="F80" s="431" t="s">
        <v>269</v>
      </c>
      <c r="G80" s="436"/>
      <c r="I80" s="989"/>
      <c r="J80" s="431" t="s">
        <v>269</v>
      </c>
      <c r="K80" s="436"/>
      <c r="Q80" s="460"/>
      <c r="R80" s="139"/>
      <c r="S80" s="139"/>
      <c r="T80" s="139"/>
      <c r="U80" s="139"/>
      <c r="V80" s="139"/>
      <c r="W80" s="139"/>
      <c r="X80" s="139"/>
      <c r="Y80" s="139"/>
      <c r="Z80" s="461"/>
    </row>
    <row r="81" spans="1:24" ht="18.75" customHeight="1">
      <c r="A81" s="989">
        <v>8</v>
      </c>
      <c r="B81" s="438" t="s">
        <v>152</v>
      </c>
      <c r="C81" s="438"/>
      <c r="E81" s="989">
        <v>8</v>
      </c>
      <c r="F81" s="438" t="s">
        <v>152</v>
      </c>
      <c r="G81" s="438"/>
      <c r="I81" s="989">
        <v>8</v>
      </c>
      <c r="J81" s="438" t="s">
        <v>152</v>
      </c>
      <c r="K81" s="438"/>
      <c r="R81" s="446"/>
      <c r="S81" s="446"/>
      <c r="T81" s="446"/>
      <c r="U81" s="446"/>
      <c r="V81" s="446"/>
      <c r="W81" s="446"/>
      <c r="X81" s="446"/>
    </row>
    <row r="82" spans="1:24" ht="18.75" customHeight="1">
      <c r="A82" s="989">
        <v>9</v>
      </c>
      <c r="B82" s="438" t="s">
        <v>153</v>
      </c>
      <c r="C82" s="438"/>
      <c r="E82" s="989">
        <v>9</v>
      </c>
      <c r="F82" s="438" t="s">
        <v>153</v>
      </c>
      <c r="G82" s="438"/>
      <c r="I82" s="989">
        <v>9</v>
      </c>
      <c r="J82" s="438" t="s">
        <v>153</v>
      </c>
      <c r="K82" s="438"/>
      <c r="Q82" s="517">
        <f>Q3+Q17+Q31+Q45+Q59+Q73</f>
        <v>13744.970000000001</v>
      </c>
      <c r="R82" s="524">
        <f>R9+R23+R37+R51+R65+R79</f>
        <v>1697.1299999999999</v>
      </c>
      <c r="S82" s="466">
        <f>Q82-R82</f>
        <v>12047.840000000002</v>
      </c>
      <c r="W82" s="139"/>
      <c r="X82" s="446"/>
    </row>
    <row r="83" spans="1:24" ht="18.75" customHeight="1">
      <c r="A83" s="989">
        <v>10</v>
      </c>
      <c r="B83" s="454" t="s">
        <v>18</v>
      </c>
      <c r="C83" s="514">
        <f>SUM(C78:C82)</f>
        <v>74.239999999999995</v>
      </c>
      <c r="E83" s="989">
        <v>10</v>
      </c>
      <c r="F83" s="454" t="s">
        <v>18</v>
      </c>
      <c r="G83" s="514">
        <f>SUM(G78:G82)</f>
        <v>67.78</v>
      </c>
      <c r="I83" s="989">
        <v>10</v>
      </c>
      <c r="J83" s="454" t="s">
        <v>18</v>
      </c>
      <c r="K83" s="514">
        <f>SUM(K78:K82)</f>
        <v>63.84</v>
      </c>
      <c r="X83" s="446"/>
    </row>
    <row r="84" spans="1:24" ht="18.75" customHeight="1">
      <c r="A84" s="989">
        <v>11</v>
      </c>
      <c r="B84" s="438" t="s">
        <v>154</v>
      </c>
      <c r="C84" s="992">
        <f>C76-C83</f>
        <v>567.98</v>
      </c>
      <c r="E84" s="989">
        <v>11</v>
      </c>
      <c r="F84" s="438" t="s">
        <v>154</v>
      </c>
      <c r="G84" s="992">
        <f>G76-G83</f>
        <v>432.22</v>
      </c>
      <c r="I84" s="989">
        <v>11</v>
      </c>
      <c r="J84" s="438" t="s">
        <v>154</v>
      </c>
      <c r="K84" s="992">
        <f>K76-K83</f>
        <v>641.35</v>
      </c>
      <c r="S84" s="466"/>
      <c r="T84" s="750"/>
    </row>
    <row r="85" spans="1:24" ht="15">
      <c r="Q85" s="516">
        <f>Q82-11525.95</f>
        <v>2219.0200000000004</v>
      </c>
    </row>
    <row r="86" spans="1:24" ht="15"/>
    <row r="87" spans="1:24" ht="15"/>
    <row r="88" spans="1:24" ht="15"/>
    <row r="89" spans="1:24" ht="15"/>
    <row r="90" spans="1:24" ht="15"/>
    <row r="91" spans="1:24" ht="15"/>
    <row r="92" spans="1:24" ht="15"/>
    <row r="93" spans="1:24" ht="15"/>
    <row r="94" spans="1:24" ht="15"/>
    <row r="95" spans="1:24" ht="15"/>
    <row r="96" spans="1:24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28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5" ht="15"/>
    <row r="176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7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5"/>
    <row r="234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49" ht="15"/>
    <row r="250" ht="15"/>
    <row r="251" ht="15"/>
    <row r="252" ht="15"/>
    <row r="253" ht="15"/>
    <row r="254" ht="15"/>
    <row r="255" ht="15"/>
    <row r="256" ht="15"/>
    <row r="257" ht="15"/>
    <row r="258" ht="15"/>
    <row r="259" ht="15"/>
    <row r="260" ht="15"/>
    <row r="261" ht="15"/>
    <row r="262" ht="15"/>
    <row r="263" ht="15"/>
    <row r="264" ht="15"/>
    <row r="265" ht="15"/>
    <row r="266" ht="15"/>
    <row r="267" ht="15"/>
    <row r="268" ht="15"/>
    <row r="269" ht="15"/>
    <row r="270" ht="15"/>
    <row r="271" ht="15"/>
    <row r="272" ht="15"/>
    <row r="273" ht="15"/>
    <row r="274" ht="15"/>
    <row r="275" ht="15"/>
    <row r="276" ht="15"/>
    <row r="277" ht="15"/>
    <row r="278" ht="15"/>
    <row r="279" ht="15"/>
    <row r="280" ht="15"/>
    <row r="281" ht="15"/>
    <row r="282" ht="15"/>
    <row r="283" ht="15"/>
    <row r="284" ht="15"/>
    <row r="285" ht="15"/>
    <row r="286" ht="15"/>
    <row r="287" ht="15"/>
    <row r="288" ht="15"/>
    <row r="289" ht="15"/>
    <row r="290" ht="15"/>
    <row r="291" ht="15"/>
    <row r="292" ht="15"/>
    <row r="293" ht="15"/>
    <row r="294" ht="15"/>
    <row r="295" ht="15"/>
    <row r="296" ht="15"/>
    <row r="297" ht="15"/>
    <row r="298" ht="15"/>
    <row r="299" ht="15"/>
    <row r="300" ht="15"/>
    <row r="301" ht="15"/>
    <row r="302" ht="15"/>
    <row r="303" ht="15"/>
    <row r="304" ht="15"/>
    <row r="305" ht="15"/>
    <row r="306" ht="15"/>
    <row r="307" ht="15"/>
    <row r="308" ht="15"/>
    <row r="309" ht="15"/>
    <row r="310" ht="15"/>
    <row r="311" ht="15"/>
    <row r="312" ht="15"/>
    <row r="313" ht="15"/>
    <row r="314" ht="15"/>
    <row r="315" ht="15"/>
    <row r="316" ht="15"/>
    <row r="317" ht="15"/>
    <row r="318" ht="15"/>
    <row r="319" ht="15"/>
    <row r="320" ht="15"/>
    <row r="321" ht="15"/>
    <row r="322" ht="15"/>
    <row r="323" ht="15"/>
    <row r="324" ht="15"/>
    <row r="325" ht="15"/>
    <row r="326" ht="15"/>
    <row r="327" ht="15"/>
    <row r="328" ht="15"/>
    <row r="329" ht="15"/>
    <row r="330" ht="15"/>
    <row r="331" ht="15"/>
    <row r="332" ht="15"/>
    <row r="333" ht="15"/>
    <row r="334" ht="15"/>
    <row r="335" ht="15"/>
    <row r="336" ht="15"/>
    <row r="337" ht="15"/>
    <row r="338" ht="15"/>
    <row r="339" ht="15"/>
    <row r="340" ht="15"/>
    <row r="341" ht="15"/>
    <row r="342" ht="15"/>
    <row r="343" ht="15"/>
    <row r="344" ht="15"/>
    <row r="345" ht="15"/>
    <row r="346" ht="15"/>
    <row r="347" ht="15"/>
    <row r="348" ht="15"/>
    <row r="349" ht="15"/>
    <row r="350" ht="15"/>
    <row r="351" ht="15"/>
    <row r="352" ht="15"/>
    <row r="353" ht="15"/>
    <row r="354" ht="15"/>
    <row r="355" ht="15"/>
    <row r="356" ht="15"/>
    <row r="357" ht="15"/>
    <row r="358" ht="15"/>
    <row r="359" ht="15"/>
    <row r="360" ht="15"/>
    <row r="361" ht="15"/>
    <row r="362" ht="15"/>
    <row r="363" ht="15"/>
    <row r="364" ht="15"/>
    <row r="365" ht="15"/>
    <row r="366" ht="15"/>
    <row r="367" ht="15"/>
    <row r="368" ht="15"/>
    <row r="369" ht="15"/>
    <row r="370" ht="15"/>
    <row r="371" ht="15"/>
    <row r="372" ht="15"/>
    <row r="373" ht="15"/>
    <row r="374" ht="15"/>
    <row r="375" ht="15"/>
    <row r="376" ht="15"/>
    <row r="377" ht="15"/>
    <row r="378" ht="15"/>
    <row r="379" ht="15"/>
    <row r="380" ht="15"/>
    <row r="381" ht="15"/>
    <row r="382" ht="15"/>
    <row r="383" ht="15"/>
    <row r="384" ht="15"/>
    <row r="385" ht="15"/>
    <row r="386" ht="15"/>
    <row r="387" ht="15"/>
    <row r="388" ht="15"/>
    <row r="389" ht="15"/>
    <row r="390" ht="15"/>
    <row r="391" ht="15"/>
    <row r="392" ht="15"/>
    <row r="393" ht="15"/>
    <row r="394" ht="15"/>
    <row r="395" ht="15"/>
    <row r="396" ht="15"/>
    <row r="397" ht="15"/>
    <row r="398" ht="15"/>
    <row r="399" ht="15"/>
    <row r="400" ht="15"/>
    <row r="401" ht="15"/>
    <row r="402" ht="15"/>
    <row r="403" ht="15"/>
    <row r="404" ht="15"/>
    <row r="405" ht="15"/>
    <row r="406" ht="15"/>
    <row r="407" ht="15"/>
    <row r="408" ht="15"/>
    <row r="409" ht="15"/>
    <row r="410" ht="15"/>
    <row r="411" ht="15"/>
    <row r="412" ht="15"/>
    <row r="413" ht="15"/>
    <row r="414" ht="15"/>
    <row r="415" ht="15"/>
    <row r="416" ht="15"/>
    <row r="417" ht="15"/>
    <row r="418" ht="15"/>
    <row r="419" ht="15"/>
    <row r="420" ht="15"/>
    <row r="421" ht="15"/>
    <row r="422" ht="15"/>
    <row r="423" ht="15"/>
    <row r="424" ht="15"/>
    <row r="425" ht="15"/>
    <row r="426" ht="15"/>
    <row r="427" ht="15"/>
    <row r="428" ht="15"/>
    <row r="429" ht="15"/>
    <row r="430" ht="15"/>
    <row r="431" ht="15"/>
    <row r="432" ht="15"/>
    <row r="433" ht="15"/>
    <row r="434" ht="15"/>
    <row r="435" ht="15"/>
    <row r="436" ht="15"/>
    <row r="437" ht="15"/>
    <row r="438" ht="15"/>
    <row r="439" ht="15"/>
    <row r="440" ht="15"/>
    <row r="441" ht="15"/>
    <row r="442" ht="15"/>
    <row r="443" ht="15"/>
    <row r="444" ht="15"/>
    <row r="445" ht="15"/>
    <row r="446" ht="15"/>
    <row r="447" ht="15"/>
    <row r="448" ht="15"/>
    <row r="449" ht="15"/>
    <row r="450" ht="15"/>
    <row r="451" ht="15"/>
    <row r="452" ht="15"/>
    <row r="453" ht="15"/>
    <row r="454" ht="15"/>
    <row r="455" ht="15"/>
    <row r="456" ht="15"/>
    <row r="457" ht="15"/>
    <row r="458" ht="15"/>
    <row r="459" ht="15"/>
    <row r="460" ht="15"/>
    <row r="461" ht="15"/>
    <row r="462" ht="15"/>
    <row r="463" ht="15"/>
    <row r="464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  <row r="577" ht="15"/>
    <row r="578" ht="15"/>
    <row r="579" ht="15"/>
    <row r="580" ht="15"/>
    <row r="581" ht="15"/>
    <row r="582" ht="15"/>
    <row r="583" ht="15"/>
    <row r="584" ht="15"/>
    <row r="585" ht="15"/>
    <row r="586" ht="15"/>
    <row r="587" ht="15"/>
    <row r="588" ht="15"/>
    <row r="589" ht="15"/>
    <row r="590" ht="15"/>
    <row r="591" ht="15"/>
    <row r="592" ht="15"/>
    <row r="593" ht="15"/>
    <row r="594" ht="15"/>
    <row r="595" ht="15"/>
    <row r="596" ht="15"/>
    <row r="597" ht="15"/>
    <row r="598" ht="15"/>
    <row r="599" ht="15"/>
    <row r="600" ht="15"/>
    <row r="601" ht="15"/>
    <row r="602" ht="15"/>
    <row r="603" ht="15"/>
    <row r="604" ht="15"/>
    <row r="605" ht="15"/>
    <row r="606" ht="15"/>
    <row r="607" ht="15"/>
    <row r="608" ht="15"/>
    <row r="609" ht="15"/>
    <row r="610" ht="15"/>
    <row r="611" ht="15"/>
    <row r="612" ht="15"/>
    <row r="613" ht="15"/>
    <row r="614" ht="15"/>
    <row r="615" ht="15"/>
    <row r="616" ht="15"/>
    <row r="617" ht="15"/>
    <row r="618" ht="15"/>
    <row r="619" ht="15"/>
    <row r="620" ht="15"/>
    <row r="621" ht="15"/>
    <row r="622" ht="15"/>
    <row r="623" ht="15"/>
    <row r="624" ht="15"/>
    <row r="625" ht="15"/>
    <row r="626" ht="15"/>
    <row r="627" ht="15"/>
    <row r="628" ht="15"/>
    <row r="629" ht="15"/>
    <row r="630" ht="15"/>
    <row r="631" ht="15"/>
    <row r="632" ht="15"/>
    <row r="633" ht="15"/>
    <row r="634" ht="15"/>
    <row r="635" ht="15"/>
    <row r="636" ht="15"/>
    <row r="637" ht="15"/>
    <row r="638" ht="15"/>
    <row r="639" ht="15"/>
    <row r="640" ht="15"/>
    <row r="641" ht="15"/>
    <row r="642" ht="15"/>
    <row r="643" ht="15"/>
    <row r="644" ht="15"/>
    <row r="645" ht="15"/>
    <row r="646" ht="15"/>
    <row r="647" ht="15"/>
    <row r="648" ht="15"/>
    <row r="649" ht="15"/>
    <row r="650" ht="15"/>
    <row r="651" ht="15"/>
    <row r="652" ht="15"/>
    <row r="653" ht="15"/>
    <row r="654" ht="15"/>
    <row r="655" ht="15"/>
    <row r="656" ht="15"/>
    <row r="657" ht="15"/>
    <row r="658" ht="15"/>
    <row r="659" ht="15"/>
    <row r="660" ht="15"/>
    <row r="661" ht="15"/>
    <row r="662" ht="15"/>
    <row r="663" ht="15"/>
    <row r="664" ht="15"/>
    <row r="665" ht="15"/>
    <row r="666" ht="15"/>
    <row r="667" ht="15"/>
    <row r="668" ht="15"/>
    <row r="669" ht="15"/>
    <row r="670" ht="15"/>
    <row r="671" ht="15"/>
    <row r="672" ht="15"/>
    <row r="673" ht="15"/>
    <row r="674" ht="15"/>
    <row r="675" ht="15"/>
    <row r="676" ht="15"/>
    <row r="677" ht="15"/>
    <row r="678" ht="15"/>
    <row r="679" ht="15"/>
    <row r="680" ht="15"/>
    <row r="681" ht="15"/>
    <row r="682" ht="15"/>
    <row r="683" ht="15"/>
    <row r="684" ht="15"/>
    <row r="685" ht="15"/>
    <row r="686" ht="15"/>
    <row r="687" ht="15"/>
    <row r="688" ht="15"/>
    <row r="689" ht="15"/>
    <row r="690" ht="15"/>
    <row r="691" ht="15"/>
    <row r="692" ht="15"/>
    <row r="693" ht="15"/>
    <row r="694" ht="15"/>
    <row r="695" ht="15"/>
    <row r="696" ht="15"/>
    <row r="697" ht="15"/>
    <row r="698" ht="15"/>
    <row r="699" ht="15"/>
    <row r="700" ht="15"/>
    <row r="701" ht="15"/>
    <row r="702" ht="15"/>
    <row r="703" ht="15"/>
    <row r="704" ht="15"/>
    <row r="705" ht="15"/>
    <row r="706" ht="15"/>
    <row r="707" ht="15"/>
    <row r="708" ht="15"/>
    <row r="709" ht="15"/>
    <row r="710" ht="15"/>
    <row r="711" ht="15"/>
    <row r="712" ht="15"/>
    <row r="713" ht="15"/>
    <row r="714" ht="15"/>
    <row r="715" ht="15"/>
    <row r="716" ht="15"/>
    <row r="717" ht="15"/>
    <row r="718" ht="15"/>
    <row r="719" ht="15"/>
    <row r="720" ht="15"/>
    <row r="721" ht="15"/>
    <row r="722" ht="15"/>
    <row r="723" ht="15"/>
    <row r="724" ht="15"/>
    <row r="725" ht="15"/>
    <row r="726" ht="15"/>
    <row r="727" ht="15"/>
    <row r="728" ht="15"/>
    <row r="729" ht="15"/>
    <row r="730" ht="15"/>
    <row r="731" ht="15"/>
    <row r="732" ht="15"/>
    <row r="733" ht="15"/>
    <row r="734" ht="15"/>
    <row r="735" ht="15"/>
    <row r="736" ht="15"/>
    <row r="737" ht="15"/>
    <row r="738" ht="15"/>
    <row r="739" ht="15"/>
    <row r="740" ht="15"/>
    <row r="741" ht="15"/>
    <row r="742" ht="15"/>
    <row r="743" ht="15"/>
    <row r="744" ht="15"/>
    <row r="745" ht="15"/>
    <row r="746" ht="15"/>
    <row r="747" ht="15"/>
    <row r="748" ht="15"/>
    <row r="749" ht="15"/>
    <row r="750" ht="15"/>
    <row r="751" ht="15"/>
    <row r="752" ht="15"/>
    <row r="753" ht="15"/>
    <row r="754" ht="15"/>
    <row r="755" ht="15"/>
    <row r="756" ht="15"/>
    <row r="757" ht="15"/>
    <row r="758" ht="15"/>
    <row r="759" ht="15"/>
    <row r="760" ht="15"/>
    <row r="761" ht="15"/>
    <row r="762" ht="15"/>
    <row r="763" ht="15"/>
    <row r="764" ht="15"/>
    <row r="765" ht="15"/>
    <row r="766" ht="15"/>
    <row r="767" ht="15"/>
    <row r="768" ht="15"/>
    <row r="769" ht="15"/>
    <row r="770" ht="15"/>
    <row r="771" ht="15"/>
    <row r="772" ht="15"/>
    <row r="773" ht="15"/>
    <row r="774" ht="15"/>
    <row r="775" ht="15"/>
    <row r="776" ht="15"/>
    <row r="777" ht="15"/>
    <row r="778" ht="15"/>
    <row r="779" ht="15"/>
    <row r="780" ht="15"/>
    <row r="781" ht="15"/>
    <row r="782" ht="15"/>
    <row r="783" ht="15"/>
    <row r="784" ht="15"/>
    <row r="785" ht="15"/>
    <row r="786" ht="15"/>
    <row r="787" ht="15"/>
    <row r="788" ht="15"/>
    <row r="789" ht="15"/>
    <row r="790" ht="15"/>
    <row r="791" ht="15"/>
    <row r="792" ht="15"/>
    <row r="793" ht="15"/>
    <row r="794" ht="15"/>
    <row r="795" ht="15"/>
    <row r="796" ht="15"/>
    <row r="797" ht="15"/>
    <row r="798" ht="15"/>
    <row r="799" ht="15"/>
    <row r="800" ht="15"/>
    <row r="801" ht="15"/>
    <row r="802" ht="15"/>
    <row r="803" ht="15"/>
    <row r="804" ht="15"/>
    <row r="805" ht="15"/>
    <row r="806" ht="15"/>
    <row r="807" ht="15"/>
    <row r="808" ht="15"/>
    <row r="809" ht="15"/>
    <row r="810" ht="15"/>
    <row r="811" ht="15"/>
    <row r="812" ht="15"/>
    <row r="813" ht="15"/>
    <row r="814" ht="15"/>
    <row r="815" ht="15"/>
    <row r="816" ht="15"/>
    <row r="817" ht="15"/>
    <row r="818" ht="15"/>
    <row r="819" ht="15"/>
    <row r="820" ht="15"/>
    <row r="821" ht="15"/>
    <row r="822" ht="15"/>
    <row r="823" ht="15"/>
    <row r="824" ht="15"/>
    <row r="825" ht="15"/>
    <row r="826" ht="15"/>
    <row r="827" ht="15"/>
    <row r="828" ht="15"/>
    <row r="829" ht="15"/>
    <row r="830" ht="15"/>
    <row r="831" ht="15"/>
    <row r="832" ht="15"/>
    <row r="833" ht="15"/>
    <row r="834" ht="15"/>
    <row r="835" ht="15"/>
    <row r="836" ht="15"/>
    <row r="837" ht="15"/>
    <row r="838" ht="15"/>
    <row r="839" ht="15"/>
    <row r="840" ht="15"/>
    <row r="841" ht="15"/>
    <row r="842" ht="15"/>
    <row r="843" ht="15"/>
    <row r="844" ht="15"/>
    <row r="845" ht="15"/>
    <row r="846" ht="15"/>
    <row r="847" ht="15"/>
    <row r="848" ht="15"/>
    <row r="849" ht="15"/>
    <row r="850" ht="15"/>
    <row r="851" ht="15"/>
    <row r="852" ht="15"/>
    <row r="853" ht="15"/>
    <row r="854" ht="15"/>
    <row r="855" ht="15"/>
    <row r="856" ht="15"/>
    <row r="857" ht="15"/>
    <row r="858" ht="15"/>
    <row r="859" ht="15"/>
    <row r="860" ht="15"/>
    <row r="861" ht="15"/>
    <row r="862" ht="15"/>
    <row r="863" ht="15"/>
    <row r="864" ht="15"/>
    <row r="865" ht="15"/>
    <row r="866" ht="15"/>
    <row r="867" ht="15"/>
    <row r="868" ht="15"/>
    <row r="869" ht="15"/>
    <row r="870" ht="15"/>
    <row r="871" ht="15"/>
    <row r="872" ht="15"/>
    <row r="873" ht="15"/>
    <row r="874" ht="15"/>
    <row r="875" ht="15"/>
    <row r="876" ht="15"/>
    <row r="877" ht="15"/>
    <row r="878" ht="15"/>
    <row r="879" ht="15"/>
    <row r="880" ht="15"/>
    <row r="881" ht="15"/>
    <row r="882" ht="15"/>
    <row r="883" ht="15"/>
    <row r="884" ht="15"/>
    <row r="885" ht="15"/>
    <row r="886" ht="15"/>
    <row r="887" ht="15"/>
    <row r="888" ht="15"/>
    <row r="889" ht="15"/>
    <row r="890" ht="15"/>
    <row r="891" ht="15"/>
    <row r="892" ht="15"/>
    <row r="893" ht="15"/>
    <row r="894" ht="15"/>
    <row r="895" ht="15"/>
    <row r="896" ht="15"/>
    <row r="897" ht="15"/>
    <row r="898" ht="15"/>
    <row r="899" ht="15"/>
    <row r="900" ht="15"/>
    <row r="901" ht="15"/>
    <row r="902" ht="15"/>
    <row r="903" ht="15"/>
    <row r="904" ht="15"/>
    <row r="905" ht="15"/>
    <row r="906" ht="15"/>
    <row r="907" ht="15"/>
    <row r="908" ht="15"/>
    <row r="909" ht="15"/>
    <row r="910" ht="15"/>
    <row r="911" ht="15"/>
    <row r="912" ht="15"/>
    <row r="913" ht="15"/>
    <row r="914" ht="15"/>
    <row r="915" ht="15"/>
    <row r="916" ht="15"/>
    <row r="917" ht="15"/>
    <row r="918" ht="15"/>
    <row r="919" ht="15"/>
    <row r="920" ht="15"/>
    <row r="921" ht="15"/>
    <row r="922" ht="15"/>
    <row r="923" ht="15"/>
    <row r="924" ht="15"/>
    <row r="925" ht="15"/>
    <row r="926" ht="15"/>
    <row r="927" ht="15"/>
    <row r="928" ht="15"/>
    <row r="929" ht="15"/>
    <row r="930" ht="15"/>
    <row r="931" ht="15"/>
    <row r="932" ht="15"/>
    <row r="933" ht="15"/>
    <row r="934" ht="15"/>
    <row r="935" ht="15"/>
    <row r="936" ht="15"/>
    <row r="937" ht="15"/>
    <row r="938" ht="15"/>
    <row r="939" ht="15"/>
    <row r="940" ht="15"/>
    <row r="941" ht="15"/>
    <row r="942" ht="15"/>
    <row r="943" ht="15"/>
    <row r="944" ht="15"/>
    <row r="945" ht="15"/>
    <row r="946" ht="15"/>
    <row r="947" ht="15"/>
    <row r="948" ht="15"/>
    <row r="949" ht="15"/>
    <row r="950" ht="15"/>
    <row r="951" ht="15"/>
    <row r="952" ht="15"/>
    <row r="953" ht="15"/>
    <row r="954" ht="15"/>
    <row r="955" ht="15"/>
    <row r="956" ht="15"/>
    <row r="957" ht="15"/>
    <row r="958" ht="15"/>
    <row r="959" ht="15"/>
    <row r="960" ht="15"/>
    <row r="961" ht="15"/>
    <row r="962" ht="15"/>
    <row r="963" ht="15"/>
    <row r="964" ht="15"/>
    <row r="965" ht="15"/>
    <row r="966" ht="15"/>
    <row r="967" ht="15"/>
    <row r="968" ht="15"/>
    <row r="969" ht="15"/>
    <row r="970" ht="15"/>
    <row r="971" ht="15"/>
    <row r="972" ht="15"/>
    <row r="973" ht="15"/>
    <row r="974" ht="15"/>
    <row r="975" ht="15"/>
    <row r="976" ht="15"/>
    <row r="977" ht="15"/>
    <row r="978" ht="15"/>
    <row r="979" ht="15"/>
    <row r="980" ht="15"/>
    <row r="981" ht="15"/>
    <row r="982" ht="15"/>
    <row r="983" ht="15"/>
    <row r="984" ht="15"/>
    <row r="985" ht="15"/>
    <row r="986" ht="15"/>
    <row r="987" ht="15"/>
    <row r="988" ht="15"/>
    <row r="989" ht="15"/>
    <row r="990" ht="15"/>
    <row r="991" ht="15"/>
    <row r="992" ht="15"/>
    <row r="993" ht="15"/>
    <row r="994" ht="15"/>
    <row r="995" ht="15"/>
    <row r="996" ht="15"/>
    <row r="997" ht="15"/>
    <row r="998" ht="15"/>
    <row r="999" ht="15"/>
    <row r="1000" ht="15"/>
    <row r="1001" ht="15"/>
    <row r="1002" ht="15"/>
    <row r="1003" ht="15"/>
    <row r="1004" ht="15"/>
    <row r="1005" ht="15"/>
    <row r="1006" ht="15"/>
    <row r="1007" ht="15"/>
    <row r="1008" ht="15"/>
    <row r="1009" ht="15"/>
    <row r="1010" ht="15"/>
    <row r="1011" ht="15"/>
    <row r="1012" ht="15"/>
    <row r="1013" ht="15"/>
    <row r="1014" ht="15"/>
    <row r="1015" ht="15"/>
    <row r="1016" ht="15"/>
    <row r="1017" ht="15"/>
    <row r="1018" ht="15"/>
    <row r="1019" ht="15"/>
    <row r="1020" ht="15"/>
    <row r="1021" ht="15"/>
    <row r="1022" ht="15"/>
    <row r="1023" ht="15"/>
    <row r="1024" ht="15"/>
    <row r="1025" ht="15"/>
    <row r="1026" ht="15"/>
    <row r="1027" ht="15"/>
    <row r="1028" ht="15"/>
    <row r="1029" ht="15"/>
    <row r="1030" ht="15"/>
    <row r="1031" ht="15"/>
    <row r="1032" ht="15"/>
    <row r="1033" ht="15"/>
    <row r="1034" ht="15"/>
    <row r="1035" ht="15"/>
    <row r="1036" ht="15"/>
    <row r="1037" ht="15"/>
    <row r="1038" ht="15"/>
    <row r="1039" ht="15"/>
    <row r="1040" ht="15"/>
    <row r="1041" ht="15"/>
    <row r="1042" ht="15"/>
    <row r="1043" ht="15"/>
    <row r="1044" ht="15"/>
    <row r="1045" ht="15"/>
    <row r="1046" ht="15"/>
    <row r="1047" ht="15"/>
    <row r="1048" ht="15"/>
    <row r="1049" ht="15"/>
    <row r="1050" ht="15"/>
    <row r="1051" ht="15"/>
    <row r="1052" ht="15"/>
    <row r="1053" ht="15"/>
    <row r="1054" ht="15"/>
    <row r="1055" ht="15"/>
    <row r="1056" ht="15"/>
    <row r="1057" ht="15"/>
    <row r="1058" ht="15"/>
    <row r="1059" ht="15"/>
    <row r="1060" ht="15"/>
    <row r="1061" ht="15"/>
    <row r="1062" ht="15"/>
    <row r="1063" ht="15"/>
    <row r="1064" ht="15"/>
    <row r="1065" ht="15"/>
    <row r="1066" ht="15"/>
    <row r="1067" ht="15"/>
    <row r="1068" ht="15"/>
    <row r="1069" ht="15"/>
    <row r="1070" ht="15"/>
    <row r="1071" ht="15"/>
    <row r="1072" ht="15"/>
    <row r="1073" ht="15"/>
    <row r="1074" ht="15"/>
    <row r="1075" ht="15"/>
    <row r="1076" ht="15"/>
    <row r="1077" ht="15"/>
    <row r="1078" ht="15"/>
    <row r="1079" ht="15"/>
    <row r="1080" ht="15"/>
    <row r="1081" ht="15"/>
    <row r="1082" ht="15"/>
    <row r="1083" ht="15"/>
    <row r="1084" ht="15"/>
    <row r="1085" ht="15"/>
    <row r="1086" ht="15"/>
    <row r="1087" ht="15"/>
    <row r="1088" ht="15"/>
    <row r="1089" ht="15"/>
    <row r="1090" ht="15"/>
    <row r="1091" ht="15"/>
    <row r="1092" ht="15"/>
    <row r="1093" ht="15"/>
    <row r="1094" ht="15"/>
    <row r="1095" ht="15"/>
    <row r="1096" ht="15"/>
    <row r="1097" ht="15"/>
    <row r="1098" ht="15"/>
    <row r="1099" ht="15"/>
    <row r="1100" ht="15"/>
    <row r="1101" ht="15"/>
    <row r="1102" ht="15"/>
    <row r="1103" ht="15"/>
    <row r="1104" ht="15"/>
    <row r="1105" ht="15"/>
    <row r="1106" ht="15"/>
    <row r="1107" ht="15"/>
    <row r="1108" ht="15"/>
    <row r="1109" ht="15"/>
    <row r="1110" ht="15"/>
    <row r="1111" ht="15"/>
    <row r="1112" ht="15"/>
    <row r="1113" ht="15"/>
    <row r="1114" ht="15"/>
    <row r="1115" ht="15"/>
    <row r="1116" ht="15"/>
    <row r="1117" ht="15"/>
    <row r="1118" ht="15"/>
    <row r="1119" ht="15"/>
    <row r="1120" ht="15"/>
    <row r="1121" ht="15"/>
    <row r="1122" ht="15"/>
    <row r="1123" ht="15"/>
    <row r="1124" ht="15"/>
    <row r="1125" ht="15"/>
    <row r="1126" ht="15"/>
    <row r="1127" ht="15"/>
    <row r="1128" ht="15"/>
    <row r="1129" ht="15"/>
    <row r="1130" ht="15"/>
    <row r="1131" ht="15"/>
    <row r="1132" ht="15"/>
    <row r="1133" ht="15"/>
    <row r="1134" ht="15"/>
    <row r="1135" ht="15"/>
    <row r="1136" ht="15"/>
    <row r="1137" ht="15"/>
    <row r="1138" ht="15"/>
    <row r="1139" ht="15"/>
    <row r="1140" ht="15"/>
    <row r="1141" ht="15"/>
    <row r="1142" ht="15"/>
    <row r="1143" ht="15"/>
    <row r="1144" ht="15"/>
    <row r="1145" ht="15"/>
    <row r="1146" ht="15"/>
    <row r="1147" ht="15"/>
    <row r="1148" ht="15"/>
    <row r="1149" ht="15"/>
    <row r="1150" ht="15"/>
    <row r="1151" ht="15"/>
    <row r="1152" ht="15"/>
    <row r="1153" ht="15"/>
    <row r="1154" ht="15"/>
    <row r="1155" ht="15"/>
    <row r="1156" ht="15"/>
    <row r="1157" ht="15"/>
    <row r="1158" ht="15"/>
    <row r="1159" ht="15"/>
    <row r="1160" ht="15"/>
    <row r="1161" ht="15"/>
    <row r="1162" ht="15"/>
    <row r="1163" ht="15"/>
    <row r="1164" ht="15"/>
    <row r="1165" ht="15"/>
    <row r="1166" ht="15"/>
    <row r="1167" ht="15"/>
    <row r="1168" ht="15"/>
    <row r="1169" ht="15"/>
    <row r="1170" ht="15"/>
    <row r="1171" ht="15"/>
    <row r="1172" ht="15"/>
    <row r="1173" ht="15"/>
    <row r="1174" ht="15"/>
    <row r="1175" ht="15"/>
    <row r="1176" ht="15"/>
    <row r="1177" ht="15"/>
    <row r="1178" ht="15"/>
    <row r="1179" ht="15"/>
    <row r="1180" ht="15"/>
    <row r="1181" ht="15"/>
    <row r="1182" ht="15"/>
    <row r="1183" ht="15"/>
    <row r="1184" ht="15"/>
    <row r="1185" ht="15"/>
    <row r="1186" ht="15"/>
    <row r="1187" ht="15"/>
    <row r="1188" ht="15"/>
    <row r="1189" ht="15"/>
    <row r="1190" ht="15"/>
    <row r="1191" ht="15"/>
    <row r="1192" ht="15"/>
    <row r="1193" ht="15"/>
    <row r="1194" ht="15"/>
    <row r="1195" ht="15"/>
    <row r="1196" ht="15"/>
    <row r="1197" ht="15"/>
    <row r="1198" ht="15"/>
    <row r="1199" ht="15"/>
    <row r="1200" ht="15"/>
    <row r="1201" ht="15"/>
    <row r="1202" ht="15"/>
    <row r="1203" ht="15"/>
    <row r="1204" ht="15"/>
    <row r="1205" ht="15"/>
    <row r="1206" ht="15"/>
    <row r="1207" ht="15"/>
    <row r="1208" ht="15"/>
    <row r="1209" ht="15"/>
    <row r="1210" ht="15"/>
    <row r="1211" ht="15"/>
    <row r="1212" ht="15"/>
    <row r="1213" ht="15"/>
    <row r="1214" ht="15"/>
    <row r="1215" ht="15"/>
    <row r="1216" ht="15"/>
    <row r="1217" ht="15"/>
    <row r="1218" ht="15"/>
    <row r="1219" ht="15"/>
    <row r="1220" ht="15"/>
    <row r="1221" ht="15"/>
    <row r="1222" ht="15"/>
    <row r="1223" ht="15"/>
    <row r="1224" ht="15"/>
    <row r="1225" ht="15"/>
    <row r="1226" ht="15"/>
    <row r="1227" ht="15"/>
    <row r="1228" ht="15"/>
    <row r="1229" ht="15"/>
    <row r="1230" ht="15"/>
    <row r="1231" ht="15"/>
    <row r="1232" ht="15"/>
    <row r="1233" ht="15"/>
    <row r="1234" ht="15"/>
    <row r="1235" ht="15"/>
    <row r="1236" ht="15"/>
    <row r="1237" ht="15"/>
    <row r="1238" ht="15"/>
    <row r="1239" ht="15"/>
    <row r="1240" ht="15"/>
    <row r="1241" ht="15"/>
    <row r="1242" ht="15"/>
    <row r="1243" ht="15"/>
    <row r="1244" ht="15"/>
    <row r="1245" ht="15"/>
    <row r="1246" ht="15"/>
    <row r="1247" ht="15"/>
    <row r="1248" ht="15"/>
    <row r="1249" ht="15"/>
    <row r="1250" ht="15"/>
    <row r="1251" ht="15"/>
    <row r="1252" ht="15"/>
    <row r="1253" ht="15"/>
    <row r="1254" ht="15"/>
    <row r="1255" ht="15"/>
    <row r="1256" ht="15"/>
    <row r="1257" ht="15"/>
    <row r="1258" ht="15"/>
    <row r="1259" ht="15"/>
    <row r="1260" ht="15"/>
    <row r="1261" ht="15"/>
    <row r="1262" ht="15"/>
    <row r="1263" ht="15"/>
    <row r="1264" ht="15"/>
    <row r="1265" ht="15"/>
    <row r="1266" ht="15"/>
    <row r="1267" ht="15"/>
    <row r="1268" ht="15"/>
    <row r="1269" ht="15"/>
    <row r="1270" ht="15"/>
    <row r="1271" ht="15"/>
    <row r="1272" ht="15"/>
    <row r="1273" ht="15"/>
    <row r="1274" ht="15"/>
    <row r="1275" ht="15"/>
    <row r="1276" ht="15"/>
    <row r="1277" ht="15"/>
    <row r="1278" ht="15"/>
    <row r="1279" ht="15"/>
    <row r="1280" ht="15"/>
    <row r="1281" ht="15"/>
    <row r="1282" ht="15"/>
    <row r="1283" ht="15"/>
    <row r="1284" ht="15"/>
    <row r="1285" ht="15"/>
    <row r="1286" ht="15"/>
    <row r="1287" ht="15"/>
    <row r="1288" ht="15"/>
    <row r="1289" ht="15"/>
    <row r="1290" ht="15"/>
    <row r="1291" ht="15"/>
    <row r="1292" ht="15"/>
    <row r="1293" ht="15"/>
    <row r="1294" ht="15"/>
    <row r="1295" ht="15"/>
    <row r="1296" ht="15"/>
    <row r="1297" ht="15"/>
    <row r="1298" ht="15"/>
    <row r="1299" ht="15"/>
    <row r="1300" ht="15"/>
    <row r="1301" ht="15"/>
    <row r="1302" ht="15"/>
    <row r="1303" ht="15"/>
    <row r="1304" ht="15"/>
    <row r="1305" ht="15"/>
    <row r="1306" ht="15"/>
    <row r="1307" ht="15"/>
    <row r="1308" ht="15"/>
    <row r="1309" ht="15"/>
    <row r="1310" ht="15"/>
    <row r="1311" ht="15"/>
    <row r="1312" ht="15"/>
    <row r="1313" ht="15"/>
    <row r="1314" ht="15"/>
    <row r="1315" ht="15"/>
    <row r="1316" ht="15"/>
    <row r="1317" ht="15"/>
    <row r="1318" ht="15"/>
    <row r="1319" ht="15"/>
    <row r="1320" ht="15"/>
    <row r="1321" ht="15"/>
    <row r="1322" ht="15"/>
    <row r="1323" ht="15"/>
    <row r="1324" ht="15"/>
    <row r="1325" ht="15"/>
    <row r="1326" ht="15"/>
    <row r="1327" ht="15"/>
    <row r="1328" ht="15"/>
    <row r="1329" ht="15"/>
    <row r="1330" ht="15"/>
    <row r="1331" ht="15"/>
    <row r="1332" ht="15"/>
    <row r="1333" ht="15"/>
    <row r="1334" ht="15"/>
    <row r="1335" ht="15"/>
    <row r="1336" ht="15"/>
    <row r="1337" ht="15"/>
    <row r="1338" ht="15"/>
    <row r="1339" ht="15"/>
    <row r="1340" ht="15"/>
    <row r="1341" ht="15"/>
    <row r="1342" ht="15"/>
    <row r="1343" ht="15"/>
    <row r="1344" ht="15"/>
    <row r="1345" ht="15"/>
    <row r="1346" ht="15"/>
    <row r="1347" ht="15"/>
    <row r="1348" ht="15"/>
    <row r="1349" ht="15"/>
    <row r="1350" ht="15"/>
    <row r="1351" ht="15"/>
    <row r="1352" ht="15"/>
    <row r="1353" ht="15"/>
    <row r="1354" ht="15"/>
    <row r="1355" ht="15"/>
    <row r="1356" ht="15"/>
    <row r="1357" ht="15"/>
    <row r="1358" ht="15"/>
    <row r="1359" ht="15"/>
    <row r="1360" ht="15"/>
    <row r="1361" ht="15"/>
    <row r="1362" ht="15"/>
    <row r="1363" ht="15"/>
    <row r="1364" ht="15"/>
    <row r="1365" ht="15"/>
    <row r="1366" ht="15"/>
    <row r="1367" ht="15"/>
    <row r="1368" ht="15"/>
    <row r="1369" ht="15"/>
    <row r="1370" ht="15"/>
    <row r="1371" ht="15"/>
    <row r="1372" ht="15"/>
    <row r="1373" ht="15"/>
    <row r="1374" ht="15"/>
    <row r="1375" ht="15"/>
    <row r="1376" ht="15"/>
    <row r="1377" ht="15"/>
    <row r="1378" ht="15"/>
    <row r="1379" ht="15"/>
    <row r="1380" ht="15"/>
    <row r="1381" ht="15"/>
    <row r="1382" ht="15"/>
    <row r="1383" ht="15"/>
    <row r="1384" ht="15"/>
    <row r="1385" ht="15"/>
    <row r="1386" ht="15"/>
    <row r="1387" ht="15"/>
    <row r="1388" ht="15"/>
    <row r="1389" ht="15"/>
    <row r="1390" ht="15"/>
    <row r="1391" ht="15"/>
    <row r="1392" ht="15"/>
    <row r="1393" ht="15"/>
    <row r="1394" ht="15"/>
    <row r="1395" ht="15"/>
    <row r="1396" ht="15"/>
    <row r="1397" ht="15"/>
    <row r="1398" ht="15"/>
    <row r="1399" ht="15"/>
    <row r="1400" ht="15"/>
    <row r="1401" ht="15"/>
    <row r="1402" ht="15"/>
    <row r="1403" ht="15"/>
    <row r="1404" ht="15"/>
    <row r="1405" ht="15"/>
    <row r="1406" ht="15"/>
    <row r="1407" ht="15"/>
    <row r="1408" ht="15"/>
    <row r="1409" ht="15"/>
    <row r="1410" ht="15"/>
    <row r="1411" ht="15"/>
    <row r="1412" ht="15"/>
    <row r="1413" ht="15"/>
    <row r="1414" ht="15"/>
    <row r="1415" ht="15"/>
    <row r="1416" ht="15"/>
    <row r="1417" ht="15"/>
    <row r="1418" ht="15"/>
    <row r="1419" ht="15"/>
    <row r="1420" ht="15"/>
    <row r="1421" ht="15"/>
    <row r="1422" ht="15"/>
    <row r="1423" ht="15"/>
    <row r="1424" ht="15"/>
    <row r="1425" ht="15"/>
    <row r="1426" ht="15"/>
    <row r="1427" ht="15"/>
    <row r="1428" ht="15"/>
    <row r="1429" ht="15"/>
  </sheetData>
  <mergeCells count="61">
    <mergeCell ref="E72:G72"/>
    <mergeCell ref="E77:G77"/>
    <mergeCell ref="A72:C72"/>
    <mergeCell ref="A77:C77"/>
    <mergeCell ref="I30:K30"/>
    <mergeCell ref="H30:H42"/>
    <mergeCell ref="A57:C57"/>
    <mergeCell ref="E57:G57"/>
    <mergeCell ref="I63:K63"/>
    <mergeCell ref="I72:K72"/>
    <mergeCell ref="I77:K77"/>
    <mergeCell ref="M30:O30"/>
    <mergeCell ref="L30:L42"/>
    <mergeCell ref="M44:O44"/>
    <mergeCell ref="I44:K44"/>
    <mergeCell ref="A49:C49"/>
    <mergeCell ref="A44:C44"/>
    <mergeCell ref="D30:D42"/>
    <mergeCell ref="A30:C30"/>
    <mergeCell ref="E44:G44"/>
    <mergeCell ref="E49:G49"/>
    <mergeCell ref="M7:O7"/>
    <mergeCell ref="A2:C2"/>
    <mergeCell ref="D2:D14"/>
    <mergeCell ref="E2:G2"/>
    <mergeCell ref="I2:K2"/>
    <mergeCell ref="L2:L14"/>
    <mergeCell ref="N2:O2"/>
    <mergeCell ref="I7:K7"/>
    <mergeCell ref="A7:C7"/>
    <mergeCell ref="E7:G7"/>
    <mergeCell ref="A29:O29"/>
    <mergeCell ref="A35:C35"/>
    <mergeCell ref="E35:G35"/>
    <mergeCell ref="A16:C16"/>
    <mergeCell ref="E16:G16"/>
    <mergeCell ref="H16:H28"/>
    <mergeCell ref="M16:O16"/>
    <mergeCell ref="L16:L28"/>
    <mergeCell ref="I21:K21"/>
    <mergeCell ref="E21:G21"/>
    <mergeCell ref="A21:C21"/>
    <mergeCell ref="I16:K16"/>
    <mergeCell ref="M21:O21"/>
    <mergeCell ref="D16:D28"/>
    <mergeCell ref="M35:O35"/>
    <mergeCell ref="E30:G30"/>
    <mergeCell ref="V34:W34"/>
    <mergeCell ref="V36:W36"/>
    <mergeCell ref="V40:W40"/>
    <mergeCell ref="I35:K35"/>
    <mergeCell ref="I58:K58"/>
    <mergeCell ref="M57:O57"/>
    <mergeCell ref="M49:O49"/>
    <mergeCell ref="I49:K49"/>
    <mergeCell ref="M58:O58"/>
    <mergeCell ref="M63:O63"/>
    <mergeCell ref="A58:C58"/>
    <mergeCell ref="A63:C63"/>
    <mergeCell ref="E58:G58"/>
    <mergeCell ref="E63:G63"/>
  </mergeCells>
  <phoneticPr fontId="25" type="noConversion"/>
  <printOptions horizontalCentered="1"/>
  <pageMargins left="0.38" right="0.41" top="0.19685039370078741" bottom="0.19685039370078741" header="0.19685039370078741" footer="0.19685039370078741"/>
  <pageSetup paperSize="9" orientation="portrait" r:id="rId1"/>
  <headerFooter scaleWithDoc="0" alignWithMargins="0">
    <oddHeader xml:space="preserve">&amp;L                            </oddHeader>
    <oddFooter>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2:I34"/>
  <sheetViews>
    <sheetView topLeftCell="A7" workbookViewId="0">
      <selection activeCell="B25" sqref="B25"/>
    </sheetView>
  </sheetViews>
  <sheetFormatPr defaultColWidth="9.140625" defaultRowHeight="15.75"/>
  <cols>
    <col min="1" max="1" width="5.85546875" style="4" customWidth="1"/>
    <col min="2" max="2" width="35.140625" style="4" customWidth="1"/>
    <col min="3" max="3" width="9.7109375" style="26" customWidth="1"/>
    <col min="4" max="4" width="22.28515625" style="153" customWidth="1"/>
    <col min="5" max="5" width="28.7109375" style="246" customWidth="1"/>
    <col min="6" max="6" width="11.7109375" style="4" bestFit="1" customWidth="1"/>
    <col min="7" max="7" width="29.140625" style="4" bestFit="1" customWidth="1"/>
    <col min="8" max="8" width="21.28515625" style="4" bestFit="1" customWidth="1"/>
    <col min="9" max="9" width="15.5703125" style="4" bestFit="1" customWidth="1"/>
    <col min="10" max="10" width="11.85546875" style="4" customWidth="1"/>
    <col min="11" max="16384" width="9.140625" style="4"/>
  </cols>
  <sheetData>
    <row r="2" spans="1:9">
      <c r="A2" s="1443" t="s">
        <v>56</v>
      </c>
      <c r="B2" s="1443"/>
      <c r="C2" s="1443"/>
      <c r="D2" s="1443"/>
      <c r="E2" s="1443"/>
    </row>
    <row r="3" spans="1:9">
      <c r="A3" s="1443" t="s">
        <v>1</v>
      </c>
      <c r="B3" s="1443"/>
      <c r="C3" s="1443"/>
      <c r="D3" s="1443"/>
      <c r="E3" s="1443"/>
    </row>
    <row r="4" spans="1:9">
      <c r="A4" s="1586" t="s">
        <v>295</v>
      </c>
      <c r="B4" s="1443"/>
      <c r="C4" s="1443"/>
      <c r="D4" s="1443"/>
      <c r="E4" s="1443"/>
    </row>
    <row r="5" spans="1:9" ht="13.5" customHeight="1">
      <c r="D5" s="235"/>
      <c r="E5" s="242"/>
    </row>
    <row r="6" spans="1:9" ht="18" customHeight="1">
      <c r="A6" s="1587" t="s">
        <v>0</v>
      </c>
      <c r="B6" s="1587"/>
      <c r="C6" s="1587"/>
      <c r="D6" s="1587"/>
      <c r="E6" s="242"/>
    </row>
    <row r="7" spans="1:9" ht="15" customHeight="1">
      <c r="A7" s="1588" t="s">
        <v>643</v>
      </c>
      <c r="B7" s="1588"/>
      <c r="C7" s="1588"/>
      <c r="D7" s="1588"/>
      <c r="E7" s="242"/>
    </row>
    <row r="8" spans="1:9" ht="15" customHeight="1">
      <c r="A8" s="406"/>
      <c r="B8" s="406"/>
      <c r="C8" s="406"/>
      <c r="D8" s="235"/>
      <c r="E8" s="242"/>
    </row>
    <row r="9" spans="1:9" s="97" customFormat="1" ht="20.25" customHeight="1">
      <c r="A9" s="1592" t="s">
        <v>710</v>
      </c>
      <c r="B9" s="1592"/>
      <c r="C9" s="1592"/>
      <c r="D9" s="1592"/>
      <c r="E9" s="1592"/>
    </row>
    <row r="10" spans="1:9" ht="15.75" customHeight="1">
      <c r="A10" s="1593" t="s">
        <v>685</v>
      </c>
      <c r="B10" s="1594"/>
      <c r="C10" s="1594"/>
      <c r="D10" s="1594"/>
      <c r="E10" s="1594"/>
    </row>
    <row r="11" spans="1:9" ht="15.75" customHeight="1">
      <c r="A11" s="404"/>
      <c r="B11" s="404"/>
      <c r="D11" s="235"/>
      <c r="E11" s="242"/>
      <c r="F11" s="4" t="e">
        <f>#REF!</f>
        <v>#REF!</v>
      </c>
    </row>
    <row r="12" spans="1:9" s="207" customFormat="1" ht="53.25" customHeight="1">
      <c r="A12" s="405" t="s">
        <v>6</v>
      </c>
      <c r="B12" s="405" t="s">
        <v>176</v>
      </c>
      <c r="C12" s="206" t="s">
        <v>11</v>
      </c>
      <c r="D12" s="236" t="s">
        <v>180</v>
      </c>
      <c r="E12" s="243" t="s">
        <v>70</v>
      </c>
    </row>
    <row r="13" spans="1:9" s="5" customFormat="1" ht="18.75" customHeight="1">
      <c r="A13" s="1683" t="s">
        <v>189</v>
      </c>
      <c r="B13" s="1684"/>
      <c r="C13" s="232"/>
      <c r="D13" s="238"/>
      <c r="E13" s="244"/>
    </row>
    <row r="14" spans="1:9" s="5" customFormat="1" ht="23.25" customHeight="1">
      <c r="A14" s="208">
        <v>1</v>
      </c>
      <c r="B14" s="225" t="s">
        <v>190</v>
      </c>
      <c r="C14" s="231" t="s">
        <v>116</v>
      </c>
      <c r="D14" s="237">
        <f>'tiền TB '!F21</f>
        <v>5900000</v>
      </c>
      <c r="E14" s="245"/>
      <c r="G14" s="4"/>
      <c r="H14" s="376">
        <v>4500000</v>
      </c>
    </row>
    <row r="15" spans="1:9" s="5" customFormat="1" ht="23.25" customHeight="1">
      <c r="A15" s="208">
        <v>2</v>
      </c>
      <c r="B15" s="225" t="s">
        <v>195</v>
      </c>
      <c r="C15" s="231" t="s">
        <v>116</v>
      </c>
      <c r="D15" s="237">
        <v>5000000</v>
      </c>
      <c r="E15" s="245"/>
      <c r="G15" s="4"/>
      <c r="H15" s="376">
        <v>5000000</v>
      </c>
      <c r="I15" s="5">
        <v>870</v>
      </c>
    </row>
    <row r="16" spans="1:9" s="5" customFormat="1" ht="23.25" customHeight="1">
      <c r="A16" s="208">
        <v>3</v>
      </c>
      <c r="B16" s="225" t="s">
        <v>197</v>
      </c>
      <c r="C16" s="231" t="s">
        <v>116</v>
      </c>
      <c r="D16" s="939">
        <v>210000</v>
      </c>
      <c r="E16" s="245"/>
      <c r="G16" s="374" t="e">
        <f>D20-#REF!</f>
        <v>#REF!</v>
      </c>
      <c r="H16" s="376">
        <v>4356250</v>
      </c>
      <c r="I16" s="5">
        <v>600</v>
      </c>
    </row>
    <row r="17" spans="1:9" s="5" customFormat="1" ht="23.25" customHeight="1">
      <c r="A17" s="208">
        <v>4</v>
      </c>
      <c r="B17" s="225" t="s">
        <v>193</v>
      </c>
      <c r="C17" s="231" t="s">
        <v>116</v>
      </c>
      <c r="D17" s="237">
        <f>'TT CVK'!E17</f>
        <v>8145000.0000000009</v>
      </c>
      <c r="E17" s="245"/>
      <c r="G17" s="4"/>
      <c r="H17" s="376">
        <v>1573120</v>
      </c>
      <c r="I17" s="5">
        <v>4560</v>
      </c>
    </row>
    <row r="18" spans="1:9" s="5" customFormat="1" ht="23.25" hidden="1" customHeight="1">
      <c r="A18" s="208">
        <v>5</v>
      </c>
      <c r="B18" s="225" t="s">
        <v>199</v>
      </c>
      <c r="C18" s="231" t="s">
        <v>116</v>
      </c>
      <c r="D18" s="237"/>
      <c r="E18" s="245"/>
      <c r="G18" s="153">
        <v>1700000</v>
      </c>
      <c r="H18" s="376">
        <v>500000</v>
      </c>
    </row>
    <row r="19" spans="1:9" s="5" customFormat="1" ht="23.25" customHeight="1">
      <c r="A19" s="208">
        <v>5</v>
      </c>
      <c r="B19" s="225" t="s">
        <v>515</v>
      </c>
      <c r="C19" s="231" t="s">
        <v>116</v>
      </c>
      <c r="D19" s="237">
        <f>'Thanh toán XX'!F23</f>
        <v>3140000</v>
      </c>
      <c r="E19" s="245"/>
      <c r="G19" s="190" t="e">
        <f>#REF!</f>
        <v>#REF!</v>
      </c>
      <c r="H19" s="376">
        <v>6940000</v>
      </c>
    </row>
    <row r="20" spans="1:9" ht="22.5" customHeight="1">
      <c r="A20" s="1596" t="s">
        <v>191</v>
      </c>
      <c r="B20" s="1596"/>
      <c r="C20" s="335"/>
      <c r="D20" s="1041">
        <f>SUM(D14:D19)</f>
        <v>22395000</v>
      </c>
      <c r="E20" s="244"/>
      <c r="G20" s="209" t="e">
        <f>#REF!</f>
        <v>#REF!</v>
      </c>
      <c r="H20" s="153">
        <f>SUM(H14:H19)</f>
        <v>22869370</v>
      </c>
      <c r="I20" s="190"/>
    </row>
    <row r="21" spans="1:9" ht="23.25" customHeight="1">
      <c r="A21" s="1685" t="s">
        <v>708</v>
      </c>
      <c r="B21" s="1686"/>
      <c r="C21" s="1686"/>
      <c r="D21" s="1686"/>
      <c r="E21" s="1687"/>
      <c r="G21" s="190">
        <v>5960000</v>
      </c>
      <c r="H21" s="375"/>
    </row>
    <row r="22" spans="1:9" ht="12" customHeight="1">
      <c r="A22" s="746"/>
      <c r="B22" s="746"/>
      <c r="C22" s="747"/>
      <c r="D22" s="747"/>
      <c r="E22" s="747"/>
      <c r="G22" s="190"/>
      <c r="H22" s="375"/>
    </row>
    <row r="23" spans="1:9" s="189" customFormat="1" ht="18.75">
      <c r="A23" s="210"/>
      <c r="B23" s="210"/>
      <c r="C23" s="1688" t="s">
        <v>676</v>
      </c>
      <c r="D23" s="1688"/>
      <c r="E23" s="1688"/>
      <c r="G23" s="221" t="e">
        <f>D20+#REF!</f>
        <v>#REF!</v>
      </c>
      <c r="H23" s="211"/>
      <c r="I23" s="212"/>
    </row>
    <row r="24" spans="1:9" s="189" customFormat="1" ht="10.5" customHeight="1">
      <c r="A24" s="222"/>
      <c r="B24" s="222"/>
      <c r="C24" s="233"/>
      <c r="D24" s="1590"/>
      <c r="E24" s="1590"/>
      <c r="G24" s="504">
        <v>5940000</v>
      </c>
      <c r="H24" s="213"/>
    </row>
    <row r="25" spans="1:9" s="214" customFormat="1" ht="18.75">
      <c r="A25" s="1126"/>
      <c r="B25" s="1126"/>
      <c r="C25" s="1126"/>
      <c r="D25" s="1126"/>
      <c r="E25" s="1126"/>
      <c r="G25" s="226" t="e">
        <f>SUM(G18:G21)</f>
        <v>#REF!</v>
      </c>
      <c r="H25" s="215"/>
    </row>
    <row r="26" spans="1:9" s="189" customFormat="1" ht="18.75">
      <c r="A26" s="1637" t="s">
        <v>673</v>
      </c>
      <c r="B26" s="1637"/>
      <c r="C26" s="1637"/>
      <c r="D26" s="1637"/>
      <c r="E26" s="1637"/>
      <c r="F26" s="1125"/>
      <c r="G26" s="1157">
        <f>D20/25000</f>
        <v>895.8</v>
      </c>
      <c r="H26" s="1125"/>
      <c r="I26" s="1121"/>
    </row>
    <row r="27" spans="1:9" s="189" customFormat="1" ht="18.75">
      <c r="A27" s="1123"/>
      <c r="B27" s="1123"/>
      <c r="C27" s="1123"/>
      <c r="D27" s="1123"/>
      <c r="E27" s="1123"/>
      <c r="F27" s="1123"/>
      <c r="G27" s="1124"/>
      <c r="H27" s="1124"/>
      <c r="I27" s="247"/>
    </row>
    <row r="28" spans="1:9" s="189" customFormat="1" ht="18.75">
      <c r="A28" s="1123"/>
      <c r="B28" s="1123"/>
      <c r="C28" s="1123"/>
      <c r="D28" s="1123"/>
      <c r="E28" s="1123"/>
      <c r="F28" s="1123"/>
      <c r="G28" s="1124"/>
      <c r="H28" s="1124"/>
      <c r="I28" s="247"/>
    </row>
    <row r="29" spans="1:9" s="189" customFormat="1" ht="18.75">
      <c r="A29" s="1123"/>
      <c r="B29" s="1123"/>
      <c r="C29" s="1123"/>
      <c r="D29" s="1123"/>
      <c r="E29" s="1123"/>
      <c r="F29" s="1123"/>
      <c r="G29" s="1124"/>
      <c r="H29" s="1124"/>
      <c r="I29" s="247"/>
    </row>
    <row r="30" spans="1:9" s="189" customFormat="1" ht="18.75">
      <c r="A30" s="1123"/>
      <c r="B30" s="1123"/>
      <c r="C30" s="1123"/>
      <c r="D30" s="1123"/>
      <c r="E30" s="1123"/>
      <c r="F30" s="1123"/>
      <c r="G30" s="1124"/>
      <c r="H30" s="1124"/>
      <c r="I30" s="247"/>
    </row>
    <row r="31" spans="1:9" ht="18.75">
      <c r="A31" s="1123"/>
      <c r="B31" s="1123"/>
      <c r="C31" s="1123"/>
      <c r="D31" s="1123"/>
      <c r="E31" s="1123"/>
      <c r="F31" s="1123"/>
      <c r="G31" s="1124"/>
      <c r="H31" s="1124"/>
      <c r="I31" s="1113"/>
    </row>
    <row r="32" spans="1:9">
      <c r="A32" s="1123"/>
      <c r="B32" s="1123"/>
      <c r="C32" s="1123"/>
      <c r="D32" s="1123"/>
      <c r="E32" s="1123"/>
      <c r="F32" s="1123"/>
      <c r="G32" s="1124"/>
      <c r="H32" s="1124"/>
      <c r="I32" s="248"/>
    </row>
    <row r="33" spans="1:9">
      <c r="A33" s="1636"/>
      <c r="B33" s="1636"/>
      <c r="C33" s="1123"/>
      <c r="D33" s="1123"/>
      <c r="E33" s="1123"/>
      <c r="F33" s="1123"/>
      <c r="G33" s="1124"/>
      <c r="H33" s="1124"/>
      <c r="I33" s="241"/>
    </row>
    <row r="34" spans="1:9">
      <c r="A34" s="1638" t="s">
        <v>674</v>
      </c>
      <c r="B34" s="1638"/>
      <c r="C34" s="1638"/>
      <c r="D34" s="1638"/>
      <c r="E34" s="1638"/>
      <c r="F34" s="1127"/>
      <c r="G34" s="1127"/>
      <c r="H34" s="1127"/>
    </row>
  </sheetData>
  <mergeCells count="15">
    <mergeCell ref="A33:B33"/>
    <mergeCell ref="A26:E26"/>
    <mergeCell ref="A34:E34"/>
    <mergeCell ref="A20:B20"/>
    <mergeCell ref="D24:E24"/>
    <mergeCell ref="A21:E21"/>
    <mergeCell ref="C23:E23"/>
    <mergeCell ref="A13:B13"/>
    <mergeCell ref="A9:E9"/>
    <mergeCell ref="A10:E10"/>
    <mergeCell ref="A2:E2"/>
    <mergeCell ref="A3:E3"/>
    <mergeCell ref="A4:E4"/>
    <mergeCell ref="A6:D6"/>
    <mergeCell ref="A7:D7"/>
  </mergeCells>
  <printOptions horizontalCentered="1"/>
  <pageMargins left="0.19685039370078741" right="0" top="0.19685039370078741" bottom="0.19685039370078741" header="0.19685039370078741" footer="0.31496062992125984"/>
  <pageSetup paperSize="9" scale="90" fitToHeight="0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M45"/>
  <sheetViews>
    <sheetView topLeftCell="A8" workbookViewId="0">
      <selection activeCell="A28" sqref="A28:AJ28"/>
    </sheetView>
  </sheetViews>
  <sheetFormatPr defaultColWidth="9.140625" defaultRowHeight="15"/>
  <cols>
    <col min="1" max="1" width="3.7109375" style="52" bestFit="1" customWidth="1"/>
    <col min="2" max="2" width="16.85546875" style="52" customWidth="1"/>
    <col min="3" max="3" width="10.42578125" style="52" customWidth="1"/>
    <col min="4" max="7" width="3" style="52" customWidth="1"/>
    <col min="8" max="8" width="3" style="65" customWidth="1"/>
    <col min="9" max="31" width="3" style="52" customWidth="1"/>
    <col min="32" max="32" width="3.5703125" style="52" customWidth="1"/>
    <col min="33" max="33" width="3.42578125" style="52" customWidth="1"/>
    <col min="34" max="34" width="3.5703125" style="52" customWidth="1"/>
    <col min="35" max="35" width="7.28515625" style="52" customWidth="1"/>
    <col min="36" max="36" width="12.85546875" style="52" customWidth="1"/>
    <col min="37" max="37" width="9.140625" style="52"/>
    <col min="38" max="38" width="14.85546875" style="52" bestFit="1" customWidth="1"/>
    <col min="39" max="43" width="9.140625" style="52"/>
    <col min="44" max="44" width="15.85546875" style="52" customWidth="1"/>
    <col min="45" max="16384" width="9.140625" style="52"/>
  </cols>
  <sheetData>
    <row r="1" spans="1:39" ht="15" customHeight="1">
      <c r="A1" s="1696" t="s">
        <v>56</v>
      </c>
      <c r="B1" s="1696"/>
      <c r="C1" s="1696"/>
      <c r="D1" s="1696"/>
      <c r="E1" s="1696"/>
      <c r="F1" s="1696"/>
      <c r="G1" s="1696"/>
      <c r="H1" s="1696"/>
      <c r="I1" s="1696"/>
      <c r="J1" s="1696"/>
      <c r="K1" s="1696"/>
      <c r="L1" s="1696"/>
      <c r="M1" s="1696"/>
      <c r="N1" s="1696"/>
      <c r="O1" s="1696"/>
      <c r="P1" s="1696"/>
      <c r="Q1" s="1696"/>
      <c r="R1" s="1696"/>
      <c r="S1" s="1696"/>
      <c r="T1" s="1696"/>
      <c r="U1" s="1696"/>
      <c r="V1" s="1696"/>
      <c r="W1" s="1696"/>
      <c r="X1" s="1696"/>
      <c r="Y1" s="1696"/>
      <c r="Z1" s="1696"/>
      <c r="AA1" s="1696"/>
      <c r="AB1" s="1696"/>
      <c r="AC1" s="1696"/>
      <c r="AD1" s="1696"/>
      <c r="AE1" s="1696"/>
      <c r="AF1" s="1696"/>
      <c r="AG1" s="1696"/>
      <c r="AH1" s="1696"/>
      <c r="AI1" s="1696"/>
      <c r="AJ1" s="1696"/>
    </row>
    <row r="2" spans="1:39" ht="15" customHeight="1">
      <c r="A2" s="1696" t="s">
        <v>50</v>
      </c>
      <c r="B2" s="1696"/>
      <c r="C2" s="1696"/>
      <c r="D2" s="1696"/>
      <c r="E2" s="1696"/>
      <c r="F2" s="1696"/>
      <c r="G2" s="1696"/>
      <c r="H2" s="1696"/>
      <c r="I2" s="1696"/>
      <c r="J2" s="1696"/>
      <c r="K2" s="1696"/>
      <c r="L2" s="1696"/>
      <c r="M2" s="1696"/>
      <c r="N2" s="1696"/>
      <c r="O2" s="1696"/>
      <c r="P2" s="1696"/>
      <c r="Q2" s="1696"/>
      <c r="R2" s="1696"/>
      <c r="S2" s="1696"/>
      <c r="T2" s="1696"/>
      <c r="U2" s="1696"/>
      <c r="V2" s="1696"/>
      <c r="W2" s="1696"/>
      <c r="X2" s="1696"/>
      <c r="Y2" s="1696"/>
      <c r="Z2" s="1696"/>
      <c r="AA2" s="1696"/>
      <c r="AB2" s="1696"/>
      <c r="AC2" s="1696"/>
      <c r="AD2" s="1696"/>
      <c r="AE2" s="1696"/>
      <c r="AF2" s="1696"/>
      <c r="AG2" s="1696"/>
      <c r="AH2" s="1696"/>
      <c r="AI2" s="1696"/>
      <c r="AJ2" s="1696"/>
    </row>
    <row r="3" spans="1:39" ht="17.25" customHeight="1">
      <c r="A3" s="1697" t="s">
        <v>294</v>
      </c>
      <c r="B3" s="1697"/>
      <c r="C3" s="1697"/>
      <c r="D3" s="1697"/>
      <c r="E3" s="1697"/>
      <c r="F3" s="1697"/>
      <c r="G3" s="1697"/>
      <c r="H3" s="1697"/>
      <c r="I3" s="1697"/>
      <c r="J3" s="1697"/>
      <c r="K3" s="1697"/>
      <c r="L3" s="1697"/>
      <c r="M3" s="1697"/>
      <c r="N3" s="1697"/>
      <c r="O3" s="1697"/>
      <c r="P3" s="1697"/>
      <c r="Q3" s="1697"/>
      <c r="R3" s="1697"/>
      <c r="S3" s="1697"/>
      <c r="T3" s="1697"/>
      <c r="U3" s="1697"/>
      <c r="V3" s="1697"/>
      <c r="W3" s="1697"/>
      <c r="X3" s="1697"/>
      <c r="Y3" s="1697"/>
      <c r="Z3" s="1697"/>
      <c r="AA3" s="1697"/>
      <c r="AB3" s="1697"/>
      <c r="AC3" s="1697"/>
      <c r="AD3" s="1697"/>
      <c r="AE3" s="1697"/>
      <c r="AF3" s="1697"/>
      <c r="AG3" s="1697"/>
      <c r="AH3" s="1697"/>
      <c r="AI3" s="1697"/>
      <c r="AJ3" s="1697"/>
    </row>
    <row r="4" spans="1:39" ht="5.25" customHeight="1">
      <c r="A4" s="61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</row>
    <row r="5" spans="1:39" ht="23.25" customHeight="1">
      <c r="A5" s="1364" t="s">
        <v>0</v>
      </c>
      <c r="B5" s="1364"/>
      <c r="C5" s="1364"/>
      <c r="D5" s="1364"/>
      <c r="E5" s="1364"/>
      <c r="F5" s="1364"/>
      <c r="G5" s="1364"/>
      <c r="H5" s="1364"/>
      <c r="I5" s="1364"/>
      <c r="J5" s="1364"/>
      <c r="K5" s="1364"/>
      <c r="L5" s="1364"/>
      <c r="M5" s="1364"/>
      <c r="N5" s="1364"/>
      <c r="O5" s="1364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</row>
    <row r="6" spans="1:39" ht="18" customHeight="1">
      <c r="A6" s="1698" t="s">
        <v>643</v>
      </c>
      <c r="B6" s="1698"/>
      <c r="C6" s="1698"/>
      <c r="D6" s="1698"/>
      <c r="E6" s="1698"/>
      <c r="F6" s="1698"/>
      <c r="G6" s="1698"/>
      <c r="H6" s="1698"/>
      <c r="I6" s="1698"/>
      <c r="J6" s="1698"/>
      <c r="K6" s="1698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</row>
    <row r="7" spans="1:39" ht="12" customHeight="1">
      <c r="A7" s="328"/>
      <c r="B7" s="328"/>
      <c r="C7" s="328"/>
      <c r="D7" s="328"/>
      <c r="E7" s="328"/>
      <c r="F7" s="328"/>
      <c r="G7" s="328"/>
      <c r="H7" s="328"/>
      <c r="I7" s="328"/>
      <c r="J7" s="328"/>
      <c r="K7" s="32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</row>
    <row r="8" spans="1:39" ht="23.25" customHeight="1">
      <c r="A8" s="1695" t="s">
        <v>711</v>
      </c>
      <c r="B8" s="1695"/>
      <c r="C8" s="1695"/>
      <c r="D8" s="1695"/>
      <c r="E8" s="1695"/>
      <c r="F8" s="1695"/>
      <c r="G8" s="1695"/>
      <c r="H8" s="1695"/>
      <c r="I8" s="1695"/>
      <c r="J8" s="1695"/>
      <c r="K8" s="1695"/>
      <c r="L8" s="1695"/>
      <c r="M8" s="1695"/>
      <c r="N8" s="1695"/>
      <c r="O8" s="1695"/>
      <c r="P8" s="1695"/>
      <c r="Q8" s="1695"/>
      <c r="R8" s="1695"/>
      <c r="S8" s="1695"/>
      <c r="T8" s="1695"/>
      <c r="U8" s="1695"/>
      <c r="V8" s="1695"/>
      <c r="W8" s="1695"/>
      <c r="X8" s="1695"/>
      <c r="Y8" s="1695"/>
      <c r="Z8" s="1695"/>
      <c r="AA8" s="1695"/>
      <c r="AB8" s="1695"/>
      <c r="AC8" s="1695"/>
      <c r="AD8" s="1695"/>
      <c r="AE8" s="1695"/>
      <c r="AF8" s="1695"/>
      <c r="AG8" s="1695"/>
      <c r="AH8" s="1695"/>
      <c r="AI8" s="1695"/>
      <c r="AJ8" s="1695"/>
    </row>
    <row r="9" spans="1:39" ht="18" customHeight="1">
      <c r="A9" s="1694" t="s">
        <v>694</v>
      </c>
      <c r="B9" s="1694"/>
      <c r="C9" s="1694"/>
      <c r="D9" s="1694"/>
      <c r="E9" s="1694"/>
      <c r="F9" s="1694"/>
      <c r="G9" s="1694"/>
      <c r="H9" s="1694"/>
      <c r="I9" s="1694"/>
      <c r="J9" s="1694"/>
      <c r="K9" s="1694"/>
      <c r="L9" s="1694"/>
      <c r="M9" s="1694"/>
      <c r="N9" s="1694"/>
      <c r="O9" s="1694"/>
      <c r="P9" s="1694"/>
      <c r="Q9" s="1694"/>
      <c r="R9" s="1694"/>
      <c r="S9" s="1694"/>
      <c r="T9" s="1694"/>
      <c r="U9" s="1694"/>
      <c r="V9" s="1694"/>
      <c r="W9" s="1694"/>
      <c r="X9" s="1694"/>
      <c r="Y9" s="1694"/>
      <c r="Z9" s="1694"/>
      <c r="AA9" s="1694"/>
      <c r="AB9" s="1694"/>
      <c r="AC9" s="1694"/>
      <c r="AD9" s="1694"/>
      <c r="AE9" s="1694"/>
      <c r="AF9" s="1694"/>
      <c r="AG9" s="1694"/>
      <c r="AH9" s="1694"/>
      <c r="AI9" s="1694"/>
      <c r="AJ9" s="1694"/>
    </row>
    <row r="10" spans="1:39" ht="15" customHeight="1">
      <c r="A10" s="1690" t="s">
        <v>51</v>
      </c>
      <c r="B10" s="1690" t="s">
        <v>52</v>
      </c>
      <c r="C10" s="1690" t="s">
        <v>53</v>
      </c>
      <c r="D10" s="1693" t="s">
        <v>54</v>
      </c>
      <c r="E10" s="1693"/>
      <c r="F10" s="1693"/>
      <c r="G10" s="1693"/>
      <c r="H10" s="1693"/>
      <c r="I10" s="1693"/>
      <c r="J10" s="1693"/>
      <c r="K10" s="1693"/>
      <c r="L10" s="1693"/>
      <c r="M10" s="1693"/>
      <c r="N10" s="1693"/>
      <c r="O10" s="1693"/>
      <c r="P10" s="1693"/>
      <c r="Q10" s="1693"/>
      <c r="R10" s="1693"/>
      <c r="S10" s="1693"/>
      <c r="T10" s="1693"/>
      <c r="U10" s="1693"/>
      <c r="V10" s="1693"/>
      <c r="W10" s="1693"/>
      <c r="X10" s="1693"/>
      <c r="Y10" s="1693"/>
      <c r="Z10" s="1693"/>
      <c r="AA10" s="1693"/>
      <c r="AB10" s="1693"/>
      <c r="AC10" s="1693"/>
      <c r="AD10" s="1693"/>
      <c r="AE10" s="1693"/>
      <c r="AF10" s="1693"/>
      <c r="AG10" s="1693"/>
      <c r="AH10" s="1158"/>
      <c r="AI10" s="1689" t="s">
        <v>37</v>
      </c>
      <c r="AJ10" s="1689" t="s">
        <v>355</v>
      </c>
      <c r="AK10" s="509" t="e">
        <f>#REF!</f>
        <v>#REF!</v>
      </c>
    </row>
    <row r="11" spans="1:39" ht="15" customHeight="1">
      <c r="A11" s="1690"/>
      <c r="B11" s="1690"/>
      <c r="C11" s="1690"/>
      <c r="D11" s="1158">
        <v>1</v>
      </c>
      <c r="E11" s="1158">
        <v>2</v>
      </c>
      <c r="F11" s="1158">
        <v>3</v>
      </c>
      <c r="G11" s="1158">
        <v>4</v>
      </c>
      <c r="H11" s="1158">
        <v>5</v>
      </c>
      <c r="I11" s="1066">
        <v>6</v>
      </c>
      <c r="J11" s="1158">
        <v>7</v>
      </c>
      <c r="K11" s="1158">
        <v>8</v>
      </c>
      <c r="L11" s="1158">
        <v>9</v>
      </c>
      <c r="M11" s="1158">
        <v>10</v>
      </c>
      <c r="N11" s="1158">
        <v>11</v>
      </c>
      <c r="O11" s="1158">
        <v>12</v>
      </c>
      <c r="P11" s="1066">
        <v>13</v>
      </c>
      <c r="Q11" s="1158">
        <v>14</v>
      </c>
      <c r="R11" s="1158">
        <v>15</v>
      </c>
      <c r="S11" s="1158">
        <v>16</v>
      </c>
      <c r="T11" s="1158">
        <v>17</v>
      </c>
      <c r="U11" s="1158">
        <v>18</v>
      </c>
      <c r="V11" s="1158">
        <v>19</v>
      </c>
      <c r="W11" s="1066">
        <v>20</v>
      </c>
      <c r="X11" s="1158">
        <v>21</v>
      </c>
      <c r="Y11" s="1158">
        <v>22</v>
      </c>
      <c r="Z11" s="1158">
        <v>23</v>
      </c>
      <c r="AA11" s="1158">
        <v>24</v>
      </c>
      <c r="AB11" s="1158">
        <v>25</v>
      </c>
      <c r="AC11" s="1158">
        <v>26</v>
      </c>
      <c r="AD11" s="1066">
        <v>27</v>
      </c>
      <c r="AE11" s="1158">
        <v>28</v>
      </c>
      <c r="AF11" s="1158">
        <v>29</v>
      </c>
      <c r="AG11" s="1158">
        <v>30</v>
      </c>
      <c r="AH11" s="1158">
        <v>31</v>
      </c>
      <c r="AI11" s="1689"/>
      <c r="AJ11" s="1689"/>
    </row>
    <row r="12" spans="1:39" s="58" customFormat="1" ht="19.5" customHeight="1">
      <c r="A12" s="1158" t="s">
        <v>73</v>
      </c>
      <c r="B12" s="1690" t="s">
        <v>359</v>
      </c>
      <c r="C12" s="1690"/>
      <c r="D12" s="1690"/>
      <c r="E12" s="1690"/>
      <c r="F12" s="1690"/>
      <c r="G12" s="1690"/>
      <c r="H12" s="1690"/>
      <c r="I12" s="1690"/>
      <c r="J12" s="1690"/>
      <c r="K12" s="1690"/>
      <c r="L12" s="1690"/>
      <c r="M12" s="1690"/>
      <c r="N12" s="1690"/>
      <c r="O12" s="1690"/>
      <c r="P12" s="1690"/>
      <c r="Q12" s="1690"/>
      <c r="R12" s="1690"/>
      <c r="S12" s="1690"/>
      <c r="T12" s="1690"/>
      <c r="U12" s="1690"/>
      <c r="V12" s="1690"/>
      <c r="W12" s="1690"/>
      <c r="X12" s="1690"/>
      <c r="Y12" s="1690"/>
      <c r="Z12" s="1690"/>
      <c r="AA12" s="1690"/>
      <c r="AB12" s="1690"/>
      <c r="AC12" s="1690"/>
      <c r="AD12" s="1690"/>
      <c r="AE12" s="1690"/>
      <c r="AF12" s="1690"/>
      <c r="AG12" s="1690"/>
      <c r="AH12" s="1158"/>
      <c r="AI12" s="230">
        <f>SUM(AI13:AI25)</f>
        <v>243</v>
      </c>
      <c r="AJ12" s="230"/>
    </row>
    <row r="13" spans="1:39" s="58" customFormat="1" ht="18.75" customHeight="1">
      <c r="A13" s="505">
        <v>1</v>
      </c>
      <c r="B13" s="252" t="s">
        <v>644</v>
      </c>
      <c r="C13" s="105" t="s">
        <v>712</v>
      </c>
      <c r="D13" s="505" t="s">
        <v>55</v>
      </c>
      <c r="E13" s="505" t="s">
        <v>55</v>
      </c>
      <c r="F13" s="505" t="s">
        <v>55</v>
      </c>
      <c r="G13" s="505" t="s">
        <v>55</v>
      </c>
      <c r="H13" s="505" t="s">
        <v>55</v>
      </c>
      <c r="I13" s="505" t="s">
        <v>55</v>
      </c>
      <c r="J13" s="505" t="s">
        <v>55</v>
      </c>
      <c r="K13" s="505" t="s">
        <v>55</v>
      </c>
      <c r="L13" s="505" t="s">
        <v>55</v>
      </c>
      <c r="M13" s="505" t="s">
        <v>55</v>
      </c>
      <c r="N13" s="505" t="s">
        <v>55</v>
      </c>
      <c r="O13" s="505" t="s">
        <v>55</v>
      </c>
      <c r="P13" s="505" t="s">
        <v>55</v>
      </c>
      <c r="Q13" s="505" t="s">
        <v>55</v>
      </c>
      <c r="R13" s="505" t="s">
        <v>55</v>
      </c>
      <c r="S13" s="505" t="s">
        <v>55</v>
      </c>
      <c r="T13" s="505" t="s">
        <v>55</v>
      </c>
      <c r="U13" s="505" t="s">
        <v>55</v>
      </c>
      <c r="V13" s="505" t="s">
        <v>55</v>
      </c>
      <c r="W13" s="505" t="s">
        <v>55</v>
      </c>
      <c r="X13" s="505" t="s">
        <v>55</v>
      </c>
      <c r="Y13" s="505" t="s">
        <v>55</v>
      </c>
      <c r="Z13" s="505" t="s">
        <v>55</v>
      </c>
      <c r="AA13" s="505" t="s">
        <v>55</v>
      </c>
      <c r="AB13" s="505" t="s">
        <v>55</v>
      </c>
      <c r="AC13" s="505" t="s">
        <v>55</v>
      </c>
      <c r="AD13" s="505" t="s">
        <v>55</v>
      </c>
      <c r="AE13" s="505" t="s">
        <v>55</v>
      </c>
      <c r="AF13" s="505" t="s">
        <v>55</v>
      </c>
      <c r="AG13" s="505" t="s">
        <v>55</v>
      </c>
      <c r="AH13" s="505" t="s">
        <v>55</v>
      </c>
      <c r="AI13" s="229">
        <f>COUNTIF(D13:AH13,"x")+ COUNTIF(D13:AH13,"p")+COUNTIF(D13:AH13,"mn")+COUNTIF(D13:AH13,"T")+COUNTIF(D13:AH13,"VN")</f>
        <v>31</v>
      </c>
      <c r="AJ13" s="229"/>
      <c r="AK13" s="249"/>
      <c r="AL13" s="250"/>
      <c r="AM13" s="251"/>
    </row>
    <row r="14" spans="1:39" s="58" customFormat="1" ht="18.75" customHeight="1">
      <c r="A14" s="505">
        <v>2</v>
      </c>
      <c r="B14" s="105" t="s">
        <v>175</v>
      </c>
      <c r="C14" s="105" t="s">
        <v>712</v>
      </c>
      <c r="D14" s="505" t="s">
        <v>55</v>
      </c>
      <c r="E14" s="505" t="s">
        <v>55</v>
      </c>
      <c r="F14" s="505" t="s">
        <v>55</v>
      </c>
      <c r="G14" s="505" t="s">
        <v>55</v>
      </c>
      <c r="H14" s="505" t="s">
        <v>55</v>
      </c>
      <c r="I14" s="505" t="s">
        <v>55</v>
      </c>
      <c r="J14" s="505" t="s">
        <v>55</v>
      </c>
      <c r="K14" s="505" t="s">
        <v>55</v>
      </c>
      <c r="L14" s="505" t="s">
        <v>55</v>
      </c>
      <c r="M14" s="505" t="s">
        <v>55</v>
      </c>
      <c r="N14" s="505" t="s">
        <v>55</v>
      </c>
      <c r="O14" s="505" t="s">
        <v>55</v>
      </c>
      <c r="P14" s="505" t="s">
        <v>55</v>
      </c>
      <c r="Q14" s="505" t="s">
        <v>55</v>
      </c>
      <c r="R14" s="505" t="s">
        <v>55</v>
      </c>
      <c r="S14" s="505" t="s">
        <v>55</v>
      </c>
      <c r="T14" s="505" t="s">
        <v>55</v>
      </c>
      <c r="U14" s="505" t="s">
        <v>55</v>
      </c>
      <c r="V14" s="505" t="s">
        <v>55</v>
      </c>
      <c r="W14" s="505" t="s">
        <v>55</v>
      </c>
      <c r="X14" s="505" t="s">
        <v>55</v>
      </c>
      <c r="Y14" s="505" t="s">
        <v>55</v>
      </c>
      <c r="Z14" s="505" t="s">
        <v>55</v>
      </c>
      <c r="AA14" s="505" t="s">
        <v>55</v>
      </c>
      <c r="AB14" s="505" t="s">
        <v>55</v>
      </c>
      <c r="AC14" s="505" t="s">
        <v>55</v>
      </c>
      <c r="AD14" s="505" t="s">
        <v>55</v>
      </c>
      <c r="AE14" s="505" t="s">
        <v>55</v>
      </c>
      <c r="AF14" s="505" t="s">
        <v>55</v>
      </c>
      <c r="AG14" s="505" t="s">
        <v>55</v>
      </c>
      <c r="AH14" s="505" t="s">
        <v>55</v>
      </c>
      <c r="AI14" s="229">
        <f>COUNTIF(D14:AH14,"x")+ COUNTIF(D14:AH14,"p")+COUNTIF(D14:AH14,"mn")+COUNTIF(D14:AH14,"T")+COUNTIF(D14:AH14,"VN")</f>
        <v>31</v>
      </c>
      <c r="AJ14" s="229"/>
      <c r="AK14" s="249">
        <f>1200000/30</f>
        <v>40000</v>
      </c>
      <c r="AL14" s="250">
        <f>AI14*AK14</f>
        <v>1240000</v>
      </c>
      <c r="AM14" s="251">
        <f>AL14/25000</f>
        <v>49.6</v>
      </c>
    </row>
    <row r="15" spans="1:39" s="58" customFormat="1" ht="18.75" customHeight="1">
      <c r="A15" s="505">
        <v>3</v>
      </c>
      <c r="B15" s="105" t="s">
        <v>716</v>
      </c>
      <c r="C15" s="105" t="s">
        <v>712</v>
      </c>
      <c r="D15" s="505" t="s">
        <v>55</v>
      </c>
      <c r="E15" s="505" t="s">
        <v>55</v>
      </c>
      <c r="F15" s="505" t="s">
        <v>55</v>
      </c>
      <c r="G15" s="505" t="s">
        <v>55</v>
      </c>
      <c r="H15" s="505" t="s">
        <v>55</v>
      </c>
      <c r="I15" s="505" t="s">
        <v>55</v>
      </c>
      <c r="J15" s="505" t="s">
        <v>55</v>
      </c>
      <c r="K15" s="505" t="s">
        <v>55</v>
      </c>
      <c r="L15" s="505" t="s">
        <v>55</v>
      </c>
      <c r="M15" s="505" t="s">
        <v>55</v>
      </c>
      <c r="N15" s="505" t="s">
        <v>55</v>
      </c>
      <c r="O15" s="505" t="s">
        <v>55</v>
      </c>
      <c r="P15" s="505" t="s">
        <v>55</v>
      </c>
      <c r="Q15" s="505" t="s">
        <v>55</v>
      </c>
      <c r="R15" s="505" t="s">
        <v>55</v>
      </c>
      <c r="S15" s="505" t="s">
        <v>55</v>
      </c>
      <c r="T15" s="505" t="s">
        <v>55</v>
      </c>
      <c r="U15" s="505" t="s">
        <v>55</v>
      </c>
      <c r="V15" s="505" t="s">
        <v>55</v>
      </c>
      <c r="W15" s="505" t="s">
        <v>55</v>
      </c>
      <c r="X15" s="505" t="s">
        <v>55</v>
      </c>
      <c r="Y15" s="505" t="s">
        <v>55</v>
      </c>
      <c r="Z15" s="505" t="s">
        <v>55</v>
      </c>
      <c r="AA15" s="505" t="s">
        <v>55</v>
      </c>
      <c r="AB15" s="505" t="s">
        <v>55</v>
      </c>
      <c r="AC15" s="505" t="s">
        <v>55</v>
      </c>
      <c r="AD15" s="505" t="s">
        <v>55</v>
      </c>
      <c r="AE15" s="505" t="s">
        <v>55</v>
      </c>
      <c r="AF15" s="505" t="s">
        <v>55</v>
      </c>
      <c r="AG15" s="505" t="s">
        <v>55</v>
      </c>
      <c r="AH15" s="505" t="s">
        <v>55</v>
      </c>
      <c r="AI15" s="229">
        <f t="shared" ref="AI15:AI25" si="0">COUNTIF(D15:AH15,"x")+ COUNTIF(D15:AH15,"p")+COUNTIF(D15:AH15,"mn")+COUNTIF(D15:AH15,"T")+COUNTIF(D15:AH15,"VN")</f>
        <v>31</v>
      </c>
      <c r="AJ15" s="229" t="s">
        <v>713</v>
      </c>
      <c r="AK15" s="249"/>
      <c r="AL15" s="250"/>
      <c r="AM15" s="251"/>
    </row>
    <row r="16" spans="1:39" s="58" customFormat="1" ht="18.75" customHeight="1">
      <c r="A16" s="505">
        <v>4</v>
      </c>
      <c r="B16" s="105" t="s">
        <v>628</v>
      </c>
      <c r="C16" s="105" t="s">
        <v>529</v>
      </c>
      <c r="D16" s="228" t="s">
        <v>55</v>
      </c>
      <c r="E16" s="228" t="s">
        <v>55</v>
      </c>
      <c r="F16" s="228" t="s">
        <v>55</v>
      </c>
      <c r="G16" s="228" t="s">
        <v>55</v>
      </c>
      <c r="H16" s="228" t="s">
        <v>55</v>
      </c>
      <c r="I16" s="228" t="s">
        <v>55</v>
      </c>
      <c r="J16" s="228" t="s">
        <v>55</v>
      </c>
      <c r="K16" s="228" t="s">
        <v>55</v>
      </c>
      <c r="L16" s="228" t="s">
        <v>55</v>
      </c>
      <c r="M16" s="228" t="s">
        <v>55</v>
      </c>
      <c r="N16" s="228" t="s">
        <v>55</v>
      </c>
      <c r="O16" s="228" t="s">
        <v>55</v>
      </c>
      <c r="P16" s="228" t="s">
        <v>55</v>
      </c>
      <c r="Q16" s="228" t="s">
        <v>55</v>
      </c>
      <c r="R16" s="228" t="s">
        <v>55</v>
      </c>
      <c r="S16" s="505"/>
      <c r="T16" s="505"/>
      <c r="U16" s="505"/>
      <c r="V16" s="505"/>
      <c r="W16" s="505"/>
      <c r="X16" s="505"/>
      <c r="Y16" s="505"/>
      <c r="Z16" s="505"/>
      <c r="AA16" s="505"/>
      <c r="AB16" s="505"/>
      <c r="AC16" s="505"/>
      <c r="AD16" s="505"/>
      <c r="AE16" s="505"/>
      <c r="AF16" s="505"/>
      <c r="AG16" s="505"/>
      <c r="AH16" s="505"/>
      <c r="AI16" s="229">
        <f t="shared" si="0"/>
        <v>15</v>
      </c>
      <c r="AJ16" s="229"/>
      <c r="AK16" s="249"/>
      <c r="AL16" s="250"/>
      <c r="AM16" s="251"/>
    </row>
    <row r="17" spans="1:39" s="58" customFormat="1" ht="18.75" customHeight="1">
      <c r="A17" s="505">
        <v>5</v>
      </c>
      <c r="B17" s="105" t="s">
        <v>531</v>
      </c>
      <c r="C17" s="105" t="s">
        <v>529</v>
      </c>
      <c r="D17" s="228" t="s">
        <v>55</v>
      </c>
      <c r="E17" s="228" t="s">
        <v>55</v>
      </c>
      <c r="F17" s="228" t="s">
        <v>55</v>
      </c>
      <c r="G17" s="228" t="s">
        <v>55</v>
      </c>
      <c r="H17" s="228" t="s">
        <v>55</v>
      </c>
      <c r="I17" s="228" t="s">
        <v>55</v>
      </c>
      <c r="J17" s="228" t="s">
        <v>55</v>
      </c>
      <c r="K17" s="228" t="s">
        <v>55</v>
      </c>
      <c r="L17" s="228" t="s">
        <v>55</v>
      </c>
      <c r="M17" s="228" t="s">
        <v>55</v>
      </c>
      <c r="N17" s="228" t="s">
        <v>55</v>
      </c>
      <c r="O17" s="228" t="s">
        <v>55</v>
      </c>
      <c r="P17" s="228" t="s">
        <v>55</v>
      </c>
      <c r="Q17" s="228" t="s">
        <v>55</v>
      </c>
      <c r="R17" s="228" t="s">
        <v>55</v>
      </c>
      <c r="S17" s="505"/>
      <c r="T17" s="505"/>
      <c r="U17" s="505"/>
      <c r="V17" s="505"/>
      <c r="W17" s="505"/>
      <c r="X17" s="505"/>
      <c r="Y17" s="505"/>
      <c r="Z17" s="505"/>
      <c r="AA17" s="505"/>
      <c r="AB17" s="505"/>
      <c r="AC17" s="505"/>
      <c r="AD17" s="505"/>
      <c r="AE17" s="505"/>
      <c r="AF17" s="505"/>
      <c r="AG17" s="505"/>
      <c r="AH17" s="505"/>
      <c r="AI17" s="229">
        <f t="shared" si="0"/>
        <v>15</v>
      </c>
      <c r="AJ17" s="229"/>
      <c r="AK17" s="249"/>
      <c r="AL17" s="250"/>
      <c r="AM17" s="251"/>
    </row>
    <row r="18" spans="1:39" s="58" customFormat="1" ht="18.75" customHeight="1">
      <c r="A18" s="505">
        <v>6</v>
      </c>
      <c r="B18" s="105" t="s">
        <v>627</v>
      </c>
      <c r="C18" s="105" t="s">
        <v>529</v>
      </c>
      <c r="D18" s="228" t="s">
        <v>55</v>
      </c>
      <c r="E18" s="228" t="s">
        <v>55</v>
      </c>
      <c r="F18" s="228" t="s">
        <v>55</v>
      </c>
      <c r="G18" s="228" t="s">
        <v>55</v>
      </c>
      <c r="H18" s="228" t="s">
        <v>55</v>
      </c>
      <c r="I18" s="228" t="s">
        <v>55</v>
      </c>
      <c r="J18" s="228" t="s">
        <v>55</v>
      </c>
      <c r="K18" s="228" t="s">
        <v>55</v>
      </c>
      <c r="L18" s="228" t="s">
        <v>55</v>
      </c>
      <c r="M18" s="228" t="s">
        <v>55</v>
      </c>
      <c r="N18" s="228" t="s">
        <v>55</v>
      </c>
      <c r="O18" s="228" t="s">
        <v>55</v>
      </c>
      <c r="P18" s="228" t="s">
        <v>55</v>
      </c>
      <c r="Q18" s="228" t="s">
        <v>55</v>
      </c>
      <c r="R18" s="228" t="s">
        <v>55</v>
      </c>
      <c r="S18" s="505"/>
      <c r="T18" s="505"/>
      <c r="U18" s="505"/>
      <c r="V18" s="505"/>
      <c r="W18" s="505"/>
      <c r="X18" s="505"/>
      <c r="Y18" s="505"/>
      <c r="Z18" s="505"/>
      <c r="AA18" s="505"/>
      <c r="AB18" s="505"/>
      <c r="AC18" s="505"/>
      <c r="AD18" s="505"/>
      <c r="AE18" s="505"/>
      <c r="AF18" s="505"/>
      <c r="AG18" s="505"/>
      <c r="AH18" s="505"/>
      <c r="AI18" s="229">
        <f t="shared" si="0"/>
        <v>15</v>
      </c>
      <c r="AJ18" s="229"/>
      <c r="AK18" s="249"/>
      <c r="AL18" s="250"/>
      <c r="AM18" s="251"/>
    </row>
    <row r="19" spans="1:39" s="58" customFormat="1" ht="18.75" customHeight="1">
      <c r="A19" s="505">
        <v>7</v>
      </c>
      <c r="B19" s="105" t="s">
        <v>590</v>
      </c>
      <c r="C19" s="105" t="s">
        <v>529</v>
      </c>
      <c r="D19" s="228" t="s">
        <v>55</v>
      </c>
      <c r="E19" s="228" t="s">
        <v>55</v>
      </c>
      <c r="F19" s="228" t="s">
        <v>55</v>
      </c>
      <c r="G19" s="228" t="s">
        <v>55</v>
      </c>
      <c r="H19" s="228" t="s">
        <v>55</v>
      </c>
      <c r="I19" s="228" t="s">
        <v>55</v>
      </c>
      <c r="J19" s="228" t="s">
        <v>55</v>
      </c>
      <c r="K19" s="228" t="s">
        <v>55</v>
      </c>
      <c r="L19" s="228" t="s">
        <v>55</v>
      </c>
      <c r="M19" s="228" t="s">
        <v>55</v>
      </c>
      <c r="N19" s="228" t="s">
        <v>55</v>
      </c>
      <c r="O19" s="228" t="s">
        <v>55</v>
      </c>
      <c r="P19" s="228" t="s">
        <v>55</v>
      </c>
      <c r="Q19" s="228" t="s">
        <v>55</v>
      </c>
      <c r="R19" s="228" t="s">
        <v>55</v>
      </c>
      <c r="S19" s="505"/>
      <c r="T19" s="505"/>
      <c r="U19" s="505"/>
      <c r="V19" s="505"/>
      <c r="W19" s="505"/>
      <c r="X19" s="505"/>
      <c r="Y19" s="505"/>
      <c r="Z19" s="505"/>
      <c r="AA19" s="505"/>
      <c r="AB19" s="505"/>
      <c r="AC19" s="505"/>
      <c r="AD19" s="505"/>
      <c r="AE19" s="505"/>
      <c r="AF19" s="505"/>
      <c r="AG19" s="505"/>
      <c r="AH19" s="505"/>
      <c r="AI19" s="229">
        <f t="shared" si="0"/>
        <v>15</v>
      </c>
      <c r="AJ19" s="229"/>
      <c r="AK19" s="249"/>
      <c r="AL19" s="250"/>
      <c r="AM19" s="251"/>
    </row>
    <row r="20" spans="1:39" s="58" customFormat="1" ht="18.75" customHeight="1">
      <c r="A20" s="505">
        <v>8</v>
      </c>
      <c r="B20" s="105" t="s">
        <v>532</v>
      </c>
      <c r="C20" s="105" t="s">
        <v>529</v>
      </c>
      <c r="D20" s="228" t="s">
        <v>55</v>
      </c>
      <c r="E20" s="228" t="s">
        <v>55</v>
      </c>
      <c r="F20" s="228" t="s">
        <v>55</v>
      </c>
      <c r="G20" s="228" t="s">
        <v>55</v>
      </c>
      <c r="H20" s="228" t="s">
        <v>55</v>
      </c>
      <c r="I20" s="228" t="s">
        <v>55</v>
      </c>
      <c r="J20" s="228" t="s">
        <v>55</v>
      </c>
      <c r="K20" s="228" t="s">
        <v>55</v>
      </c>
      <c r="L20" s="228" t="s">
        <v>55</v>
      </c>
      <c r="M20" s="228" t="s">
        <v>55</v>
      </c>
      <c r="N20" s="228" t="s">
        <v>55</v>
      </c>
      <c r="O20" s="228" t="s">
        <v>55</v>
      </c>
      <c r="P20" s="228" t="s">
        <v>55</v>
      </c>
      <c r="Q20" s="228" t="s">
        <v>55</v>
      </c>
      <c r="R20" s="228" t="s">
        <v>55</v>
      </c>
      <c r="S20" s="505"/>
      <c r="T20" s="505"/>
      <c r="U20" s="505"/>
      <c r="V20" s="505"/>
      <c r="W20" s="505"/>
      <c r="X20" s="505"/>
      <c r="Y20" s="505"/>
      <c r="Z20" s="505"/>
      <c r="AA20" s="505"/>
      <c r="AB20" s="505"/>
      <c r="AC20" s="505"/>
      <c r="AD20" s="505"/>
      <c r="AE20" s="505"/>
      <c r="AF20" s="505"/>
      <c r="AG20" s="505"/>
      <c r="AH20" s="505"/>
      <c r="AI20" s="229">
        <f t="shared" si="0"/>
        <v>15</v>
      </c>
      <c r="AJ20" s="229"/>
      <c r="AK20" s="249"/>
      <c r="AL20" s="250"/>
      <c r="AM20" s="251"/>
    </row>
    <row r="21" spans="1:39" s="58" customFormat="1" ht="18.75" customHeight="1">
      <c r="A21" s="505">
        <v>9</v>
      </c>
      <c r="B21" s="105" t="s">
        <v>533</v>
      </c>
      <c r="C21" s="105" t="s">
        <v>529</v>
      </c>
      <c r="D21" s="228" t="s">
        <v>55</v>
      </c>
      <c r="E21" s="228" t="s">
        <v>55</v>
      </c>
      <c r="F21" s="228" t="s">
        <v>55</v>
      </c>
      <c r="G21" s="228" t="s">
        <v>55</v>
      </c>
      <c r="H21" s="228" t="s">
        <v>55</v>
      </c>
      <c r="I21" s="228" t="s">
        <v>55</v>
      </c>
      <c r="J21" s="228" t="s">
        <v>55</v>
      </c>
      <c r="K21" s="228" t="s">
        <v>55</v>
      </c>
      <c r="L21" s="228" t="s">
        <v>55</v>
      </c>
      <c r="M21" s="228" t="s">
        <v>55</v>
      </c>
      <c r="N21" s="228" t="s">
        <v>55</v>
      </c>
      <c r="O21" s="228" t="s">
        <v>55</v>
      </c>
      <c r="P21" s="228" t="s">
        <v>55</v>
      </c>
      <c r="Q21" s="228" t="s">
        <v>55</v>
      </c>
      <c r="R21" s="228" t="s">
        <v>55</v>
      </c>
      <c r="S21" s="505"/>
      <c r="T21" s="505"/>
      <c r="U21" s="505"/>
      <c r="V21" s="505"/>
      <c r="W21" s="505"/>
      <c r="X21" s="505"/>
      <c r="Y21" s="505"/>
      <c r="Z21" s="505"/>
      <c r="AA21" s="505"/>
      <c r="AB21" s="505"/>
      <c r="AC21" s="505"/>
      <c r="AD21" s="505"/>
      <c r="AE21" s="505"/>
      <c r="AF21" s="505"/>
      <c r="AG21" s="505"/>
      <c r="AH21" s="505"/>
      <c r="AI21" s="229">
        <f t="shared" si="0"/>
        <v>15</v>
      </c>
      <c r="AJ21" s="229"/>
      <c r="AK21" s="249"/>
      <c r="AL21" s="250"/>
      <c r="AM21" s="251"/>
    </row>
    <row r="22" spans="1:39" s="58" customFormat="1" ht="18.75" customHeight="1">
      <c r="A22" s="505">
        <v>10</v>
      </c>
      <c r="B22" s="105" t="s">
        <v>534</v>
      </c>
      <c r="C22" s="105" t="s">
        <v>529</v>
      </c>
      <c r="D22" s="228" t="s">
        <v>55</v>
      </c>
      <c r="E22" s="228" t="s">
        <v>55</v>
      </c>
      <c r="F22" s="228" t="s">
        <v>55</v>
      </c>
      <c r="G22" s="228" t="s">
        <v>55</v>
      </c>
      <c r="H22" s="228" t="s">
        <v>55</v>
      </c>
      <c r="I22" s="228" t="s">
        <v>55</v>
      </c>
      <c r="J22" s="228" t="s">
        <v>55</v>
      </c>
      <c r="K22" s="228" t="s">
        <v>55</v>
      </c>
      <c r="L22" s="228" t="s">
        <v>55</v>
      </c>
      <c r="M22" s="228" t="s">
        <v>55</v>
      </c>
      <c r="N22" s="228" t="s">
        <v>55</v>
      </c>
      <c r="O22" s="228" t="s">
        <v>55</v>
      </c>
      <c r="P22" s="228" t="s">
        <v>55</v>
      </c>
      <c r="Q22" s="228" t="s">
        <v>55</v>
      </c>
      <c r="R22" s="228" t="s">
        <v>55</v>
      </c>
      <c r="S22" s="505"/>
      <c r="T22" s="505"/>
      <c r="U22" s="505"/>
      <c r="V22" s="505"/>
      <c r="W22" s="505"/>
      <c r="X22" s="505"/>
      <c r="Y22" s="505"/>
      <c r="Z22" s="505"/>
      <c r="AA22" s="505"/>
      <c r="AB22" s="505"/>
      <c r="AC22" s="505"/>
      <c r="AD22" s="505"/>
      <c r="AE22" s="505"/>
      <c r="AF22" s="505"/>
      <c r="AG22" s="505"/>
      <c r="AH22" s="505"/>
      <c r="AI22" s="229">
        <f t="shared" si="0"/>
        <v>15</v>
      </c>
      <c r="AJ22" s="229"/>
      <c r="AK22" s="249"/>
      <c r="AL22" s="250"/>
      <c r="AM22" s="251"/>
    </row>
    <row r="23" spans="1:39" s="58" customFormat="1" ht="18.75" customHeight="1">
      <c r="A23" s="505">
        <v>11</v>
      </c>
      <c r="B23" s="105" t="s">
        <v>535</v>
      </c>
      <c r="C23" s="105" t="s">
        <v>529</v>
      </c>
      <c r="D23" s="228" t="s">
        <v>55</v>
      </c>
      <c r="E23" s="228" t="s">
        <v>55</v>
      </c>
      <c r="F23" s="228" t="s">
        <v>55</v>
      </c>
      <c r="G23" s="228" t="s">
        <v>55</v>
      </c>
      <c r="H23" s="228" t="s">
        <v>55</v>
      </c>
      <c r="I23" s="228" t="s">
        <v>55</v>
      </c>
      <c r="J23" s="228" t="s">
        <v>55</v>
      </c>
      <c r="K23" s="228" t="s">
        <v>55</v>
      </c>
      <c r="L23" s="228" t="s">
        <v>55</v>
      </c>
      <c r="M23" s="228" t="s">
        <v>55</v>
      </c>
      <c r="N23" s="228" t="s">
        <v>55</v>
      </c>
      <c r="O23" s="228" t="s">
        <v>55</v>
      </c>
      <c r="P23" s="228" t="s">
        <v>55</v>
      </c>
      <c r="Q23" s="228" t="s">
        <v>55</v>
      </c>
      <c r="R23" s="228" t="s">
        <v>55</v>
      </c>
      <c r="S23" s="505"/>
      <c r="T23" s="505"/>
      <c r="U23" s="505"/>
      <c r="V23" s="505"/>
      <c r="W23" s="505"/>
      <c r="X23" s="505"/>
      <c r="Y23" s="505"/>
      <c r="Z23" s="505"/>
      <c r="AA23" s="505"/>
      <c r="AB23" s="505"/>
      <c r="AC23" s="505"/>
      <c r="AD23" s="505"/>
      <c r="AE23" s="505"/>
      <c r="AF23" s="505"/>
      <c r="AG23" s="505"/>
      <c r="AH23" s="505"/>
      <c r="AI23" s="229">
        <f t="shared" si="0"/>
        <v>15</v>
      </c>
      <c r="AJ23" s="229"/>
      <c r="AK23" s="249"/>
      <c r="AL23" s="250"/>
      <c r="AM23" s="251"/>
    </row>
    <row r="24" spans="1:39" s="58" customFormat="1" ht="18.75" customHeight="1">
      <c r="A24" s="505">
        <v>12</v>
      </c>
      <c r="B24" s="105" t="s">
        <v>536</v>
      </c>
      <c r="C24" s="105" t="s">
        <v>529</v>
      </c>
      <c r="D24" s="228" t="s">
        <v>55</v>
      </c>
      <c r="E24" s="228" t="s">
        <v>55</v>
      </c>
      <c r="F24" s="228" t="s">
        <v>55</v>
      </c>
      <c r="G24" s="228" t="s">
        <v>55</v>
      </c>
      <c r="H24" s="228" t="s">
        <v>55</v>
      </c>
      <c r="I24" s="228" t="s">
        <v>55</v>
      </c>
      <c r="J24" s="228" t="s">
        <v>55</v>
      </c>
      <c r="K24" s="228" t="s">
        <v>55</v>
      </c>
      <c r="L24" s="228" t="s">
        <v>55</v>
      </c>
      <c r="M24" s="228" t="s">
        <v>55</v>
      </c>
      <c r="N24" s="228" t="s">
        <v>55</v>
      </c>
      <c r="O24" s="228" t="s">
        <v>55</v>
      </c>
      <c r="P24" s="228" t="s">
        <v>55</v>
      </c>
      <c r="Q24" s="228" t="s">
        <v>55</v>
      </c>
      <c r="R24" s="228" t="s">
        <v>55</v>
      </c>
      <c r="S24" s="505"/>
      <c r="T24" s="505"/>
      <c r="U24" s="505"/>
      <c r="V24" s="505"/>
      <c r="W24" s="505"/>
      <c r="X24" s="505"/>
      <c r="Y24" s="505"/>
      <c r="Z24" s="505"/>
      <c r="AA24" s="505"/>
      <c r="AB24" s="505"/>
      <c r="AC24" s="505"/>
      <c r="AD24" s="505"/>
      <c r="AE24" s="505"/>
      <c r="AF24" s="505"/>
      <c r="AG24" s="505"/>
      <c r="AH24" s="505"/>
      <c r="AI24" s="229">
        <f t="shared" si="0"/>
        <v>15</v>
      </c>
      <c r="AJ24" s="229"/>
      <c r="AK24" s="249"/>
      <c r="AL24" s="250"/>
      <c r="AM24" s="251"/>
    </row>
    <row r="25" spans="1:39" s="58" customFormat="1" ht="18.75" customHeight="1">
      <c r="A25" s="505">
        <v>13</v>
      </c>
      <c r="B25" s="103" t="s">
        <v>537</v>
      </c>
      <c r="C25" s="105" t="s">
        <v>529</v>
      </c>
      <c r="D25" s="228" t="s">
        <v>55</v>
      </c>
      <c r="E25" s="228" t="s">
        <v>55</v>
      </c>
      <c r="F25" s="228" t="s">
        <v>55</v>
      </c>
      <c r="G25" s="228" t="s">
        <v>55</v>
      </c>
      <c r="H25" s="228" t="s">
        <v>55</v>
      </c>
      <c r="I25" s="228" t="s">
        <v>55</v>
      </c>
      <c r="J25" s="228" t="s">
        <v>55</v>
      </c>
      <c r="K25" s="228" t="s">
        <v>55</v>
      </c>
      <c r="L25" s="228" t="s">
        <v>55</v>
      </c>
      <c r="M25" s="228" t="s">
        <v>55</v>
      </c>
      <c r="N25" s="228" t="s">
        <v>55</v>
      </c>
      <c r="O25" s="228" t="s">
        <v>55</v>
      </c>
      <c r="P25" s="228" t="s">
        <v>55</v>
      </c>
      <c r="Q25" s="228" t="s">
        <v>55</v>
      </c>
      <c r="R25" s="228" t="s">
        <v>55</v>
      </c>
      <c r="S25" s="505"/>
      <c r="T25" s="505"/>
      <c r="U25" s="505"/>
      <c r="V25" s="505"/>
      <c r="W25" s="505"/>
      <c r="X25" s="505"/>
      <c r="Y25" s="505"/>
      <c r="Z25" s="505"/>
      <c r="AA25" s="505"/>
      <c r="AB25" s="505"/>
      <c r="AC25" s="505"/>
      <c r="AD25" s="505"/>
      <c r="AE25" s="505"/>
      <c r="AF25" s="505"/>
      <c r="AG25" s="505"/>
      <c r="AH25" s="505"/>
      <c r="AI25" s="229">
        <f t="shared" si="0"/>
        <v>15</v>
      </c>
      <c r="AJ25" s="229"/>
      <c r="AK25" s="249"/>
      <c r="AL25" s="250"/>
      <c r="AM25" s="251"/>
    </row>
    <row r="26" spans="1:39" ht="15.75" customHeight="1"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1691" t="s">
        <v>693</v>
      </c>
      <c r="U26" s="1691"/>
      <c r="V26" s="1691"/>
      <c r="W26" s="1691"/>
      <c r="X26" s="1691"/>
      <c r="Y26" s="1691"/>
      <c r="Z26" s="1691"/>
      <c r="AA26" s="1691"/>
      <c r="AB26" s="1691"/>
      <c r="AC26" s="1691"/>
      <c r="AD26" s="1691"/>
      <c r="AE26" s="1691"/>
      <c r="AF26" s="1691"/>
      <c r="AG26" s="1691"/>
      <c r="AH26" s="1691"/>
      <c r="AI26" s="1691"/>
      <c r="AJ26" s="725"/>
    </row>
    <row r="27" spans="1:39" ht="15.75" customHeight="1">
      <c r="B27" s="66" t="s">
        <v>423</v>
      </c>
      <c r="C27" s="1692" t="s">
        <v>424</v>
      </c>
      <c r="D27" s="1692"/>
      <c r="E27" s="1692"/>
      <c r="F27" s="1692"/>
      <c r="G27" s="1692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725"/>
      <c r="U27" s="725"/>
      <c r="V27" s="725"/>
      <c r="W27" s="725"/>
      <c r="X27" s="725"/>
      <c r="Y27" s="725"/>
      <c r="Z27" s="725"/>
      <c r="AA27" s="725"/>
      <c r="AB27" s="725"/>
      <c r="AC27" s="725"/>
      <c r="AD27" s="725"/>
      <c r="AE27" s="725"/>
      <c r="AF27" s="725"/>
      <c r="AG27" s="725"/>
      <c r="AH27" s="725"/>
      <c r="AI27" s="725"/>
      <c r="AJ27" s="725"/>
    </row>
    <row r="28" spans="1:39" ht="15.75" customHeight="1">
      <c r="A28" s="1658" t="s">
        <v>732</v>
      </c>
      <c r="B28" s="1658"/>
      <c r="C28" s="1658"/>
      <c r="D28" s="1658"/>
      <c r="E28" s="1658"/>
      <c r="F28" s="1658"/>
      <c r="G28" s="1658"/>
      <c r="H28" s="1658"/>
      <c r="I28" s="1658"/>
      <c r="J28" s="1658"/>
      <c r="K28" s="1658"/>
      <c r="L28" s="1658"/>
      <c r="M28" s="1658"/>
      <c r="N28" s="1658"/>
      <c r="O28" s="1658"/>
      <c r="P28" s="1658"/>
      <c r="Q28" s="1658"/>
      <c r="R28" s="1658"/>
      <c r="S28" s="1658"/>
      <c r="T28" s="1658"/>
      <c r="U28" s="1658"/>
      <c r="V28" s="1658"/>
      <c r="W28" s="1658"/>
      <c r="X28" s="1658"/>
      <c r="Y28" s="1658"/>
      <c r="Z28" s="1658"/>
      <c r="AA28" s="1658"/>
      <c r="AB28" s="1658"/>
      <c r="AC28" s="1658"/>
      <c r="AD28" s="1658"/>
      <c r="AE28" s="1658"/>
      <c r="AF28" s="1658"/>
      <c r="AG28" s="1658"/>
      <c r="AH28" s="1658"/>
      <c r="AI28" s="1658"/>
      <c r="AJ28" s="1658"/>
    </row>
    <row r="29" spans="1:39" ht="17.25" customHeight="1">
      <c r="A29" s="59"/>
      <c r="B29" s="50"/>
      <c r="C29" s="50"/>
      <c r="D29" s="50"/>
      <c r="E29" s="50"/>
      <c r="F29" s="50"/>
      <c r="G29" s="50"/>
      <c r="H29" s="53"/>
      <c r="I29" s="53"/>
      <c r="J29" s="53"/>
      <c r="L29" s="53"/>
      <c r="M29" s="53"/>
      <c r="O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1205"/>
    </row>
    <row r="30" spans="1:39" ht="15" customHeight="1">
      <c r="A30" s="48"/>
      <c r="B30" s="45"/>
      <c r="C30" s="1207"/>
      <c r="D30" s="48"/>
      <c r="E30" s="48"/>
      <c r="F30" s="48"/>
      <c r="G30" s="48"/>
      <c r="H30" s="48"/>
      <c r="I30" s="62"/>
      <c r="J30" s="62"/>
      <c r="K30" s="62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</row>
    <row r="31" spans="1:39" ht="13.5" customHeight="1">
      <c r="A31" s="48"/>
      <c r="B31" s="275"/>
      <c r="C31" s="1207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63"/>
      <c r="O31" s="63"/>
      <c r="P31" s="63"/>
      <c r="Q31" s="62"/>
      <c r="R31" s="62"/>
      <c r="S31" s="62"/>
      <c r="T31" s="62"/>
      <c r="U31" s="62"/>
      <c r="V31" s="62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2"/>
      <c r="AJ31" s="62"/>
    </row>
    <row r="32" spans="1:39" ht="13.5" customHeight="1">
      <c r="A32" s="48"/>
      <c r="B32" s="275"/>
      <c r="C32" s="1207"/>
      <c r="D32" s="48"/>
      <c r="E32" s="48"/>
      <c r="F32" s="48"/>
      <c r="G32" s="48"/>
      <c r="H32" s="48"/>
      <c r="I32" s="62"/>
      <c r="J32" s="62"/>
      <c r="K32" s="53"/>
      <c r="L32" s="48"/>
      <c r="M32" s="48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</row>
    <row r="33" spans="1:36" ht="13.5" customHeight="1">
      <c r="A33" s="48"/>
      <c r="B33" s="275"/>
      <c r="C33" s="1207"/>
      <c r="D33" s="48"/>
      <c r="E33" s="48"/>
      <c r="F33" s="48"/>
      <c r="G33" s="48"/>
      <c r="H33" s="48"/>
      <c r="I33" s="48"/>
      <c r="J33" s="48"/>
      <c r="K33" s="53"/>
      <c r="L33" s="48"/>
      <c r="M33" s="48"/>
      <c r="N33" s="63"/>
      <c r="O33" s="63"/>
      <c r="P33" s="63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</row>
    <row r="34" spans="1:36" ht="12" customHeight="1">
      <c r="A34" s="48"/>
      <c r="B34" s="275"/>
      <c r="C34" s="64"/>
      <c r="D34" s="48"/>
      <c r="E34" s="48"/>
      <c r="F34" s="48"/>
      <c r="G34" s="48"/>
      <c r="H34" s="48"/>
      <c r="I34" s="48"/>
      <c r="J34" s="48"/>
      <c r="K34" s="53"/>
      <c r="L34" s="48"/>
      <c r="M34" s="48"/>
      <c r="N34" s="63"/>
      <c r="O34" s="63"/>
      <c r="P34" s="63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</row>
    <row r="35" spans="1:36" ht="15.75" customHeight="1">
      <c r="A35" s="48"/>
      <c r="B35" s="1212"/>
      <c r="C35" s="1212"/>
      <c r="D35" s="1212"/>
      <c r="E35" s="1212"/>
      <c r="F35" s="1212"/>
      <c r="G35" s="1212"/>
      <c r="H35" s="1212"/>
      <c r="I35" s="1212"/>
      <c r="J35" s="1212"/>
      <c r="L35" s="48"/>
      <c r="N35" s="53"/>
      <c r="O35" s="53"/>
      <c r="P35" s="53"/>
      <c r="Q35" s="53"/>
      <c r="R35" s="53"/>
      <c r="S35" s="53"/>
      <c r="T35" s="53"/>
      <c r="U35" s="53"/>
      <c r="V35" s="53"/>
      <c r="W35" s="6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1205"/>
    </row>
    <row r="36" spans="1:36" ht="13.5" customHeight="1">
      <c r="A36" s="48"/>
      <c r="C36" s="407"/>
      <c r="D36" s="407"/>
      <c r="E36" s="407"/>
      <c r="F36" s="407"/>
      <c r="G36" s="407"/>
      <c r="H36" s="407"/>
      <c r="I36" s="407"/>
      <c r="J36" s="407"/>
      <c r="K36" s="407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</row>
    <row r="37" spans="1:36" ht="13.5" customHeight="1">
      <c r="A37" s="48"/>
      <c r="D37" s="64"/>
      <c r="E37" s="64"/>
      <c r="F37" s="64"/>
      <c r="G37" s="64"/>
      <c r="H37" s="64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</row>
    <row r="38" spans="1:36" ht="16.5">
      <c r="A38" s="59"/>
      <c r="B38" s="48"/>
      <c r="C38" s="60"/>
      <c r="D38" s="60"/>
      <c r="E38" s="48"/>
      <c r="F38" s="48"/>
      <c r="G38" s="48"/>
      <c r="H38" s="48"/>
      <c r="I38" s="61"/>
      <c r="J38" s="61"/>
      <c r="K38" s="48"/>
    </row>
    <row r="39" spans="1:36" ht="15.75">
      <c r="A39" s="48"/>
      <c r="B39" s="45"/>
      <c r="C39" s="1207"/>
      <c r="D39" s="48"/>
      <c r="E39" s="48"/>
      <c r="F39" s="48"/>
      <c r="G39" s="48"/>
      <c r="H39" s="48"/>
      <c r="I39" s="62"/>
      <c r="J39" s="62"/>
      <c r="K39" s="62"/>
    </row>
    <row r="40" spans="1:36">
      <c r="A40" s="48"/>
      <c r="B40" s="275"/>
      <c r="C40" s="1207"/>
      <c r="D40" s="48"/>
      <c r="E40" s="48"/>
      <c r="F40" s="48"/>
      <c r="G40" s="48"/>
      <c r="H40" s="48"/>
      <c r="I40" s="48"/>
      <c r="J40" s="48"/>
      <c r="K40" s="48"/>
    </row>
    <row r="41" spans="1:36" ht="15.75">
      <c r="A41" s="48"/>
      <c r="B41" s="275"/>
      <c r="C41" s="726"/>
      <c r="D41" s="48"/>
      <c r="E41" s="48"/>
      <c r="F41" s="48"/>
      <c r="G41" s="48"/>
      <c r="H41" s="48"/>
      <c r="I41" s="62"/>
      <c r="J41" s="62"/>
      <c r="K41" s="53"/>
    </row>
    <row r="42" spans="1:36" ht="15.75">
      <c r="A42" s="48"/>
      <c r="B42" s="275"/>
      <c r="C42" s="726"/>
      <c r="D42" s="48"/>
      <c r="E42" s="48"/>
      <c r="F42" s="48"/>
      <c r="G42" s="48"/>
      <c r="H42" s="48"/>
      <c r="I42" s="48"/>
      <c r="J42" s="48"/>
      <c r="K42" s="53"/>
    </row>
    <row r="43" spans="1:36" ht="15.75">
      <c r="A43" s="48"/>
      <c r="B43" s="275"/>
      <c r="C43" s="64"/>
      <c r="D43" s="48"/>
      <c r="E43" s="48"/>
      <c r="F43" s="48"/>
      <c r="G43" s="48"/>
      <c r="H43" s="48"/>
      <c r="I43" s="48"/>
      <c r="J43" s="48"/>
      <c r="K43" s="53"/>
    </row>
    <row r="44" spans="1:36">
      <c r="A44" s="48"/>
      <c r="B44" s="275"/>
      <c r="C44" s="48"/>
      <c r="D44" s="48"/>
      <c r="E44" s="48"/>
      <c r="F44" s="48"/>
      <c r="G44" s="48"/>
      <c r="H44" s="48"/>
      <c r="I44" s="48"/>
      <c r="J44" s="48"/>
    </row>
    <row r="45" spans="1:36">
      <c r="A45" s="48"/>
      <c r="C45" s="407"/>
      <c r="D45" s="407"/>
      <c r="E45" s="407"/>
      <c r="F45" s="407"/>
      <c r="G45" s="407"/>
      <c r="H45" s="407"/>
      <c r="I45" s="407"/>
      <c r="J45" s="407"/>
      <c r="K45" s="407"/>
    </row>
  </sheetData>
  <mergeCells count="17">
    <mergeCell ref="A9:AJ9"/>
    <mergeCell ref="A8:AJ8"/>
    <mergeCell ref="A1:AJ1"/>
    <mergeCell ref="A2:AJ2"/>
    <mergeCell ref="A3:AJ3"/>
    <mergeCell ref="A5:O5"/>
    <mergeCell ref="A6:K6"/>
    <mergeCell ref="AJ10:AJ11"/>
    <mergeCell ref="B12:AG12"/>
    <mergeCell ref="T26:AI26"/>
    <mergeCell ref="C27:G27"/>
    <mergeCell ref="A28:AJ28"/>
    <mergeCell ref="A10:A11"/>
    <mergeCell ref="B10:B11"/>
    <mergeCell ref="C10:C11"/>
    <mergeCell ref="D10:AG10"/>
    <mergeCell ref="AI10:AI11"/>
  </mergeCells>
  <printOptions horizontalCentered="1"/>
  <pageMargins left="0.43" right="0.196850393700787" top="0.511811023622047" bottom="0.35433070866141703" header="0.196850393700787" footer="0.23622047244094499"/>
  <pageSetup paperSize="9" scale="96" orientation="landscape" r:id="rId1"/>
  <headerFooter alignWithMargins="0"/>
  <colBreaks count="1" manualBreakCount="1">
    <brk id="36" max="1048575" man="1"/>
  </col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K36"/>
  <sheetViews>
    <sheetView workbookViewId="0">
      <selection activeCell="AM25" sqref="AM25"/>
    </sheetView>
  </sheetViews>
  <sheetFormatPr defaultColWidth="9.140625" defaultRowHeight="15"/>
  <cols>
    <col min="1" max="1" width="3.7109375" style="52" bestFit="1" customWidth="1"/>
    <col min="2" max="2" width="16.85546875" style="52" customWidth="1"/>
    <col min="3" max="3" width="12" style="52" customWidth="1"/>
    <col min="4" max="7" width="3" style="52" customWidth="1"/>
    <col min="8" max="8" width="3" style="65" customWidth="1"/>
    <col min="9" max="10" width="3" style="52" customWidth="1"/>
    <col min="11" max="11" width="3.5703125" style="52" customWidth="1"/>
    <col min="12" max="31" width="3" style="52" customWidth="1"/>
    <col min="32" max="32" width="3.5703125" style="52" customWidth="1"/>
    <col min="33" max="33" width="3.42578125" style="52" customWidth="1"/>
    <col min="34" max="34" width="3.7109375" style="52" customWidth="1"/>
    <col min="35" max="35" width="7.28515625" style="52" customWidth="1"/>
    <col min="36" max="36" width="10.7109375" style="52" customWidth="1"/>
    <col min="37" max="37" width="9.140625" style="52"/>
    <col min="38" max="38" width="14.85546875" style="52" bestFit="1" customWidth="1"/>
    <col min="39" max="43" width="9.140625" style="52"/>
    <col min="44" max="44" width="15.85546875" style="52" customWidth="1"/>
    <col min="45" max="16384" width="9.140625" style="52"/>
  </cols>
  <sheetData>
    <row r="1" spans="1:37" ht="15" customHeight="1">
      <c r="A1" s="1696" t="s">
        <v>56</v>
      </c>
      <c r="B1" s="1696"/>
      <c r="C1" s="1696"/>
      <c r="D1" s="1696"/>
      <c r="E1" s="1696"/>
      <c r="F1" s="1696"/>
      <c r="G1" s="1696"/>
      <c r="H1" s="1696"/>
      <c r="I1" s="1696"/>
      <c r="J1" s="1696"/>
      <c r="K1" s="1696"/>
      <c r="L1" s="1696"/>
      <c r="M1" s="1696"/>
      <c r="N1" s="1696"/>
      <c r="O1" s="1696"/>
      <c r="P1" s="1696"/>
      <c r="Q1" s="1696"/>
      <c r="R1" s="1696"/>
      <c r="S1" s="1696"/>
      <c r="T1" s="1696"/>
      <c r="U1" s="1696"/>
      <c r="V1" s="1696"/>
      <c r="W1" s="1696"/>
      <c r="X1" s="1696"/>
      <c r="Y1" s="1696"/>
      <c r="Z1" s="1696"/>
      <c r="AA1" s="1696"/>
      <c r="AB1" s="1696"/>
      <c r="AC1" s="1696"/>
      <c r="AD1" s="1696"/>
      <c r="AE1" s="1696"/>
      <c r="AF1" s="1696"/>
      <c r="AG1" s="1696"/>
      <c r="AH1" s="1696"/>
      <c r="AI1" s="1696"/>
      <c r="AJ1" s="1696"/>
    </row>
    <row r="2" spans="1:37" ht="15" customHeight="1">
      <c r="A2" s="1696" t="s">
        <v>50</v>
      </c>
      <c r="B2" s="1696"/>
      <c r="C2" s="1696"/>
      <c r="D2" s="1696"/>
      <c r="E2" s="1696"/>
      <c r="F2" s="1696"/>
      <c r="G2" s="1696"/>
      <c r="H2" s="1696"/>
      <c r="I2" s="1696"/>
      <c r="J2" s="1696"/>
      <c r="K2" s="1696"/>
      <c r="L2" s="1696"/>
      <c r="M2" s="1696"/>
      <c r="N2" s="1696"/>
      <c r="O2" s="1696"/>
      <c r="P2" s="1696"/>
      <c r="Q2" s="1696"/>
      <c r="R2" s="1696"/>
      <c r="S2" s="1696"/>
      <c r="T2" s="1696"/>
      <c r="U2" s="1696"/>
      <c r="V2" s="1696"/>
      <c r="W2" s="1696"/>
      <c r="X2" s="1696"/>
      <c r="Y2" s="1696"/>
      <c r="Z2" s="1696"/>
      <c r="AA2" s="1696"/>
      <c r="AB2" s="1696"/>
      <c r="AC2" s="1696"/>
      <c r="AD2" s="1696"/>
      <c r="AE2" s="1696"/>
      <c r="AF2" s="1696"/>
      <c r="AG2" s="1696"/>
      <c r="AH2" s="1696"/>
      <c r="AI2" s="1696"/>
      <c r="AJ2" s="1696"/>
    </row>
    <row r="3" spans="1:37" ht="17.25" customHeight="1">
      <c r="A3" s="1697" t="s">
        <v>294</v>
      </c>
      <c r="B3" s="1697"/>
      <c r="C3" s="1697"/>
      <c r="D3" s="1697"/>
      <c r="E3" s="1697"/>
      <c r="F3" s="1697"/>
      <c r="G3" s="1697"/>
      <c r="H3" s="1697"/>
      <c r="I3" s="1697"/>
      <c r="J3" s="1697"/>
      <c r="K3" s="1697"/>
      <c r="L3" s="1697"/>
      <c r="M3" s="1697"/>
      <c r="N3" s="1697"/>
      <c r="O3" s="1697"/>
      <c r="P3" s="1697"/>
      <c r="Q3" s="1697"/>
      <c r="R3" s="1697"/>
      <c r="S3" s="1697"/>
      <c r="T3" s="1697"/>
      <c r="U3" s="1697"/>
      <c r="V3" s="1697"/>
      <c r="W3" s="1697"/>
      <c r="X3" s="1697"/>
      <c r="Y3" s="1697"/>
      <c r="Z3" s="1697"/>
      <c r="AA3" s="1697"/>
      <c r="AB3" s="1697"/>
      <c r="AC3" s="1697"/>
      <c r="AD3" s="1697"/>
      <c r="AE3" s="1697"/>
      <c r="AF3" s="1697"/>
      <c r="AG3" s="1697"/>
      <c r="AH3" s="1697"/>
      <c r="AI3" s="1697"/>
      <c r="AJ3" s="1697"/>
    </row>
    <row r="4" spans="1:37" ht="9" customHeight="1">
      <c r="A4" s="61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</row>
    <row r="5" spans="1:37" ht="23.25" customHeight="1">
      <c r="A5" s="1364" t="s">
        <v>0</v>
      </c>
      <c r="B5" s="1364"/>
      <c r="C5" s="1364"/>
      <c r="D5" s="1364"/>
      <c r="E5" s="1364"/>
      <c r="F5" s="1364"/>
      <c r="G5" s="1364"/>
      <c r="H5" s="1364"/>
      <c r="I5" s="1364"/>
      <c r="J5" s="1364"/>
      <c r="K5" s="1364"/>
      <c r="L5" s="1364"/>
      <c r="M5" s="1364"/>
      <c r="N5" s="1364"/>
      <c r="O5" s="1364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</row>
    <row r="6" spans="1:37" ht="18" customHeight="1">
      <c r="A6" s="1698" t="s">
        <v>643</v>
      </c>
      <c r="B6" s="1698"/>
      <c r="C6" s="1698"/>
      <c r="D6" s="1698"/>
      <c r="E6" s="1698"/>
      <c r="F6" s="1698"/>
      <c r="G6" s="1698"/>
      <c r="H6" s="1698"/>
      <c r="I6" s="1698"/>
      <c r="J6" s="1698"/>
      <c r="K6" s="1698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</row>
    <row r="7" spans="1:37" ht="12" customHeight="1">
      <c r="A7" s="328"/>
      <c r="B7" s="328"/>
      <c r="C7" s="328"/>
      <c r="D7" s="328"/>
      <c r="E7" s="328"/>
      <c r="F7" s="328"/>
      <c r="G7" s="328"/>
      <c r="H7" s="328"/>
      <c r="I7" s="328"/>
      <c r="J7" s="328"/>
      <c r="K7" s="32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</row>
    <row r="8" spans="1:37" ht="23.25" customHeight="1">
      <c r="A8" s="1695" t="s">
        <v>742</v>
      </c>
      <c r="B8" s="1695"/>
      <c r="C8" s="1695"/>
      <c r="D8" s="1695"/>
      <c r="E8" s="1695"/>
      <c r="F8" s="1695"/>
      <c r="G8" s="1695"/>
      <c r="H8" s="1695"/>
      <c r="I8" s="1695"/>
      <c r="J8" s="1695"/>
      <c r="K8" s="1695"/>
      <c r="L8" s="1695"/>
      <c r="M8" s="1695"/>
      <c r="N8" s="1695"/>
      <c r="O8" s="1695"/>
      <c r="P8" s="1695"/>
      <c r="Q8" s="1695"/>
      <c r="R8" s="1695"/>
      <c r="S8" s="1695"/>
      <c r="T8" s="1695"/>
      <c r="U8" s="1695"/>
      <c r="V8" s="1695"/>
      <c r="W8" s="1695"/>
      <c r="X8" s="1695"/>
      <c r="Y8" s="1695"/>
      <c r="Z8" s="1695"/>
      <c r="AA8" s="1695"/>
      <c r="AB8" s="1695"/>
      <c r="AC8" s="1695"/>
      <c r="AD8" s="1695"/>
      <c r="AE8" s="1695"/>
      <c r="AF8" s="1695"/>
      <c r="AG8" s="1695"/>
      <c r="AH8" s="1695"/>
      <c r="AI8" s="1695"/>
      <c r="AJ8" s="1695"/>
    </row>
    <row r="9" spans="1:37" ht="18" customHeight="1">
      <c r="A9" s="1694" t="s">
        <v>694</v>
      </c>
      <c r="B9" s="1694"/>
      <c r="C9" s="1694"/>
      <c r="D9" s="1694"/>
      <c r="E9" s="1694"/>
      <c r="F9" s="1694"/>
      <c r="G9" s="1694"/>
      <c r="H9" s="1694"/>
      <c r="I9" s="1694"/>
      <c r="J9" s="1694"/>
      <c r="K9" s="1694"/>
      <c r="L9" s="1694"/>
      <c r="M9" s="1694"/>
      <c r="N9" s="1694"/>
      <c r="O9" s="1694"/>
      <c r="P9" s="1694"/>
      <c r="Q9" s="1694"/>
      <c r="R9" s="1694"/>
      <c r="S9" s="1694"/>
      <c r="T9" s="1694"/>
      <c r="U9" s="1694"/>
      <c r="V9" s="1694"/>
      <c r="W9" s="1694"/>
      <c r="X9" s="1694"/>
      <c r="Y9" s="1694"/>
      <c r="Z9" s="1694"/>
      <c r="AA9" s="1694"/>
      <c r="AB9" s="1694"/>
      <c r="AC9" s="1694"/>
      <c r="AD9" s="1694"/>
      <c r="AE9" s="1694"/>
      <c r="AF9" s="1694"/>
      <c r="AG9" s="1694"/>
      <c r="AH9" s="1694"/>
      <c r="AI9" s="1694"/>
      <c r="AJ9" s="1694"/>
    </row>
    <row r="10" spans="1:37" ht="15" customHeight="1">
      <c r="A10" s="1690" t="s">
        <v>51</v>
      </c>
      <c r="B10" s="1690" t="s">
        <v>52</v>
      </c>
      <c r="C10" s="1690" t="s">
        <v>53</v>
      </c>
      <c r="D10" s="1693" t="s">
        <v>54</v>
      </c>
      <c r="E10" s="1693"/>
      <c r="F10" s="1693"/>
      <c r="G10" s="1693"/>
      <c r="H10" s="1693"/>
      <c r="I10" s="1693"/>
      <c r="J10" s="1693"/>
      <c r="K10" s="1693"/>
      <c r="L10" s="1693"/>
      <c r="M10" s="1693"/>
      <c r="N10" s="1693"/>
      <c r="O10" s="1693"/>
      <c r="P10" s="1693"/>
      <c r="Q10" s="1693"/>
      <c r="R10" s="1693"/>
      <c r="S10" s="1693"/>
      <c r="T10" s="1693"/>
      <c r="U10" s="1693"/>
      <c r="V10" s="1693"/>
      <c r="W10" s="1693"/>
      <c r="X10" s="1693"/>
      <c r="Y10" s="1693"/>
      <c r="Z10" s="1693"/>
      <c r="AA10" s="1693"/>
      <c r="AB10" s="1693"/>
      <c r="AC10" s="1693"/>
      <c r="AD10" s="1693"/>
      <c r="AE10" s="1693"/>
      <c r="AF10" s="1693"/>
      <c r="AG10" s="1693"/>
      <c r="AH10" s="1203"/>
      <c r="AI10" s="1689" t="s">
        <v>37</v>
      </c>
      <c r="AJ10" s="1689" t="s">
        <v>355</v>
      </c>
      <c r="AK10" s="509">
        <v>27</v>
      </c>
    </row>
    <row r="11" spans="1:37" ht="15" customHeight="1">
      <c r="A11" s="1690"/>
      <c r="B11" s="1690"/>
      <c r="C11" s="1690"/>
      <c r="D11" s="1203">
        <v>1</v>
      </c>
      <c r="E11" s="1203">
        <v>2</v>
      </c>
      <c r="F11" s="1203">
        <v>3</v>
      </c>
      <c r="G11" s="1203">
        <v>4</v>
      </c>
      <c r="H11" s="1203">
        <v>5</v>
      </c>
      <c r="I11" s="1203">
        <v>6</v>
      </c>
      <c r="J11" s="1203">
        <v>7</v>
      </c>
      <c r="K11" s="1203">
        <v>8</v>
      </c>
      <c r="L11" s="1203">
        <v>9</v>
      </c>
      <c r="M11" s="1203">
        <v>10</v>
      </c>
      <c r="N11" s="1203">
        <v>11</v>
      </c>
      <c r="O11" s="1203">
        <v>12</v>
      </c>
      <c r="P11" s="1203">
        <v>13</v>
      </c>
      <c r="Q11" s="1203">
        <v>14</v>
      </c>
      <c r="R11" s="1203">
        <v>15</v>
      </c>
      <c r="S11" s="1203">
        <v>16</v>
      </c>
      <c r="T11" s="1203">
        <v>17</v>
      </c>
      <c r="U11" s="1203">
        <v>18</v>
      </c>
      <c r="V11" s="1203">
        <v>19</v>
      </c>
      <c r="W11" s="1203">
        <v>20</v>
      </c>
      <c r="X11" s="1203">
        <v>21</v>
      </c>
      <c r="Y11" s="1203">
        <v>22</v>
      </c>
      <c r="Z11" s="1203">
        <v>23</v>
      </c>
      <c r="AA11" s="1203">
        <v>24</v>
      </c>
      <c r="AB11" s="1203">
        <v>25</v>
      </c>
      <c r="AC11" s="1203">
        <v>26</v>
      </c>
      <c r="AD11" s="1203">
        <v>27</v>
      </c>
      <c r="AE11" s="1203">
        <v>28</v>
      </c>
      <c r="AF11" s="1203">
        <v>29</v>
      </c>
      <c r="AG11" s="1203">
        <v>30</v>
      </c>
      <c r="AH11" s="1203">
        <v>31</v>
      </c>
      <c r="AI11" s="1689"/>
      <c r="AJ11" s="1689"/>
    </row>
    <row r="12" spans="1:37" ht="15" customHeight="1">
      <c r="A12" s="1199" t="s">
        <v>360</v>
      </c>
      <c r="B12" s="1693" t="s">
        <v>743</v>
      </c>
      <c r="C12" s="1693"/>
      <c r="D12" s="1693"/>
      <c r="E12" s="1693"/>
      <c r="F12" s="1693"/>
      <c r="G12" s="1693"/>
      <c r="H12" s="1693"/>
      <c r="I12" s="1693"/>
      <c r="J12" s="1693"/>
      <c r="K12" s="1693"/>
      <c r="L12" s="1693"/>
      <c r="M12" s="1693"/>
      <c r="N12" s="1693"/>
      <c r="O12" s="1693"/>
      <c r="P12" s="1693"/>
      <c r="Q12" s="1693"/>
      <c r="R12" s="1693"/>
      <c r="S12" s="1693"/>
      <c r="T12" s="1693"/>
      <c r="U12" s="1693"/>
      <c r="V12" s="1693"/>
      <c r="W12" s="1693"/>
      <c r="X12" s="1693"/>
      <c r="Y12" s="1693"/>
      <c r="Z12" s="1693"/>
      <c r="AA12" s="1693"/>
      <c r="AB12" s="1693"/>
      <c r="AC12" s="1693"/>
      <c r="AD12" s="1693"/>
      <c r="AE12" s="1693"/>
      <c r="AF12" s="1693"/>
      <c r="AG12" s="1693"/>
      <c r="AH12" s="1203"/>
      <c r="AI12" s="230">
        <f>SUM(AI13:AI14)</f>
        <v>60</v>
      </c>
      <c r="AJ12" s="1204"/>
    </row>
    <row r="13" spans="1:37" s="58" customFormat="1" ht="23.25" customHeight="1">
      <c r="A13" s="112">
        <v>1</v>
      </c>
      <c r="B13" s="103" t="s">
        <v>4</v>
      </c>
      <c r="C13" s="103" t="s">
        <v>696</v>
      </c>
      <c r="D13" s="228" t="s">
        <v>55</v>
      </c>
      <c r="E13" s="228" t="s">
        <v>55</v>
      </c>
      <c r="F13" s="228" t="s">
        <v>55</v>
      </c>
      <c r="G13" s="228" t="s">
        <v>55</v>
      </c>
      <c r="H13" s="228" t="s">
        <v>55</v>
      </c>
      <c r="I13" s="228" t="s">
        <v>55</v>
      </c>
      <c r="J13" s="228" t="s">
        <v>55</v>
      </c>
      <c r="K13" s="228" t="s">
        <v>55</v>
      </c>
      <c r="L13" s="228" t="s">
        <v>55</v>
      </c>
      <c r="M13" s="228" t="s">
        <v>55</v>
      </c>
      <c r="N13" s="228" t="s">
        <v>55</v>
      </c>
      <c r="O13" s="228" t="s">
        <v>55</v>
      </c>
      <c r="P13" s="228" t="s">
        <v>55</v>
      </c>
      <c r="Q13" s="228" t="s">
        <v>55</v>
      </c>
      <c r="R13" s="228" t="s">
        <v>55</v>
      </c>
      <c r="S13" s="228" t="s">
        <v>55</v>
      </c>
      <c r="T13" s="228" t="s">
        <v>55</v>
      </c>
      <c r="U13" s="228" t="s">
        <v>55</v>
      </c>
      <c r="V13" s="228" t="s">
        <v>55</v>
      </c>
      <c r="W13" s="228" t="s">
        <v>55</v>
      </c>
      <c r="X13" s="228" t="s">
        <v>55</v>
      </c>
      <c r="Y13" s="228" t="s">
        <v>55</v>
      </c>
      <c r="Z13" s="228" t="s">
        <v>55</v>
      </c>
      <c r="AA13" s="228" t="s">
        <v>55</v>
      </c>
      <c r="AB13" s="228" t="s">
        <v>55</v>
      </c>
      <c r="AC13" s="228" t="s">
        <v>55</v>
      </c>
      <c r="AD13" s="228" t="s">
        <v>55</v>
      </c>
      <c r="AE13" s="228" t="s">
        <v>55</v>
      </c>
      <c r="AF13" s="228" t="s">
        <v>55</v>
      </c>
      <c r="AG13" s="228" t="s">
        <v>55</v>
      </c>
      <c r="AH13" s="228"/>
      <c r="AI13" s="229">
        <f>COUNTIF(D13:AH13,"x")+ COUNTIF(D13:AH13,"p")+COUNTIF(D13:AH13,"mn")+COUNTIF(D13:AH13,"T")+COUNTIF(D13:AH13,"VN")</f>
        <v>30</v>
      </c>
      <c r="AJ13" s="229"/>
    </row>
    <row r="14" spans="1:37" s="58" customFormat="1" ht="23.25" customHeight="1">
      <c r="A14" s="112">
        <v>2</v>
      </c>
      <c r="B14" s="103" t="s">
        <v>168</v>
      </c>
      <c r="C14" s="103" t="s">
        <v>696</v>
      </c>
      <c r="D14" s="228" t="s">
        <v>55</v>
      </c>
      <c r="E14" s="228" t="s">
        <v>55</v>
      </c>
      <c r="F14" s="228" t="s">
        <v>55</v>
      </c>
      <c r="G14" s="228" t="s">
        <v>55</v>
      </c>
      <c r="H14" s="228" t="s">
        <v>55</v>
      </c>
      <c r="I14" s="228" t="s">
        <v>55</v>
      </c>
      <c r="J14" s="228" t="s">
        <v>55</v>
      </c>
      <c r="K14" s="228" t="s">
        <v>55</v>
      </c>
      <c r="L14" s="228" t="s">
        <v>55</v>
      </c>
      <c r="M14" s="228" t="s">
        <v>55</v>
      </c>
      <c r="N14" s="228" t="s">
        <v>55</v>
      </c>
      <c r="O14" s="228" t="s">
        <v>55</v>
      </c>
      <c r="P14" s="228" t="s">
        <v>55</v>
      </c>
      <c r="Q14" s="228" t="s">
        <v>55</v>
      </c>
      <c r="R14" s="228" t="s">
        <v>55</v>
      </c>
      <c r="S14" s="228" t="s">
        <v>55</v>
      </c>
      <c r="T14" s="228" t="s">
        <v>55</v>
      </c>
      <c r="U14" s="228" t="s">
        <v>55</v>
      </c>
      <c r="V14" s="228" t="s">
        <v>55</v>
      </c>
      <c r="W14" s="228" t="s">
        <v>55</v>
      </c>
      <c r="X14" s="228" t="s">
        <v>55</v>
      </c>
      <c r="Y14" s="228" t="s">
        <v>55</v>
      </c>
      <c r="Z14" s="228" t="s">
        <v>55</v>
      </c>
      <c r="AA14" s="228" t="s">
        <v>55</v>
      </c>
      <c r="AB14" s="228" t="s">
        <v>55</v>
      </c>
      <c r="AC14" s="228" t="s">
        <v>55</v>
      </c>
      <c r="AD14" s="228" t="s">
        <v>55</v>
      </c>
      <c r="AE14" s="228" t="s">
        <v>55</v>
      </c>
      <c r="AF14" s="228" t="s">
        <v>55</v>
      </c>
      <c r="AG14" s="228" t="s">
        <v>55</v>
      </c>
      <c r="AH14" s="228"/>
      <c r="AI14" s="229">
        <f>COUNTIF(D14:AH14,"x")+ COUNTIF(D14:AH14,"p")+COUNTIF(D14:AH14,"mn")+COUNTIF(D14:AH14,"T")+COUNTIF(D14:AH14,"VN")</f>
        <v>30</v>
      </c>
      <c r="AJ14" s="229"/>
    </row>
    <row r="15" spans="1:37" s="58" customFormat="1" ht="24.75" customHeight="1">
      <c r="A15" s="532" t="s">
        <v>65</v>
      </c>
      <c r="B15" s="1689" t="s">
        <v>317</v>
      </c>
      <c r="C15" s="1689"/>
      <c r="D15" s="1689"/>
      <c r="E15" s="1689"/>
      <c r="F15" s="1689"/>
      <c r="G15" s="1689"/>
      <c r="H15" s="1689"/>
      <c r="I15" s="1689"/>
      <c r="J15" s="1689"/>
      <c r="K15" s="1689"/>
      <c r="L15" s="1689"/>
      <c r="M15" s="1689"/>
      <c r="N15" s="1689"/>
      <c r="O15" s="1689"/>
      <c r="P15" s="1689"/>
      <c r="Q15" s="1689"/>
      <c r="R15" s="1689"/>
      <c r="S15" s="1689"/>
      <c r="T15" s="1689"/>
      <c r="U15" s="1689"/>
      <c r="V15" s="1689"/>
      <c r="W15" s="1689"/>
      <c r="X15" s="1689"/>
      <c r="Y15" s="1689"/>
      <c r="Z15" s="1689"/>
      <c r="AA15" s="1689"/>
      <c r="AB15" s="1689"/>
      <c r="AC15" s="1689"/>
      <c r="AD15" s="1689"/>
      <c r="AE15" s="1689"/>
      <c r="AF15" s="1689"/>
      <c r="AG15" s="1689"/>
      <c r="AH15" s="1204"/>
      <c r="AI15" s="533">
        <f>SUM(AI16:AI16)</f>
        <v>30</v>
      </c>
      <c r="AJ15" s="533"/>
    </row>
    <row r="16" spans="1:37" s="58" customFormat="1" ht="23.25" customHeight="1">
      <c r="A16" s="112">
        <v>1</v>
      </c>
      <c r="B16" s="105" t="s">
        <v>391</v>
      </c>
      <c r="C16" s="105" t="s">
        <v>173</v>
      </c>
      <c r="D16" s="505" t="s">
        <v>55</v>
      </c>
      <c r="E16" s="505" t="s">
        <v>55</v>
      </c>
      <c r="F16" s="505" t="s">
        <v>55</v>
      </c>
      <c r="G16" s="505" t="s">
        <v>55</v>
      </c>
      <c r="H16" s="505" t="s">
        <v>55</v>
      </c>
      <c r="I16" s="505" t="s">
        <v>55</v>
      </c>
      <c r="J16" s="505" t="s">
        <v>55</v>
      </c>
      <c r="K16" s="505" t="s">
        <v>55</v>
      </c>
      <c r="L16" s="505" t="s">
        <v>55</v>
      </c>
      <c r="M16" s="505" t="s">
        <v>55</v>
      </c>
      <c r="N16" s="505" t="s">
        <v>55</v>
      </c>
      <c r="O16" s="505" t="s">
        <v>55</v>
      </c>
      <c r="P16" s="505" t="s">
        <v>55</v>
      </c>
      <c r="Q16" s="505" t="s">
        <v>55</v>
      </c>
      <c r="R16" s="505" t="s">
        <v>55</v>
      </c>
      <c r="S16" s="505" t="s">
        <v>55</v>
      </c>
      <c r="T16" s="505" t="s">
        <v>55</v>
      </c>
      <c r="U16" s="505" t="s">
        <v>55</v>
      </c>
      <c r="V16" s="505" t="s">
        <v>55</v>
      </c>
      <c r="W16" s="505" t="s">
        <v>55</v>
      </c>
      <c r="X16" s="505" t="s">
        <v>55</v>
      </c>
      <c r="Y16" s="505" t="s">
        <v>55</v>
      </c>
      <c r="Z16" s="505" t="s">
        <v>55</v>
      </c>
      <c r="AA16" s="505" t="s">
        <v>55</v>
      </c>
      <c r="AB16" s="505" t="s">
        <v>55</v>
      </c>
      <c r="AC16" s="505" t="s">
        <v>55</v>
      </c>
      <c r="AD16" s="505" t="s">
        <v>55</v>
      </c>
      <c r="AE16" s="505" t="s">
        <v>55</v>
      </c>
      <c r="AF16" s="505" t="s">
        <v>55</v>
      </c>
      <c r="AG16" s="505" t="s">
        <v>55</v>
      </c>
      <c r="AH16" s="505"/>
      <c r="AI16" s="229">
        <f>COUNTIF(D16:AH16,"x")+ COUNTIF(D16:AH16,"p")+COUNTIF(D16:AH16,"mn")+COUNTIF(D16:AH16,"T")+COUNTIF(D16:AH16,"VN")</f>
        <v>30</v>
      </c>
      <c r="AJ16" s="229"/>
    </row>
    <row r="17" spans="1:36" ht="15.75" customHeight="1"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1699" t="s">
        <v>695</v>
      </c>
      <c r="U17" s="1699"/>
      <c r="V17" s="1699"/>
      <c r="W17" s="1699"/>
      <c r="X17" s="1699"/>
      <c r="Y17" s="1699"/>
      <c r="Z17" s="1699"/>
      <c r="AA17" s="1699"/>
      <c r="AB17" s="1699"/>
      <c r="AC17" s="1699"/>
      <c r="AD17" s="1699"/>
      <c r="AE17" s="1699"/>
      <c r="AF17" s="1699"/>
      <c r="AG17" s="1699"/>
      <c r="AH17" s="1699"/>
      <c r="AI17" s="1699"/>
      <c r="AJ17" s="1699"/>
    </row>
    <row r="18" spans="1:36" ht="15.75" customHeight="1">
      <c r="B18" s="66" t="s">
        <v>423</v>
      </c>
      <c r="C18" s="1692" t="s">
        <v>424</v>
      </c>
      <c r="D18" s="1692"/>
      <c r="E18" s="1692"/>
      <c r="F18" s="1692"/>
      <c r="G18" s="1692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1206"/>
      <c r="U18" s="1206"/>
      <c r="V18" s="1206"/>
      <c r="W18" s="1206"/>
      <c r="X18" s="1206"/>
      <c r="Y18" s="1206"/>
      <c r="Z18" s="1206"/>
      <c r="AA18" s="1206"/>
      <c r="AB18" s="1206"/>
      <c r="AC18" s="1206"/>
      <c r="AD18" s="1206"/>
      <c r="AE18" s="1206"/>
      <c r="AF18" s="1206"/>
      <c r="AG18" s="1206"/>
      <c r="AH18" s="1206"/>
      <c r="AI18" s="1206"/>
      <c r="AJ18" s="1206"/>
    </row>
    <row r="19" spans="1:36" ht="13.5" customHeight="1">
      <c r="B19" s="66"/>
      <c r="C19" s="1692" t="s">
        <v>503</v>
      </c>
      <c r="D19" s="1692"/>
      <c r="E19" s="1692"/>
      <c r="F19" s="1692"/>
      <c r="G19" s="1692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1206"/>
      <c r="U19" s="1206"/>
      <c r="V19" s="1206"/>
      <c r="W19" s="1206"/>
      <c r="X19" s="1206"/>
      <c r="Y19" s="1206"/>
      <c r="Z19" s="1206"/>
      <c r="AA19" s="1206"/>
      <c r="AB19" s="1206"/>
      <c r="AC19" s="1206"/>
      <c r="AD19" s="1206"/>
      <c r="AE19" s="1206"/>
      <c r="AF19" s="1206"/>
      <c r="AG19" s="1206"/>
      <c r="AH19" s="1206"/>
      <c r="AI19" s="1206"/>
      <c r="AJ19" s="1206"/>
    </row>
    <row r="20" spans="1:36" ht="17.25" customHeight="1">
      <c r="A20" s="1658" t="s">
        <v>732</v>
      </c>
      <c r="B20" s="1658"/>
      <c r="C20" s="1658"/>
      <c r="D20" s="1658"/>
      <c r="E20" s="1658"/>
      <c r="F20" s="1658"/>
      <c r="G20" s="1658"/>
      <c r="H20" s="1658"/>
      <c r="I20" s="1658"/>
      <c r="J20" s="1658"/>
      <c r="K20" s="1658"/>
      <c r="L20" s="1658"/>
      <c r="M20" s="1658"/>
      <c r="N20" s="1658"/>
      <c r="O20" s="1658"/>
      <c r="P20" s="1658"/>
      <c r="Q20" s="1658"/>
      <c r="R20" s="1658"/>
      <c r="S20" s="1658"/>
      <c r="T20" s="1658"/>
      <c r="U20" s="1658"/>
      <c r="V20" s="1658"/>
      <c r="W20" s="1658"/>
      <c r="X20" s="1658"/>
      <c r="Y20" s="1658"/>
      <c r="Z20" s="1658"/>
      <c r="AA20" s="1658"/>
      <c r="AB20" s="1658"/>
      <c r="AC20" s="1658"/>
      <c r="AD20" s="1658"/>
      <c r="AE20" s="1658"/>
      <c r="AF20" s="1658"/>
      <c r="AG20" s="1658"/>
      <c r="AH20" s="1658"/>
      <c r="AI20" s="1658"/>
      <c r="AJ20" s="1658"/>
    </row>
    <row r="21" spans="1:36" ht="15" customHeight="1">
      <c r="A21" s="48"/>
      <c r="B21" s="45"/>
      <c r="C21" s="1207"/>
      <c r="D21" s="48"/>
      <c r="E21" s="48"/>
      <c r="F21" s="48"/>
      <c r="G21" s="48"/>
      <c r="H21" s="48"/>
      <c r="I21" s="62"/>
      <c r="J21" s="62"/>
      <c r="K21" s="62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</row>
    <row r="22" spans="1:36" ht="13.5" customHeight="1">
      <c r="A22" s="48"/>
      <c r="B22" s="275"/>
      <c r="C22" s="1207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63"/>
      <c r="O22" s="63"/>
      <c r="P22" s="63"/>
      <c r="Q22" s="62"/>
      <c r="R22" s="62"/>
      <c r="S22" s="62"/>
      <c r="T22" s="62"/>
      <c r="U22" s="62"/>
      <c r="V22" s="62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2"/>
      <c r="AJ22" s="62"/>
    </row>
    <row r="23" spans="1:36" ht="13.5" customHeight="1">
      <c r="A23" s="48"/>
      <c r="B23" s="275"/>
      <c r="C23" s="1207"/>
      <c r="D23" s="48"/>
      <c r="E23" s="48"/>
      <c r="F23" s="48"/>
      <c r="G23" s="48"/>
      <c r="H23" s="48"/>
      <c r="I23" s="62"/>
      <c r="J23" s="62"/>
      <c r="K23" s="53"/>
      <c r="L23" s="48"/>
      <c r="M23" s="48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</row>
    <row r="24" spans="1:36" ht="13.5" customHeight="1">
      <c r="A24" s="48"/>
      <c r="B24" s="275"/>
      <c r="C24" s="1207"/>
      <c r="D24" s="48"/>
      <c r="E24" s="48"/>
      <c r="F24" s="48"/>
      <c r="G24" s="48"/>
      <c r="H24" s="48"/>
      <c r="I24" s="48"/>
      <c r="J24" s="48"/>
      <c r="K24" s="53"/>
      <c r="L24" s="48"/>
      <c r="M24" s="48"/>
      <c r="N24" s="63"/>
      <c r="O24" s="63"/>
      <c r="P24" s="63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</row>
    <row r="25" spans="1:36" ht="12" customHeight="1">
      <c r="A25" s="48"/>
      <c r="B25" s="275"/>
      <c r="C25" s="64"/>
      <c r="D25" s="48"/>
      <c r="E25" s="48"/>
      <c r="F25" s="48"/>
      <c r="G25" s="48"/>
      <c r="H25" s="48"/>
      <c r="I25" s="48"/>
      <c r="J25" s="48"/>
      <c r="K25" s="53"/>
      <c r="L25" s="48"/>
      <c r="M25" s="48"/>
      <c r="N25" s="63"/>
      <c r="O25" s="63"/>
      <c r="P25" s="63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</row>
    <row r="26" spans="1:36" ht="15.75" customHeight="1">
      <c r="A26" s="48"/>
      <c r="B26" s="1212"/>
      <c r="C26" s="1212"/>
      <c r="D26" s="1212"/>
      <c r="E26" s="1212"/>
      <c r="F26" s="1212"/>
      <c r="G26" s="1212"/>
      <c r="H26" s="1212"/>
      <c r="I26" s="1212"/>
      <c r="J26" s="1212"/>
      <c r="L26" s="48"/>
      <c r="N26" s="53"/>
      <c r="O26" s="53"/>
      <c r="P26" s="53"/>
      <c r="Q26" s="53"/>
      <c r="R26" s="53"/>
      <c r="S26" s="53"/>
      <c r="T26" s="53"/>
      <c r="U26" s="53"/>
      <c r="V26" s="53"/>
      <c r="W26" s="6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</row>
    <row r="27" spans="1:36" ht="13.5" customHeight="1">
      <c r="A27" s="48"/>
      <c r="C27" s="407"/>
      <c r="D27" s="407"/>
      <c r="E27" s="407"/>
      <c r="F27" s="407"/>
      <c r="G27" s="407"/>
      <c r="H27" s="407"/>
      <c r="I27" s="407"/>
      <c r="J27" s="407"/>
      <c r="K27" s="407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</row>
    <row r="28" spans="1:36" ht="13.5" customHeight="1">
      <c r="A28" s="48"/>
      <c r="D28" s="64"/>
      <c r="E28" s="64"/>
      <c r="F28" s="64"/>
      <c r="G28" s="64"/>
      <c r="H28" s="64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</row>
    <row r="29" spans="1:36" ht="16.5">
      <c r="A29" s="59"/>
      <c r="B29" s="48"/>
      <c r="C29" s="60"/>
      <c r="D29" s="60"/>
      <c r="E29" s="48"/>
      <c r="F29" s="48"/>
      <c r="G29" s="48"/>
      <c r="H29" s="48"/>
      <c r="I29" s="61"/>
      <c r="J29" s="61"/>
      <c r="K29" s="48"/>
    </row>
    <row r="30" spans="1:36" ht="15.75">
      <c r="A30" s="48"/>
      <c r="B30" s="45"/>
      <c r="C30" s="1207"/>
      <c r="D30" s="48"/>
      <c r="E30" s="48"/>
      <c r="F30" s="48"/>
      <c r="G30" s="48"/>
      <c r="H30" s="48"/>
      <c r="I30" s="62"/>
      <c r="J30" s="62"/>
      <c r="K30" s="62"/>
    </row>
    <row r="31" spans="1:36">
      <c r="A31" s="48"/>
      <c r="B31" s="275"/>
      <c r="C31" s="1207"/>
      <c r="D31" s="48"/>
      <c r="E31" s="48"/>
      <c r="F31" s="48"/>
      <c r="G31" s="48"/>
      <c r="H31" s="48"/>
      <c r="I31" s="48"/>
      <c r="J31" s="48"/>
      <c r="K31" s="48"/>
    </row>
    <row r="32" spans="1:36" ht="15.75">
      <c r="A32" s="48"/>
      <c r="B32" s="275"/>
      <c r="C32" s="1207"/>
      <c r="D32" s="48"/>
      <c r="E32" s="48"/>
      <c r="F32" s="48"/>
      <c r="G32" s="48"/>
      <c r="H32" s="48"/>
      <c r="I32" s="62"/>
      <c r="J32" s="62"/>
      <c r="K32" s="53"/>
    </row>
    <row r="33" spans="1:11" ht="15.75">
      <c r="A33" s="48"/>
      <c r="B33" s="275"/>
      <c r="C33" s="1207"/>
      <c r="D33" s="48"/>
      <c r="E33" s="48"/>
      <c r="F33" s="48"/>
      <c r="G33" s="48"/>
      <c r="H33" s="48"/>
      <c r="I33" s="48"/>
      <c r="J33" s="48"/>
      <c r="K33" s="53"/>
    </row>
    <row r="34" spans="1:11" ht="15.75">
      <c r="A34" s="48"/>
      <c r="B34" s="275"/>
      <c r="C34" s="64"/>
      <c r="D34" s="48"/>
      <c r="E34" s="48"/>
      <c r="F34" s="48"/>
      <c r="G34" s="48"/>
      <c r="H34" s="48"/>
      <c r="I34" s="48"/>
      <c r="J34" s="48"/>
      <c r="K34" s="53"/>
    </row>
    <row r="35" spans="1:11">
      <c r="A35" s="48"/>
      <c r="B35" s="275"/>
      <c r="C35" s="48"/>
      <c r="D35" s="48"/>
      <c r="E35" s="48"/>
      <c r="F35" s="48"/>
      <c r="G35" s="48"/>
      <c r="H35" s="48"/>
      <c r="I35" s="48"/>
      <c r="J35" s="48"/>
    </row>
    <row r="36" spans="1:11">
      <c r="A36" s="48"/>
      <c r="C36" s="407"/>
      <c r="D36" s="407"/>
      <c r="E36" s="407"/>
      <c r="F36" s="407"/>
      <c r="G36" s="407"/>
      <c r="H36" s="407"/>
      <c r="I36" s="407"/>
      <c r="J36" s="407"/>
      <c r="K36" s="407"/>
    </row>
  </sheetData>
  <mergeCells count="19">
    <mergeCell ref="A9:AJ9"/>
    <mergeCell ref="A8:AJ8"/>
    <mergeCell ref="A1:AJ1"/>
    <mergeCell ref="A2:AJ2"/>
    <mergeCell ref="A3:AJ3"/>
    <mergeCell ref="A5:O5"/>
    <mergeCell ref="A6:K6"/>
    <mergeCell ref="C19:G19"/>
    <mergeCell ref="A20:AJ20"/>
    <mergeCell ref="AJ10:AJ11"/>
    <mergeCell ref="B12:AG12"/>
    <mergeCell ref="B15:AG15"/>
    <mergeCell ref="T17:AJ17"/>
    <mergeCell ref="AI10:AI11"/>
    <mergeCell ref="C18:G18"/>
    <mergeCell ref="A10:A11"/>
    <mergeCell ref="B10:B11"/>
    <mergeCell ref="C10:C11"/>
    <mergeCell ref="D10:AG10"/>
  </mergeCells>
  <printOptions horizontalCentered="1"/>
  <pageMargins left="0.43" right="0.196850393700787" top="0.511811023622047" bottom="0.35433070866141703" header="0.196850393700787" footer="0.23622047244094499"/>
  <pageSetup paperSize="9" scale="96" orientation="landscape" r:id="rId1"/>
  <headerFooter alignWithMargins="0"/>
  <colBreaks count="1" manualBreakCount="1">
    <brk id="36" max="1048575" man="1"/>
  </col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L38"/>
  <sheetViews>
    <sheetView topLeftCell="A7" zoomScale="115" zoomScaleNormal="115" workbookViewId="0">
      <selection activeCell="X15" sqref="X15"/>
    </sheetView>
  </sheetViews>
  <sheetFormatPr defaultColWidth="9.140625" defaultRowHeight="15"/>
  <cols>
    <col min="1" max="1" width="3" style="52" customWidth="1"/>
    <col min="2" max="2" width="16.7109375" style="52" customWidth="1"/>
    <col min="3" max="3" width="10.42578125" style="52" customWidth="1"/>
    <col min="4" max="7" width="3" style="52" customWidth="1"/>
    <col min="8" max="8" width="3" style="65" customWidth="1"/>
    <col min="9" max="31" width="3" style="52" customWidth="1"/>
    <col min="32" max="32" width="3.5703125" style="52" customWidth="1"/>
    <col min="33" max="34" width="3.42578125" style="52" customWidth="1"/>
    <col min="35" max="35" width="6.5703125" style="52" customWidth="1"/>
    <col min="36" max="36" width="9.28515625" style="52" customWidth="1"/>
    <col min="37" max="37" width="9.140625" style="52"/>
    <col min="38" max="38" width="14.85546875" style="52" bestFit="1" customWidth="1"/>
    <col min="39" max="43" width="9.140625" style="52"/>
    <col min="44" max="44" width="15.85546875" style="52" customWidth="1"/>
    <col min="45" max="16384" width="9.140625" style="52"/>
  </cols>
  <sheetData>
    <row r="1" spans="1:37" ht="15" customHeight="1">
      <c r="A1" s="1696" t="s">
        <v>56</v>
      </c>
      <c r="B1" s="1696"/>
      <c r="C1" s="1696"/>
      <c r="D1" s="1696"/>
      <c r="E1" s="1696"/>
      <c r="F1" s="1696"/>
      <c r="G1" s="1696"/>
      <c r="H1" s="1696"/>
      <c r="I1" s="1696"/>
      <c r="J1" s="1696"/>
      <c r="K1" s="1696"/>
      <c r="L1" s="1696"/>
      <c r="M1" s="1696"/>
      <c r="N1" s="1696"/>
      <c r="O1" s="1696"/>
      <c r="P1" s="1696"/>
      <c r="Q1" s="1696"/>
      <c r="R1" s="1696"/>
      <c r="S1" s="1696"/>
      <c r="T1" s="1696"/>
      <c r="U1" s="1696"/>
      <c r="V1" s="1696"/>
      <c r="W1" s="1696"/>
      <c r="X1" s="1696"/>
      <c r="Y1" s="1696"/>
      <c r="Z1" s="1696"/>
      <c r="AA1" s="1696"/>
      <c r="AB1" s="1696"/>
      <c r="AC1" s="1696"/>
      <c r="AD1" s="1696"/>
      <c r="AE1" s="1696"/>
      <c r="AF1" s="1696"/>
      <c r="AG1" s="1696"/>
      <c r="AH1" s="1696"/>
      <c r="AI1" s="1696"/>
      <c r="AJ1" s="1201"/>
    </row>
    <row r="2" spans="1:37" ht="15" customHeight="1">
      <c r="A2" s="1696" t="s">
        <v>50</v>
      </c>
      <c r="B2" s="1696"/>
      <c r="C2" s="1696"/>
      <c r="D2" s="1696"/>
      <c r="E2" s="1696"/>
      <c r="F2" s="1696"/>
      <c r="G2" s="1696"/>
      <c r="H2" s="1696"/>
      <c r="I2" s="1696"/>
      <c r="J2" s="1696"/>
      <c r="K2" s="1696"/>
      <c r="L2" s="1696"/>
      <c r="M2" s="1696"/>
      <c r="N2" s="1696"/>
      <c r="O2" s="1696"/>
      <c r="P2" s="1696"/>
      <c r="Q2" s="1696"/>
      <c r="R2" s="1696"/>
      <c r="S2" s="1696"/>
      <c r="T2" s="1696"/>
      <c r="U2" s="1696"/>
      <c r="V2" s="1696"/>
      <c r="W2" s="1696"/>
      <c r="X2" s="1696"/>
      <c r="Y2" s="1696"/>
      <c r="Z2" s="1696"/>
      <c r="AA2" s="1696"/>
      <c r="AB2" s="1696"/>
      <c r="AC2" s="1696"/>
      <c r="AD2" s="1696"/>
      <c r="AE2" s="1696"/>
      <c r="AF2" s="1696"/>
      <c r="AG2" s="1696"/>
      <c r="AH2" s="1696"/>
      <c r="AI2" s="1696"/>
      <c r="AJ2" s="1201"/>
    </row>
    <row r="3" spans="1:37" ht="17.25" customHeight="1">
      <c r="A3" s="1697" t="s">
        <v>294</v>
      </c>
      <c r="B3" s="1698"/>
      <c r="C3" s="1698"/>
      <c r="D3" s="1698"/>
      <c r="E3" s="1698"/>
      <c r="F3" s="1698"/>
      <c r="G3" s="1698"/>
      <c r="H3" s="1698"/>
      <c r="I3" s="1698"/>
      <c r="J3" s="1698"/>
      <c r="K3" s="1698"/>
      <c r="L3" s="1698"/>
      <c r="M3" s="1698"/>
      <c r="N3" s="1698"/>
      <c r="O3" s="1698"/>
      <c r="P3" s="1698"/>
      <c r="Q3" s="1698"/>
      <c r="R3" s="1698"/>
      <c r="S3" s="1698"/>
      <c r="T3" s="1698"/>
      <c r="U3" s="1698"/>
      <c r="V3" s="1698"/>
      <c r="W3" s="1698"/>
      <c r="X3" s="1698"/>
      <c r="Y3" s="1698"/>
      <c r="Z3" s="1698"/>
      <c r="AA3" s="1698"/>
      <c r="AB3" s="1698"/>
      <c r="AC3" s="1698"/>
      <c r="AD3" s="1698"/>
      <c r="AE3" s="1698"/>
      <c r="AF3" s="1698"/>
      <c r="AG3" s="1698"/>
      <c r="AH3" s="1698"/>
      <c r="AI3" s="1698"/>
      <c r="AJ3" s="1202"/>
    </row>
    <row r="4" spans="1:37" ht="9" customHeight="1">
      <c r="A4" s="61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</row>
    <row r="5" spans="1:37" ht="23.25" customHeight="1">
      <c r="A5" s="1704" t="s">
        <v>0</v>
      </c>
      <c r="B5" s="1704"/>
      <c r="C5" s="1704"/>
      <c r="D5" s="1704"/>
      <c r="E5" s="1704"/>
      <c r="F5" s="1704"/>
      <c r="G5" s="1704"/>
      <c r="H5" s="1704"/>
      <c r="I5" s="1704"/>
      <c r="J5" s="1704"/>
      <c r="K5" s="1704"/>
      <c r="L5" s="1704"/>
      <c r="M5" s="1704"/>
      <c r="N5" s="1704"/>
      <c r="O5" s="1704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</row>
    <row r="6" spans="1:37" ht="18" customHeight="1">
      <c r="A6" s="1704" t="s">
        <v>643</v>
      </c>
      <c r="B6" s="1704"/>
      <c r="C6" s="1704"/>
      <c r="D6" s="1704"/>
      <c r="E6" s="1704"/>
      <c r="F6" s="1704"/>
      <c r="G6" s="1704"/>
      <c r="H6" s="1704"/>
      <c r="I6" s="1704"/>
      <c r="J6" s="1704"/>
      <c r="K6" s="1704"/>
      <c r="L6" s="63"/>
      <c r="M6" s="63"/>
      <c r="N6" s="63"/>
      <c r="O6" s="63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</row>
    <row r="7" spans="1:37" ht="12" customHeight="1">
      <c r="A7" s="328"/>
      <c r="B7" s="328"/>
      <c r="C7" s="328"/>
      <c r="D7" s="328"/>
      <c r="E7" s="328"/>
      <c r="F7" s="328"/>
      <c r="G7" s="328"/>
      <c r="H7" s="328"/>
      <c r="I7" s="328"/>
      <c r="J7" s="328"/>
      <c r="K7" s="32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</row>
    <row r="8" spans="1:37" ht="23.25" customHeight="1">
      <c r="A8" s="1703" t="s">
        <v>502</v>
      </c>
      <c r="B8" s="1703"/>
      <c r="C8" s="1703"/>
      <c r="D8" s="1703"/>
      <c r="E8" s="1703"/>
      <c r="F8" s="1703"/>
      <c r="G8" s="1703"/>
      <c r="H8" s="1703"/>
      <c r="I8" s="1703"/>
      <c r="J8" s="1703"/>
      <c r="K8" s="1703"/>
      <c r="L8" s="1703"/>
      <c r="M8" s="1703"/>
      <c r="N8" s="1703"/>
      <c r="O8" s="1703"/>
      <c r="P8" s="1703"/>
      <c r="Q8" s="1703"/>
      <c r="R8" s="1703"/>
      <c r="S8" s="1703"/>
      <c r="T8" s="1703"/>
      <c r="U8" s="1703"/>
      <c r="V8" s="1703"/>
      <c r="W8" s="1703"/>
      <c r="X8" s="1703"/>
      <c r="Y8" s="1703"/>
      <c r="Z8" s="1703"/>
      <c r="AA8" s="1703"/>
      <c r="AB8" s="1703"/>
      <c r="AC8" s="1703"/>
      <c r="AD8" s="1703"/>
      <c r="AE8" s="1703"/>
      <c r="AF8" s="1703"/>
      <c r="AG8" s="1703"/>
      <c r="AH8" s="1703"/>
      <c r="AI8" s="1703"/>
      <c r="AJ8" s="1200"/>
    </row>
    <row r="9" spans="1:37" ht="18" customHeight="1">
      <c r="A9" s="1368" t="s">
        <v>677</v>
      </c>
      <c r="B9" s="1368"/>
      <c r="C9" s="1368"/>
      <c r="D9" s="1368"/>
      <c r="E9" s="1368"/>
      <c r="F9" s="1368"/>
      <c r="G9" s="1368"/>
      <c r="H9" s="1368"/>
      <c r="I9" s="1368"/>
      <c r="J9" s="1368"/>
      <c r="K9" s="1368"/>
      <c r="L9" s="1368"/>
      <c r="M9" s="1368"/>
      <c r="N9" s="1368"/>
      <c r="O9" s="1368"/>
      <c r="P9" s="1368"/>
      <c r="Q9" s="1368"/>
      <c r="R9" s="1368"/>
      <c r="S9" s="1368"/>
      <c r="T9" s="1368"/>
      <c r="U9" s="1368"/>
      <c r="V9" s="1368"/>
      <c r="W9" s="1368"/>
      <c r="X9" s="1368"/>
      <c r="Y9" s="1368"/>
      <c r="Z9" s="1368"/>
      <c r="AA9" s="1368"/>
      <c r="AB9" s="1368"/>
      <c r="AC9" s="1368"/>
      <c r="AD9" s="1368"/>
      <c r="AE9" s="1368"/>
      <c r="AF9" s="1368"/>
      <c r="AG9" s="1368"/>
      <c r="AH9" s="1368"/>
      <c r="AI9" s="1368"/>
      <c r="AJ9" s="1065"/>
    </row>
    <row r="10" spans="1:37" ht="15" customHeight="1">
      <c r="A10" s="1690" t="s">
        <v>51</v>
      </c>
      <c r="B10" s="1690" t="s">
        <v>52</v>
      </c>
      <c r="C10" s="1690" t="s">
        <v>53</v>
      </c>
      <c r="D10" s="1693" t="s">
        <v>54</v>
      </c>
      <c r="E10" s="1693"/>
      <c r="F10" s="1693"/>
      <c r="G10" s="1693"/>
      <c r="H10" s="1693"/>
      <c r="I10" s="1693"/>
      <c r="J10" s="1693"/>
      <c r="K10" s="1693"/>
      <c r="L10" s="1693"/>
      <c r="M10" s="1693"/>
      <c r="N10" s="1693"/>
      <c r="O10" s="1693"/>
      <c r="P10" s="1693"/>
      <c r="Q10" s="1693"/>
      <c r="R10" s="1693"/>
      <c r="S10" s="1693"/>
      <c r="T10" s="1693"/>
      <c r="U10" s="1693"/>
      <c r="V10" s="1693"/>
      <c r="W10" s="1693"/>
      <c r="X10" s="1693"/>
      <c r="Y10" s="1693"/>
      <c r="Z10" s="1693"/>
      <c r="AA10" s="1693"/>
      <c r="AB10" s="1693"/>
      <c r="AC10" s="1693"/>
      <c r="AD10" s="1693"/>
      <c r="AE10" s="1693"/>
      <c r="AF10" s="1693"/>
      <c r="AG10" s="1693"/>
      <c r="AH10" s="1203"/>
      <c r="AI10" s="1689" t="s">
        <v>37</v>
      </c>
      <c r="AJ10" s="1689" t="s">
        <v>355</v>
      </c>
      <c r="AK10" s="509" t="e">
        <f>#REF!</f>
        <v>#REF!</v>
      </c>
    </row>
    <row r="11" spans="1:37" ht="36.75" customHeight="1">
      <c r="A11" s="1690"/>
      <c r="B11" s="1690"/>
      <c r="C11" s="1690"/>
      <c r="D11" s="1203">
        <v>1</v>
      </c>
      <c r="E11" s="1203">
        <v>2</v>
      </c>
      <c r="F11" s="1203">
        <v>3</v>
      </c>
      <c r="G11" s="1203">
        <v>4</v>
      </c>
      <c r="H11" s="1203">
        <v>5</v>
      </c>
      <c r="I11" s="1203">
        <v>6</v>
      </c>
      <c r="J11" s="1203">
        <v>7</v>
      </c>
      <c r="K11" s="1203">
        <v>8</v>
      </c>
      <c r="L11" s="1203">
        <v>9</v>
      </c>
      <c r="M11" s="1203">
        <v>10</v>
      </c>
      <c r="N11" s="1203">
        <v>11</v>
      </c>
      <c r="O11" s="1203">
        <v>12</v>
      </c>
      <c r="P11" s="1203">
        <v>13</v>
      </c>
      <c r="Q11" s="1203">
        <v>14</v>
      </c>
      <c r="R11" s="1203">
        <v>15</v>
      </c>
      <c r="S11" s="1203">
        <v>16</v>
      </c>
      <c r="T11" s="1203">
        <v>17</v>
      </c>
      <c r="U11" s="1203">
        <v>18</v>
      </c>
      <c r="V11" s="1203">
        <v>19</v>
      </c>
      <c r="W11" s="1203">
        <v>20</v>
      </c>
      <c r="X11" s="1203">
        <v>21</v>
      </c>
      <c r="Y11" s="1203">
        <v>22</v>
      </c>
      <c r="Z11" s="1203">
        <v>23</v>
      </c>
      <c r="AA11" s="1203">
        <v>24</v>
      </c>
      <c r="AB11" s="1203">
        <v>25</v>
      </c>
      <c r="AC11" s="1203">
        <v>26</v>
      </c>
      <c r="AD11" s="1203">
        <v>27</v>
      </c>
      <c r="AE11" s="1203">
        <v>28</v>
      </c>
      <c r="AF11" s="1203">
        <v>29</v>
      </c>
      <c r="AG11" s="1203">
        <v>30</v>
      </c>
      <c r="AH11" s="1203">
        <v>31</v>
      </c>
      <c r="AI11" s="1689"/>
      <c r="AJ11" s="1689"/>
    </row>
    <row r="12" spans="1:37" ht="15" customHeight="1">
      <c r="A12" s="1199" t="s">
        <v>73</v>
      </c>
      <c r="B12" s="1690" t="s">
        <v>95</v>
      </c>
      <c r="C12" s="1690"/>
      <c r="D12" s="1690"/>
      <c r="E12" s="1690"/>
      <c r="F12" s="1690"/>
      <c r="G12" s="1690"/>
      <c r="H12" s="1690"/>
      <c r="I12" s="1690"/>
      <c r="J12" s="1690"/>
      <c r="K12" s="1690"/>
      <c r="L12" s="1690"/>
      <c r="M12" s="1690"/>
      <c r="N12" s="1690"/>
      <c r="O12" s="1690"/>
      <c r="P12" s="1690"/>
      <c r="Q12" s="1690"/>
      <c r="R12" s="1690"/>
      <c r="S12" s="1690"/>
      <c r="T12" s="1690"/>
      <c r="U12" s="1690"/>
      <c r="V12" s="1690"/>
      <c r="W12" s="1690"/>
      <c r="X12" s="1690"/>
      <c r="Y12" s="1690"/>
      <c r="Z12" s="1690"/>
      <c r="AA12" s="1690"/>
      <c r="AB12" s="1690"/>
      <c r="AC12" s="1690"/>
      <c r="AD12" s="1690"/>
      <c r="AE12" s="1690"/>
      <c r="AF12" s="1690"/>
      <c r="AG12" s="1690"/>
      <c r="AH12" s="1199"/>
      <c r="AI12" s="1067">
        <f>SUM(AI13:AI15)</f>
        <v>81</v>
      </c>
      <c r="AJ12" s="1067"/>
    </row>
    <row r="13" spans="1:37" s="58" customFormat="1" ht="27.75" customHeight="1">
      <c r="A13" s="228">
        <v>2</v>
      </c>
      <c r="B13" s="105" t="s">
        <v>363</v>
      </c>
      <c r="C13" s="105" t="s">
        <v>201</v>
      </c>
      <c r="D13" s="228" t="s">
        <v>55</v>
      </c>
      <c r="E13" s="228" t="s">
        <v>55</v>
      </c>
      <c r="F13" s="228" t="s">
        <v>55</v>
      </c>
      <c r="G13" s="228" t="s">
        <v>118</v>
      </c>
      <c r="H13" s="228" t="s">
        <v>55</v>
      </c>
      <c r="I13" s="228" t="s">
        <v>55</v>
      </c>
      <c r="J13" s="228" t="s">
        <v>55</v>
      </c>
      <c r="K13" s="228" t="s">
        <v>55</v>
      </c>
      <c r="L13" s="228" t="s">
        <v>55</v>
      </c>
      <c r="M13" s="228" t="s">
        <v>55</v>
      </c>
      <c r="N13" s="228" t="s">
        <v>118</v>
      </c>
      <c r="O13" s="228" t="s">
        <v>55</v>
      </c>
      <c r="P13" s="228" t="s">
        <v>55</v>
      </c>
      <c r="Q13" s="228" t="s">
        <v>55</v>
      </c>
      <c r="R13" s="228" t="s">
        <v>55</v>
      </c>
      <c r="S13" s="228" t="s">
        <v>55</v>
      </c>
      <c r="T13" s="228" t="s">
        <v>55</v>
      </c>
      <c r="U13" s="228" t="s">
        <v>118</v>
      </c>
      <c r="V13" s="228" t="s">
        <v>55</v>
      </c>
      <c r="W13" s="228" t="s">
        <v>55</v>
      </c>
      <c r="X13" s="228" t="s">
        <v>55</v>
      </c>
      <c r="Y13" s="228" t="s">
        <v>55</v>
      </c>
      <c r="Z13" s="228" t="s">
        <v>55</v>
      </c>
      <c r="AA13" s="228" t="s">
        <v>55</v>
      </c>
      <c r="AB13" s="228" t="s">
        <v>118</v>
      </c>
      <c r="AC13" s="228" t="s">
        <v>55</v>
      </c>
      <c r="AD13" s="228" t="s">
        <v>55</v>
      </c>
      <c r="AE13" s="228" t="s">
        <v>55</v>
      </c>
      <c r="AF13" s="228" t="s">
        <v>55</v>
      </c>
      <c r="AG13" s="228" t="s">
        <v>55</v>
      </c>
      <c r="AH13" s="228" t="s">
        <v>55</v>
      </c>
      <c r="AI13" s="229">
        <f t="shared" ref="AI13:AI18" si="0">COUNTIF(D13:AH13,"x")+ COUNTIF(D13:AH13,"p")+COUNTIF(D13:AH13,"pt")+COUNTIF(D13:AH13,"T")+COUNTIF(D13:AH13,"VN")</f>
        <v>27</v>
      </c>
      <c r="AJ13" s="229"/>
    </row>
    <row r="14" spans="1:37" s="58" customFormat="1" ht="18.75" customHeight="1">
      <c r="A14" s="228">
        <v>4</v>
      </c>
      <c r="B14" s="103" t="s">
        <v>45</v>
      </c>
      <c r="C14" s="103" t="s">
        <v>645</v>
      </c>
      <c r="D14" s="228" t="s">
        <v>55</v>
      </c>
      <c r="E14" s="228" t="s">
        <v>55</v>
      </c>
      <c r="F14" s="228" t="s">
        <v>55</v>
      </c>
      <c r="G14" s="228" t="s">
        <v>118</v>
      </c>
      <c r="H14" s="228" t="s">
        <v>55</v>
      </c>
      <c r="I14" s="228" t="s">
        <v>55</v>
      </c>
      <c r="J14" s="228" t="s">
        <v>55</v>
      </c>
      <c r="K14" s="228" t="s">
        <v>55</v>
      </c>
      <c r="L14" s="228" t="s">
        <v>55</v>
      </c>
      <c r="M14" s="228" t="s">
        <v>55</v>
      </c>
      <c r="N14" s="228" t="s">
        <v>118</v>
      </c>
      <c r="O14" s="228" t="s">
        <v>55</v>
      </c>
      <c r="P14" s="228" t="s">
        <v>55</v>
      </c>
      <c r="Q14" s="228" t="s">
        <v>55</v>
      </c>
      <c r="R14" s="228" t="s">
        <v>55</v>
      </c>
      <c r="S14" s="228" t="s">
        <v>55</v>
      </c>
      <c r="T14" s="228" t="s">
        <v>55</v>
      </c>
      <c r="U14" s="228" t="s">
        <v>118</v>
      </c>
      <c r="V14" s="228" t="s">
        <v>55</v>
      </c>
      <c r="W14" s="228" t="s">
        <v>55</v>
      </c>
      <c r="X14" s="228" t="s">
        <v>55</v>
      </c>
      <c r="Y14" s="228" t="s">
        <v>55</v>
      </c>
      <c r="Z14" s="228" t="s">
        <v>55</v>
      </c>
      <c r="AA14" s="228" t="s">
        <v>55</v>
      </c>
      <c r="AB14" s="228" t="s">
        <v>118</v>
      </c>
      <c r="AC14" s="228" t="s">
        <v>55</v>
      </c>
      <c r="AD14" s="228" t="s">
        <v>55</v>
      </c>
      <c r="AE14" s="228" t="s">
        <v>55</v>
      </c>
      <c r="AF14" s="228" t="s">
        <v>55</v>
      </c>
      <c r="AG14" s="228" t="s">
        <v>55</v>
      </c>
      <c r="AH14" s="228" t="s">
        <v>55</v>
      </c>
      <c r="AI14" s="229">
        <f t="shared" si="0"/>
        <v>27</v>
      </c>
      <c r="AJ14" s="229"/>
    </row>
    <row r="15" spans="1:37" s="58" customFormat="1" ht="19.5" customHeight="1">
      <c r="A15" s="228">
        <v>10</v>
      </c>
      <c r="B15" s="103" t="s">
        <v>325</v>
      </c>
      <c r="C15" s="103" t="s">
        <v>143</v>
      </c>
      <c r="D15" s="228" t="s">
        <v>55</v>
      </c>
      <c r="E15" s="228" t="s">
        <v>55</v>
      </c>
      <c r="F15" s="228" t="s">
        <v>55</v>
      </c>
      <c r="G15" s="228" t="s">
        <v>118</v>
      </c>
      <c r="H15" s="228" t="s">
        <v>55</v>
      </c>
      <c r="I15" s="228" t="s">
        <v>55</v>
      </c>
      <c r="J15" s="228" t="s">
        <v>55</v>
      </c>
      <c r="K15" s="228" t="s">
        <v>55</v>
      </c>
      <c r="L15" s="228" t="s">
        <v>55</v>
      </c>
      <c r="M15" s="228" t="s">
        <v>55</v>
      </c>
      <c r="N15" s="228" t="s">
        <v>118</v>
      </c>
      <c r="O15" s="228" t="s">
        <v>55</v>
      </c>
      <c r="P15" s="228" t="s">
        <v>55</v>
      </c>
      <c r="Q15" s="228" t="s">
        <v>55</v>
      </c>
      <c r="R15" s="228" t="s">
        <v>55</v>
      </c>
      <c r="S15" s="228" t="s">
        <v>55</v>
      </c>
      <c r="T15" s="228" t="s">
        <v>55</v>
      </c>
      <c r="U15" s="228" t="s">
        <v>118</v>
      </c>
      <c r="V15" s="228" t="s">
        <v>55</v>
      </c>
      <c r="W15" s="228" t="s">
        <v>55</v>
      </c>
      <c r="X15" s="228" t="s">
        <v>55</v>
      </c>
      <c r="Y15" s="228" t="s">
        <v>55</v>
      </c>
      <c r="Z15" s="228" t="s">
        <v>55</v>
      </c>
      <c r="AA15" s="228" t="s">
        <v>55</v>
      </c>
      <c r="AB15" s="228" t="s">
        <v>118</v>
      </c>
      <c r="AC15" s="228" t="s">
        <v>55</v>
      </c>
      <c r="AD15" s="228" t="s">
        <v>55</v>
      </c>
      <c r="AE15" s="228" t="s">
        <v>55</v>
      </c>
      <c r="AF15" s="228" t="s">
        <v>55</v>
      </c>
      <c r="AG15" s="228" t="s">
        <v>55</v>
      </c>
      <c r="AH15" s="228" t="s">
        <v>55</v>
      </c>
      <c r="AI15" s="229">
        <f t="shared" si="0"/>
        <v>27</v>
      </c>
      <c r="AJ15" s="229"/>
    </row>
    <row r="16" spans="1:37" s="58" customFormat="1" ht="19.5" customHeight="1">
      <c r="A16" s="1203" t="s">
        <v>65</v>
      </c>
      <c r="B16" s="1693" t="s">
        <v>361</v>
      </c>
      <c r="C16" s="1693"/>
      <c r="D16" s="1693"/>
      <c r="E16" s="1693"/>
      <c r="F16" s="1693"/>
      <c r="G16" s="1693"/>
      <c r="H16" s="1693"/>
      <c r="I16" s="1693"/>
      <c r="J16" s="1693"/>
      <c r="K16" s="1693"/>
      <c r="L16" s="1693"/>
      <c r="M16" s="1693"/>
      <c r="N16" s="1693"/>
      <c r="O16" s="1693"/>
      <c r="P16" s="1693"/>
      <c r="Q16" s="1693"/>
      <c r="R16" s="1693"/>
      <c r="S16" s="1693"/>
      <c r="T16" s="1693"/>
      <c r="U16" s="1693"/>
      <c r="V16" s="1693"/>
      <c r="W16" s="1693"/>
      <c r="X16" s="1693"/>
      <c r="Y16" s="1693"/>
      <c r="Z16" s="1693"/>
      <c r="AA16" s="1693"/>
      <c r="AB16" s="1693"/>
      <c r="AC16" s="1693"/>
      <c r="AD16" s="1693"/>
      <c r="AE16" s="1693"/>
      <c r="AF16" s="1693"/>
      <c r="AG16" s="1693"/>
      <c r="AH16" s="1203"/>
      <c r="AI16" s="1068">
        <f>SUM(AI17:AI18)</f>
        <v>54</v>
      </c>
      <c r="AJ16" s="1068"/>
    </row>
    <row r="17" spans="1:38" s="58" customFormat="1" ht="23.25" customHeight="1">
      <c r="A17" s="112">
        <v>1</v>
      </c>
      <c r="B17" s="103" t="s">
        <v>324</v>
      </c>
      <c r="C17" s="105" t="s">
        <v>402</v>
      </c>
      <c r="D17" s="228" t="s">
        <v>55</v>
      </c>
      <c r="E17" s="228" t="s">
        <v>55</v>
      </c>
      <c r="F17" s="228" t="s">
        <v>55</v>
      </c>
      <c r="G17" s="228" t="s">
        <v>118</v>
      </c>
      <c r="H17" s="228" t="s">
        <v>55</v>
      </c>
      <c r="I17" s="228" t="s">
        <v>55</v>
      </c>
      <c r="J17" s="228" t="s">
        <v>55</v>
      </c>
      <c r="K17" s="228" t="s">
        <v>55</v>
      </c>
      <c r="L17" s="228" t="s">
        <v>55</v>
      </c>
      <c r="M17" s="228" t="s">
        <v>55</v>
      </c>
      <c r="N17" s="228" t="s">
        <v>118</v>
      </c>
      <c r="O17" s="228" t="s">
        <v>55</v>
      </c>
      <c r="P17" s="228" t="s">
        <v>55</v>
      </c>
      <c r="Q17" s="228" t="s">
        <v>55</v>
      </c>
      <c r="R17" s="228" t="s">
        <v>55</v>
      </c>
      <c r="S17" s="228" t="s">
        <v>55</v>
      </c>
      <c r="T17" s="228" t="s">
        <v>55</v>
      </c>
      <c r="U17" s="228" t="s">
        <v>118</v>
      </c>
      <c r="V17" s="228" t="s">
        <v>55</v>
      </c>
      <c r="W17" s="228" t="s">
        <v>55</v>
      </c>
      <c r="X17" s="228" t="s">
        <v>55</v>
      </c>
      <c r="Y17" s="228" t="s">
        <v>55</v>
      </c>
      <c r="Z17" s="228" t="s">
        <v>55</v>
      </c>
      <c r="AA17" s="228" t="s">
        <v>55</v>
      </c>
      <c r="AB17" s="228" t="s">
        <v>118</v>
      </c>
      <c r="AC17" s="228" t="s">
        <v>55</v>
      </c>
      <c r="AD17" s="228" t="s">
        <v>55</v>
      </c>
      <c r="AE17" s="228" t="s">
        <v>55</v>
      </c>
      <c r="AF17" s="228" t="s">
        <v>55</v>
      </c>
      <c r="AG17" s="228" t="s">
        <v>55</v>
      </c>
      <c r="AH17" s="228" t="s">
        <v>55</v>
      </c>
      <c r="AI17" s="229">
        <f t="shared" si="0"/>
        <v>27</v>
      </c>
      <c r="AJ17" s="229"/>
    </row>
    <row r="18" spans="1:38" s="58" customFormat="1" ht="23.25" customHeight="1">
      <c r="A18" s="112">
        <v>2</v>
      </c>
      <c r="B18" s="103" t="s">
        <v>323</v>
      </c>
      <c r="C18" s="105" t="s">
        <v>403</v>
      </c>
      <c r="D18" s="228" t="s">
        <v>55</v>
      </c>
      <c r="E18" s="228" t="s">
        <v>55</v>
      </c>
      <c r="F18" s="228" t="s">
        <v>55</v>
      </c>
      <c r="G18" s="228" t="s">
        <v>118</v>
      </c>
      <c r="H18" s="228" t="s">
        <v>55</v>
      </c>
      <c r="I18" s="228" t="s">
        <v>55</v>
      </c>
      <c r="J18" s="228" t="s">
        <v>55</v>
      </c>
      <c r="K18" s="228" t="s">
        <v>55</v>
      </c>
      <c r="L18" s="228" t="s">
        <v>55</v>
      </c>
      <c r="M18" s="228" t="s">
        <v>55</v>
      </c>
      <c r="N18" s="228" t="s">
        <v>118</v>
      </c>
      <c r="O18" s="228" t="s">
        <v>55</v>
      </c>
      <c r="P18" s="228" t="s">
        <v>55</v>
      </c>
      <c r="Q18" s="228" t="s">
        <v>55</v>
      </c>
      <c r="R18" s="228" t="s">
        <v>55</v>
      </c>
      <c r="S18" s="228" t="s">
        <v>55</v>
      </c>
      <c r="T18" s="228" t="s">
        <v>55</v>
      </c>
      <c r="U18" s="228" t="s">
        <v>118</v>
      </c>
      <c r="V18" s="228" t="s">
        <v>55</v>
      </c>
      <c r="W18" s="228" t="s">
        <v>55</v>
      </c>
      <c r="X18" s="228" t="s">
        <v>55</v>
      </c>
      <c r="Y18" s="228" t="s">
        <v>55</v>
      </c>
      <c r="Z18" s="228" t="s">
        <v>55</v>
      </c>
      <c r="AA18" s="228" t="s">
        <v>55</v>
      </c>
      <c r="AB18" s="228" t="s">
        <v>118</v>
      </c>
      <c r="AC18" s="228" t="s">
        <v>55</v>
      </c>
      <c r="AD18" s="228" t="s">
        <v>55</v>
      </c>
      <c r="AE18" s="228" t="s">
        <v>55</v>
      </c>
      <c r="AF18" s="228" t="s">
        <v>55</v>
      </c>
      <c r="AG18" s="228" t="s">
        <v>55</v>
      </c>
      <c r="AH18" s="228" t="s">
        <v>55</v>
      </c>
      <c r="AI18" s="229">
        <f t="shared" si="0"/>
        <v>27</v>
      </c>
      <c r="AJ18" s="229"/>
    </row>
    <row r="19" spans="1:38" s="58" customFormat="1" ht="23.25" customHeight="1">
      <c r="A19" s="532" t="s">
        <v>96</v>
      </c>
      <c r="B19" s="1693" t="s">
        <v>134</v>
      </c>
      <c r="C19" s="1693"/>
      <c r="D19" s="1693"/>
      <c r="E19" s="1693"/>
      <c r="F19" s="1693"/>
      <c r="G19" s="1693"/>
      <c r="H19" s="1693"/>
      <c r="I19" s="1693"/>
      <c r="J19" s="1693"/>
      <c r="K19" s="1693"/>
      <c r="L19" s="1693"/>
      <c r="M19" s="1693"/>
      <c r="N19" s="1693"/>
      <c r="O19" s="1693"/>
      <c r="P19" s="1693"/>
      <c r="Q19" s="1693"/>
      <c r="R19" s="1693"/>
      <c r="S19" s="1693"/>
      <c r="T19" s="1693"/>
      <c r="U19" s="1693"/>
      <c r="V19" s="1693"/>
      <c r="W19" s="1693"/>
      <c r="X19" s="1693"/>
      <c r="Y19" s="1693"/>
      <c r="Z19" s="1693"/>
      <c r="AA19" s="1693"/>
      <c r="AB19" s="1693"/>
      <c r="AC19" s="1693"/>
      <c r="AD19" s="1693"/>
      <c r="AE19" s="1693"/>
      <c r="AF19" s="1693"/>
      <c r="AG19" s="1693"/>
      <c r="AH19" s="228"/>
      <c r="AI19" s="230">
        <f>SUM(AI20:AI21)</f>
        <v>54</v>
      </c>
      <c r="AJ19" s="229"/>
      <c r="AL19" s="1069"/>
    </row>
    <row r="20" spans="1:38" s="58" customFormat="1" ht="23.25" customHeight="1">
      <c r="A20" s="112">
        <v>1</v>
      </c>
      <c r="B20" s="103" t="s">
        <v>131</v>
      </c>
      <c r="C20" s="103" t="s">
        <v>201</v>
      </c>
      <c r="D20" s="228" t="s">
        <v>55</v>
      </c>
      <c r="E20" s="228" t="s">
        <v>587</v>
      </c>
      <c r="F20" s="228" t="s">
        <v>587</v>
      </c>
      <c r="G20" s="228" t="s">
        <v>118</v>
      </c>
      <c r="H20" s="228" t="s">
        <v>587</v>
      </c>
      <c r="I20" s="228" t="s">
        <v>587</v>
      </c>
      <c r="J20" s="228" t="s">
        <v>587</v>
      </c>
      <c r="K20" s="228" t="s">
        <v>587</v>
      </c>
      <c r="L20" s="228" t="s">
        <v>55</v>
      </c>
      <c r="M20" s="228" t="s">
        <v>55</v>
      </c>
      <c r="N20" s="228" t="s">
        <v>118</v>
      </c>
      <c r="O20" s="228" t="s">
        <v>55</v>
      </c>
      <c r="P20" s="228" t="s">
        <v>55</v>
      </c>
      <c r="Q20" s="228" t="s">
        <v>55</v>
      </c>
      <c r="R20" s="228" t="s">
        <v>55</v>
      </c>
      <c r="S20" s="228" t="s">
        <v>55</v>
      </c>
      <c r="T20" s="228" t="s">
        <v>55</v>
      </c>
      <c r="U20" s="228" t="s">
        <v>118</v>
      </c>
      <c r="V20" s="228" t="s">
        <v>55</v>
      </c>
      <c r="W20" s="228" t="s">
        <v>55</v>
      </c>
      <c r="X20" s="228" t="s">
        <v>55</v>
      </c>
      <c r="Y20" s="228" t="s">
        <v>55</v>
      </c>
      <c r="Z20" s="228" t="s">
        <v>55</v>
      </c>
      <c r="AA20" s="228" t="s">
        <v>55</v>
      </c>
      <c r="AB20" s="228" t="s">
        <v>118</v>
      </c>
      <c r="AC20" s="228" t="s">
        <v>55</v>
      </c>
      <c r="AD20" s="228" t="s">
        <v>55</v>
      </c>
      <c r="AE20" s="228" t="s">
        <v>55</v>
      </c>
      <c r="AF20" s="228" t="s">
        <v>55</v>
      </c>
      <c r="AG20" s="228" t="s">
        <v>55</v>
      </c>
      <c r="AH20" s="228" t="s">
        <v>55</v>
      </c>
      <c r="AI20" s="229">
        <f>COUNTIF(D20:AH20,"x")+ COUNTIF(D20:AH20,"p")+COUNTIF(D20:AH20,"pt")+COUNTIF(D20:AH20,"T")+COUNTIF(D20:AH20,"VN")</f>
        <v>27</v>
      </c>
      <c r="AJ20" s="229"/>
      <c r="AL20" s="1069"/>
    </row>
    <row r="21" spans="1:38" s="58" customFormat="1" ht="23.25" customHeight="1">
      <c r="A21" s="112">
        <v>2</v>
      </c>
      <c r="B21" s="103" t="s">
        <v>47</v>
      </c>
      <c r="C21" s="103" t="s">
        <v>201</v>
      </c>
      <c r="D21" s="228" t="s">
        <v>55</v>
      </c>
      <c r="E21" s="228" t="s">
        <v>55</v>
      </c>
      <c r="F21" s="228" t="s">
        <v>55</v>
      </c>
      <c r="G21" s="228" t="s">
        <v>118</v>
      </c>
      <c r="H21" s="228" t="s">
        <v>55</v>
      </c>
      <c r="I21" s="228" t="s">
        <v>55</v>
      </c>
      <c r="J21" s="228" t="s">
        <v>55</v>
      </c>
      <c r="K21" s="228" t="s">
        <v>55</v>
      </c>
      <c r="L21" s="228" t="s">
        <v>55</v>
      </c>
      <c r="M21" s="228" t="s">
        <v>55</v>
      </c>
      <c r="N21" s="228" t="s">
        <v>118</v>
      </c>
      <c r="O21" s="228" t="s">
        <v>55</v>
      </c>
      <c r="P21" s="228" t="s">
        <v>55</v>
      </c>
      <c r="Q21" s="228" t="s">
        <v>55</v>
      </c>
      <c r="R21" s="228" t="s">
        <v>55</v>
      </c>
      <c r="S21" s="228" t="s">
        <v>55</v>
      </c>
      <c r="T21" s="228" t="s">
        <v>55</v>
      </c>
      <c r="U21" s="228" t="s">
        <v>118</v>
      </c>
      <c r="V21" s="228" t="s">
        <v>55</v>
      </c>
      <c r="W21" s="228" t="s">
        <v>55</v>
      </c>
      <c r="X21" s="228" t="s">
        <v>55</v>
      </c>
      <c r="Y21" s="228" t="s">
        <v>55</v>
      </c>
      <c r="Z21" s="228" t="s">
        <v>55</v>
      </c>
      <c r="AA21" s="228" t="s">
        <v>55</v>
      </c>
      <c r="AB21" s="228" t="s">
        <v>118</v>
      </c>
      <c r="AC21" s="228" t="s">
        <v>55</v>
      </c>
      <c r="AD21" s="228" t="s">
        <v>587</v>
      </c>
      <c r="AE21" s="228" t="s">
        <v>587</v>
      </c>
      <c r="AF21" s="228" t="s">
        <v>587</v>
      </c>
      <c r="AG21" s="228" t="s">
        <v>587</v>
      </c>
      <c r="AH21" s="228" t="s">
        <v>587</v>
      </c>
      <c r="AI21" s="229">
        <f>COUNTIF(D21:AH21,"x")+ COUNTIF(D21:AH21,"p")+COUNTIF(D21:AH21,"pt")+COUNTIF(D21:AH21,"T")+COUNTIF(D21:AH21,"VN")</f>
        <v>27</v>
      </c>
      <c r="AJ21" s="229"/>
      <c r="AL21" s="1069"/>
    </row>
    <row r="22" spans="1:38" s="58" customFormat="1" ht="16.5" customHeight="1">
      <c r="A22" s="1370" t="s">
        <v>158</v>
      </c>
      <c r="B22" s="1370"/>
      <c r="C22" s="1370"/>
      <c r="D22" s="1197"/>
      <c r="E22" s="1197"/>
      <c r="F22" s="1197"/>
      <c r="G22" s="1197"/>
      <c r="H22" s="1197"/>
      <c r="I22" s="1197"/>
      <c r="J22" s="1197"/>
      <c r="K22" s="1197"/>
      <c r="L22" s="1197"/>
      <c r="M22" s="1197"/>
      <c r="N22" s="1197"/>
      <c r="O22" s="1197"/>
      <c r="P22" s="1197"/>
      <c r="Q22" s="1197"/>
      <c r="R22" s="1197"/>
      <c r="S22" s="1197"/>
      <c r="T22" s="1197"/>
      <c r="U22" s="1197"/>
      <c r="V22" s="1197"/>
      <c r="W22" s="1197"/>
      <c r="X22" s="1197"/>
      <c r="Y22" s="1197"/>
      <c r="Z22" s="1197"/>
      <c r="AA22" s="1197"/>
      <c r="AB22" s="1197"/>
      <c r="AC22" s="1197"/>
      <c r="AD22" s="1197"/>
      <c r="AE22" s="1197"/>
      <c r="AF22" s="1197"/>
      <c r="AG22" s="1197"/>
      <c r="AH22" s="1197"/>
      <c r="AI22" s="917">
        <f>AI12+AI16+AI19</f>
        <v>189</v>
      </c>
      <c r="AJ22" s="229"/>
    </row>
    <row r="23" spans="1:38" ht="15.75" customHeight="1"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1691" t="s">
        <v>693</v>
      </c>
      <c r="U23" s="1691"/>
      <c r="V23" s="1691"/>
      <c r="W23" s="1691"/>
      <c r="X23" s="1691"/>
      <c r="Y23" s="1691"/>
      <c r="Z23" s="1691"/>
      <c r="AA23" s="1691"/>
      <c r="AB23" s="1691"/>
      <c r="AC23" s="1691"/>
      <c r="AD23" s="1691"/>
      <c r="AE23" s="1691"/>
      <c r="AF23" s="1691"/>
      <c r="AG23" s="1691"/>
      <c r="AH23" s="1691"/>
      <c r="AI23" s="1691"/>
      <c r="AJ23" s="1206"/>
    </row>
    <row r="24" spans="1:38" ht="17.25" customHeight="1">
      <c r="A24" s="1702" t="s">
        <v>733</v>
      </c>
      <c r="B24" s="1702"/>
      <c r="C24" s="1702"/>
      <c r="D24" s="1702"/>
      <c r="E24" s="1702"/>
      <c r="F24" s="1702"/>
      <c r="G24" s="1702"/>
      <c r="H24" s="1702"/>
      <c r="I24" s="1702"/>
      <c r="J24" s="1702"/>
      <c r="K24" s="1702"/>
      <c r="L24" s="1702"/>
      <c r="M24" s="1702"/>
      <c r="N24" s="1702"/>
      <c r="O24" s="1702"/>
      <c r="P24" s="1702"/>
      <c r="Q24" s="1702"/>
      <c r="R24" s="1702"/>
      <c r="S24" s="1702"/>
      <c r="T24" s="1702"/>
      <c r="U24" s="1702"/>
      <c r="V24" s="1702"/>
      <c r="W24" s="1702"/>
      <c r="X24" s="1702"/>
      <c r="Y24" s="1702"/>
      <c r="Z24" s="1702"/>
      <c r="AA24" s="1702"/>
      <c r="AB24" s="1702"/>
      <c r="AC24" s="1702"/>
      <c r="AD24" s="1702"/>
      <c r="AE24" s="1702"/>
      <c r="AF24" s="1702"/>
      <c r="AG24" s="1702"/>
      <c r="AH24" s="1702"/>
      <c r="AI24" s="1702"/>
      <c r="AJ24" s="1702"/>
    </row>
    <row r="25" spans="1:38" ht="15" customHeight="1">
      <c r="A25" s="48"/>
      <c r="B25" s="45"/>
      <c r="C25" s="1207"/>
      <c r="D25" s="48"/>
      <c r="E25" s="48"/>
      <c r="F25" s="48"/>
      <c r="G25" s="48"/>
      <c r="H25" s="48"/>
      <c r="I25" s="62"/>
      <c r="J25" s="62"/>
      <c r="K25" s="62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</row>
    <row r="26" spans="1:38" ht="13.5" customHeight="1">
      <c r="A26" s="48"/>
      <c r="B26" s="275"/>
      <c r="C26" s="1207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63"/>
      <c r="O26" s="63"/>
      <c r="P26" s="63"/>
      <c r="Q26" s="62"/>
      <c r="R26" s="62"/>
      <c r="S26" s="62"/>
      <c r="T26" s="62"/>
      <c r="U26" s="62"/>
      <c r="V26" s="62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2"/>
      <c r="AJ26" s="62"/>
    </row>
    <row r="27" spans="1:38" ht="13.5" customHeight="1">
      <c r="A27" s="48"/>
      <c r="B27" s="275"/>
      <c r="C27" s="1207"/>
      <c r="D27" s="48"/>
      <c r="E27" s="48"/>
      <c r="F27" s="48"/>
      <c r="G27" s="48"/>
      <c r="H27" s="48"/>
      <c r="I27" s="62"/>
      <c r="J27" s="62"/>
      <c r="K27" s="53"/>
      <c r="L27" s="48"/>
      <c r="M27" s="48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</row>
    <row r="28" spans="1:38" ht="13.5" customHeight="1">
      <c r="A28" s="48"/>
      <c r="B28" s="275"/>
      <c r="C28" s="1207"/>
      <c r="D28" s="48"/>
      <c r="E28" s="48"/>
      <c r="F28" s="48"/>
      <c r="G28" s="48"/>
      <c r="H28" s="48"/>
      <c r="I28" s="48"/>
      <c r="J28" s="48"/>
      <c r="K28" s="53"/>
      <c r="L28" s="48"/>
      <c r="M28" s="48"/>
      <c r="N28" s="63"/>
      <c r="O28" s="63"/>
      <c r="P28" s="63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</row>
    <row r="29" spans="1:38" ht="12" customHeight="1">
      <c r="A29" s="48"/>
      <c r="B29" s="275"/>
      <c r="C29" s="64"/>
      <c r="D29" s="48"/>
      <c r="E29" s="48"/>
      <c r="F29" s="48"/>
      <c r="G29" s="48"/>
      <c r="H29" s="48"/>
      <c r="I29" s="48"/>
      <c r="J29" s="48"/>
      <c r="K29" s="53"/>
      <c r="L29" s="48"/>
      <c r="M29" s="48"/>
      <c r="N29" s="63"/>
      <c r="O29" s="63"/>
      <c r="P29" s="63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</row>
    <row r="30" spans="1:38" ht="15.75" customHeight="1">
      <c r="A30" s="48"/>
      <c r="B30" s="275"/>
      <c r="C30" s="48"/>
      <c r="D30" s="48"/>
      <c r="E30" s="48"/>
      <c r="F30" s="48"/>
      <c r="G30" s="48"/>
      <c r="H30" s="48"/>
      <c r="I30" s="48"/>
      <c r="J30" s="48"/>
      <c r="L30" s="48"/>
      <c r="M30" s="1212"/>
      <c r="N30" s="1212"/>
      <c r="O30" s="1212"/>
      <c r="P30" s="1212"/>
      <c r="Q30" s="1212"/>
      <c r="R30" s="1212"/>
      <c r="S30" s="1212"/>
      <c r="T30" s="1212"/>
      <c r="U30" s="1212"/>
      <c r="V30" s="1212"/>
      <c r="W30" s="6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1205"/>
    </row>
    <row r="31" spans="1:38" ht="13.5" customHeight="1">
      <c r="A31" s="48"/>
      <c r="C31" s="407"/>
      <c r="D31" s="407"/>
      <c r="E31" s="407"/>
      <c r="F31" s="407"/>
      <c r="G31" s="407"/>
      <c r="H31" s="407"/>
      <c r="I31" s="407"/>
      <c r="J31" s="407"/>
      <c r="K31" s="407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</row>
    <row r="32" spans="1:38" ht="13.5" customHeight="1">
      <c r="A32" s="48"/>
      <c r="D32" s="64"/>
      <c r="E32" s="64"/>
      <c r="F32" s="64"/>
      <c r="G32" s="64"/>
      <c r="H32" s="64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</row>
    <row r="33" spans="1:12" ht="15.75" customHeight="1">
      <c r="A33" s="48"/>
      <c r="B33" s="45" t="s">
        <v>425</v>
      </c>
      <c r="C33" s="1700" t="s">
        <v>428</v>
      </c>
      <c r="D33" s="1700"/>
      <c r="E33" s="1700"/>
      <c r="F33" s="1700"/>
      <c r="G33" s="1700"/>
      <c r="H33" s="1700"/>
      <c r="I33" s="1700"/>
      <c r="J33" s="1700"/>
      <c r="K33" s="1700"/>
      <c r="L33" s="1700"/>
    </row>
    <row r="34" spans="1:12">
      <c r="A34" s="48"/>
      <c r="B34" s="275"/>
      <c r="C34" s="1701" t="s">
        <v>429</v>
      </c>
      <c r="D34" s="1701"/>
      <c r="E34" s="1701"/>
      <c r="F34" s="1701"/>
      <c r="G34" s="1701"/>
      <c r="H34" s="1701"/>
      <c r="I34" s="1701"/>
      <c r="J34" s="1701"/>
      <c r="K34" s="1701"/>
      <c r="L34" s="1701"/>
    </row>
    <row r="35" spans="1:12">
      <c r="C35" s="1700" t="s">
        <v>427</v>
      </c>
      <c r="D35" s="1700"/>
      <c r="E35" s="1700"/>
      <c r="F35" s="1700"/>
      <c r="G35" s="1700"/>
      <c r="H35" s="1700"/>
      <c r="I35" s="1700"/>
      <c r="J35" s="1700"/>
      <c r="K35" s="1700"/>
      <c r="L35" s="1700"/>
    </row>
    <row r="36" spans="1:12">
      <c r="C36" s="1700" t="s">
        <v>539</v>
      </c>
      <c r="D36" s="1700"/>
      <c r="E36" s="1700"/>
      <c r="F36" s="1700"/>
      <c r="G36" s="1700"/>
      <c r="H36" s="1700"/>
      <c r="I36" s="1700"/>
      <c r="J36" s="1700"/>
      <c r="K36" s="1700"/>
      <c r="L36" s="1700"/>
    </row>
    <row r="37" spans="1:12">
      <c r="C37" s="52" t="s">
        <v>538</v>
      </c>
    </row>
    <row r="38" spans="1:12">
      <c r="C38" s="52" t="s">
        <v>588</v>
      </c>
    </row>
  </sheetData>
  <mergeCells count="23">
    <mergeCell ref="A9:AI9"/>
    <mergeCell ref="A10:A11"/>
    <mergeCell ref="B10:B11"/>
    <mergeCell ref="C10:C11"/>
    <mergeCell ref="D10:AG10"/>
    <mergeCell ref="AI10:AI11"/>
    <mergeCell ref="A8:AI8"/>
    <mergeCell ref="A1:AI1"/>
    <mergeCell ref="A2:AI2"/>
    <mergeCell ref="A3:AI3"/>
    <mergeCell ref="A5:O5"/>
    <mergeCell ref="A6:K6"/>
    <mergeCell ref="B12:AG12"/>
    <mergeCell ref="B16:AG16"/>
    <mergeCell ref="B19:AG19"/>
    <mergeCell ref="AJ10:AJ11"/>
    <mergeCell ref="C36:L36"/>
    <mergeCell ref="T23:AI23"/>
    <mergeCell ref="C34:L34"/>
    <mergeCell ref="C35:L35"/>
    <mergeCell ref="A22:C22"/>
    <mergeCell ref="C33:L33"/>
    <mergeCell ref="A24:AJ24"/>
  </mergeCells>
  <printOptions horizontalCentered="1"/>
  <pageMargins left="0.43307086614173229" right="0.19685039370078741" top="0.51181102362204722" bottom="0.35433070866141736" header="0.19685039370078741" footer="0.23622047244094491"/>
  <pageSetup paperSize="9" orientation="landscape" r:id="rId1"/>
  <headerFooter alignWithMargins="0"/>
  <colBreaks count="1" manualBreakCount="1">
    <brk id="38" max="1048575" man="1"/>
  </colBrea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I37"/>
  <sheetViews>
    <sheetView topLeftCell="A4" zoomScale="70" zoomScaleNormal="70" workbookViewId="0">
      <selection activeCell="J27" sqref="J27"/>
    </sheetView>
  </sheetViews>
  <sheetFormatPr defaultColWidth="9.140625" defaultRowHeight="15"/>
  <cols>
    <col min="1" max="1" width="12.7109375" style="956" customWidth="1"/>
    <col min="2" max="2" width="17.5703125" style="956" customWidth="1"/>
    <col min="3" max="5" width="13.140625" style="956" customWidth="1"/>
    <col min="6" max="6" width="18.28515625" style="956" customWidth="1"/>
    <col min="7" max="7" width="18" style="956" customWidth="1"/>
    <col min="8" max="9" width="13.140625" style="956" customWidth="1"/>
    <col min="10" max="10" width="19.28515625" style="956" customWidth="1"/>
    <col min="11" max="15" width="13.140625" style="956" customWidth="1"/>
    <col min="16" max="16" width="22.7109375" style="956" customWidth="1"/>
    <col min="17" max="16384" width="9.140625" style="956"/>
  </cols>
  <sheetData>
    <row r="2" spans="1:35" ht="16.5">
      <c r="A2" s="1696" t="s">
        <v>56</v>
      </c>
      <c r="B2" s="1696"/>
      <c r="C2" s="1696"/>
      <c r="D2" s="1696"/>
      <c r="E2" s="1696"/>
      <c r="F2" s="1696"/>
      <c r="G2" s="1696"/>
      <c r="H2" s="1696"/>
      <c r="I2" s="1696"/>
      <c r="J2" s="1696"/>
      <c r="K2" s="1696"/>
      <c r="L2" s="1696"/>
      <c r="M2" s="1696"/>
      <c r="N2" s="1696"/>
      <c r="O2" s="1696"/>
      <c r="P2" s="1696"/>
      <c r="Q2" s="961"/>
      <c r="R2" s="961"/>
      <c r="S2" s="961"/>
      <c r="T2" s="961"/>
      <c r="U2" s="961"/>
      <c r="V2" s="961"/>
      <c r="W2" s="961"/>
      <c r="X2" s="961"/>
      <c r="Y2" s="961"/>
      <c r="Z2" s="961"/>
      <c r="AA2" s="961"/>
      <c r="AB2" s="961"/>
      <c r="AC2" s="961"/>
      <c r="AD2" s="961"/>
      <c r="AE2" s="961"/>
      <c r="AF2" s="961"/>
      <c r="AG2" s="961"/>
      <c r="AH2" s="961"/>
      <c r="AI2" s="961"/>
    </row>
    <row r="3" spans="1:35" ht="16.5">
      <c r="A3" s="1696" t="s">
        <v>50</v>
      </c>
      <c r="B3" s="1696"/>
      <c r="C3" s="1696"/>
      <c r="D3" s="1696"/>
      <c r="E3" s="1696"/>
      <c r="F3" s="1696"/>
      <c r="G3" s="1696"/>
      <c r="H3" s="1696"/>
      <c r="I3" s="1696"/>
      <c r="J3" s="1696"/>
      <c r="K3" s="1696"/>
      <c r="L3" s="1696"/>
      <c r="M3" s="1696"/>
      <c r="N3" s="1696"/>
      <c r="O3" s="1696"/>
      <c r="P3" s="1696"/>
      <c r="Q3" s="961"/>
      <c r="R3" s="961"/>
      <c r="S3" s="961"/>
      <c r="T3" s="961"/>
      <c r="U3" s="961"/>
      <c r="V3" s="961"/>
      <c r="W3" s="961"/>
      <c r="X3" s="961"/>
      <c r="Y3" s="961"/>
      <c r="Z3" s="961"/>
      <c r="AA3" s="961"/>
      <c r="AB3" s="961"/>
      <c r="AC3" s="961"/>
      <c r="AD3" s="961"/>
      <c r="AE3" s="961"/>
      <c r="AF3" s="961"/>
      <c r="AG3" s="961"/>
      <c r="AH3" s="961"/>
      <c r="AI3" s="961"/>
    </row>
    <row r="4" spans="1:35" ht="16.5">
      <c r="A4" s="1697" t="s">
        <v>294</v>
      </c>
      <c r="B4" s="1697"/>
      <c r="C4" s="1697"/>
      <c r="D4" s="1697"/>
      <c r="E4" s="1697"/>
      <c r="F4" s="1697"/>
      <c r="G4" s="1697"/>
      <c r="H4" s="1697"/>
      <c r="I4" s="1697"/>
      <c r="J4" s="1697"/>
      <c r="K4" s="1697"/>
      <c r="L4" s="1697"/>
      <c r="M4" s="1697"/>
      <c r="N4" s="1697"/>
      <c r="O4" s="1697"/>
      <c r="P4" s="1697"/>
      <c r="Q4" s="962"/>
      <c r="R4" s="962"/>
      <c r="S4" s="962"/>
      <c r="T4" s="962"/>
      <c r="U4" s="962"/>
      <c r="V4" s="962"/>
      <c r="W4" s="962"/>
      <c r="X4" s="962"/>
      <c r="Y4" s="962"/>
      <c r="Z4" s="962"/>
      <c r="AA4" s="962"/>
      <c r="AB4" s="962"/>
      <c r="AC4" s="962"/>
      <c r="AD4" s="962"/>
      <c r="AE4" s="962"/>
      <c r="AF4" s="962"/>
      <c r="AG4" s="962"/>
      <c r="AH4" s="962"/>
      <c r="AI4" s="962"/>
    </row>
    <row r="5" spans="1:35" ht="16.5">
      <c r="A5" s="61"/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</row>
    <row r="6" spans="1:35" ht="16.5">
      <c r="A6" s="1698" t="s">
        <v>0</v>
      </c>
      <c r="B6" s="1698"/>
      <c r="C6" s="1698"/>
      <c r="D6" s="1698"/>
      <c r="E6" s="1698"/>
      <c r="F6" s="1698"/>
      <c r="G6" s="1698"/>
      <c r="H6" s="962"/>
      <c r="I6" s="962"/>
      <c r="J6" s="962"/>
      <c r="K6" s="962"/>
      <c r="L6" s="962"/>
      <c r="M6" s="962"/>
      <c r="N6" s="962"/>
      <c r="O6" s="962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</row>
    <row r="7" spans="1:35" ht="16.5">
      <c r="A7" s="1698" t="s">
        <v>67</v>
      </c>
      <c r="B7" s="1698"/>
      <c r="C7" s="1698"/>
      <c r="D7" s="1698"/>
      <c r="E7" s="1698"/>
      <c r="F7" s="1698"/>
      <c r="G7" s="1698"/>
      <c r="H7" s="962"/>
      <c r="I7" s="962"/>
      <c r="J7" s="962"/>
      <c r="K7" s="962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</row>
    <row r="8" spans="1:35" ht="15.75">
      <c r="A8" s="328"/>
      <c r="B8" s="328"/>
      <c r="C8" s="328"/>
      <c r="D8" s="328"/>
      <c r="E8" s="328"/>
      <c r="F8" s="328"/>
      <c r="G8" s="328"/>
      <c r="H8" s="328"/>
      <c r="I8" s="328"/>
      <c r="J8" s="328"/>
      <c r="K8" s="32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</row>
    <row r="13" spans="1:35" ht="27.75" customHeight="1">
      <c r="A13" s="1712" t="s">
        <v>554</v>
      </c>
      <c r="B13" s="1712"/>
      <c r="C13" s="1712"/>
      <c r="D13" s="1712"/>
      <c r="E13" s="1712"/>
      <c r="F13" s="1712"/>
      <c r="G13" s="1712"/>
      <c r="H13" s="1712"/>
      <c r="I13" s="1712"/>
      <c r="J13" s="1712"/>
      <c r="K13" s="1712"/>
      <c r="L13" s="1712"/>
      <c r="M13" s="1712"/>
      <c r="N13" s="1712"/>
      <c r="O13" s="1712"/>
      <c r="P13" s="1712"/>
    </row>
    <row r="16" spans="1:35" ht="24.75" customHeight="1">
      <c r="A16" s="1707" t="s">
        <v>6</v>
      </c>
      <c r="B16" s="1709" t="s">
        <v>549</v>
      </c>
      <c r="C16" s="1710"/>
      <c r="D16" s="1710"/>
      <c r="E16" s="1710"/>
      <c r="F16" s="1711"/>
      <c r="G16" s="1708" t="s">
        <v>551</v>
      </c>
      <c r="H16" s="1708"/>
      <c r="I16" s="1708"/>
      <c r="J16" s="1708"/>
      <c r="K16" s="1709" t="s">
        <v>548</v>
      </c>
      <c r="L16" s="1710"/>
      <c r="M16" s="1710"/>
      <c r="N16" s="1710"/>
      <c r="O16" s="1711"/>
      <c r="P16" s="1707" t="s">
        <v>471</v>
      </c>
    </row>
    <row r="17" spans="1:27" ht="66">
      <c r="A17" s="1707"/>
      <c r="B17" s="955" t="s">
        <v>544</v>
      </c>
      <c r="C17" s="955" t="s">
        <v>545</v>
      </c>
      <c r="D17" s="955" t="s">
        <v>546</v>
      </c>
      <c r="E17" s="955" t="s">
        <v>547</v>
      </c>
      <c r="F17" s="955" t="s">
        <v>518</v>
      </c>
      <c r="G17" s="955" t="s">
        <v>544</v>
      </c>
      <c r="H17" s="955" t="s">
        <v>546</v>
      </c>
      <c r="I17" s="955" t="s">
        <v>547</v>
      </c>
      <c r="J17" s="955" t="s">
        <v>518</v>
      </c>
      <c r="K17" s="955" t="s">
        <v>544</v>
      </c>
      <c r="L17" s="955" t="s">
        <v>545</v>
      </c>
      <c r="M17" s="955" t="s">
        <v>546</v>
      </c>
      <c r="N17" s="955" t="s">
        <v>547</v>
      </c>
      <c r="O17" s="955" t="s">
        <v>518</v>
      </c>
      <c r="P17" s="1707"/>
    </row>
    <row r="18" spans="1:27" ht="30.75" customHeight="1">
      <c r="A18" s="967">
        <v>1</v>
      </c>
      <c r="B18" s="955"/>
      <c r="C18" s="955"/>
      <c r="D18" s="955"/>
      <c r="E18" s="960">
        <v>12311</v>
      </c>
      <c r="F18" s="966">
        <f>SUM(B18:E18)</f>
        <v>12311</v>
      </c>
      <c r="G18" s="955"/>
      <c r="H18" s="955"/>
      <c r="I18" s="955"/>
      <c r="J18" s="955"/>
      <c r="K18" s="955"/>
      <c r="L18" s="955"/>
      <c r="M18" s="955"/>
      <c r="N18" s="955"/>
      <c r="O18" s="955"/>
      <c r="P18" s="965" t="s">
        <v>553</v>
      </c>
    </row>
    <row r="19" spans="1:27" ht="42" customHeight="1">
      <c r="A19" s="959">
        <v>2</v>
      </c>
      <c r="B19" s="966">
        <v>281501</v>
      </c>
      <c r="C19" s="966">
        <v>702</v>
      </c>
      <c r="D19" s="966">
        <v>1536</v>
      </c>
      <c r="E19" s="966">
        <v>6735</v>
      </c>
      <c r="F19" s="966">
        <f>SUM(B19:E19)</f>
        <v>290474</v>
      </c>
      <c r="G19" s="966">
        <f>B19</f>
        <v>281501</v>
      </c>
      <c r="H19" s="966">
        <f>D19</f>
        <v>1536</v>
      </c>
      <c r="I19" s="960">
        <f>E19+E18</f>
        <v>19046</v>
      </c>
      <c r="J19" s="966">
        <f>SUM(G19:I19)</f>
        <v>302083</v>
      </c>
      <c r="K19" s="966">
        <v>19850</v>
      </c>
      <c r="L19" s="966"/>
      <c r="M19" s="966"/>
      <c r="N19" s="966"/>
      <c r="O19" s="966">
        <f>SUM(K19:N19)</f>
        <v>19850</v>
      </c>
      <c r="P19" s="965" t="s">
        <v>550</v>
      </c>
    </row>
    <row r="20" spans="1:27" ht="42.75" customHeight="1">
      <c r="A20" s="967">
        <v>3</v>
      </c>
      <c r="B20" s="966">
        <v>22962</v>
      </c>
      <c r="C20" s="960">
        <v>31</v>
      </c>
      <c r="D20" s="966"/>
      <c r="E20" s="966"/>
      <c r="F20" s="966"/>
      <c r="G20" s="966"/>
      <c r="H20" s="966"/>
      <c r="I20" s="966"/>
      <c r="J20" s="966"/>
      <c r="K20" s="966"/>
      <c r="L20" s="966"/>
      <c r="M20" s="966"/>
      <c r="N20" s="966"/>
      <c r="O20" s="966"/>
      <c r="P20" s="965" t="s">
        <v>552</v>
      </c>
    </row>
    <row r="21" spans="1:27" ht="45" customHeight="1">
      <c r="A21" s="968" t="s">
        <v>158</v>
      </c>
      <c r="B21" s="969">
        <f>B19+B20</f>
        <v>304463</v>
      </c>
      <c r="C21" s="969">
        <f t="shared" ref="C21:O21" si="0">C19+C20</f>
        <v>733</v>
      </c>
      <c r="D21" s="969">
        <f t="shared" si="0"/>
        <v>1536</v>
      </c>
      <c r="E21" s="969">
        <f>E19+E20+E18</f>
        <v>19046</v>
      </c>
      <c r="F21" s="969">
        <f t="shared" si="0"/>
        <v>290474</v>
      </c>
      <c r="G21" s="969">
        <f t="shared" si="0"/>
        <v>281501</v>
      </c>
      <c r="H21" s="969">
        <f t="shared" si="0"/>
        <v>1536</v>
      </c>
      <c r="I21" s="969">
        <f t="shared" si="0"/>
        <v>19046</v>
      </c>
      <c r="J21" s="969">
        <f t="shared" si="0"/>
        <v>302083</v>
      </c>
      <c r="K21" s="969">
        <f t="shared" si="0"/>
        <v>19850</v>
      </c>
      <c r="L21" s="969">
        <f t="shared" si="0"/>
        <v>0</v>
      </c>
      <c r="M21" s="969">
        <f t="shared" si="0"/>
        <v>0</v>
      </c>
      <c r="N21" s="969">
        <f t="shared" si="0"/>
        <v>0</v>
      </c>
      <c r="O21" s="969">
        <f t="shared" si="0"/>
        <v>19850</v>
      </c>
      <c r="P21" s="970"/>
    </row>
    <row r="22" spans="1:27">
      <c r="A22" s="957"/>
    </row>
    <row r="23" spans="1:27" ht="27.75" customHeight="1">
      <c r="A23" s="957"/>
      <c r="J23" s="1705" t="s">
        <v>555</v>
      </c>
      <c r="K23" s="1705"/>
      <c r="L23" s="1705"/>
      <c r="M23" s="1705"/>
      <c r="N23" s="1705"/>
      <c r="O23" s="1705"/>
      <c r="P23" s="1705"/>
      <c r="Q23" s="963"/>
      <c r="R23" s="963"/>
      <c r="S23" s="963"/>
      <c r="T23" s="963"/>
      <c r="U23" s="963"/>
      <c r="V23" s="963"/>
      <c r="W23" s="963"/>
      <c r="X23" s="963"/>
      <c r="Y23" s="963"/>
      <c r="Z23" s="963"/>
      <c r="AA23" s="963"/>
    </row>
    <row r="24" spans="1:27">
      <c r="A24" s="957"/>
    </row>
    <row r="25" spans="1:27" ht="30.75" customHeight="1">
      <c r="A25" s="957"/>
      <c r="B25" s="1706" t="s">
        <v>557</v>
      </c>
      <c r="C25" s="1706"/>
      <c r="D25" s="1706"/>
      <c r="E25" s="1706"/>
      <c r="F25" s="1706"/>
      <c r="G25" s="1706"/>
      <c r="H25" s="964"/>
      <c r="I25" s="1706" t="s">
        <v>556</v>
      </c>
      <c r="J25" s="1706"/>
      <c r="K25" s="1706"/>
      <c r="L25" s="1706"/>
      <c r="M25" s="1706"/>
      <c r="N25" s="1706"/>
      <c r="O25" s="1706"/>
      <c r="P25" s="1706"/>
    </row>
    <row r="26" spans="1:27">
      <c r="A26" s="957"/>
    </row>
    <row r="27" spans="1:27">
      <c r="A27" s="957"/>
    </row>
    <row r="28" spans="1:27">
      <c r="A28" s="957"/>
    </row>
    <row r="29" spans="1:27">
      <c r="A29" s="957"/>
    </row>
    <row r="30" spans="1:27">
      <c r="A30" s="957"/>
    </row>
    <row r="31" spans="1:27">
      <c r="A31" s="957"/>
    </row>
    <row r="32" spans="1:27" ht="16.5">
      <c r="A32" s="957"/>
      <c r="C32" s="958"/>
    </row>
    <row r="33" spans="1:1">
      <c r="A33" s="957"/>
    </row>
    <row r="34" spans="1:1">
      <c r="A34" s="957"/>
    </row>
    <row r="35" spans="1:1">
      <c r="A35" s="957"/>
    </row>
    <row r="36" spans="1:1">
      <c r="A36" s="957"/>
    </row>
    <row r="37" spans="1:1" ht="43.5" customHeight="1"/>
  </sheetData>
  <mergeCells count="14">
    <mergeCell ref="J23:P23"/>
    <mergeCell ref="B25:G25"/>
    <mergeCell ref="I25:P25"/>
    <mergeCell ref="A2:P2"/>
    <mergeCell ref="A3:P3"/>
    <mergeCell ref="A4:P4"/>
    <mergeCell ref="A6:G6"/>
    <mergeCell ref="A7:G7"/>
    <mergeCell ref="P16:P17"/>
    <mergeCell ref="A16:A17"/>
    <mergeCell ref="G16:J16"/>
    <mergeCell ref="B16:F16"/>
    <mergeCell ref="K16:O16"/>
    <mergeCell ref="A13:P13"/>
  </mergeCells>
  <pageMargins left="0.7" right="0.7" top="0.75" bottom="0.75" header="0.3" footer="0.3"/>
  <pageSetup paperSize="9" scale="54"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4"/>
  <sheetViews>
    <sheetView topLeftCell="A4" workbookViewId="0">
      <selection activeCell="D23" sqref="D20:D23"/>
    </sheetView>
  </sheetViews>
  <sheetFormatPr defaultRowHeight="15"/>
  <cols>
    <col min="1" max="1" width="5.85546875" customWidth="1"/>
    <col min="2" max="2" width="41.5703125" customWidth="1"/>
    <col min="4" max="4" width="25.7109375" customWidth="1"/>
    <col min="5" max="5" width="20.42578125" customWidth="1"/>
    <col min="6" max="6" width="20.7109375" customWidth="1"/>
  </cols>
  <sheetData>
    <row r="1" spans="1:36" ht="16.5">
      <c r="A1" s="1696" t="s">
        <v>56</v>
      </c>
      <c r="B1" s="1696"/>
      <c r="C1" s="1696"/>
      <c r="D1" s="1696"/>
      <c r="E1" s="1696"/>
      <c r="F1" s="1696"/>
      <c r="G1" s="961"/>
      <c r="H1" s="961"/>
      <c r="I1" s="961"/>
      <c r="J1" s="961"/>
      <c r="K1" s="961"/>
      <c r="L1" s="961"/>
      <c r="M1" s="961"/>
      <c r="N1" s="961"/>
      <c r="O1" s="961"/>
      <c r="P1" s="961"/>
      <c r="Q1" s="961"/>
      <c r="R1" s="961"/>
      <c r="S1" s="961"/>
      <c r="T1" s="961"/>
      <c r="U1" s="961"/>
      <c r="V1" s="961"/>
      <c r="W1" s="961"/>
      <c r="X1" s="961"/>
      <c r="Y1" s="961"/>
      <c r="Z1" s="961"/>
      <c r="AA1" s="961"/>
      <c r="AB1" s="961"/>
      <c r="AC1" s="961"/>
      <c r="AD1" s="961"/>
      <c r="AE1" s="961"/>
      <c r="AF1" s="961"/>
      <c r="AG1" s="961"/>
      <c r="AH1" s="961"/>
      <c r="AI1" s="961"/>
      <c r="AJ1" s="961"/>
    </row>
    <row r="2" spans="1:36" ht="16.5">
      <c r="A2" s="1696" t="s">
        <v>50</v>
      </c>
      <c r="B2" s="1696"/>
      <c r="C2" s="1696"/>
      <c r="D2" s="1696"/>
      <c r="E2" s="1696"/>
      <c r="F2" s="1696"/>
      <c r="G2" s="961"/>
      <c r="H2" s="961"/>
      <c r="I2" s="961"/>
      <c r="J2" s="961"/>
      <c r="K2" s="961"/>
      <c r="L2" s="961"/>
      <c r="M2" s="961"/>
      <c r="N2" s="961"/>
      <c r="O2" s="961"/>
      <c r="P2" s="961"/>
      <c r="Q2" s="961"/>
      <c r="R2" s="961"/>
      <c r="S2" s="961"/>
      <c r="T2" s="961"/>
      <c r="U2" s="961"/>
      <c r="V2" s="961"/>
      <c r="W2" s="961"/>
      <c r="X2" s="961"/>
      <c r="Y2" s="961"/>
      <c r="Z2" s="961"/>
      <c r="AA2" s="961"/>
      <c r="AB2" s="961"/>
      <c r="AC2" s="961"/>
      <c r="AD2" s="961"/>
      <c r="AE2" s="961"/>
      <c r="AF2" s="961"/>
      <c r="AG2" s="961"/>
      <c r="AH2" s="961"/>
      <c r="AI2" s="961"/>
      <c r="AJ2" s="961"/>
    </row>
    <row r="3" spans="1:36" ht="16.5">
      <c r="A3" s="1697" t="s">
        <v>294</v>
      </c>
      <c r="B3" s="1697"/>
      <c r="C3" s="1697"/>
      <c r="D3" s="1697"/>
      <c r="E3" s="1697"/>
      <c r="F3" s="1697"/>
      <c r="G3" s="998"/>
      <c r="H3" s="998"/>
      <c r="I3" s="998"/>
      <c r="J3" s="998"/>
      <c r="K3" s="998"/>
      <c r="L3" s="998"/>
      <c r="M3" s="998"/>
      <c r="N3" s="998"/>
      <c r="O3" s="998"/>
      <c r="P3" s="998"/>
      <c r="Q3" s="998"/>
      <c r="R3" s="998"/>
      <c r="S3" s="998"/>
      <c r="T3" s="998"/>
      <c r="U3" s="998"/>
      <c r="V3" s="998"/>
      <c r="W3" s="998"/>
      <c r="X3" s="998"/>
      <c r="Y3" s="998"/>
      <c r="Z3" s="998"/>
      <c r="AA3" s="998"/>
      <c r="AB3" s="998"/>
      <c r="AC3" s="998"/>
      <c r="AD3" s="998"/>
      <c r="AE3" s="998"/>
      <c r="AF3" s="998"/>
      <c r="AG3" s="998"/>
      <c r="AH3" s="998"/>
      <c r="AI3" s="998"/>
      <c r="AJ3" s="998"/>
    </row>
    <row r="4" spans="1:36" ht="16.5">
      <c r="A4" s="61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</row>
    <row r="5" spans="1:36" ht="16.5">
      <c r="A5" s="1698" t="s">
        <v>0</v>
      </c>
      <c r="B5" s="1698"/>
      <c r="C5" s="1698"/>
      <c r="D5" s="1698"/>
      <c r="E5" s="962"/>
      <c r="F5" s="962"/>
      <c r="G5" s="962"/>
      <c r="H5" s="962"/>
      <c r="I5" s="962"/>
      <c r="J5" s="962"/>
      <c r="K5" s="962"/>
      <c r="L5" s="962"/>
      <c r="M5" s="962"/>
      <c r="N5" s="962"/>
      <c r="O5" s="962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</row>
    <row r="6" spans="1:36" ht="16.5">
      <c r="A6" s="1698" t="s">
        <v>67</v>
      </c>
      <c r="B6" s="1698"/>
      <c r="C6" s="1698"/>
      <c r="D6" s="1698"/>
      <c r="E6" s="962"/>
      <c r="F6" s="962"/>
      <c r="G6" s="962"/>
      <c r="H6" s="962"/>
      <c r="I6" s="962"/>
      <c r="J6" s="962"/>
      <c r="K6" s="962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</row>
    <row r="7" spans="1:36" ht="15.75">
      <c r="A7" s="328"/>
      <c r="B7" s="328"/>
      <c r="C7" s="328"/>
      <c r="D7" s="328"/>
      <c r="E7" s="328"/>
      <c r="F7" s="328"/>
      <c r="G7" s="328"/>
      <c r="H7" s="328"/>
      <c r="I7" s="328"/>
      <c r="J7" s="328"/>
      <c r="K7" s="32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</row>
    <row r="8" spans="1:36" ht="36.75" customHeight="1">
      <c r="A8" s="1717" t="s">
        <v>567</v>
      </c>
      <c r="B8" s="1717"/>
      <c r="C8" s="1717"/>
      <c r="D8" s="1717"/>
      <c r="E8" s="1717"/>
      <c r="F8" s="1717"/>
      <c r="G8" s="958"/>
      <c r="H8" s="958"/>
      <c r="I8" s="958"/>
      <c r="J8" s="958"/>
      <c r="K8" s="958"/>
      <c r="L8" s="958"/>
      <c r="M8" s="958"/>
    </row>
    <row r="9" spans="1:36" ht="16.5">
      <c r="A9" s="958"/>
      <c r="B9" s="958"/>
      <c r="C9" s="958"/>
      <c r="D9" s="958"/>
      <c r="E9" s="958"/>
      <c r="F9" s="958"/>
      <c r="G9" s="958"/>
      <c r="H9" s="958"/>
      <c r="I9" s="958"/>
      <c r="J9" s="958"/>
      <c r="K9" s="958"/>
      <c r="L9" s="958"/>
      <c r="M9" s="958"/>
    </row>
    <row r="10" spans="1:36" ht="33" customHeight="1">
      <c r="A10" s="996" t="s">
        <v>6</v>
      </c>
      <c r="B10" s="996" t="s">
        <v>568</v>
      </c>
      <c r="C10" s="996" t="s">
        <v>11</v>
      </c>
      <c r="D10" s="996" t="s">
        <v>569</v>
      </c>
      <c r="E10" s="996" t="s">
        <v>570</v>
      </c>
      <c r="F10" s="996" t="s">
        <v>471</v>
      </c>
      <c r="G10" s="958"/>
      <c r="H10" s="958"/>
      <c r="I10" s="958"/>
      <c r="J10" s="958"/>
      <c r="K10" s="958"/>
      <c r="L10" s="958"/>
      <c r="M10" s="958"/>
    </row>
    <row r="11" spans="1:36" ht="22.5" customHeight="1">
      <c r="A11" s="967">
        <v>1</v>
      </c>
      <c r="B11" s="1003" t="s">
        <v>571</v>
      </c>
      <c r="C11" s="1003" t="s">
        <v>575</v>
      </c>
      <c r="D11" s="967">
        <v>1</v>
      </c>
      <c r="E11" s="970">
        <v>5000000</v>
      </c>
      <c r="F11" s="1000"/>
      <c r="G11" s="958"/>
      <c r="H11" s="958"/>
      <c r="I11" s="958"/>
      <c r="J11" s="958"/>
      <c r="K11" s="958"/>
      <c r="L11" s="958"/>
      <c r="M11" s="958"/>
    </row>
    <row r="12" spans="1:36" ht="22.5" customHeight="1">
      <c r="A12" s="967">
        <v>2</v>
      </c>
      <c r="B12" s="1003" t="s">
        <v>572</v>
      </c>
      <c r="C12" s="1003" t="s">
        <v>575</v>
      </c>
      <c r="D12" s="967">
        <v>1</v>
      </c>
      <c r="E12" s="970">
        <v>5000000</v>
      </c>
      <c r="F12" s="1000"/>
      <c r="G12" s="958"/>
      <c r="H12" s="958"/>
      <c r="I12" s="958"/>
      <c r="J12" s="958"/>
      <c r="K12" s="958"/>
      <c r="L12" s="958"/>
      <c r="M12" s="958"/>
    </row>
    <row r="13" spans="1:36" ht="22.5" customHeight="1">
      <c r="A13" s="967">
        <v>3</v>
      </c>
      <c r="B13" s="1003" t="s">
        <v>573</v>
      </c>
      <c r="C13" s="1003" t="s">
        <v>574</v>
      </c>
      <c r="D13" s="967">
        <v>13</v>
      </c>
      <c r="E13" s="970">
        <f>D13*60000*9</f>
        <v>7020000</v>
      </c>
      <c r="F13" s="1000"/>
      <c r="G13" s="958"/>
      <c r="H13" s="958"/>
      <c r="I13" s="958"/>
      <c r="J13" s="958"/>
      <c r="K13" s="958"/>
      <c r="L13" s="958"/>
      <c r="M13" s="958"/>
    </row>
    <row r="14" spans="1:36" ht="30.75" customHeight="1">
      <c r="A14" s="1707" t="s">
        <v>576</v>
      </c>
      <c r="B14" s="1707"/>
      <c r="C14" s="1001"/>
      <c r="D14" s="1001"/>
      <c r="E14" s="1002">
        <f>SUM(E11:E13)</f>
        <v>17020000</v>
      </c>
      <c r="F14" s="1000"/>
      <c r="G14" s="958"/>
      <c r="H14" s="958"/>
      <c r="I14" s="958"/>
      <c r="J14" s="958"/>
      <c r="K14" s="958"/>
      <c r="L14" s="958"/>
      <c r="M14" s="958"/>
    </row>
    <row r="15" spans="1:36" ht="35.25" customHeight="1">
      <c r="A15" s="1714" t="s">
        <v>579</v>
      </c>
      <c r="B15" s="1715"/>
      <c r="C15" s="1715"/>
      <c r="D15" s="1715"/>
      <c r="E15" s="1715"/>
      <c r="F15" s="1716"/>
      <c r="G15" s="958"/>
      <c r="H15" s="958"/>
      <c r="I15" s="958"/>
      <c r="J15" s="958"/>
      <c r="K15" s="958"/>
      <c r="L15" s="958"/>
      <c r="M15" s="958"/>
    </row>
    <row r="16" spans="1:36" ht="16.5">
      <c r="A16" s="958"/>
      <c r="B16" s="958"/>
      <c r="C16" s="958"/>
      <c r="D16" s="958"/>
      <c r="E16" s="958"/>
      <c r="F16" s="958"/>
      <c r="G16" s="958"/>
      <c r="H16" s="958"/>
      <c r="I16" s="958"/>
      <c r="J16" s="958"/>
      <c r="K16" s="958"/>
      <c r="L16" s="958"/>
      <c r="M16" s="958"/>
    </row>
    <row r="17" spans="1:13" ht="18.75">
      <c r="A17" s="958"/>
      <c r="B17" s="958"/>
      <c r="C17" s="999"/>
      <c r="D17" s="1718" t="s">
        <v>577</v>
      </c>
      <c r="E17" s="1718"/>
      <c r="F17" s="1718"/>
      <c r="G17" s="958"/>
      <c r="H17" s="958"/>
      <c r="I17" s="958"/>
      <c r="J17" s="958"/>
      <c r="K17" s="958"/>
      <c r="L17" s="958"/>
      <c r="M17" s="958"/>
    </row>
    <row r="18" spans="1:13" ht="16.5">
      <c r="A18" s="958"/>
      <c r="B18" s="958"/>
      <c r="C18" s="958"/>
      <c r="D18" s="958"/>
      <c r="E18" s="958"/>
      <c r="F18" s="958"/>
      <c r="G18" s="958"/>
      <c r="H18" s="958"/>
      <c r="I18" s="958"/>
      <c r="J18" s="958"/>
      <c r="K18" s="958"/>
      <c r="L18" s="958"/>
      <c r="M18" s="958"/>
    </row>
    <row r="19" spans="1:13" ht="16.5">
      <c r="A19" s="958"/>
      <c r="B19" s="958"/>
      <c r="C19" s="958"/>
      <c r="D19" s="1713" t="s">
        <v>578</v>
      </c>
      <c r="E19" s="1713"/>
      <c r="F19" s="1713"/>
      <c r="G19" s="958"/>
      <c r="H19" s="958"/>
      <c r="I19" s="958"/>
      <c r="J19" s="958"/>
      <c r="K19" s="958"/>
      <c r="L19" s="958"/>
      <c r="M19" s="958"/>
    </row>
    <row r="20" spans="1:13" ht="16.5">
      <c r="A20" s="958"/>
      <c r="B20" s="958"/>
      <c r="C20" s="958"/>
      <c r="D20" s="958"/>
      <c r="E20" s="958"/>
      <c r="F20" s="958"/>
      <c r="G20" s="958"/>
      <c r="H20" s="958"/>
      <c r="I20" s="958"/>
      <c r="J20" s="958"/>
      <c r="K20" s="958"/>
      <c r="L20" s="958"/>
      <c r="M20" s="958"/>
    </row>
    <row r="21" spans="1:13" ht="16.5">
      <c r="A21" s="958"/>
      <c r="B21" s="958"/>
      <c r="C21" s="958"/>
      <c r="D21" s="958"/>
      <c r="E21" s="958"/>
      <c r="F21" s="958"/>
      <c r="G21" s="958"/>
      <c r="H21" s="958"/>
      <c r="I21" s="958"/>
      <c r="J21" s="958"/>
      <c r="K21" s="958"/>
      <c r="L21" s="958"/>
      <c r="M21" s="958"/>
    </row>
    <row r="22" spans="1:13" ht="16.5">
      <c r="A22" s="958"/>
      <c r="B22" s="958"/>
      <c r="C22" s="958"/>
      <c r="D22" s="958"/>
      <c r="E22" s="958"/>
      <c r="F22" s="958"/>
      <c r="G22" s="958"/>
      <c r="H22" s="958"/>
      <c r="I22" s="958"/>
      <c r="J22" s="958"/>
      <c r="K22" s="958"/>
      <c r="L22" s="958"/>
      <c r="M22" s="958"/>
    </row>
    <row r="23" spans="1:13" ht="16.5">
      <c r="A23" s="958"/>
      <c r="B23" s="958"/>
      <c r="C23" s="958"/>
      <c r="D23" s="958"/>
      <c r="E23" s="958"/>
      <c r="F23" s="958"/>
      <c r="G23" s="958"/>
      <c r="H23" s="958"/>
      <c r="I23" s="958"/>
      <c r="J23" s="958"/>
      <c r="K23" s="958"/>
      <c r="L23" s="958"/>
      <c r="M23" s="958"/>
    </row>
    <row r="24" spans="1:13" ht="16.5">
      <c r="A24" s="958"/>
      <c r="B24" s="958"/>
      <c r="C24" s="958"/>
      <c r="D24" s="958"/>
      <c r="E24" s="958"/>
      <c r="F24" s="958"/>
      <c r="G24" s="958"/>
      <c r="H24" s="958"/>
      <c r="I24" s="958"/>
      <c r="J24" s="958"/>
      <c r="K24" s="958"/>
      <c r="L24" s="958"/>
      <c r="M24" s="958"/>
    </row>
    <row r="25" spans="1:13" ht="16.5">
      <c r="A25" s="958"/>
      <c r="B25" s="958"/>
      <c r="C25" s="958"/>
      <c r="D25" s="958"/>
      <c r="E25" s="958"/>
      <c r="F25" s="958"/>
      <c r="G25" s="958"/>
      <c r="H25" s="958"/>
      <c r="I25" s="958"/>
      <c r="J25" s="958"/>
      <c r="K25" s="958"/>
      <c r="L25" s="958"/>
      <c r="M25" s="958"/>
    </row>
    <row r="26" spans="1:13" ht="16.5">
      <c r="A26" s="958"/>
      <c r="B26" s="958"/>
      <c r="C26" s="958"/>
      <c r="D26" s="958"/>
      <c r="E26" s="958"/>
      <c r="F26" s="958"/>
      <c r="G26" s="958"/>
      <c r="H26" s="958"/>
      <c r="I26" s="958"/>
      <c r="J26" s="958"/>
      <c r="K26" s="958"/>
      <c r="L26" s="958"/>
      <c r="M26" s="958"/>
    </row>
    <row r="27" spans="1:13" ht="16.5">
      <c r="A27" s="958"/>
      <c r="B27" s="958"/>
      <c r="C27" s="958"/>
      <c r="D27" s="958"/>
      <c r="E27" s="958"/>
      <c r="F27" s="958"/>
      <c r="G27" s="958"/>
      <c r="H27" s="958"/>
      <c r="I27" s="958"/>
      <c r="J27" s="958"/>
      <c r="K27" s="958"/>
      <c r="L27" s="958"/>
      <c r="M27" s="958"/>
    </row>
    <row r="28" spans="1:13" ht="16.5">
      <c r="A28" s="958"/>
      <c r="B28" s="958"/>
      <c r="C28" s="958"/>
      <c r="D28" s="958"/>
      <c r="E28" s="958"/>
      <c r="F28" s="958"/>
      <c r="G28" s="958"/>
      <c r="H28" s="958"/>
      <c r="I28" s="958"/>
      <c r="J28" s="958"/>
      <c r="K28" s="958"/>
      <c r="L28" s="958"/>
      <c r="M28" s="958"/>
    </row>
    <row r="29" spans="1:13" ht="16.5">
      <c r="A29" s="958"/>
      <c r="B29" s="958"/>
      <c r="C29" s="958"/>
      <c r="D29" s="958"/>
      <c r="E29" s="958"/>
      <c r="F29" s="958"/>
      <c r="G29" s="958"/>
      <c r="H29" s="958"/>
      <c r="I29" s="958"/>
      <c r="J29" s="958"/>
      <c r="K29" s="958"/>
      <c r="L29" s="958"/>
      <c r="M29" s="958"/>
    </row>
    <row r="30" spans="1:13" ht="16.5">
      <c r="A30" s="958"/>
      <c r="B30" s="958"/>
      <c r="C30" s="958"/>
      <c r="D30" s="958"/>
      <c r="E30" s="958"/>
      <c r="F30" s="958"/>
      <c r="G30" s="958"/>
      <c r="H30" s="958"/>
      <c r="I30" s="958"/>
      <c r="J30" s="958"/>
      <c r="K30" s="958"/>
      <c r="L30" s="958"/>
      <c r="M30" s="958"/>
    </row>
    <row r="31" spans="1:13" ht="16.5">
      <c r="A31" s="958"/>
      <c r="B31" s="958"/>
      <c r="C31" s="958"/>
      <c r="D31" s="958"/>
      <c r="E31" s="958"/>
      <c r="F31" s="958"/>
      <c r="G31" s="958"/>
      <c r="H31" s="958"/>
      <c r="I31" s="958"/>
      <c r="J31" s="958"/>
      <c r="K31" s="958"/>
      <c r="L31" s="958"/>
      <c r="M31" s="958"/>
    </row>
    <row r="32" spans="1:13" ht="16.5">
      <c r="A32" s="958"/>
      <c r="B32" s="958"/>
      <c r="C32" s="958"/>
      <c r="D32" s="958"/>
      <c r="E32" s="958"/>
      <c r="F32" s="958"/>
      <c r="G32" s="958"/>
      <c r="H32" s="958"/>
      <c r="I32" s="958"/>
      <c r="J32" s="958"/>
      <c r="K32" s="958"/>
      <c r="L32" s="958"/>
      <c r="M32" s="958"/>
    </row>
    <row r="33" spans="1:13" ht="16.5">
      <c r="A33" s="958"/>
      <c r="B33" s="958"/>
      <c r="C33" s="958"/>
      <c r="D33" s="958"/>
      <c r="E33" s="958"/>
      <c r="F33" s="958"/>
      <c r="G33" s="958"/>
      <c r="H33" s="958"/>
      <c r="I33" s="958"/>
      <c r="J33" s="958"/>
      <c r="K33" s="958"/>
      <c r="L33" s="958"/>
      <c r="M33" s="958"/>
    </row>
    <row r="34" spans="1:13" ht="16.5">
      <c r="A34" s="958"/>
      <c r="B34" s="958"/>
      <c r="C34" s="958"/>
      <c r="D34" s="958"/>
      <c r="E34" s="958"/>
      <c r="F34" s="958"/>
      <c r="G34" s="958"/>
      <c r="H34" s="958"/>
      <c r="I34" s="958"/>
      <c r="J34" s="958"/>
      <c r="K34" s="958"/>
      <c r="L34" s="958"/>
      <c r="M34" s="958"/>
    </row>
    <row r="35" spans="1:13" ht="16.5">
      <c r="A35" s="958"/>
      <c r="B35" s="958"/>
      <c r="C35" s="958"/>
      <c r="D35" s="958"/>
      <c r="E35" s="958"/>
      <c r="F35" s="958"/>
      <c r="G35" s="958"/>
      <c r="H35" s="958"/>
      <c r="I35" s="958"/>
      <c r="J35" s="958"/>
      <c r="K35" s="958"/>
      <c r="L35" s="958"/>
      <c r="M35" s="958"/>
    </row>
    <row r="36" spans="1:13" ht="16.5">
      <c r="A36" s="958"/>
      <c r="B36" s="958"/>
      <c r="C36" s="958"/>
      <c r="D36" s="958"/>
      <c r="E36" s="958"/>
      <c r="F36" s="958"/>
      <c r="G36" s="958"/>
      <c r="H36" s="958"/>
      <c r="I36" s="958"/>
      <c r="J36" s="958"/>
      <c r="K36" s="958"/>
      <c r="L36" s="958"/>
      <c r="M36" s="958"/>
    </row>
    <row r="37" spans="1:13" ht="16.5">
      <c r="A37" s="958"/>
      <c r="B37" s="958"/>
      <c r="C37" s="958"/>
      <c r="D37" s="958"/>
      <c r="E37" s="958"/>
      <c r="F37" s="958"/>
      <c r="G37" s="958"/>
      <c r="H37" s="958"/>
      <c r="I37" s="958"/>
      <c r="J37" s="958"/>
      <c r="K37" s="958"/>
      <c r="L37" s="958"/>
      <c r="M37" s="958"/>
    </row>
    <row r="38" spans="1:13" ht="16.5">
      <c r="A38" s="958"/>
      <c r="B38" s="958"/>
      <c r="C38" s="958"/>
      <c r="D38" s="958"/>
      <c r="E38" s="958"/>
      <c r="F38" s="958"/>
      <c r="G38" s="958"/>
      <c r="H38" s="958"/>
      <c r="I38" s="958"/>
      <c r="J38" s="958"/>
      <c r="K38" s="958"/>
      <c r="L38" s="958"/>
      <c r="M38" s="958"/>
    </row>
    <row r="39" spans="1:13" ht="16.5">
      <c r="A39" s="958"/>
      <c r="B39" s="958"/>
      <c r="C39" s="958"/>
      <c r="D39" s="958"/>
      <c r="E39" s="958"/>
      <c r="F39" s="958"/>
      <c r="G39" s="958"/>
      <c r="H39" s="958"/>
      <c r="I39" s="958"/>
      <c r="J39" s="958"/>
      <c r="K39" s="958"/>
      <c r="L39" s="958"/>
      <c r="M39" s="958"/>
    </row>
    <row r="40" spans="1:13" ht="16.5">
      <c r="A40" s="958"/>
      <c r="B40" s="958"/>
      <c r="C40" s="958"/>
      <c r="D40" s="958"/>
      <c r="E40" s="958"/>
      <c r="F40" s="958"/>
      <c r="G40" s="958"/>
      <c r="H40" s="958"/>
      <c r="I40" s="958"/>
      <c r="J40" s="958"/>
      <c r="K40" s="958"/>
      <c r="L40" s="958"/>
      <c r="M40" s="958"/>
    </row>
    <row r="41" spans="1:13" ht="16.5">
      <c r="A41" s="958"/>
      <c r="B41" s="958"/>
      <c r="C41" s="958"/>
      <c r="D41" s="958"/>
      <c r="E41" s="958"/>
      <c r="F41" s="958"/>
      <c r="G41" s="958"/>
      <c r="H41" s="958"/>
      <c r="I41" s="958"/>
      <c r="J41" s="958"/>
      <c r="K41" s="958"/>
      <c r="L41" s="958"/>
      <c r="M41" s="958"/>
    </row>
    <row r="42" spans="1:13" ht="16.5">
      <c r="A42" s="958"/>
      <c r="B42" s="958"/>
      <c r="C42" s="958"/>
      <c r="D42" s="958"/>
      <c r="E42" s="958"/>
      <c r="F42" s="958"/>
      <c r="G42" s="958"/>
      <c r="H42" s="958"/>
      <c r="I42" s="958"/>
      <c r="J42" s="958"/>
      <c r="K42" s="958"/>
      <c r="L42" s="958"/>
      <c r="M42" s="958"/>
    </row>
    <row r="43" spans="1:13" ht="16.5">
      <c r="A43" s="958"/>
      <c r="B43" s="958"/>
      <c r="C43" s="958"/>
      <c r="D43" s="958"/>
      <c r="E43" s="958"/>
      <c r="F43" s="958"/>
      <c r="G43" s="958"/>
      <c r="H43" s="958"/>
      <c r="I43" s="958"/>
      <c r="J43" s="958"/>
      <c r="K43" s="958"/>
      <c r="L43" s="958"/>
      <c r="M43" s="958"/>
    </row>
    <row r="44" spans="1:13" ht="16.5">
      <c r="A44" s="958"/>
      <c r="B44" s="958"/>
      <c r="C44" s="958"/>
      <c r="D44" s="958"/>
      <c r="E44" s="958"/>
      <c r="F44" s="958"/>
      <c r="G44" s="958"/>
      <c r="H44" s="958"/>
      <c r="I44" s="958"/>
      <c r="J44" s="958"/>
      <c r="K44" s="958"/>
      <c r="L44" s="958"/>
      <c r="M44" s="958"/>
    </row>
    <row r="45" spans="1:13" ht="16.5">
      <c r="A45" s="958"/>
      <c r="B45" s="958"/>
      <c r="C45" s="958"/>
      <c r="D45" s="958"/>
      <c r="E45" s="958"/>
      <c r="F45" s="958"/>
      <c r="G45" s="958"/>
      <c r="H45" s="958"/>
      <c r="I45" s="958"/>
      <c r="J45" s="958"/>
      <c r="K45" s="958"/>
      <c r="L45" s="958"/>
      <c r="M45" s="958"/>
    </row>
    <row r="46" spans="1:13" ht="16.5">
      <c r="A46" s="958"/>
      <c r="B46" s="958"/>
      <c r="C46" s="958"/>
      <c r="D46" s="958"/>
      <c r="E46" s="958"/>
      <c r="F46" s="958"/>
      <c r="G46" s="958"/>
      <c r="H46" s="958"/>
      <c r="I46" s="958"/>
      <c r="J46" s="958"/>
      <c r="K46" s="958"/>
      <c r="L46" s="958"/>
      <c r="M46" s="958"/>
    </row>
    <row r="47" spans="1:13" ht="16.5">
      <c r="A47" s="958"/>
      <c r="B47" s="958"/>
      <c r="C47" s="958"/>
      <c r="D47" s="958"/>
      <c r="E47" s="958"/>
      <c r="F47" s="958"/>
      <c r="G47" s="958"/>
      <c r="H47" s="958"/>
      <c r="I47" s="958"/>
      <c r="J47" s="958"/>
      <c r="K47" s="958"/>
      <c r="L47" s="958"/>
      <c r="M47" s="958"/>
    </row>
    <row r="48" spans="1:13" ht="16.5">
      <c r="A48" s="958"/>
      <c r="B48" s="958"/>
      <c r="C48" s="958"/>
      <c r="D48" s="958"/>
      <c r="E48" s="958"/>
      <c r="F48" s="958"/>
      <c r="G48" s="958"/>
      <c r="H48" s="958"/>
      <c r="I48" s="958"/>
      <c r="J48" s="958"/>
      <c r="K48" s="958"/>
      <c r="L48" s="958"/>
      <c r="M48" s="958"/>
    </row>
    <row r="49" spans="1:13" ht="16.5">
      <c r="A49" s="958"/>
      <c r="B49" s="958"/>
      <c r="C49" s="958"/>
      <c r="D49" s="958"/>
      <c r="E49" s="958"/>
      <c r="F49" s="958"/>
      <c r="G49" s="958"/>
      <c r="H49" s="958"/>
      <c r="I49" s="958"/>
      <c r="J49" s="958"/>
      <c r="K49" s="958"/>
      <c r="L49" s="958"/>
      <c r="M49" s="958"/>
    </row>
    <row r="50" spans="1:13" ht="16.5">
      <c r="A50" s="958"/>
      <c r="B50" s="958"/>
      <c r="C50" s="958"/>
      <c r="D50" s="958"/>
      <c r="E50" s="958"/>
      <c r="F50" s="958"/>
      <c r="G50" s="958"/>
      <c r="H50" s="958"/>
      <c r="I50" s="958"/>
      <c r="J50" s="958"/>
      <c r="K50" s="958"/>
      <c r="L50" s="958"/>
      <c r="M50" s="958"/>
    </row>
    <row r="51" spans="1:13" ht="16.5">
      <c r="A51" s="958"/>
      <c r="B51" s="958"/>
      <c r="C51" s="958"/>
      <c r="D51" s="958"/>
      <c r="E51" s="958"/>
      <c r="F51" s="958"/>
      <c r="G51" s="958"/>
      <c r="H51" s="958"/>
      <c r="I51" s="958"/>
      <c r="J51" s="958"/>
      <c r="K51" s="958"/>
      <c r="L51" s="958"/>
      <c r="M51" s="958"/>
    </row>
    <row r="52" spans="1:13" ht="16.5">
      <c r="A52" s="958"/>
      <c r="B52" s="958"/>
      <c r="C52" s="958"/>
      <c r="D52" s="958"/>
      <c r="E52" s="958"/>
      <c r="F52" s="958"/>
      <c r="G52" s="958"/>
      <c r="H52" s="958"/>
      <c r="I52" s="958"/>
      <c r="J52" s="958"/>
      <c r="K52" s="958"/>
      <c r="L52" s="958"/>
      <c r="M52" s="958"/>
    </row>
    <row r="53" spans="1:13" ht="16.5">
      <c r="A53" s="958"/>
      <c r="B53" s="958"/>
      <c r="C53" s="958"/>
      <c r="D53" s="958"/>
      <c r="E53" s="958"/>
      <c r="F53" s="958"/>
      <c r="G53" s="958"/>
      <c r="H53" s="958"/>
      <c r="I53" s="958"/>
      <c r="J53" s="958"/>
      <c r="K53" s="958"/>
      <c r="L53" s="958"/>
      <c r="M53" s="958"/>
    </row>
    <row r="54" spans="1:13" ht="16.5">
      <c r="A54" s="958"/>
      <c r="B54" s="958"/>
      <c r="C54" s="958"/>
      <c r="D54" s="958"/>
      <c r="E54" s="958"/>
      <c r="F54" s="958"/>
      <c r="G54" s="958"/>
      <c r="H54" s="958"/>
      <c r="I54" s="958"/>
      <c r="J54" s="958"/>
      <c r="K54" s="958"/>
      <c r="L54" s="958"/>
      <c r="M54" s="958"/>
    </row>
  </sheetData>
  <mergeCells count="10">
    <mergeCell ref="A1:F1"/>
    <mergeCell ref="A2:F2"/>
    <mergeCell ref="A3:F3"/>
    <mergeCell ref="A5:D5"/>
    <mergeCell ref="D19:F19"/>
    <mergeCell ref="A6:D6"/>
    <mergeCell ref="A14:B14"/>
    <mergeCell ref="A15:F15"/>
    <mergeCell ref="A8:F8"/>
    <mergeCell ref="D17:F17"/>
  </mergeCells>
  <printOptions horizontalCentered="1"/>
  <pageMargins left="0.7" right="0.7" top="0.47" bottom="0.75" header="0.3" footer="0.3"/>
  <pageSetup paperSize="9" orientation="landscape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1"/>
  <sheetViews>
    <sheetView topLeftCell="A13" workbookViewId="0">
      <selection activeCell="K36" sqref="K36"/>
    </sheetView>
  </sheetViews>
  <sheetFormatPr defaultColWidth="9.140625" defaultRowHeight="15"/>
  <cols>
    <col min="1" max="1" width="3.85546875" style="1" customWidth="1"/>
    <col min="2" max="2" width="16.140625" style="1" customWidth="1"/>
    <col min="3" max="3" width="9.5703125" style="1" customWidth="1"/>
    <col min="4" max="4" width="8.5703125" style="1" customWidth="1"/>
    <col min="5" max="5" width="17.140625" style="1" customWidth="1"/>
    <col min="6" max="6" width="11.28515625" style="1" customWidth="1"/>
    <col min="7" max="7" width="18" style="1" customWidth="1"/>
    <col min="8" max="8" width="16.85546875" style="1" customWidth="1"/>
    <col min="9" max="9" width="13.28515625" style="1" customWidth="1"/>
    <col min="10" max="10" width="8.42578125" style="1" customWidth="1"/>
    <col min="11" max="11" width="12.85546875" style="1" customWidth="1"/>
    <col min="12" max="12" width="13.42578125" style="1" customWidth="1"/>
    <col min="13" max="14" width="7.85546875" style="1" customWidth="1"/>
    <col min="15" max="15" width="7.28515625" style="1" customWidth="1"/>
    <col min="16" max="16" width="7.42578125" style="1" customWidth="1"/>
    <col min="17" max="17" width="6.28515625" style="1" customWidth="1"/>
    <col min="18" max="18" width="5.7109375" style="1" customWidth="1"/>
    <col min="19" max="19" width="6" style="1" customWidth="1"/>
    <col min="20" max="20" width="4.85546875" style="1" customWidth="1"/>
    <col min="21" max="21" width="6" style="1" customWidth="1"/>
    <col min="22" max="22" width="6.5703125" style="1" customWidth="1"/>
    <col min="23" max="23" width="8.140625" style="1" customWidth="1"/>
    <col min="24" max="24" width="6" style="1" customWidth="1"/>
    <col min="25" max="25" width="8.140625" style="1" customWidth="1"/>
    <col min="26" max="26" width="15" style="1" bestFit="1" customWidth="1"/>
    <col min="27" max="27" width="17.85546875" style="1" bestFit="1" customWidth="1"/>
    <col min="28" max="28" width="12.85546875" style="1" bestFit="1" customWidth="1"/>
    <col min="29" max="16384" width="9.140625" style="1"/>
  </cols>
  <sheetData>
    <row r="1" spans="1:28">
      <c r="A1" s="187"/>
      <c r="B1" s="187"/>
      <c r="C1" s="187"/>
      <c r="D1" s="187"/>
      <c r="E1" s="187"/>
      <c r="F1" s="187"/>
      <c r="G1" s="187"/>
      <c r="H1" s="187"/>
      <c r="I1" s="187"/>
    </row>
    <row r="2" spans="1:28">
      <c r="A2" s="187"/>
      <c r="B2" s="187"/>
      <c r="C2" s="187"/>
      <c r="D2" s="187"/>
      <c r="E2" s="187"/>
      <c r="F2" s="187"/>
      <c r="G2" s="187"/>
      <c r="H2" s="187"/>
      <c r="I2" s="187"/>
    </row>
    <row r="3" spans="1:28" ht="16.5">
      <c r="A3" s="1652" t="s">
        <v>56</v>
      </c>
      <c r="B3" s="1652"/>
      <c r="C3" s="1652"/>
      <c r="D3" s="1652"/>
      <c r="E3" s="1652"/>
      <c r="F3" s="1652"/>
      <c r="G3" s="1652"/>
      <c r="H3" s="1652"/>
      <c r="I3" s="1652"/>
      <c r="J3" s="15"/>
      <c r="K3" s="15"/>
      <c r="L3" s="15"/>
      <c r="M3" s="12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8" ht="16.5">
      <c r="A4" s="1652" t="s">
        <v>42</v>
      </c>
      <c r="B4" s="1652"/>
      <c r="C4" s="1652"/>
      <c r="D4" s="1652"/>
      <c r="E4" s="1652"/>
      <c r="F4" s="1652"/>
      <c r="G4" s="1652"/>
      <c r="H4" s="1652"/>
      <c r="I4" s="1652"/>
      <c r="J4" s="16"/>
      <c r="K4" s="16"/>
      <c r="L4" s="16"/>
      <c r="M4" s="10"/>
      <c r="N4" s="7"/>
      <c r="P4" s="10"/>
      <c r="Q4" s="10"/>
      <c r="R4" s="10"/>
      <c r="S4" s="10"/>
      <c r="T4" s="10"/>
      <c r="U4" s="10"/>
      <c r="V4" s="10"/>
      <c r="W4" s="10"/>
      <c r="X4" s="10"/>
      <c r="Y4" s="8"/>
    </row>
    <row r="5" spans="1:28" ht="16.5">
      <c r="A5" s="1653" t="s">
        <v>405</v>
      </c>
      <c r="B5" s="1652"/>
      <c r="C5" s="1652"/>
      <c r="D5" s="1652"/>
      <c r="E5" s="1652"/>
      <c r="F5" s="1652"/>
      <c r="G5" s="1652"/>
      <c r="H5" s="1652"/>
      <c r="I5" s="1652"/>
      <c r="J5" s="16"/>
      <c r="K5" s="16"/>
      <c r="L5" s="16"/>
      <c r="M5" s="10"/>
      <c r="N5" s="7"/>
      <c r="P5" s="10"/>
      <c r="Q5" s="10"/>
      <c r="R5" s="10"/>
      <c r="S5" s="10"/>
      <c r="T5" s="10"/>
      <c r="U5" s="10"/>
      <c r="V5" s="10"/>
      <c r="W5" s="10"/>
      <c r="X5" s="10"/>
      <c r="Y5" s="8"/>
    </row>
    <row r="6" spans="1:28" ht="9.75" customHeight="1">
      <c r="A6" s="187"/>
      <c r="B6" s="187"/>
      <c r="C6" s="187"/>
      <c r="D6" s="187"/>
      <c r="E6" s="187"/>
      <c r="F6" s="187"/>
      <c r="G6" s="187"/>
      <c r="H6" s="569"/>
      <c r="I6" s="569"/>
      <c r="J6" s="21"/>
      <c r="K6" s="21"/>
      <c r="L6" s="21"/>
      <c r="M6" s="327"/>
      <c r="N6" s="23"/>
      <c r="O6" s="24"/>
      <c r="P6" s="9"/>
      <c r="Q6" s="9"/>
      <c r="R6" s="9"/>
      <c r="S6" s="9"/>
      <c r="T6" s="9"/>
      <c r="U6" s="9"/>
      <c r="V6" s="9"/>
      <c r="W6" s="9"/>
      <c r="X6" s="9"/>
      <c r="Y6" s="8"/>
      <c r="Z6" s="25">
        <f>1372+388</f>
        <v>1760</v>
      </c>
      <c r="AA6" s="1">
        <f>Z6*30000</f>
        <v>52800000</v>
      </c>
      <c r="AB6" s="1" t="e">
        <f>AA6+#REF!+#REF!</f>
        <v>#REF!</v>
      </c>
    </row>
    <row r="7" spans="1:28" ht="16.5">
      <c r="A7" s="1654" t="s">
        <v>0</v>
      </c>
      <c r="B7" s="1654"/>
      <c r="C7" s="1654"/>
      <c r="D7" s="1654"/>
      <c r="E7" s="1654"/>
      <c r="F7" s="1654"/>
      <c r="G7" s="134"/>
      <c r="H7" s="569"/>
      <c r="I7" s="569"/>
      <c r="J7" s="21"/>
      <c r="K7" s="21"/>
      <c r="L7" s="21"/>
      <c r="M7" s="327"/>
      <c r="N7" s="23"/>
      <c r="O7" s="24"/>
      <c r="P7" s="9"/>
      <c r="Q7" s="9"/>
      <c r="R7" s="9"/>
      <c r="S7" s="9"/>
      <c r="T7" s="9"/>
      <c r="U7" s="9"/>
      <c r="V7" s="9"/>
      <c r="W7" s="9"/>
      <c r="X7" s="9"/>
      <c r="Y7" s="8"/>
      <c r="Z7" s="25"/>
    </row>
    <row r="8" spans="1:28" ht="16.5">
      <c r="A8" s="1655" t="s">
        <v>67</v>
      </c>
      <c r="B8" s="1655"/>
      <c r="C8" s="1655"/>
      <c r="D8" s="1655"/>
      <c r="E8" s="1655"/>
      <c r="F8" s="1655"/>
      <c r="G8" s="569"/>
      <c r="H8" s="569"/>
      <c r="I8" s="569"/>
      <c r="J8" s="21"/>
      <c r="K8" s="21"/>
      <c r="L8" s="21"/>
      <c r="M8" s="327"/>
      <c r="N8" s="23"/>
      <c r="O8" s="24"/>
      <c r="P8" s="9"/>
      <c r="Q8" s="9"/>
      <c r="R8" s="9"/>
      <c r="S8" s="9"/>
      <c r="T8" s="9"/>
      <c r="U8" s="9"/>
      <c r="V8" s="9"/>
      <c r="W8" s="9"/>
      <c r="X8" s="9"/>
      <c r="Y8" s="8"/>
      <c r="Z8" s="25"/>
    </row>
    <row r="9" spans="1:28" ht="15.75">
      <c r="A9" s="536"/>
      <c r="B9" s="536"/>
      <c r="C9" s="536"/>
      <c r="D9" s="536"/>
      <c r="E9" s="536"/>
      <c r="F9" s="570"/>
      <c r="G9" s="569"/>
      <c r="H9" s="569"/>
      <c r="I9" s="569"/>
      <c r="J9" s="21"/>
      <c r="K9" s="21"/>
      <c r="L9" s="21"/>
      <c r="M9" s="327"/>
      <c r="N9" s="23"/>
      <c r="O9" s="24"/>
      <c r="P9" s="9"/>
      <c r="Q9" s="9"/>
      <c r="R9" s="9"/>
      <c r="S9" s="9"/>
      <c r="T9" s="9"/>
      <c r="U9" s="9"/>
      <c r="V9" s="9"/>
      <c r="W9" s="9"/>
      <c r="X9" s="9"/>
      <c r="Y9" s="8"/>
      <c r="Z9" s="25"/>
    </row>
    <row r="10" spans="1:28" ht="32.25" customHeight="1">
      <c r="A10" s="1650" t="s">
        <v>580</v>
      </c>
      <c r="B10" s="1651"/>
      <c r="C10" s="1651"/>
      <c r="D10" s="1651"/>
      <c r="E10" s="1651"/>
      <c r="F10" s="1651"/>
      <c r="G10" s="1651"/>
      <c r="H10" s="1651"/>
      <c r="I10" s="1651"/>
      <c r="J10" s="33"/>
      <c r="K10" s="33"/>
      <c r="L10" s="33"/>
      <c r="M10" s="33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</row>
    <row r="11" spans="1:28" ht="12" customHeight="1">
      <c r="A11" s="571"/>
      <c r="B11" s="572"/>
      <c r="C11" s="572"/>
      <c r="D11" s="572"/>
      <c r="E11" s="571"/>
      <c r="F11" s="571"/>
      <c r="G11" s="571"/>
      <c r="H11" s="572"/>
      <c r="I11" s="572"/>
      <c r="J11" s="26"/>
      <c r="K11" s="27"/>
      <c r="L11" s="28"/>
    </row>
    <row r="12" spans="1:28" ht="21" customHeight="1">
      <c r="A12" s="1648" t="s">
        <v>6</v>
      </c>
      <c r="B12" s="1648" t="s">
        <v>69</v>
      </c>
      <c r="C12" s="1648" t="s">
        <v>10</v>
      </c>
      <c r="D12" s="1648" t="s">
        <v>530</v>
      </c>
      <c r="E12" s="1648" t="s">
        <v>35</v>
      </c>
      <c r="F12" s="1648" t="s">
        <v>583</v>
      </c>
      <c r="G12" s="1648" t="s">
        <v>20</v>
      </c>
      <c r="H12" s="1648" t="s">
        <v>12</v>
      </c>
      <c r="I12" s="1648" t="s">
        <v>70</v>
      </c>
      <c r="J12" s="330"/>
      <c r="K12" s="129"/>
      <c r="L12" s="130"/>
    </row>
    <row r="13" spans="1:28" ht="27.75" customHeight="1">
      <c r="A13" s="1649"/>
      <c r="B13" s="1649"/>
      <c r="C13" s="1649"/>
      <c r="D13" s="1649"/>
      <c r="E13" s="1649"/>
      <c r="F13" s="1649"/>
      <c r="G13" s="1649"/>
      <c r="H13" s="1649"/>
      <c r="I13" s="1649"/>
      <c r="J13" s="131"/>
      <c r="K13" s="129"/>
      <c r="L13" s="130"/>
    </row>
    <row r="14" spans="1:28" ht="21" customHeight="1">
      <c r="A14" s="267">
        <v>1</v>
      </c>
      <c r="B14" s="611" t="e">
        <f>#REF!</f>
        <v>#REF!</v>
      </c>
      <c r="C14" s="611" t="e">
        <f>#REF!</f>
        <v>#REF!</v>
      </c>
      <c r="D14" s="267" t="e">
        <f>#REF!</f>
        <v>#REF!</v>
      </c>
      <c r="E14" s="574">
        <v>15</v>
      </c>
      <c r="F14" s="269">
        <v>25000</v>
      </c>
      <c r="G14" s="573">
        <f>E14*F14</f>
        <v>375000</v>
      </c>
      <c r="H14" s="267"/>
      <c r="I14" s="267"/>
      <c r="J14" s="131"/>
      <c r="K14" s="132"/>
      <c r="L14" s="133"/>
    </row>
    <row r="15" spans="1:28" ht="21" customHeight="1">
      <c r="A15" s="267">
        <v>2</v>
      </c>
      <c r="B15" s="611" t="e">
        <f>#REF!</f>
        <v>#REF!</v>
      </c>
      <c r="C15" s="611" t="e">
        <f>#REF!</f>
        <v>#REF!</v>
      </c>
      <c r="D15" s="267" t="e">
        <f>#REF!</f>
        <v>#REF!</v>
      </c>
      <c r="E15" s="574">
        <v>15</v>
      </c>
      <c r="F15" s="269">
        <v>25000</v>
      </c>
      <c r="G15" s="573">
        <f t="shared" ref="G15:G38" si="0">E15*F15</f>
        <v>375000</v>
      </c>
      <c r="H15" s="267"/>
      <c r="I15" s="267"/>
      <c r="J15" s="131"/>
      <c r="K15" s="132"/>
      <c r="L15" s="133"/>
    </row>
    <row r="16" spans="1:28" ht="21" customHeight="1">
      <c r="A16" s="267">
        <v>3</v>
      </c>
      <c r="B16" s="611" t="s">
        <v>581</v>
      </c>
      <c r="C16" s="611" t="e">
        <f>#REF!</f>
        <v>#REF!</v>
      </c>
      <c r="D16" s="267" t="e">
        <f>#REF!</f>
        <v>#REF!</v>
      </c>
      <c r="E16" s="574">
        <v>15</v>
      </c>
      <c r="F16" s="269">
        <v>25000</v>
      </c>
      <c r="G16" s="573">
        <f t="shared" si="0"/>
        <v>375000</v>
      </c>
      <c r="H16" s="267"/>
      <c r="I16" s="267"/>
      <c r="J16" s="131"/>
      <c r="K16" s="132"/>
      <c r="L16" s="133"/>
    </row>
    <row r="17" spans="1:12" ht="21" customHeight="1">
      <c r="A17" s="267">
        <v>4</v>
      </c>
      <c r="B17" s="611" t="s">
        <v>582</v>
      </c>
      <c r="C17" s="611" t="e">
        <f>#REF!</f>
        <v>#REF!</v>
      </c>
      <c r="D17" s="267" t="e">
        <f>#REF!</f>
        <v>#REF!</v>
      </c>
      <c r="E17" s="574">
        <v>15</v>
      </c>
      <c r="F17" s="269">
        <v>25000</v>
      </c>
      <c r="G17" s="573">
        <f t="shared" si="0"/>
        <v>375000</v>
      </c>
      <c r="H17" s="267"/>
      <c r="I17" s="267"/>
      <c r="J17" s="131"/>
      <c r="K17" s="132"/>
      <c r="L17" s="133"/>
    </row>
    <row r="18" spans="1:12" ht="21" customHeight="1">
      <c r="A18" s="267">
        <v>5</v>
      </c>
      <c r="B18" s="611" t="e">
        <f>#REF!</f>
        <v>#REF!</v>
      </c>
      <c r="C18" s="611" t="e">
        <f>#REF!</f>
        <v>#REF!</v>
      </c>
      <c r="D18" s="267" t="e">
        <f>#REF!</f>
        <v>#REF!</v>
      </c>
      <c r="E18" s="574">
        <v>15</v>
      </c>
      <c r="F18" s="269">
        <v>25000</v>
      </c>
      <c r="G18" s="573">
        <f t="shared" si="0"/>
        <v>375000</v>
      </c>
      <c r="H18" s="267"/>
      <c r="I18" s="267"/>
      <c r="J18" s="131"/>
      <c r="K18" s="132"/>
      <c r="L18" s="133"/>
    </row>
    <row r="19" spans="1:12" ht="21" customHeight="1">
      <c r="A19" s="267">
        <v>6</v>
      </c>
      <c r="B19" s="611" t="e">
        <f>#REF!</f>
        <v>#REF!</v>
      </c>
      <c r="C19" s="611" t="e">
        <f>#REF!</f>
        <v>#REF!</v>
      </c>
      <c r="D19" s="267" t="e">
        <f>#REF!</f>
        <v>#REF!</v>
      </c>
      <c r="E19" s="574">
        <v>15</v>
      </c>
      <c r="F19" s="269">
        <v>25000</v>
      </c>
      <c r="G19" s="573">
        <f t="shared" si="0"/>
        <v>375000</v>
      </c>
      <c r="H19" s="267"/>
      <c r="I19" s="267"/>
      <c r="J19" s="131"/>
      <c r="K19" s="132"/>
      <c r="L19" s="133"/>
    </row>
    <row r="20" spans="1:12" ht="21" customHeight="1">
      <c r="A20" s="267">
        <v>7</v>
      </c>
      <c r="B20" s="611" t="e">
        <f>#REF!</f>
        <v>#REF!</v>
      </c>
      <c r="C20" s="611" t="e">
        <f>#REF!</f>
        <v>#REF!</v>
      </c>
      <c r="D20" s="267" t="e">
        <f>#REF!</f>
        <v>#REF!</v>
      </c>
      <c r="E20" s="574">
        <v>15</v>
      </c>
      <c r="F20" s="269">
        <v>25000</v>
      </c>
      <c r="G20" s="573">
        <f t="shared" si="0"/>
        <v>375000</v>
      </c>
      <c r="H20" s="267"/>
      <c r="I20" s="267"/>
      <c r="J20" s="131"/>
      <c r="K20" s="132"/>
      <c r="L20" s="133"/>
    </row>
    <row r="21" spans="1:12" ht="21" customHeight="1">
      <c r="A21" s="267">
        <v>8</v>
      </c>
      <c r="B21" s="611" t="e">
        <f>#REF!</f>
        <v>#REF!</v>
      </c>
      <c r="C21" s="611" t="e">
        <f>#REF!</f>
        <v>#REF!</v>
      </c>
      <c r="D21" s="267" t="e">
        <f>#REF!</f>
        <v>#REF!</v>
      </c>
      <c r="E21" s="574">
        <v>15</v>
      </c>
      <c r="F21" s="269">
        <v>25000</v>
      </c>
      <c r="G21" s="573">
        <f t="shared" si="0"/>
        <v>375000</v>
      </c>
      <c r="H21" s="267"/>
      <c r="I21" s="267"/>
      <c r="J21" s="131"/>
      <c r="K21" s="132"/>
      <c r="L21" s="133"/>
    </row>
    <row r="22" spans="1:12" ht="21" customHeight="1">
      <c r="A22" s="267">
        <v>9</v>
      </c>
      <c r="B22" s="611" t="e">
        <f>#REF!</f>
        <v>#REF!</v>
      </c>
      <c r="C22" s="611" t="e">
        <f>#REF!</f>
        <v>#REF!</v>
      </c>
      <c r="D22" s="267" t="e">
        <f>#REF!</f>
        <v>#REF!</v>
      </c>
      <c r="E22" s="574">
        <v>15</v>
      </c>
      <c r="F22" s="269">
        <v>25000</v>
      </c>
      <c r="G22" s="573">
        <f t="shared" si="0"/>
        <v>375000</v>
      </c>
      <c r="H22" s="267"/>
      <c r="I22" s="267"/>
      <c r="J22" s="131"/>
      <c r="K22" s="132"/>
      <c r="L22" s="133"/>
    </row>
    <row r="23" spans="1:12" ht="21" customHeight="1">
      <c r="A23" s="267">
        <v>10</v>
      </c>
      <c r="B23" s="611" t="e">
        <f>#REF!</f>
        <v>#REF!</v>
      </c>
      <c r="C23" s="611" t="e">
        <f>#REF!</f>
        <v>#REF!</v>
      </c>
      <c r="D23" s="267" t="e">
        <f>#REF!</f>
        <v>#REF!</v>
      </c>
      <c r="E23" s="574">
        <v>15</v>
      </c>
      <c r="F23" s="269">
        <v>25000</v>
      </c>
      <c r="G23" s="573">
        <f t="shared" si="0"/>
        <v>375000</v>
      </c>
      <c r="H23" s="267"/>
      <c r="I23" s="267"/>
      <c r="J23" s="131"/>
      <c r="K23" s="132"/>
      <c r="L23" s="133"/>
    </row>
    <row r="24" spans="1:12" ht="21" customHeight="1">
      <c r="A24" s="267">
        <v>11</v>
      </c>
      <c r="B24" s="611" t="e">
        <f>#REF!</f>
        <v>#REF!</v>
      </c>
      <c r="C24" s="611" t="e">
        <f>#REF!</f>
        <v>#REF!</v>
      </c>
      <c r="D24" s="267" t="e">
        <f>#REF!</f>
        <v>#REF!</v>
      </c>
      <c r="E24" s="574">
        <v>15</v>
      </c>
      <c r="F24" s="269">
        <v>25000</v>
      </c>
      <c r="G24" s="573">
        <f t="shared" si="0"/>
        <v>375000</v>
      </c>
      <c r="H24" s="267"/>
      <c r="I24" s="267"/>
      <c r="J24" s="131"/>
      <c r="K24" s="132"/>
      <c r="L24" s="133"/>
    </row>
    <row r="25" spans="1:12" ht="21" customHeight="1">
      <c r="A25" s="267">
        <v>12</v>
      </c>
      <c r="B25" s="611" t="e">
        <f>#REF!</f>
        <v>#REF!</v>
      </c>
      <c r="C25" s="611" t="e">
        <f>#REF!</f>
        <v>#REF!</v>
      </c>
      <c r="D25" s="267" t="e">
        <f>#REF!</f>
        <v>#REF!</v>
      </c>
      <c r="E25" s="574">
        <v>15</v>
      </c>
      <c r="F25" s="269">
        <v>25000</v>
      </c>
      <c r="G25" s="573">
        <f t="shared" si="0"/>
        <v>375000</v>
      </c>
      <c r="H25" s="267"/>
      <c r="I25" s="267"/>
      <c r="J25" s="131"/>
      <c r="K25" s="132"/>
      <c r="L25" s="133"/>
    </row>
    <row r="26" spans="1:12" ht="21" customHeight="1">
      <c r="A26" s="267">
        <v>13</v>
      </c>
      <c r="B26" s="611" t="e">
        <f>#REF!</f>
        <v>#REF!</v>
      </c>
      <c r="C26" s="611" t="e">
        <f>#REF!</f>
        <v>#REF!</v>
      </c>
      <c r="D26" s="267" t="e">
        <f>#REF!</f>
        <v>#REF!</v>
      </c>
      <c r="E26" s="574">
        <v>15</v>
      </c>
      <c r="F26" s="269">
        <v>25000</v>
      </c>
      <c r="G26" s="573">
        <f t="shared" si="0"/>
        <v>375000</v>
      </c>
      <c r="H26" s="267"/>
      <c r="I26" s="267"/>
      <c r="J26" s="131"/>
      <c r="K26" s="132"/>
      <c r="L26" s="133"/>
    </row>
    <row r="27" spans="1:12" ht="21" customHeight="1">
      <c r="A27" s="267">
        <v>14</v>
      </c>
      <c r="B27" s="611" t="e">
        <f>#REF!</f>
        <v>#REF!</v>
      </c>
      <c r="C27" s="611" t="e">
        <f>#REF!</f>
        <v>#REF!</v>
      </c>
      <c r="D27" s="267" t="e">
        <f>#REF!</f>
        <v>#REF!</v>
      </c>
      <c r="E27" s="574">
        <v>15</v>
      </c>
      <c r="F27" s="269">
        <v>25000</v>
      </c>
      <c r="G27" s="573">
        <f t="shared" si="0"/>
        <v>375000</v>
      </c>
      <c r="H27" s="267"/>
      <c r="I27" s="267"/>
      <c r="J27" s="131"/>
      <c r="K27" s="132"/>
      <c r="L27" s="133"/>
    </row>
    <row r="28" spans="1:12" ht="21" customHeight="1">
      <c r="A28" s="267">
        <v>15</v>
      </c>
      <c r="B28" s="611" t="e">
        <f>#REF!</f>
        <v>#REF!</v>
      </c>
      <c r="C28" s="611" t="e">
        <f>#REF!</f>
        <v>#REF!</v>
      </c>
      <c r="D28" s="267" t="e">
        <f>#REF!</f>
        <v>#REF!</v>
      </c>
      <c r="E28" s="574">
        <v>15</v>
      </c>
      <c r="F28" s="269">
        <v>25000</v>
      </c>
      <c r="G28" s="573">
        <f t="shared" si="0"/>
        <v>375000</v>
      </c>
      <c r="H28" s="267"/>
      <c r="I28" s="267"/>
      <c r="J28" s="131"/>
      <c r="K28" s="132"/>
      <c r="L28" s="133"/>
    </row>
    <row r="29" spans="1:12" ht="21" customHeight="1">
      <c r="A29" s="267">
        <v>16</v>
      </c>
      <c r="B29" s="611" t="e">
        <f>#REF!</f>
        <v>#REF!</v>
      </c>
      <c r="C29" s="611" t="e">
        <f>#REF!</f>
        <v>#REF!</v>
      </c>
      <c r="D29" s="267" t="e">
        <f>#REF!</f>
        <v>#REF!</v>
      </c>
      <c r="E29" s="574">
        <v>15</v>
      </c>
      <c r="F29" s="269">
        <v>25000</v>
      </c>
      <c r="G29" s="573">
        <f t="shared" si="0"/>
        <v>375000</v>
      </c>
      <c r="H29" s="267"/>
      <c r="I29" s="267"/>
      <c r="J29" s="131"/>
      <c r="K29" s="132"/>
      <c r="L29" s="133"/>
    </row>
    <row r="30" spans="1:12" ht="21" customHeight="1">
      <c r="A30" s="267">
        <v>17</v>
      </c>
      <c r="B30" s="611" t="e">
        <f>#REF!</f>
        <v>#REF!</v>
      </c>
      <c r="C30" s="611" t="e">
        <f>#REF!</f>
        <v>#REF!</v>
      </c>
      <c r="D30" s="267" t="e">
        <f>#REF!</f>
        <v>#REF!</v>
      </c>
      <c r="E30" s="574">
        <v>15</v>
      </c>
      <c r="F30" s="269">
        <v>25000</v>
      </c>
      <c r="G30" s="573">
        <f t="shared" si="0"/>
        <v>375000</v>
      </c>
      <c r="H30" s="267"/>
      <c r="I30" s="267"/>
      <c r="J30" s="131"/>
      <c r="K30" s="132"/>
      <c r="L30" s="133"/>
    </row>
    <row r="31" spans="1:12" ht="21" customHeight="1">
      <c r="A31" s="267">
        <v>18</v>
      </c>
      <c r="B31" s="611" t="e">
        <f>#REF!</f>
        <v>#REF!</v>
      </c>
      <c r="C31" s="611" t="e">
        <f>#REF!</f>
        <v>#REF!</v>
      </c>
      <c r="D31" s="267" t="e">
        <f>#REF!</f>
        <v>#REF!</v>
      </c>
      <c r="E31" s="574">
        <v>15</v>
      </c>
      <c r="F31" s="269">
        <v>25000</v>
      </c>
      <c r="G31" s="573">
        <f t="shared" si="0"/>
        <v>375000</v>
      </c>
      <c r="H31" s="267"/>
      <c r="I31" s="267"/>
      <c r="J31" s="131"/>
      <c r="K31" s="132"/>
      <c r="L31" s="133"/>
    </row>
    <row r="32" spans="1:12" ht="21" customHeight="1">
      <c r="A32" s="267">
        <v>19</v>
      </c>
      <c r="B32" s="611" t="e">
        <f>#REF!</f>
        <v>#REF!</v>
      </c>
      <c r="C32" s="611" t="e">
        <f>#REF!</f>
        <v>#REF!</v>
      </c>
      <c r="D32" s="267" t="e">
        <f>#REF!</f>
        <v>#REF!</v>
      </c>
      <c r="E32" s="574">
        <v>15</v>
      </c>
      <c r="F32" s="269">
        <v>25000</v>
      </c>
      <c r="G32" s="573">
        <f t="shared" si="0"/>
        <v>375000</v>
      </c>
      <c r="H32" s="267"/>
      <c r="I32" s="267"/>
      <c r="J32" s="131"/>
      <c r="K32" s="132"/>
      <c r="L32" s="133"/>
    </row>
    <row r="33" spans="1:14" ht="21" customHeight="1">
      <c r="A33" s="267">
        <v>20</v>
      </c>
      <c r="B33" s="611" t="e">
        <f>#REF!</f>
        <v>#REF!</v>
      </c>
      <c r="C33" s="611" t="e">
        <f>#REF!</f>
        <v>#REF!</v>
      </c>
      <c r="D33" s="267" t="e">
        <f>#REF!</f>
        <v>#REF!</v>
      </c>
      <c r="E33" s="574">
        <v>15</v>
      </c>
      <c r="F33" s="269">
        <v>25000</v>
      </c>
      <c r="G33" s="573">
        <f t="shared" si="0"/>
        <v>375000</v>
      </c>
      <c r="H33" s="267"/>
      <c r="I33" s="267"/>
      <c r="J33" s="131"/>
      <c r="K33" s="132"/>
      <c r="L33" s="133"/>
    </row>
    <row r="34" spans="1:14" ht="21" customHeight="1">
      <c r="A34" s="267">
        <v>21</v>
      </c>
      <c r="B34" s="611" t="e">
        <f>#REF!</f>
        <v>#REF!</v>
      </c>
      <c r="C34" s="611" t="e">
        <f>#REF!</f>
        <v>#REF!</v>
      </c>
      <c r="D34" s="267" t="e">
        <f>#REF!</f>
        <v>#REF!</v>
      </c>
      <c r="E34" s="574">
        <v>15</v>
      </c>
      <c r="F34" s="269">
        <v>25000</v>
      </c>
      <c r="G34" s="573">
        <f t="shared" si="0"/>
        <v>375000</v>
      </c>
      <c r="H34" s="267"/>
      <c r="I34" s="267"/>
      <c r="J34" s="131"/>
      <c r="K34" s="132"/>
      <c r="L34" s="133"/>
    </row>
    <row r="35" spans="1:14" ht="21" customHeight="1">
      <c r="A35" s="267">
        <v>22</v>
      </c>
      <c r="B35" s="611" t="e">
        <f>#REF!</f>
        <v>#REF!</v>
      </c>
      <c r="C35" s="611" t="e">
        <f>#REF!</f>
        <v>#REF!</v>
      </c>
      <c r="D35" s="267" t="e">
        <f>#REF!</f>
        <v>#REF!</v>
      </c>
      <c r="E35" s="574">
        <v>15</v>
      </c>
      <c r="F35" s="269">
        <v>25000</v>
      </c>
      <c r="G35" s="573">
        <f t="shared" si="0"/>
        <v>375000</v>
      </c>
      <c r="H35" s="267"/>
      <c r="I35" s="267"/>
      <c r="J35" s="131"/>
      <c r="K35" s="132"/>
      <c r="L35" s="133"/>
    </row>
    <row r="36" spans="1:14" ht="21" customHeight="1">
      <c r="A36" s="267">
        <v>23</v>
      </c>
      <c r="B36" s="611" t="e">
        <f>#REF!</f>
        <v>#REF!</v>
      </c>
      <c r="C36" s="611" t="e">
        <f>#REF!</f>
        <v>#REF!</v>
      </c>
      <c r="D36" s="267" t="e">
        <f>#REF!</f>
        <v>#REF!</v>
      </c>
      <c r="E36" s="574">
        <v>15</v>
      </c>
      <c r="F36" s="269">
        <v>25000</v>
      </c>
      <c r="G36" s="573">
        <f t="shared" si="0"/>
        <v>375000</v>
      </c>
      <c r="H36" s="267"/>
      <c r="I36" s="267"/>
      <c r="J36" s="131"/>
      <c r="K36" s="132"/>
      <c r="L36" s="133"/>
    </row>
    <row r="37" spans="1:14" ht="21" customHeight="1">
      <c r="A37" s="267">
        <v>24</v>
      </c>
      <c r="B37" s="611" t="e">
        <f>#REF!</f>
        <v>#REF!</v>
      </c>
      <c r="C37" s="611" t="e">
        <f>#REF!</f>
        <v>#REF!</v>
      </c>
      <c r="D37" s="267" t="e">
        <f>#REF!</f>
        <v>#REF!</v>
      </c>
      <c r="E37" s="574">
        <v>15</v>
      </c>
      <c r="F37" s="269">
        <v>25000</v>
      </c>
      <c r="G37" s="573">
        <f t="shared" si="0"/>
        <v>375000</v>
      </c>
      <c r="H37" s="267"/>
      <c r="I37" s="267"/>
      <c r="J37" s="131"/>
      <c r="K37" s="132"/>
      <c r="L37" s="133"/>
    </row>
    <row r="38" spans="1:14" ht="21" customHeight="1">
      <c r="A38" s="267">
        <v>25</v>
      </c>
      <c r="B38" s="611" t="e">
        <f>#REF!</f>
        <v>#REF!</v>
      </c>
      <c r="C38" s="611" t="e">
        <f>#REF!</f>
        <v>#REF!</v>
      </c>
      <c r="D38" s="267" t="e">
        <f>#REF!</f>
        <v>#REF!</v>
      </c>
      <c r="E38" s="574">
        <v>15</v>
      </c>
      <c r="F38" s="269">
        <v>25000</v>
      </c>
      <c r="G38" s="573">
        <f t="shared" si="0"/>
        <v>375000</v>
      </c>
      <c r="H38" s="267"/>
      <c r="I38" s="267"/>
      <c r="J38" s="131"/>
      <c r="K38" s="132"/>
      <c r="L38" s="133"/>
    </row>
    <row r="39" spans="1:14" ht="21" customHeight="1">
      <c r="A39" s="1546" t="s">
        <v>158</v>
      </c>
      <c r="B39" s="1546"/>
      <c r="C39" s="997"/>
      <c r="D39" s="997"/>
      <c r="E39" s="332">
        <f>SUM(E14:E38)</f>
        <v>375</v>
      </c>
      <c r="F39" s="280"/>
      <c r="G39" s="280">
        <f>SUM(G14:G38)</f>
        <v>9375000</v>
      </c>
      <c r="H39" s="997"/>
      <c r="I39" s="267"/>
      <c r="J39" s="131"/>
      <c r="K39" s="132">
        <f>G39/25000</f>
        <v>375</v>
      </c>
      <c r="L39" s="133">
        <f>G39/25000</f>
        <v>375</v>
      </c>
    </row>
    <row r="40" spans="1:14" ht="24" customHeight="1">
      <c r="A40" s="1609" t="s">
        <v>584</v>
      </c>
      <c r="B40" s="1610"/>
      <c r="C40" s="1610"/>
      <c r="D40" s="1610"/>
      <c r="E40" s="1610"/>
      <c r="F40" s="1610"/>
      <c r="G40" s="1610"/>
      <c r="H40" s="1610"/>
      <c r="I40" s="1611"/>
    </row>
    <row r="41" spans="1:14" ht="17.25">
      <c r="A41" s="1004"/>
      <c r="B41" s="1005"/>
      <c r="C41" s="1005"/>
      <c r="D41" s="1005"/>
      <c r="E41" s="1005"/>
      <c r="F41" s="1005"/>
      <c r="G41" s="1005"/>
      <c r="H41" s="1005"/>
      <c r="I41" s="1005"/>
    </row>
    <row r="42" spans="1:14" ht="17.25">
      <c r="A42" s="270"/>
      <c r="B42" s="270"/>
      <c r="C42" s="270"/>
      <c r="D42" s="270"/>
      <c r="E42" s="270"/>
      <c r="F42" s="270"/>
      <c r="G42" s="1612" t="s">
        <v>585</v>
      </c>
      <c r="H42" s="1612"/>
      <c r="I42" s="1612"/>
      <c r="J42" s="29"/>
      <c r="K42" s="29"/>
      <c r="L42" s="29"/>
      <c r="M42" s="29"/>
      <c r="N42" s="29"/>
    </row>
    <row r="43" spans="1:14" ht="16.5">
      <c r="A43" s="271"/>
      <c r="B43" s="271" t="s">
        <v>33</v>
      </c>
      <c r="C43" s="567"/>
      <c r="D43" s="1540" t="s">
        <v>161</v>
      </c>
      <c r="E43" s="1540"/>
      <c r="F43" s="1540" t="s">
        <v>586</v>
      </c>
      <c r="G43" s="1540"/>
      <c r="H43" s="1540" t="s">
        <v>409</v>
      </c>
      <c r="I43" s="1540"/>
    </row>
    <row r="50" spans="2:9" ht="16.5">
      <c r="B50" s="1657"/>
      <c r="C50" s="1657"/>
      <c r="D50" s="17"/>
      <c r="E50" s="1657"/>
      <c r="F50" s="1657"/>
      <c r="G50" s="941"/>
      <c r="H50" s="1540" t="s">
        <v>45</v>
      </c>
      <c r="I50" s="1540"/>
    </row>
    <row r="51" spans="2:9">
      <c r="E51" s="1" t="s">
        <v>162</v>
      </c>
    </row>
  </sheetData>
  <mergeCells count="24">
    <mergeCell ref="A10:I10"/>
    <mergeCell ref="A3:I3"/>
    <mergeCell ref="A4:I4"/>
    <mergeCell ref="A5:I5"/>
    <mergeCell ref="A7:F7"/>
    <mergeCell ref="A8:F8"/>
    <mergeCell ref="A39:B39"/>
    <mergeCell ref="A40:I40"/>
    <mergeCell ref="G42:I42"/>
    <mergeCell ref="H43:I43"/>
    <mergeCell ref="G12:G13"/>
    <mergeCell ref="H12:H13"/>
    <mergeCell ref="I12:I13"/>
    <mergeCell ref="A12:A13"/>
    <mergeCell ref="B12:B13"/>
    <mergeCell ref="C12:C13"/>
    <mergeCell ref="D12:D13"/>
    <mergeCell ref="E12:E13"/>
    <mergeCell ref="F12:F13"/>
    <mergeCell ref="B50:C50"/>
    <mergeCell ref="E50:F50"/>
    <mergeCell ref="H50:I50"/>
    <mergeCell ref="D43:E43"/>
    <mergeCell ref="F43:G43"/>
  </mergeCells>
  <printOptions horizontalCentered="1"/>
  <pageMargins left="0.7" right="0.7" top="0.45" bottom="0.46" header="0.3" footer="0.3"/>
  <pageSetup paperSize="9" scale="76" orientation="portrait" r:id="rId1"/>
  <colBreaks count="1" manualBreakCount="1">
    <brk id="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19</vt:i4>
      </vt:variant>
    </vt:vector>
  </HeadingPairs>
  <TitlesOfParts>
    <vt:vector size="47" baseType="lpstr">
      <vt:lpstr>Chấm công KT</vt:lpstr>
      <vt:lpstr>BTH mủ tạp</vt:lpstr>
      <vt:lpstr>BTH mủ Sỉum</vt:lpstr>
      <vt:lpstr>TONGHOPCONGDOI</vt:lpstr>
      <vt:lpstr>TRẠM 1</vt:lpstr>
      <vt:lpstr>TRẠM 2</vt:lpstr>
      <vt:lpstr>CNKT </vt:lpstr>
      <vt:lpstr>Lương bảo vệ </vt:lpstr>
      <vt:lpstr>lương gián tiếp</vt:lpstr>
      <vt:lpstr>LƯƠNG CN TRỰC TIẾP </vt:lpstr>
      <vt:lpstr>Tỉ lệ hoàn thành </vt:lpstr>
      <vt:lpstr>Phân toán  </vt:lpstr>
      <vt:lpstr>Phân toán   (2)</vt:lpstr>
      <vt:lpstr>BTH CVK</vt:lpstr>
      <vt:lpstr>TT CVK</vt:lpstr>
      <vt:lpstr>PLcon (2)</vt:lpstr>
      <vt:lpstr>DSN Thuê</vt:lpstr>
      <vt:lpstr>tiền TB </vt:lpstr>
      <vt:lpstr>Thanh toán XX</vt:lpstr>
      <vt:lpstr>PC xăng xe T4</vt:lpstr>
      <vt:lpstr>PLcon NT</vt:lpstr>
      <vt:lpstr>Phân Toán CVK</vt:lpstr>
      <vt:lpstr>Bảng BV  </vt:lpstr>
      <vt:lpstr>Bảng ĐP - BV  </vt:lpstr>
      <vt:lpstr>Bảng CC vn </vt:lpstr>
      <vt:lpstr>Sheet2</vt:lpstr>
      <vt:lpstr>Sheet3</vt:lpstr>
      <vt:lpstr>Sheet4</vt:lpstr>
      <vt:lpstr>'BTH mủ tạp'!Print_Area</vt:lpstr>
      <vt:lpstr>'CNKT '!Print_Area</vt:lpstr>
      <vt:lpstr>TONGHOPCONGDOI!Print_Area</vt:lpstr>
      <vt:lpstr>'TRẠM 1'!Print_Area</vt:lpstr>
      <vt:lpstr>'Bảng BV  '!Print_Titles</vt:lpstr>
      <vt:lpstr>'Bảng ĐP - BV  '!Print_Titles</vt:lpstr>
      <vt:lpstr>'BTH mủ tạp'!Print_Titles</vt:lpstr>
      <vt:lpstr>'CNKT '!Print_Titles</vt:lpstr>
      <vt:lpstr>'Chấm công KT'!Print_Titles</vt:lpstr>
      <vt:lpstr>'LƯƠNG CN TRỰC TIẾP '!Print_Titles</vt:lpstr>
      <vt:lpstr>'PC xăng xe T4'!Print_Titles</vt:lpstr>
      <vt:lpstr>'Phân toán  '!Print_Titles</vt:lpstr>
      <vt:lpstr>'Phân toán   (2)'!Print_Titles</vt:lpstr>
      <vt:lpstr>'Phân Toán CVK'!Print_Titles</vt:lpstr>
      <vt:lpstr>'tiền TB '!Print_Titles</vt:lpstr>
      <vt:lpstr>TONGHOPCONGDOI!Print_Titles</vt:lpstr>
      <vt:lpstr>'Thanh toán XX'!Print_Titles</vt:lpstr>
      <vt:lpstr>'TRẠM 1'!Print_Titles</vt:lpstr>
      <vt:lpstr>'TRẠM 2'!Print_Titles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2026-01-28T14:35:59Z</cp:lastPrinted>
  <dcterms:created xsi:type="dcterms:W3CDTF">2016-08-22T04:16:23Z</dcterms:created>
  <dcterms:modified xsi:type="dcterms:W3CDTF">2026-02-03T07:38:29Z</dcterms:modified>
</cp:coreProperties>
</file>