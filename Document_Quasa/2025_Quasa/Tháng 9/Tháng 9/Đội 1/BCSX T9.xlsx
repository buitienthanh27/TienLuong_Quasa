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CSXT09" sheetId="2" r:id="rId1"/>
  </sheets>
  <externalReferences>
    <externalReference r:id="rId2"/>
  </externalReferences>
  <definedNames>
    <definedName name="_Fill" hidden="1">#REF!</definedName>
    <definedName name="a">#REF!</definedName>
    <definedName name="aa" hidden="1">#REF!</definedName>
    <definedName name="aaa" hidden="1">#REF!</definedName>
    <definedName name="aí6">#REF!</definedName>
    <definedName name="gggg" hidden="1">#REF!</definedName>
    <definedName name="ggggg" hidden="1">#REF!</definedName>
    <definedName name="h">#REF!</definedName>
    <definedName name="hung" hidden="1">#REF!</definedName>
    <definedName name="kh" hidden="1">#REF!</definedName>
    <definedName name="ng">#REF!</definedName>
    <definedName name="t" hidden="1">#REF!</definedName>
    <definedName name="vuong" hidden="1">#REF!</definedName>
    <definedName name="vuong1" hidden="1">#REF!</definedName>
    <definedName name="_Fill" localSheetId="0" hidden="1">#REF!</definedName>
    <definedName name="a" localSheetId="0">#REF!</definedName>
    <definedName name="aa" localSheetId="0" hidden="1">#REF!</definedName>
    <definedName name="aaa" localSheetId="0" hidden="1">#REF!</definedName>
    <definedName name="aí6" localSheetId="0">#REF!</definedName>
    <definedName name="chgkgkgkkg" hidden="1">#REF!</definedName>
    <definedName name="gggg" localSheetId="0" hidden="1">#REF!</definedName>
    <definedName name="ggggg" localSheetId="0" hidden="1">#REF!</definedName>
    <definedName name="h" localSheetId="0">#REF!</definedName>
    <definedName name="hung" localSheetId="0" hidden="1">#REF!</definedName>
    <definedName name="kh" localSheetId="0" hidden="1">#REF!</definedName>
    <definedName name="ng" localSheetId="0">#REF!</definedName>
    <definedName name="_xlnm.Print_Titles" localSheetId="0">BCSXT09!$8:$9</definedName>
    <definedName name="t" localSheetId="0" hidden="1">#REF!</definedName>
    <definedName name="ừ" hidden="1">#REF!</definedName>
    <definedName name="vuong" localSheetId="0" hidden="1">#REF!</definedName>
    <definedName name="vuong1" localSheetId="0" hidden="1">#REF!</definedName>
    <definedName name="vuong2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<sst xmlns="http://schemas.openxmlformats.org/spreadsheetml/2006/main" count="156" uniqueCount="116">
  <si>
    <t>CỘNG HÒA DÂN CHỦ NHÂN DÂN LÀO</t>
  </si>
  <si>
    <t>Hòa bình - Độc lập - Dân chủ - Thống nhất - Thịnh vượng</t>
  </si>
  <si>
    <t>-----oOo-----</t>
  </si>
  <si>
    <t>CÔNG TY TNHH MTV QUASA - GERUCO LÀO</t>
  </si>
  <si>
    <t>ĐỘI SẢN XUẤT SỐ 01</t>
  </si>
  <si>
    <t>BÁO CÁO SẢN XUẤT THÁNG 09 NĂM 2025</t>
  </si>
  <si>
    <t>Stt</t>
  </si>
  <si>
    <t>Tên công việc</t>
  </si>
  <si>
    <t>Đvt</t>
  </si>
  <si>
    <t>Định
mức</t>
  </si>
  <si>
    <t>Địa điểm, khối lượng thực hiện</t>
  </si>
  <si>
    <t>Tổng
Khối lượng</t>
  </si>
  <si>
    <t>Số
lần</t>
  </si>
  <si>
    <t>Tổng công</t>
  </si>
  <si>
    <t>Ghi chú</t>
  </si>
  <si>
    <t>Lô</t>
  </si>
  <si>
    <t>KL</t>
  </si>
  <si>
    <t>25.000 kíp</t>
  </si>
  <si>
    <t>A</t>
  </si>
  <si>
    <t>VƯỜN CÂY KINH DOANH</t>
  </si>
  <si>
    <t>I</t>
  </si>
  <si>
    <t>SẢN LƯỢNG</t>
  </si>
  <si>
    <t xml:space="preserve">Bôi thuốc </t>
  </si>
  <si>
    <t>Mủ tạp (quy khô)</t>
  </si>
  <si>
    <t>tấn</t>
  </si>
  <si>
    <t>Gắn mái</t>
  </si>
  <si>
    <t>Mủ Sirum (quy khô)</t>
  </si>
  <si>
    <t>II</t>
  </si>
  <si>
    <t>PHỤ CẤP CẠO MỦ</t>
  </si>
  <si>
    <t xml:space="preserve"> </t>
  </si>
  <si>
    <t>Bấm màng</t>
  </si>
  <si>
    <t>Phụ cấp ngày chủ nhật</t>
  </si>
  <si>
    <t>công</t>
  </si>
  <si>
    <t>phát chồi</t>
  </si>
  <si>
    <t>Phụ cấp ngày công đi cạo</t>
  </si>
  <si>
    <t>Phụ cấp cây non</t>
  </si>
  <si>
    <t>Phụ cấp vườn cây khộp nặng</t>
  </si>
  <si>
    <t>Phụ cấp cạo 2 lát</t>
  </si>
  <si>
    <t>Phụ cấp cạo 2 lát chủ nhật</t>
  </si>
  <si>
    <t>III</t>
  </si>
  <si>
    <t>CHĂM SÓC</t>
  </si>
  <si>
    <t>Vườn cây KD năm 1 (2025)</t>
  </si>
  <si>
    <t>1.1</t>
  </si>
  <si>
    <t>Bôi thuốc kích thích Đợt 5</t>
  </si>
  <si>
    <t>Phần</t>
  </si>
  <si>
    <t>1.2</t>
  </si>
  <si>
    <t>Phát chồi đại trà</t>
  </si>
  <si>
    <t>Trạm 2</t>
  </si>
  <si>
    <t>ha</t>
  </si>
  <si>
    <t>L9</t>
  </si>
  <si>
    <t>L10</t>
  </si>
  <si>
    <t>Vườn cây KD năm 9 (2017)</t>
  </si>
  <si>
    <t>2.1</t>
  </si>
  <si>
    <t>2.2</t>
  </si>
  <si>
    <t>Phun cỏ đại trà</t>
  </si>
  <si>
    <t>Trạm 1</t>
  </si>
  <si>
    <t>D5</t>
  </si>
  <si>
    <t>C3</t>
  </si>
  <si>
    <t>F2</t>
  </si>
  <si>
    <t>E3</t>
  </si>
  <si>
    <t>2.3</t>
  </si>
  <si>
    <t>Phun cỏ bao lô</t>
  </si>
  <si>
    <t>A2</t>
  </si>
  <si>
    <t>B4</t>
  </si>
  <si>
    <t>B3</t>
  </si>
  <si>
    <t>K5</t>
  </si>
  <si>
    <t>B2</t>
  </si>
  <si>
    <t>D3</t>
  </si>
  <si>
    <t>2.4</t>
  </si>
  <si>
    <t>P6</t>
  </si>
  <si>
    <t>Q7</t>
  </si>
  <si>
    <t>K9</t>
  </si>
  <si>
    <t>R8</t>
  </si>
  <si>
    <t>N6</t>
  </si>
  <si>
    <t>P7</t>
  </si>
  <si>
    <t>J8</t>
  </si>
  <si>
    <t>J9</t>
  </si>
  <si>
    <t>Vườn cây KD năm 10 (2016)</t>
  </si>
  <si>
    <t>3.1</t>
  </si>
  <si>
    <t>3.2</t>
  </si>
  <si>
    <t>Bôi thuốc kích thích Đợt 6</t>
  </si>
  <si>
    <t>(Trạm 2)</t>
  </si>
  <si>
    <t>3.3</t>
  </si>
  <si>
    <t>K2</t>
  </si>
  <si>
    <t>C4</t>
  </si>
  <si>
    <t>3.4</t>
  </si>
  <si>
    <t>M9</t>
  </si>
  <si>
    <t>M10</t>
  </si>
  <si>
    <t>P8</t>
  </si>
  <si>
    <t>K8</t>
  </si>
  <si>
    <t>Q8</t>
  </si>
  <si>
    <t>N8</t>
  </si>
  <si>
    <t>Trạm 2*</t>
  </si>
  <si>
    <t>B</t>
  </si>
  <si>
    <t>BẢO VỆ VƯỜN CÂY</t>
  </si>
  <si>
    <t>Bảo vệ lào chính thức</t>
  </si>
  <si>
    <t>(02 người *2.600.000 kíp)</t>
  </si>
  <si>
    <t>C</t>
  </si>
  <si>
    <t>CÔNG VIỆC KHÁC</t>
  </si>
  <si>
    <t>Bốc thuốc cỏ nhập kho công ty</t>
  </si>
  <si>
    <t>Bốc vật tư nhập kho + xuất Đội 1,2,3</t>
  </si>
  <si>
    <t>TỔNG CÔNG SẢN PHẨM = A+B+C</t>
  </si>
  <si>
    <t>Huyện Phìn, ngày   tháng 09 năm 2025</t>
  </si>
  <si>
    <t>P. PHÒNG PHỤ TRÁCH</t>
  </si>
  <si>
    <t>ĐỘI TRƯỞNG</t>
  </si>
  <si>
    <t>TỔNG HỢP - THỐNG KÊ</t>
  </si>
  <si>
    <t xml:space="preserve">      Trương Văn Hoài</t>
  </si>
  <si>
    <t>Vũ Xuân Sơn</t>
  </si>
  <si>
    <t>Nguyễn Thị Thu Hiền</t>
  </si>
  <si>
    <t xml:space="preserve">Đoàn nghiệm thu </t>
  </si>
  <si>
    <t xml:space="preserve">TỔNG GIÁM ĐỐC        </t>
  </si>
  <si>
    <t>PHÒNG TC-KT</t>
  </si>
  <si>
    <t xml:space="preserve">   PHÒNG TC-HC</t>
  </si>
  <si>
    <t xml:space="preserve">  PHÒNG KH-XDCB</t>
  </si>
  <si>
    <t xml:space="preserve"> PHÒNG KT-NN</t>
  </si>
  <si>
    <t>TỔNG GIÁM ĐỐC                   PHÒNG TC - KT              PHÒNG TC - HC                PHÒNG KH - XDCB               PHÒNG QLKT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</si>
</sst>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-* #,##0.00\ _₫_-;\-* #,##0.00\ _₫_-;_-* &quot;-&quot;??\ _₫_-;_-@_-"/>
    <numFmt numFmtId="177" formatCode="_(* #,##0.00_);_(* \(#,##0.00\);_(* &quot;-&quot;??_);_(@_)"/>
    <numFmt numFmtId="178" formatCode="#,##0.0"/>
    <numFmt numFmtId="179" formatCode="\L&quot;ô&quot;\ #"/>
    <numFmt numFmtId="180" formatCode="_(* #,##0_);_(* \(#,##0\);_(* &quot;-&quot;??_);_(@_)"/>
    <numFmt numFmtId="181" formatCode="_-* #,##0\ _₫_-;\-* #,##0\ _₫_-;_-* &quot;-&quot;??\ _₫_-;_-@_-"/>
    <numFmt numFmtId="182" formatCode="_(* #,##0.0_);_(* \(#,##0.0\);_(* &quot;-&quot;??_);_(@_)"/>
  </numFmts>
  <fonts count="32">
    <font>
      <sz val="11"/>
      <color theme="1"/>
      <name val="Calibri"/>
      <charset val="134"/>
      <scheme val="minor"/>
    </font>
    <font>
      <b/>
      <sz val="8"/>
      <name val="Times New Roman"/>
      <charset val="134"/>
    </font>
    <font>
      <b/>
      <sz val="1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sz val="11"/>
      <name val="Times New Roman"/>
      <charset val="134"/>
    </font>
    <font>
      <b/>
      <sz val="13"/>
      <name val="Times New Roman"/>
      <charset val="134"/>
    </font>
    <font>
      <b/>
      <sz val="9"/>
      <name val="Times New Roman"/>
      <charset val="134"/>
    </font>
    <font>
      <sz val="8"/>
      <name val="Times New Roman"/>
      <charset val="134"/>
    </font>
    <font>
      <i/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63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/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0" fontId="6" fillId="0" borderId="0"/>
    <xf numFmtId="0" fontId="31" fillId="0" borderId="0"/>
  </cellStyleXfs>
  <cellXfs count="8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5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78" fontId="6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4" fontId="6" fillId="2" borderId="1" xfId="0" applyNumberFormat="1" applyFont="1" applyFill="1" applyBorder="1" applyAlignment="1">
      <alignment horizontal="center" vertical="center"/>
    </xf>
    <xf numFmtId="4" fontId="6" fillId="2" borderId="1" xfId="50" applyNumberFormat="1" applyFill="1" applyBorder="1" applyAlignment="1">
      <alignment horizontal="center" vertical="center"/>
    </xf>
    <xf numFmtId="3" fontId="6" fillId="2" borderId="1" xfId="1" applyNumberFormat="1" applyFont="1" applyFill="1" applyBorder="1" applyAlignment="1">
      <alignment horizontal="center" vertical="center"/>
    </xf>
    <xf numFmtId="179" fontId="6" fillId="2" borderId="1" xfId="51" applyNumberFormat="1" applyFont="1" applyFill="1" applyBorder="1" applyAlignment="1">
      <alignment horizontal="center" vertical="center"/>
    </xf>
    <xf numFmtId="0" fontId="6" fillId="2" borderId="1" xfId="50" applyFill="1" applyBorder="1" applyAlignment="1">
      <alignment horizontal="center" vertical="center"/>
    </xf>
    <xf numFmtId="0" fontId="6" fillId="2" borderId="1" xfId="50" applyFill="1" applyBorder="1" applyAlignment="1">
      <alignment vertical="center"/>
    </xf>
    <xf numFmtId="2" fontId="6" fillId="2" borderId="1" xfId="0" applyNumberFormat="1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2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6" fillId="2" borderId="1" xfId="0" applyFont="1" applyFill="1" applyBorder="1" applyAlignment="1">
      <alignment horizontal="left"/>
    </xf>
    <xf numFmtId="2" fontId="6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3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176" fontId="7" fillId="2" borderId="0" xfId="1" applyFont="1" applyFill="1" applyBorder="1" applyAlignment="1">
      <alignment horizontal="center" vertical="center"/>
    </xf>
    <xf numFmtId="176" fontId="7" fillId="2" borderId="0" xfId="1" applyFont="1" applyFill="1" applyBorder="1" applyAlignment="1">
      <alignment vertical="center"/>
    </xf>
    <xf numFmtId="180" fontId="7" fillId="2" borderId="0" xfId="1" applyNumberFormat="1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right" vertical="center"/>
    </xf>
    <xf numFmtId="178" fontId="6" fillId="2" borderId="1" xfId="0" applyNumberFormat="1" applyFont="1" applyFill="1" applyBorder="1" applyAlignment="1">
      <alignment horizontal="right" vertical="center"/>
    </xf>
    <xf numFmtId="4" fontId="4" fillId="2" borderId="1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4" fontId="2" fillId="2" borderId="0" xfId="0" applyNumberFormat="1" applyFont="1" applyFill="1" applyAlignment="1">
      <alignment horizontal="center" vertical="center"/>
    </xf>
    <xf numFmtId="4" fontId="6" fillId="2" borderId="1" xfId="0" applyNumberFormat="1" applyFont="1" applyFill="1" applyBorder="1" applyAlignment="1">
      <alignment horizontal="right" vertical="center"/>
    </xf>
    <xf numFmtId="2" fontId="2" fillId="2" borderId="0" xfId="0" applyNumberFormat="1" applyFont="1" applyFill="1" applyAlignment="1">
      <alignment horizontal="center" vertical="center"/>
    </xf>
    <xf numFmtId="4" fontId="6" fillId="2" borderId="1" xfId="50" applyNumberFormat="1" applyFill="1" applyBorder="1" applyAlignment="1">
      <alignment horizontal="right" vertical="center"/>
    </xf>
    <xf numFmtId="0" fontId="9" fillId="2" borderId="1" xfId="5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181" fontId="2" fillId="2" borderId="0" xfId="1" applyNumberFormat="1" applyFont="1" applyFill="1" applyAlignment="1">
      <alignment horizontal="center" vertical="center"/>
    </xf>
    <xf numFmtId="176" fontId="6" fillId="2" borderId="1" xfId="1" applyFont="1" applyFill="1" applyBorder="1" applyAlignment="1">
      <alignment horizontal="center" vertical="center" shrinkToFit="1"/>
    </xf>
    <xf numFmtId="3" fontId="6" fillId="2" borderId="1" xfId="1" applyNumberFormat="1" applyFont="1" applyFill="1" applyBorder="1" applyAlignment="1">
      <alignment horizontal="center"/>
    </xf>
    <xf numFmtId="4" fontId="3" fillId="2" borderId="1" xfId="5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4" fontId="4" fillId="2" borderId="1" xfId="5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4" fontId="3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82" fontId="7" fillId="2" borderId="0" xfId="1" applyNumberFormat="1" applyFont="1" applyFill="1" applyBorder="1" applyAlignment="1">
      <alignment vertical="center"/>
    </xf>
    <xf numFmtId="182" fontId="7" fillId="2" borderId="0" xfId="1" applyNumberFormat="1" applyFont="1" applyFill="1" applyBorder="1" applyAlignment="1">
      <alignment horizontal="left" vertical="center"/>
    </xf>
    <xf numFmtId="182" fontId="7" fillId="2" borderId="0" xfId="1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16" xfId="50"/>
    <cellStyle name="Normal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140804</xdr:colOff>
      <xdr:row>63</xdr:row>
      <xdr:rowOff>215347</xdr:rowOff>
    </xdr:from>
    <xdr:to>
      <xdr:col>6</xdr:col>
      <xdr:colOff>115956</xdr:colOff>
      <xdr:row>63</xdr:row>
      <xdr:rowOff>215347</xdr:rowOff>
    </xdr:to>
    <xdr:cxnSp>
      <xdr:nvCxnSpPr>
        <xdr:cNvPr id="2" name="Straight Connector 1"/>
        <xdr:cNvCxnSpPr/>
      </xdr:nvCxnSpPr>
      <xdr:spPr>
        <a:xfrm>
          <a:off x="4440555" y="18139410"/>
          <a:ext cx="11309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1399758</xdr:colOff>
      <xdr:row>5</xdr:row>
      <xdr:rowOff>1</xdr:rowOff>
    </xdr:from>
    <xdr:to>
      <xdr:col>1</xdr:col>
      <xdr:colOff>2103784</xdr:colOff>
      <xdr:row>5</xdr:row>
      <xdr:rowOff>2</xdr:rowOff>
    </xdr:to>
    <xdr:cxnSp>
      <xdr:nvCxnSpPr>
        <xdr:cNvPr id="3" name="Straight Connector 2"/>
        <xdr:cNvCxnSpPr/>
      </xdr:nvCxnSpPr>
      <xdr:spPr>
        <a:xfrm flipV="1">
          <a:off x="1722755" y="1190625"/>
          <a:ext cx="7042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PC\Desktop\&#272;&#7896;I%20S&#7842;N%20XU&#7844;T%20S&#7888;%2001\2.KH-%20B&#193;O%20C&#193;O\TH&#193;NG%2009.2025\B&#193;O%20C&#193;O%20TH&#193;NG%209%20-%20KHSX%20T10.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KHSXT10"/>
      <sheetName val="BCSXT09"/>
      <sheetName val="Dò"/>
      <sheetName val="KHSXT09 BS Đợt 1"/>
      <sheetName val="KHSXT09 BS Đợt 1 (2)"/>
      <sheetName val="KHSXT09 BS Đợt 2"/>
      <sheetName val="KHSXT09 BS Đợt 2 (2)"/>
      <sheetName val="Sheet3"/>
      <sheetName val="DT THỰC"/>
      <sheetName val="chuyển đổi công"/>
    </sheetNames>
    <sheetDataSet>
      <sheetData sheetId="0"/>
      <sheetData sheetId="1"/>
      <sheetData sheetId="2"/>
      <sheetData sheetId="3">
        <row r="10">
          <cell r="M10">
            <v>1732.45</v>
          </cell>
        </row>
      </sheetData>
      <sheetData sheetId="4"/>
      <sheetData sheetId="5"/>
      <sheetData sheetId="6">
        <row r="16">
          <cell r="M16">
            <v>269.6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HW66"/>
  <sheetViews>
    <sheetView tabSelected="1" zoomScale="115" zoomScaleNormal="115" topLeftCell="A16" workbookViewId="0">
      <selection activeCell="D18" sqref="D18:J18"/>
    </sheetView>
  </sheetViews>
  <sheetFormatPr defaultColWidth="9" defaultRowHeight="13.8"/>
  <cols>
    <col min="1" max="1" width="4.71296296296296" style="5" customWidth="1"/>
    <col min="2" max="2" width="41.1388888888889" style="6" customWidth="1"/>
    <col min="3" max="3" width="8.42592592592593" style="5" customWidth="1"/>
    <col min="4" max="4" width="8.42592592592593" style="6" customWidth="1"/>
    <col min="5" max="5" width="8.42592592592593" style="5" customWidth="1"/>
    <col min="6" max="6" width="8.42592592592593" style="6" customWidth="1"/>
    <col min="7" max="7" width="8.42592592592593" style="5" customWidth="1"/>
    <col min="8" max="8" width="8.42592592592593" style="6" customWidth="1"/>
    <col min="9" max="9" width="8.42592592592593" style="5" customWidth="1"/>
    <col min="10" max="11" width="8.42592592592593" style="6" customWidth="1"/>
    <col min="12" max="12" width="5.28703703703704" style="6" customWidth="1"/>
    <col min="13" max="13" width="10.5740740740741" style="6" customWidth="1"/>
    <col min="14" max="14" width="8.85185185185185" style="7" customWidth="1"/>
    <col min="15" max="15" width="16.287037037037" style="6" customWidth="1"/>
    <col min="16" max="16" width="9.13888888888889" style="6"/>
    <col min="17" max="17" width="9.71296296296296" style="6" customWidth="1"/>
    <col min="18" max="228" width="9.13888888888889" style="6"/>
    <col min="229" max="229" width="4.71296296296296" style="6" customWidth="1"/>
    <col min="230" max="230" width="35.287037037037" style="6" customWidth="1"/>
    <col min="231" max="231" width="5.85185185185185" style="6" customWidth="1"/>
    <col min="232" max="232" width="7.13888888888889" style="6" customWidth="1"/>
    <col min="233" max="233" width="8.28703703703704" style="6" customWidth="1"/>
    <col min="234" max="234" width="7.13888888888889" style="6" customWidth="1"/>
    <col min="235" max="235" width="8.28703703703704" style="6" customWidth="1"/>
    <col min="236" max="236" width="7.28703703703704" style="6" customWidth="1"/>
    <col min="237" max="237" width="7.85185185185185" style="6" customWidth="1"/>
    <col min="238" max="238" width="6.28703703703704" style="6" customWidth="1"/>
    <col min="239" max="239" width="11.712962962963" style="6" customWidth="1"/>
    <col min="240" max="240" width="5" style="6" customWidth="1"/>
    <col min="241" max="241" width="10.287037037037" style="6" customWidth="1"/>
    <col min="242" max="242" width="9.13888888888889" style="6" customWidth="1"/>
    <col min="243" max="243" width="9.13888888888889" style="6"/>
    <col min="244" max="244" width="12.8518518518519" style="6" customWidth="1"/>
    <col min="245" max="245" width="9.13888888888889" style="6"/>
    <col min="246" max="246" width="9.28703703703704" style="6" customWidth="1"/>
    <col min="247" max="484" width="9.13888888888889" style="6"/>
    <col min="485" max="485" width="4.71296296296296" style="6" customWidth="1"/>
    <col min="486" max="486" width="35.287037037037" style="6" customWidth="1"/>
    <col min="487" max="487" width="5.85185185185185" style="6" customWidth="1"/>
    <col min="488" max="488" width="7.13888888888889" style="6" customWidth="1"/>
    <col min="489" max="489" width="8.28703703703704" style="6" customWidth="1"/>
    <col min="490" max="490" width="7.13888888888889" style="6" customWidth="1"/>
    <col min="491" max="491" width="8.28703703703704" style="6" customWidth="1"/>
    <col min="492" max="492" width="7.28703703703704" style="6" customWidth="1"/>
    <col min="493" max="493" width="7.85185185185185" style="6" customWidth="1"/>
    <col min="494" max="494" width="6.28703703703704" style="6" customWidth="1"/>
    <col min="495" max="495" width="11.712962962963" style="6" customWidth="1"/>
    <col min="496" max="496" width="5" style="6" customWidth="1"/>
    <col min="497" max="497" width="10.287037037037" style="6" customWidth="1"/>
    <col min="498" max="498" width="9.13888888888889" style="6" customWidth="1"/>
    <col min="499" max="499" width="9.13888888888889" style="6"/>
    <col min="500" max="500" width="12.8518518518519" style="6" customWidth="1"/>
    <col min="501" max="501" width="9.13888888888889" style="6"/>
    <col min="502" max="502" width="9.28703703703704" style="6" customWidth="1"/>
    <col min="503" max="740" width="9.13888888888889" style="6"/>
    <col min="741" max="741" width="4.71296296296296" style="6" customWidth="1"/>
    <col min="742" max="742" width="35.287037037037" style="6" customWidth="1"/>
    <col min="743" max="743" width="5.85185185185185" style="6" customWidth="1"/>
    <col min="744" max="744" width="7.13888888888889" style="6" customWidth="1"/>
    <col min="745" max="745" width="8.28703703703704" style="6" customWidth="1"/>
    <col min="746" max="746" width="7.13888888888889" style="6" customWidth="1"/>
    <col min="747" max="747" width="8.28703703703704" style="6" customWidth="1"/>
    <col min="748" max="748" width="7.28703703703704" style="6" customWidth="1"/>
    <col min="749" max="749" width="7.85185185185185" style="6" customWidth="1"/>
    <col min="750" max="750" width="6.28703703703704" style="6" customWidth="1"/>
    <col min="751" max="751" width="11.712962962963" style="6" customWidth="1"/>
    <col min="752" max="752" width="5" style="6" customWidth="1"/>
    <col min="753" max="753" width="10.287037037037" style="6" customWidth="1"/>
    <col min="754" max="754" width="9.13888888888889" style="6" customWidth="1"/>
    <col min="755" max="755" width="9.13888888888889" style="6"/>
    <col min="756" max="756" width="12.8518518518519" style="6" customWidth="1"/>
    <col min="757" max="757" width="9.13888888888889" style="6"/>
    <col min="758" max="758" width="9.28703703703704" style="6" customWidth="1"/>
    <col min="759" max="996" width="9.13888888888889" style="6"/>
    <col min="997" max="997" width="4.71296296296296" style="6" customWidth="1"/>
    <col min="998" max="998" width="35.287037037037" style="6" customWidth="1"/>
    <col min="999" max="999" width="5.85185185185185" style="6" customWidth="1"/>
    <col min="1000" max="1000" width="7.13888888888889" style="6" customWidth="1"/>
    <col min="1001" max="1001" width="8.28703703703704" style="6" customWidth="1"/>
    <col min="1002" max="1002" width="7.13888888888889" style="6" customWidth="1"/>
    <col min="1003" max="1003" width="8.28703703703704" style="6" customWidth="1"/>
    <col min="1004" max="1004" width="7.28703703703704" style="6" customWidth="1"/>
    <col min="1005" max="1005" width="7.85185185185185" style="6" customWidth="1"/>
    <col min="1006" max="1006" width="6.28703703703704" style="6" customWidth="1"/>
    <col min="1007" max="1007" width="11.712962962963" style="6" customWidth="1"/>
    <col min="1008" max="1008" width="5" style="6" customWidth="1"/>
    <col min="1009" max="1009" width="10.287037037037" style="6" customWidth="1"/>
    <col min="1010" max="1010" width="9.13888888888889" style="6" customWidth="1"/>
    <col min="1011" max="1011" width="9.13888888888889" style="6"/>
    <col min="1012" max="1012" width="12.8518518518519" style="6" customWidth="1"/>
    <col min="1013" max="1013" width="9.13888888888889" style="6"/>
    <col min="1014" max="1014" width="9.28703703703704" style="6" customWidth="1"/>
    <col min="1015" max="1252" width="9.13888888888889" style="6"/>
    <col min="1253" max="1253" width="4.71296296296296" style="6" customWidth="1"/>
    <col min="1254" max="1254" width="35.287037037037" style="6" customWidth="1"/>
    <col min="1255" max="1255" width="5.85185185185185" style="6" customWidth="1"/>
    <col min="1256" max="1256" width="7.13888888888889" style="6" customWidth="1"/>
    <col min="1257" max="1257" width="8.28703703703704" style="6" customWidth="1"/>
    <col min="1258" max="1258" width="7.13888888888889" style="6" customWidth="1"/>
    <col min="1259" max="1259" width="8.28703703703704" style="6" customWidth="1"/>
    <col min="1260" max="1260" width="7.28703703703704" style="6" customWidth="1"/>
    <col min="1261" max="1261" width="7.85185185185185" style="6" customWidth="1"/>
    <col min="1262" max="1262" width="6.28703703703704" style="6" customWidth="1"/>
    <col min="1263" max="1263" width="11.712962962963" style="6" customWidth="1"/>
    <col min="1264" max="1264" width="5" style="6" customWidth="1"/>
    <col min="1265" max="1265" width="10.287037037037" style="6" customWidth="1"/>
    <col min="1266" max="1266" width="9.13888888888889" style="6" customWidth="1"/>
    <col min="1267" max="1267" width="9.13888888888889" style="6"/>
    <col min="1268" max="1268" width="12.8518518518519" style="6" customWidth="1"/>
    <col min="1269" max="1269" width="9.13888888888889" style="6"/>
    <col min="1270" max="1270" width="9.28703703703704" style="6" customWidth="1"/>
    <col min="1271" max="1508" width="9.13888888888889" style="6"/>
    <col min="1509" max="1509" width="4.71296296296296" style="6" customWidth="1"/>
    <col min="1510" max="1510" width="35.287037037037" style="6" customWidth="1"/>
    <col min="1511" max="1511" width="5.85185185185185" style="6" customWidth="1"/>
    <col min="1512" max="1512" width="7.13888888888889" style="6" customWidth="1"/>
    <col min="1513" max="1513" width="8.28703703703704" style="6" customWidth="1"/>
    <col min="1514" max="1514" width="7.13888888888889" style="6" customWidth="1"/>
    <col min="1515" max="1515" width="8.28703703703704" style="6" customWidth="1"/>
    <col min="1516" max="1516" width="7.28703703703704" style="6" customWidth="1"/>
    <col min="1517" max="1517" width="7.85185185185185" style="6" customWidth="1"/>
    <col min="1518" max="1518" width="6.28703703703704" style="6" customWidth="1"/>
    <col min="1519" max="1519" width="11.712962962963" style="6" customWidth="1"/>
    <col min="1520" max="1520" width="5" style="6" customWidth="1"/>
    <col min="1521" max="1521" width="10.287037037037" style="6" customWidth="1"/>
    <col min="1522" max="1522" width="9.13888888888889" style="6" customWidth="1"/>
    <col min="1523" max="1523" width="9.13888888888889" style="6"/>
    <col min="1524" max="1524" width="12.8518518518519" style="6" customWidth="1"/>
    <col min="1525" max="1525" width="9.13888888888889" style="6"/>
    <col min="1526" max="1526" width="9.28703703703704" style="6" customWidth="1"/>
    <col min="1527" max="1764" width="9.13888888888889" style="6"/>
    <col min="1765" max="1765" width="4.71296296296296" style="6" customWidth="1"/>
    <col min="1766" max="1766" width="35.287037037037" style="6" customWidth="1"/>
    <col min="1767" max="1767" width="5.85185185185185" style="6" customWidth="1"/>
    <col min="1768" max="1768" width="7.13888888888889" style="6" customWidth="1"/>
    <col min="1769" max="1769" width="8.28703703703704" style="6" customWidth="1"/>
    <col min="1770" max="1770" width="7.13888888888889" style="6" customWidth="1"/>
    <col min="1771" max="1771" width="8.28703703703704" style="6" customWidth="1"/>
    <col min="1772" max="1772" width="7.28703703703704" style="6" customWidth="1"/>
    <col min="1773" max="1773" width="7.85185185185185" style="6" customWidth="1"/>
    <col min="1774" max="1774" width="6.28703703703704" style="6" customWidth="1"/>
    <col min="1775" max="1775" width="11.712962962963" style="6" customWidth="1"/>
    <col min="1776" max="1776" width="5" style="6" customWidth="1"/>
    <col min="1777" max="1777" width="10.287037037037" style="6" customWidth="1"/>
    <col min="1778" max="1778" width="9.13888888888889" style="6" customWidth="1"/>
    <col min="1779" max="1779" width="9.13888888888889" style="6"/>
    <col min="1780" max="1780" width="12.8518518518519" style="6" customWidth="1"/>
    <col min="1781" max="1781" width="9.13888888888889" style="6"/>
    <col min="1782" max="1782" width="9.28703703703704" style="6" customWidth="1"/>
    <col min="1783" max="2020" width="9.13888888888889" style="6"/>
    <col min="2021" max="2021" width="4.71296296296296" style="6" customWidth="1"/>
    <col min="2022" max="2022" width="35.287037037037" style="6" customWidth="1"/>
    <col min="2023" max="2023" width="5.85185185185185" style="6" customWidth="1"/>
    <col min="2024" max="2024" width="7.13888888888889" style="6" customWidth="1"/>
    <col min="2025" max="2025" width="8.28703703703704" style="6" customWidth="1"/>
    <col min="2026" max="2026" width="7.13888888888889" style="6" customWidth="1"/>
    <col min="2027" max="2027" width="8.28703703703704" style="6" customWidth="1"/>
    <col min="2028" max="2028" width="7.28703703703704" style="6" customWidth="1"/>
    <col min="2029" max="2029" width="7.85185185185185" style="6" customWidth="1"/>
    <col min="2030" max="2030" width="6.28703703703704" style="6" customWidth="1"/>
    <col min="2031" max="2031" width="11.712962962963" style="6" customWidth="1"/>
    <col min="2032" max="2032" width="5" style="6" customWidth="1"/>
    <col min="2033" max="2033" width="10.287037037037" style="6" customWidth="1"/>
    <col min="2034" max="2034" width="9.13888888888889" style="6" customWidth="1"/>
    <col min="2035" max="2035" width="9.13888888888889" style="6"/>
    <col min="2036" max="2036" width="12.8518518518519" style="6" customWidth="1"/>
    <col min="2037" max="2037" width="9.13888888888889" style="6"/>
    <col min="2038" max="2038" width="9.28703703703704" style="6" customWidth="1"/>
    <col min="2039" max="2276" width="9.13888888888889" style="6"/>
    <col min="2277" max="2277" width="4.71296296296296" style="6" customWidth="1"/>
    <col min="2278" max="2278" width="35.287037037037" style="6" customWidth="1"/>
    <col min="2279" max="2279" width="5.85185185185185" style="6" customWidth="1"/>
    <col min="2280" max="2280" width="7.13888888888889" style="6" customWidth="1"/>
    <col min="2281" max="2281" width="8.28703703703704" style="6" customWidth="1"/>
    <col min="2282" max="2282" width="7.13888888888889" style="6" customWidth="1"/>
    <col min="2283" max="2283" width="8.28703703703704" style="6" customWidth="1"/>
    <col min="2284" max="2284" width="7.28703703703704" style="6" customWidth="1"/>
    <col min="2285" max="2285" width="7.85185185185185" style="6" customWidth="1"/>
    <col min="2286" max="2286" width="6.28703703703704" style="6" customWidth="1"/>
    <col min="2287" max="2287" width="11.712962962963" style="6" customWidth="1"/>
    <col min="2288" max="2288" width="5" style="6" customWidth="1"/>
    <col min="2289" max="2289" width="10.287037037037" style="6" customWidth="1"/>
    <col min="2290" max="2290" width="9.13888888888889" style="6" customWidth="1"/>
    <col min="2291" max="2291" width="9.13888888888889" style="6"/>
    <col min="2292" max="2292" width="12.8518518518519" style="6" customWidth="1"/>
    <col min="2293" max="2293" width="9.13888888888889" style="6"/>
    <col min="2294" max="2294" width="9.28703703703704" style="6" customWidth="1"/>
    <col min="2295" max="2532" width="9.13888888888889" style="6"/>
    <col min="2533" max="2533" width="4.71296296296296" style="6" customWidth="1"/>
    <col min="2534" max="2534" width="35.287037037037" style="6" customWidth="1"/>
    <col min="2535" max="2535" width="5.85185185185185" style="6" customWidth="1"/>
    <col min="2536" max="2536" width="7.13888888888889" style="6" customWidth="1"/>
    <col min="2537" max="2537" width="8.28703703703704" style="6" customWidth="1"/>
    <col min="2538" max="2538" width="7.13888888888889" style="6" customWidth="1"/>
    <col min="2539" max="2539" width="8.28703703703704" style="6" customWidth="1"/>
    <col min="2540" max="2540" width="7.28703703703704" style="6" customWidth="1"/>
    <col min="2541" max="2541" width="7.85185185185185" style="6" customWidth="1"/>
    <col min="2542" max="2542" width="6.28703703703704" style="6" customWidth="1"/>
    <col min="2543" max="2543" width="11.712962962963" style="6" customWidth="1"/>
    <col min="2544" max="2544" width="5" style="6" customWidth="1"/>
    <col min="2545" max="2545" width="10.287037037037" style="6" customWidth="1"/>
    <col min="2546" max="2546" width="9.13888888888889" style="6" customWidth="1"/>
    <col min="2547" max="2547" width="9.13888888888889" style="6"/>
    <col min="2548" max="2548" width="12.8518518518519" style="6" customWidth="1"/>
    <col min="2549" max="2549" width="9.13888888888889" style="6"/>
    <col min="2550" max="2550" width="9.28703703703704" style="6" customWidth="1"/>
    <col min="2551" max="2788" width="9.13888888888889" style="6"/>
    <col min="2789" max="2789" width="4.71296296296296" style="6" customWidth="1"/>
    <col min="2790" max="2790" width="35.287037037037" style="6" customWidth="1"/>
    <col min="2791" max="2791" width="5.85185185185185" style="6" customWidth="1"/>
    <col min="2792" max="2792" width="7.13888888888889" style="6" customWidth="1"/>
    <col min="2793" max="2793" width="8.28703703703704" style="6" customWidth="1"/>
    <col min="2794" max="2794" width="7.13888888888889" style="6" customWidth="1"/>
    <col min="2795" max="2795" width="8.28703703703704" style="6" customWidth="1"/>
    <col min="2796" max="2796" width="7.28703703703704" style="6" customWidth="1"/>
    <col min="2797" max="2797" width="7.85185185185185" style="6" customWidth="1"/>
    <col min="2798" max="2798" width="6.28703703703704" style="6" customWidth="1"/>
    <col min="2799" max="2799" width="11.712962962963" style="6" customWidth="1"/>
    <col min="2800" max="2800" width="5" style="6" customWidth="1"/>
    <col min="2801" max="2801" width="10.287037037037" style="6" customWidth="1"/>
    <col min="2802" max="2802" width="9.13888888888889" style="6" customWidth="1"/>
    <col min="2803" max="2803" width="9.13888888888889" style="6"/>
    <col min="2804" max="2804" width="12.8518518518519" style="6" customWidth="1"/>
    <col min="2805" max="2805" width="9.13888888888889" style="6"/>
    <col min="2806" max="2806" width="9.28703703703704" style="6" customWidth="1"/>
    <col min="2807" max="3044" width="9.13888888888889" style="6"/>
    <col min="3045" max="3045" width="4.71296296296296" style="6" customWidth="1"/>
    <col min="3046" max="3046" width="35.287037037037" style="6" customWidth="1"/>
    <col min="3047" max="3047" width="5.85185185185185" style="6" customWidth="1"/>
    <col min="3048" max="3048" width="7.13888888888889" style="6" customWidth="1"/>
    <col min="3049" max="3049" width="8.28703703703704" style="6" customWidth="1"/>
    <col min="3050" max="3050" width="7.13888888888889" style="6" customWidth="1"/>
    <col min="3051" max="3051" width="8.28703703703704" style="6" customWidth="1"/>
    <col min="3052" max="3052" width="7.28703703703704" style="6" customWidth="1"/>
    <col min="3053" max="3053" width="7.85185185185185" style="6" customWidth="1"/>
    <col min="3054" max="3054" width="6.28703703703704" style="6" customWidth="1"/>
    <col min="3055" max="3055" width="11.712962962963" style="6" customWidth="1"/>
    <col min="3056" max="3056" width="5" style="6" customWidth="1"/>
    <col min="3057" max="3057" width="10.287037037037" style="6" customWidth="1"/>
    <col min="3058" max="3058" width="9.13888888888889" style="6" customWidth="1"/>
    <col min="3059" max="3059" width="9.13888888888889" style="6"/>
    <col min="3060" max="3060" width="12.8518518518519" style="6" customWidth="1"/>
    <col min="3061" max="3061" width="9.13888888888889" style="6"/>
    <col min="3062" max="3062" width="9.28703703703704" style="6" customWidth="1"/>
    <col min="3063" max="3300" width="9.13888888888889" style="6"/>
    <col min="3301" max="3301" width="4.71296296296296" style="6" customWidth="1"/>
    <col min="3302" max="3302" width="35.287037037037" style="6" customWidth="1"/>
    <col min="3303" max="3303" width="5.85185185185185" style="6" customWidth="1"/>
    <col min="3304" max="3304" width="7.13888888888889" style="6" customWidth="1"/>
    <col min="3305" max="3305" width="8.28703703703704" style="6" customWidth="1"/>
    <col min="3306" max="3306" width="7.13888888888889" style="6" customWidth="1"/>
    <col min="3307" max="3307" width="8.28703703703704" style="6" customWidth="1"/>
    <col min="3308" max="3308" width="7.28703703703704" style="6" customWidth="1"/>
    <col min="3309" max="3309" width="7.85185185185185" style="6" customWidth="1"/>
    <col min="3310" max="3310" width="6.28703703703704" style="6" customWidth="1"/>
    <col min="3311" max="3311" width="11.712962962963" style="6" customWidth="1"/>
    <col min="3312" max="3312" width="5" style="6" customWidth="1"/>
    <col min="3313" max="3313" width="10.287037037037" style="6" customWidth="1"/>
    <col min="3314" max="3314" width="9.13888888888889" style="6" customWidth="1"/>
    <col min="3315" max="3315" width="9.13888888888889" style="6"/>
    <col min="3316" max="3316" width="12.8518518518519" style="6" customWidth="1"/>
    <col min="3317" max="3317" width="9.13888888888889" style="6"/>
    <col min="3318" max="3318" width="9.28703703703704" style="6" customWidth="1"/>
    <col min="3319" max="3556" width="9.13888888888889" style="6"/>
    <col min="3557" max="3557" width="4.71296296296296" style="6" customWidth="1"/>
    <col min="3558" max="3558" width="35.287037037037" style="6" customWidth="1"/>
    <col min="3559" max="3559" width="5.85185185185185" style="6" customWidth="1"/>
    <col min="3560" max="3560" width="7.13888888888889" style="6" customWidth="1"/>
    <col min="3561" max="3561" width="8.28703703703704" style="6" customWidth="1"/>
    <col min="3562" max="3562" width="7.13888888888889" style="6" customWidth="1"/>
    <col min="3563" max="3563" width="8.28703703703704" style="6" customWidth="1"/>
    <col min="3564" max="3564" width="7.28703703703704" style="6" customWidth="1"/>
    <col min="3565" max="3565" width="7.85185185185185" style="6" customWidth="1"/>
    <col min="3566" max="3566" width="6.28703703703704" style="6" customWidth="1"/>
    <col min="3567" max="3567" width="11.712962962963" style="6" customWidth="1"/>
    <col min="3568" max="3568" width="5" style="6" customWidth="1"/>
    <col min="3569" max="3569" width="10.287037037037" style="6" customWidth="1"/>
    <col min="3570" max="3570" width="9.13888888888889" style="6" customWidth="1"/>
    <col min="3571" max="3571" width="9.13888888888889" style="6"/>
    <col min="3572" max="3572" width="12.8518518518519" style="6" customWidth="1"/>
    <col min="3573" max="3573" width="9.13888888888889" style="6"/>
    <col min="3574" max="3574" width="9.28703703703704" style="6" customWidth="1"/>
    <col min="3575" max="3812" width="9.13888888888889" style="6"/>
    <col min="3813" max="3813" width="4.71296296296296" style="6" customWidth="1"/>
    <col min="3814" max="3814" width="35.287037037037" style="6" customWidth="1"/>
    <col min="3815" max="3815" width="5.85185185185185" style="6" customWidth="1"/>
    <col min="3816" max="3816" width="7.13888888888889" style="6" customWidth="1"/>
    <col min="3817" max="3817" width="8.28703703703704" style="6" customWidth="1"/>
    <col min="3818" max="3818" width="7.13888888888889" style="6" customWidth="1"/>
    <col min="3819" max="3819" width="8.28703703703704" style="6" customWidth="1"/>
    <col min="3820" max="3820" width="7.28703703703704" style="6" customWidth="1"/>
    <col min="3821" max="3821" width="7.85185185185185" style="6" customWidth="1"/>
    <col min="3822" max="3822" width="6.28703703703704" style="6" customWidth="1"/>
    <col min="3823" max="3823" width="11.712962962963" style="6" customWidth="1"/>
    <col min="3824" max="3824" width="5" style="6" customWidth="1"/>
    <col min="3825" max="3825" width="10.287037037037" style="6" customWidth="1"/>
    <col min="3826" max="3826" width="9.13888888888889" style="6" customWidth="1"/>
    <col min="3827" max="3827" width="9.13888888888889" style="6"/>
    <col min="3828" max="3828" width="12.8518518518519" style="6" customWidth="1"/>
    <col min="3829" max="3829" width="9.13888888888889" style="6"/>
    <col min="3830" max="3830" width="9.28703703703704" style="6" customWidth="1"/>
    <col min="3831" max="4068" width="9.13888888888889" style="6"/>
    <col min="4069" max="4069" width="4.71296296296296" style="6" customWidth="1"/>
    <col min="4070" max="4070" width="35.287037037037" style="6" customWidth="1"/>
    <col min="4071" max="4071" width="5.85185185185185" style="6" customWidth="1"/>
    <col min="4072" max="4072" width="7.13888888888889" style="6" customWidth="1"/>
    <col min="4073" max="4073" width="8.28703703703704" style="6" customWidth="1"/>
    <col min="4074" max="4074" width="7.13888888888889" style="6" customWidth="1"/>
    <col min="4075" max="4075" width="8.28703703703704" style="6" customWidth="1"/>
    <col min="4076" max="4076" width="7.28703703703704" style="6" customWidth="1"/>
    <col min="4077" max="4077" width="7.85185185185185" style="6" customWidth="1"/>
    <col min="4078" max="4078" width="6.28703703703704" style="6" customWidth="1"/>
    <col min="4079" max="4079" width="11.712962962963" style="6" customWidth="1"/>
    <col min="4080" max="4080" width="5" style="6" customWidth="1"/>
    <col min="4081" max="4081" width="10.287037037037" style="6" customWidth="1"/>
    <col min="4082" max="4082" width="9.13888888888889" style="6" customWidth="1"/>
    <col min="4083" max="4083" width="9.13888888888889" style="6"/>
    <col min="4084" max="4084" width="12.8518518518519" style="6" customWidth="1"/>
    <col min="4085" max="4085" width="9.13888888888889" style="6"/>
    <col min="4086" max="4086" width="9.28703703703704" style="6" customWidth="1"/>
    <col min="4087" max="4324" width="9.13888888888889" style="6"/>
    <col min="4325" max="4325" width="4.71296296296296" style="6" customWidth="1"/>
    <col min="4326" max="4326" width="35.287037037037" style="6" customWidth="1"/>
    <col min="4327" max="4327" width="5.85185185185185" style="6" customWidth="1"/>
    <col min="4328" max="4328" width="7.13888888888889" style="6" customWidth="1"/>
    <col min="4329" max="4329" width="8.28703703703704" style="6" customWidth="1"/>
    <col min="4330" max="4330" width="7.13888888888889" style="6" customWidth="1"/>
    <col min="4331" max="4331" width="8.28703703703704" style="6" customWidth="1"/>
    <col min="4332" max="4332" width="7.28703703703704" style="6" customWidth="1"/>
    <col min="4333" max="4333" width="7.85185185185185" style="6" customWidth="1"/>
    <col min="4334" max="4334" width="6.28703703703704" style="6" customWidth="1"/>
    <col min="4335" max="4335" width="11.712962962963" style="6" customWidth="1"/>
    <col min="4336" max="4336" width="5" style="6" customWidth="1"/>
    <col min="4337" max="4337" width="10.287037037037" style="6" customWidth="1"/>
    <col min="4338" max="4338" width="9.13888888888889" style="6" customWidth="1"/>
    <col min="4339" max="4339" width="9.13888888888889" style="6"/>
    <col min="4340" max="4340" width="12.8518518518519" style="6" customWidth="1"/>
    <col min="4341" max="4341" width="9.13888888888889" style="6"/>
    <col min="4342" max="4342" width="9.28703703703704" style="6" customWidth="1"/>
    <col min="4343" max="4580" width="9.13888888888889" style="6"/>
    <col min="4581" max="4581" width="4.71296296296296" style="6" customWidth="1"/>
    <col min="4582" max="4582" width="35.287037037037" style="6" customWidth="1"/>
    <col min="4583" max="4583" width="5.85185185185185" style="6" customWidth="1"/>
    <col min="4584" max="4584" width="7.13888888888889" style="6" customWidth="1"/>
    <col min="4585" max="4585" width="8.28703703703704" style="6" customWidth="1"/>
    <col min="4586" max="4586" width="7.13888888888889" style="6" customWidth="1"/>
    <col min="4587" max="4587" width="8.28703703703704" style="6" customWidth="1"/>
    <col min="4588" max="4588" width="7.28703703703704" style="6" customWidth="1"/>
    <col min="4589" max="4589" width="7.85185185185185" style="6" customWidth="1"/>
    <col min="4590" max="4590" width="6.28703703703704" style="6" customWidth="1"/>
    <col min="4591" max="4591" width="11.712962962963" style="6" customWidth="1"/>
    <col min="4592" max="4592" width="5" style="6" customWidth="1"/>
    <col min="4593" max="4593" width="10.287037037037" style="6" customWidth="1"/>
    <col min="4594" max="4594" width="9.13888888888889" style="6" customWidth="1"/>
    <col min="4595" max="4595" width="9.13888888888889" style="6"/>
    <col min="4596" max="4596" width="12.8518518518519" style="6" customWidth="1"/>
    <col min="4597" max="4597" width="9.13888888888889" style="6"/>
    <col min="4598" max="4598" width="9.28703703703704" style="6" customWidth="1"/>
    <col min="4599" max="4836" width="9.13888888888889" style="6"/>
    <col min="4837" max="4837" width="4.71296296296296" style="6" customWidth="1"/>
    <col min="4838" max="4838" width="35.287037037037" style="6" customWidth="1"/>
    <col min="4839" max="4839" width="5.85185185185185" style="6" customWidth="1"/>
    <col min="4840" max="4840" width="7.13888888888889" style="6" customWidth="1"/>
    <col min="4841" max="4841" width="8.28703703703704" style="6" customWidth="1"/>
    <col min="4842" max="4842" width="7.13888888888889" style="6" customWidth="1"/>
    <col min="4843" max="4843" width="8.28703703703704" style="6" customWidth="1"/>
    <col min="4844" max="4844" width="7.28703703703704" style="6" customWidth="1"/>
    <col min="4845" max="4845" width="7.85185185185185" style="6" customWidth="1"/>
    <col min="4846" max="4846" width="6.28703703703704" style="6" customWidth="1"/>
    <col min="4847" max="4847" width="11.712962962963" style="6" customWidth="1"/>
    <col min="4848" max="4848" width="5" style="6" customWidth="1"/>
    <col min="4849" max="4849" width="10.287037037037" style="6" customWidth="1"/>
    <col min="4850" max="4850" width="9.13888888888889" style="6" customWidth="1"/>
    <col min="4851" max="4851" width="9.13888888888889" style="6"/>
    <col min="4852" max="4852" width="12.8518518518519" style="6" customWidth="1"/>
    <col min="4853" max="4853" width="9.13888888888889" style="6"/>
    <col min="4854" max="4854" width="9.28703703703704" style="6" customWidth="1"/>
    <col min="4855" max="5092" width="9.13888888888889" style="6"/>
    <col min="5093" max="5093" width="4.71296296296296" style="6" customWidth="1"/>
    <col min="5094" max="5094" width="35.287037037037" style="6" customWidth="1"/>
    <col min="5095" max="5095" width="5.85185185185185" style="6" customWidth="1"/>
    <col min="5096" max="5096" width="7.13888888888889" style="6" customWidth="1"/>
    <col min="5097" max="5097" width="8.28703703703704" style="6" customWidth="1"/>
    <col min="5098" max="5098" width="7.13888888888889" style="6" customWidth="1"/>
    <col min="5099" max="5099" width="8.28703703703704" style="6" customWidth="1"/>
    <col min="5100" max="5100" width="7.28703703703704" style="6" customWidth="1"/>
    <col min="5101" max="5101" width="7.85185185185185" style="6" customWidth="1"/>
    <col min="5102" max="5102" width="6.28703703703704" style="6" customWidth="1"/>
    <col min="5103" max="5103" width="11.712962962963" style="6" customWidth="1"/>
    <col min="5104" max="5104" width="5" style="6" customWidth="1"/>
    <col min="5105" max="5105" width="10.287037037037" style="6" customWidth="1"/>
    <col min="5106" max="5106" width="9.13888888888889" style="6" customWidth="1"/>
    <col min="5107" max="5107" width="9.13888888888889" style="6"/>
    <col min="5108" max="5108" width="12.8518518518519" style="6" customWidth="1"/>
    <col min="5109" max="5109" width="9.13888888888889" style="6"/>
    <col min="5110" max="5110" width="9.28703703703704" style="6" customWidth="1"/>
    <col min="5111" max="5348" width="9.13888888888889" style="6"/>
    <col min="5349" max="5349" width="4.71296296296296" style="6" customWidth="1"/>
    <col min="5350" max="5350" width="35.287037037037" style="6" customWidth="1"/>
    <col min="5351" max="5351" width="5.85185185185185" style="6" customWidth="1"/>
    <col min="5352" max="5352" width="7.13888888888889" style="6" customWidth="1"/>
    <col min="5353" max="5353" width="8.28703703703704" style="6" customWidth="1"/>
    <col min="5354" max="5354" width="7.13888888888889" style="6" customWidth="1"/>
    <col min="5355" max="5355" width="8.28703703703704" style="6" customWidth="1"/>
    <col min="5356" max="5356" width="7.28703703703704" style="6" customWidth="1"/>
    <col min="5357" max="5357" width="7.85185185185185" style="6" customWidth="1"/>
    <col min="5358" max="5358" width="6.28703703703704" style="6" customWidth="1"/>
    <col min="5359" max="5359" width="11.712962962963" style="6" customWidth="1"/>
    <col min="5360" max="5360" width="5" style="6" customWidth="1"/>
    <col min="5361" max="5361" width="10.287037037037" style="6" customWidth="1"/>
    <col min="5362" max="5362" width="9.13888888888889" style="6" customWidth="1"/>
    <col min="5363" max="5363" width="9.13888888888889" style="6"/>
    <col min="5364" max="5364" width="12.8518518518519" style="6" customWidth="1"/>
    <col min="5365" max="5365" width="9.13888888888889" style="6"/>
    <col min="5366" max="5366" width="9.28703703703704" style="6" customWidth="1"/>
    <col min="5367" max="5604" width="9.13888888888889" style="6"/>
    <col min="5605" max="5605" width="4.71296296296296" style="6" customWidth="1"/>
    <col min="5606" max="5606" width="35.287037037037" style="6" customWidth="1"/>
    <col min="5607" max="5607" width="5.85185185185185" style="6" customWidth="1"/>
    <col min="5608" max="5608" width="7.13888888888889" style="6" customWidth="1"/>
    <col min="5609" max="5609" width="8.28703703703704" style="6" customWidth="1"/>
    <col min="5610" max="5610" width="7.13888888888889" style="6" customWidth="1"/>
    <col min="5611" max="5611" width="8.28703703703704" style="6" customWidth="1"/>
    <col min="5612" max="5612" width="7.28703703703704" style="6" customWidth="1"/>
    <col min="5613" max="5613" width="7.85185185185185" style="6" customWidth="1"/>
    <col min="5614" max="5614" width="6.28703703703704" style="6" customWidth="1"/>
    <col min="5615" max="5615" width="11.712962962963" style="6" customWidth="1"/>
    <col min="5616" max="5616" width="5" style="6" customWidth="1"/>
    <col min="5617" max="5617" width="10.287037037037" style="6" customWidth="1"/>
    <col min="5618" max="5618" width="9.13888888888889" style="6" customWidth="1"/>
    <col min="5619" max="5619" width="9.13888888888889" style="6"/>
    <col min="5620" max="5620" width="12.8518518518519" style="6" customWidth="1"/>
    <col min="5621" max="5621" width="9.13888888888889" style="6"/>
    <col min="5622" max="5622" width="9.28703703703704" style="6" customWidth="1"/>
    <col min="5623" max="5860" width="9.13888888888889" style="6"/>
    <col min="5861" max="5861" width="4.71296296296296" style="6" customWidth="1"/>
    <col min="5862" max="5862" width="35.287037037037" style="6" customWidth="1"/>
    <col min="5863" max="5863" width="5.85185185185185" style="6" customWidth="1"/>
    <col min="5864" max="5864" width="7.13888888888889" style="6" customWidth="1"/>
    <col min="5865" max="5865" width="8.28703703703704" style="6" customWidth="1"/>
    <col min="5866" max="5866" width="7.13888888888889" style="6" customWidth="1"/>
    <col min="5867" max="5867" width="8.28703703703704" style="6" customWidth="1"/>
    <col min="5868" max="5868" width="7.28703703703704" style="6" customWidth="1"/>
    <col min="5869" max="5869" width="7.85185185185185" style="6" customWidth="1"/>
    <col min="5870" max="5870" width="6.28703703703704" style="6" customWidth="1"/>
    <col min="5871" max="5871" width="11.712962962963" style="6" customWidth="1"/>
    <col min="5872" max="5872" width="5" style="6" customWidth="1"/>
    <col min="5873" max="5873" width="10.287037037037" style="6" customWidth="1"/>
    <col min="5874" max="5874" width="9.13888888888889" style="6" customWidth="1"/>
    <col min="5875" max="5875" width="9.13888888888889" style="6"/>
    <col min="5876" max="5876" width="12.8518518518519" style="6" customWidth="1"/>
    <col min="5877" max="5877" width="9.13888888888889" style="6"/>
    <col min="5878" max="5878" width="9.28703703703704" style="6" customWidth="1"/>
    <col min="5879" max="6116" width="9.13888888888889" style="6"/>
    <col min="6117" max="6117" width="4.71296296296296" style="6" customWidth="1"/>
    <col min="6118" max="6118" width="35.287037037037" style="6" customWidth="1"/>
    <col min="6119" max="6119" width="5.85185185185185" style="6" customWidth="1"/>
    <col min="6120" max="6120" width="7.13888888888889" style="6" customWidth="1"/>
    <col min="6121" max="6121" width="8.28703703703704" style="6" customWidth="1"/>
    <col min="6122" max="6122" width="7.13888888888889" style="6" customWidth="1"/>
    <col min="6123" max="6123" width="8.28703703703704" style="6" customWidth="1"/>
    <col min="6124" max="6124" width="7.28703703703704" style="6" customWidth="1"/>
    <col min="6125" max="6125" width="7.85185185185185" style="6" customWidth="1"/>
    <col min="6126" max="6126" width="6.28703703703704" style="6" customWidth="1"/>
    <col min="6127" max="6127" width="11.712962962963" style="6" customWidth="1"/>
    <col min="6128" max="6128" width="5" style="6" customWidth="1"/>
    <col min="6129" max="6129" width="10.287037037037" style="6" customWidth="1"/>
    <col min="6130" max="6130" width="9.13888888888889" style="6" customWidth="1"/>
    <col min="6131" max="6131" width="9.13888888888889" style="6"/>
    <col min="6132" max="6132" width="12.8518518518519" style="6" customWidth="1"/>
    <col min="6133" max="6133" width="9.13888888888889" style="6"/>
    <col min="6134" max="6134" width="9.28703703703704" style="6" customWidth="1"/>
    <col min="6135" max="6372" width="9.13888888888889" style="6"/>
    <col min="6373" max="6373" width="4.71296296296296" style="6" customWidth="1"/>
    <col min="6374" max="6374" width="35.287037037037" style="6" customWidth="1"/>
    <col min="6375" max="6375" width="5.85185185185185" style="6" customWidth="1"/>
    <col min="6376" max="6376" width="7.13888888888889" style="6" customWidth="1"/>
    <col min="6377" max="6377" width="8.28703703703704" style="6" customWidth="1"/>
    <col min="6378" max="6378" width="7.13888888888889" style="6" customWidth="1"/>
    <col min="6379" max="6379" width="8.28703703703704" style="6" customWidth="1"/>
    <col min="6380" max="6380" width="7.28703703703704" style="6" customWidth="1"/>
    <col min="6381" max="6381" width="7.85185185185185" style="6" customWidth="1"/>
    <col min="6382" max="6382" width="6.28703703703704" style="6" customWidth="1"/>
    <col min="6383" max="6383" width="11.712962962963" style="6" customWidth="1"/>
    <col min="6384" max="6384" width="5" style="6" customWidth="1"/>
    <col min="6385" max="6385" width="10.287037037037" style="6" customWidth="1"/>
    <col min="6386" max="6386" width="9.13888888888889" style="6" customWidth="1"/>
    <col min="6387" max="6387" width="9.13888888888889" style="6"/>
    <col min="6388" max="6388" width="12.8518518518519" style="6" customWidth="1"/>
    <col min="6389" max="6389" width="9.13888888888889" style="6"/>
    <col min="6390" max="6390" width="9.28703703703704" style="6" customWidth="1"/>
    <col min="6391" max="6628" width="9.13888888888889" style="6"/>
    <col min="6629" max="6629" width="4.71296296296296" style="6" customWidth="1"/>
    <col min="6630" max="6630" width="35.287037037037" style="6" customWidth="1"/>
    <col min="6631" max="6631" width="5.85185185185185" style="6" customWidth="1"/>
    <col min="6632" max="6632" width="7.13888888888889" style="6" customWidth="1"/>
    <col min="6633" max="6633" width="8.28703703703704" style="6" customWidth="1"/>
    <col min="6634" max="6634" width="7.13888888888889" style="6" customWidth="1"/>
    <col min="6635" max="6635" width="8.28703703703704" style="6" customWidth="1"/>
    <col min="6636" max="6636" width="7.28703703703704" style="6" customWidth="1"/>
    <col min="6637" max="6637" width="7.85185185185185" style="6" customWidth="1"/>
    <col min="6638" max="6638" width="6.28703703703704" style="6" customWidth="1"/>
    <col min="6639" max="6639" width="11.712962962963" style="6" customWidth="1"/>
    <col min="6640" max="6640" width="5" style="6" customWidth="1"/>
    <col min="6641" max="6641" width="10.287037037037" style="6" customWidth="1"/>
    <col min="6642" max="6642" width="9.13888888888889" style="6" customWidth="1"/>
    <col min="6643" max="6643" width="9.13888888888889" style="6"/>
    <col min="6644" max="6644" width="12.8518518518519" style="6" customWidth="1"/>
    <col min="6645" max="6645" width="9.13888888888889" style="6"/>
    <col min="6646" max="6646" width="9.28703703703704" style="6" customWidth="1"/>
    <col min="6647" max="6884" width="9.13888888888889" style="6"/>
    <col min="6885" max="6885" width="4.71296296296296" style="6" customWidth="1"/>
    <col min="6886" max="6886" width="35.287037037037" style="6" customWidth="1"/>
    <col min="6887" max="6887" width="5.85185185185185" style="6" customWidth="1"/>
    <col min="6888" max="6888" width="7.13888888888889" style="6" customWidth="1"/>
    <col min="6889" max="6889" width="8.28703703703704" style="6" customWidth="1"/>
    <col min="6890" max="6890" width="7.13888888888889" style="6" customWidth="1"/>
    <col min="6891" max="6891" width="8.28703703703704" style="6" customWidth="1"/>
    <col min="6892" max="6892" width="7.28703703703704" style="6" customWidth="1"/>
    <col min="6893" max="6893" width="7.85185185185185" style="6" customWidth="1"/>
    <col min="6894" max="6894" width="6.28703703703704" style="6" customWidth="1"/>
    <col min="6895" max="6895" width="11.712962962963" style="6" customWidth="1"/>
    <col min="6896" max="6896" width="5" style="6" customWidth="1"/>
    <col min="6897" max="6897" width="10.287037037037" style="6" customWidth="1"/>
    <col min="6898" max="6898" width="9.13888888888889" style="6" customWidth="1"/>
    <col min="6899" max="6899" width="9.13888888888889" style="6"/>
    <col min="6900" max="6900" width="12.8518518518519" style="6" customWidth="1"/>
    <col min="6901" max="6901" width="9.13888888888889" style="6"/>
    <col min="6902" max="6902" width="9.28703703703704" style="6" customWidth="1"/>
    <col min="6903" max="7140" width="9.13888888888889" style="6"/>
    <col min="7141" max="7141" width="4.71296296296296" style="6" customWidth="1"/>
    <col min="7142" max="7142" width="35.287037037037" style="6" customWidth="1"/>
    <col min="7143" max="7143" width="5.85185185185185" style="6" customWidth="1"/>
    <col min="7144" max="7144" width="7.13888888888889" style="6" customWidth="1"/>
    <col min="7145" max="7145" width="8.28703703703704" style="6" customWidth="1"/>
    <col min="7146" max="7146" width="7.13888888888889" style="6" customWidth="1"/>
    <col min="7147" max="7147" width="8.28703703703704" style="6" customWidth="1"/>
    <col min="7148" max="7148" width="7.28703703703704" style="6" customWidth="1"/>
    <col min="7149" max="7149" width="7.85185185185185" style="6" customWidth="1"/>
    <col min="7150" max="7150" width="6.28703703703704" style="6" customWidth="1"/>
    <col min="7151" max="7151" width="11.712962962963" style="6" customWidth="1"/>
    <col min="7152" max="7152" width="5" style="6" customWidth="1"/>
    <col min="7153" max="7153" width="10.287037037037" style="6" customWidth="1"/>
    <col min="7154" max="7154" width="9.13888888888889" style="6" customWidth="1"/>
    <col min="7155" max="7155" width="9.13888888888889" style="6"/>
    <col min="7156" max="7156" width="12.8518518518519" style="6" customWidth="1"/>
    <col min="7157" max="7157" width="9.13888888888889" style="6"/>
    <col min="7158" max="7158" width="9.28703703703704" style="6" customWidth="1"/>
    <col min="7159" max="7396" width="9.13888888888889" style="6"/>
    <col min="7397" max="7397" width="4.71296296296296" style="6" customWidth="1"/>
    <col min="7398" max="7398" width="35.287037037037" style="6" customWidth="1"/>
    <col min="7399" max="7399" width="5.85185185185185" style="6" customWidth="1"/>
    <col min="7400" max="7400" width="7.13888888888889" style="6" customWidth="1"/>
    <col min="7401" max="7401" width="8.28703703703704" style="6" customWidth="1"/>
    <col min="7402" max="7402" width="7.13888888888889" style="6" customWidth="1"/>
    <col min="7403" max="7403" width="8.28703703703704" style="6" customWidth="1"/>
    <col min="7404" max="7404" width="7.28703703703704" style="6" customWidth="1"/>
    <col min="7405" max="7405" width="7.85185185185185" style="6" customWidth="1"/>
    <col min="7406" max="7406" width="6.28703703703704" style="6" customWidth="1"/>
    <col min="7407" max="7407" width="11.712962962963" style="6" customWidth="1"/>
    <col min="7408" max="7408" width="5" style="6" customWidth="1"/>
    <col min="7409" max="7409" width="10.287037037037" style="6" customWidth="1"/>
    <col min="7410" max="7410" width="9.13888888888889" style="6" customWidth="1"/>
    <col min="7411" max="7411" width="9.13888888888889" style="6"/>
    <col min="7412" max="7412" width="12.8518518518519" style="6" customWidth="1"/>
    <col min="7413" max="7413" width="9.13888888888889" style="6"/>
    <col min="7414" max="7414" width="9.28703703703704" style="6" customWidth="1"/>
    <col min="7415" max="7652" width="9.13888888888889" style="6"/>
    <col min="7653" max="7653" width="4.71296296296296" style="6" customWidth="1"/>
    <col min="7654" max="7654" width="35.287037037037" style="6" customWidth="1"/>
    <col min="7655" max="7655" width="5.85185185185185" style="6" customWidth="1"/>
    <col min="7656" max="7656" width="7.13888888888889" style="6" customWidth="1"/>
    <col min="7657" max="7657" width="8.28703703703704" style="6" customWidth="1"/>
    <col min="7658" max="7658" width="7.13888888888889" style="6" customWidth="1"/>
    <col min="7659" max="7659" width="8.28703703703704" style="6" customWidth="1"/>
    <col min="7660" max="7660" width="7.28703703703704" style="6" customWidth="1"/>
    <col min="7661" max="7661" width="7.85185185185185" style="6" customWidth="1"/>
    <col min="7662" max="7662" width="6.28703703703704" style="6" customWidth="1"/>
    <col min="7663" max="7663" width="11.712962962963" style="6" customWidth="1"/>
    <col min="7664" max="7664" width="5" style="6" customWidth="1"/>
    <col min="7665" max="7665" width="10.287037037037" style="6" customWidth="1"/>
    <col min="7666" max="7666" width="9.13888888888889" style="6" customWidth="1"/>
    <col min="7667" max="7667" width="9.13888888888889" style="6"/>
    <col min="7668" max="7668" width="12.8518518518519" style="6" customWidth="1"/>
    <col min="7669" max="7669" width="9.13888888888889" style="6"/>
    <col min="7670" max="7670" width="9.28703703703704" style="6" customWidth="1"/>
    <col min="7671" max="7908" width="9.13888888888889" style="6"/>
    <col min="7909" max="7909" width="4.71296296296296" style="6" customWidth="1"/>
    <col min="7910" max="7910" width="35.287037037037" style="6" customWidth="1"/>
    <col min="7911" max="7911" width="5.85185185185185" style="6" customWidth="1"/>
    <col min="7912" max="7912" width="7.13888888888889" style="6" customWidth="1"/>
    <col min="7913" max="7913" width="8.28703703703704" style="6" customWidth="1"/>
    <col min="7914" max="7914" width="7.13888888888889" style="6" customWidth="1"/>
    <col min="7915" max="7915" width="8.28703703703704" style="6" customWidth="1"/>
    <col min="7916" max="7916" width="7.28703703703704" style="6" customWidth="1"/>
    <col min="7917" max="7917" width="7.85185185185185" style="6" customWidth="1"/>
    <col min="7918" max="7918" width="6.28703703703704" style="6" customWidth="1"/>
    <col min="7919" max="7919" width="11.712962962963" style="6" customWidth="1"/>
    <col min="7920" max="7920" width="5" style="6" customWidth="1"/>
    <col min="7921" max="7921" width="10.287037037037" style="6" customWidth="1"/>
    <col min="7922" max="7922" width="9.13888888888889" style="6" customWidth="1"/>
    <col min="7923" max="7923" width="9.13888888888889" style="6"/>
    <col min="7924" max="7924" width="12.8518518518519" style="6" customWidth="1"/>
    <col min="7925" max="7925" width="9.13888888888889" style="6"/>
    <col min="7926" max="7926" width="9.28703703703704" style="6" customWidth="1"/>
    <col min="7927" max="8164" width="9.13888888888889" style="6"/>
    <col min="8165" max="8165" width="4.71296296296296" style="6" customWidth="1"/>
    <col min="8166" max="8166" width="35.287037037037" style="6" customWidth="1"/>
    <col min="8167" max="8167" width="5.85185185185185" style="6" customWidth="1"/>
    <col min="8168" max="8168" width="7.13888888888889" style="6" customWidth="1"/>
    <col min="8169" max="8169" width="8.28703703703704" style="6" customWidth="1"/>
    <col min="8170" max="8170" width="7.13888888888889" style="6" customWidth="1"/>
    <col min="8171" max="8171" width="8.28703703703704" style="6" customWidth="1"/>
    <col min="8172" max="8172" width="7.28703703703704" style="6" customWidth="1"/>
    <col min="8173" max="8173" width="7.85185185185185" style="6" customWidth="1"/>
    <col min="8174" max="8174" width="6.28703703703704" style="6" customWidth="1"/>
    <col min="8175" max="8175" width="11.712962962963" style="6" customWidth="1"/>
    <col min="8176" max="8176" width="5" style="6" customWidth="1"/>
    <col min="8177" max="8177" width="10.287037037037" style="6" customWidth="1"/>
    <col min="8178" max="8178" width="9.13888888888889" style="6" customWidth="1"/>
    <col min="8179" max="8179" width="9.13888888888889" style="6"/>
    <col min="8180" max="8180" width="12.8518518518519" style="6" customWidth="1"/>
    <col min="8181" max="8181" width="9.13888888888889" style="6"/>
    <col min="8182" max="8182" width="9.28703703703704" style="6" customWidth="1"/>
    <col min="8183" max="8420" width="9.13888888888889" style="6"/>
    <col min="8421" max="8421" width="4.71296296296296" style="6" customWidth="1"/>
    <col min="8422" max="8422" width="35.287037037037" style="6" customWidth="1"/>
    <col min="8423" max="8423" width="5.85185185185185" style="6" customWidth="1"/>
    <col min="8424" max="8424" width="7.13888888888889" style="6" customWidth="1"/>
    <col min="8425" max="8425" width="8.28703703703704" style="6" customWidth="1"/>
    <col min="8426" max="8426" width="7.13888888888889" style="6" customWidth="1"/>
    <col min="8427" max="8427" width="8.28703703703704" style="6" customWidth="1"/>
    <col min="8428" max="8428" width="7.28703703703704" style="6" customWidth="1"/>
    <col min="8429" max="8429" width="7.85185185185185" style="6" customWidth="1"/>
    <col min="8430" max="8430" width="6.28703703703704" style="6" customWidth="1"/>
    <col min="8431" max="8431" width="11.712962962963" style="6" customWidth="1"/>
    <col min="8432" max="8432" width="5" style="6" customWidth="1"/>
    <col min="8433" max="8433" width="10.287037037037" style="6" customWidth="1"/>
    <col min="8434" max="8434" width="9.13888888888889" style="6" customWidth="1"/>
    <col min="8435" max="8435" width="9.13888888888889" style="6"/>
    <col min="8436" max="8436" width="12.8518518518519" style="6" customWidth="1"/>
    <col min="8437" max="8437" width="9.13888888888889" style="6"/>
    <col min="8438" max="8438" width="9.28703703703704" style="6" customWidth="1"/>
    <col min="8439" max="8676" width="9.13888888888889" style="6"/>
    <col min="8677" max="8677" width="4.71296296296296" style="6" customWidth="1"/>
    <col min="8678" max="8678" width="35.287037037037" style="6" customWidth="1"/>
    <col min="8679" max="8679" width="5.85185185185185" style="6" customWidth="1"/>
    <col min="8680" max="8680" width="7.13888888888889" style="6" customWidth="1"/>
    <col min="8681" max="8681" width="8.28703703703704" style="6" customWidth="1"/>
    <col min="8682" max="8682" width="7.13888888888889" style="6" customWidth="1"/>
    <col min="8683" max="8683" width="8.28703703703704" style="6" customWidth="1"/>
    <col min="8684" max="8684" width="7.28703703703704" style="6" customWidth="1"/>
    <col min="8685" max="8685" width="7.85185185185185" style="6" customWidth="1"/>
    <col min="8686" max="8686" width="6.28703703703704" style="6" customWidth="1"/>
    <col min="8687" max="8687" width="11.712962962963" style="6" customWidth="1"/>
    <col min="8688" max="8688" width="5" style="6" customWidth="1"/>
    <col min="8689" max="8689" width="10.287037037037" style="6" customWidth="1"/>
    <col min="8690" max="8690" width="9.13888888888889" style="6" customWidth="1"/>
    <col min="8691" max="8691" width="9.13888888888889" style="6"/>
    <col min="8692" max="8692" width="12.8518518518519" style="6" customWidth="1"/>
    <col min="8693" max="8693" width="9.13888888888889" style="6"/>
    <col min="8694" max="8694" width="9.28703703703704" style="6" customWidth="1"/>
    <col min="8695" max="8932" width="9.13888888888889" style="6"/>
    <col min="8933" max="8933" width="4.71296296296296" style="6" customWidth="1"/>
    <col min="8934" max="8934" width="35.287037037037" style="6" customWidth="1"/>
    <col min="8935" max="8935" width="5.85185185185185" style="6" customWidth="1"/>
    <col min="8936" max="8936" width="7.13888888888889" style="6" customWidth="1"/>
    <col min="8937" max="8937" width="8.28703703703704" style="6" customWidth="1"/>
    <col min="8938" max="8938" width="7.13888888888889" style="6" customWidth="1"/>
    <col min="8939" max="8939" width="8.28703703703704" style="6" customWidth="1"/>
    <col min="8940" max="8940" width="7.28703703703704" style="6" customWidth="1"/>
    <col min="8941" max="8941" width="7.85185185185185" style="6" customWidth="1"/>
    <col min="8942" max="8942" width="6.28703703703704" style="6" customWidth="1"/>
    <col min="8943" max="8943" width="11.712962962963" style="6" customWidth="1"/>
    <col min="8944" max="8944" width="5" style="6" customWidth="1"/>
    <col min="8945" max="8945" width="10.287037037037" style="6" customWidth="1"/>
    <col min="8946" max="8946" width="9.13888888888889" style="6" customWidth="1"/>
    <col min="8947" max="8947" width="9.13888888888889" style="6"/>
    <col min="8948" max="8948" width="12.8518518518519" style="6" customWidth="1"/>
    <col min="8949" max="8949" width="9.13888888888889" style="6"/>
    <col min="8950" max="8950" width="9.28703703703704" style="6" customWidth="1"/>
    <col min="8951" max="9188" width="9.13888888888889" style="6"/>
    <col min="9189" max="9189" width="4.71296296296296" style="6" customWidth="1"/>
    <col min="9190" max="9190" width="35.287037037037" style="6" customWidth="1"/>
    <col min="9191" max="9191" width="5.85185185185185" style="6" customWidth="1"/>
    <col min="9192" max="9192" width="7.13888888888889" style="6" customWidth="1"/>
    <col min="9193" max="9193" width="8.28703703703704" style="6" customWidth="1"/>
    <col min="9194" max="9194" width="7.13888888888889" style="6" customWidth="1"/>
    <col min="9195" max="9195" width="8.28703703703704" style="6" customWidth="1"/>
    <col min="9196" max="9196" width="7.28703703703704" style="6" customWidth="1"/>
    <col min="9197" max="9197" width="7.85185185185185" style="6" customWidth="1"/>
    <col min="9198" max="9198" width="6.28703703703704" style="6" customWidth="1"/>
    <col min="9199" max="9199" width="11.712962962963" style="6" customWidth="1"/>
    <col min="9200" max="9200" width="5" style="6" customWidth="1"/>
    <col min="9201" max="9201" width="10.287037037037" style="6" customWidth="1"/>
    <col min="9202" max="9202" width="9.13888888888889" style="6" customWidth="1"/>
    <col min="9203" max="9203" width="9.13888888888889" style="6"/>
    <col min="9204" max="9204" width="12.8518518518519" style="6" customWidth="1"/>
    <col min="9205" max="9205" width="9.13888888888889" style="6"/>
    <col min="9206" max="9206" width="9.28703703703704" style="6" customWidth="1"/>
    <col min="9207" max="9444" width="9.13888888888889" style="6"/>
    <col min="9445" max="9445" width="4.71296296296296" style="6" customWidth="1"/>
    <col min="9446" max="9446" width="35.287037037037" style="6" customWidth="1"/>
    <col min="9447" max="9447" width="5.85185185185185" style="6" customWidth="1"/>
    <col min="9448" max="9448" width="7.13888888888889" style="6" customWidth="1"/>
    <col min="9449" max="9449" width="8.28703703703704" style="6" customWidth="1"/>
    <col min="9450" max="9450" width="7.13888888888889" style="6" customWidth="1"/>
    <col min="9451" max="9451" width="8.28703703703704" style="6" customWidth="1"/>
    <col min="9452" max="9452" width="7.28703703703704" style="6" customWidth="1"/>
    <col min="9453" max="9453" width="7.85185185185185" style="6" customWidth="1"/>
    <col min="9454" max="9454" width="6.28703703703704" style="6" customWidth="1"/>
    <col min="9455" max="9455" width="11.712962962963" style="6" customWidth="1"/>
    <col min="9456" max="9456" width="5" style="6" customWidth="1"/>
    <col min="9457" max="9457" width="10.287037037037" style="6" customWidth="1"/>
    <col min="9458" max="9458" width="9.13888888888889" style="6" customWidth="1"/>
    <col min="9459" max="9459" width="9.13888888888889" style="6"/>
    <col min="9460" max="9460" width="12.8518518518519" style="6" customWidth="1"/>
    <col min="9461" max="9461" width="9.13888888888889" style="6"/>
    <col min="9462" max="9462" width="9.28703703703704" style="6" customWidth="1"/>
    <col min="9463" max="9700" width="9.13888888888889" style="6"/>
    <col min="9701" max="9701" width="4.71296296296296" style="6" customWidth="1"/>
    <col min="9702" max="9702" width="35.287037037037" style="6" customWidth="1"/>
    <col min="9703" max="9703" width="5.85185185185185" style="6" customWidth="1"/>
    <col min="9704" max="9704" width="7.13888888888889" style="6" customWidth="1"/>
    <col min="9705" max="9705" width="8.28703703703704" style="6" customWidth="1"/>
    <col min="9706" max="9706" width="7.13888888888889" style="6" customWidth="1"/>
    <col min="9707" max="9707" width="8.28703703703704" style="6" customWidth="1"/>
    <col min="9708" max="9708" width="7.28703703703704" style="6" customWidth="1"/>
    <col min="9709" max="9709" width="7.85185185185185" style="6" customWidth="1"/>
    <col min="9710" max="9710" width="6.28703703703704" style="6" customWidth="1"/>
    <col min="9711" max="9711" width="11.712962962963" style="6" customWidth="1"/>
    <col min="9712" max="9712" width="5" style="6" customWidth="1"/>
    <col min="9713" max="9713" width="10.287037037037" style="6" customWidth="1"/>
    <col min="9714" max="9714" width="9.13888888888889" style="6" customWidth="1"/>
    <col min="9715" max="9715" width="9.13888888888889" style="6"/>
    <col min="9716" max="9716" width="12.8518518518519" style="6" customWidth="1"/>
    <col min="9717" max="9717" width="9.13888888888889" style="6"/>
    <col min="9718" max="9718" width="9.28703703703704" style="6" customWidth="1"/>
    <col min="9719" max="9956" width="9.13888888888889" style="6"/>
    <col min="9957" max="9957" width="4.71296296296296" style="6" customWidth="1"/>
    <col min="9958" max="9958" width="35.287037037037" style="6" customWidth="1"/>
    <col min="9959" max="9959" width="5.85185185185185" style="6" customWidth="1"/>
    <col min="9960" max="9960" width="7.13888888888889" style="6" customWidth="1"/>
    <col min="9961" max="9961" width="8.28703703703704" style="6" customWidth="1"/>
    <col min="9962" max="9962" width="7.13888888888889" style="6" customWidth="1"/>
    <col min="9963" max="9963" width="8.28703703703704" style="6" customWidth="1"/>
    <col min="9964" max="9964" width="7.28703703703704" style="6" customWidth="1"/>
    <col min="9965" max="9965" width="7.85185185185185" style="6" customWidth="1"/>
    <col min="9966" max="9966" width="6.28703703703704" style="6" customWidth="1"/>
    <col min="9967" max="9967" width="11.712962962963" style="6" customWidth="1"/>
    <col min="9968" max="9968" width="5" style="6" customWidth="1"/>
    <col min="9969" max="9969" width="10.287037037037" style="6" customWidth="1"/>
    <col min="9970" max="9970" width="9.13888888888889" style="6" customWidth="1"/>
    <col min="9971" max="9971" width="9.13888888888889" style="6"/>
    <col min="9972" max="9972" width="12.8518518518519" style="6" customWidth="1"/>
    <col min="9973" max="9973" width="9.13888888888889" style="6"/>
    <col min="9974" max="9974" width="9.28703703703704" style="6" customWidth="1"/>
    <col min="9975" max="10212" width="9.13888888888889" style="6"/>
    <col min="10213" max="10213" width="4.71296296296296" style="6" customWidth="1"/>
    <col min="10214" max="10214" width="35.287037037037" style="6" customWidth="1"/>
    <col min="10215" max="10215" width="5.85185185185185" style="6" customWidth="1"/>
    <col min="10216" max="10216" width="7.13888888888889" style="6" customWidth="1"/>
    <col min="10217" max="10217" width="8.28703703703704" style="6" customWidth="1"/>
    <col min="10218" max="10218" width="7.13888888888889" style="6" customWidth="1"/>
    <col min="10219" max="10219" width="8.28703703703704" style="6" customWidth="1"/>
    <col min="10220" max="10220" width="7.28703703703704" style="6" customWidth="1"/>
    <col min="10221" max="10221" width="7.85185185185185" style="6" customWidth="1"/>
    <col min="10222" max="10222" width="6.28703703703704" style="6" customWidth="1"/>
    <col min="10223" max="10223" width="11.712962962963" style="6" customWidth="1"/>
    <col min="10224" max="10224" width="5" style="6" customWidth="1"/>
    <col min="10225" max="10225" width="10.287037037037" style="6" customWidth="1"/>
    <col min="10226" max="10226" width="9.13888888888889" style="6" customWidth="1"/>
    <col min="10227" max="10227" width="9.13888888888889" style="6"/>
    <col min="10228" max="10228" width="12.8518518518519" style="6" customWidth="1"/>
    <col min="10229" max="10229" width="9.13888888888889" style="6"/>
    <col min="10230" max="10230" width="9.28703703703704" style="6" customWidth="1"/>
    <col min="10231" max="10468" width="9.13888888888889" style="6"/>
    <col min="10469" max="10469" width="4.71296296296296" style="6" customWidth="1"/>
    <col min="10470" max="10470" width="35.287037037037" style="6" customWidth="1"/>
    <col min="10471" max="10471" width="5.85185185185185" style="6" customWidth="1"/>
    <col min="10472" max="10472" width="7.13888888888889" style="6" customWidth="1"/>
    <col min="10473" max="10473" width="8.28703703703704" style="6" customWidth="1"/>
    <col min="10474" max="10474" width="7.13888888888889" style="6" customWidth="1"/>
    <col min="10475" max="10475" width="8.28703703703704" style="6" customWidth="1"/>
    <col min="10476" max="10476" width="7.28703703703704" style="6" customWidth="1"/>
    <col min="10477" max="10477" width="7.85185185185185" style="6" customWidth="1"/>
    <col min="10478" max="10478" width="6.28703703703704" style="6" customWidth="1"/>
    <col min="10479" max="10479" width="11.712962962963" style="6" customWidth="1"/>
    <col min="10480" max="10480" width="5" style="6" customWidth="1"/>
    <col min="10481" max="10481" width="10.287037037037" style="6" customWidth="1"/>
    <col min="10482" max="10482" width="9.13888888888889" style="6" customWidth="1"/>
    <col min="10483" max="10483" width="9.13888888888889" style="6"/>
    <col min="10484" max="10484" width="12.8518518518519" style="6" customWidth="1"/>
    <col min="10485" max="10485" width="9.13888888888889" style="6"/>
    <col min="10486" max="10486" width="9.28703703703704" style="6" customWidth="1"/>
    <col min="10487" max="10724" width="9.13888888888889" style="6"/>
    <col min="10725" max="10725" width="4.71296296296296" style="6" customWidth="1"/>
    <col min="10726" max="10726" width="35.287037037037" style="6" customWidth="1"/>
    <col min="10727" max="10727" width="5.85185185185185" style="6" customWidth="1"/>
    <col min="10728" max="10728" width="7.13888888888889" style="6" customWidth="1"/>
    <col min="10729" max="10729" width="8.28703703703704" style="6" customWidth="1"/>
    <col min="10730" max="10730" width="7.13888888888889" style="6" customWidth="1"/>
    <col min="10731" max="10731" width="8.28703703703704" style="6" customWidth="1"/>
    <col min="10732" max="10732" width="7.28703703703704" style="6" customWidth="1"/>
    <col min="10733" max="10733" width="7.85185185185185" style="6" customWidth="1"/>
    <col min="10734" max="10734" width="6.28703703703704" style="6" customWidth="1"/>
    <col min="10735" max="10735" width="11.712962962963" style="6" customWidth="1"/>
    <col min="10736" max="10736" width="5" style="6" customWidth="1"/>
    <col min="10737" max="10737" width="10.287037037037" style="6" customWidth="1"/>
    <col min="10738" max="10738" width="9.13888888888889" style="6" customWidth="1"/>
    <col min="10739" max="10739" width="9.13888888888889" style="6"/>
    <col min="10740" max="10740" width="12.8518518518519" style="6" customWidth="1"/>
    <col min="10741" max="10741" width="9.13888888888889" style="6"/>
    <col min="10742" max="10742" width="9.28703703703704" style="6" customWidth="1"/>
    <col min="10743" max="10980" width="9.13888888888889" style="6"/>
    <col min="10981" max="10981" width="4.71296296296296" style="6" customWidth="1"/>
    <col min="10982" max="10982" width="35.287037037037" style="6" customWidth="1"/>
    <col min="10983" max="10983" width="5.85185185185185" style="6" customWidth="1"/>
    <col min="10984" max="10984" width="7.13888888888889" style="6" customWidth="1"/>
    <col min="10985" max="10985" width="8.28703703703704" style="6" customWidth="1"/>
    <col min="10986" max="10986" width="7.13888888888889" style="6" customWidth="1"/>
    <col min="10987" max="10987" width="8.28703703703704" style="6" customWidth="1"/>
    <col min="10988" max="10988" width="7.28703703703704" style="6" customWidth="1"/>
    <col min="10989" max="10989" width="7.85185185185185" style="6" customWidth="1"/>
    <col min="10990" max="10990" width="6.28703703703704" style="6" customWidth="1"/>
    <col min="10991" max="10991" width="11.712962962963" style="6" customWidth="1"/>
    <col min="10992" max="10992" width="5" style="6" customWidth="1"/>
    <col min="10993" max="10993" width="10.287037037037" style="6" customWidth="1"/>
    <col min="10994" max="10994" width="9.13888888888889" style="6" customWidth="1"/>
    <col min="10995" max="10995" width="9.13888888888889" style="6"/>
    <col min="10996" max="10996" width="12.8518518518519" style="6" customWidth="1"/>
    <col min="10997" max="10997" width="9.13888888888889" style="6"/>
    <col min="10998" max="10998" width="9.28703703703704" style="6" customWidth="1"/>
    <col min="10999" max="11236" width="9.13888888888889" style="6"/>
    <col min="11237" max="11237" width="4.71296296296296" style="6" customWidth="1"/>
    <col min="11238" max="11238" width="35.287037037037" style="6" customWidth="1"/>
    <col min="11239" max="11239" width="5.85185185185185" style="6" customWidth="1"/>
    <col min="11240" max="11240" width="7.13888888888889" style="6" customWidth="1"/>
    <col min="11241" max="11241" width="8.28703703703704" style="6" customWidth="1"/>
    <col min="11242" max="11242" width="7.13888888888889" style="6" customWidth="1"/>
    <col min="11243" max="11243" width="8.28703703703704" style="6" customWidth="1"/>
    <col min="11244" max="11244" width="7.28703703703704" style="6" customWidth="1"/>
    <col min="11245" max="11245" width="7.85185185185185" style="6" customWidth="1"/>
    <col min="11246" max="11246" width="6.28703703703704" style="6" customWidth="1"/>
    <col min="11247" max="11247" width="11.712962962963" style="6" customWidth="1"/>
    <col min="11248" max="11248" width="5" style="6" customWidth="1"/>
    <col min="11249" max="11249" width="10.287037037037" style="6" customWidth="1"/>
    <col min="11250" max="11250" width="9.13888888888889" style="6" customWidth="1"/>
    <col min="11251" max="11251" width="9.13888888888889" style="6"/>
    <col min="11252" max="11252" width="12.8518518518519" style="6" customWidth="1"/>
    <col min="11253" max="11253" width="9.13888888888889" style="6"/>
    <col min="11254" max="11254" width="9.28703703703704" style="6" customWidth="1"/>
    <col min="11255" max="11492" width="9.13888888888889" style="6"/>
    <col min="11493" max="11493" width="4.71296296296296" style="6" customWidth="1"/>
    <col min="11494" max="11494" width="35.287037037037" style="6" customWidth="1"/>
    <col min="11495" max="11495" width="5.85185185185185" style="6" customWidth="1"/>
    <col min="11496" max="11496" width="7.13888888888889" style="6" customWidth="1"/>
    <col min="11497" max="11497" width="8.28703703703704" style="6" customWidth="1"/>
    <col min="11498" max="11498" width="7.13888888888889" style="6" customWidth="1"/>
    <col min="11499" max="11499" width="8.28703703703704" style="6" customWidth="1"/>
    <col min="11500" max="11500" width="7.28703703703704" style="6" customWidth="1"/>
    <col min="11501" max="11501" width="7.85185185185185" style="6" customWidth="1"/>
    <col min="11502" max="11502" width="6.28703703703704" style="6" customWidth="1"/>
    <col min="11503" max="11503" width="11.712962962963" style="6" customWidth="1"/>
    <col min="11504" max="11504" width="5" style="6" customWidth="1"/>
    <col min="11505" max="11505" width="10.287037037037" style="6" customWidth="1"/>
    <col min="11506" max="11506" width="9.13888888888889" style="6" customWidth="1"/>
    <col min="11507" max="11507" width="9.13888888888889" style="6"/>
    <col min="11508" max="11508" width="12.8518518518519" style="6" customWidth="1"/>
    <col min="11509" max="11509" width="9.13888888888889" style="6"/>
    <col min="11510" max="11510" width="9.28703703703704" style="6" customWidth="1"/>
    <col min="11511" max="11748" width="9.13888888888889" style="6"/>
    <col min="11749" max="11749" width="4.71296296296296" style="6" customWidth="1"/>
    <col min="11750" max="11750" width="35.287037037037" style="6" customWidth="1"/>
    <col min="11751" max="11751" width="5.85185185185185" style="6" customWidth="1"/>
    <col min="11752" max="11752" width="7.13888888888889" style="6" customWidth="1"/>
    <col min="11753" max="11753" width="8.28703703703704" style="6" customWidth="1"/>
    <col min="11754" max="11754" width="7.13888888888889" style="6" customWidth="1"/>
    <col min="11755" max="11755" width="8.28703703703704" style="6" customWidth="1"/>
    <col min="11756" max="11756" width="7.28703703703704" style="6" customWidth="1"/>
    <col min="11757" max="11757" width="7.85185185185185" style="6" customWidth="1"/>
    <col min="11758" max="11758" width="6.28703703703704" style="6" customWidth="1"/>
    <col min="11759" max="11759" width="11.712962962963" style="6" customWidth="1"/>
    <col min="11760" max="11760" width="5" style="6" customWidth="1"/>
    <col min="11761" max="11761" width="10.287037037037" style="6" customWidth="1"/>
    <col min="11762" max="11762" width="9.13888888888889" style="6" customWidth="1"/>
    <col min="11763" max="11763" width="9.13888888888889" style="6"/>
    <col min="11764" max="11764" width="12.8518518518519" style="6" customWidth="1"/>
    <col min="11765" max="11765" width="9.13888888888889" style="6"/>
    <col min="11766" max="11766" width="9.28703703703704" style="6" customWidth="1"/>
    <col min="11767" max="12004" width="9.13888888888889" style="6"/>
    <col min="12005" max="12005" width="4.71296296296296" style="6" customWidth="1"/>
    <col min="12006" max="12006" width="35.287037037037" style="6" customWidth="1"/>
    <col min="12007" max="12007" width="5.85185185185185" style="6" customWidth="1"/>
    <col min="12008" max="12008" width="7.13888888888889" style="6" customWidth="1"/>
    <col min="12009" max="12009" width="8.28703703703704" style="6" customWidth="1"/>
    <col min="12010" max="12010" width="7.13888888888889" style="6" customWidth="1"/>
    <col min="12011" max="12011" width="8.28703703703704" style="6" customWidth="1"/>
    <col min="12012" max="12012" width="7.28703703703704" style="6" customWidth="1"/>
    <col min="12013" max="12013" width="7.85185185185185" style="6" customWidth="1"/>
    <col min="12014" max="12014" width="6.28703703703704" style="6" customWidth="1"/>
    <col min="12015" max="12015" width="11.712962962963" style="6" customWidth="1"/>
    <col min="12016" max="12016" width="5" style="6" customWidth="1"/>
    <col min="12017" max="12017" width="10.287037037037" style="6" customWidth="1"/>
    <col min="12018" max="12018" width="9.13888888888889" style="6" customWidth="1"/>
    <col min="12019" max="12019" width="9.13888888888889" style="6"/>
    <col min="12020" max="12020" width="12.8518518518519" style="6" customWidth="1"/>
    <col min="12021" max="12021" width="9.13888888888889" style="6"/>
    <col min="12022" max="12022" width="9.28703703703704" style="6" customWidth="1"/>
    <col min="12023" max="12260" width="9.13888888888889" style="6"/>
    <col min="12261" max="12261" width="4.71296296296296" style="6" customWidth="1"/>
    <col min="12262" max="12262" width="35.287037037037" style="6" customWidth="1"/>
    <col min="12263" max="12263" width="5.85185185185185" style="6" customWidth="1"/>
    <col min="12264" max="12264" width="7.13888888888889" style="6" customWidth="1"/>
    <col min="12265" max="12265" width="8.28703703703704" style="6" customWidth="1"/>
    <col min="12266" max="12266" width="7.13888888888889" style="6" customWidth="1"/>
    <col min="12267" max="12267" width="8.28703703703704" style="6" customWidth="1"/>
    <col min="12268" max="12268" width="7.28703703703704" style="6" customWidth="1"/>
    <col min="12269" max="12269" width="7.85185185185185" style="6" customWidth="1"/>
    <col min="12270" max="12270" width="6.28703703703704" style="6" customWidth="1"/>
    <col min="12271" max="12271" width="11.712962962963" style="6" customWidth="1"/>
    <col min="12272" max="12272" width="5" style="6" customWidth="1"/>
    <col min="12273" max="12273" width="10.287037037037" style="6" customWidth="1"/>
    <col min="12274" max="12274" width="9.13888888888889" style="6" customWidth="1"/>
    <col min="12275" max="12275" width="9.13888888888889" style="6"/>
    <col min="12276" max="12276" width="12.8518518518519" style="6" customWidth="1"/>
    <col min="12277" max="12277" width="9.13888888888889" style="6"/>
    <col min="12278" max="12278" width="9.28703703703704" style="6" customWidth="1"/>
    <col min="12279" max="12516" width="9.13888888888889" style="6"/>
    <col min="12517" max="12517" width="4.71296296296296" style="6" customWidth="1"/>
    <col min="12518" max="12518" width="35.287037037037" style="6" customWidth="1"/>
    <col min="12519" max="12519" width="5.85185185185185" style="6" customWidth="1"/>
    <col min="12520" max="12520" width="7.13888888888889" style="6" customWidth="1"/>
    <col min="12521" max="12521" width="8.28703703703704" style="6" customWidth="1"/>
    <col min="12522" max="12522" width="7.13888888888889" style="6" customWidth="1"/>
    <col min="12523" max="12523" width="8.28703703703704" style="6" customWidth="1"/>
    <col min="12524" max="12524" width="7.28703703703704" style="6" customWidth="1"/>
    <col min="12525" max="12525" width="7.85185185185185" style="6" customWidth="1"/>
    <col min="12526" max="12526" width="6.28703703703704" style="6" customWidth="1"/>
    <col min="12527" max="12527" width="11.712962962963" style="6" customWidth="1"/>
    <col min="12528" max="12528" width="5" style="6" customWidth="1"/>
    <col min="12529" max="12529" width="10.287037037037" style="6" customWidth="1"/>
    <col min="12530" max="12530" width="9.13888888888889" style="6" customWidth="1"/>
    <col min="12531" max="12531" width="9.13888888888889" style="6"/>
    <col min="12532" max="12532" width="12.8518518518519" style="6" customWidth="1"/>
    <col min="12533" max="12533" width="9.13888888888889" style="6"/>
    <col min="12534" max="12534" width="9.28703703703704" style="6" customWidth="1"/>
    <col min="12535" max="12772" width="9.13888888888889" style="6"/>
    <col min="12773" max="12773" width="4.71296296296296" style="6" customWidth="1"/>
    <col min="12774" max="12774" width="35.287037037037" style="6" customWidth="1"/>
    <col min="12775" max="12775" width="5.85185185185185" style="6" customWidth="1"/>
    <col min="12776" max="12776" width="7.13888888888889" style="6" customWidth="1"/>
    <col min="12777" max="12777" width="8.28703703703704" style="6" customWidth="1"/>
    <col min="12778" max="12778" width="7.13888888888889" style="6" customWidth="1"/>
    <col min="12779" max="12779" width="8.28703703703704" style="6" customWidth="1"/>
    <col min="12780" max="12780" width="7.28703703703704" style="6" customWidth="1"/>
    <col min="12781" max="12781" width="7.85185185185185" style="6" customWidth="1"/>
    <col min="12782" max="12782" width="6.28703703703704" style="6" customWidth="1"/>
    <col min="12783" max="12783" width="11.712962962963" style="6" customWidth="1"/>
    <col min="12784" max="12784" width="5" style="6" customWidth="1"/>
    <col min="12785" max="12785" width="10.287037037037" style="6" customWidth="1"/>
    <col min="12786" max="12786" width="9.13888888888889" style="6" customWidth="1"/>
    <col min="12787" max="12787" width="9.13888888888889" style="6"/>
    <col min="12788" max="12788" width="12.8518518518519" style="6" customWidth="1"/>
    <col min="12789" max="12789" width="9.13888888888889" style="6"/>
    <col min="12790" max="12790" width="9.28703703703704" style="6" customWidth="1"/>
    <col min="12791" max="13028" width="9.13888888888889" style="6"/>
    <col min="13029" max="13029" width="4.71296296296296" style="6" customWidth="1"/>
    <col min="13030" max="13030" width="35.287037037037" style="6" customWidth="1"/>
    <col min="13031" max="13031" width="5.85185185185185" style="6" customWidth="1"/>
    <col min="13032" max="13032" width="7.13888888888889" style="6" customWidth="1"/>
    <col min="13033" max="13033" width="8.28703703703704" style="6" customWidth="1"/>
    <col min="13034" max="13034" width="7.13888888888889" style="6" customWidth="1"/>
    <col min="13035" max="13035" width="8.28703703703704" style="6" customWidth="1"/>
    <col min="13036" max="13036" width="7.28703703703704" style="6" customWidth="1"/>
    <col min="13037" max="13037" width="7.85185185185185" style="6" customWidth="1"/>
    <col min="13038" max="13038" width="6.28703703703704" style="6" customWidth="1"/>
    <col min="13039" max="13039" width="11.712962962963" style="6" customWidth="1"/>
    <col min="13040" max="13040" width="5" style="6" customWidth="1"/>
    <col min="13041" max="13041" width="10.287037037037" style="6" customWidth="1"/>
    <col min="13042" max="13042" width="9.13888888888889" style="6" customWidth="1"/>
    <col min="13043" max="13043" width="9.13888888888889" style="6"/>
    <col min="13044" max="13044" width="12.8518518518519" style="6" customWidth="1"/>
    <col min="13045" max="13045" width="9.13888888888889" style="6"/>
    <col min="13046" max="13046" width="9.28703703703704" style="6" customWidth="1"/>
    <col min="13047" max="13284" width="9.13888888888889" style="6"/>
    <col min="13285" max="13285" width="4.71296296296296" style="6" customWidth="1"/>
    <col min="13286" max="13286" width="35.287037037037" style="6" customWidth="1"/>
    <col min="13287" max="13287" width="5.85185185185185" style="6" customWidth="1"/>
    <col min="13288" max="13288" width="7.13888888888889" style="6" customWidth="1"/>
    <col min="13289" max="13289" width="8.28703703703704" style="6" customWidth="1"/>
    <col min="13290" max="13290" width="7.13888888888889" style="6" customWidth="1"/>
    <col min="13291" max="13291" width="8.28703703703704" style="6" customWidth="1"/>
    <col min="13292" max="13292" width="7.28703703703704" style="6" customWidth="1"/>
    <col min="13293" max="13293" width="7.85185185185185" style="6" customWidth="1"/>
    <col min="13294" max="13294" width="6.28703703703704" style="6" customWidth="1"/>
    <col min="13295" max="13295" width="11.712962962963" style="6" customWidth="1"/>
    <col min="13296" max="13296" width="5" style="6" customWidth="1"/>
    <col min="13297" max="13297" width="10.287037037037" style="6" customWidth="1"/>
    <col min="13298" max="13298" width="9.13888888888889" style="6" customWidth="1"/>
    <col min="13299" max="13299" width="9.13888888888889" style="6"/>
    <col min="13300" max="13300" width="12.8518518518519" style="6" customWidth="1"/>
    <col min="13301" max="13301" width="9.13888888888889" style="6"/>
    <col min="13302" max="13302" width="9.28703703703704" style="6" customWidth="1"/>
    <col min="13303" max="13540" width="9.13888888888889" style="6"/>
    <col min="13541" max="13541" width="4.71296296296296" style="6" customWidth="1"/>
    <col min="13542" max="13542" width="35.287037037037" style="6" customWidth="1"/>
    <col min="13543" max="13543" width="5.85185185185185" style="6" customWidth="1"/>
    <col min="13544" max="13544" width="7.13888888888889" style="6" customWidth="1"/>
    <col min="13545" max="13545" width="8.28703703703704" style="6" customWidth="1"/>
    <col min="13546" max="13546" width="7.13888888888889" style="6" customWidth="1"/>
    <col min="13547" max="13547" width="8.28703703703704" style="6" customWidth="1"/>
    <col min="13548" max="13548" width="7.28703703703704" style="6" customWidth="1"/>
    <col min="13549" max="13549" width="7.85185185185185" style="6" customWidth="1"/>
    <col min="13550" max="13550" width="6.28703703703704" style="6" customWidth="1"/>
    <col min="13551" max="13551" width="11.712962962963" style="6" customWidth="1"/>
    <col min="13552" max="13552" width="5" style="6" customWidth="1"/>
    <col min="13553" max="13553" width="10.287037037037" style="6" customWidth="1"/>
    <col min="13554" max="13554" width="9.13888888888889" style="6" customWidth="1"/>
    <col min="13555" max="13555" width="9.13888888888889" style="6"/>
    <col min="13556" max="13556" width="12.8518518518519" style="6" customWidth="1"/>
    <col min="13557" max="13557" width="9.13888888888889" style="6"/>
    <col min="13558" max="13558" width="9.28703703703704" style="6" customWidth="1"/>
    <col min="13559" max="13796" width="9.13888888888889" style="6"/>
    <col min="13797" max="13797" width="4.71296296296296" style="6" customWidth="1"/>
    <col min="13798" max="13798" width="35.287037037037" style="6" customWidth="1"/>
    <col min="13799" max="13799" width="5.85185185185185" style="6" customWidth="1"/>
    <col min="13800" max="13800" width="7.13888888888889" style="6" customWidth="1"/>
    <col min="13801" max="13801" width="8.28703703703704" style="6" customWidth="1"/>
    <col min="13802" max="13802" width="7.13888888888889" style="6" customWidth="1"/>
    <col min="13803" max="13803" width="8.28703703703704" style="6" customWidth="1"/>
    <col min="13804" max="13804" width="7.28703703703704" style="6" customWidth="1"/>
    <col min="13805" max="13805" width="7.85185185185185" style="6" customWidth="1"/>
    <col min="13806" max="13806" width="6.28703703703704" style="6" customWidth="1"/>
    <col min="13807" max="13807" width="11.712962962963" style="6" customWidth="1"/>
    <col min="13808" max="13808" width="5" style="6" customWidth="1"/>
    <col min="13809" max="13809" width="10.287037037037" style="6" customWidth="1"/>
    <col min="13810" max="13810" width="9.13888888888889" style="6" customWidth="1"/>
    <col min="13811" max="13811" width="9.13888888888889" style="6"/>
    <col min="13812" max="13812" width="12.8518518518519" style="6" customWidth="1"/>
    <col min="13813" max="13813" width="9.13888888888889" style="6"/>
    <col min="13814" max="13814" width="9.28703703703704" style="6" customWidth="1"/>
    <col min="13815" max="14052" width="9.13888888888889" style="6"/>
    <col min="14053" max="14053" width="4.71296296296296" style="6" customWidth="1"/>
    <col min="14054" max="14054" width="35.287037037037" style="6" customWidth="1"/>
    <col min="14055" max="14055" width="5.85185185185185" style="6" customWidth="1"/>
    <col min="14056" max="14056" width="7.13888888888889" style="6" customWidth="1"/>
    <col min="14057" max="14057" width="8.28703703703704" style="6" customWidth="1"/>
    <col min="14058" max="14058" width="7.13888888888889" style="6" customWidth="1"/>
    <col min="14059" max="14059" width="8.28703703703704" style="6" customWidth="1"/>
    <col min="14060" max="14060" width="7.28703703703704" style="6" customWidth="1"/>
    <col min="14061" max="14061" width="7.85185185185185" style="6" customWidth="1"/>
    <col min="14062" max="14062" width="6.28703703703704" style="6" customWidth="1"/>
    <col min="14063" max="14063" width="11.712962962963" style="6" customWidth="1"/>
    <col min="14064" max="14064" width="5" style="6" customWidth="1"/>
    <col min="14065" max="14065" width="10.287037037037" style="6" customWidth="1"/>
    <col min="14066" max="14066" width="9.13888888888889" style="6" customWidth="1"/>
    <col min="14067" max="14067" width="9.13888888888889" style="6"/>
    <col min="14068" max="14068" width="12.8518518518519" style="6" customWidth="1"/>
    <col min="14069" max="14069" width="9.13888888888889" style="6"/>
    <col min="14070" max="14070" width="9.28703703703704" style="6" customWidth="1"/>
    <col min="14071" max="14308" width="9.13888888888889" style="6"/>
    <col min="14309" max="14309" width="4.71296296296296" style="6" customWidth="1"/>
    <col min="14310" max="14310" width="35.287037037037" style="6" customWidth="1"/>
    <col min="14311" max="14311" width="5.85185185185185" style="6" customWidth="1"/>
    <col min="14312" max="14312" width="7.13888888888889" style="6" customWidth="1"/>
    <col min="14313" max="14313" width="8.28703703703704" style="6" customWidth="1"/>
    <col min="14314" max="14314" width="7.13888888888889" style="6" customWidth="1"/>
    <col min="14315" max="14315" width="8.28703703703704" style="6" customWidth="1"/>
    <col min="14316" max="14316" width="7.28703703703704" style="6" customWidth="1"/>
    <col min="14317" max="14317" width="7.85185185185185" style="6" customWidth="1"/>
    <col min="14318" max="14318" width="6.28703703703704" style="6" customWidth="1"/>
    <col min="14319" max="14319" width="11.712962962963" style="6" customWidth="1"/>
    <col min="14320" max="14320" width="5" style="6" customWidth="1"/>
    <col min="14321" max="14321" width="10.287037037037" style="6" customWidth="1"/>
    <col min="14322" max="14322" width="9.13888888888889" style="6" customWidth="1"/>
    <col min="14323" max="14323" width="9.13888888888889" style="6"/>
    <col min="14324" max="14324" width="12.8518518518519" style="6" customWidth="1"/>
    <col min="14325" max="14325" width="9.13888888888889" style="6"/>
    <col min="14326" max="14326" width="9.28703703703704" style="6" customWidth="1"/>
    <col min="14327" max="14564" width="9.13888888888889" style="6"/>
    <col min="14565" max="14565" width="4.71296296296296" style="6" customWidth="1"/>
    <col min="14566" max="14566" width="35.287037037037" style="6" customWidth="1"/>
    <col min="14567" max="14567" width="5.85185185185185" style="6" customWidth="1"/>
    <col min="14568" max="14568" width="7.13888888888889" style="6" customWidth="1"/>
    <col min="14569" max="14569" width="8.28703703703704" style="6" customWidth="1"/>
    <col min="14570" max="14570" width="7.13888888888889" style="6" customWidth="1"/>
    <col min="14571" max="14571" width="8.28703703703704" style="6" customWidth="1"/>
    <col min="14572" max="14572" width="7.28703703703704" style="6" customWidth="1"/>
    <col min="14573" max="14573" width="7.85185185185185" style="6" customWidth="1"/>
    <col min="14574" max="14574" width="6.28703703703704" style="6" customWidth="1"/>
    <col min="14575" max="14575" width="11.712962962963" style="6" customWidth="1"/>
    <col min="14576" max="14576" width="5" style="6" customWidth="1"/>
    <col min="14577" max="14577" width="10.287037037037" style="6" customWidth="1"/>
    <col min="14578" max="14578" width="9.13888888888889" style="6" customWidth="1"/>
    <col min="14579" max="14579" width="9.13888888888889" style="6"/>
    <col min="14580" max="14580" width="12.8518518518519" style="6" customWidth="1"/>
    <col min="14581" max="14581" width="9.13888888888889" style="6"/>
    <col min="14582" max="14582" width="9.28703703703704" style="6" customWidth="1"/>
    <col min="14583" max="14820" width="9.13888888888889" style="6"/>
    <col min="14821" max="14821" width="4.71296296296296" style="6" customWidth="1"/>
    <col min="14822" max="14822" width="35.287037037037" style="6" customWidth="1"/>
    <col min="14823" max="14823" width="5.85185185185185" style="6" customWidth="1"/>
    <col min="14824" max="14824" width="7.13888888888889" style="6" customWidth="1"/>
    <col min="14825" max="14825" width="8.28703703703704" style="6" customWidth="1"/>
    <col min="14826" max="14826" width="7.13888888888889" style="6" customWidth="1"/>
    <col min="14827" max="14827" width="8.28703703703704" style="6" customWidth="1"/>
    <col min="14828" max="14828" width="7.28703703703704" style="6" customWidth="1"/>
    <col min="14829" max="14829" width="7.85185185185185" style="6" customWidth="1"/>
    <col min="14830" max="14830" width="6.28703703703704" style="6" customWidth="1"/>
    <col min="14831" max="14831" width="11.712962962963" style="6" customWidth="1"/>
    <col min="14832" max="14832" width="5" style="6" customWidth="1"/>
    <col min="14833" max="14833" width="10.287037037037" style="6" customWidth="1"/>
    <col min="14834" max="14834" width="9.13888888888889" style="6" customWidth="1"/>
    <col min="14835" max="14835" width="9.13888888888889" style="6"/>
    <col min="14836" max="14836" width="12.8518518518519" style="6" customWidth="1"/>
    <col min="14837" max="14837" width="9.13888888888889" style="6"/>
    <col min="14838" max="14838" width="9.28703703703704" style="6" customWidth="1"/>
    <col min="14839" max="15076" width="9.13888888888889" style="6"/>
    <col min="15077" max="15077" width="4.71296296296296" style="6" customWidth="1"/>
    <col min="15078" max="15078" width="35.287037037037" style="6" customWidth="1"/>
    <col min="15079" max="15079" width="5.85185185185185" style="6" customWidth="1"/>
    <col min="15080" max="15080" width="7.13888888888889" style="6" customWidth="1"/>
    <col min="15081" max="15081" width="8.28703703703704" style="6" customWidth="1"/>
    <col min="15082" max="15082" width="7.13888888888889" style="6" customWidth="1"/>
    <col min="15083" max="15083" width="8.28703703703704" style="6" customWidth="1"/>
    <col min="15084" max="15084" width="7.28703703703704" style="6" customWidth="1"/>
    <col min="15085" max="15085" width="7.85185185185185" style="6" customWidth="1"/>
    <col min="15086" max="15086" width="6.28703703703704" style="6" customWidth="1"/>
    <col min="15087" max="15087" width="11.712962962963" style="6" customWidth="1"/>
    <col min="15088" max="15088" width="5" style="6" customWidth="1"/>
    <col min="15089" max="15089" width="10.287037037037" style="6" customWidth="1"/>
    <col min="15090" max="15090" width="9.13888888888889" style="6" customWidth="1"/>
    <col min="15091" max="15091" width="9.13888888888889" style="6"/>
    <col min="15092" max="15092" width="12.8518518518519" style="6" customWidth="1"/>
    <col min="15093" max="15093" width="9.13888888888889" style="6"/>
    <col min="15094" max="15094" width="9.28703703703704" style="6" customWidth="1"/>
    <col min="15095" max="15332" width="9.13888888888889" style="6"/>
    <col min="15333" max="15333" width="4.71296296296296" style="6" customWidth="1"/>
    <col min="15334" max="15334" width="35.287037037037" style="6" customWidth="1"/>
    <col min="15335" max="15335" width="5.85185185185185" style="6" customWidth="1"/>
    <col min="15336" max="15336" width="7.13888888888889" style="6" customWidth="1"/>
    <col min="15337" max="15337" width="8.28703703703704" style="6" customWidth="1"/>
    <col min="15338" max="15338" width="7.13888888888889" style="6" customWidth="1"/>
    <col min="15339" max="15339" width="8.28703703703704" style="6" customWidth="1"/>
    <col min="15340" max="15340" width="7.28703703703704" style="6" customWidth="1"/>
    <col min="15341" max="15341" width="7.85185185185185" style="6" customWidth="1"/>
    <col min="15342" max="15342" width="6.28703703703704" style="6" customWidth="1"/>
    <col min="15343" max="15343" width="11.712962962963" style="6" customWidth="1"/>
    <col min="15344" max="15344" width="5" style="6" customWidth="1"/>
    <col min="15345" max="15345" width="10.287037037037" style="6" customWidth="1"/>
    <col min="15346" max="15346" width="9.13888888888889" style="6" customWidth="1"/>
    <col min="15347" max="15347" width="9.13888888888889" style="6"/>
    <col min="15348" max="15348" width="12.8518518518519" style="6" customWidth="1"/>
    <col min="15349" max="15349" width="9.13888888888889" style="6"/>
    <col min="15350" max="15350" width="9.28703703703704" style="6" customWidth="1"/>
    <col min="15351" max="15588" width="9.13888888888889" style="6"/>
    <col min="15589" max="15589" width="4.71296296296296" style="6" customWidth="1"/>
    <col min="15590" max="15590" width="35.287037037037" style="6" customWidth="1"/>
    <col min="15591" max="15591" width="5.85185185185185" style="6" customWidth="1"/>
    <col min="15592" max="15592" width="7.13888888888889" style="6" customWidth="1"/>
    <col min="15593" max="15593" width="8.28703703703704" style="6" customWidth="1"/>
    <col min="15594" max="15594" width="7.13888888888889" style="6" customWidth="1"/>
    <col min="15595" max="15595" width="8.28703703703704" style="6" customWidth="1"/>
    <col min="15596" max="15596" width="7.28703703703704" style="6" customWidth="1"/>
    <col min="15597" max="15597" width="7.85185185185185" style="6" customWidth="1"/>
    <col min="15598" max="15598" width="6.28703703703704" style="6" customWidth="1"/>
    <col min="15599" max="15599" width="11.712962962963" style="6" customWidth="1"/>
    <col min="15600" max="15600" width="5" style="6" customWidth="1"/>
    <col min="15601" max="15601" width="10.287037037037" style="6" customWidth="1"/>
    <col min="15602" max="15602" width="9.13888888888889" style="6" customWidth="1"/>
    <col min="15603" max="15603" width="9.13888888888889" style="6"/>
    <col min="15604" max="15604" width="12.8518518518519" style="6" customWidth="1"/>
    <col min="15605" max="15605" width="9.13888888888889" style="6"/>
    <col min="15606" max="15606" width="9.28703703703704" style="6" customWidth="1"/>
    <col min="15607" max="15844" width="9.13888888888889" style="6"/>
    <col min="15845" max="15845" width="4.71296296296296" style="6" customWidth="1"/>
    <col min="15846" max="15846" width="35.287037037037" style="6" customWidth="1"/>
    <col min="15847" max="15847" width="5.85185185185185" style="6" customWidth="1"/>
    <col min="15848" max="15848" width="7.13888888888889" style="6" customWidth="1"/>
    <col min="15849" max="15849" width="8.28703703703704" style="6" customWidth="1"/>
    <col min="15850" max="15850" width="7.13888888888889" style="6" customWidth="1"/>
    <col min="15851" max="15851" width="8.28703703703704" style="6" customWidth="1"/>
    <col min="15852" max="15852" width="7.28703703703704" style="6" customWidth="1"/>
    <col min="15853" max="15853" width="7.85185185185185" style="6" customWidth="1"/>
    <col min="15854" max="15854" width="6.28703703703704" style="6" customWidth="1"/>
    <col min="15855" max="15855" width="11.712962962963" style="6" customWidth="1"/>
    <col min="15856" max="15856" width="5" style="6" customWidth="1"/>
    <col min="15857" max="15857" width="10.287037037037" style="6" customWidth="1"/>
    <col min="15858" max="15858" width="9.13888888888889" style="6" customWidth="1"/>
    <col min="15859" max="15859" width="9.13888888888889" style="6"/>
    <col min="15860" max="15860" width="12.8518518518519" style="6" customWidth="1"/>
    <col min="15861" max="15861" width="9.13888888888889" style="6"/>
    <col min="15862" max="15862" width="9.28703703703704" style="6" customWidth="1"/>
    <col min="15863" max="16100" width="9.13888888888889" style="6"/>
    <col min="16101" max="16101" width="4.71296296296296" style="6" customWidth="1"/>
    <col min="16102" max="16102" width="35.287037037037" style="6" customWidth="1"/>
    <col min="16103" max="16103" width="5.85185185185185" style="6" customWidth="1"/>
    <col min="16104" max="16104" width="7.13888888888889" style="6" customWidth="1"/>
    <col min="16105" max="16105" width="8.28703703703704" style="6" customWidth="1"/>
    <col min="16106" max="16106" width="7.13888888888889" style="6" customWidth="1"/>
    <col min="16107" max="16107" width="8.28703703703704" style="6" customWidth="1"/>
    <col min="16108" max="16108" width="7.28703703703704" style="6" customWidth="1"/>
    <col min="16109" max="16109" width="7.85185185185185" style="6" customWidth="1"/>
    <col min="16110" max="16110" width="6.28703703703704" style="6" customWidth="1"/>
    <col min="16111" max="16111" width="11.712962962963" style="6" customWidth="1"/>
    <col min="16112" max="16112" width="5" style="6" customWidth="1"/>
    <col min="16113" max="16113" width="10.287037037037" style="6" customWidth="1"/>
    <col min="16114" max="16114" width="9.13888888888889" style="6" customWidth="1"/>
    <col min="16115" max="16115" width="9.13888888888889" style="6"/>
    <col min="16116" max="16116" width="12.8518518518519" style="6" customWidth="1"/>
    <col min="16117" max="16117" width="9.13888888888889" style="6"/>
    <col min="16118" max="16118" width="9.28703703703704" style="6" customWidth="1"/>
    <col min="16119" max="16384" width="9.13888888888889" style="6"/>
  </cols>
  <sheetData>
    <row r="1" ht="18.75" customHeight="1" spans="1:1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ht="18.75" customHeight="1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18.75" customHeight="1" spans="1:14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ht="18.75" customHeight="1" spans="1:14">
      <c r="A4" s="9" t="s">
        <v>3</v>
      </c>
      <c r="B4" s="9"/>
      <c r="C4" s="9"/>
      <c r="D4" s="9"/>
      <c r="E4" s="8"/>
      <c r="F4" s="8"/>
      <c r="G4" s="8"/>
      <c r="H4" s="8"/>
      <c r="I4" s="8"/>
      <c r="J4" s="8"/>
      <c r="K4" s="8"/>
      <c r="L4" s="8"/>
      <c r="M4" s="8"/>
      <c r="N4" s="8"/>
    </row>
    <row r="5" ht="18.75" customHeight="1" spans="1:14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ht="33.75" customHeight="1" spans="1:14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="1" customFormat="1" ht="18.75" customHeight="1" spans="1:14">
      <c r="A7" s="11"/>
      <c r="C7" s="11"/>
      <c r="E7" s="11"/>
      <c r="G7" s="11"/>
      <c r="I7" s="11"/>
      <c r="N7" s="50"/>
    </row>
    <row r="8" s="2" customFormat="1" ht="18.6" customHeight="1" spans="1:14">
      <c r="A8" s="12" t="s">
        <v>6</v>
      </c>
      <c r="B8" s="12" t="s">
        <v>7</v>
      </c>
      <c r="C8" s="12" t="s">
        <v>8</v>
      </c>
      <c r="D8" s="13" t="s">
        <v>9</v>
      </c>
      <c r="E8" s="12" t="s">
        <v>10</v>
      </c>
      <c r="F8" s="12"/>
      <c r="G8" s="12"/>
      <c r="H8" s="12"/>
      <c r="I8" s="12"/>
      <c r="J8" s="12"/>
      <c r="K8" s="51" t="s">
        <v>11</v>
      </c>
      <c r="L8" s="13" t="s">
        <v>12</v>
      </c>
      <c r="M8" s="12" t="s">
        <v>13</v>
      </c>
      <c r="N8" s="12" t="s">
        <v>14</v>
      </c>
    </row>
    <row r="9" s="2" customFormat="1" ht="18.6" customHeight="1" spans="1:14">
      <c r="A9" s="12"/>
      <c r="B9" s="12"/>
      <c r="C9" s="12"/>
      <c r="D9" s="12"/>
      <c r="E9" s="12" t="s">
        <v>15</v>
      </c>
      <c r="F9" s="12" t="s">
        <v>16</v>
      </c>
      <c r="G9" s="12" t="s">
        <v>15</v>
      </c>
      <c r="H9" s="12" t="s">
        <v>16</v>
      </c>
      <c r="I9" s="12" t="s">
        <v>15</v>
      </c>
      <c r="J9" s="12" t="s">
        <v>16</v>
      </c>
      <c r="K9" s="52"/>
      <c r="L9" s="12"/>
      <c r="M9" s="12" t="s">
        <v>17</v>
      </c>
      <c r="N9" s="12"/>
    </row>
    <row r="10" s="2" customFormat="1" ht="24" customHeight="1" spans="1:14">
      <c r="A10" s="12" t="s">
        <v>18</v>
      </c>
      <c r="B10" s="14" t="s">
        <v>19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53"/>
      <c r="N10" s="12"/>
    </row>
    <row r="11" s="2" customFormat="1" ht="24" customHeight="1" spans="1:17">
      <c r="A11" s="12" t="s">
        <v>20</v>
      </c>
      <c r="B11" s="14" t="s">
        <v>21</v>
      </c>
      <c r="C11" s="15"/>
      <c r="D11" s="16"/>
      <c r="E11" s="16"/>
      <c r="F11" s="16"/>
      <c r="G11" s="16"/>
      <c r="H11" s="16"/>
      <c r="I11" s="16"/>
      <c r="J11" s="16"/>
      <c r="K11" s="16"/>
      <c r="L11" s="19"/>
      <c r="M11" s="53"/>
      <c r="N11" s="12"/>
      <c r="P11" s="2">
        <v>1</v>
      </c>
      <c r="Q11" s="2" t="s">
        <v>22</v>
      </c>
    </row>
    <row r="12" s="2" customFormat="1" ht="24" customHeight="1" spans="1:17">
      <c r="A12" s="15">
        <v>1</v>
      </c>
      <c r="B12" s="17" t="s">
        <v>23</v>
      </c>
      <c r="C12" s="15" t="s">
        <v>24</v>
      </c>
      <c r="D12" s="18"/>
      <c r="E12" s="18"/>
      <c r="F12" s="18"/>
      <c r="G12" s="18"/>
      <c r="H12" s="18"/>
      <c r="I12" s="18"/>
      <c r="J12" s="18"/>
      <c r="K12" s="54"/>
      <c r="L12" s="21"/>
      <c r="M12" s="55"/>
      <c r="N12" s="12"/>
      <c r="P12" s="2">
        <v>2</v>
      </c>
      <c r="Q12" s="2" t="s">
        <v>25</v>
      </c>
    </row>
    <row r="13" s="2" customFormat="1" ht="24" customHeight="1" spans="1:17">
      <c r="A13" s="15">
        <v>2</v>
      </c>
      <c r="B13" s="17" t="s">
        <v>26</v>
      </c>
      <c r="C13" s="15" t="s">
        <v>24</v>
      </c>
      <c r="D13" s="18"/>
      <c r="E13" s="18"/>
      <c r="F13" s="18"/>
      <c r="G13" s="18"/>
      <c r="H13" s="18"/>
      <c r="I13" s="18"/>
      <c r="J13" s="18"/>
      <c r="K13" s="54"/>
      <c r="L13" s="21"/>
      <c r="M13" s="55"/>
      <c r="N13" s="12"/>
      <c r="P13" s="2">
        <v>2</v>
      </c>
      <c r="Q13" s="2" t="s">
        <v>25</v>
      </c>
    </row>
    <row r="14" s="2" customFormat="1" ht="24" customHeight="1" spans="1:17">
      <c r="A14" s="12" t="s">
        <v>27</v>
      </c>
      <c r="B14" s="14" t="s">
        <v>28</v>
      </c>
      <c r="C14" s="12"/>
      <c r="D14" s="16"/>
      <c r="E14" s="16"/>
      <c r="F14" s="16"/>
      <c r="G14" s="16"/>
      <c r="H14" s="16"/>
      <c r="I14" s="16" t="s">
        <v>29</v>
      </c>
      <c r="J14" s="16"/>
      <c r="K14" s="16"/>
      <c r="L14" s="19"/>
      <c r="M14" s="53"/>
      <c r="N14" s="12"/>
      <c r="P14" s="2">
        <v>3</v>
      </c>
      <c r="Q14" s="2" t="s">
        <v>30</v>
      </c>
    </row>
    <row r="15" s="2" customFormat="1" ht="24" customHeight="1" spans="1:17">
      <c r="A15" s="15">
        <v>1</v>
      </c>
      <c r="B15" s="17" t="s">
        <v>31</v>
      </c>
      <c r="C15" s="15" t="s">
        <v>32</v>
      </c>
      <c r="D15" s="18"/>
      <c r="E15" s="18"/>
      <c r="F15" s="18"/>
      <c r="G15" s="18"/>
      <c r="H15" s="18"/>
      <c r="I15" s="18"/>
      <c r="J15" s="18"/>
      <c r="K15" s="56"/>
      <c r="L15" s="21"/>
      <c r="M15" s="55"/>
      <c r="N15" s="12"/>
      <c r="P15" s="2">
        <v>4</v>
      </c>
      <c r="Q15" s="2" t="s">
        <v>33</v>
      </c>
    </row>
    <row r="16" s="2" customFormat="1" ht="24" customHeight="1" spans="1:16">
      <c r="A16" s="15">
        <v>2</v>
      </c>
      <c r="B16" s="17" t="s">
        <v>34</v>
      </c>
      <c r="C16" s="15" t="s">
        <v>32</v>
      </c>
      <c r="D16" s="18"/>
      <c r="E16" s="18"/>
      <c r="F16" s="18"/>
      <c r="G16" s="18"/>
      <c r="H16" s="18"/>
      <c r="I16" s="18"/>
      <c r="J16" s="18"/>
      <c r="K16" s="56"/>
      <c r="L16" s="21"/>
      <c r="M16" s="55"/>
      <c r="N16" s="12"/>
      <c r="P16" s="2">
        <v>5</v>
      </c>
    </row>
    <row r="17" s="2" customFormat="1" ht="24" customHeight="1" spans="1:14">
      <c r="A17" s="15">
        <v>3</v>
      </c>
      <c r="B17" s="17" t="s">
        <v>35</v>
      </c>
      <c r="C17" s="15" t="s">
        <v>32</v>
      </c>
      <c r="D17" s="18"/>
      <c r="E17" s="18"/>
      <c r="F17" s="18"/>
      <c r="G17" s="18"/>
      <c r="H17" s="18"/>
      <c r="I17" s="18"/>
      <c r="J17" s="18"/>
      <c r="K17" s="56"/>
      <c r="L17" s="21"/>
      <c r="M17" s="55"/>
      <c r="N17" s="12"/>
    </row>
    <row r="18" s="2" customFormat="1" ht="24" customHeight="1" spans="1:14">
      <c r="A18" s="15">
        <v>4</v>
      </c>
      <c r="B18" s="17" t="s">
        <v>36</v>
      </c>
      <c r="C18" s="15" t="s">
        <v>32</v>
      </c>
      <c r="D18" s="18"/>
      <c r="E18" s="18"/>
      <c r="F18" s="18"/>
      <c r="G18" s="18"/>
      <c r="H18" s="18"/>
      <c r="I18" s="18"/>
      <c r="J18" s="18"/>
      <c r="K18" s="56"/>
      <c r="L18" s="21"/>
      <c r="M18" s="55"/>
      <c r="N18" s="12"/>
    </row>
    <row r="19" s="2" customFormat="1" ht="24" customHeight="1" spans="1:14">
      <c r="A19" s="15">
        <v>5</v>
      </c>
      <c r="B19" s="17" t="s">
        <v>37</v>
      </c>
      <c r="C19" s="15" t="s">
        <v>32</v>
      </c>
      <c r="D19" s="18"/>
      <c r="E19" s="18"/>
      <c r="F19" s="18"/>
      <c r="G19" s="18"/>
      <c r="H19" s="18"/>
      <c r="I19" s="18"/>
      <c r="J19" s="18"/>
      <c r="K19" s="56"/>
      <c r="L19" s="21"/>
      <c r="M19" s="55"/>
      <c r="N19" s="12"/>
    </row>
    <row r="20" s="2" customFormat="1" ht="24" customHeight="1" spans="1:14">
      <c r="A20" s="15">
        <v>6</v>
      </c>
      <c r="B20" s="17" t="s">
        <v>38</v>
      </c>
      <c r="C20" s="15" t="s">
        <v>32</v>
      </c>
      <c r="D20" s="18"/>
      <c r="E20" s="18"/>
      <c r="F20" s="18"/>
      <c r="G20" s="18"/>
      <c r="H20" s="18"/>
      <c r="I20" s="18"/>
      <c r="J20" s="18"/>
      <c r="K20" s="56"/>
      <c r="L20" s="21"/>
      <c r="M20" s="55"/>
      <c r="N20" s="12"/>
    </row>
    <row r="21" s="2" customFormat="1" ht="24" customHeight="1" spans="1:17">
      <c r="A21" s="19" t="s">
        <v>39</v>
      </c>
      <c r="B21" s="20" t="s">
        <v>40</v>
      </c>
      <c r="C21" s="21"/>
      <c r="D21" s="18"/>
      <c r="E21" s="18"/>
      <c r="F21" s="18"/>
      <c r="G21" s="18"/>
      <c r="H21" s="18"/>
      <c r="I21" s="18"/>
      <c r="J21" s="18"/>
      <c r="K21" s="56"/>
      <c r="L21" s="21"/>
      <c r="M21" s="57">
        <f>M26+M38+M22</f>
        <v>3430.43</v>
      </c>
      <c r="N21" s="58"/>
      <c r="O21" s="59">
        <v>2204.34</v>
      </c>
      <c r="Q21" s="2">
        <v>2963.06</v>
      </c>
    </row>
    <row r="22" s="2" customFormat="1" ht="24" customHeight="1" spans="1:17">
      <c r="A22" s="19">
        <v>1</v>
      </c>
      <c r="B22" s="20" t="s">
        <v>41</v>
      </c>
      <c r="C22" s="21"/>
      <c r="D22" s="18"/>
      <c r="E22" s="18"/>
      <c r="F22" s="18"/>
      <c r="G22" s="18"/>
      <c r="H22" s="18"/>
      <c r="I22" s="18"/>
      <c r="J22" s="18"/>
      <c r="K22" s="56"/>
      <c r="L22" s="21"/>
      <c r="M22" s="57">
        <f>SUM(M23:M24)</f>
        <v>160</v>
      </c>
      <c r="N22" s="58"/>
      <c r="Q22" s="59">
        <f>+'[1]KHSXT09 BS Đợt 1'!M10+'[1]KHSXT09 BS Đợt 2 (2)'!M16</f>
        <v>2002.05</v>
      </c>
    </row>
    <row r="23" s="2" customFormat="1" ht="24" customHeight="1" spans="1:17">
      <c r="A23" s="21" t="s">
        <v>42</v>
      </c>
      <c r="B23" s="22" t="s">
        <v>43</v>
      </c>
      <c r="C23" s="21" t="s">
        <v>44</v>
      </c>
      <c r="D23" s="23">
        <f>1.25</f>
        <v>1.25</v>
      </c>
      <c r="E23" s="18"/>
      <c r="F23" s="18"/>
      <c r="G23" s="18"/>
      <c r="H23" s="18"/>
      <c r="I23" s="18"/>
      <c r="J23" s="18"/>
      <c r="K23" s="56">
        <v>7</v>
      </c>
      <c r="L23" s="21">
        <v>1</v>
      </c>
      <c r="M23" s="60">
        <f>K23/D23</f>
        <v>5.6</v>
      </c>
      <c r="N23" s="58"/>
      <c r="O23" s="61"/>
      <c r="P23" s="59">
        <f>+O21+Q22</f>
        <v>4206.39</v>
      </c>
      <c r="Q23" s="59">
        <f>+Q22+Q21</f>
        <v>4965.11</v>
      </c>
    </row>
    <row r="24" s="2" customFormat="1" ht="24" customHeight="1" spans="1:17">
      <c r="A24" s="21" t="s">
        <v>45</v>
      </c>
      <c r="B24" s="22" t="s">
        <v>46</v>
      </c>
      <c r="C24" s="21"/>
      <c r="D24" s="23"/>
      <c r="E24" s="18"/>
      <c r="F24" s="18"/>
      <c r="G24" s="18"/>
      <c r="H24" s="18"/>
      <c r="I24" s="18"/>
      <c r="J24" s="18"/>
      <c r="K24" s="60">
        <f>SUM(K25)</f>
        <v>9.65</v>
      </c>
      <c r="L24" s="21"/>
      <c r="M24" s="60">
        <f>SUM(M25)</f>
        <v>154.4</v>
      </c>
      <c r="N24" s="58"/>
      <c r="P24" s="2">
        <f>+M21/P23</f>
        <v>0.815528279593666</v>
      </c>
      <c r="Q24" s="59">
        <f>+M21-Q23</f>
        <v>-1534.68</v>
      </c>
    </row>
    <row r="25" s="2" customFormat="1" ht="24" customHeight="1" spans="1:14">
      <c r="A25" s="21"/>
      <c r="B25" s="22" t="s">
        <v>47</v>
      </c>
      <c r="C25" s="21" t="s">
        <v>48</v>
      </c>
      <c r="D25" s="24">
        <v>0.0625</v>
      </c>
      <c r="E25" s="18" t="s">
        <v>49</v>
      </c>
      <c r="F25" s="23">
        <v>4.96</v>
      </c>
      <c r="G25" s="23" t="s">
        <v>50</v>
      </c>
      <c r="H25" s="23">
        <v>4.69</v>
      </c>
      <c r="I25" s="23"/>
      <c r="J25" s="18"/>
      <c r="K25" s="60">
        <v>9.65</v>
      </c>
      <c r="L25" s="21">
        <v>1</v>
      </c>
      <c r="M25" s="62">
        <f>ROUND(K25/D25*L25,2)</f>
        <v>154.4</v>
      </c>
      <c r="N25" s="58"/>
    </row>
    <row r="26" s="2" customFormat="1" ht="24" customHeight="1" spans="1:14">
      <c r="A26" s="12">
        <v>2</v>
      </c>
      <c r="B26" s="14" t="s">
        <v>51</v>
      </c>
      <c r="C26" s="15"/>
      <c r="D26" s="21"/>
      <c r="E26" s="25"/>
      <c r="F26" s="25"/>
      <c r="G26" s="26"/>
      <c r="H26" s="21"/>
      <c r="I26" s="26"/>
      <c r="J26" s="21"/>
      <c r="K26" s="56"/>
      <c r="L26" s="21"/>
      <c r="M26" s="53">
        <f>SUM(M27:M28,M34,M31)</f>
        <v>1629.89</v>
      </c>
      <c r="N26" s="17"/>
    </row>
    <row r="27" s="2" customFormat="1" ht="24" customHeight="1" spans="1:14">
      <c r="A27" s="21" t="s">
        <v>52</v>
      </c>
      <c r="B27" s="22" t="s">
        <v>43</v>
      </c>
      <c r="C27" s="21" t="s">
        <v>44</v>
      </c>
      <c r="D27" s="23">
        <f>1.25</f>
        <v>1.25</v>
      </c>
      <c r="E27" s="18"/>
      <c r="F27" s="18"/>
      <c r="G27" s="18"/>
      <c r="H27" s="18"/>
      <c r="I27" s="18"/>
      <c r="J27" s="18"/>
      <c r="K27" s="56">
        <v>119</v>
      </c>
      <c r="L27" s="21">
        <v>1</v>
      </c>
      <c r="M27" s="60">
        <f>K27/D27</f>
        <v>95.2</v>
      </c>
      <c r="N27" s="58"/>
    </row>
    <row r="28" s="3" customFormat="1" ht="24" customHeight="1" spans="1:14">
      <c r="A28" s="27" t="s">
        <v>53</v>
      </c>
      <c r="B28" s="28" t="s">
        <v>54</v>
      </c>
      <c r="C28" s="27"/>
      <c r="D28" s="24"/>
      <c r="E28" s="24"/>
      <c r="F28" s="24"/>
      <c r="G28" s="24"/>
      <c r="H28" s="24"/>
      <c r="I28" s="24"/>
      <c r="J28" s="24"/>
      <c r="K28" s="62">
        <f>SUM(K29:K30)</f>
        <v>45.12</v>
      </c>
      <c r="L28" s="27"/>
      <c r="M28" s="62">
        <f>SUM(M29:M30)</f>
        <v>216.58</v>
      </c>
      <c r="N28" s="63"/>
    </row>
    <row r="29" s="3" customFormat="1" ht="24" customHeight="1" spans="1:14">
      <c r="A29" s="27"/>
      <c r="B29" s="28" t="s">
        <v>55</v>
      </c>
      <c r="C29" s="27" t="s">
        <v>48</v>
      </c>
      <c r="D29" s="24">
        <v>0.208333333333333</v>
      </c>
      <c r="E29" s="24" t="s">
        <v>56</v>
      </c>
      <c r="F29" s="24">
        <v>8.44</v>
      </c>
      <c r="G29" s="24" t="s">
        <v>57</v>
      </c>
      <c r="H29" s="24">
        <v>16.05</v>
      </c>
      <c r="I29" s="24" t="s">
        <v>58</v>
      </c>
      <c r="J29" s="24">
        <v>7.65</v>
      </c>
      <c r="K29" s="62">
        <f>SUM(E29:J30)</f>
        <v>45.12</v>
      </c>
      <c r="L29" s="27">
        <v>1</v>
      </c>
      <c r="M29" s="62">
        <f>ROUND(K29/D29*L29,2)</f>
        <v>216.58</v>
      </c>
      <c r="N29" s="63"/>
    </row>
    <row r="30" s="3" customFormat="1" ht="24" customHeight="1" spans="1:14">
      <c r="A30" s="27"/>
      <c r="B30" s="28"/>
      <c r="C30" s="27"/>
      <c r="D30" s="24"/>
      <c r="E30" s="24" t="s">
        <v>59</v>
      </c>
      <c r="F30" s="24">
        <v>12.98</v>
      </c>
      <c r="G30" s="24"/>
      <c r="H30" s="24"/>
      <c r="I30" s="24"/>
      <c r="J30" s="24"/>
      <c r="K30" s="62"/>
      <c r="L30" s="27"/>
      <c r="M30" s="62"/>
      <c r="N30" s="63"/>
    </row>
    <row r="31" s="3" customFormat="1" ht="24" customHeight="1" spans="1:14">
      <c r="A31" s="27" t="s">
        <v>60</v>
      </c>
      <c r="B31" s="28" t="s">
        <v>61</v>
      </c>
      <c r="C31" s="27"/>
      <c r="D31" s="24"/>
      <c r="E31" s="24"/>
      <c r="F31" s="24"/>
      <c r="G31" s="24"/>
      <c r="H31" s="24"/>
      <c r="I31" s="24"/>
      <c r="J31" s="24"/>
      <c r="K31" s="62">
        <f>SUM(K32:K33)</f>
        <v>21.69</v>
      </c>
      <c r="L31" s="27"/>
      <c r="M31" s="62">
        <f>SUM(M32:M33)</f>
        <v>104.11</v>
      </c>
      <c r="N31" s="63"/>
    </row>
    <row r="32" s="3" customFormat="1" ht="24" customHeight="1" spans="1:18">
      <c r="A32" s="27"/>
      <c r="B32" s="28" t="s">
        <v>55</v>
      </c>
      <c r="C32" s="27" t="s">
        <v>48</v>
      </c>
      <c r="D32" s="24">
        <v>0.208333333333333</v>
      </c>
      <c r="E32" s="24" t="s">
        <v>62</v>
      </c>
      <c r="F32" s="24">
        <v>4.89</v>
      </c>
      <c r="G32" s="24" t="s">
        <v>63</v>
      </c>
      <c r="H32" s="24">
        <v>1.47</v>
      </c>
      <c r="I32" s="24" t="s">
        <v>64</v>
      </c>
      <c r="J32" s="24">
        <v>6.3</v>
      </c>
      <c r="K32" s="62">
        <f>SUM(E32:J33)</f>
        <v>21.69</v>
      </c>
      <c r="L32" s="27">
        <v>1</v>
      </c>
      <c r="M32" s="62">
        <f t="shared" ref="M32:M36" si="0">ROUND(K32/D32*L32,2)</f>
        <v>104.11</v>
      </c>
      <c r="N32" s="63"/>
      <c r="P32" s="3" t="s">
        <v>65</v>
      </c>
      <c r="Q32" s="3">
        <v>5.3</v>
      </c>
      <c r="R32" s="3">
        <f>+Q32*16</f>
        <v>84.8</v>
      </c>
    </row>
    <row r="33" s="3" customFormat="1" ht="24" customHeight="1" spans="1:18">
      <c r="A33" s="27"/>
      <c r="B33" s="28"/>
      <c r="C33" s="27"/>
      <c r="D33" s="24"/>
      <c r="E33" s="24" t="s">
        <v>66</v>
      </c>
      <c r="F33" s="24">
        <v>2.02</v>
      </c>
      <c r="G33" s="24" t="s">
        <v>67</v>
      </c>
      <c r="H33" s="24">
        <v>7.01</v>
      </c>
      <c r="I33" s="24"/>
      <c r="J33" s="24"/>
      <c r="K33" s="62"/>
      <c r="L33" s="27"/>
      <c r="M33" s="62"/>
      <c r="N33" s="63"/>
      <c r="R33" s="3">
        <f>+R32*25</f>
        <v>2120</v>
      </c>
    </row>
    <row r="34" s="3" customFormat="1" ht="24" customHeight="1" spans="1:14">
      <c r="A34" s="27" t="s">
        <v>68</v>
      </c>
      <c r="B34" s="28" t="s">
        <v>46</v>
      </c>
      <c r="C34" s="27"/>
      <c r="D34" s="24"/>
      <c r="E34" s="24"/>
      <c r="F34" s="24"/>
      <c r="G34" s="24"/>
      <c r="H34" s="24"/>
      <c r="I34" s="24"/>
      <c r="J34" s="24"/>
      <c r="K34" s="62">
        <f>SUM(K35:K36)</f>
        <v>90.37</v>
      </c>
      <c r="L34" s="27"/>
      <c r="M34" s="62">
        <f>SUM(M35:M36)</f>
        <v>1214</v>
      </c>
      <c r="N34" s="63"/>
    </row>
    <row r="35" s="3" customFormat="1" ht="24" customHeight="1" spans="1:18">
      <c r="A35" s="27"/>
      <c r="B35" s="28" t="s">
        <v>47</v>
      </c>
      <c r="C35" s="27" t="s">
        <v>48</v>
      </c>
      <c r="D35" s="24">
        <v>0.0625</v>
      </c>
      <c r="E35" s="24" t="s">
        <v>69</v>
      </c>
      <c r="F35" s="24">
        <v>2.77</v>
      </c>
      <c r="G35" s="24" t="s">
        <v>70</v>
      </c>
      <c r="H35" s="24">
        <v>15.49</v>
      </c>
      <c r="I35" s="24" t="s">
        <v>71</v>
      </c>
      <c r="J35" s="24">
        <v>14.13</v>
      </c>
      <c r="K35" s="62">
        <f>SUM(E35:J35)</f>
        <v>32.39</v>
      </c>
      <c r="L35" s="27">
        <v>1</v>
      </c>
      <c r="M35" s="62">
        <f t="shared" si="0"/>
        <v>518.24</v>
      </c>
      <c r="N35" s="63"/>
      <c r="R35" s="3">
        <v>2120</v>
      </c>
    </row>
    <row r="36" s="3" customFormat="1" ht="24" customHeight="1" spans="1:18">
      <c r="A36" s="27"/>
      <c r="B36" s="28" t="s">
        <v>47</v>
      </c>
      <c r="C36" s="27" t="s">
        <v>48</v>
      </c>
      <c r="D36" s="24">
        <v>0.0833333333333333</v>
      </c>
      <c r="E36" s="24" t="s">
        <v>72</v>
      </c>
      <c r="F36" s="24">
        <v>14.92</v>
      </c>
      <c r="G36" s="24" t="s">
        <v>73</v>
      </c>
      <c r="H36" s="24">
        <v>6.23</v>
      </c>
      <c r="I36" s="24" t="s">
        <v>74</v>
      </c>
      <c r="J36" s="24">
        <v>13.11</v>
      </c>
      <c r="K36" s="62">
        <f>SUM(E36:J37)</f>
        <v>57.98</v>
      </c>
      <c r="L36" s="27">
        <v>1</v>
      </c>
      <c r="M36" s="62">
        <f t="shared" si="0"/>
        <v>695.76</v>
      </c>
      <c r="N36" s="63"/>
      <c r="R36" s="3">
        <f>120/(16*25000)</f>
        <v>0.0003</v>
      </c>
    </row>
    <row r="37" s="3" customFormat="1" ht="24" customHeight="1" spans="1:18">
      <c r="A37" s="27"/>
      <c r="B37" s="28"/>
      <c r="C37" s="27"/>
      <c r="D37" s="24"/>
      <c r="E37" s="24" t="s">
        <v>75</v>
      </c>
      <c r="F37" s="24">
        <v>14.94</v>
      </c>
      <c r="G37" s="24" t="s">
        <v>76</v>
      </c>
      <c r="H37" s="24">
        <v>8.78</v>
      </c>
      <c r="I37" s="24"/>
      <c r="J37" s="24"/>
      <c r="K37" s="62"/>
      <c r="L37" s="27"/>
      <c r="M37" s="62"/>
      <c r="N37" s="63"/>
      <c r="R37" s="3">
        <f>16/R36</f>
        <v>53333.3333333333</v>
      </c>
    </row>
    <row r="38" s="2" customFormat="1" ht="24" customHeight="1" spans="1:14">
      <c r="A38" s="19">
        <v>3</v>
      </c>
      <c r="B38" s="14" t="s">
        <v>77</v>
      </c>
      <c r="C38" s="21"/>
      <c r="D38" s="18"/>
      <c r="E38" s="18"/>
      <c r="F38" s="18"/>
      <c r="G38" s="18"/>
      <c r="H38" s="18"/>
      <c r="I38" s="18"/>
      <c r="J38" s="18"/>
      <c r="K38" s="56"/>
      <c r="L38" s="21"/>
      <c r="M38" s="57">
        <f>SUM(M39:M41,M44)</f>
        <v>1640.54</v>
      </c>
      <c r="N38" s="58"/>
    </row>
    <row r="39" s="2" customFormat="1" ht="24" customHeight="1" spans="1:14">
      <c r="A39" s="21" t="s">
        <v>78</v>
      </c>
      <c r="B39" s="22" t="s">
        <v>43</v>
      </c>
      <c r="C39" s="21" t="s">
        <v>44</v>
      </c>
      <c r="D39" s="23">
        <f>1.25</f>
        <v>1.25</v>
      </c>
      <c r="E39" s="18"/>
      <c r="F39" s="18"/>
      <c r="G39" s="18"/>
      <c r="H39" s="18"/>
      <c r="I39" s="18"/>
      <c r="J39" s="18"/>
      <c r="K39" s="56">
        <f>218</f>
        <v>218</v>
      </c>
      <c r="L39" s="21">
        <v>1</v>
      </c>
      <c r="M39" s="60">
        <f>K39/D39</f>
        <v>174.4</v>
      </c>
      <c r="N39" s="58"/>
    </row>
    <row r="40" s="2" customFormat="1" ht="24" customHeight="1" spans="1:14">
      <c r="A40" s="21" t="s">
        <v>79</v>
      </c>
      <c r="B40" s="22" t="s">
        <v>80</v>
      </c>
      <c r="C40" s="21" t="s">
        <v>44</v>
      </c>
      <c r="D40" s="23">
        <f>1.25</f>
        <v>1.25</v>
      </c>
      <c r="E40" s="18"/>
      <c r="F40" s="18"/>
      <c r="G40" s="18"/>
      <c r="H40" s="18"/>
      <c r="I40" s="18"/>
      <c r="J40" s="18"/>
      <c r="K40" s="56">
        <v>165</v>
      </c>
      <c r="L40" s="21">
        <v>1</v>
      </c>
      <c r="M40" s="60">
        <f>K40/D40</f>
        <v>132</v>
      </c>
      <c r="N40" s="64" t="s">
        <v>81</v>
      </c>
    </row>
    <row r="41" s="3" customFormat="1" ht="24" customHeight="1" spans="1:14">
      <c r="A41" s="27" t="s">
        <v>82</v>
      </c>
      <c r="B41" s="28" t="s">
        <v>54</v>
      </c>
      <c r="C41" s="27"/>
      <c r="D41" s="24"/>
      <c r="E41" s="24"/>
      <c r="F41" s="24"/>
      <c r="G41" s="24"/>
      <c r="H41" s="24"/>
      <c r="I41" s="24"/>
      <c r="J41" s="24"/>
      <c r="K41" s="62">
        <f>SUM(K42:K43)</f>
        <v>24.83</v>
      </c>
      <c r="L41" s="27"/>
      <c r="M41" s="62">
        <f>SUM(M42:M43)</f>
        <v>119.18</v>
      </c>
      <c r="N41" s="63"/>
    </row>
    <row r="42" s="3" customFormat="1" ht="24" customHeight="1" spans="1:14">
      <c r="A42" s="27"/>
      <c r="B42" s="28" t="s">
        <v>55</v>
      </c>
      <c r="C42" s="27" t="s">
        <v>48</v>
      </c>
      <c r="D42" s="24">
        <f>1/4.8</f>
        <v>0.208333333333333</v>
      </c>
      <c r="E42" s="24" t="s">
        <v>83</v>
      </c>
      <c r="F42" s="24">
        <v>3.58</v>
      </c>
      <c r="G42" s="24" t="s">
        <v>56</v>
      </c>
      <c r="H42" s="24">
        <v>14.51</v>
      </c>
      <c r="I42" s="24" t="s">
        <v>84</v>
      </c>
      <c r="J42" s="62">
        <v>6.74</v>
      </c>
      <c r="K42" s="62">
        <f>SUM(E42:J43)</f>
        <v>24.83</v>
      </c>
      <c r="L42" s="27">
        <v>1</v>
      </c>
      <c r="M42" s="62">
        <f t="shared" ref="M42:M49" si="1">ROUND(K42/D42*L42,2)</f>
        <v>119.18</v>
      </c>
      <c r="N42" s="63"/>
    </row>
    <row r="43" s="3" customFormat="1" ht="24" customHeight="1" spans="1:14">
      <c r="A43" s="27"/>
      <c r="B43" s="28"/>
      <c r="C43" s="27"/>
      <c r="D43" s="24"/>
      <c r="E43" s="24"/>
      <c r="F43" s="24"/>
      <c r="G43" s="24"/>
      <c r="H43" s="24"/>
      <c r="I43" s="24"/>
      <c r="J43" s="62"/>
      <c r="K43" s="62"/>
      <c r="L43" s="27"/>
      <c r="M43" s="62"/>
      <c r="N43" s="63"/>
    </row>
    <row r="44" s="3" customFormat="1" ht="24" customHeight="1" spans="1:14">
      <c r="A44" s="27" t="s">
        <v>85</v>
      </c>
      <c r="B44" s="28" t="s">
        <v>46</v>
      </c>
      <c r="C44" s="27"/>
      <c r="D44" s="24"/>
      <c r="E44" s="24"/>
      <c r="F44" s="24"/>
      <c r="G44" s="24"/>
      <c r="H44" s="24"/>
      <c r="I44" s="24"/>
      <c r="J44" s="24"/>
      <c r="K44" s="62">
        <f>SUM(K45:K49)</f>
        <v>88.24</v>
      </c>
      <c r="L44" s="27"/>
      <c r="M44" s="62">
        <f>SUM(M45:M49)</f>
        <v>1214.96</v>
      </c>
      <c r="N44" s="63"/>
    </row>
    <row r="45" s="3" customFormat="1" ht="24" customHeight="1" spans="1:14">
      <c r="A45" s="27"/>
      <c r="B45" s="28" t="s">
        <v>47</v>
      </c>
      <c r="C45" s="27" t="s">
        <v>48</v>
      </c>
      <c r="D45" s="24">
        <f>1/16</f>
        <v>0.0625</v>
      </c>
      <c r="E45" s="24" t="s">
        <v>86</v>
      </c>
      <c r="F45" s="24">
        <v>19</v>
      </c>
      <c r="G45" s="24" t="s">
        <v>87</v>
      </c>
      <c r="H45" s="24">
        <v>9.13</v>
      </c>
      <c r="I45" s="24" t="s">
        <v>49</v>
      </c>
      <c r="J45" s="24">
        <v>8.41</v>
      </c>
      <c r="K45" s="62">
        <f>SUM(E45:J46)</f>
        <v>38.76</v>
      </c>
      <c r="L45" s="27">
        <v>1</v>
      </c>
      <c r="M45" s="62">
        <f t="shared" si="1"/>
        <v>620.16</v>
      </c>
      <c r="N45" s="63"/>
    </row>
    <row r="46" s="3" customFormat="1" ht="24" customHeight="1" spans="1:14">
      <c r="A46" s="27"/>
      <c r="B46" s="28"/>
      <c r="C46" s="27"/>
      <c r="D46" s="24"/>
      <c r="E46" s="24" t="s">
        <v>50</v>
      </c>
      <c r="F46" s="24">
        <v>2.22</v>
      </c>
      <c r="G46" s="24"/>
      <c r="H46" s="24"/>
      <c r="I46" s="24"/>
      <c r="J46" s="24"/>
      <c r="K46" s="62"/>
      <c r="L46" s="27"/>
      <c r="M46" s="62"/>
      <c r="N46" s="63"/>
    </row>
    <row r="47" s="3" customFormat="1" ht="24" customHeight="1" spans="1:14">
      <c r="A47" s="27"/>
      <c r="B47" s="28"/>
      <c r="C47" s="27" t="s">
        <v>48</v>
      </c>
      <c r="D47" s="24">
        <f>1/12</f>
        <v>0.0833333333333333</v>
      </c>
      <c r="E47" s="24" t="s">
        <v>88</v>
      </c>
      <c r="F47" s="24">
        <v>14.86</v>
      </c>
      <c r="G47" s="24" t="s">
        <v>89</v>
      </c>
      <c r="H47" s="24">
        <v>10.86</v>
      </c>
      <c r="I47" s="24" t="s">
        <v>90</v>
      </c>
      <c r="J47" s="24">
        <v>13.42</v>
      </c>
      <c r="K47" s="62">
        <f t="shared" ref="K47:K49" si="2">SUM(E47:J47)</f>
        <v>39.14</v>
      </c>
      <c r="L47" s="27">
        <v>1</v>
      </c>
      <c r="M47" s="62">
        <f t="shared" si="1"/>
        <v>469.68</v>
      </c>
      <c r="N47" s="63"/>
    </row>
    <row r="48" s="3" customFormat="1" ht="24" customHeight="1" spans="1:14">
      <c r="A48" s="27"/>
      <c r="B48" s="28"/>
      <c r="C48" s="27" t="s">
        <v>48</v>
      </c>
      <c r="D48" s="24">
        <v>0.125</v>
      </c>
      <c r="E48" s="24" t="s">
        <v>91</v>
      </c>
      <c r="F48" s="24">
        <v>5.04</v>
      </c>
      <c r="G48" s="24"/>
      <c r="H48" s="24"/>
      <c r="I48" s="24"/>
      <c r="J48" s="24"/>
      <c r="K48" s="62">
        <f t="shared" si="2"/>
        <v>5.04</v>
      </c>
      <c r="L48" s="27">
        <v>1</v>
      </c>
      <c r="M48" s="62">
        <f t="shared" si="1"/>
        <v>40.32</v>
      </c>
      <c r="N48" s="63"/>
    </row>
    <row r="49" s="3" customFormat="1" ht="24" customHeight="1" spans="1:15">
      <c r="A49" s="27"/>
      <c r="B49" s="28" t="s">
        <v>92</v>
      </c>
      <c r="C49" s="27" t="s">
        <v>48</v>
      </c>
      <c r="D49" s="24">
        <f>1/16</f>
        <v>0.0625</v>
      </c>
      <c r="E49" s="24" t="s">
        <v>89</v>
      </c>
      <c r="F49" s="24">
        <v>5.3</v>
      </c>
      <c r="G49" s="24"/>
      <c r="H49" s="24"/>
      <c r="I49" s="24"/>
      <c r="J49" s="24"/>
      <c r="K49" s="62">
        <f t="shared" si="2"/>
        <v>5.3</v>
      </c>
      <c r="L49" s="27">
        <v>1</v>
      </c>
      <c r="M49" s="62">
        <f t="shared" si="1"/>
        <v>84.8</v>
      </c>
      <c r="N49" s="63"/>
      <c r="O49" s="65"/>
    </row>
    <row r="50" s="4" customFormat="1" ht="24" customHeight="1" spans="1:224">
      <c r="A50" s="12" t="s">
        <v>93</v>
      </c>
      <c r="B50" s="14" t="s">
        <v>94</v>
      </c>
      <c r="C50" s="12"/>
      <c r="D50" s="29"/>
      <c r="E50" s="21"/>
      <c r="F50" s="23"/>
      <c r="G50" s="27"/>
      <c r="H50" s="23"/>
      <c r="I50" s="21"/>
      <c r="J50" s="23"/>
      <c r="K50" s="66"/>
      <c r="L50" s="67"/>
      <c r="M50" s="68"/>
      <c r="N50" s="1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</row>
    <row r="51" s="4" customFormat="1" ht="24" customHeight="1" spans="1:224">
      <c r="A51" s="15">
        <v>1</v>
      </c>
      <c r="B51" s="17" t="s">
        <v>95</v>
      </c>
      <c r="C51" s="15" t="s">
        <v>32</v>
      </c>
      <c r="D51" s="30" t="s">
        <v>96</v>
      </c>
      <c r="E51" s="30"/>
      <c r="F51" s="30"/>
      <c r="G51" s="30"/>
      <c r="H51" s="30"/>
      <c r="I51" s="30"/>
      <c r="J51" s="30"/>
      <c r="K51" s="30"/>
      <c r="L51" s="67"/>
      <c r="M51" s="55"/>
      <c r="N51" s="1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</row>
    <row r="52" s="4" customFormat="1" ht="24" customHeight="1" spans="1:224">
      <c r="A52" s="12" t="s">
        <v>97</v>
      </c>
      <c r="B52" s="14" t="s">
        <v>98</v>
      </c>
      <c r="C52" s="12"/>
      <c r="D52" s="31"/>
      <c r="E52" s="19"/>
      <c r="F52" s="32"/>
      <c r="G52" s="33"/>
      <c r="H52" s="34"/>
      <c r="I52" s="19"/>
      <c r="J52" s="69"/>
      <c r="K52" s="70"/>
      <c r="L52" s="19"/>
      <c r="M52" s="68">
        <f>SUM(M53:M54)</f>
        <v>68</v>
      </c>
      <c r="N52" s="14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</row>
    <row r="53" s="4" customFormat="1" ht="24" customHeight="1" spans="1:224">
      <c r="A53" s="15">
        <v>1</v>
      </c>
      <c r="B53" s="17" t="s">
        <v>99</v>
      </c>
      <c r="C53" s="15" t="s">
        <v>32</v>
      </c>
      <c r="D53" s="35"/>
      <c r="E53" s="21"/>
      <c r="F53" s="36"/>
      <c r="G53" s="37"/>
      <c r="H53" s="38"/>
      <c r="I53" s="21"/>
      <c r="J53" s="71"/>
      <c r="K53" s="56">
        <v>8</v>
      </c>
      <c r="L53" s="21">
        <v>1</v>
      </c>
      <c r="M53" s="72">
        <f>+K53</f>
        <v>8</v>
      </c>
      <c r="N53" s="14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</row>
    <row r="54" s="4" customFormat="1" ht="24" customHeight="1" spans="1:224">
      <c r="A54" s="15">
        <v>2</v>
      </c>
      <c r="B54" s="17" t="s">
        <v>100</v>
      </c>
      <c r="C54" s="15" t="s">
        <v>32</v>
      </c>
      <c r="D54" s="35"/>
      <c r="E54" s="21"/>
      <c r="F54" s="36"/>
      <c r="G54" s="37"/>
      <c r="H54" s="38"/>
      <c r="I54" s="21"/>
      <c r="J54" s="71"/>
      <c r="K54" s="56">
        <v>60</v>
      </c>
      <c r="L54" s="21">
        <v>1</v>
      </c>
      <c r="M54" s="72">
        <f>+K54</f>
        <v>60</v>
      </c>
      <c r="N54" s="1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</row>
    <row r="55" s="4" customFormat="1" ht="20.25" customHeight="1" spans="1:224">
      <c r="A55" s="14" t="s">
        <v>101</v>
      </c>
      <c r="B55" s="14"/>
      <c r="C55" s="14"/>
      <c r="D55" s="19"/>
      <c r="E55" s="19"/>
      <c r="F55" s="19"/>
      <c r="G55" s="19"/>
      <c r="H55" s="19"/>
      <c r="I55" s="19"/>
      <c r="J55" s="19"/>
      <c r="K55" s="19"/>
      <c r="L55" s="19"/>
      <c r="M55" s="73"/>
      <c r="N55" s="12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74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  <c r="DK55" s="74"/>
      <c r="DL55" s="74"/>
      <c r="DM55" s="74"/>
      <c r="DN55" s="74"/>
      <c r="DO55" s="74"/>
      <c r="DP55" s="74"/>
      <c r="DQ55" s="74"/>
      <c r="DR55" s="74"/>
      <c r="DS55" s="74"/>
      <c r="DT55" s="74"/>
      <c r="DU55" s="74"/>
      <c r="DV55" s="74"/>
      <c r="DW55" s="74"/>
      <c r="DX55" s="74"/>
      <c r="DY55" s="74"/>
      <c r="DZ55" s="74"/>
      <c r="EA55" s="74"/>
      <c r="EB55" s="74"/>
      <c r="EC55" s="74"/>
      <c r="ED55" s="74"/>
      <c r="EE55" s="74"/>
      <c r="EF55" s="74"/>
      <c r="EG55" s="74"/>
      <c r="EH55" s="74"/>
      <c r="EI55" s="74"/>
      <c r="EJ55" s="74"/>
      <c r="EK55" s="74"/>
      <c r="EL55" s="74"/>
      <c r="EM55" s="74"/>
      <c r="EN55" s="74"/>
      <c r="EO55" s="74"/>
      <c r="EP55" s="74"/>
      <c r="EQ55" s="74"/>
      <c r="ER55" s="74"/>
      <c r="ES55" s="74"/>
      <c r="ET55" s="74"/>
      <c r="EU55" s="74"/>
      <c r="EV55" s="74"/>
      <c r="EW55" s="74"/>
      <c r="EX55" s="74"/>
      <c r="EY55" s="74"/>
      <c r="EZ55" s="74"/>
      <c r="FA55" s="74"/>
      <c r="FB55" s="74"/>
      <c r="FC55" s="74"/>
      <c r="FD55" s="74"/>
      <c r="FE55" s="74"/>
      <c r="FF55" s="74"/>
      <c r="FG55" s="74"/>
      <c r="FH55" s="74"/>
      <c r="FI55" s="74"/>
      <c r="FJ55" s="74"/>
      <c r="FK55" s="74"/>
      <c r="FL55" s="74"/>
      <c r="FM55" s="74"/>
      <c r="FN55" s="74"/>
      <c r="FO55" s="74"/>
      <c r="FP55" s="74"/>
      <c r="FQ55" s="74"/>
      <c r="FR55" s="74"/>
      <c r="FS55" s="74"/>
      <c r="FT55" s="74"/>
      <c r="FU55" s="74"/>
      <c r="FV55" s="74"/>
      <c r="FW55" s="74"/>
      <c r="FX55" s="74"/>
      <c r="FY55" s="74"/>
      <c r="FZ55" s="74"/>
      <c r="GA55" s="74"/>
      <c r="GB55" s="74"/>
      <c r="GC55" s="74"/>
      <c r="GD55" s="74"/>
      <c r="GE55" s="74"/>
      <c r="GF55" s="74"/>
      <c r="GG55" s="74"/>
      <c r="GH55" s="74"/>
      <c r="GI55" s="74"/>
      <c r="GJ55" s="74"/>
      <c r="GK55" s="74"/>
      <c r="GL55" s="74"/>
      <c r="GM55" s="74"/>
      <c r="GN55" s="74"/>
      <c r="GO55" s="74"/>
      <c r="GP55" s="74"/>
      <c r="GQ55" s="74"/>
      <c r="GR55" s="74"/>
      <c r="GS55" s="74"/>
      <c r="GT55" s="74"/>
      <c r="GU55" s="74"/>
      <c r="GV55" s="74"/>
      <c r="GW55" s="74"/>
      <c r="GX55" s="74"/>
      <c r="GY55" s="74"/>
      <c r="GZ55" s="74"/>
      <c r="HA55" s="74"/>
      <c r="HB55" s="74"/>
      <c r="HC55" s="74"/>
      <c r="HD55" s="74"/>
      <c r="HE55" s="74"/>
      <c r="HF55" s="74"/>
      <c r="HG55" s="74"/>
      <c r="HH55" s="74"/>
      <c r="HI55" s="74"/>
      <c r="HJ55" s="74"/>
      <c r="HK55" s="74"/>
      <c r="HL55" s="74"/>
      <c r="HM55" s="74"/>
      <c r="HN55" s="74"/>
      <c r="HO55" s="74"/>
      <c r="HP55" s="74"/>
    </row>
    <row r="56" s="4" customFormat="1" ht="11.25" customHeight="1" spans="1:231">
      <c r="A56" s="39"/>
      <c r="B56" s="39"/>
      <c r="C56" s="40"/>
      <c r="D56" s="2"/>
      <c r="E56" s="2"/>
      <c r="F56" s="2"/>
      <c r="G56" s="2"/>
      <c r="H56" s="2"/>
      <c r="I56" s="2"/>
      <c r="J56" s="2"/>
      <c r="K56" s="2"/>
      <c r="L56" s="2"/>
      <c r="M56" s="75"/>
      <c r="N56" s="40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74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  <c r="DK56" s="74"/>
      <c r="DL56" s="74"/>
      <c r="DM56" s="74"/>
      <c r="DN56" s="74"/>
      <c r="DO56" s="74"/>
      <c r="DP56" s="74"/>
      <c r="DQ56" s="74"/>
      <c r="DR56" s="74"/>
      <c r="DS56" s="74"/>
      <c r="DT56" s="74"/>
      <c r="DU56" s="74"/>
      <c r="DV56" s="74"/>
      <c r="DW56" s="74"/>
      <c r="DX56" s="74"/>
      <c r="DY56" s="74"/>
      <c r="DZ56" s="74"/>
      <c r="EA56" s="74"/>
      <c r="EB56" s="74"/>
      <c r="EC56" s="74"/>
      <c r="ED56" s="74"/>
      <c r="EE56" s="74"/>
      <c r="EF56" s="74"/>
      <c r="EG56" s="74"/>
      <c r="EH56" s="74"/>
      <c r="EI56" s="74"/>
      <c r="EJ56" s="74"/>
      <c r="EK56" s="74"/>
      <c r="EL56" s="74"/>
      <c r="EM56" s="74"/>
      <c r="EN56" s="74"/>
      <c r="EO56" s="74"/>
      <c r="EP56" s="74"/>
      <c r="EQ56" s="74"/>
      <c r="ER56" s="74"/>
      <c r="ES56" s="74"/>
      <c r="ET56" s="74"/>
      <c r="EU56" s="74"/>
      <c r="EV56" s="74"/>
      <c r="EW56" s="74"/>
      <c r="EX56" s="74"/>
      <c r="EY56" s="74"/>
      <c r="EZ56" s="74"/>
      <c r="FA56" s="74"/>
      <c r="FB56" s="74"/>
      <c r="FC56" s="74"/>
      <c r="FD56" s="74"/>
      <c r="FE56" s="74"/>
      <c r="FF56" s="74"/>
      <c r="FG56" s="74"/>
      <c r="FH56" s="74"/>
      <c r="FI56" s="74"/>
      <c r="FJ56" s="74"/>
      <c r="FK56" s="74"/>
      <c r="FL56" s="74"/>
      <c r="FM56" s="74"/>
      <c r="FN56" s="74"/>
      <c r="FO56" s="74"/>
      <c r="FP56" s="74"/>
      <c r="FQ56" s="74"/>
      <c r="FR56" s="74"/>
      <c r="FS56" s="74"/>
      <c r="FT56" s="74"/>
      <c r="FU56" s="74"/>
      <c r="FV56" s="74"/>
      <c r="FW56" s="74"/>
      <c r="FX56" s="74"/>
      <c r="FY56" s="74"/>
      <c r="FZ56" s="74"/>
      <c r="GA56" s="74"/>
      <c r="GB56" s="74"/>
      <c r="GC56" s="74"/>
      <c r="GD56" s="74"/>
      <c r="GE56" s="74"/>
      <c r="GF56" s="74"/>
      <c r="GG56" s="74"/>
      <c r="GH56" s="74"/>
      <c r="GI56" s="74"/>
      <c r="GJ56" s="74"/>
      <c r="GK56" s="74"/>
      <c r="GL56" s="74"/>
      <c r="GM56" s="74"/>
      <c r="GN56" s="74"/>
      <c r="GO56" s="74"/>
      <c r="GP56" s="74"/>
      <c r="GQ56" s="74"/>
      <c r="GR56" s="74"/>
      <c r="GS56" s="74"/>
      <c r="GT56" s="74"/>
      <c r="GU56" s="74"/>
      <c r="GV56" s="74"/>
      <c r="GW56" s="74"/>
      <c r="GX56" s="74"/>
      <c r="GY56" s="74"/>
      <c r="GZ56" s="74"/>
      <c r="HA56" s="74"/>
      <c r="HB56" s="74"/>
      <c r="HC56" s="74"/>
      <c r="HD56" s="74"/>
      <c r="HE56" s="74"/>
      <c r="HF56" s="74"/>
      <c r="HG56" s="74"/>
      <c r="HH56" s="74"/>
      <c r="HI56" s="74"/>
      <c r="HJ56" s="74"/>
      <c r="HK56" s="74"/>
      <c r="HL56" s="74"/>
      <c r="HM56" s="74"/>
      <c r="HN56" s="74"/>
      <c r="HO56" s="74"/>
      <c r="HP56" s="74"/>
      <c r="HQ56" s="74"/>
      <c r="HR56" s="74"/>
      <c r="HS56" s="74"/>
      <c r="HT56" s="74"/>
      <c r="HU56" s="74"/>
      <c r="HV56" s="74"/>
      <c r="HW56" s="74"/>
    </row>
    <row r="57" ht="15.6" spans="1:231">
      <c r="A57" s="41"/>
      <c r="B57" s="42"/>
      <c r="C57" s="41"/>
      <c r="D57" s="42"/>
      <c r="E57" s="43"/>
      <c r="F57" s="42"/>
      <c r="G57" s="41"/>
      <c r="H57" s="4"/>
      <c r="I57" s="76" t="s">
        <v>102</v>
      </c>
      <c r="J57" s="76"/>
      <c r="K57" s="76"/>
      <c r="L57" s="76"/>
      <c r="M57" s="76"/>
      <c r="N57" s="76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</row>
    <row r="58" ht="16.8" spans="1:213">
      <c r="A58" s="44"/>
      <c r="B58" s="44" t="s">
        <v>103</v>
      </c>
      <c r="C58" s="44"/>
      <c r="D58" s="45" t="s">
        <v>104</v>
      </c>
      <c r="E58" s="45"/>
      <c r="F58" s="45"/>
      <c r="G58" s="45"/>
      <c r="H58" s="45"/>
      <c r="I58" s="44"/>
      <c r="J58" s="45" t="s">
        <v>105</v>
      </c>
      <c r="K58" s="45"/>
      <c r="L58" s="45"/>
      <c r="M58" s="45"/>
      <c r="N58" s="4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</row>
    <row r="59" ht="16.8" spans="1:231">
      <c r="A59" s="45"/>
      <c r="B59" s="44"/>
      <c r="C59" s="45"/>
      <c r="D59" s="45"/>
      <c r="E59" s="46"/>
      <c r="F59" s="47"/>
      <c r="G59" s="46"/>
      <c r="H59" s="48"/>
      <c r="I59" s="46"/>
      <c r="J59" s="77"/>
      <c r="K59" s="47"/>
      <c r="L59" s="47"/>
      <c r="M59" s="77"/>
      <c r="N59" s="78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</row>
    <row r="60" ht="16.8" spans="1:231">
      <c r="A60" s="45"/>
      <c r="B60" s="44"/>
      <c r="C60" s="45"/>
      <c r="D60" s="45"/>
      <c r="E60" s="46"/>
      <c r="F60" s="47"/>
      <c r="G60" s="46"/>
      <c r="H60" s="48"/>
      <c r="I60" s="46"/>
      <c r="J60" s="77"/>
      <c r="K60" s="47"/>
      <c r="L60" s="47"/>
      <c r="M60" s="77"/>
      <c r="N60" s="78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</row>
    <row r="61" ht="16.8" spans="1:231">
      <c r="A61" s="45"/>
      <c r="B61" s="44"/>
      <c r="C61" s="45"/>
      <c r="D61" s="45"/>
      <c r="E61" s="46"/>
      <c r="F61" s="47"/>
      <c r="G61" s="46"/>
      <c r="H61" s="48"/>
      <c r="I61" s="46"/>
      <c r="J61" s="77"/>
      <c r="K61" s="47"/>
      <c r="L61" s="47"/>
      <c r="M61" s="77"/>
      <c r="N61" s="78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</row>
    <row r="62" ht="16.8" spans="1:231">
      <c r="A62" s="45"/>
      <c r="B62" s="44"/>
      <c r="C62" s="45"/>
      <c r="D62" s="45"/>
      <c r="E62" s="46"/>
      <c r="F62" s="47"/>
      <c r="G62" s="46"/>
      <c r="H62" s="48"/>
      <c r="I62" s="46"/>
      <c r="J62" s="77"/>
      <c r="K62" s="47"/>
      <c r="L62" s="47"/>
      <c r="M62" s="77"/>
      <c r="N62" s="78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</row>
    <row r="63" ht="16.8" spans="2:231">
      <c r="B63" s="49" t="s">
        <v>106</v>
      </c>
      <c r="C63" s="45"/>
      <c r="D63" s="45"/>
      <c r="E63" s="46" t="s">
        <v>107</v>
      </c>
      <c r="F63" s="46"/>
      <c r="G63" s="46"/>
      <c r="H63" s="48"/>
      <c r="I63" s="46"/>
      <c r="J63" s="79" t="s">
        <v>108</v>
      </c>
      <c r="K63" s="79"/>
      <c r="L63" s="79"/>
      <c r="M63" s="79"/>
      <c r="N63" s="78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</row>
    <row r="64" ht="20.25" customHeight="1" spans="1:14">
      <c r="A64" s="45" t="s">
        <v>109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</row>
    <row r="65" ht="16.8" hidden="1" spans="1:14">
      <c r="A65" s="45" t="s">
        <v>110</v>
      </c>
      <c r="B65" s="45"/>
      <c r="C65" s="46" t="s">
        <v>111</v>
      </c>
      <c r="D65" s="46"/>
      <c r="E65" s="46"/>
      <c r="F65" s="45" t="s">
        <v>112</v>
      </c>
      <c r="G65" s="45"/>
      <c r="H65" s="45"/>
      <c r="I65" s="46" t="s">
        <v>113</v>
      </c>
      <c r="J65" s="46"/>
      <c r="K65" s="46"/>
      <c r="L65" s="46" t="s">
        <v>114</v>
      </c>
      <c r="M65" s="46"/>
      <c r="N65" s="46"/>
    </row>
    <row r="66" ht="16.8" spans="1:14">
      <c r="A66" s="80" t="s">
        <v>115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</row>
  </sheetData>
  <mergeCells count="34">
    <mergeCell ref="A1:N1"/>
    <mergeCell ref="A2:N2"/>
    <mergeCell ref="A3:N3"/>
    <mergeCell ref="A4:D4"/>
    <mergeCell ref="A5:D5"/>
    <mergeCell ref="A6:N6"/>
    <mergeCell ref="E8:J8"/>
    <mergeCell ref="D15:J15"/>
    <mergeCell ref="D16:J16"/>
    <mergeCell ref="D17:J17"/>
    <mergeCell ref="D18:J18"/>
    <mergeCell ref="D19:J19"/>
    <mergeCell ref="D20:J20"/>
    <mergeCell ref="D51:K51"/>
    <mergeCell ref="A55:C55"/>
    <mergeCell ref="I57:N57"/>
    <mergeCell ref="D58:H58"/>
    <mergeCell ref="J58:M58"/>
    <mergeCell ref="E63:G63"/>
    <mergeCell ref="J63:M63"/>
    <mergeCell ref="A64:N64"/>
    <mergeCell ref="A65:B65"/>
    <mergeCell ref="C65:E65"/>
    <mergeCell ref="F65:H65"/>
    <mergeCell ref="I65:K65"/>
    <mergeCell ref="L65:N65"/>
    <mergeCell ref="A66:N66"/>
    <mergeCell ref="A8:A9"/>
    <mergeCell ref="B8:B9"/>
    <mergeCell ref="C8:C9"/>
    <mergeCell ref="D8:D9"/>
    <mergeCell ref="K8:K9"/>
    <mergeCell ref="L8:L9"/>
    <mergeCell ref="N8:N9"/>
  </mergeCells>
  <pageMargins left="0.236220472440945" right="0" top="0.433070866141732" bottom="0.511811023622047" header="0.31496062992126" footer="0.31496062992126"/>
  <pageSetup paperSize="9" scale="98" orientation="landscape"/>
  <headerFooter>
    <oddFooter>&amp;RĐỘI 1 - BCSXT09.2025 &amp;P/3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BCSXT09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Hiền</dc:creator>
  <cp:lastModifiedBy>Hiền Nguyễn</cp:lastModifiedBy>
  <dcterms:created xsi:type="dcterms:W3CDTF">2025-09-03T00:13:00Z</dcterms:created>
  <dcterms:modified xsi:type="dcterms:W3CDTF">2025-10-01T07:25:14Z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9164EF35EECC4D0893A5342760E1E69E_12</vt:lpwstr>
  </property>
  <property fmtid="{D5CDD505-2E9C-101B-9397-08002B2CF9AE}" pid="3" name="KSOProductBuildVer">
    <vt:lpwstr>1033-12.2.0.22549</vt:lpwstr>
  </property>
</Properties>
</file>